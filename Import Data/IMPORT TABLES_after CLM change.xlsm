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3"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arodriguez/Dropbox/Work/SpendMatters/Database/Import Data/"/>
    </mc:Choice>
  </mc:AlternateContent>
  <xr:revisionPtr revIDLastSave="0" documentId="13_ncr:1_{54EF808B-7A47-7F40-8139-0AE921AC84C9}" xr6:coauthVersionLast="33" xr6:coauthVersionMax="33" xr10:uidLastSave="{00000000-0000-0000-0000-000000000000}"/>
  <bookViews>
    <workbookView xWindow="-37020" yWindow="-11020" windowWidth="27420" windowHeight="20540" firstSheet="11" activeTab="14" xr2:uid="{2B80B295-0FF3-844F-B1E6-795A86FD9846}"/>
  </bookViews>
  <sheets>
    <sheet name="Suites" sheetId="24" r:id="rId1"/>
    <sheet name="Categories" sheetId="10" r:id="rId2"/>
    <sheet name="SuiteCategories" sheetId="21" r:id="rId3"/>
    <sheet name="SuiteCatSubElem_Version" sheetId="7" r:id="rId4"/>
    <sheet name="Subcategories" sheetId="11" r:id="rId5"/>
    <sheet name="SuiteCatSubElem" sheetId="6" r:id="rId6"/>
    <sheet name="Elements" sheetId="5" r:id="rId7"/>
    <sheet name="SuiteCatSub" sheetId="1" r:id="rId8"/>
    <sheet name="RBC" sheetId="28" r:id="rId9"/>
    <sheet name="RBC_values" sheetId="30" r:id="rId10"/>
    <sheet name="rawElements" sheetId="3" r:id="rId11"/>
    <sheet name="Notes" sheetId="9" r:id="rId12"/>
    <sheet name="scse_v Analyst" sheetId="12" r:id="rId13"/>
    <sheet name="ElementVariants" sheetId="8" r:id="rId14"/>
    <sheet name="Vendors" sheetId="13" r:id="rId15"/>
    <sheet name="Personas" sheetId="15" r:id="rId16"/>
    <sheet name="RFI" sheetId="16" r:id="rId17"/>
    <sheet name="RFI_Elements" sheetId="17" r:id="rId18"/>
    <sheet name="UserLogin" sheetId="26" r:id="rId19"/>
    <sheet name="UserTypes" sheetId="27" r:id="rId20"/>
    <sheet name="SMscores" sheetId="18" r:id="rId21"/>
    <sheet name="Sheet2" sheetId="25" state="hidden" r:id="rId22"/>
    <sheet name="SA Q4 18 VR" sheetId="22" r:id="rId23"/>
    <sheet name="SA Q4 18 W" sheetId="23" r:id="rId24"/>
    <sheet name="SXM Q4 18 W" sheetId="31" r:id="rId25"/>
    <sheet name="Weights" sheetId="19" r:id="rId26"/>
    <sheet name="ParentVendors" sheetId="14" r:id="rId27"/>
    <sheet name="scse2" sheetId="2" r:id="rId28"/>
  </sheets>
  <definedNames>
    <definedName name="_xlnm._FilterDatabase" localSheetId="6" hidden="1">Elements!$A$1:$A$437</definedName>
    <definedName name="_xlnm._FilterDatabase" localSheetId="13" hidden="1">ElementVariants!$A$1:$E$460</definedName>
    <definedName name="_xlnm._FilterDatabase" localSheetId="10" hidden="1">rawElements!$J$1:$J$754</definedName>
    <definedName name="_xlnm._FilterDatabase" localSheetId="8" hidden="1">RBC!$A$1:$N$107</definedName>
    <definedName name="_xlnm._FilterDatabase" localSheetId="9" hidden="1">RBC_values!$A$1:$N$107</definedName>
    <definedName name="_xlnm._FilterDatabase" localSheetId="17" hidden="1">RFI_Elements!$A$1:$N$86</definedName>
    <definedName name="_xlnm._FilterDatabase" localSheetId="12" hidden="1">'scse_v Analyst'!$A$1:$J$178</definedName>
    <definedName name="_xlnm._FilterDatabase" localSheetId="20" hidden="1">SMscores!$A$1:$G$253</definedName>
    <definedName name="_xlnm._FilterDatabase" localSheetId="5" hidden="1">SuiteCatSubElem!$A$1:$I$667</definedName>
    <definedName name="_xlnm._FilterDatabase" localSheetId="3" hidden="1">SuiteCatSubElem_Version!$A$1:$P$667</definedName>
  </definedNames>
  <calcPr calcId="179017"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651" i="7" l="1"/>
  <c r="I652" i="7"/>
  <c r="I653" i="7"/>
  <c r="I654" i="7"/>
  <c r="I655" i="7"/>
  <c r="I656" i="7"/>
  <c r="I657" i="7"/>
  <c r="I658" i="7"/>
  <c r="I659" i="7"/>
  <c r="I660" i="7"/>
  <c r="I661" i="7"/>
  <c r="I662" i="7"/>
  <c r="I663" i="7"/>
  <c r="I664" i="7"/>
  <c r="I665" i="7"/>
  <c r="I666" i="7"/>
  <c r="I667"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06" i="7"/>
  <c r="I607" i="7"/>
  <c r="I608" i="7"/>
  <c r="I609" i="7"/>
  <c r="I610" i="7"/>
  <c r="I611" i="7"/>
  <c r="I612" i="7"/>
  <c r="I613" i="7"/>
  <c r="I614" i="7"/>
  <c r="I615" i="7"/>
  <c r="I616" i="7"/>
  <c r="I617" i="7"/>
  <c r="I618" i="7"/>
  <c r="I619" i="7"/>
  <c r="I598" i="7"/>
  <c r="I599" i="7"/>
  <c r="I600" i="7"/>
  <c r="I601" i="7"/>
  <c r="I602" i="7"/>
  <c r="I603" i="7"/>
  <c r="I604" i="7"/>
  <c r="I605" i="7"/>
  <c r="C658" i="7"/>
  <c r="E604" i="7"/>
  <c r="G604" i="7"/>
  <c r="H604" i="7"/>
  <c r="E605" i="7"/>
  <c r="G605" i="7"/>
  <c r="H605" i="7"/>
  <c r="E606" i="7"/>
  <c r="G606" i="7"/>
  <c r="H606" i="7"/>
  <c r="F604" i="6"/>
  <c r="F605" i="6"/>
  <c r="F606" i="6"/>
  <c r="J630" i="3"/>
  <c r="J632" i="3"/>
  <c r="J633" i="3"/>
  <c r="J635" i="3"/>
  <c r="J636" i="3"/>
  <c r="J637" i="3"/>
  <c r="J638" i="3"/>
  <c r="J639" i="3"/>
  <c r="J640" i="3"/>
  <c r="J641" i="3"/>
  <c r="J643" i="3"/>
  <c r="J644" i="3"/>
  <c r="J645" i="3"/>
  <c r="J646" i="3"/>
  <c r="J647" i="3"/>
  <c r="J648" i="3"/>
  <c r="J649" i="3"/>
  <c r="J650" i="3"/>
  <c r="J651" i="3"/>
  <c r="J652" i="3"/>
  <c r="J656" i="3"/>
  <c r="J657" i="3"/>
  <c r="J658" i="3"/>
  <c r="J659" i="3"/>
  <c r="J660" i="3"/>
  <c r="J662" i="3"/>
  <c r="J663" i="3"/>
  <c r="J664" i="3"/>
  <c r="J665" i="3"/>
  <c r="J667" i="3"/>
  <c r="J668" i="3"/>
  <c r="J669" i="3"/>
  <c r="J670" i="3"/>
  <c r="J672" i="3"/>
  <c r="J673" i="3"/>
  <c r="J674" i="3"/>
  <c r="J675" i="3"/>
  <c r="J676" i="3"/>
  <c r="J677" i="3"/>
  <c r="J678" i="3"/>
  <c r="J680" i="3"/>
  <c r="J682" i="3"/>
  <c r="J683" i="3"/>
  <c r="J684" i="3"/>
  <c r="J685" i="3"/>
  <c r="J689" i="3"/>
  <c r="J690" i="3"/>
  <c r="J691" i="3"/>
  <c r="J692" i="3"/>
  <c r="J694" i="3"/>
  <c r="J695" i="3"/>
  <c r="J696" i="3"/>
  <c r="J697" i="3"/>
  <c r="J701" i="3"/>
  <c r="J702" i="3"/>
  <c r="J703" i="3"/>
  <c r="J704" i="3"/>
  <c r="J705" i="3"/>
  <c r="J706" i="3"/>
  <c r="J707" i="3"/>
  <c r="J708" i="3"/>
  <c r="J709" i="3"/>
  <c r="J710" i="3"/>
  <c r="J711" i="3"/>
  <c r="J712" i="3"/>
  <c r="J713" i="3"/>
  <c r="J714" i="3"/>
  <c r="J715" i="3"/>
  <c r="J716" i="3"/>
  <c r="J717" i="3"/>
  <c r="J718" i="3"/>
  <c r="J719" i="3"/>
  <c r="J721" i="3"/>
  <c r="J722" i="3"/>
  <c r="J723" i="3"/>
  <c r="J724" i="3"/>
  <c r="J725" i="3"/>
  <c r="J726" i="3"/>
  <c r="J730" i="3"/>
  <c r="J731" i="3"/>
  <c r="J732" i="3"/>
  <c r="J733" i="3"/>
  <c r="J734" i="3"/>
  <c r="J738" i="3"/>
  <c r="J739" i="3"/>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423" i="19"/>
  <c r="D424" i="19"/>
  <c r="D425" i="19"/>
  <c r="D426" i="19"/>
  <c r="D427" i="19"/>
  <c r="D428" i="19"/>
  <c r="D429" i="19"/>
  <c r="D430" i="19"/>
  <c r="D431" i="19"/>
  <c r="D432" i="19"/>
  <c r="D433" i="19"/>
  <c r="D434" i="19"/>
  <c r="D435" i="19"/>
  <c r="D422" i="19"/>
  <c r="X225" i="31"/>
  <c r="W225" i="31"/>
  <c r="V225" i="31"/>
  <c r="U225" i="31"/>
  <c r="T225" i="31"/>
  <c r="R225" i="31"/>
  <c r="Q225" i="31"/>
  <c r="P225" i="31"/>
  <c r="O225" i="31"/>
  <c r="N225" i="31"/>
  <c r="L225" i="31"/>
  <c r="K225" i="31"/>
  <c r="J225" i="31"/>
  <c r="I225" i="31"/>
  <c r="H225" i="31"/>
  <c r="F201" i="31"/>
  <c r="F202" i="31"/>
  <c r="F203" i="31"/>
  <c r="F204" i="31"/>
  <c r="F206" i="31"/>
  <c r="F207" i="31"/>
  <c r="F208" i="31"/>
  <c r="F209" i="31"/>
  <c r="F210" i="31"/>
  <c r="F211" i="31"/>
  <c r="F212" i="31"/>
  <c r="F213" i="31"/>
  <c r="F214" i="31"/>
  <c r="F215" i="31"/>
  <c r="F216" i="31"/>
  <c r="F217" i="31"/>
  <c r="F218" i="31"/>
  <c r="F219" i="31"/>
  <c r="F220" i="31"/>
  <c r="F221" i="31"/>
  <c r="F222" i="31"/>
  <c r="F223" i="31"/>
  <c r="F224" i="31"/>
  <c r="F225" i="31"/>
  <c r="E201" i="31"/>
  <c r="E202" i="31"/>
  <c r="E203" i="31"/>
  <c r="E204" i="31"/>
  <c r="E206" i="31"/>
  <c r="E207" i="31"/>
  <c r="E208" i="31"/>
  <c r="E209" i="31"/>
  <c r="E210" i="31"/>
  <c r="E211" i="31"/>
  <c r="E212" i="31"/>
  <c r="E213" i="31"/>
  <c r="E214" i="31"/>
  <c r="E215" i="31"/>
  <c r="E216" i="31"/>
  <c r="E217" i="31"/>
  <c r="E218" i="31"/>
  <c r="E219" i="31"/>
  <c r="E220" i="31"/>
  <c r="E221" i="31"/>
  <c r="E222" i="31"/>
  <c r="E223" i="31"/>
  <c r="E224" i="31"/>
  <c r="E225" i="31"/>
  <c r="D201" i="31"/>
  <c r="D202" i="31"/>
  <c r="D203" i="31"/>
  <c r="D204" i="31"/>
  <c r="D206" i="31"/>
  <c r="D207" i="31"/>
  <c r="D208" i="31"/>
  <c r="D209" i="31"/>
  <c r="D210" i="31"/>
  <c r="D211" i="31"/>
  <c r="D212" i="31"/>
  <c r="D213" i="31"/>
  <c r="D214" i="31"/>
  <c r="D215" i="31"/>
  <c r="D216" i="31"/>
  <c r="D217" i="31"/>
  <c r="D218" i="31"/>
  <c r="D219" i="31"/>
  <c r="D220" i="31"/>
  <c r="D221" i="31"/>
  <c r="D222" i="31"/>
  <c r="D223" i="31"/>
  <c r="D224" i="31"/>
  <c r="D225" i="31"/>
  <c r="C201" i="31"/>
  <c r="C202" i="31"/>
  <c r="C203" i="31"/>
  <c r="C204" i="31"/>
  <c r="C206" i="31"/>
  <c r="C207" i="31"/>
  <c r="C208" i="31"/>
  <c r="C209" i="31"/>
  <c r="C210" i="31"/>
  <c r="C211" i="31"/>
  <c r="C212" i="31"/>
  <c r="C213" i="31"/>
  <c r="C214" i="31"/>
  <c r="C215" i="31"/>
  <c r="C216" i="31"/>
  <c r="C217" i="31"/>
  <c r="C218" i="31"/>
  <c r="C219" i="31"/>
  <c r="C220" i="31"/>
  <c r="C221" i="31"/>
  <c r="C222" i="31"/>
  <c r="C223" i="31"/>
  <c r="C224" i="31"/>
  <c r="C225" i="31"/>
  <c r="B201" i="31"/>
  <c r="B202" i="31"/>
  <c r="B203" i="31"/>
  <c r="B204" i="31"/>
  <c r="B206" i="31"/>
  <c r="B207" i="31"/>
  <c r="B208" i="31"/>
  <c r="B209" i="31"/>
  <c r="B210" i="31"/>
  <c r="B211" i="31"/>
  <c r="B212" i="31"/>
  <c r="B213" i="31"/>
  <c r="B214" i="31"/>
  <c r="B215" i="31"/>
  <c r="B216" i="31"/>
  <c r="B217" i="31"/>
  <c r="B218" i="31"/>
  <c r="B219" i="31"/>
  <c r="B220" i="31"/>
  <c r="B221" i="31"/>
  <c r="B222" i="31"/>
  <c r="B223" i="31"/>
  <c r="B224" i="31"/>
  <c r="B225" i="31"/>
  <c r="X197" i="31"/>
  <c r="W197" i="31"/>
  <c r="V197" i="31"/>
  <c r="U197" i="31"/>
  <c r="T197" i="31"/>
  <c r="R197" i="31"/>
  <c r="Q197" i="31"/>
  <c r="P197" i="31"/>
  <c r="O197" i="31"/>
  <c r="N197" i="31"/>
  <c r="L197" i="31"/>
  <c r="K197" i="31"/>
  <c r="J197" i="31"/>
  <c r="I197" i="31"/>
  <c r="H197" i="31"/>
  <c r="F190" i="31"/>
  <c r="F192" i="31"/>
  <c r="F194" i="31"/>
  <c r="F196" i="31"/>
  <c r="F197" i="31"/>
  <c r="E190" i="31"/>
  <c r="E192" i="31"/>
  <c r="E194" i="31"/>
  <c r="E196" i="31"/>
  <c r="E197" i="31"/>
  <c r="D190" i="31"/>
  <c r="D192" i="31"/>
  <c r="D194" i="31"/>
  <c r="D196" i="31"/>
  <c r="D197" i="31"/>
  <c r="C190" i="31"/>
  <c r="C192" i="31"/>
  <c r="C194" i="31"/>
  <c r="C196" i="31"/>
  <c r="C197" i="31"/>
  <c r="B190" i="31"/>
  <c r="B192" i="31"/>
  <c r="B194" i="31"/>
  <c r="B196" i="31"/>
  <c r="B197" i="31"/>
  <c r="X185" i="31"/>
  <c r="W185" i="31"/>
  <c r="V185" i="31"/>
  <c r="U185" i="31"/>
  <c r="T185" i="31"/>
  <c r="R185" i="31"/>
  <c r="Q185" i="31"/>
  <c r="P185" i="31"/>
  <c r="O185" i="31"/>
  <c r="N185" i="31"/>
  <c r="L185" i="31"/>
  <c r="K185" i="31"/>
  <c r="J185" i="31"/>
  <c r="I185" i="31"/>
  <c r="H185" i="31"/>
  <c r="F172" i="31"/>
  <c r="F174" i="31"/>
  <c r="F176" i="31"/>
  <c r="F178" i="31"/>
  <c r="F180" i="31"/>
  <c r="F182" i="31"/>
  <c r="F183" i="31"/>
  <c r="F184" i="31"/>
  <c r="F185" i="31"/>
  <c r="E172" i="31"/>
  <c r="E174" i="31"/>
  <c r="E176" i="31"/>
  <c r="E178" i="31"/>
  <c r="E180" i="31"/>
  <c r="E182" i="31"/>
  <c r="E183" i="31"/>
  <c r="E184" i="31"/>
  <c r="E185" i="31"/>
  <c r="D172" i="31"/>
  <c r="D174" i="31"/>
  <c r="D176" i="31"/>
  <c r="D178" i="31"/>
  <c r="D180" i="31"/>
  <c r="D182" i="31"/>
  <c r="D183" i="31"/>
  <c r="D184" i="31"/>
  <c r="D185" i="31"/>
  <c r="C172" i="31"/>
  <c r="C174" i="31"/>
  <c r="C176" i="31"/>
  <c r="C178" i="31"/>
  <c r="C180" i="31"/>
  <c r="C182" i="31"/>
  <c r="C183" i="31"/>
  <c r="C184" i="31"/>
  <c r="C185" i="31"/>
  <c r="B172" i="31"/>
  <c r="B174" i="31"/>
  <c r="B176" i="31"/>
  <c r="B178" i="31"/>
  <c r="B180" i="31"/>
  <c r="B182" i="31"/>
  <c r="B183" i="31"/>
  <c r="B184" i="31"/>
  <c r="B185" i="31"/>
  <c r="X167" i="31"/>
  <c r="W167" i="31"/>
  <c r="V167" i="31"/>
  <c r="U167" i="31"/>
  <c r="T167" i="31"/>
  <c r="R167" i="31"/>
  <c r="Q167" i="31"/>
  <c r="P167" i="31"/>
  <c r="O167" i="31"/>
  <c r="N167" i="31"/>
  <c r="L167" i="31"/>
  <c r="K167" i="31"/>
  <c r="J167" i="31"/>
  <c r="I167" i="31"/>
  <c r="H167" i="31"/>
  <c r="F142" i="31"/>
  <c r="F144" i="31"/>
  <c r="F146" i="31"/>
  <c r="F148" i="31"/>
  <c r="F150" i="31"/>
  <c r="F152" i="31"/>
  <c r="F154" i="31"/>
  <c r="F156" i="31"/>
  <c r="F158" i="31"/>
  <c r="F160" i="31"/>
  <c r="F162" i="31"/>
  <c r="F164" i="31"/>
  <c r="F166" i="31"/>
  <c r="F167" i="31"/>
  <c r="E142" i="31"/>
  <c r="E144" i="31"/>
  <c r="E146" i="31"/>
  <c r="E148" i="31"/>
  <c r="E150" i="31"/>
  <c r="E152" i="31"/>
  <c r="E154" i="31"/>
  <c r="E156" i="31"/>
  <c r="E158" i="31"/>
  <c r="E160" i="31"/>
  <c r="E162" i="31"/>
  <c r="E164" i="31"/>
  <c r="E166" i="31"/>
  <c r="E167" i="31"/>
  <c r="D142" i="31"/>
  <c r="D144" i="31"/>
  <c r="D146" i="31"/>
  <c r="D148" i="31"/>
  <c r="D150" i="31"/>
  <c r="D152" i="31"/>
  <c r="D154" i="31"/>
  <c r="D156" i="31"/>
  <c r="D158" i="31"/>
  <c r="D160" i="31"/>
  <c r="D162" i="31"/>
  <c r="D164" i="31"/>
  <c r="D166" i="31"/>
  <c r="D167" i="31"/>
  <c r="C142" i="31"/>
  <c r="C144" i="31"/>
  <c r="C146" i="31"/>
  <c r="C148" i="31"/>
  <c r="C150" i="31"/>
  <c r="C152" i="31"/>
  <c r="C154" i="31"/>
  <c r="C156" i="31"/>
  <c r="C158" i="31"/>
  <c r="C160" i="31"/>
  <c r="C162" i="31"/>
  <c r="C164" i="31"/>
  <c r="C166" i="31"/>
  <c r="C167" i="31"/>
  <c r="B142" i="31"/>
  <c r="B144" i="31"/>
  <c r="B146" i="31"/>
  <c r="B148" i="31"/>
  <c r="B150" i="31"/>
  <c r="B152" i="31"/>
  <c r="B154" i="31"/>
  <c r="B156" i="31"/>
  <c r="B158" i="31"/>
  <c r="B160" i="31"/>
  <c r="B162" i="31"/>
  <c r="B164" i="31"/>
  <c r="B166" i="31"/>
  <c r="B167" i="31"/>
  <c r="X137" i="31"/>
  <c r="W137" i="31"/>
  <c r="V137" i="31"/>
  <c r="U137" i="31"/>
  <c r="T137" i="31"/>
  <c r="R137" i="31"/>
  <c r="Q137" i="31"/>
  <c r="P137" i="31"/>
  <c r="O137" i="31"/>
  <c r="N137" i="31"/>
  <c r="L137" i="31"/>
  <c r="K137" i="31"/>
  <c r="J137" i="31"/>
  <c r="I137" i="31"/>
  <c r="H137" i="31"/>
  <c r="F123" i="31"/>
  <c r="F125" i="31"/>
  <c r="F127" i="31"/>
  <c r="F129" i="31"/>
  <c r="F130" i="31"/>
  <c r="F132" i="31"/>
  <c r="F134" i="31"/>
  <c r="F136" i="31"/>
  <c r="F137" i="31"/>
  <c r="E123" i="31"/>
  <c r="E125" i="31"/>
  <c r="E127" i="31"/>
  <c r="E129" i="31"/>
  <c r="E130" i="31"/>
  <c r="E132" i="31"/>
  <c r="E134" i="31"/>
  <c r="E136" i="31"/>
  <c r="E137" i="31"/>
  <c r="D123" i="31"/>
  <c r="D125" i="31"/>
  <c r="D127" i="31"/>
  <c r="D129" i="31"/>
  <c r="D130" i="31"/>
  <c r="D132" i="31"/>
  <c r="D134" i="31"/>
  <c r="D136" i="31"/>
  <c r="D137" i="31"/>
  <c r="C123" i="31"/>
  <c r="C125" i="31"/>
  <c r="C127" i="31"/>
  <c r="C129" i="31"/>
  <c r="C130" i="31"/>
  <c r="C132" i="31"/>
  <c r="C134" i="31"/>
  <c r="C136" i="31"/>
  <c r="C137" i="31"/>
  <c r="B123" i="31"/>
  <c r="B125" i="31"/>
  <c r="B127" i="31"/>
  <c r="B129" i="31"/>
  <c r="B130" i="31"/>
  <c r="B132" i="31"/>
  <c r="B134" i="31"/>
  <c r="B136" i="31"/>
  <c r="B137" i="31"/>
  <c r="X118" i="31"/>
  <c r="W118" i="31"/>
  <c r="V118" i="31"/>
  <c r="U118" i="31"/>
  <c r="T118" i="31"/>
  <c r="R118" i="31"/>
  <c r="Q118" i="31"/>
  <c r="P118" i="31"/>
  <c r="O118" i="31"/>
  <c r="N118" i="31"/>
  <c r="L118" i="31"/>
  <c r="K118" i="31"/>
  <c r="J118" i="31"/>
  <c r="I118" i="31"/>
  <c r="H118" i="31"/>
  <c r="F78" i="31"/>
  <c r="F79" i="31"/>
  <c r="F80" i="31"/>
  <c r="F81" i="31"/>
  <c r="F82" i="31"/>
  <c r="F84" i="31"/>
  <c r="F85" i="31"/>
  <c r="F86" i="31"/>
  <c r="F87" i="31"/>
  <c r="F88" i="31"/>
  <c r="F90" i="31"/>
  <c r="F91" i="31"/>
  <c r="F92" i="31"/>
  <c r="F93" i="31"/>
  <c r="F95" i="31"/>
  <c r="F96" i="31"/>
  <c r="F97" i="31"/>
  <c r="F98" i="31"/>
  <c r="F100" i="31"/>
  <c r="F101" i="31"/>
  <c r="F102" i="31"/>
  <c r="F103" i="31"/>
  <c r="F104" i="31"/>
  <c r="F106" i="31"/>
  <c r="F107" i="31"/>
  <c r="F108" i="31"/>
  <c r="F109" i="31"/>
  <c r="F110" i="31"/>
  <c r="F112" i="31"/>
  <c r="F113" i="31"/>
  <c r="F114" i="31"/>
  <c r="F115" i="31"/>
  <c r="F116" i="31"/>
  <c r="F117" i="31"/>
  <c r="F118" i="31"/>
  <c r="E78" i="31"/>
  <c r="E79" i="31"/>
  <c r="E80" i="31"/>
  <c r="E81" i="31"/>
  <c r="E82" i="31"/>
  <c r="E84" i="31"/>
  <c r="E85" i="31"/>
  <c r="E86" i="31"/>
  <c r="E87" i="31"/>
  <c r="E88" i="31"/>
  <c r="E90" i="31"/>
  <c r="E91" i="31"/>
  <c r="E92" i="31"/>
  <c r="E93" i="31"/>
  <c r="E95" i="31"/>
  <c r="E96" i="31"/>
  <c r="E97" i="31"/>
  <c r="E98" i="31"/>
  <c r="E100" i="31"/>
  <c r="E101" i="31"/>
  <c r="E102" i="31"/>
  <c r="E103" i="31"/>
  <c r="E104" i="31"/>
  <c r="E106" i="31"/>
  <c r="E107" i="31"/>
  <c r="E108" i="31"/>
  <c r="E109" i="31"/>
  <c r="E110" i="31"/>
  <c r="E112" i="31"/>
  <c r="E113" i="31"/>
  <c r="E114" i="31"/>
  <c r="E115" i="31"/>
  <c r="E116" i="31"/>
  <c r="E117" i="31"/>
  <c r="E118" i="31"/>
  <c r="D78" i="31"/>
  <c r="D79" i="31"/>
  <c r="D80" i="31"/>
  <c r="D81" i="31"/>
  <c r="D82" i="31"/>
  <c r="D84" i="31"/>
  <c r="D85" i="31"/>
  <c r="D86" i="31"/>
  <c r="D87" i="31"/>
  <c r="D88" i="31"/>
  <c r="D90" i="31"/>
  <c r="D91" i="31"/>
  <c r="D92" i="31"/>
  <c r="D93" i="31"/>
  <c r="D95" i="31"/>
  <c r="D96" i="31"/>
  <c r="D97" i="31"/>
  <c r="D98" i="31"/>
  <c r="D100" i="31"/>
  <c r="D101" i="31"/>
  <c r="D102" i="31"/>
  <c r="D103" i="31"/>
  <c r="D104" i="31"/>
  <c r="D106" i="31"/>
  <c r="D107" i="31"/>
  <c r="D108" i="31"/>
  <c r="D109" i="31"/>
  <c r="D110" i="31"/>
  <c r="D112" i="31"/>
  <c r="D113" i="31"/>
  <c r="D114" i="31"/>
  <c r="D115" i="31"/>
  <c r="D116" i="31"/>
  <c r="D117" i="31"/>
  <c r="D118" i="31"/>
  <c r="C78" i="31"/>
  <c r="C79" i="31"/>
  <c r="C80" i="31"/>
  <c r="C81" i="31"/>
  <c r="C82" i="31"/>
  <c r="C84" i="31"/>
  <c r="C85" i="31"/>
  <c r="C86" i="31"/>
  <c r="C87" i="31"/>
  <c r="C88" i="31"/>
  <c r="C90" i="31"/>
  <c r="C91" i="31"/>
  <c r="C92" i="31"/>
  <c r="C93" i="31"/>
  <c r="C95" i="31"/>
  <c r="C96" i="31"/>
  <c r="C97" i="31"/>
  <c r="C98" i="31"/>
  <c r="C100" i="31"/>
  <c r="C101" i="31"/>
  <c r="C102" i="31"/>
  <c r="C103" i="31"/>
  <c r="C104" i="31"/>
  <c r="C106" i="31"/>
  <c r="C107" i="31"/>
  <c r="C108" i="31"/>
  <c r="C109" i="31"/>
  <c r="C110" i="31"/>
  <c r="C112" i="31"/>
  <c r="C113" i="31"/>
  <c r="C114" i="31"/>
  <c r="C115" i="31"/>
  <c r="C116" i="31"/>
  <c r="C117" i="31"/>
  <c r="C118" i="31"/>
  <c r="B78" i="31"/>
  <c r="B79" i="31"/>
  <c r="B80" i="31"/>
  <c r="B81" i="31"/>
  <c r="B82" i="31"/>
  <c r="B84" i="31"/>
  <c r="B85" i="31"/>
  <c r="B86" i="31"/>
  <c r="B87" i="31"/>
  <c r="B88" i="31"/>
  <c r="B90" i="31"/>
  <c r="B91" i="31"/>
  <c r="B92" i="31"/>
  <c r="B93" i="31"/>
  <c r="B95" i="31"/>
  <c r="B96" i="31"/>
  <c r="B97" i="31"/>
  <c r="B98" i="31"/>
  <c r="B100" i="31"/>
  <c r="B101" i="31"/>
  <c r="B102" i="31"/>
  <c r="B103" i="31"/>
  <c r="B104" i="31"/>
  <c r="B106" i="31"/>
  <c r="B107" i="31"/>
  <c r="B108" i="31"/>
  <c r="B109" i="31"/>
  <c r="B110" i="31"/>
  <c r="B112" i="31"/>
  <c r="B113" i="31"/>
  <c r="B114" i="31"/>
  <c r="B115" i="31"/>
  <c r="B116" i="31"/>
  <c r="B117" i="31"/>
  <c r="B118" i="31"/>
  <c r="X74" i="31"/>
  <c r="W74" i="31"/>
  <c r="V74" i="31"/>
  <c r="U74" i="31"/>
  <c r="T74" i="31"/>
  <c r="R74" i="31"/>
  <c r="Q74" i="31"/>
  <c r="P74" i="31"/>
  <c r="O74" i="31"/>
  <c r="N74" i="31"/>
  <c r="L74" i="31"/>
  <c r="K74" i="31"/>
  <c r="J74" i="31"/>
  <c r="I74" i="31"/>
  <c r="H74" i="31"/>
  <c r="F46" i="31"/>
  <c r="F47" i="31"/>
  <c r="F48" i="31"/>
  <c r="F49" i="31"/>
  <c r="F51" i="31"/>
  <c r="F52" i="31"/>
  <c r="F53" i="31"/>
  <c r="F54" i="31"/>
  <c r="F55" i="31"/>
  <c r="F57" i="31"/>
  <c r="F58" i="31"/>
  <c r="F59" i="31"/>
  <c r="F60" i="31"/>
  <c r="F62" i="31"/>
  <c r="F63" i="31"/>
  <c r="F64" i="31"/>
  <c r="F65" i="31"/>
  <c r="F66" i="31"/>
  <c r="F67" i="31"/>
  <c r="F68" i="31"/>
  <c r="F69" i="31"/>
  <c r="F71" i="31"/>
  <c r="F72" i="31"/>
  <c r="F73" i="31"/>
  <c r="F74" i="31"/>
  <c r="E46" i="31"/>
  <c r="E47" i="31"/>
  <c r="E48" i="31"/>
  <c r="E49" i="31"/>
  <c r="E51" i="31"/>
  <c r="E52" i="31"/>
  <c r="E53" i="31"/>
  <c r="E54" i="31"/>
  <c r="E55" i="31"/>
  <c r="E57" i="31"/>
  <c r="E58" i="31"/>
  <c r="E59" i="31"/>
  <c r="E60" i="31"/>
  <c r="E62" i="31"/>
  <c r="E63" i="31"/>
  <c r="E64" i="31"/>
  <c r="E65" i="31"/>
  <c r="E66" i="31"/>
  <c r="E67" i="31"/>
  <c r="E68" i="31"/>
  <c r="E69" i="31"/>
  <c r="E71" i="31"/>
  <c r="E72" i="31"/>
  <c r="E73" i="31"/>
  <c r="E74" i="31"/>
  <c r="D46" i="31"/>
  <c r="D47" i="31"/>
  <c r="D48" i="31"/>
  <c r="D49" i="31"/>
  <c r="D51" i="31"/>
  <c r="D52" i="31"/>
  <c r="D53" i="31"/>
  <c r="D54" i="31"/>
  <c r="D55" i="31"/>
  <c r="D57" i="31"/>
  <c r="D58" i="31"/>
  <c r="D59" i="31"/>
  <c r="D60" i="31"/>
  <c r="D62" i="31"/>
  <c r="D63" i="31"/>
  <c r="D64" i="31"/>
  <c r="D65" i="31"/>
  <c r="D66" i="31"/>
  <c r="D67" i="31"/>
  <c r="D68" i="31"/>
  <c r="D69" i="31"/>
  <c r="D71" i="31"/>
  <c r="D72" i="31"/>
  <c r="D73" i="31"/>
  <c r="D74" i="31"/>
  <c r="C46" i="31"/>
  <c r="C47" i="31"/>
  <c r="C48" i="31"/>
  <c r="C49" i="31"/>
  <c r="C51" i="31"/>
  <c r="C52" i="31"/>
  <c r="C53" i="31"/>
  <c r="C54" i="31"/>
  <c r="C55" i="31"/>
  <c r="C57" i="31"/>
  <c r="C58" i="31"/>
  <c r="C59" i="31"/>
  <c r="C60" i="31"/>
  <c r="C62" i="31"/>
  <c r="C63" i="31"/>
  <c r="C64" i="31"/>
  <c r="C65" i="31"/>
  <c r="C66" i="31"/>
  <c r="C67" i="31"/>
  <c r="C68" i="31"/>
  <c r="C69" i="31"/>
  <c r="C71" i="31"/>
  <c r="C72" i="31"/>
  <c r="C73" i="31"/>
  <c r="C74" i="31"/>
  <c r="B46" i="31"/>
  <c r="B47" i="31"/>
  <c r="B48" i="31"/>
  <c r="B49" i="31"/>
  <c r="B51" i="31"/>
  <c r="B52" i="31"/>
  <c r="B53" i="31"/>
  <c r="B54" i="31"/>
  <c r="B55" i="31"/>
  <c r="B57" i="31"/>
  <c r="B58" i="31"/>
  <c r="B59" i="31"/>
  <c r="B60" i="31"/>
  <c r="B62" i="31"/>
  <c r="B63" i="31"/>
  <c r="B64" i="31"/>
  <c r="B65" i="31"/>
  <c r="B66" i="31"/>
  <c r="B67" i="31"/>
  <c r="B68" i="31"/>
  <c r="B69" i="31"/>
  <c r="B71" i="31"/>
  <c r="B72" i="31"/>
  <c r="B73" i="31"/>
  <c r="B74" i="31"/>
  <c r="X42" i="31"/>
  <c r="W42" i="31"/>
  <c r="V42" i="31"/>
  <c r="U42" i="31"/>
  <c r="T42" i="31"/>
  <c r="R42" i="31"/>
  <c r="Q42" i="31"/>
  <c r="P42" i="31"/>
  <c r="O42" i="31"/>
  <c r="N42" i="31"/>
  <c r="L42" i="31"/>
  <c r="K42" i="31"/>
  <c r="J42" i="31"/>
  <c r="I42" i="31"/>
  <c r="H42" i="31"/>
  <c r="F32" i="31"/>
  <c r="F33" i="31"/>
  <c r="F34" i="31"/>
  <c r="F35" i="31"/>
  <c r="F36" i="31"/>
  <c r="F37" i="31"/>
  <c r="F38" i="31"/>
  <c r="F39" i="31"/>
  <c r="F40" i="31"/>
  <c r="F41" i="31"/>
  <c r="F42" i="31"/>
  <c r="E32" i="31"/>
  <c r="E33" i="31"/>
  <c r="E34" i="31"/>
  <c r="E35" i="31"/>
  <c r="E36" i="31"/>
  <c r="E37" i="31"/>
  <c r="E38" i="31"/>
  <c r="E39" i="31"/>
  <c r="E40" i="31"/>
  <c r="E41" i="31"/>
  <c r="E42" i="31"/>
  <c r="D32" i="31"/>
  <c r="D33" i="31"/>
  <c r="D34" i="31"/>
  <c r="D35" i="31"/>
  <c r="D36" i="31"/>
  <c r="D37" i="31"/>
  <c r="D38" i="31"/>
  <c r="D39" i="31"/>
  <c r="D40" i="31"/>
  <c r="D41" i="31"/>
  <c r="D42" i="31"/>
  <c r="C32" i="31"/>
  <c r="C33" i="31"/>
  <c r="C34" i="31"/>
  <c r="C35" i="31"/>
  <c r="C36" i="31"/>
  <c r="C37" i="31"/>
  <c r="C38" i="31"/>
  <c r="C39" i="31"/>
  <c r="C40" i="31"/>
  <c r="C41" i="31"/>
  <c r="C42" i="31"/>
  <c r="B32" i="31"/>
  <c r="B33" i="31"/>
  <c r="B34" i="31"/>
  <c r="B35" i="31"/>
  <c r="B36" i="31"/>
  <c r="B37" i="31"/>
  <c r="B38" i="31"/>
  <c r="B39" i="31"/>
  <c r="B40" i="31"/>
  <c r="B41" i="31"/>
  <c r="B42" i="31"/>
  <c r="X5" i="31"/>
  <c r="X13" i="31"/>
  <c r="W5" i="31"/>
  <c r="W13" i="31"/>
  <c r="V5" i="31"/>
  <c r="V13" i="31"/>
  <c r="U5" i="31"/>
  <c r="U13" i="31"/>
  <c r="T5" i="31"/>
  <c r="T13" i="31"/>
  <c r="R5" i="31"/>
  <c r="R6" i="31"/>
  <c r="R7" i="31"/>
  <c r="R8" i="31"/>
  <c r="R9" i="31"/>
  <c r="R10" i="31"/>
  <c r="R11" i="31"/>
  <c r="R12" i="31"/>
  <c r="R13" i="31"/>
  <c r="Q5" i="31"/>
  <c r="Q6" i="31"/>
  <c r="Q7" i="31"/>
  <c r="Q8" i="31"/>
  <c r="Q9" i="31"/>
  <c r="Q10" i="31"/>
  <c r="Q11" i="31"/>
  <c r="Q12" i="31"/>
  <c r="Q13" i="31"/>
  <c r="P5" i="31"/>
  <c r="P6" i="31"/>
  <c r="P7" i="31"/>
  <c r="P8" i="31"/>
  <c r="P9" i="31"/>
  <c r="P10" i="31"/>
  <c r="P11" i="31"/>
  <c r="P12" i="31"/>
  <c r="P13" i="31"/>
  <c r="O5" i="31"/>
  <c r="O6" i="31"/>
  <c r="O7" i="31"/>
  <c r="O8" i="31"/>
  <c r="O9" i="31"/>
  <c r="O10" i="31"/>
  <c r="O11" i="31"/>
  <c r="O12" i="31"/>
  <c r="O13" i="31"/>
  <c r="N5" i="31"/>
  <c r="N6" i="31"/>
  <c r="N7" i="31"/>
  <c r="N8" i="31"/>
  <c r="N9" i="31"/>
  <c r="N10" i="31"/>
  <c r="N11" i="31"/>
  <c r="N12" i="31"/>
  <c r="N13" i="31"/>
  <c r="L5" i="31"/>
  <c r="L6" i="31"/>
  <c r="L7" i="31"/>
  <c r="L8" i="31"/>
  <c r="L9" i="31"/>
  <c r="L10" i="31"/>
  <c r="L11" i="31"/>
  <c r="L12" i="31"/>
  <c r="L13" i="31"/>
  <c r="K5" i="31"/>
  <c r="K6" i="31"/>
  <c r="K7" i="31"/>
  <c r="K8" i="31"/>
  <c r="K9" i="31"/>
  <c r="K10" i="31"/>
  <c r="K11" i="31"/>
  <c r="K12" i="31"/>
  <c r="K13" i="31"/>
  <c r="J5" i="31"/>
  <c r="J6" i="31"/>
  <c r="J7" i="31"/>
  <c r="J8" i="31"/>
  <c r="J9" i="31"/>
  <c r="J10" i="31"/>
  <c r="J11" i="31"/>
  <c r="J12" i="31"/>
  <c r="J13" i="31"/>
  <c r="I5" i="31"/>
  <c r="I6" i="31"/>
  <c r="I7" i="31"/>
  <c r="I8" i="31"/>
  <c r="I9" i="31"/>
  <c r="I10" i="31"/>
  <c r="I11" i="31"/>
  <c r="I12" i="31"/>
  <c r="I13" i="31"/>
  <c r="H5" i="31"/>
  <c r="H6" i="31"/>
  <c r="H7" i="31"/>
  <c r="H8" i="31"/>
  <c r="H9" i="31"/>
  <c r="H10" i="31"/>
  <c r="H11" i="31"/>
  <c r="H12" i="31"/>
  <c r="H13" i="31"/>
  <c r="F5" i="31"/>
  <c r="F6" i="31"/>
  <c r="F7" i="31"/>
  <c r="F8" i="31"/>
  <c r="F9" i="31"/>
  <c r="F10" i="31"/>
  <c r="F11" i="31"/>
  <c r="F12" i="31"/>
  <c r="F13" i="31"/>
  <c r="E5" i="31"/>
  <c r="E6" i="31"/>
  <c r="E7" i="31"/>
  <c r="E8" i="31"/>
  <c r="E9" i="31"/>
  <c r="E10" i="31"/>
  <c r="E11" i="31"/>
  <c r="E12" i="31"/>
  <c r="E13" i="31"/>
  <c r="D5" i="31"/>
  <c r="D6" i="31"/>
  <c r="D7" i="31"/>
  <c r="D8" i="31"/>
  <c r="D9" i="31"/>
  <c r="D10" i="31"/>
  <c r="D11" i="31"/>
  <c r="D12" i="31"/>
  <c r="D13" i="31"/>
  <c r="C5" i="31"/>
  <c r="C6" i="31"/>
  <c r="C7" i="31"/>
  <c r="C8" i="31"/>
  <c r="C9" i="31"/>
  <c r="C10" i="31"/>
  <c r="C11" i="31"/>
  <c r="C12" i="31"/>
  <c r="C13" i="31"/>
  <c r="B5" i="31"/>
  <c r="B6" i="31"/>
  <c r="B7" i="31"/>
  <c r="B8" i="31"/>
  <c r="B9" i="31"/>
  <c r="B10" i="31"/>
  <c r="B11" i="31"/>
  <c r="B12" i="31"/>
  <c r="B13" i="31"/>
  <c r="X12" i="31"/>
  <c r="W12" i="31"/>
  <c r="V12" i="31"/>
  <c r="U12" i="31"/>
  <c r="T12" i="31"/>
  <c r="X11" i="31"/>
  <c r="W11" i="31"/>
  <c r="V11" i="31"/>
  <c r="U11" i="31"/>
  <c r="T11" i="31"/>
  <c r="X10" i="31"/>
  <c r="W10" i="31"/>
  <c r="V10" i="31"/>
  <c r="U10" i="31"/>
  <c r="T10" i="31"/>
  <c r="X9" i="31"/>
  <c r="W9" i="31"/>
  <c r="V9" i="31"/>
  <c r="U9" i="31"/>
  <c r="T9" i="31"/>
  <c r="X8" i="31"/>
  <c r="W8" i="31"/>
  <c r="V8" i="31"/>
  <c r="U8" i="31"/>
  <c r="T8" i="31"/>
  <c r="X7" i="31"/>
  <c r="W7" i="31"/>
  <c r="V7" i="31"/>
  <c r="U7" i="31"/>
  <c r="T7" i="31"/>
  <c r="X6" i="31"/>
  <c r="W6" i="31"/>
  <c r="V6" i="31"/>
  <c r="U6" i="31"/>
  <c r="T6" i="31"/>
  <c r="A866" i="19"/>
  <c r="B866" i="19"/>
  <c r="A867" i="19"/>
  <c r="B867" i="19"/>
  <c r="A868" i="19"/>
  <c r="B868" i="19"/>
  <c r="A869" i="19"/>
  <c r="B869" i="19"/>
  <c r="A870" i="19"/>
  <c r="B870" i="19"/>
  <c r="A871" i="19"/>
  <c r="B871" i="19"/>
  <c r="A872" i="19"/>
  <c r="B872" i="19"/>
  <c r="A873" i="19"/>
  <c r="B873" i="19"/>
  <c r="A874" i="19"/>
  <c r="B874" i="19"/>
  <c r="A875" i="19"/>
  <c r="B875" i="19"/>
  <c r="A876" i="19"/>
  <c r="B876" i="19"/>
  <c r="A877" i="19"/>
  <c r="B877" i="19"/>
  <c r="A878" i="19"/>
  <c r="B878" i="19"/>
  <c r="A879" i="19"/>
  <c r="B879" i="19"/>
  <c r="A880" i="19"/>
  <c r="B880" i="19"/>
  <c r="A881" i="19"/>
  <c r="B881" i="19"/>
  <c r="A882" i="19"/>
  <c r="B882" i="19"/>
  <c r="A883" i="19"/>
  <c r="B883" i="19"/>
  <c r="A884" i="19"/>
  <c r="B884" i="19"/>
  <c r="A885" i="19"/>
  <c r="B885" i="19"/>
  <c r="A886" i="19"/>
  <c r="B886" i="19"/>
  <c r="A887" i="19"/>
  <c r="B887" i="19"/>
  <c r="A888" i="19"/>
  <c r="B888" i="19"/>
  <c r="A889" i="19"/>
  <c r="B889" i="19"/>
  <c r="A890" i="19"/>
  <c r="B890" i="19"/>
  <c r="A891" i="19"/>
  <c r="B891" i="19"/>
  <c r="A892" i="19"/>
  <c r="B892" i="19"/>
  <c r="A893" i="19"/>
  <c r="B893" i="19"/>
  <c r="A894" i="19"/>
  <c r="B894" i="19"/>
  <c r="A895" i="19"/>
  <c r="B895" i="19"/>
  <c r="A896" i="19"/>
  <c r="B896" i="19"/>
  <c r="A897" i="19"/>
  <c r="B897" i="19"/>
  <c r="A898" i="19"/>
  <c r="B898" i="19"/>
  <c r="A899" i="19"/>
  <c r="B899" i="19"/>
  <c r="A900" i="19"/>
  <c r="B900" i="19"/>
  <c r="A901" i="19"/>
  <c r="B901" i="19"/>
  <c r="A902" i="19"/>
  <c r="B902" i="19"/>
  <c r="A903" i="19"/>
  <c r="B903" i="19"/>
  <c r="A904" i="19"/>
  <c r="B904" i="19"/>
  <c r="A905" i="19"/>
  <c r="B905" i="19"/>
  <c r="A906" i="19"/>
  <c r="B906" i="19"/>
  <c r="A907" i="19"/>
  <c r="B907" i="19"/>
  <c r="A908" i="19"/>
  <c r="B908" i="19"/>
  <c r="A909" i="19"/>
  <c r="B909" i="19"/>
  <c r="A910" i="19"/>
  <c r="B910" i="19"/>
  <c r="A911" i="19"/>
  <c r="B911" i="19"/>
  <c r="A912" i="19"/>
  <c r="B912" i="19"/>
  <c r="A913" i="19"/>
  <c r="B913" i="19"/>
  <c r="A914" i="19"/>
  <c r="B914" i="19"/>
  <c r="A915" i="19"/>
  <c r="B915" i="19"/>
  <c r="A916" i="19"/>
  <c r="B916" i="19"/>
  <c r="A917" i="19"/>
  <c r="B917" i="19"/>
  <c r="A918" i="19"/>
  <c r="B918" i="19"/>
  <c r="A919" i="19"/>
  <c r="B919" i="19"/>
  <c r="A920" i="19"/>
  <c r="B920" i="19"/>
  <c r="A921" i="19"/>
  <c r="B921" i="19"/>
  <c r="A922" i="19"/>
  <c r="B922" i="19"/>
  <c r="A923" i="19"/>
  <c r="B923" i="19"/>
  <c r="A924" i="19"/>
  <c r="B924" i="19"/>
  <c r="A925" i="19"/>
  <c r="B925" i="19"/>
  <c r="A926" i="19"/>
  <c r="B926" i="19"/>
  <c r="A708" i="19"/>
  <c r="B708" i="19"/>
  <c r="A709" i="19"/>
  <c r="B709" i="19"/>
  <c r="A710" i="19"/>
  <c r="B710" i="19"/>
  <c r="A711" i="19"/>
  <c r="B711" i="19"/>
  <c r="A712" i="19"/>
  <c r="B712" i="19"/>
  <c r="A713" i="19"/>
  <c r="B713" i="19"/>
  <c r="A714" i="19"/>
  <c r="B714" i="19"/>
  <c r="A715" i="19"/>
  <c r="B715" i="19"/>
  <c r="A716" i="19"/>
  <c r="B716" i="19"/>
  <c r="A717" i="19"/>
  <c r="B717" i="19"/>
  <c r="A718" i="19"/>
  <c r="B718" i="19"/>
  <c r="A719" i="19"/>
  <c r="B719" i="19"/>
  <c r="A720" i="19"/>
  <c r="B720" i="19"/>
  <c r="A721" i="19"/>
  <c r="B721" i="19"/>
  <c r="A722" i="19"/>
  <c r="B722" i="19"/>
  <c r="A723" i="19"/>
  <c r="B723" i="19"/>
  <c r="A724" i="19"/>
  <c r="B724" i="19"/>
  <c r="A725" i="19"/>
  <c r="B725" i="19"/>
  <c r="A726" i="19"/>
  <c r="B726" i="19"/>
  <c r="A727" i="19"/>
  <c r="B727" i="19"/>
  <c r="A728" i="19"/>
  <c r="B728" i="19"/>
  <c r="A729" i="19"/>
  <c r="B729" i="19"/>
  <c r="A730" i="19"/>
  <c r="B730" i="19"/>
  <c r="A731" i="19"/>
  <c r="B731" i="19"/>
  <c r="A732" i="19"/>
  <c r="B732" i="19"/>
  <c r="A733" i="19"/>
  <c r="B733" i="19"/>
  <c r="A734" i="19"/>
  <c r="B734" i="19"/>
  <c r="A735" i="19"/>
  <c r="B735" i="19"/>
  <c r="A736" i="19"/>
  <c r="B736" i="19"/>
  <c r="A737" i="19"/>
  <c r="B737" i="19"/>
  <c r="A738" i="19"/>
  <c r="B738" i="19"/>
  <c r="A739" i="19"/>
  <c r="B739" i="19"/>
  <c r="A740" i="19"/>
  <c r="B740" i="19"/>
  <c r="A741" i="19"/>
  <c r="B741" i="19"/>
  <c r="A742" i="19"/>
  <c r="B742" i="19"/>
  <c r="A743" i="19"/>
  <c r="B743" i="19"/>
  <c r="A744" i="19"/>
  <c r="B744" i="19"/>
  <c r="A745" i="19"/>
  <c r="B745" i="19"/>
  <c r="A746" i="19"/>
  <c r="B746" i="19"/>
  <c r="A747" i="19"/>
  <c r="B747" i="19"/>
  <c r="A748" i="19"/>
  <c r="B748" i="19"/>
  <c r="A749" i="19"/>
  <c r="B749" i="19"/>
  <c r="A750" i="19"/>
  <c r="B750" i="19"/>
  <c r="A751" i="19"/>
  <c r="B751" i="19"/>
  <c r="A752" i="19"/>
  <c r="B752" i="19"/>
  <c r="A753" i="19"/>
  <c r="B753" i="19"/>
  <c r="A754" i="19"/>
  <c r="B754" i="19"/>
  <c r="A755" i="19"/>
  <c r="B755" i="19"/>
  <c r="A756" i="19"/>
  <c r="B756" i="19"/>
  <c r="A757" i="19"/>
  <c r="B757" i="19"/>
  <c r="A758" i="19"/>
  <c r="B758" i="19"/>
  <c r="A759" i="19"/>
  <c r="B759" i="19"/>
  <c r="A760" i="19"/>
  <c r="B760" i="19"/>
  <c r="A761" i="19"/>
  <c r="B761" i="19"/>
  <c r="A762" i="19"/>
  <c r="B762" i="19"/>
  <c r="A763" i="19"/>
  <c r="B763" i="19"/>
  <c r="A764" i="19"/>
  <c r="B764" i="19"/>
  <c r="A765" i="19"/>
  <c r="B765" i="19"/>
  <c r="A766" i="19"/>
  <c r="B766" i="19"/>
  <c r="A767" i="19"/>
  <c r="B767" i="19"/>
  <c r="A768" i="19"/>
  <c r="B768" i="19"/>
  <c r="A769" i="19"/>
  <c r="B769" i="19"/>
  <c r="A770" i="19"/>
  <c r="B770" i="19"/>
  <c r="A771" i="19"/>
  <c r="B771" i="19"/>
  <c r="A772" i="19"/>
  <c r="B772" i="19"/>
  <c r="A773" i="19"/>
  <c r="B773" i="19"/>
  <c r="A774" i="19"/>
  <c r="B774" i="19"/>
  <c r="A775" i="19"/>
  <c r="B775" i="19"/>
  <c r="A776" i="19"/>
  <c r="B776" i="19"/>
  <c r="A777" i="19"/>
  <c r="B777" i="19"/>
  <c r="A778" i="19"/>
  <c r="B778" i="19"/>
  <c r="A779" i="19"/>
  <c r="B779" i="19"/>
  <c r="A780" i="19"/>
  <c r="B780" i="19"/>
  <c r="A781" i="19"/>
  <c r="B781" i="19"/>
  <c r="A782" i="19"/>
  <c r="B782" i="19"/>
  <c r="A783" i="19"/>
  <c r="B783" i="19"/>
  <c r="A784" i="19"/>
  <c r="B784" i="19"/>
  <c r="A785" i="19"/>
  <c r="B785" i="19"/>
  <c r="A786" i="19"/>
  <c r="B786" i="19"/>
  <c r="A787" i="19"/>
  <c r="B787" i="19"/>
  <c r="A788" i="19"/>
  <c r="B788" i="19"/>
  <c r="A789" i="19"/>
  <c r="B789" i="19"/>
  <c r="A790" i="19"/>
  <c r="B790" i="19"/>
  <c r="A791" i="19"/>
  <c r="B791" i="19"/>
  <c r="A792" i="19"/>
  <c r="B792" i="19"/>
  <c r="A793" i="19"/>
  <c r="B793" i="19"/>
  <c r="A794" i="19"/>
  <c r="B794" i="19"/>
  <c r="A795" i="19"/>
  <c r="B795" i="19"/>
  <c r="A796" i="19"/>
  <c r="B796" i="19"/>
  <c r="A797" i="19"/>
  <c r="B797" i="19"/>
  <c r="A798" i="19"/>
  <c r="B798" i="19"/>
  <c r="A799" i="19"/>
  <c r="B799" i="19"/>
  <c r="A800" i="19"/>
  <c r="B800" i="19"/>
  <c r="A801" i="19"/>
  <c r="B801" i="19"/>
  <c r="A802" i="19"/>
  <c r="B802" i="19"/>
  <c r="A803" i="19"/>
  <c r="B803" i="19"/>
  <c r="A804" i="19"/>
  <c r="B804" i="19"/>
  <c r="A805" i="19"/>
  <c r="B805" i="19"/>
  <c r="A806" i="19"/>
  <c r="B806" i="19"/>
  <c r="A807" i="19"/>
  <c r="B807" i="19"/>
  <c r="A808" i="19"/>
  <c r="B808" i="19"/>
  <c r="A809" i="19"/>
  <c r="B809" i="19"/>
  <c r="A810" i="19"/>
  <c r="B810" i="19"/>
  <c r="A811" i="19"/>
  <c r="B811" i="19"/>
  <c r="A812" i="19"/>
  <c r="B812" i="19"/>
  <c r="A813" i="19"/>
  <c r="B813" i="19"/>
  <c r="A814" i="19"/>
  <c r="B814" i="19"/>
  <c r="A815" i="19"/>
  <c r="B815" i="19"/>
  <c r="A816" i="19"/>
  <c r="B816" i="19"/>
  <c r="A817" i="19"/>
  <c r="B817" i="19"/>
  <c r="A818" i="19"/>
  <c r="B818" i="19"/>
  <c r="A819" i="19"/>
  <c r="B819" i="19"/>
  <c r="A820" i="19"/>
  <c r="B820" i="19"/>
  <c r="A821" i="19"/>
  <c r="B821" i="19"/>
  <c r="A822" i="19"/>
  <c r="B822" i="19"/>
  <c r="A823" i="19"/>
  <c r="B823" i="19"/>
  <c r="A824" i="19"/>
  <c r="B824" i="19"/>
  <c r="A825" i="19"/>
  <c r="B825" i="19"/>
  <c r="A826" i="19"/>
  <c r="B826" i="19"/>
  <c r="A827" i="19"/>
  <c r="B827" i="19"/>
  <c r="A828" i="19"/>
  <c r="B828" i="19"/>
  <c r="A829" i="19"/>
  <c r="B829" i="19"/>
  <c r="A830" i="19"/>
  <c r="B830" i="19"/>
  <c r="A831" i="19"/>
  <c r="B831" i="19"/>
  <c r="A832" i="19"/>
  <c r="B832" i="19"/>
  <c r="A833" i="19"/>
  <c r="B833" i="19"/>
  <c r="A834" i="19"/>
  <c r="B834" i="19"/>
  <c r="A835" i="19"/>
  <c r="B835" i="19"/>
  <c r="A836" i="19"/>
  <c r="B836" i="19"/>
  <c r="A837" i="19"/>
  <c r="B837" i="19"/>
  <c r="A838" i="19"/>
  <c r="B838" i="19"/>
  <c r="A839" i="19"/>
  <c r="B839" i="19"/>
  <c r="A840" i="19"/>
  <c r="B840" i="19"/>
  <c r="A841" i="19"/>
  <c r="B841" i="19"/>
  <c r="A842" i="19"/>
  <c r="B842" i="19"/>
  <c r="A843" i="19"/>
  <c r="B843" i="19"/>
  <c r="A844" i="19"/>
  <c r="B844" i="19"/>
  <c r="A845" i="19"/>
  <c r="B845" i="19"/>
  <c r="A846" i="19"/>
  <c r="B846" i="19"/>
  <c r="A847" i="19"/>
  <c r="B847" i="19"/>
  <c r="A848" i="19"/>
  <c r="B848" i="19"/>
  <c r="A849" i="19"/>
  <c r="B849" i="19"/>
  <c r="A850" i="19"/>
  <c r="B850" i="19"/>
  <c r="A851" i="19"/>
  <c r="B851" i="19"/>
  <c r="A852" i="19"/>
  <c r="B852" i="19"/>
  <c r="A853" i="19"/>
  <c r="B853" i="19"/>
  <c r="A854" i="19"/>
  <c r="B854" i="19"/>
  <c r="A855" i="19"/>
  <c r="B855" i="19"/>
  <c r="A856" i="19"/>
  <c r="B856" i="19"/>
  <c r="A857" i="19"/>
  <c r="B857" i="19"/>
  <c r="A858" i="19"/>
  <c r="B858" i="19"/>
  <c r="A859" i="19"/>
  <c r="B859" i="19"/>
  <c r="A860" i="19"/>
  <c r="B860" i="19"/>
  <c r="A861" i="19"/>
  <c r="B861" i="19"/>
  <c r="A862" i="19"/>
  <c r="B862" i="19"/>
  <c r="A863" i="19"/>
  <c r="B863" i="19"/>
  <c r="A864" i="19"/>
  <c r="B864" i="19"/>
  <c r="A865" i="19"/>
  <c r="B865" i="19"/>
  <c r="A524" i="19"/>
  <c r="B524" i="19"/>
  <c r="A525" i="19"/>
  <c r="B525" i="19"/>
  <c r="A526" i="19"/>
  <c r="B526" i="19"/>
  <c r="A527" i="19"/>
  <c r="B527" i="19"/>
  <c r="A528" i="19"/>
  <c r="B528" i="19"/>
  <c r="A529" i="19"/>
  <c r="B529" i="19"/>
  <c r="A530" i="19"/>
  <c r="B530" i="19"/>
  <c r="A531" i="19"/>
  <c r="B531" i="19"/>
  <c r="A532" i="19"/>
  <c r="B532" i="19"/>
  <c r="A533" i="19"/>
  <c r="B533" i="19"/>
  <c r="A534" i="19"/>
  <c r="B534" i="19"/>
  <c r="A535" i="19"/>
  <c r="B535" i="19"/>
  <c r="A536" i="19"/>
  <c r="B536" i="19"/>
  <c r="A537" i="19"/>
  <c r="B537" i="19"/>
  <c r="A538" i="19"/>
  <c r="B538" i="19"/>
  <c r="A539" i="19"/>
  <c r="B539" i="19"/>
  <c r="A540" i="19"/>
  <c r="B540" i="19"/>
  <c r="A541" i="19"/>
  <c r="B541" i="19"/>
  <c r="A542" i="19"/>
  <c r="B542" i="19"/>
  <c r="A543" i="19"/>
  <c r="B543" i="19"/>
  <c r="A544" i="19"/>
  <c r="B544" i="19"/>
  <c r="A545" i="19"/>
  <c r="B545" i="19"/>
  <c r="A546" i="19"/>
  <c r="B546" i="19"/>
  <c r="A547" i="19"/>
  <c r="B547" i="19"/>
  <c r="A548" i="19"/>
  <c r="B548" i="19"/>
  <c r="A549" i="19"/>
  <c r="B549" i="19"/>
  <c r="A550" i="19"/>
  <c r="B550" i="19"/>
  <c r="A551" i="19"/>
  <c r="B551" i="19"/>
  <c r="A552" i="19"/>
  <c r="B552" i="19"/>
  <c r="A553" i="19"/>
  <c r="B553" i="19"/>
  <c r="A554" i="19"/>
  <c r="B554" i="19"/>
  <c r="A555" i="19"/>
  <c r="B555" i="19"/>
  <c r="A556" i="19"/>
  <c r="B556" i="19"/>
  <c r="A557" i="19"/>
  <c r="B557" i="19"/>
  <c r="A558" i="19"/>
  <c r="B558" i="19"/>
  <c r="A559" i="19"/>
  <c r="B559" i="19"/>
  <c r="A560" i="19"/>
  <c r="B560" i="19"/>
  <c r="A561" i="19"/>
  <c r="B561" i="19"/>
  <c r="A562" i="19"/>
  <c r="B562" i="19"/>
  <c r="A563" i="19"/>
  <c r="B563" i="19"/>
  <c r="A564" i="19"/>
  <c r="B564" i="19"/>
  <c r="A565" i="19"/>
  <c r="B565" i="19"/>
  <c r="A566" i="19"/>
  <c r="B566" i="19"/>
  <c r="A567" i="19"/>
  <c r="B567" i="19"/>
  <c r="A568" i="19"/>
  <c r="B568" i="19"/>
  <c r="A569" i="19"/>
  <c r="B569" i="19"/>
  <c r="A570" i="19"/>
  <c r="B570" i="19"/>
  <c r="A571" i="19"/>
  <c r="B571" i="19"/>
  <c r="A572" i="19"/>
  <c r="B572" i="19"/>
  <c r="A573" i="19"/>
  <c r="B573" i="19"/>
  <c r="A574" i="19"/>
  <c r="B574" i="19"/>
  <c r="A575" i="19"/>
  <c r="B575" i="19"/>
  <c r="A576" i="19"/>
  <c r="B576" i="19"/>
  <c r="A577" i="19"/>
  <c r="B577" i="19"/>
  <c r="A578" i="19"/>
  <c r="B578" i="19"/>
  <c r="A579" i="19"/>
  <c r="B579" i="19"/>
  <c r="A580" i="19"/>
  <c r="B580" i="19"/>
  <c r="A581" i="19"/>
  <c r="B581" i="19"/>
  <c r="A582" i="19"/>
  <c r="B582" i="19"/>
  <c r="A583" i="19"/>
  <c r="B583" i="19"/>
  <c r="A584" i="19"/>
  <c r="B584" i="19"/>
  <c r="A585" i="19"/>
  <c r="B585" i="19"/>
  <c r="A586" i="19"/>
  <c r="B586" i="19"/>
  <c r="A587" i="19"/>
  <c r="B587" i="19"/>
  <c r="A588" i="19"/>
  <c r="B588" i="19"/>
  <c r="A589" i="19"/>
  <c r="B589" i="19"/>
  <c r="A590" i="19"/>
  <c r="B590" i="19"/>
  <c r="A591" i="19"/>
  <c r="B591" i="19"/>
  <c r="A592" i="19"/>
  <c r="B592" i="19"/>
  <c r="A593" i="19"/>
  <c r="B593" i="19"/>
  <c r="A594" i="19"/>
  <c r="B594" i="19"/>
  <c r="A595" i="19"/>
  <c r="B595" i="19"/>
  <c r="A596" i="19"/>
  <c r="B596" i="19"/>
  <c r="A597" i="19"/>
  <c r="B597" i="19"/>
  <c r="A598" i="19"/>
  <c r="B598" i="19"/>
  <c r="A599" i="19"/>
  <c r="B599" i="19"/>
  <c r="A600" i="19"/>
  <c r="B600" i="19"/>
  <c r="A601" i="19"/>
  <c r="B601" i="19"/>
  <c r="A602" i="19"/>
  <c r="B602" i="19"/>
  <c r="A603" i="19"/>
  <c r="B603" i="19"/>
  <c r="A604" i="19"/>
  <c r="B604" i="19"/>
  <c r="A605" i="19"/>
  <c r="B605" i="19"/>
  <c r="A606" i="19"/>
  <c r="B606" i="19"/>
  <c r="A607" i="19"/>
  <c r="B607" i="19"/>
  <c r="A608" i="19"/>
  <c r="B608" i="19"/>
  <c r="A609" i="19"/>
  <c r="B609" i="19"/>
  <c r="A610" i="19"/>
  <c r="B610" i="19"/>
  <c r="A611" i="19"/>
  <c r="B611" i="19"/>
  <c r="A612" i="19"/>
  <c r="B612" i="19"/>
  <c r="A613" i="19"/>
  <c r="B613" i="19"/>
  <c r="A614" i="19"/>
  <c r="B614" i="19"/>
  <c r="A615" i="19"/>
  <c r="B615" i="19"/>
  <c r="A616" i="19"/>
  <c r="B616" i="19"/>
  <c r="A617" i="19"/>
  <c r="B617" i="19"/>
  <c r="A618" i="19"/>
  <c r="B618" i="19"/>
  <c r="A619" i="19"/>
  <c r="B619" i="19"/>
  <c r="A620" i="19"/>
  <c r="B620" i="19"/>
  <c r="A621" i="19"/>
  <c r="B621" i="19"/>
  <c r="A622" i="19"/>
  <c r="B622" i="19"/>
  <c r="A623" i="19"/>
  <c r="B623" i="19"/>
  <c r="A624" i="19"/>
  <c r="B624" i="19"/>
  <c r="A625" i="19"/>
  <c r="B625" i="19"/>
  <c r="A626" i="19"/>
  <c r="B626" i="19"/>
  <c r="A627" i="19"/>
  <c r="B627" i="19"/>
  <c r="A628" i="19"/>
  <c r="B628" i="19"/>
  <c r="A629" i="19"/>
  <c r="B629" i="19"/>
  <c r="A630" i="19"/>
  <c r="B630" i="19"/>
  <c r="A631" i="19"/>
  <c r="B631" i="19"/>
  <c r="A632" i="19"/>
  <c r="B632" i="19"/>
  <c r="A633" i="19"/>
  <c r="B633" i="19"/>
  <c r="A634" i="19"/>
  <c r="B634" i="19"/>
  <c r="A635" i="19"/>
  <c r="B635" i="19"/>
  <c r="A636" i="19"/>
  <c r="B636" i="19"/>
  <c r="A637" i="19"/>
  <c r="B637" i="19"/>
  <c r="A638" i="19"/>
  <c r="B638" i="19"/>
  <c r="A639" i="19"/>
  <c r="B639" i="19"/>
  <c r="A640" i="19"/>
  <c r="B640" i="19"/>
  <c r="A641" i="19"/>
  <c r="B641" i="19"/>
  <c r="A642" i="19"/>
  <c r="B642" i="19"/>
  <c r="A643" i="19"/>
  <c r="B643" i="19"/>
  <c r="A644" i="19"/>
  <c r="B644" i="19"/>
  <c r="A645" i="19"/>
  <c r="B645" i="19"/>
  <c r="A646" i="19"/>
  <c r="B646" i="19"/>
  <c r="A647" i="19"/>
  <c r="B647" i="19"/>
  <c r="A648" i="19"/>
  <c r="B648" i="19"/>
  <c r="A649" i="19"/>
  <c r="B649" i="19"/>
  <c r="A650" i="19"/>
  <c r="B650" i="19"/>
  <c r="A651" i="19"/>
  <c r="B651" i="19"/>
  <c r="A652" i="19"/>
  <c r="B652" i="19"/>
  <c r="A653" i="19"/>
  <c r="B653" i="19"/>
  <c r="A654" i="19"/>
  <c r="B654" i="19"/>
  <c r="A655" i="19"/>
  <c r="B655" i="19"/>
  <c r="A656" i="19"/>
  <c r="B656" i="19"/>
  <c r="A657" i="19"/>
  <c r="B657" i="19"/>
  <c r="A658" i="19"/>
  <c r="B658" i="19"/>
  <c r="A659" i="19"/>
  <c r="B659" i="19"/>
  <c r="A660" i="19"/>
  <c r="B660" i="19"/>
  <c r="A661" i="19"/>
  <c r="B661" i="19"/>
  <c r="A662" i="19"/>
  <c r="B662" i="19"/>
  <c r="A663" i="19"/>
  <c r="B663" i="19"/>
  <c r="A664" i="19"/>
  <c r="B664" i="19"/>
  <c r="A665" i="19"/>
  <c r="B665" i="19"/>
  <c r="A666" i="19"/>
  <c r="B666" i="19"/>
  <c r="A667" i="19"/>
  <c r="B667" i="19"/>
  <c r="A668" i="19"/>
  <c r="B668" i="19"/>
  <c r="A669" i="19"/>
  <c r="B669" i="19"/>
  <c r="A670" i="19"/>
  <c r="B670" i="19"/>
  <c r="A671" i="19"/>
  <c r="B671" i="19"/>
  <c r="A672" i="19"/>
  <c r="B672" i="19"/>
  <c r="A673" i="19"/>
  <c r="B673" i="19"/>
  <c r="A674" i="19"/>
  <c r="B674" i="19"/>
  <c r="A675" i="19"/>
  <c r="B675" i="19"/>
  <c r="A676" i="19"/>
  <c r="B676" i="19"/>
  <c r="A677" i="19"/>
  <c r="B677" i="19"/>
  <c r="A678" i="19"/>
  <c r="B678" i="19"/>
  <c r="A679" i="19"/>
  <c r="B679" i="19"/>
  <c r="A680" i="19"/>
  <c r="B680" i="19"/>
  <c r="A681" i="19"/>
  <c r="B681" i="19"/>
  <c r="A682" i="19"/>
  <c r="B682" i="19"/>
  <c r="A683" i="19"/>
  <c r="B683" i="19"/>
  <c r="A684" i="19"/>
  <c r="B684" i="19"/>
  <c r="A685" i="19"/>
  <c r="B685" i="19"/>
  <c r="A686" i="19"/>
  <c r="B686" i="19"/>
  <c r="A687" i="19"/>
  <c r="B687" i="19"/>
  <c r="A688" i="19"/>
  <c r="B688" i="19"/>
  <c r="A689" i="19"/>
  <c r="B689" i="19"/>
  <c r="A690" i="19"/>
  <c r="B690" i="19"/>
  <c r="A691" i="19"/>
  <c r="B691" i="19"/>
  <c r="A692" i="19"/>
  <c r="B692" i="19"/>
  <c r="A693" i="19"/>
  <c r="B693" i="19"/>
  <c r="A694" i="19"/>
  <c r="B694" i="19"/>
  <c r="A695" i="19"/>
  <c r="B695" i="19"/>
  <c r="A696" i="19"/>
  <c r="B696" i="19"/>
  <c r="A697" i="19"/>
  <c r="B697" i="19"/>
  <c r="A698" i="19"/>
  <c r="B698" i="19"/>
  <c r="A699" i="19"/>
  <c r="B699" i="19"/>
  <c r="A700" i="19"/>
  <c r="B700" i="19"/>
  <c r="A701" i="19"/>
  <c r="B701" i="19"/>
  <c r="A702" i="19"/>
  <c r="B702" i="19"/>
  <c r="A703" i="19"/>
  <c r="B703" i="19"/>
  <c r="A704" i="19"/>
  <c r="B704" i="19"/>
  <c r="A705" i="19"/>
  <c r="B705" i="19"/>
  <c r="A706" i="19"/>
  <c r="B706" i="19"/>
  <c r="A707" i="19"/>
  <c r="B707" i="19"/>
  <c r="B523" i="19"/>
  <c r="A523" i="19"/>
  <c r="F109" i="28"/>
  <c r="F110" i="28"/>
  <c r="F111" i="28"/>
  <c r="F112" i="28"/>
  <c r="F113" i="28"/>
  <c r="F114" i="28"/>
  <c r="F115" i="28"/>
  <c r="F116" i="28"/>
  <c r="F117" i="28"/>
  <c r="F118" i="28"/>
  <c r="F119" i="28"/>
  <c r="F120" i="28"/>
  <c r="F121" i="28"/>
  <c r="F122" i="28"/>
  <c r="F123" i="28"/>
  <c r="F124" i="28"/>
  <c r="F125" i="28"/>
  <c r="F126" i="28"/>
  <c r="F127" i="28"/>
  <c r="F128" i="28"/>
  <c r="F129" i="28"/>
  <c r="F130" i="28"/>
  <c r="F131" i="28"/>
  <c r="F132" i="28"/>
  <c r="F133" i="28"/>
  <c r="F134" i="28"/>
  <c r="F135" i="28"/>
  <c r="F136" i="28"/>
  <c r="F137" i="28"/>
  <c r="F138" i="28"/>
  <c r="F139" i="28"/>
  <c r="F140" i="28"/>
  <c r="F141" i="28"/>
  <c r="F142" i="28"/>
  <c r="F143" i="28"/>
  <c r="F144" i="28"/>
  <c r="F145" i="28"/>
  <c r="F146" i="28"/>
  <c r="F147" i="28"/>
  <c r="F148" i="28"/>
  <c r="F149" i="28"/>
  <c r="F150" i="28"/>
  <c r="F151" i="28"/>
  <c r="F152" i="28"/>
  <c r="F153" i="28"/>
  <c r="F154" i="28"/>
  <c r="F155" i="28"/>
  <c r="F156" i="28"/>
  <c r="F157" i="28"/>
  <c r="F158" i="28"/>
  <c r="F159" i="28"/>
  <c r="F160" i="28"/>
  <c r="F161" i="28"/>
  <c r="F162" i="28"/>
  <c r="F163" i="28"/>
  <c r="F164" i="28"/>
  <c r="F165" i="28"/>
  <c r="F166" i="28"/>
  <c r="F167" i="28"/>
  <c r="F168" i="28"/>
  <c r="F169" i="28"/>
  <c r="F170" i="28"/>
  <c r="F171" i="28"/>
  <c r="F172" i="28"/>
  <c r="F173" i="28"/>
  <c r="F174" i="28"/>
  <c r="F175" i="28"/>
  <c r="F176" i="28"/>
  <c r="F177" i="28"/>
  <c r="F178" i="28"/>
  <c r="F179" i="28"/>
  <c r="F180" i="28"/>
  <c r="F181" i="28"/>
  <c r="F182" i="28"/>
  <c r="F183" i="28"/>
  <c r="F184" i="28"/>
  <c r="F185" i="28"/>
  <c r="F186" i="28"/>
  <c r="F187" i="28"/>
  <c r="F188" i="28"/>
  <c r="F189" i="28"/>
  <c r="F190" i="28"/>
  <c r="F191" i="28"/>
  <c r="F192" i="28"/>
  <c r="F193" i="28"/>
  <c r="F194" i="28"/>
  <c r="F195" i="28"/>
  <c r="F196" i="28"/>
  <c r="F197" i="28"/>
  <c r="F198" i="28"/>
  <c r="F199" i="28"/>
  <c r="F200" i="28"/>
  <c r="F201" i="28"/>
  <c r="F202" i="28"/>
  <c r="F203" i="28"/>
  <c r="F204" i="28"/>
  <c r="F205" i="28"/>
  <c r="F206" i="28"/>
  <c r="F207" i="28"/>
  <c r="F208" i="28"/>
  <c r="F209" i="28"/>
  <c r="F210" i="28"/>
  <c r="F211" i="28"/>
  <c r="F212" i="28"/>
  <c r="F213" i="28"/>
  <c r="F214" i="28"/>
  <c r="F215" i="28"/>
  <c r="F216" i="28"/>
  <c r="F217" i="28"/>
  <c r="F218" i="28"/>
  <c r="F219" i="28"/>
  <c r="F220" i="28"/>
  <c r="F221" i="28"/>
  <c r="F222" i="28"/>
  <c r="F223" i="28"/>
  <c r="F224" i="28"/>
  <c r="F225" i="28"/>
  <c r="F226" i="28"/>
  <c r="F227" i="28"/>
  <c r="F228" i="28"/>
  <c r="F229" i="28"/>
  <c r="F230" i="28"/>
  <c r="F231" i="28"/>
  <c r="F232" i="28"/>
  <c r="F233" i="28"/>
  <c r="F234" i="28"/>
  <c r="F235" i="28"/>
  <c r="F236" i="28"/>
  <c r="F237" i="28"/>
  <c r="F238" i="28"/>
  <c r="F239" i="28"/>
  <c r="F240" i="28"/>
  <c r="F241" i="28"/>
  <c r="F242" i="28"/>
  <c r="F243" i="28"/>
  <c r="F244" i="28"/>
  <c r="F245" i="28"/>
  <c r="F246" i="28"/>
  <c r="F247" i="28"/>
  <c r="F248" i="28"/>
  <c r="F249" i="28"/>
  <c r="F250" i="28"/>
  <c r="F251" i="28"/>
  <c r="F252" i="28"/>
  <c r="F253" i="28"/>
  <c r="F254" i="28"/>
  <c r="F255" i="28"/>
  <c r="F256" i="28"/>
  <c r="F257" i="28"/>
  <c r="F258" i="28"/>
  <c r="F259" i="28"/>
  <c r="F260" i="28"/>
  <c r="F261" i="28"/>
  <c r="F262" i="28"/>
  <c r="F263" i="28"/>
  <c r="F264" i="28"/>
  <c r="F265" i="28"/>
  <c r="F266" i="28"/>
  <c r="F267" i="28"/>
  <c r="F268" i="28"/>
  <c r="F269" i="28"/>
  <c r="F270" i="28"/>
  <c r="F271" i="28"/>
  <c r="F272" i="28"/>
  <c r="F273" i="28"/>
  <c r="F274" i="28"/>
  <c r="F275" i="28"/>
  <c r="F276" i="28"/>
  <c r="F277" i="28"/>
  <c r="F278" i="28"/>
  <c r="F279" i="28"/>
  <c r="F280" i="28"/>
  <c r="F281" i="28"/>
  <c r="F282" i="28"/>
  <c r="F283" i="28"/>
  <c r="F284" i="28"/>
  <c r="F285" i="28"/>
  <c r="F286" i="28"/>
  <c r="F287" i="28"/>
  <c r="F288" i="28"/>
  <c r="F289" i="28"/>
  <c r="F290" i="28"/>
  <c r="F291" i="28"/>
  <c r="F292" i="28"/>
  <c r="F293" i="28"/>
  <c r="F294" i="28"/>
  <c r="F295" i="28"/>
  <c r="F296" i="28"/>
  <c r="F297" i="28"/>
  <c r="F298" i="28"/>
  <c r="F299" i="28"/>
  <c r="F300" i="28"/>
  <c r="F301" i="28"/>
  <c r="F302" i="28"/>
  <c r="F303" i="28"/>
  <c r="F304" i="28"/>
  <c r="F305" i="28"/>
  <c r="F306" i="28"/>
  <c r="F307" i="28"/>
  <c r="F308" i="28"/>
  <c r="F309" i="28"/>
  <c r="F310" i="28"/>
  <c r="F311" i="28"/>
  <c r="F312" i="28"/>
  <c r="F313" i="28"/>
  <c r="F314" i="28"/>
  <c r="F315" i="28"/>
  <c r="F316" i="28"/>
  <c r="F317" i="28"/>
  <c r="F318" i="28"/>
  <c r="F319" i="28"/>
  <c r="F320" i="28"/>
  <c r="F321" i="28"/>
  <c r="F322" i="28"/>
  <c r="F323" i="28"/>
  <c r="F324" i="28"/>
  <c r="F325" i="28"/>
  <c r="F326" i="28"/>
  <c r="F327" i="28"/>
  <c r="F328" i="28"/>
  <c r="F329" i="28"/>
  <c r="F330" i="28"/>
  <c r="F331" i="28"/>
  <c r="F332" i="28"/>
  <c r="F333" i="28"/>
  <c r="F334" i="28"/>
  <c r="F335" i="28"/>
  <c r="F336" i="28"/>
  <c r="F337" i="28"/>
  <c r="F338" i="28"/>
  <c r="F339" i="28"/>
  <c r="F340" i="28"/>
  <c r="F341" i="28"/>
  <c r="F342" i="28"/>
  <c r="F343" i="28"/>
  <c r="F344" i="28"/>
  <c r="F345" i="28"/>
  <c r="F346" i="28"/>
  <c r="F347" i="28"/>
  <c r="F348" i="28"/>
  <c r="F349" i="28"/>
  <c r="F350" i="28"/>
  <c r="F351" i="28"/>
  <c r="F352" i="28"/>
  <c r="F353" i="28"/>
  <c r="F354" i="28"/>
  <c r="F355" i="28"/>
  <c r="F356" i="28"/>
  <c r="F357" i="28"/>
  <c r="F358" i="28"/>
  <c r="F359" i="28"/>
  <c r="F360" i="28"/>
  <c r="F361" i="28"/>
  <c r="F362" i="28"/>
  <c r="F363" i="28"/>
  <c r="F364" i="28"/>
  <c r="F365" i="28"/>
  <c r="F366" i="28"/>
  <c r="F367" i="28"/>
  <c r="F368" i="28"/>
  <c r="F369" i="28"/>
  <c r="F370" i="28"/>
  <c r="F371" i="28"/>
  <c r="F372" i="28"/>
  <c r="F373" i="28"/>
  <c r="F374" i="28"/>
  <c r="F375" i="28"/>
  <c r="F376" i="28"/>
  <c r="F377" i="28"/>
  <c r="F378" i="28"/>
  <c r="F379" i="28"/>
  <c r="F380" i="28"/>
  <c r="F381" i="28"/>
  <c r="F382" i="28"/>
  <c r="F383" i="28"/>
  <c r="F384" i="28"/>
  <c r="F385" i="28"/>
  <c r="F386" i="28"/>
  <c r="F387" i="28"/>
  <c r="F388" i="28"/>
  <c r="F389" i="28"/>
  <c r="F390" i="28"/>
  <c r="F391" i="28"/>
  <c r="F392" i="28"/>
  <c r="F393" i="28"/>
  <c r="F394" i="28"/>
  <c r="F395" i="28"/>
  <c r="F396" i="28"/>
  <c r="F397" i="28"/>
  <c r="F398" i="28"/>
  <c r="F399" i="28"/>
  <c r="F400" i="28"/>
  <c r="F401" i="28"/>
  <c r="F402" i="28"/>
  <c r="F403" i="28"/>
  <c r="F404" i="28"/>
  <c r="F405" i="28"/>
  <c r="F406" i="28"/>
  <c r="F407" i="28"/>
  <c r="F408" i="28"/>
  <c r="F409" i="28"/>
  <c r="F410" i="28"/>
  <c r="F411" i="28"/>
  <c r="F412" i="28"/>
  <c r="F413" i="28"/>
  <c r="F414" i="28"/>
  <c r="F415" i="28"/>
  <c r="F416" i="28"/>
  <c r="F417" i="28"/>
  <c r="F418" i="28"/>
  <c r="F419" i="28"/>
  <c r="F420" i="28"/>
  <c r="F421" i="28"/>
  <c r="F422" i="28"/>
  <c r="F423" i="28"/>
  <c r="F424" i="28"/>
  <c r="F425" i="28"/>
  <c r="F426" i="28"/>
  <c r="F427" i="28"/>
  <c r="F428" i="28"/>
  <c r="F429" i="28"/>
  <c r="F430" i="28"/>
  <c r="F431" i="28"/>
  <c r="F432" i="28"/>
  <c r="F433" i="28"/>
  <c r="F434" i="28"/>
  <c r="F435" i="28"/>
  <c r="F436" i="28"/>
  <c r="F437" i="28"/>
  <c r="F438" i="28"/>
  <c r="F439" i="28"/>
  <c r="F440" i="28"/>
  <c r="F441" i="28"/>
  <c r="F442" i="28"/>
  <c r="F443" i="28"/>
  <c r="F444" i="28"/>
  <c r="F445" i="28"/>
  <c r="F446" i="28"/>
  <c r="F447" i="28"/>
  <c r="F448" i="28"/>
  <c r="F449" i="28"/>
  <c r="F450" i="28"/>
  <c r="F451" i="28"/>
  <c r="F452" i="28"/>
  <c r="F453" i="28"/>
  <c r="F454" i="28"/>
  <c r="F455" i="28"/>
  <c r="F456" i="28"/>
  <c r="F457" i="28"/>
  <c r="F458" i="28"/>
  <c r="F459" i="28"/>
  <c r="F460" i="28"/>
  <c r="F461" i="28"/>
  <c r="F462" i="28"/>
  <c r="F463" i="28"/>
  <c r="F464" i="28"/>
  <c r="F465" i="28"/>
  <c r="F466" i="28"/>
  <c r="F467" i="28"/>
  <c r="F468" i="28"/>
  <c r="F469" i="28"/>
  <c r="F470" i="28"/>
  <c r="F471" i="28"/>
  <c r="F472" i="28"/>
  <c r="F473" i="28"/>
  <c r="F474" i="28"/>
  <c r="F475" i="28"/>
  <c r="F476" i="28"/>
  <c r="F477" i="28"/>
  <c r="F478" i="28"/>
  <c r="F479" i="28"/>
  <c r="F480" i="28"/>
  <c r="F481" i="28"/>
  <c r="F482" i="28"/>
  <c r="F483" i="28"/>
  <c r="F484" i="28"/>
  <c r="F485" i="28"/>
  <c r="F486" i="28"/>
  <c r="F487" i="28"/>
  <c r="F488" i="28"/>
  <c r="F489" i="28"/>
  <c r="F490" i="28"/>
  <c r="F491" i="28"/>
  <c r="F492" i="28"/>
  <c r="F493" i="28"/>
  <c r="F494" i="28"/>
  <c r="F495" i="28"/>
  <c r="F496" i="28"/>
  <c r="F497" i="28"/>
  <c r="F498" i="28"/>
  <c r="F499" i="28"/>
  <c r="F500" i="28"/>
  <c r="F501" i="28"/>
  <c r="F502" i="28"/>
  <c r="F503" i="28"/>
  <c r="F504" i="28"/>
  <c r="F505" i="28"/>
  <c r="F506" i="28"/>
  <c r="F507" i="28"/>
  <c r="F508" i="28"/>
  <c r="F509" i="28"/>
  <c r="F510" i="28"/>
  <c r="F511" i="28"/>
  <c r="F512" i="28"/>
  <c r="F513" i="28"/>
  <c r="F514" i="28"/>
  <c r="F515" i="28"/>
  <c r="F516" i="28"/>
  <c r="F517" i="28"/>
  <c r="F518" i="28"/>
  <c r="F519" i="28"/>
  <c r="F520" i="28"/>
  <c r="F521" i="28"/>
  <c r="F522" i="28"/>
  <c r="F523" i="28"/>
  <c r="F524" i="28"/>
  <c r="F525" i="28"/>
  <c r="F526" i="28"/>
  <c r="F527" i="28"/>
  <c r="F528" i="28"/>
  <c r="F108" i="28"/>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2" i="1"/>
  <c r="D3" i="28"/>
  <c r="D4" i="28"/>
  <c r="D5" i="28"/>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2" i="28"/>
  <c r="C31" i="28"/>
  <c r="E31" i="28"/>
  <c r="E31" i="6"/>
  <c r="F31" i="6"/>
  <c r="E32" i="6"/>
  <c r="F32" i="6"/>
  <c r="E33" i="6"/>
  <c r="F33" i="6"/>
  <c r="E34" i="6"/>
  <c r="F34" i="6"/>
  <c r="E35" i="6"/>
  <c r="F35" i="6"/>
  <c r="E36" i="6"/>
  <c r="F36" i="6"/>
  <c r="E37" i="6"/>
  <c r="F37" i="6"/>
  <c r="E38" i="6"/>
  <c r="F38" i="6"/>
  <c r="E39" i="6"/>
  <c r="F39" i="6"/>
  <c r="E40" i="6"/>
  <c r="F40" i="6"/>
  <c r="E41" i="6"/>
  <c r="F41" i="6"/>
  <c r="E42" i="6"/>
  <c r="F42" i="6"/>
  <c r="E43" i="6"/>
  <c r="F43" i="6"/>
  <c r="E44" i="6"/>
  <c r="F44" i="6"/>
  <c r="E45" i="6"/>
  <c r="F45" i="6"/>
  <c r="E46" i="6"/>
  <c r="F46" i="6"/>
  <c r="E47" i="6"/>
  <c r="F47" i="6"/>
  <c r="E48" i="6"/>
  <c r="F48" i="6"/>
  <c r="E49" i="6"/>
  <c r="F49" i="6"/>
  <c r="E50" i="6"/>
  <c r="F50" i="6"/>
  <c r="E51" i="6"/>
  <c r="F51" i="6"/>
  <c r="E52" i="6"/>
  <c r="F52" i="6"/>
  <c r="E53" i="6"/>
  <c r="F53" i="6"/>
  <c r="E54" i="6"/>
  <c r="F54" i="6"/>
  <c r="E55" i="6"/>
  <c r="F55" i="6"/>
  <c r="E56" i="6"/>
  <c r="F56" i="6"/>
  <c r="E57" i="6"/>
  <c r="F57" i="6"/>
  <c r="E58" i="6"/>
  <c r="F58" i="6"/>
  <c r="E59" i="6"/>
  <c r="F59" i="6"/>
  <c r="E60" i="6"/>
  <c r="F60" i="6"/>
  <c r="E61" i="6"/>
  <c r="F61" i="6"/>
  <c r="E62" i="6"/>
  <c r="F62" i="6"/>
  <c r="E63" i="6"/>
  <c r="F63" i="6"/>
  <c r="E64" i="6"/>
  <c r="F64" i="6"/>
  <c r="E65" i="6"/>
  <c r="F65" i="6"/>
  <c r="E66" i="6"/>
  <c r="F66" i="6"/>
  <c r="E67" i="6"/>
  <c r="F67" i="6"/>
  <c r="E68" i="6"/>
  <c r="F68" i="6"/>
  <c r="E69" i="6"/>
  <c r="F69" i="6"/>
  <c r="E70" i="6"/>
  <c r="F70" i="6"/>
  <c r="E71" i="6"/>
  <c r="F71" i="6"/>
  <c r="E72" i="6"/>
  <c r="F72" i="6"/>
  <c r="E73" i="6"/>
  <c r="F73" i="6"/>
  <c r="E74" i="6"/>
  <c r="F74" i="6"/>
  <c r="E75" i="6"/>
  <c r="F75" i="6"/>
  <c r="E76" i="6"/>
  <c r="F76" i="6"/>
  <c r="E77" i="6"/>
  <c r="F77" i="6"/>
  <c r="E78" i="6"/>
  <c r="F78" i="6"/>
  <c r="E79" i="6"/>
  <c r="F79" i="6"/>
  <c r="E80" i="6"/>
  <c r="F80" i="6"/>
  <c r="E81" i="6"/>
  <c r="F81" i="6"/>
  <c r="E82" i="6"/>
  <c r="F82" i="6"/>
  <c r="E83" i="6"/>
  <c r="F83" i="6"/>
  <c r="E84" i="6"/>
  <c r="F84" i="6"/>
  <c r="E85" i="6"/>
  <c r="F85" i="6"/>
  <c r="E86" i="6"/>
  <c r="F86" i="6"/>
  <c r="E87" i="6"/>
  <c r="F87" i="6"/>
  <c r="E88" i="6"/>
  <c r="F88" i="6"/>
  <c r="E89" i="6"/>
  <c r="F89" i="6"/>
  <c r="E90" i="6"/>
  <c r="F90" i="6"/>
  <c r="E91" i="6"/>
  <c r="F91" i="6"/>
  <c r="E92" i="6"/>
  <c r="F92" i="6"/>
  <c r="E93" i="6"/>
  <c r="F93" i="6"/>
  <c r="E94" i="6"/>
  <c r="F94" i="6"/>
  <c r="E95" i="6"/>
  <c r="F95" i="6"/>
  <c r="E96" i="6"/>
  <c r="F96" i="6"/>
  <c r="E97" i="6"/>
  <c r="F97" i="6"/>
  <c r="E98" i="6"/>
  <c r="F98" i="6"/>
  <c r="E99" i="6"/>
  <c r="F99" i="6"/>
  <c r="E100" i="6"/>
  <c r="F100" i="6"/>
  <c r="E101" i="6"/>
  <c r="F101" i="6"/>
  <c r="E102" i="6"/>
  <c r="F102" i="6"/>
  <c r="E103" i="6"/>
  <c r="F103" i="6"/>
  <c r="E104" i="6"/>
  <c r="F104" i="6"/>
  <c r="E105" i="6"/>
  <c r="F105" i="6"/>
  <c r="E106" i="6"/>
  <c r="F106" i="6"/>
  <c r="E107" i="6"/>
  <c r="F107" i="6"/>
  <c r="E108" i="6"/>
  <c r="F108" i="6"/>
  <c r="E109" i="6"/>
  <c r="F109" i="6"/>
  <c r="E110" i="6"/>
  <c r="F110" i="6"/>
  <c r="E111" i="6"/>
  <c r="F111" i="6"/>
  <c r="E112" i="6"/>
  <c r="F112" i="6"/>
  <c r="E113" i="6"/>
  <c r="F113" i="6"/>
  <c r="E114" i="6"/>
  <c r="F114" i="6"/>
  <c r="E115" i="6"/>
  <c r="F115" i="6"/>
  <c r="E116" i="6"/>
  <c r="F116" i="6"/>
  <c r="E117" i="6"/>
  <c r="F117" i="6"/>
  <c r="E118" i="6"/>
  <c r="F118" i="6"/>
  <c r="E119" i="6"/>
  <c r="F119" i="6"/>
  <c r="E120" i="6"/>
  <c r="F120" i="6"/>
  <c r="E121" i="6"/>
  <c r="F121" i="6"/>
  <c r="E122" i="6"/>
  <c r="F122" i="6"/>
  <c r="E123" i="6"/>
  <c r="F123" i="6"/>
  <c r="E124" i="6"/>
  <c r="F124" i="6"/>
  <c r="E125" i="6"/>
  <c r="F125" i="6"/>
  <c r="E126" i="6"/>
  <c r="F126" i="6"/>
  <c r="E127" i="6"/>
  <c r="F127" i="6"/>
  <c r="E128" i="6"/>
  <c r="F128" i="6"/>
  <c r="E129" i="6"/>
  <c r="F129" i="6"/>
  <c r="E130" i="6"/>
  <c r="F130" i="6"/>
  <c r="E131" i="6"/>
  <c r="F131" i="6"/>
  <c r="E132" i="6"/>
  <c r="F132" i="6"/>
  <c r="E133" i="6"/>
  <c r="F133" i="6"/>
  <c r="E134" i="6"/>
  <c r="F134" i="6"/>
  <c r="E135" i="6"/>
  <c r="F135" i="6"/>
  <c r="E136" i="6"/>
  <c r="F136" i="6"/>
  <c r="E137" i="6"/>
  <c r="F137" i="6"/>
  <c r="E138" i="6"/>
  <c r="F138" i="6"/>
  <c r="E139" i="6"/>
  <c r="F139" i="6"/>
  <c r="E140" i="6"/>
  <c r="F140" i="6"/>
  <c r="E141" i="6"/>
  <c r="F141" i="6"/>
  <c r="E142" i="6"/>
  <c r="F142" i="6"/>
  <c r="E143" i="6"/>
  <c r="F143" i="6"/>
  <c r="E144" i="6"/>
  <c r="F144" i="6"/>
  <c r="E145" i="6"/>
  <c r="F145" i="6"/>
  <c r="E146" i="6"/>
  <c r="F146" i="6"/>
  <c r="E147" i="6"/>
  <c r="F147" i="6"/>
  <c r="E148" i="6"/>
  <c r="F148" i="6"/>
  <c r="E149" i="6"/>
  <c r="F149" i="6"/>
  <c r="E150" i="6"/>
  <c r="F150" i="6"/>
  <c r="E151" i="6"/>
  <c r="F151" i="6"/>
  <c r="E152" i="6"/>
  <c r="F152" i="6"/>
  <c r="E153" i="6"/>
  <c r="F153" i="6"/>
  <c r="E154" i="6"/>
  <c r="F154" i="6"/>
  <c r="E155" i="6"/>
  <c r="F155" i="6"/>
  <c r="E156" i="6"/>
  <c r="F156" i="6"/>
  <c r="E157" i="6"/>
  <c r="F157" i="6"/>
  <c r="E158" i="6"/>
  <c r="F158" i="6"/>
  <c r="E159" i="6"/>
  <c r="F159" i="6"/>
  <c r="E160" i="6"/>
  <c r="F160" i="6"/>
  <c r="E161" i="6"/>
  <c r="F161" i="6"/>
  <c r="E162" i="6"/>
  <c r="F162" i="6"/>
  <c r="E163" i="6"/>
  <c r="F163" i="6"/>
  <c r="E164" i="6"/>
  <c r="F164" i="6"/>
  <c r="E165" i="6"/>
  <c r="F165" i="6"/>
  <c r="E166" i="6"/>
  <c r="F166" i="6"/>
  <c r="E167" i="6"/>
  <c r="F167" i="6"/>
  <c r="E168" i="6"/>
  <c r="F168" i="6"/>
  <c r="E169" i="6"/>
  <c r="F169" i="6"/>
  <c r="E170" i="6"/>
  <c r="F170" i="6"/>
  <c r="E171" i="6"/>
  <c r="F171" i="6"/>
  <c r="E172" i="6"/>
  <c r="F172" i="6"/>
  <c r="E173" i="6"/>
  <c r="F173" i="6"/>
  <c r="E174" i="6"/>
  <c r="F174" i="6"/>
  <c r="E175" i="6"/>
  <c r="F175" i="6"/>
  <c r="E176" i="6"/>
  <c r="F176" i="6"/>
  <c r="E177" i="6"/>
  <c r="F177" i="6"/>
  <c r="E178" i="6"/>
  <c r="F178" i="6"/>
  <c r="E179" i="6"/>
  <c r="F179" i="6"/>
  <c r="E180" i="6"/>
  <c r="F180" i="6"/>
  <c r="E181" i="6"/>
  <c r="F181" i="6"/>
  <c r="E182" i="6"/>
  <c r="F182" i="6"/>
  <c r="E183" i="6"/>
  <c r="F183" i="6"/>
  <c r="E184" i="6"/>
  <c r="F184" i="6"/>
  <c r="E185" i="6"/>
  <c r="F185" i="6"/>
  <c r="E186" i="6"/>
  <c r="F186" i="6"/>
  <c r="E187" i="6"/>
  <c r="F187" i="6"/>
  <c r="E188" i="6"/>
  <c r="F188" i="6"/>
  <c r="E189" i="6"/>
  <c r="F189" i="6"/>
  <c r="E190" i="6"/>
  <c r="F190" i="6"/>
  <c r="E191" i="6"/>
  <c r="F191" i="6"/>
  <c r="E192" i="6"/>
  <c r="F192" i="6"/>
  <c r="E193" i="6"/>
  <c r="F193" i="6"/>
  <c r="E194" i="6"/>
  <c r="F194" i="6"/>
  <c r="E195" i="6"/>
  <c r="F195" i="6"/>
  <c r="E196" i="6"/>
  <c r="F196" i="6"/>
  <c r="E197" i="6"/>
  <c r="F197" i="6"/>
  <c r="E198" i="6"/>
  <c r="F198" i="6"/>
  <c r="E199" i="6"/>
  <c r="F199" i="6"/>
  <c r="E200" i="6"/>
  <c r="F200" i="6"/>
  <c r="E201" i="6"/>
  <c r="F201" i="6"/>
  <c r="E202" i="6"/>
  <c r="F202" i="6"/>
  <c r="E203" i="6"/>
  <c r="F203" i="6"/>
  <c r="E204" i="6"/>
  <c r="F204" i="6"/>
  <c r="E205" i="6"/>
  <c r="F205" i="6"/>
  <c r="E206" i="6"/>
  <c r="F206" i="6"/>
  <c r="E207" i="6"/>
  <c r="F207" i="6"/>
  <c r="E208" i="6"/>
  <c r="F208" i="6"/>
  <c r="E209" i="6"/>
  <c r="F209" i="6"/>
  <c r="E210" i="6"/>
  <c r="F210" i="6"/>
  <c r="E211" i="6"/>
  <c r="F211" i="6"/>
  <c r="E212" i="6"/>
  <c r="F212" i="6"/>
  <c r="E213" i="6"/>
  <c r="F213" i="6"/>
  <c r="E214" i="6"/>
  <c r="F214" i="6"/>
  <c r="E215" i="6"/>
  <c r="F215" i="6"/>
  <c r="E216" i="6"/>
  <c r="F216" i="6"/>
  <c r="E217" i="6"/>
  <c r="F217" i="6"/>
  <c r="E218" i="6"/>
  <c r="F218" i="6"/>
  <c r="E219" i="6"/>
  <c r="F219" i="6"/>
  <c r="E220" i="6"/>
  <c r="F220" i="6"/>
  <c r="E221" i="6"/>
  <c r="F221" i="6"/>
  <c r="E222" i="6"/>
  <c r="F222" i="6"/>
  <c r="E223" i="6"/>
  <c r="F223" i="6"/>
  <c r="E224" i="6"/>
  <c r="F224" i="6"/>
  <c r="E225" i="6"/>
  <c r="F225" i="6"/>
  <c r="E226" i="6"/>
  <c r="F226" i="6"/>
  <c r="E227" i="6"/>
  <c r="F227" i="6"/>
  <c r="E228" i="6"/>
  <c r="F228" i="6"/>
  <c r="E229" i="6"/>
  <c r="F229" i="6"/>
  <c r="E230" i="6"/>
  <c r="F230" i="6"/>
  <c r="E231" i="6"/>
  <c r="F231" i="6"/>
  <c r="E232" i="6"/>
  <c r="F232" i="6"/>
  <c r="E233" i="6"/>
  <c r="F233" i="6"/>
  <c r="E234" i="6"/>
  <c r="F234" i="6"/>
  <c r="E235" i="6"/>
  <c r="F235" i="6"/>
  <c r="E236" i="6"/>
  <c r="F236" i="6"/>
  <c r="E237" i="6"/>
  <c r="F237" i="6"/>
  <c r="E238" i="6"/>
  <c r="F238" i="6"/>
  <c r="E239" i="6"/>
  <c r="F239" i="6"/>
  <c r="E240" i="6"/>
  <c r="F240" i="6"/>
  <c r="E241" i="6"/>
  <c r="F241" i="6"/>
  <c r="E242" i="6"/>
  <c r="F242" i="6"/>
  <c r="E243" i="6"/>
  <c r="F243" i="6"/>
  <c r="E244" i="6"/>
  <c r="F244" i="6"/>
  <c r="E245" i="6"/>
  <c r="F245" i="6"/>
  <c r="E246" i="6"/>
  <c r="F246" i="6"/>
  <c r="E247" i="6"/>
  <c r="F247" i="6"/>
  <c r="E248" i="6"/>
  <c r="F248" i="6"/>
  <c r="E249" i="6"/>
  <c r="F249" i="6"/>
  <c r="E250" i="6"/>
  <c r="F250" i="6"/>
  <c r="E251" i="6"/>
  <c r="F251" i="6"/>
  <c r="E252" i="6"/>
  <c r="F252" i="6"/>
  <c r="E253" i="6"/>
  <c r="F253" i="6"/>
  <c r="E254" i="6"/>
  <c r="F254" i="6"/>
  <c r="E255" i="6"/>
  <c r="F255" i="6"/>
  <c r="E256" i="6"/>
  <c r="F256" i="6"/>
  <c r="E257" i="6"/>
  <c r="F257" i="6"/>
  <c r="E258" i="6"/>
  <c r="F258" i="6"/>
  <c r="E259" i="6"/>
  <c r="F259" i="6"/>
  <c r="E260" i="6"/>
  <c r="F260" i="6"/>
  <c r="E261" i="6"/>
  <c r="F261" i="6"/>
  <c r="E262" i="6"/>
  <c r="F262" i="6"/>
  <c r="E263" i="6"/>
  <c r="F263" i="6"/>
  <c r="E264" i="6"/>
  <c r="F264" i="6"/>
  <c r="E265" i="6"/>
  <c r="F265" i="6"/>
  <c r="E266" i="6"/>
  <c r="F266" i="6"/>
  <c r="E267" i="6"/>
  <c r="F267" i="6"/>
  <c r="E268" i="6"/>
  <c r="F268" i="6"/>
  <c r="E269" i="6"/>
  <c r="F269" i="6"/>
  <c r="E270" i="6"/>
  <c r="F270" i="6"/>
  <c r="E271" i="6"/>
  <c r="F271" i="6"/>
  <c r="E272" i="6"/>
  <c r="F272" i="6"/>
  <c r="E273" i="6"/>
  <c r="F273" i="6"/>
  <c r="E274" i="6"/>
  <c r="F274" i="6"/>
  <c r="E275" i="6"/>
  <c r="F275" i="6"/>
  <c r="E276" i="6"/>
  <c r="F276" i="6"/>
  <c r="E277" i="6"/>
  <c r="F277" i="6"/>
  <c r="E278" i="6"/>
  <c r="F278" i="6"/>
  <c r="E279" i="6"/>
  <c r="F279" i="6"/>
  <c r="E280" i="6"/>
  <c r="F280" i="6"/>
  <c r="E281" i="6"/>
  <c r="F281" i="6"/>
  <c r="E282" i="6"/>
  <c r="F282" i="6"/>
  <c r="E283" i="6"/>
  <c r="F283" i="6"/>
  <c r="E284" i="6"/>
  <c r="F284" i="6"/>
  <c r="E285" i="6"/>
  <c r="F285" i="6"/>
  <c r="E286" i="6"/>
  <c r="F286" i="6"/>
  <c r="E287" i="6"/>
  <c r="F287" i="6"/>
  <c r="E288" i="6"/>
  <c r="F288" i="6"/>
  <c r="E289" i="6"/>
  <c r="F289" i="6"/>
  <c r="E290" i="6"/>
  <c r="F290" i="6"/>
  <c r="E291" i="6"/>
  <c r="F291" i="6"/>
  <c r="E292" i="6"/>
  <c r="F292" i="6"/>
  <c r="E293" i="6"/>
  <c r="F293" i="6"/>
  <c r="E294" i="6"/>
  <c r="F294" i="6"/>
  <c r="E295" i="6"/>
  <c r="F295" i="6"/>
  <c r="E296" i="6"/>
  <c r="F296" i="6"/>
  <c r="E297" i="6"/>
  <c r="F297" i="6"/>
  <c r="E298" i="6"/>
  <c r="F298" i="6"/>
  <c r="E299" i="6"/>
  <c r="F299" i="6"/>
  <c r="E300" i="6"/>
  <c r="F300" i="6"/>
  <c r="E301" i="6"/>
  <c r="F301" i="6"/>
  <c r="E302" i="6"/>
  <c r="F302" i="6"/>
  <c r="E303" i="6"/>
  <c r="F303" i="6"/>
  <c r="E304" i="6"/>
  <c r="F304" i="6"/>
  <c r="E305" i="6"/>
  <c r="F305" i="6"/>
  <c r="E306" i="6"/>
  <c r="F306" i="6"/>
  <c r="E307" i="6"/>
  <c r="F307" i="6"/>
  <c r="E308" i="6"/>
  <c r="F308" i="6"/>
  <c r="E309" i="6"/>
  <c r="F309" i="6"/>
  <c r="E310" i="6"/>
  <c r="F310" i="6"/>
  <c r="E311" i="6"/>
  <c r="F311" i="6"/>
  <c r="E312" i="6"/>
  <c r="F312" i="6"/>
  <c r="E313" i="6"/>
  <c r="F313" i="6"/>
  <c r="E314" i="6"/>
  <c r="F314" i="6"/>
  <c r="E315" i="6"/>
  <c r="F315" i="6"/>
  <c r="E316" i="6"/>
  <c r="F316" i="6"/>
  <c r="E317" i="6"/>
  <c r="F317" i="6"/>
  <c r="E318" i="6"/>
  <c r="F318" i="6"/>
  <c r="E319" i="6"/>
  <c r="F319" i="6"/>
  <c r="E320" i="6"/>
  <c r="F320" i="6"/>
  <c r="E321" i="6"/>
  <c r="F321" i="6"/>
  <c r="E322" i="6"/>
  <c r="F322" i="6"/>
  <c r="E323" i="6"/>
  <c r="F323" i="6"/>
  <c r="E324" i="6"/>
  <c r="F324" i="6"/>
  <c r="E325" i="6"/>
  <c r="F325" i="6"/>
  <c r="E326" i="6"/>
  <c r="F326" i="6"/>
  <c r="E327" i="6"/>
  <c r="F327" i="6"/>
  <c r="E328" i="6"/>
  <c r="F328" i="6"/>
  <c r="E329" i="6"/>
  <c r="F329" i="6"/>
  <c r="E330" i="6"/>
  <c r="F330" i="6"/>
  <c r="E331" i="6"/>
  <c r="F331" i="6"/>
  <c r="E332" i="6"/>
  <c r="F332" i="6"/>
  <c r="E333" i="6"/>
  <c r="F333" i="6"/>
  <c r="E334" i="6"/>
  <c r="F334" i="6"/>
  <c r="E335" i="6"/>
  <c r="F335" i="6"/>
  <c r="E336" i="6"/>
  <c r="F336" i="6"/>
  <c r="E337" i="6"/>
  <c r="F337" i="6"/>
  <c r="E338" i="6"/>
  <c r="F338" i="6"/>
  <c r="E339" i="6"/>
  <c r="F339" i="6"/>
  <c r="E340" i="6"/>
  <c r="F340" i="6"/>
  <c r="E341" i="6"/>
  <c r="F341" i="6"/>
  <c r="E342" i="6"/>
  <c r="F342" i="6"/>
  <c r="E343" i="6"/>
  <c r="F343" i="6"/>
  <c r="E344" i="6"/>
  <c r="F344" i="6"/>
  <c r="E345" i="6"/>
  <c r="F345" i="6"/>
  <c r="E346" i="6"/>
  <c r="F346" i="6"/>
  <c r="E347" i="6"/>
  <c r="F347" i="6"/>
  <c r="E348" i="6"/>
  <c r="F348" i="6"/>
  <c r="E349" i="6"/>
  <c r="F349" i="6"/>
  <c r="E350" i="6"/>
  <c r="F350" i="6"/>
  <c r="E351" i="6"/>
  <c r="F351" i="6"/>
  <c r="E352" i="6"/>
  <c r="F352" i="6"/>
  <c r="E353" i="6"/>
  <c r="F353" i="6"/>
  <c r="E354" i="6"/>
  <c r="F354" i="6"/>
  <c r="E355" i="6"/>
  <c r="F355" i="6"/>
  <c r="E356" i="6"/>
  <c r="F356" i="6"/>
  <c r="E357" i="6"/>
  <c r="F357" i="6"/>
  <c r="E358" i="6"/>
  <c r="F358" i="6"/>
  <c r="E359" i="6"/>
  <c r="F359" i="6"/>
  <c r="E360" i="6"/>
  <c r="F360" i="6"/>
  <c r="E361" i="6"/>
  <c r="F361" i="6"/>
  <c r="E362" i="6"/>
  <c r="F362" i="6"/>
  <c r="E363" i="6"/>
  <c r="F363" i="6"/>
  <c r="E364" i="6"/>
  <c r="F364" i="6"/>
  <c r="E365" i="6"/>
  <c r="F365" i="6"/>
  <c r="E366" i="6"/>
  <c r="F366" i="6"/>
  <c r="E367" i="6"/>
  <c r="F367" i="6"/>
  <c r="E368" i="6"/>
  <c r="F368" i="6"/>
  <c r="E369" i="6"/>
  <c r="F369" i="6"/>
  <c r="E370" i="6"/>
  <c r="F370" i="6"/>
  <c r="E371" i="6"/>
  <c r="F371" i="6"/>
  <c r="E372" i="6"/>
  <c r="F372" i="6"/>
  <c r="E373" i="6"/>
  <c r="F373" i="6"/>
  <c r="E374" i="6"/>
  <c r="F374" i="6"/>
  <c r="E375" i="6"/>
  <c r="F375" i="6"/>
  <c r="E376" i="6"/>
  <c r="F376" i="6"/>
  <c r="E377" i="6"/>
  <c r="F377" i="6"/>
  <c r="E378" i="6"/>
  <c r="F378" i="6"/>
  <c r="E379" i="6"/>
  <c r="F379" i="6"/>
  <c r="E380" i="6"/>
  <c r="F380" i="6"/>
  <c r="E381" i="6"/>
  <c r="F381" i="6"/>
  <c r="E382" i="6"/>
  <c r="F382" i="6"/>
  <c r="E383" i="6"/>
  <c r="F383" i="6"/>
  <c r="E384" i="6"/>
  <c r="F384" i="6"/>
  <c r="E385" i="6"/>
  <c r="F385" i="6"/>
  <c r="E386" i="6"/>
  <c r="F386" i="6"/>
  <c r="E387" i="6"/>
  <c r="F387" i="6"/>
  <c r="E388" i="6"/>
  <c r="F388" i="6"/>
  <c r="E389" i="6"/>
  <c r="F389" i="6"/>
  <c r="E390" i="6"/>
  <c r="F390" i="6"/>
  <c r="E391" i="6"/>
  <c r="F391" i="6"/>
  <c r="E392" i="6"/>
  <c r="F392" i="6"/>
  <c r="E393" i="6"/>
  <c r="F393" i="6"/>
  <c r="E394" i="6"/>
  <c r="F394" i="6"/>
  <c r="E395" i="6"/>
  <c r="F395" i="6"/>
  <c r="E396" i="6"/>
  <c r="F396" i="6"/>
  <c r="E397" i="6"/>
  <c r="F397" i="6"/>
  <c r="E398" i="6"/>
  <c r="F398" i="6"/>
  <c r="E399" i="6"/>
  <c r="F399" i="6"/>
  <c r="E400" i="6"/>
  <c r="F400" i="6"/>
  <c r="E401" i="6"/>
  <c r="F401" i="6"/>
  <c r="E402" i="6"/>
  <c r="F402" i="6"/>
  <c r="E403" i="6"/>
  <c r="F403" i="6"/>
  <c r="E404" i="6"/>
  <c r="F404" i="6"/>
  <c r="E405" i="6"/>
  <c r="F405" i="6"/>
  <c r="E406" i="6"/>
  <c r="F406" i="6"/>
  <c r="E407" i="6"/>
  <c r="F407" i="6"/>
  <c r="E408" i="6"/>
  <c r="F408" i="6"/>
  <c r="E409" i="6"/>
  <c r="F409" i="6"/>
  <c r="E410" i="6"/>
  <c r="F410" i="6"/>
  <c r="E411" i="6"/>
  <c r="F411" i="6"/>
  <c r="E412" i="6"/>
  <c r="F412" i="6"/>
  <c r="E413" i="6"/>
  <c r="F413" i="6"/>
  <c r="E414" i="6"/>
  <c r="F414" i="6"/>
  <c r="E415" i="6"/>
  <c r="F415" i="6"/>
  <c r="E416" i="6"/>
  <c r="F416" i="6"/>
  <c r="E417" i="6"/>
  <c r="F417" i="6"/>
  <c r="E418" i="6"/>
  <c r="F418" i="6"/>
  <c r="E419" i="6"/>
  <c r="F419" i="6"/>
  <c r="E420" i="6"/>
  <c r="F420" i="6"/>
  <c r="E421" i="6"/>
  <c r="F421" i="6"/>
  <c r="E422" i="6"/>
  <c r="F422" i="6"/>
  <c r="E423" i="6"/>
  <c r="F423" i="6"/>
  <c r="E424" i="6"/>
  <c r="F424" i="6"/>
  <c r="E425" i="6"/>
  <c r="F425" i="6"/>
  <c r="E426" i="6"/>
  <c r="F426" i="6"/>
  <c r="E427" i="6"/>
  <c r="F427" i="6"/>
  <c r="E428" i="6"/>
  <c r="F428" i="6"/>
  <c r="E429" i="6"/>
  <c r="F429" i="6"/>
  <c r="E430" i="6"/>
  <c r="F430" i="6"/>
  <c r="E431" i="6"/>
  <c r="F431" i="6"/>
  <c r="E432" i="6"/>
  <c r="F432" i="6"/>
  <c r="E433" i="6"/>
  <c r="F433" i="6"/>
  <c r="E434" i="6"/>
  <c r="F434" i="6"/>
  <c r="E435" i="6"/>
  <c r="F435" i="6"/>
  <c r="E436" i="6"/>
  <c r="F436" i="6"/>
  <c r="E437" i="6"/>
  <c r="F437" i="6"/>
  <c r="E438" i="6"/>
  <c r="F438" i="6"/>
  <c r="E439" i="6"/>
  <c r="F439" i="6"/>
  <c r="E440" i="6"/>
  <c r="F440" i="6"/>
  <c r="E441" i="6"/>
  <c r="F441" i="6"/>
  <c r="E442" i="6"/>
  <c r="F442" i="6"/>
  <c r="E443" i="6"/>
  <c r="F443" i="6"/>
  <c r="E444" i="6"/>
  <c r="F444" i="6"/>
  <c r="E445" i="6"/>
  <c r="F445" i="6"/>
  <c r="E446" i="6"/>
  <c r="F446" i="6"/>
  <c r="E447" i="6"/>
  <c r="F447" i="6"/>
  <c r="E448" i="6"/>
  <c r="F448" i="6"/>
  <c r="E449" i="6"/>
  <c r="F449" i="6"/>
  <c r="E450" i="6"/>
  <c r="F450" i="6"/>
  <c r="E451" i="6"/>
  <c r="F451" i="6"/>
  <c r="E452" i="6"/>
  <c r="F452" i="6"/>
  <c r="E453" i="6"/>
  <c r="F453" i="6"/>
  <c r="E454" i="6"/>
  <c r="F454" i="6"/>
  <c r="E455" i="6"/>
  <c r="F455" i="6"/>
  <c r="E456" i="6"/>
  <c r="F456" i="6"/>
  <c r="E457" i="6"/>
  <c r="F457" i="6"/>
  <c r="E458" i="6"/>
  <c r="F458" i="6"/>
  <c r="E459" i="6"/>
  <c r="F459" i="6"/>
  <c r="E460" i="6"/>
  <c r="F460" i="6"/>
  <c r="E461" i="6"/>
  <c r="F461" i="6"/>
  <c r="E462" i="6"/>
  <c r="F462" i="6"/>
  <c r="E463" i="6"/>
  <c r="F463" i="6"/>
  <c r="E464" i="6"/>
  <c r="F464" i="6"/>
  <c r="E465" i="6"/>
  <c r="F465" i="6"/>
  <c r="E466" i="6"/>
  <c r="F466" i="6"/>
  <c r="E467" i="6"/>
  <c r="F467" i="6"/>
  <c r="E468" i="6"/>
  <c r="F468" i="6"/>
  <c r="E469" i="6"/>
  <c r="F469" i="6"/>
  <c r="E470" i="6"/>
  <c r="F470" i="6"/>
  <c r="E471" i="6"/>
  <c r="F471" i="6"/>
  <c r="E472" i="6"/>
  <c r="F472" i="6"/>
  <c r="E473" i="6"/>
  <c r="F473" i="6"/>
  <c r="E474" i="6"/>
  <c r="F474" i="6"/>
  <c r="E475" i="6"/>
  <c r="F475" i="6"/>
  <c r="E476" i="6"/>
  <c r="F476" i="6"/>
  <c r="E477" i="6"/>
  <c r="F477" i="6"/>
  <c r="E478" i="6"/>
  <c r="F478" i="6"/>
  <c r="E479" i="6"/>
  <c r="F479" i="6"/>
  <c r="E480" i="6"/>
  <c r="F480" i="6"/>
  <c r="E481" i="6"/>
  <c r="F481" i="6"/>
  <c r="E482" i="6"/>
  <c r="F482" i="6"/>
  <c r="E483" i="6"/>
  <c r="F483" i="6"/>
  <c r="E484" i="6"/>
  <c r="F484" i="6"/>
  <c r="E485" i="6"/>
  <c r="F485" i="6"/>
  <c r="E486" i="6"/>
  <c r="F486" i="6"/>
  <c r="E487" i="6"/>
  <c r="F487" i="6"/>
  <c r="E488" i="6"/>
  <c r="F488" i="6"/>
  <c r="E489" i="6"/>
  <c r="F489" i="6"/>
  <c r="E490" i="6"/>
  <c r="F490" i="6"/>
  <c r="E491" i="6"/>
  <c r="F491" i="6"/>
  <c r="E492" i="6"/>
  <c r="F492" i="6"/>
  <c r="E493" i="6"/>
  <c r="F493" i="6"/>
  <c r="E494" i="6"/>
  <c r="F494" i="6"/>
  <c r="E495" i="6"/>
  <c r="F495" i="6"/>
  <c r="E496" i="6"/>
  <c r="F496" i="6"/>
  <c r="E497" i="6"/>
  <c r="F497" i="6"/>
  <c r="E498" i="6"/>
  <c r="F498" i="6"/>
  <c r="E499" i="6"/>
  <c r="F499" i="6"/>
  <c r="E500" i="6"/>
  <c r="F500" i="6"/>
  <c r="E501" i="6"/>
  <c r="F501" i="6"/>
  <c r="E502" i="6"/>
  <c r="F502" i="6"/>
  <c r="E503" i="6"/>
  <c r="F503" i="6"/>
  <c r="E504" i="6"/>
  <c r="F504" i="6"/>
  <c r="E505" i="6"/>
  <c r="F505" i="6"/>
  <c r="E506" i="6"/>
  <c r="F506" i="6"/>
  <c r="E507" i="6"/>
  <c r="F507" i="6"/>
  <c r="E508" i="6"/>
  <c r="F508" i="6"/>
  <c r="E509" i="6"/>
  <c r="F509" i="6"/>
  <c r="E510" i="6"/>
  <c r="F510" i="6"/>
  <c r="E511" i="6"/>
  <c r="F511" i="6"/>
  <c r="E512" i="6"/>
  <c r="F512" i="6"/>
  <c r="E513" i="6"/>
  <c r="F513" i="6"/>
  <c r="E514" i="6"/>
  <c r="F514" i="6"/>
  <c r="E515" i="6"/>
  <c r="F515" i="6"/>
  <c r="E516" i="6"/>
  <c r="F516" i="6"/>
  <c r="E517" i="6"/>
  <c r="F517" i="6"/>
  <c r="E518" i="6"/>
  <c r="F518" i="6"/>
  <c r="E519" i="6"/>
  <c r="F519" i="6"/>
  <c r="E520" i="6"/>
  <c r="F520" i="6"/>
  <c r="E521" i="6"/>
  <c r="F521" i="6"/>
  <c r="E522" i="6"/>
  <c r="F522" i="6"/>
  <c r="E523" i="6"/>
  <c r="F523" i="6"/>
  <c r="E524" i="6"/>
  <c r="F524" i="6"/>
  <c r="E525" i="6"/>
  <c r="F525" i="6"/>
  <c r="E526" i="6"/>
  <c r="F526" i="6"/>
  <c r="E527" i="6"/>
  <c r="F527" i="6"/>
  <c r="E528" i="6"/>
  <c r="F528" i="6"/>
  <c r="E529" i="6"/>
  <c r="F529" i="6"/>
  <c r="E530" i="6"/>
  <c r="F530" i="6"/>
  <c r="E531" i="6"/>
  <c r="F531" i="6"/>
  <c r="E532" i="6"/>
  <c r="F532" i="6"/>
  <c r="E533" i="6"/>
  <c r="F533" i="6"/>
  <c r="E534" i="6"/>
  <c r="F534" i="6"/>
  <c r="E535" i="6"/>
  <c r="F535" i="6"/>
  <c r="E536" i="6"/>
  <c r="F536" i="6"/>
  <c r="E537" i="6"/>
  <c r="F537" i="6"/>
  <c r="E538" i="6"/>
  <c r="F538" i="6"/>
  <c r="E539" i="6"/>
  <c r="F539" i="6"/>
  <c r="E540" i="6"/>
  <c r="F540" i="6"/>
  <c r="E541" i="6"/>
  <c r="F541" i="6"/>
  <c r="E542" i="6"/>
  <c r="F542" i="6"/>
  <c r="E543" i="6"/>
  <c r="F543" i="6"/>
  <c r="E544" i="6"/>
  <c r="F544" i="6"/>
  <c r="E545" i="6"/>
  <c r="F545" i="6"/>
  <c r="E546" i="6"/>
  <c r="F546" i="6"/>
  <c r="E547" i="6"/>
  <c r="F547" i="6"/>
  <c r="E548" i="6"/>
  <c r="F548" i="6"/>
  <c r="E549" i="6"/>
  <c r="F549" i="6"/>
  <c r="E550" i="6"/>
  <c r="F550" i="6"/>
  <c r="E551" i="6"/>
  <c r="F551" i="6"/>
  <c r="E552" i="6"/>
  <c r="F552" i="6"/>
  <c r="E553" i="6"/>
  <c r="F553" i="6"/>
  <c r="E554" i="6"/>
  <c r="F554" i="6"/>
  <c r="E555" i="6"/>
  <c r="F555" i="6"/>
  <c r="E556" i="6"/>
  <c r="F556" i="6"/>
  <c r="E557" i="6"/>
  <c r="F557" i="6"/>
  <c r="E558" i="6"/>
  <c r="F558" i="6"/>
  <c r="E559" i="6"/>
  <c r="F559" i="6"/>
  <c r="E560" i="6"/>
  <c r="F560" i="6"/>
  <c r="E561" i="6"/>
  <c r="F561" i="6"/>
  <c r="E562" i="6"/>
  <c r="F562" i="6"/>
  <c r="E563" i="6"/>
  <c r="F563" i="6"/>
  <c r="E564" i="6"/>
  <c r="F564" i="6"/>
  <c r="E565" i="6"/>
  <c r="F565" i="6"/>
  <c r="E566" i="6"/>
  <c r="F566" i="6"/>
  <c r="E567" i="6"/>
  <c r="F567" i="6"/>
  <c r="E568" i="6"/>
  <c r="F568" i="6"/>
  <c r="E569" i="6"/>
  <c r="F569" i="6"/>
  <c r="E570" i="6"/>
  <c r="F570" i="6"/>
  <c r="E571" i="6"/>
  <c r="F571" i="6"/>
  <c r="E572" i="6"/>
  <c r="F572" i="6"/>
  <c r="E573" i="6"/>
  <c r="F573" i="6"/>
  <c r="E574" i="6"/>
  <c r="F574" i="6"/>
  <c r="E575" i="6"/>
  <c r="F575" i="6"/>
  <c r="E576" i="6"/>
  <c r="F576" i="6"/>
  <c r="E577" i="6"/>
  <c r="F577" i="6"/>
  <c r="E578" i="6"/>
  <c r="F578" i="6"/>
  <c r="E579" i="6"/>
  <c r="F579" i="6"/>
  <c r="E580" i="6"/>
  <c r="F580" i="6"/>
  <c r="E581" i="6"/>
  <c r="F581" i="6"/>
  <c r="E582" i="6"/>
  <c r="F582" i="6"/>
  <c r="E583" i="6"/>
  <c r="F583" i="6"/>
  <c r="E584" i="6"/>
  <c r="F584" i="6"/>
  <c r="E585" i="6"/>
  <c r="F585" i="6"/>
  <c r="E586" i="6"/>
  <c r="F586" i="6"/>
  <c r="E587" i="6"/>
  <c r="F587" i="6"/>
  <c r="E588" i="6"/>
  <c r="F588" i="6"/>
  <c r="E589" i="6"/>
  <c r="F589" i="6"/>
  <c r="E590" i="6"/>
  <c r="F590" i="6"/>
  <c r="E591" i="6"/>
  <c r="F591" i="6"/>
  <c r="E592" i="6"/>
  <c r="F592" i="6"/>
  <c r="E593" i="6"/>
  <c r="F593" i="6"/>
  <c r="E594" i="6"/>
  <c r="F594" i="6"/>
  <c r="E595" i="6"/>
  <c r="F595" i="6"/>
  <c r="E596" i="6"/>
  <c r="F596" i="6"/>
  <c r="E597" i="6"/>
  <c r="F597" i="6"/>
  <c r="E607" i="6"/>
  <c r="F607" i="6"/>
  <c r="E608" i="6"/>
  <c r="F608" i="6"/>
  <c r="E609" i="6"/>
  <c r="F609" i="6"/>
  <c r="E610" i="6"/>
  <c r="F610" i="6"/>
  <c r="E611" i="6"/>
  <c r="F611" i="6"/>
  <c r="E612" i="6"/>
  <c r="F612" i="6"/>
  <c r="E613" i="6"/>
  <c r="F613" i="6"/>
  <c r="E614" i="6"/>
  <c r="F614" i="6"/>
  <c r="E615" i="6"/>
  <c r="F615" i="6"/>
  <c r="E598" i="6"/>
  <c r="F598" i="6"/>
  <c r="E599" i="6"/>
  <c r="F599" i="6"/>
  <c r="E600" i="6"/>
  <c r="F600" i="6"/>
  <c r="E601" i="6"/>
  <c r="F601" i="6"/>
  <c r="E602" i="6"/>
  <c r="F602" i="6"/>
  <c r="E603" i="6"/>
  <c r="F603" i="6"/>
  <c r="E616" i="6"/>
  <c r="F616" i="6"/>
  <c r="E617" i="6"/>
  <c r="F617" i="6"/>
  <c r="E618" i="6"/>
  <c r="F618" i="6"/>
  <c r="E619" i="6"/>
  <c r="F619" i="6"/>
  <c r="E620" i="6"/>
  <c r="F620" i="6"/>
  <c r="E621" i="6"/>
  <c r="F621" i="6"/>
  <c r="E622" i="6"/>
  <c r="F622" i="6"/>
  <c r="E623" i="6"/>
  <c r="F623" i="6"/>
  <c r="E624" i="6"/>
  <c r="F624" i="6"/>
  <c r="E625" i="6"/>
  <c r="F625" i="6"/>
  <c r="E626" i="6"/>
  <c r="F626" i="6"/>
  <c r="E627" i="6"/>
  <c r="F627" i="6"/>
  <c r="E628" i="6"/>
  <c r="F628" i="6"/>
  <c r="E629" i="6"/>
  <c r="F629" i="6"/>
  <c r="E630" i="6"/>
  <c r="F630" i="6"/>
  <c r="E631" i="6"/>
  <c r="F631" i="6"/>
  <c r="E632" i="6"/>
  <c r="F632" i="6"/>
  <c r="E633" i="6"/>
  <c r="F633" i="6"/>
  <c r="E634" i="6"/>
  <c r="F634" i="6"/>
  <c r="E635" i="6"/>
  <c r="F635" i="6"/>
  <c r="E636" i="6"/>
  <c r="F636" i="6"/>
  <c r="E637" i="6"/>
  <c r="F637" i="6"/>
  <c r="E638" i="6"/>
  <c r="F638" i="6"/>
  <c r="E639" i="6"/>
  <c r="F639" i="6"/>
  <c r="E640" i="6"/>
  <c r="F640" i="6"/>
  <c r="E641" i="6"/>
  <c r="F641" i="6"/>
  <c r="E642" i="6"/>
  <c r="F642" i="6"/>
  <c r="E643" i="6"/>
  <c r="F643" i="6"/>
  <c r="E644" i="6"/>
  <c r="F644" i="6"/>
  <c r="E645" i="6"/>
  <c r="F645" i="6"/>
  <c r="E646" i="6"/>
  <c r="F646" i="6"/>
  <c r="E647" i="6"/>
  <c r="F647" i="6"/>
  <c r="E648" i="6"/>
  <c r="F648" i="6"/>
  <c r="E649" i="6"/>
  <c r="F649" i="6"/>
  <c r="E650" i="6"/>
  <c r="F650" i="6"/>
  <c r="E651" i="6"/>
  <c r="F651" i="6"/>
  <c r="E652" i="6"/>
  <c r="F652" i="6"/>
  <c r="E653" i="6"/>
  <c r="F653" i="6"/>
  <c r="E654" i="6"/>
  <c r="F654" i="6"/>
  <c r="E655" i="6"/>
  <c r="F655" i="6"/>
  <c r="E656" i="6"/>
  <c r="F656" i="6"/>
  <c r="E657" i="6"/>
  <c r="F657" i="6"/>
  <c r="F658" i="6"/>
  <c r="E659" i="6"/>
  <c r="F659" i="6"/>
  <c r="E660" i="6"/>
  <c r="F660" i="6"/>
  <c r="E661" i="6"/>
  <c r="F661" i="6"/>
  <c r="E662" i="6"/>
  <c r="F662" i="6"/>
  <c r="E663" i="6"/>
  <c r="F663" i="6"/>
  <c r="E664" i="6"/>
  <c r="F664" i="6"/>
  <c r="E665" i="6"/>
  <c r="F665" i="6"/>
  <c r="E666" i="6"/>
  <c r="F666" i="6"/>
  <c r="E667" i="6"/>
  <c r="F667" i="6"/>
  <c r="G31" i="28"/>
  <c r="C32" i="28"/>
  <c r="E32" i="28"/>
  <c r="G32" i="28"/>
  <c r="C33" i="28"/>
  <c r="E33" i="28"/>
  <c r="G33" i="28"/>
  <c r="C34" i="28"/>
  <c r="E34" i="28"/>
  <c r="G34" i="28"/>
  <c r="C35" i="28"/>
  <c r="E35" i="28"/>
  <c r="G35" i="28"/>
  <c r="C36" i="28"/>
  <c r="E36" i="28"/>
  <c r="G36" i="28"/>
  <c r="C37" i="28"/>
  <c r="F37" i="28"/>
  <c r="C38" i="28"/>
  <c r="F38" i="28"/>
  <c r="C39" i="28"/>
  <c r="E39" i="28"/>
  <c r="G39" i="28"/>
  <c r="C40" i="28"/>
  <c r="E40" i="28"/>
  <c r="G40" i="28"/>
  <c r="C41" i="28"/>
  <c r="E41" i="28"/>
  <c r="G41" i="28"/>
  <c r="C42" i="28"/>
  <c r="E42" i="28"/>
  <c r="G42" i="28"/>
  <c r="C43" i="28"/>
  <c r="E43" i="28"/>
  <c r="G43" i="28"/>
  <c r="C44" i="28"/>
  <c r="E44" i="28"/>
  <c r="G44" i="28"/>
  <c r="C45" i="28"/>
  <c r="F45" i="28"/>
  <c r="C46" i="28"/>
  <c r="F46" i="28"/>
  <c r="C47" i="28"/>
  <c r="E47" i="28"/>
  <c r="G47" i="28"/>
  <c r="C48" i="28"/>
  <c r="E48" i="28"/>
  <c r="G48" i="28"/>
  <c r="C49" i="28"/>
  <c r="F49" i="28"/>
  <c r="C50" i="28"/>
  <c r="E50" i="28"/>
  <c r="G50" i="28"/>
  <c r="C51" i="28"/>
  <c r="E51" i="28"/>
  <c r="G51" i="28"/>
  <c r="C52" i="28"/>
  <c r="E52" i="28"/>
  <c r="G52" i="28"/>
  <c r="C53" i="28"/>
  <c r="F53" i="28"/>
  <c r="C54" i="28"/>
  <c r="F54" i="28"/>
  <c r="C55" i="28"/>
  <c r="E55" i="28"/>
  <c r="G55" i="28"/>
  <c r="C56" i="28"/>
  <c r="E56" i="28"/>
  <c r="G56" i="28"/>
  <c r="C57" i="28"/>
  <c r="E57" i="28"/>
  <c r="G57" i="28"/>
  <c r="C58" i="28"/>
  <c r="E58" i="28"/>
  <c r="G58" i="28"/>
  <c r="C59" i="28"/>
  <c r="E59" i="28"/>
  <c r="G59" i="28"/>
  <c r="C60" i="28"/>
  <c r="E60" i="28"/>
  <c r="G60" i="28"/>
  <c r="C61" i="28"/>
  <c r="F61" i="28"/>
  <c r="C62" i="28"/>
  <c r="F62" i="28"/>
  <c r="C63" i="28"/>
  <c r="E63" i="28"/>
  <c r="G63" i="28"/>
  <c r="C64" i="28"/>
  <c r="E64" i="28"/>
  <c r="G64" i="28"/>
  <c r="C65" i="28"/>
  <c r="E65" i="28"/>
  <c r="G65" i="28"/>
  <c r="C66" i="28"/>
  <c r="E66" i="28"/>
  <c r="G66" i="28"/>
  <c r="C67" i="28"/>
  <c r="E67" i="28"/>
  <c r="G67" i="28"/>
  <c r="C68" i="28"/>
  <c r="E68" i="28"/>
  <c r="G68" i="28"/>
  <c r="C69" i="28"/>
  <c r="F69" i="28"/>
  <c r="C70" i="28"/>
  <c r="F70" i="28"/>
  <c r="C71" i="28"/>
  <c r="E71" i="28"/>
  <c r="G71" i="28"/>
  <c r="C72" i="28"/>
  <c r="E72" i="28"/>
  <c r="G72" i="28"/>
  <c r="C73" i="28"/>
  <c r="E73" i="28"/>
  <c r="G73" i="28"/>
  <c r="C74" i="28"/>
  <c r="E74" i="28"/>
  <c r="G74" i="28"/>
  <c r="C75" i="28"/>
  <c r="E75" i="28"/>
  <c r="G75" i="28"/>
  <c r="C76" i="28"/>
  <c r="E76" i="28"/>
  <c r="G76" i="28"/>
  <c r="C77" i="28"/>
  <c r="F77" i="28"/>
  <c r="C78" i="28"/>
  <c r="F78" i="28"/>
  <c r="C79" i="28"/>
  <c r="E79" i="28"/>
  <c r="G79" i="28"/>
  <c r="C80" i="28"/>
  <c r="E80" i="28"/>
  <c r="G80" i="28"/>
  <c r="C81" i="28"/>
  <c r="E81" i="28"/>
  <c r="G81" i="28"/>
  <c r="C82" i="28"/>
  <c r="E82" i="28"/>
  <c r="G82" i="28"/>
  <c r="C83" i="28"/>
  <c r="E83" i="28"/>
  <c r="G83" i="28"/>
  <c r="C84" i="28"/>
  <c r="E84" i="28"/>
  <c r="G84" i="28"/>
  <c r="C85" i="28"/>
  <c r="F85" i="28"/>
  <c r="C86" i="28"/>
  <c r="F86" i="28"/>
  <c r="C87" i="28"/>
  <c r="E87" i="28"/>
  <c r="G87" i="28"/>
  <c r="C88" i="28"/>
  <c r="E88" i="28"/>
  <c r="G88" i="28"/>
  <c r="C89" i="28"/>
  <c r="E89" i="28"/>
  <c r="G89" i="28"/>
  <c r="C90" i="28"/>
  <c r="E90" i="28"/>
  <c r="G90" i="28"/>
  <c r="C91" i="28"/>
  <c r="E91" i="28"/>
  <c r="G91" i="28"/>
  <c r="C92" i="28"/>
  <c r="E92" i="28"/>
  <c r="G92" i="28"/>
  <c r="C93" i="28"/>
  <c r="F93" i="28"/>
  <c r="C94" i="28"/>
  <c r="F94" i="28"/>
  <c r="C95" i="28"/>
  <c r="E95" i="28"/>
  <c r="G95" i="28"/>
  <c r="C96" i="28"/>
  <c r="E96" i="28"/>
  <c r="G96" i="28"/>
  <c r="C97" i="28"/>
  <c r="E97" i="28"/>
  <c r="G97" i="28"/>
  <c r="C98" i="28"/>
  <c r="E98" i="28"/>
  <c r="G98" i="28"/>
  <c r="C99" i="28"/>
  <c r="E99" i="28"/>
  <c r="G99" i="28"/>
  <c r="C100" i="28"/>
  <c r="E100" i="28"/>
  <c r="G100" i="28"/>
  <c r="C101" i="28"/>
  <c r="F101" i="28"/>
  <c r="C102" i="28"/>
  <c r="F102" i="28"/>
  <c r="C103" i="28"/>
  <c r="E103" i="28"/>
  <c r="G103" i="28"/>
  <c r="C104" i="28"/>
  <c r="E104" i="28"/>
  <c r="G104" i="28"/>
  <c r="C105" i="28"/>
  <c r="E105" i="28"/>
  <c r="G105" i="28"/>
  <c r="C106" i="28"/>
  <c r="E106" i="28"/>
  <c r="G106" i="28"/>
  <c r="C107" i="28"/>
  <c r="E107" i="28"/>
  <c r="G107" i="28"/>
  <c r="C21" i="28"/>
  <c r="E21" i="28"/>
  <c r="E21" i="6"/>
  <c r="F21" i="6"/>
  <c r="E22" i="6"/>
  <c r="F22" i="6"/>
  <c r="E23" i="6"/>
  <c r="F23" i="6"/>
  <c r="E24" i="6"/>
  <c r="F24" i="6"/>
  <c r="E25" i="6"/>
  <c r="F25" i="6"/>
  <c r="E26" i="6"/>
  <c r="F26" i="6"/>
  <c r="E27" i="6"/>
  <c r="F27" i="6"/>
  <c r="E28" i="6"/>
  <c r="F28" i="6"/>
  <c r="E29" i="6"/>
  <c r="F29" i="6"/>
  <c r="E30" i="6"/>
  <c r="F30" i="6"/>
  <c r="G21" i="28"/>
  <c r="C22" i="28"/>
  <c r="E22" i="28"/>
  <c r="G22" i="28"/>
  <c r="C23" i="28"/>
  <c r="E23" i="28"/>
  <c r="G23" i="28"/>
  <c r="C24" i="28"/>
  <c r="E24" i="28"/>
  <c r="G24" i="28"/>
  <c r="C25" i="28"/>
  <c r="E25" i="28"/>
  <c r="G25" i="28"/>
  <c r="C26" i="28"/>
  <c r="E26" i="28"/>
  <c r="G26" i="28"/>
  <c r="C27" i="28"/>
  <c r="E27" i="28"/>
  <c r="G27" i="28"/>
  <c r="C28" i="28"/>
  <c r="E28" i="28"/>
  <c r="G28" i="28"/>
  <c r="C29" i="28"/>
  <c r="E29" i="28"/>
  <c r="G29" i="28"/>
  <c r="C30" i="28"/>
  <c r="E30" i="28"/>
  <c r="G30" i="28"/>
  <c r="C3" i="28"/>
  <c r="E3" i="28"/>
  <c r="E3" i="6"/>
  <c r="F3" i="6"/>
  <c r="E4" i="6"/>
  <c r="F4" i="6"/>
  <c r="E5" i="6"/>
  <c r="F5" i="6"/>
  <c r="E6" i="6"/>
  <c r="F6" i="6"/>
  <c r="E7" i="6"/>
  <c r="F7" i="6"/>
  <c r="E8" i="6"/>
  <c r="F8" i="6"/>
  <c r="E9" i="6"/>
  <c r="F9" i="6"/>
  <c r="E10" i="6"/>
  <c r="F10" i="6"/>
  <c r="E11" i="6"/>
  <c r="F11" i="6"/>
  <c r="E12" i="6"/>
  <c r="F12" i="6"/>
  <c r="E13" i="6"/>
  <c r="F13" i="6"/>
  <c r="E14" i="6"/>
  <c r="F14" i="6"/>
  <c r="E15" i="6"/>
  <c r="F15" i="6"/>
  <c r="E16" i="6"/>
  <c r="F16" i="6"/>
  <c r="E17" i="6"/>
  <c r="F17" i="6"/>
  <c r="E18" i="6"/>
  <c r="F18" i="6"/>
  <c r="E19" i="6"/>
  <c r="F19" i="6"/>
  <c r="E20" i="6"/>
  <c r="F20" i="6"/>
  <c r="G3" i="28"/>
  <c r="C4" i="28"/>
  <c r="E4" i="28"/>
  <c r="G4" i="28"/>
  <c r="C5" i="28"/>
  <c r="E5" i="28"/>
  <c r="G5" i="28"/>
  <c r="C6" i="28"/>
  <c r="E6" i="28"/>
  <c r="G6" i="28"/>
  <c r="C7" i="28"/>
  <c r="E7" i="28"/>
  <c r="G7" i="28"/>
  <c r="C8" i="28"/>
  <c r="E8" i="28"/>
  <c r="G8" i="28"/>
  <c r="C9" i="28"/>
  <c r="E9" i="28"/>
  <c r="G9" i="28"/>
  <c r="C10" i="28"/>
  <c r="E10" i="28"/>
  <c r="G10" i="28"/>
  <c r="C11" i="28"/>
  <c r="E11" i="28"/>
  <c r="G11" i="28"/>
  <c r="C12" i="28"/>
  <c r="E12" i="28"/>
  <c r="G12" i="28"/>
  <c r="C13" i="28"/>
  <c r="E13" i="28"/>
  <c r="G13" i="28"/>
  <c r="C14" i="28"/>
  <c r="E14" i="28"/>
  <c r="G14" i="28"/>
  <c r="C15" i="28"/>
  <c r="E15" i="28"/>
  <c r="G15" i="28"/>
  <c r="C16" i="28"/>
  <c r="E16" i="28"/>
  <c r="G16" i="28"/>
  <c r="C17" i="28"/>
  <c r="E17" i="28"/>
  <c r="G17" i="28"/>
  <c r="C18" i="28"/>
  <c r="E18" i="28"/>
  <c r="G18" i="28"/>
  <c r="C19" i="28"/>
  <c r="E19" i="28"/>
  <c r="G19" i="28"/>
  <c r="C20" i="28"/>
  <c r="E20" i="28"/>
  <c r="G20" i="28"/>
  <c r="C2" i="28"/>
  <c r="E2" i="28"/>
  <c r="E2" i="6"/>
  <c r="F2" i="6"/>
  <c r="G2" i="28"/>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607" i="7"/>
  <c r="C608" i="7"/>
  <c r="C609" i="7"/>
  <c r="C610" i="7"/>
  <c r="C611" i="7"/>
  <c r="C612" i="7"/>
  <c r="C613" i="7"/>
  <c r="C614" i="7"/>
  <c r="C615" i="7"/>
  <c r="C598" i="7"/>
  <c r="C599" i="7"/>
  <c r="C600" i="7"/>
  <c r="C601" i="7"/>
  <c r="C602" i="7"/>
  <c r="C603"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9" i="7"/>
  <c r="C660" i="7"/>
  <c r="C661" i="7"/>
  <c r="C662" i="7"/>
  <c r="C663" i="7"/>
  <c r="C664" i="7"/>
  <c r="C665" i="7"/>
  <c r="C666" i="7"/>
  <c r="C667" i="7"/>
  <c r="C2" i="7"/>
  <c r="F29" i="28"/>
  <c r="F21" i="28"/>
  <c r="F13" i="28"/>
  <c r="F5" i="28"/>
  <c r="F2" i="28"/>
  <c r="F100" i="28"/>
  <c r="F92" i="28"/>
  <c r="F84" i="28"/>
  <c r="F76" i="28"/>
  <c r="F68" i="28"/>
  <c r="F60" i="28"/>
  <c r="F52" i="28"/>
  <c r="F44" i="28"/>
  <c r="F36" i="28"/>
  <c r="F28" i="28"/>
  <c r="F20" i="28"/>
  <c r="F12" i="28"/>
  <c r="F4" i="28"/>
  <c r="F107" i="28"/>
  <c r="F99" i="28"/>
  <c r="F91" i="28"/>
  <c r="F83" i="28"/>
  <c r="F75" i="28"/>
  <c r="F67" i="28"/>
  <c r="F59" i="28"/>
  <c r="F51" i="28"/>
  <c r="F43" i="28"/>
  <c r="F35" i="28"/>
  <c r="F27" i="28"/>
  <c r="F19" i="28"/>
  <c r="F11" i="28"/>
  <c r="F3" i="28"/>
  <c r="F106" i="28"/>
  <c r="F98" i="28"/>
  <c r="F90" i="28"/>
  <c r="F82" i="28"/>
  <c r="F74" i="28"/>
  <c r="F66" i="28"/>
  <c r="F58" i="28"/>
  <c r="F50" i="28"/>
  <c r="F42" i="28"/>
  <c r="F34" i="28"/>
  <c r="F26" i="28"/>
  <c r="F18" i="28"/>
  <c r="F10" i="28"/>
  <c r="F105" i="28"/>
  <c r="F97" i="28"/>
  <c r="F89" i="28"/>
  <c r="F81" i="28"/>
  <c r="F73" i="28"/>
  <c r="F65" i="28"/>
  <c r="F57" i="28"/>
  <c r="F41" i="28"/>
  <c r="F33" i="28"/>
  <c r="F25" i="28"/>
  <c r="F17" i="28"/>
  <c r="F9" i="28"/>
  <c r="F104" i="28"/>
  <c r="F96" i="28"/>
  <c r="F88" i="28"/>
  <c r="F80" i="28"/>
  <c r="F72" i="28"/>
  <c r="F64" i="28"/>
  <c r="F56" i="28"/>
  <c r="F48" i="28"/>
  <c r="F40" i="28"/>
  <c r="F32" i="28"/>
  <c r="F24" i="28"/>
  <c r="F16" i="28"/>
  <c r="F8" i="28"/>
  <c r="F103" i="28"/>
  <c r="F95" i="28"/>
  <c r="F87" i="28"/>
  <c r="F79" i="28"/>
  <c r="F71" i="28"/>
  <c r="F63" i="28"/>
  <c r="F55" i="28"/>
  <c r="F47" i="28"/>
  <c r="F39" i="28"/>
  <c r="F31" i="28"/>
  <c r="F23" i="28"/>
  <c r="F15" i="28"/>
  <c r="F7" i="28"/>
  <c r="F30" i="28"/>
  <c r="F22" i="28"/>
  <c r="F14" i="28"/>
  <c r="F6" i="28"/>
  <c r="E102" i="28"/>
  <c r="G102" i="28"/>
  <c r="E94" i="28"/>
  <c r="G94" i="28"/>
  <c r="E86" i="28"/>
  <c r="G86" i="28"/>
  <c r="E78" i="28"/>
  <c r="G78" i="28"/>
  <c r="E70" i="28"/>
  <c r="G70" i="28"/>
  <c r="E62" i="28"/>
  <c r="G62" i="28"/>
  <c r="E54" i="28"/>
  <c r="G54" i="28"/>
  <c r="E46" i="28"/>
  <c r="G46" i="28"/>
  <c r="E38" i="28"/>
  <c r="G38" i="28"/>
  <c r="E101" i="28"/>
  <c r="G101" i="28"/>
  <c r="E93" i="28"/>
  <c r="G93" i="28"/>
  <c r="E85" i="28"/>
  <c r="G85" i="28"/>
  <c r="E77" i="28"/>
  <c r="G77" i="28"/>
  <c r="E69" i="28"/>
  <c r="G69" i="28"/>
  <c r="E61" i="28"/>
  <c r="G61" i="28"/>
  <c r="E53" i="28"/>
  <c r="G53" i="28"/>
  <c r="E45" i="28"/>
  <c r="G45" i="28"/>
  <c r="E37" i="28"/>
  <c r="G37" i="28"/>
  <c r="E49" i="28"/>
  <c r="G49"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L143" i="28"/>
  <c r="L144" i="28"/>
  <c r="L145" i="28"/>
  <c r="L146" i="28"/>
  <c r="L147" i="28"/>
  <c r="L148" i="28"/>
  <c r="L149" i="28"/>
  <c r="L150" i="28"/>
  <c r="L151" i="28"/>
  <c r="L152" i="28"/>
  <c r="L153" i="28"/>
  <c r="L154" i="28"/>
  <c r="L155" i="28"/>
  <c r="L156" i="28"/>
  <c r="L157" i="28"/>
  <c r="L158" i="28"/>
  <c r="L159" i="28"/>
  <c r="L160" i="28"/>
  <c r="L161" i="28"/>
  <c r="L162" i="28"/>
  <c r="L163" i="28"/>
  <c r="L164" i="28"/>
  <c r="L165" i="28"/>
  <c r="L166" i="28"/>
  <c r="L167" i="28"/>
  <c r="L168" i="28"/>
  <c r="L169" i="28"/>
  <c r="L170" i="28"/>
  <c r="L171" i="28"/>
  <c r="L172" i="28"/>
  <c r="L173" i="28"/>
  <c r="L174" i="28"/>
  <c r="L175" i="28"/>
  <c r="L176" i="28"/>
  <c r="L177" i="28"/>
  <c r="L178" i="28"/>
  <c r="L179" i="28"/>
  <c r="L180" i="28"/>
  <c r="L181" i="28"/>
  <c r="L182" i="28"/>
  <c r="L183" i="28"/>
  <c r="L184" i="28"/>
  <c r="L185" i="28"/>
  <c r="L186" i="28"/>
  <c r="L187" i="28"/>
  <c r="L188" i="28"/>
  <c r="L189" i="28"/>
  <c r="L190" i="28"/>
  <c r="L191" i="28"/>
  <c r="L192" i="28"/>
  <c r="L193" i="28"/>
  <c r="L194" i="28"/>
  <c r="L195" i="28"/>
  <c r="L196" i="28"/>
  <c r="L197" i="28"/>
  <c r="L198" i="28"/>
  <c r="L199" i="28"/>
  <c r="L200" i="28"/>
  <c r="L201" i="28"/>
  <c r="L202" i="28"/>
  <c r="L203" i="28"/>
  <c r="L204" i="28"/>
  <c r="L205" i="28"/>
  <c r="L206" i="28"/>
  <c r="L207" i="28"/>
  <c r="L208" i="28"/>
  <c r="L209" i="28"/>
  <c r="L210" i="28"/>
  <c r="L211" i="28"/>
  <c r="L212" i="28"/>
  <c r="L213" i="28"/>
  <c r="L214" i="28"/>
  <c r="L215" i="28"/>
  <c r="L216" i="28"/>
  <c r="L217" i="28"/>
  <c r="L218" i="28"/>
  <c r="L219" i="28"/>
  <c r="L220" i="28"/>
  <c r="L221" i="28"/>
  <c r="L222" i="28"/>
  <c r="L223" i="28"/>
  <c r="L224" i="28"/>
  <c r="L225" i="28"/>
  <c r="L226" i="28"/>
  <c r="L227" i="28"/>
  <c r="L228" i="28"/>
  <c r="L229" i="28"/>
  <c r="L230" i="28"/>
  <c r="L231" i="28"/>
  <c r="L232" i="28"/>
  <c r="L233" i="28"/>
  <c r="L234" i="28"/>
  <c r="L235" i="28"/>
  <c r="L236" i="28"/>
  <c r="L237" i="28"/>
  <c r="L238" i="28"/>
  <c r="L239" i="28"/>
  <c r="L240" i="28"/>
  <c r="L241" i="28"/>
  <c r="L242" i="28"/>
  <c r="L243" i="28"/>
  <c r="L244" i="28"/>
  <c r="L245" i="28"/>
  <c r="L246" i="28"/>
  <c r="L247" i="28"/>
  <c r="L248" i="28"/>
  <c r="L249" i="28"/>
  <c r="L250" i="28"/>
  <c r="L251" i="28"/>
  <c r="L252" i="28"/>
  <c r="L253" i="28"/>
  <c r="L254" i="28"/>
  <c r="L255" i="28"/>
  <c r="L256" i="28"/>
  <c r="L257" i="28"/>
  <c r="L258" i="28"/>
  <c r="L259" i="28"/>
  <c r="L260" i="28"/>
  <c r="L261" i="28"/>
  <c r="L262" i="28"/>
  <c r="L263" i="28"/>
  <c r="L264" i="28"/>
  <c r="L265" i="28"/>
  <c r="L266" i="28"/>
  <c r="L267" i="28"/>
  <c r="L268" i="28"/>
  <c r="L269" i="28"/>
  <c r="L270" i="28"/>
  <c r="L271" i="28"/>
  <c r="L272" i="28"/>
  <c r="L273" i="28"/>
  <c r="L274" i="28"/>
  <c r="L275" i="28"/>
  <c r="L276" i="28"/>
  <c r="L277" i="28"/>
  <c r="L278" i="28"/>
  <c r="L279" i="28"/>
  <c r="L280" i="28"/>
  <c r="L281" i="28"/>
  <c r="L282" i="28"/>
  <c r="L283" i="28"/>
  <c r="L284" i="28"/>
  <c r="L285" i="28"/>
  <c r="L286" i="28"/>
  <c r="L287" i="28"/>
  <c r="L288" i="28"/>
  <c r="L289" i="28"/>
  <c r="L290" i="28"/>
  <c r="L291" i="28"/>
  <c r="L292" i="28"/>
  <c r="L293" i="28"/>
  <c r="L294" i="28"/>
  <c r="L295" i="28"/>
  <c r="L296" i="28"/>
  <c r="L297" i="28"/>
  <c r="L298" i="28"/>
  <c r="L299" i="28"/>
  <c r="L300" i="28"/>
  <c r="L301" i="28"/>
  <c r="L302" i="28"/>
  <c r="L303" i="28"/>
  <c r="L304" i="28"/>
  <c r="L305" i="28"/>
  <c r="L306" i="28"/>
  <c r="L307" i="28"/>
  <c r="L308" i="28"/>
  <c r="L309" i="28"/>
  <c r="L310" i="28"/>
  <c r="L311" i="28"/>
  <c r="L312" i="28"/>
  <c r="L313" i="28"/>
  <c r="L314" i="28"/>
  <c r="L315" i="28"/>
  <c r="L316" i="28"/>
  <c r="L317" i="28"/>
  <c r="L318" i="28"/>
  <c r="L319" i="28"/>
  <c r="L320" i="28"/>
  <c r="L321" i="28"/>
  <c r="L322" i="28"/>
  <c r="L323" i="28"/>
  <c r="L324" i="28"/>
  <c r="L325" i="28"/>
  <c r="L326" i="28"/>
  <c r="L327" i="28"/>
  <c r="L328" i="28"/>
  <c r="L329" i="28"/>
  <c r="L330" i="28"/>
  <c r="L331" i="28"/>
  <c r="L332" i="28"/>
  <c r="L333" i="28"/>
  <c r="L334" i="28"/>
  <c r="L335" i="28"/>
  <c r="L336" i="28"/>
  <c r="L337" i="28"/>
  <c r="L338" i="28"/>
  <c r="L339" i="28"/>
  <c r="L340" i="28"/>
  <c r="L341" i="28"/>
  <c r="L342" i="28"/>
  <c r="L343" i="28"/>
  <c r="L344" i="28"/>
  <c r="L345" i="28"/>
  <c r="L346" i="28"/>
  <c r="L347" i="28"/>
  <c r="L348" i="28"/>
  <c r="L349" i="28"/>
  <c r="L350" i="28"/>
  <c r="L351" i="28"/>
  <c r="L352" i="28"/>
  <c r="L353" i="28"/>
  <c r="L354" i="28"/>
  <c r="L355" i="28"/>
  <c r="L356" i="28"/>
  <c r="L357" i="28"/>
  <c r="L358" i="28"/>
  <c r="L359" i="28"/>
  <c r="L360" i="28"/>
  <c r="L361" i="28"/>
  <c r="L362" i="28"/>
  <c r="L363" i="28"/>
  <c r="L364" i="28"/>
  <c r="L365" i="28"/>
  <c r="L366" i="28"/>
  <c r="L367" i="28"/>
  <c r="L368" i="28"/>
  <c r="L369" i="28"/>
  <c r="L370" i="28"/>
  <c r="L371" i="28"/>
  <c r="L372" i="28"/>
  <c r="L373" i="28"/>
  <c r="L374" i="28"/>
  <c r="L375" i="28"/>
  <c r="L376" i="28"/>
  <c r="L377" i="28"/>
  <c r="L378" i="28"/>
  <c r="L379" i="28"/>
  <c r="L380" i="28"/>
  <c r="L381" i="28"/>
  <c r="L382" i="28"/>
  <c r="L383" i="28"/>
  <c r="L384" i="28"/>
  <c r="L385" i="28"/>
  <c r="L386" i="28"/>
  <c r="L387" i="28"/>
  <c r="L388" i="28"/>
  <c r="L389" i="28"/>
  <c r="L390" i="28"/>
  <c r="L391" i="28"/>
  <c r="L392" i="28"/>
  <c r="L393" i="28"/>
  <c r="L394" i="28"/>
  <c r="L395" i="28"/>
  <c r="L396" i="28"/>
  <c r="L397" i="28"/>
  <c r="L398" i="28"/>
  <c r="L399" i="28"/>
  <c r="L400" i="28"/>
  <c r="L401" i="28"/>
  <c r="L402" i="28"/>
  <c r="L403" i="28"/>
  <c r="L404" i="28"/>
  <c r="L405" i="28"/>
  <c r="L406" i="28"/>
  <c r="L407" i="28"/>
  <c r="L408" i="28"/>
  <c r="L409" i="28"/>
  <c r="L410" i="28"/>
  <c r="L411" i="28"/>
  <c r="L412" i="28"/>
  <c r="L413" i="28"/>
  <c r="L414" i="28"/>
  <c r="L415" i="28"/>
  <c r="L416" i="28"/>
  <c r="L417" i="28"/>
  <c r="L418" i="28"/>
  <c r="L419" i="28"/>
  <c r="L420" i="28"/>
  <c r="L421" i="28"/>
  <c r="L422" i="28"/>
  <c r="L423" i="28"/>
  <c r="L424" i="28"/>
  <c r="L425" i="28"/>
  <c r="L426" i="28"/>
  <c r="L427" i="28"/>
  <c r="L428" i="28"/>
  <c r="L429" i="28"/>
  <c r="L430" i="28"/>
  <c r="L431" i="28"/>
  <c r="L432" i="28"/>
  <c r="L433" i="28"/>
  <c r="L434" i="28"/>
  <c r="L435" i="28"/>
  <c r="L436" i="28"/>
  <c r="L437" i="28"/>
  <c r="L438" i="28"/>
  <c r="L439" i="28"/>
  <c r="L440" i="28"/>
  <c r="L441" i="28"/>
  <c r="L442" i="28"/>
  <c r="L443" i="28"/>
  <c r="L444" i="28"/>
  <c r="L445" i="28"/>
  <c r="L446" i="28"/>
  <c r="L447" i="28"/>
  <c r="L448" i="28"/>
  <c r="L449" i="28"/>
  <c r="L450" i="28"/>
  <c r="L451" i="28"/>
  <c r="L452" i="28"/>
  <c r="L453" i="28"/>
  <c r="L454" i="28"/>
  <c r="L455" i="28"/>
  <c r="L456" i="28"/>
  <c r="L457" i="28"/>
  <c r="L458" i="28"/>
  <c r="L459" i="28"/>
  <c r="L460" i="28"/>
  <c r="L461" i="28"/>
  <c r="L462" i="28"/>
  <c r="L463" i="28"/>
  <c r="L464" i="28"/>
  <c r="L465" i="28"/>
  <c r="L466" i="28"/>
  <c r="L467" i="28"/>
  <c r="L468" i="28"/>
  <c r="L469" i="28"/>
  <c r="L470" i="28"/>
  <c r="L471" i="28"/>
  <c r="L472" i="28"/>
  <c r="L473" i="28"/>
  <c r="L474" i="28"/>
  <c r="L475" i="28"/>
  <c r="L476" i="28"/>
  <c r="L477" i="28"/>
  <c r="L478" i="28"/>
  <c r="L479" i="28"/>
  <c r="L480" i="28"/>
  <c r="L481" i="28"/>
  <c r="L482" i="28"/>
  <c r="L483" i="28"/>
  <c r="L484" i="28"/>
  <c r="L485" i="28"/>
  <c r="L486" i="28"/>
  <c r="L487" i="28"/>
  <c r="L488" i="28"/>
  <c r="L489" i="28"/>
  <c r="L490" i="28"/>
  <c r="L491" i="28"/>
  <c r="L492" i="28"/>
  <c r="L493" i="28"/>
  <c r="L494" i="28"/>
  <c r="L495" i="28"/>
  <c r="L496" i="28"/>
  <c r="L497" i="28"/>
  <c r="L498" i="28"/>
  <c r="L499" i="28"/>
  <c r="L500" i="28"/>
  <c r="L501" i="28"/>
  <c r="L502" i="28"/>
  <c r="L503" i="28"/>
  <c r="L504" i="28"/>
  <c r="L505" i="28"/>
  <c r="L506" i="28"/>
  <c r="L507" i="28"/>
  <c r="L508" i="28"/>
  <c r="L509" i="28"/>
  <c r="L510" i="28"/>
  <c r="L511" i="28"/>
  <c r="L512" i="28"/>
  <c r="L513" i="28"/>
  <c r="L514" i="28"/>
  <c r="L515" i="28"/>
  <c r="L516" i="28"/>
  <c r="L517" i="28"/>
  <c r="L518" i="28"/>
  <c r="L519" i="28"/>
  <c r="L520" i="28"/>
  <c r="L521" i="28"/>
  <c r="L522" i="28"/>
  <c r="L523" i="28"/>
  <c r="L524" i="28"/>
  <c r="L525" i="28"/>
  <c r="L526" i="28"/>
  <c r="L527" i="28"/>
  <c r="L528" i="28"/>
  <c r="L108" i="28"/>
  <c r="J109" i="28"/>
  <c r="J110" i="28"/>
  <c r="J111" i="28"/>
  <c r="J112" i="28"/>
  <c r="J113" i="28"/>
  <c r="J114" i="28"/>
  <c r="J115" i="28"/>
  <c r="J116" i="28"/>
  <c r="J117" i="28"/>
  <c r="J118" i="28"/>
  <c r="J119" i="28"/>
  <c r="J120" i="28"/>
  <c r="J121" i="28"/>
  <c r="J122" i="28"/>
  <c r="J123" i="28"/>
  <c r="J124" i="28"/>
  <c r="J125" i="28"/>
  <c r="J126" i="28"/>
  <c r="J127" i="28"/>
  <c r="J128" i="28"/>
  <c r="J129" i="28"/>
  <c r="J130" i="28"/>
  <c r="J131" i="28"/>
  <c r="J132" i="28"/>
  <c r="J133" i="28"/>
  <c r="J134" i="28"/>
  <c r="J135" i="28"/>
  <c r="J136" i="28"/>
  <c r="J137" i="28"/>
  <c r="J138" i="28"/>
  <c r="J139" i="28"/>
  <c r="J140" i="28"/>
  <c r="J141" i="28"/>
  <c r="J142" i="28"/>
  <c r="J143" i="28"/>
  <c r="J144" i="28"/>
  <c r="J145" i="28"/>
  <c r="J146" i="28"/>
  <c r="J147" i="28"/>
  <c r="J148" i="28"/>
  <c r="J149" i="28"/>
  <c r="J150" i="28"/>
  <c r="J151" i="28"/>
  <c r="J152" i="28"/>
  <c r="J153" i="28"/>
  <c r="J154" i="28"/>
  <c r="J155" i="28"/>
  <c r="J156" i="28"/>
  <c r="J157" i="28"/>
  <c r="J158" i="28"/>
  <c r="J159" i="28"/>
  <c r="J160" i="28"/>
  <c r="J161" i="28"/>
  <c r="J162" i="28"/>
  <c r="J163" i="28"/>
  <c r="J164" i="28"/>
  <c r="J165" i="28"/>
  <c r="J166" i="28"/>
  <c r="J167" i="28"/>
  <c r="J168" i="28"/>
  <c r="J169" i="28"/>
  <c r="J170" i="28"/>
  <c r="J171" i="28"/>
  <c r="J172" i="28"/>
  <c r="J173" i="28"/>
  <c r="J174" i="28"/>
  <c r="J175" i="28"/>
  <c r="J176" i="28"/>
  <c r="J177" i="28"/>
  <c r="J178" i="28"/>
  <c r="J179" i="28"/>
  <c r="J180" i="28"/>
  <c r="J181" i="28"/>
  <c r="J182" i="28"/>
  <c r="J183" i="28"/>
  <c r="J184" i="28"/>
  <c r="J185" i="28"/>
  <c r="J186" i="28"/>
  <c r="J187" i="28"/>
  <c r="J188" i="28"/>
  <c r="J189" i="28"/>
  <c r="J190" i="28"/>
  <c r="J191" i="28"/>
  <c r="J192" i="28"/>
  <c r="J193" i="28"/>
  <c r="J194" i="28"/>
  <c r="J195" i="28"/>
  <c r="J196" i="28"/>
  <c r="J197" i="28"/>
  <c r="J198" i="28"/>
  <c r="J199" i="28"/>
  <c r="J200" i="28"/>
  <c r="J201" i="28"/>
  <c r="J202" i="28"/>
  <c r="J203" i="28"/>
  <c r="J204" i="28"/>
  <c r="J205" i="28"/>
  <c r="J206" i="28"/>
  <c r="J207" i="28"/>
  <c r="J208" i="28"/>
  <c r="J209" i="28"/>
  <c r="J210" i="28"/>
  <c r="J211" i="28"/>
  <c r="J212" i="28"/>
  <c r="J213" i="28"/>
  <c r="J214" i="28"/>
  <c r="J215" i="28"/>
  <c r="J216" i="28"/>
  <c r="J217" i="28"/>
  <c r="J218" i="28"/>
  <c r="J219" i="28"/>
  <c r="J220" i="28"/>
  <c r="J221" i="28"/>
  <c r="J222" i="28"/>
  <c r="J223" i="28"/>
  <c r="J224" i="28"/>
  <c r="J225" i="28"/>
  <c r="J226" i="28"/>
  <c r="J227" i="28"/>
  <c r="J228" i="28"/>
  <c r="J229" i="28"/>
  <c r="J230" i="28"/>
  <c r="J231" i="28"/>
  <c r="J232" i="28"/>
  <c r="J233" i="28"/>
  <c r="J234" i="28"/>
  <c r="J235" i="28"/>
  <c r="J236" i="28"/>
  <c r="J237" i="28"/>
  <c r="J238" i="28"/>
  <c r="J239" i="28"/>
  <c r="J240" i="28"/>
  <c r="J241" i="28"/>
  <c r="J242" i="28"/>
  <c r="J243" i="28"/>
  <c r="J244" i="28"/>
  <c r="J245" i="28"/>
  <c r="J246" i="28"/>
  <c r="J247" i="28"/>
  <c r="J248" i="28"/>
  <c r="J249" i="28"/>
  <c r="J250" i="28"/>
  <c r="J251" i="28"/>
  <c r="J252" i="28"/>
  <c r="J253" i="28"/>
  <c r="J254" i="28"/>
  <c r="J255" i="28"/>
  <c r="J256" i="28"/>
  <c r="J257" i="28"/>
  <c r="J258" i="28"/>
  <c r="J259" i="28"/>
  <c r="J260" i="28"/>
  <c r="J261" i="28"/>
  <c r="J262" i="28"/>
  <c r="J263" i="28"/>
  <c r="J264" i="28"/>
  <c r="J265" i="28"/>
  <c r="J266" i="28"/>
  <c r="J267" i="28"/>
  <c r="J268" i="28"/>
  <c r="J269" i="28"/>
  <c r="J270" i="28"/>
  <c r="J271" i="28"/>
  <c r="J272" i="28"/>
  <c r="J273" i="28"/>
  <c r="J274" i="28"/>
  <c r="J275" i="28"/>
  <c r="J276" i="28"/>
  <c r="J277" i="28"/>
  <c r="J278" i="28"/>
  <c r="J279" i="28"/>
  <c r="J280" i="28"/>
  <c r="J281" i="28"/>
  <c r="J282" i="28"/>
  <c r="J283" i="28"/>
  <c r="J284" i="28"/>
  <c r="J285" i="28"/>
  <c r="J286" i="28"/>
  <c r="J287" i="28"/>
  <c r="J288" i="28"/>
  <c r="J289" i="28"/>
  <c r="J290" i="28"/>
  <c r="J291" i="28"/>
  <c r="J292" i="28"/>
  <c r="J293" i="28"/>
  <c r="J294" i="28"/>
  <c r="J295" i="28"/>
  <c r="J296" i="28"/>
  <c r="J297" i="28"/>
  <c r="J298" i="28"/>
  <c r="J299" i="28"/>
  <c r="J300" i="28"/>
  <c r="J301" i="28"/>
  <c r="J302" i="28"/>
  <c r="J303" i="28"/>
  <c r="J304" i="28"/>
  <c r="J305" i="28"/>
  <c r="J306" i="28"/>
  <c r="J307" i="28"/>
  <c r="J308" i="28"/>
  <c r="J309" i="28"/>
  <c r="J310" i="28"/>
  <c r="J311" i="28"/>
  <c r="J312" i="28"/>
  <c r="J313" i="28"/>
  <c r="J314" i="28"/>
  <c r="J315" i="28"/>
  <c r="J316" i="28"/>
  <c r="J317" i="28"/>
  <c r="J318" i="28"/>
  <c r="J319" i="28"/>
  <c r="J320" i="28"/>
  <c r="J321" i="28"/>
  <c r="J322" i="28"/>
  <c r="J323" i="28"/>
  <c r="J324" i="28"/>
  <c r="J325" i="28"/>
  <c r="J326" i="28"/>
  <c r="J327" i="28"/>
  <c r="J328" i="28"/>
  <c r="J329" i="28"/>
  <c r="J330" i="28"/>
  <c r="J331" i="28"/>
  <c r="J332" i="28"/>
  <c r="J333" i="28"/>
  <c r="J334" i="28"/>
  <c r="J335" i="28"/>
  <c r="J336" i="28"/>
  <c r="J337" i="28"/>
  <c r="J338" i="28"/>
  <c r="J339" i="28"/>
  <c r="J340" i="28"/>
  <c r="J341" i="28"/>
  <c r="J342" i="28"/>
  <c r="J343" i="28"/>
  <c r="J344" i="28"/>
  <c r="J345" i="28"/>
  <c r="J346" i="28"/>
  <c r="J347" i="28"/>
  <c r="J348" i="28"/>
  <c r="J349" i="28"/>
  <c r="J350" i="28"/>
  <c r="J351" i="28"/>
  <c r="J352" i="28"/>
  <c r="J353" i="28"/>
  <c r="J354" i="28"/>
  <c r="J355" i="28"/>
  <c r="J356" i="28"/>
  <c r="J357" i="28"/>
  <c r="J358" i="28"/>
  <c r="J359" i="28"/>
  <c r="J360" i="28"/>
  <c r="J361" i="28"/>
  <c r="J362" i="28"/>
  <c r="J363" i="28"/>
  <c r="J364" i="28"/>
  <c r="J365" i="28"/>
  <c r="J366" i="28"/>
  <c r="J367" i="28"/>
  <c r="J368" i="28"/>
  <c r="J369" i="28"/>
  <c r="J370" i="28"/>
  <c r="J371" i="28"/>
  <c r="J372" i="28"/>
  <c r="J373" i="28"/>
  <c r="J374" i="28"/>
  <c r="J375" i="28"/>
  <c r="J376" i="28"/>
  <c r="J377" i="28"/>
  <c r="J378" i="28"/>
  <c r="J379" i="28"/>
  <c r="J380" i="28"/>
  <c r="J381" i="28"/>
  <c r="J382" i="28"/>
  <c r="J383" i="28"/>
  <c r="J384" i="28"/>
  <c r="J385" i="28"/>
  <c r="J386" i="28"/>
  <c r="J387" i="28"/>
  <c r="J388" i="28"/>
  <c r="J389" i="28"/>
  <c r="J390" i="28"/>
  <c r="J391" i="28"/>
  <c r="J392" i="28"/>
  <c r="J393" i="28"/>
  <c r="J394" i="28"/>
  <c r="J395" i="28"/>
  <c r="J396" i="28"/>
  <c r="J397" i="28"/>
  <c r="J398" i="28"/>
  <c r="J399" i="28"/>
  <c r="J400" i="28"/>
  <c r="J401" i="28"/>
  <c r="J402" i="28"/>
  <c r="J403" i="28"/>
  <c r="J404" i="28"/>
  <c r="J405" i="28"/>
  <c r="J406" i="28"/>
  <c r="J407" i="28"/>
  <c r="J408" i="28"/>
  <c r="J409" i="28"/>
  <c r="J410" i="28"/>
  <c r="J411" i="28"/>
  <c r="J412" i="28"/>
  <c r="J413" i="28"/>
  <c r="J414" i="28"/>
  <c r="J415" i="28"/>
  <c r="J416" i="28"/>
  <c r="J417" i="28"/>
  <c r="J418" i="28"/>
  <c r="J419" i="28"/>
  <c r="J420" i="28"/>
  <c r="J421" i="28"/>
  <c r="J422" i="28"/>
  <c r="J423" i="28"/>
  <c r="J424" i="28"/>
  <c r="J425" i="28"/>
  <c r="J426" i="28"/>
  <c r="J427" i="28"/>
  <c r="J428" i="28"/>
  <c r="J429" i="28"/>
  <c r="J430" i="28"/>
  <c r="J431" i="28"/>
  <c r="J432" i="28"/>
  <c r="J433" i="28"/>
  <c r="J434" i="28"/>
  <c r="J435" i="28"/>
  <c r="J436" i="28"/>
  <c r="J437" i="28"/>
  <c r="J438" i="28"/>
  <c r="J439" i="28"/>
  <c r="J440" i="28"/>
  <c r="J441" i="28"/>
  <c r="J442" i="28"/>
  <c r="J443" i="28"/>
  <c r="J444" i="28"/>
  <c r="J445" i="28"/>
  <c r="J446" i="28"/>
  <c r="J447" i="28"/>
  <c r="J448" i="28"/>
  <c r="J449" i="28"/>
  <c r="J450" i="28"/>
  <c r="J451" i="28"/>
  <c r="J452" i="28"/>
  <c r="J453" i="28"/>
  <c r="J454" i="28"/>
  <c r="J455" i="28"/>
  <c r="J456" i="28"/>
  <c r="J457" i="28"/>
  <c r="J458" i="28"/>
  <c r="J459" i="28"/>
  <c r="J460" i="28"/>
  <c r="J461" i="28"/>
  <c r="J462" i="28"/>
  <c r="J463" i="28"/>
  <c r="J464" i="28"/>
  <c r="J465" i="28"/>
  <c r="J466" i="28"/>
  <c r="J467" i="28"/>
  <c r="J468" i="28"/>
  <c r="J469" i="28"/>
  <c r="J470" i="28"/>
  <c r="J471" i="28"/>
  <c r="J472" i="28"/>
  <c r="J473" i="28"/>
  <c r="J474" i="28"/>
  <c r="J475" i="28"/>
  <c r="J476" i="28"/>
  <c r="J477" i="28"/>
  <c r="J478" i="28"/>
  <c r="J479" i="28"/>
  <c r="J480" i="28"/>
  <c r="J481" i="28"/>
  <c r="J482" i="28"/>
  <c r="J483" i="28"/>
  <c r="J484" i="28"/>
  <c r="J485" i="28"/>
  <c r="J486" i="28"/>
  <c r="J487" i="28"/>
  <c r="J488" i="28"/>
  <c r="J489" i="28"/>
  <c r="J490" i="28"/>
  <c r="J491" i="28"/>
  <c r="J492" i="28"/>
  <c r="J493" i="28"/>
  <c r="J494" i="28"/>
  <c r="J495" i="28"/>
  <c r="J496" i="28"/>
  <c r="J497" i="28"/>
  <c r="J498" i="28"/>
  <c r="J499" i="28"/>
  <c r="J500" i="28"/>
  <c r="J501" i="28"/>
  <c r="J502" i="28"/>
  <c r="J503" i="28"/>
  <c r="J504" i="28"/>
  <c r="J505" i="28"/>
  <c r="J506" i="28"/>
  <c r="J507" i="28"/>
  <c r="J508" i="28"/>
  <c r="J509" i="28"/>
  <c r="J510" i="28"/>
  <c r="J511" i="28"/>
  <c r="J512" i="28"/>
  <c r="J513" i="28"/>
  <c r="J514" i="28"/>
  <c r="J515" i="28"/>
  <c r="J516" i="28"/>
  <c r="J517" i="28"/>
  <c r="J518" i="28"/>
  <c r="J519" i="28"/>
  <c r="J520" i="28"/>
  <c r="J521" i="28"/>
  <c r="J522" i="28"/>
  <c r="J523" i="28"/>
  <c r="J524" i="28"/>
  <c r="J525" i="28"/>
  <c r="J526" i="28"/>
  <c r="J527" i="28"/>
  <c r="J528" i="28"/>
  <c r="J108" i="28"/>
  <c r="I274" i="18"/>
  <c r="I283" i="18"/>
  <c r="I316" i="18"/>
  <c r="I325" i="18"/>
  <c r="I358" i="18"/>
  <c r="I402" i="18"/>
  <c r="I411" i="18"/>
  <c r="I444" i="18"/>
  <c r="I453" i="18"/>
  <c r="I476" i="18"/>
  <c r="I484" i="18"/>
  <c r="I507" i="18"/>
  <c r="I508" i="18"/>
  <c r="I538" i="18"/>
  <c r="I539" i="18"/>
  <c r="I562" i="18"/>
  <c r="I570" i="18"/>
  <c r="I590" i="18"/>
  <c r="I612" i="18"/>
  <c r="I636" i="18"/>
  <c r="I676" i="18"/>
  <c r="I677" i="18"/>
  <c r="I742" i="18"/>
  <c r="I803" i="18"/>
  <c r="I804" i="18"/>
  <c r="I818" i="18"/>
  <c r="I828" i="18"/>
  <c r="I842" i="18"/>
  <c r="I843" i="18"/>
  <c r="I854" i="18"/>
  <c r="I882" i="18"/>
  <c r="I906" i="18"/>
  <c r="I946" i="18"/>
  <c r="I957" i="18"/>
  <c r="I970" i="18"/>
  <c r="I1010" i="18"/>
  <c r="I1034" i="18"/>
  <c r="I1074" i="18"/>
  <c r="I1097" i="18"/>
  <c r="I1106" i="18"/>
  <c r="I1138" i="18"/>
  <c r="I1149" i="18"/>
  <c r="I1170" i="18"/>
  <c r="G254" i="18"/>
  <c r="G255" i="18"/>
  <c r="G256" i="18"/>
  <c r="G257" i="18"/>
  <c r="G258" i="18"/>
  <c r="G259" i="18"/>
  <c r="G260" i="18"/>
  <c r="G261" i="18"/>
  <c r="G262" i="18"/>
  <c r="G263" i="18"/>
  <c r="G264" i="18"/>
  <c r="G265" i="18"/>
  <c r="G266" i="18"/>
  <c r="G267" i="18"/>
  <c r="G268" i="18"/>
  <c r="G269" i="18"/>
  <c r="G270" i="18"/>
  <c r="G271" i="18"/>
  <c r="G272" i="18"/>
  <c r="G273" i="18"/>
  <c r="G274" i="18"/>
  <c r="G275" i="18"/>
  <c r="G276" i="18"/>
  <c r="G277" i="18"/>
  <c r="G278" i="18"/>
  <c r="G279" i="18"/>
  <c r="G280" i="18"/>
  <c r="G281" i="18"/>
  <c r="G282" i="18"/>
  <c r="G283" i="18"/>
  <c r="G284" i="18"/>
  <c r="G285" i="18"/>
  <c r="G286" i="18"/>
  <c r="G287" i="18"/>
  <c r="G288" i="18"/>
  <c r="G289" i="18"/>
  <c r="G290" i="18"/>
  <c r="G291" i="18"/>
  <c r="G292" i="18"/>
  <c r="G293" i="18"/>
  <c r="G294" i="18"/>
  <c r="G295" i="18"/>
  <c r="G296" i="18"/>
  <c r="G297" i="18"/>
  <c r="G298" i="18"/>
  <c r="G299" i="18"/>
  <c r="G300" i="18"/>
  <c r="G301" i="18"/>
  <c r="G302" i="18"/>
  <c r="G303" i="18"/>
  <c r="G304" i="18"/>
  <c r="G305" i="18"/>
  <c r="G306" i="18"/>
  <c r="G307" i="18"/>
  <c r="G308" i="18"/>
  <c r="G309" i="18"/>
  <c r="G310" i="18"/>
  <c r="G311" i="18"/>
  <c r="G312" i="18"/>
  <c r="G313" i="18"/>
  <c r="G314" i="18"/>
  <c r="G315" i="18"/>
  <c r="G316" i="18"/>
  <c r="G317" i="18"/>
  <c r="G318" i="18"/>
  <c r="G319" i="18"/>
  <c r="G320" i="18"/>
  <c r="G321" i="18"/>
  <c r="G322" i="18"/>
  <c r="G323" i="18"/>
  <c r="G324" i="18"/>
  <c r="G325" i="18"/>
  <c r="G326" i="18"/>
  <c r="G327" i="18"/>
  <c r="G328" i="18"/>
  <c r="G329" i="18"/>
  <c r="G330" i="18"/>
  <c r="G331" i="18"/>
  <c r="G332" i="18"/>
  <c r="G333" i="18"/>
  <c r="G334" i="18"/>
  <c r="G335" i="18"/>
  <c r="G336" i="18"/>
  <c r="G337" i="18"/>
  <c r="G338" i="18"/>
  <c r="G339" i="18"/>
  <c r="G340" i="18"/>
  <c r="G341" i="18"/>
  <c r="G342" i="18"/>
  <c r="G343" i="18"/>
  <c r="G344" i="18"/>
  <c r="G345" i="18"/>
  <c r="G346" i="18"/>
  <c r="G347" i="18"/>
  <c r="G348" i="18"/>
  <c r="G349" i="18"/>
  <c r="G350" i="18"/>
  <c r="G351" i="18"/>
  <c r="G352" i="18"/>
  <c r="G353" i="18"/>
  <c r="G354" i="18"/>
  <c r="G355" i="18"/>
  <c r="G356" i="18"/>
  <c r="G357" i="18"/>
  <c r="G358" i="18"/>
  <c r="G359" i="18"/>
  <c r="G360" i="18"/>
  <c r="G361" i="18"/>
  <c r="G362" i="18"/>
  <c r="G363" i="18"/>
  <c r="G364" i="18"/>
  <c r="G365" i="18"/>
  <c r="G366" i="18"/>
  <c r="G367" i="18"/>
  <c r="G368" i="18"/>
  <c r="G369" i="18"/>
  <c r="G370" i="18"/>
  <c r="G371" i="18"/>
  <c r="G372" i="18"/>
  <c r="G373" i="18"/>
  <c r="G374" i="18"/>
  <c r="G375" i="18"/>
  <c r="G376" i="18"/>
  <c r="G377" i="18"/>
  <c r="G378" i="18"/>
  <c r="G379" i="18"/>
  <c r="G380" i="18"/>
  <c r="G381" i="18"/>
  <c r="G382" i="18"/>
  <c r="G383" i="18"/>
  <c r="G384" i="18"/>
  <c r="G385" i="18"/>
  <c r="G386" i="18"/>
  <c r="G387" i="18"/>
  <c r="G388" i="18"/>
  <c r="G389" i="18"/>
  <c r="G390" i="18"/>
  <c r="G391" i="18"/>
  <c r="G392" i="18"/>
  <c r="G393" i="18"/>
  <c r="G394" i="18"/>
  <c r="G395" i="18"/>
  <c r="G396" i="18"/>
  <c r="G397" i="18"/>
  <c r="G398" i="18"/>
  <c r="G399" i="18"/>
  <c r="G400" i="18"/>
  <c r="G401" i="18"/>
  <c r="G402" i="18"/>
  <c r="G403" i="18"/>
  <c r="G404" i="18"/>
  <c r="G405" i="18"/>
  <c r="G406" i="18"/>
  <c r="G407" i="18"/>
  <c r="G408" i="18"/>
  <c r="G409" i="18"/>
  <c r="G410" i="18"/>
  <c r="G411" i="18"/>
  <c r="G412" i="18"/>
  <c r="G413" i="18"/>
  <c r="G414" i="18"/>
  <c r="G415" i="18"/>
  <c r="G416" i="18"/>
  <c r="G417" i="18"/>
  <c r="G418" i="18"/>
  <c r="G419" i="18"/>
  <c r="G420" i="18"/>
  <c r="G421" i="18"/>
  <c r="G422" i="18"/>
  <c r="G423" i="18"/>
  <c r="G424" i="18"/>
  <c r="G425" i="18"/>
  <c r="G426" i="18"/>
  <c r="G427" i="18"/>
  <c r="G428" i="18"/>
  <c r="G429" i="18"/>
  <c r="G430" i="18"/>
  <c r="G431" i="18"/>
  <c r="G432" i="18"/>
  <c r="G433" i="18"/>
  <c r="G434" i="18"/>
  <c r="G435" i="18"/>
  <c r="G436" i="18"/>
  <c r="G437" i="18"/>
  <c r="G438" i="18"/>
  <c r="G439" i="18"/>
  <c r="G440" i="18"/>
  <c r="G441" i="18"/>
  <c r="G442" i="18"/>
  <c r="G443" i="18"/>
  <c r="G444" i="18"/>
  <c r="G445" i="18"/>
  <c r="G446" i="18"/>
  <c r="G447" i="18"/>
  <c r="G448" i="18"/>
  <c r="G449" i="18"/>
  <c r="G450" i="18"/>
  <c r="G451" i="18"/>
  <c r="G452" i="18"/>
  <c r="G453" i="18"/>
  <c r="G454" i="18"/>
  <c r="G455" i="18"/>
  <c r="G456" i="18"/>
  <c r="G457" i="18"/>
  <c r="G458" i="18"/>
  <c r="G459" i="18"/>
  <c r="G460" i="18"/>
  <c r="G461" i="18"/>
  <c r="G462" i="18"/>
  <c r="G463" i="18"/>
  <c r="G464" i="18"/>
  <c r="G465" i="18"/>
  <c r="G466" i="18"/>
  <c r="G467" i="18"/>
  <c r="G468" i="18"/>
  <c r="G469" i="18"/>
  <c r="G470" i="18"/>
  <c r="G471" i="18"/>
  <c r="G472" i="18"/>
  <c r="G473" i="18"/>
  <c r="G474" i="18"/>
  <c r="G475" i="18"/>
  <c r="G476" i="18"/>
  <c r="G477" i="18"/>
  <c r="G478" i="18"/>
  <c r="G479" i="18"/>
  <c r="G480" i="18"/>
  <c r="G481" i="18"/>
  <c r="G482" i="18"/>
  <c r="G483" i="18"/>
  <c r="G484" i="18"/>
  <c r="G485" i="18"/>
  <c r="G486" i="18"/>
  <c r="G487" i="18"/>
  <c r="G488" i="18"/>
  <c r="G489" i="18"/>
  <c r="G490" i="18"/>
  <c r="G491" i="18"/>
  <c r="G492" i="18"/>
  <c r="G493" i="18"/>
  <c r="G494" i="18"/>
  <c r="G495" i="18"/>
  <c r="G496" i="18"/>
  <c r="G497" i="18"/>
  <c r="G498" i="18"/>
  <c r="G499" i="18"/>
  <c r="G500" i="18"/>
  <c r="G501" i="18"/>
  <c r="G502" i="18"/>
  <c r="G503" i="18"/>
  <c r="G504" i="18"/>
  <c r="G505" i="18"/>
  <c r="G506" i="18"/>
  <c r="G507" i="18"/>
  <c r="G508" i="18"/>
  <c r="G509" i="18"/>
  <c r="G510" i="18"/>
  <c r="G511" i="18"/>
  <c r="G512" i="18"/>
  <c r="G513" i="18"/>
  <c r="G514" i="18"/>
  <c r="G515" i="18"/>
  <c r="G516" i="18"/>
  <c r="G517" i="18"/>
  <c r="G518" i="18"/>
  <c r="G519" i="18"/>
  <c r="G520" i="18"/>
  <c r="G521" i="18"/>
  <c r="G522" i="18"/>
  <c r="G523" i="18"/>
  <c r="G524" i="18"/>
  <c r="G525" i="18"/>
  <c r="G526" i="18"/>
  <c r="G527" i="18"/>
  <c r="G528" i="18"/>
  <c r="G529" i="18"/>
  <c r="G530" i="18"/>
  <c r="G531" i="18"/>
  <c r="G532" i="18"/>
  <c r="G533" i="18"/>
  <c r="G534" i="18"/>
  <c r="G535" i="18"/>
  <c r="G536" i="18"/>
  <c r="G537" i="18"/>
  <c r="G538" i="18"/>
  <c r="G539" i="18"/>
  <c r="G540" i="18"/>
  <c r="G541" i="18"/>
  <c r="G542" i="18"/>
  <c r="G543" i="18"/>
  <c r="G544" i="18"/>
  <c r="G545" i="18"/>
  <c r="G546" i="18"/>
  <c r="G547" i="18"/>
  <c r="G548" i="18"/>
  <c r="G549" i="18"/>
  <c r="G550" i="18"/>
  <c r="G551" i="18"/>
  <c r="G552" i="18"/>
  <c r="G553" i="18"/>
  <c r="G554" i="18"/>
  <c r="G555" i="18"/>
  <c r="G556" i="18"/>
  <c r="G557" i="18"/>
  <c r="G558" i="18"/>
  <c r="G559" i="18"/>
  <c r="G560" i="18"/>
  <c r="G561" i="18"/>
  <c r="G562" i="18"/>
  <c r="G563" i="18"/>
  <c r="G564" i="18"/>
  <c r="G565" i="18"/>
  <c r="G566" i="18"/>
  <c r="G567" i="18"/>
  <c r="G568" i="18"/>
  <c r="G569" i="18"/>
  <c r="G570" i="18"/>
  <c r="G571" i="18"/>
  <c r="G572" i="18"/>
  <c r="G573" i="18"/>
  <c r="G574" i="18"/>
  <c r="G575" i="18"/>
  <c r="G576" i="18"/>
  <c r="G577" i="18"/>
  <c r="G578" i="18"/>
  <c r="G579" i="18"/>
  <c r="G580" i="18"/>
  <c r="G581" i="18"/>
  <c r="G582" i="18"/>
  <c r="G583" i="18"/>
  <c r="G584" i="18"/>
  <c r="G585" i="18"/>
  <c r="G586" i="18"/>
  <c r="G587" i="18"/>
  <c r="G588" i="18"/>
  <c r="G589" i="18"/>
  <c r="G590" i="18"/>
  <c r="G591" i="18"/>
  <c r="G592" i="18"/>
  <c r="G593" i="18"/>
  <c r="G594" i="18"/>
  <c r="G595" i="18"/>
  <c r="G596" i="18"/>
  <c r="G597" i="18"/>
  <c r="G598" i="18"/>
  <c r="G599" i="18"/>
  <c r="G600" i="18"/>
  <c r="G601" i="18"/>
  <c r="G602" i="18"/>
  <c r="G603" i="18"/>
  <c r="G604" i="18"/>
  <c r="G605" i="18"/>
  <c r="G606" i="18"/>
  <c r="G607" i="18"/>
  <c r="G608" i="18"/>
  <c r="G609" i="18"/>
  <c r="G610" i="18"/>
  <c r="G611" i="18"/>
  <c r="G612" i="18"/>
  <c r="G613" i="18"/>
  <c r="G614" i="18"/>
  <c r="G615" i="18"/>
  <c r="G616" i="18"/>
  <c r="G617" i="18"/>
  <c r="G618" i="18"/>
  <c r="G619" i="18"/>
  <c r="G620" i="18"/>
  <c r="G621" i="18"/>
  <c r="G622" i="18"/>
  <c r="G623" i="18"/>
  <c r="G624" i="18"/>
  <c r="G625" i="18"/>
  <c r="G626" i="18"/>
  <c r="G627" i="18"/>
  <c r="G628" i="18"/>
  <c r="G629" i="18"/>
  <c r="G630" i="18"/>
  <c r="G631" i="18"/>
  <c r="G632" i="18"/>
  <c r="G633" i="18"/>
  <c r="G634" i="18"/>
  <c r="G635" i="18"/>
  <c r="G636" i="18"/>
  <c r="G637" i="18"/>
  <c r="G638" i="18"/>
  <c r="G639" i="18"/>
  <c r="G640" i="18"/>
  <c r="G641" i="18"/>
  <c r="G642" i="18"/>
  <c r="G643" i="18"/>
  <c r="G644" i="18"/>
  <c r="G645" i="18"/>
  <c r="G646" i="18"/>
  <c r="G647" i="18"/>
  <c r="G648" i="18"/>
  <c r="G649" i="18"/>
  <c r="G650" i="18"/>
  <c r="G651" i="18"/>
  <c r="G652" i="18"/>
  <c r="G653" i="18"/>
  <c r="G654" i="18"/>
  <c r="G655" i="18"/>
  <c r="G656" i="18"/>
  <c r="G657" i="18"/>
  <c r="G658" i="18"/>
  <c r="G659" i="18"/>
  <c r="G660" i="18"/>
  <c r="G661" i="18"/>
  <c r="G662" i="18"/>
  <c r="G663" i="18"/>
  <c r="G664" i="18"/>
  <c r="G665" i="18"/>
  <c r="G666" i="18"/>
  <c r="G667" i="18"/>
  <c r="G668" i="18"/>
  <c r="G669" i="18"/>
  <c r="G670" i="18"/>
  <c r="G671" i="18"/>
  <c r="G672" i="18"/>
  <c r="G673" i="18"/>
  <c r="G674" i="18"/>
  <c r="G675" i="18"/>
  <c r="G676" i="18"/>
  <c r="G677" i="18"/>
  <c r="G678" i="18"/>
  <c r="G679" i="18"/>
  <c r="G680" i="18"/>
  <c r="G681" i="18"/>
  <c r="G682" i="18"/>
  <c r="G683" i="18"/>
  <c r="G684" i="18"/>
  <c r="G685" i="18"/>
  <c r="G686" i="18"/>
  <c r="G687" i="18"/>
  <c r="G688" i="18"/>
  <c r="G689" i="18"/>
  <c r="G690" i="18"/>
  <c r="G691" i="18"/>
  <c r="G692" i="18"/>
  <c r="G693" i="18"/>
  <c r="G694" i="18"/>
  <c r="G695" i="18"/>
  <c r="G696" i="18"/>
  <c r="G697" i="18"/>
  <c r="G698" i="18"/>
  <c r="G699" i="18"/>
  <c r="G700" i="18"/>
  <c r="G701" i="18"/>
  <c r="G702" i="18"/>
  <c r="G703" i="18"/>
  <c r="G704" i="18"/>
  <c r="G705" i="18"/>
  <c r="G706" i="18"/>
  <c r="G707" i="18"/>
  <c r="G708" i="18"/>
  <c r="G709" i="18"/>
  <c r="G710" i="18"/>
  <c r="G711" i="18"/>
  <c r="G712" i="18"/>
  <c r="G713" i="18"/>
  <c r="G714" i="18"/>
  <c r="G715" i="18"/>
  <c r="G716" i="18"/>
  <c r="G717" i="18"/>
  <c r="G718" i="18"/>
  <c r="G719" i="18"/>
  <c r="G720" i="18"/>
  <c r="G721" i="18"/>
  <c r="G722" i="18"/>
  <c r="G723" i="18"/>
  <c r="G724" i="18"/>
  <c r="G725" i="18"/>
  <c r="G726" i="18"/>
  <c r="G727" i="18"/>
  <c r="G728" i="18"/>
  <c r="G729" i="18"/>
  <c r="G730" i="18"/>
  <c r="G731" i="18"/>
  <c r="G732" i="18"/>
  <c r="G733" i="18"/>
  <c r="G734" i="18"/>
  <c r="G735" i="18"/>
  <c r="G736" i="18"/>
  <c r="G737" i="18"/>
  <c r="G738" i="18"/>
  <c r="G739" i="18"/>
  <c r="G740" i="18"/>
  <c r="G741" i="18"/>
  <c r="G742" i="18"/>
  <c r="G743" i="18"/>
  <c r="G744" i="18"/>
  <c r="G745" i="18"/>
  <c r="G746" i="18"/>
  <c r="G747" i="18"/>
  <c r="G748" i="18"/>
  <c r="G749" i="18"/>
  <c r="G750" i="18"/>
  <c r="G751" i="18"/>
  <c r="G752" i="18"/>
  <c r="G753" i="18"/>
  <c r="G754" i="18"/>
  <c r="G755" i="18"/>
  <c r="G756" i="18"/>
  <c r="G757" i="18"/>
  <c r="G758" i="18"/>
  <c r="G759" i="18"/>
  <c r="G760" i="18"/>
  <c r="G761" i="18"/>
  <c r="G762" i="18"/>
  <c r="G763" i="18"/>
  <c r="G764" i="18"/>
  <c r="G765" i="18"/>
  <c r="G766" i="18"/>
  <c r="G767" i="18"/>
  <c r="G768" i="18"/>
  <c r="G769" i="18"/>
  <c r="G770" i="18"/>
  <c r="G771" i="18"/>
  <c r="G772" i="18"/>
  <c r="G773" i="18"/>
  <c r="G774" i="18"/>
  <c r="G775" i="18"/>
  <c r="G776" i="18"/>
  <c r="G777" i="18"/>
  <c r="G778" i="18"/>
  <c r="G779" i="18"/>
  <c r="G780" i="18"/>
  <c r="G781" i="18"/>
  <c r="G782" i="18"/>
  <c r="G783" i="18"/>
  <c r="G784" i="18"/>
  <c r="G785" i="18"/>
  <c r="G786" i="18"/>
  <c r="G787" i="18"/>
  <c r="G788" i="18"/>
  <c r="G789" i="18"/>
  <c r="G790" i="18"/>
  <c r="G791" i="18"/>
  <c r="G792" i="18"/>
  <c r="G793" i="18"/>
  <c r="G794" i="18"/>
  <c r="G795" i="18"/>
  <c r="G796" i="18"/>
  <c r="G797" i="18"/>
  <c r="G798" i="18"/>
  <c r="G799" i="18"/>
  <c r="G800" i="18"/>
  <c r="G801" i="18"/>
  <c r="G802" i="18"/>
  <c r="G803" i="18"/>
  <c r="G804" i="18"/>
  <c r="G805" i="18"/>
  <c r="G806" i="18"/>
  <c r="G807" i="18"/>
  <c r="G808" i="18"/>
  <c r="G809" i="18"/>
  <c r="G810" i="18"/>
  <c r="G811" i="18"/>
  <c r="G812" i="18"/>
  <c r="G813" i="18"/>
  <c r="G814" i="18"/>
  <c r="G815" i="18"/>
  <c r="G816" i="18"/>
  <c r="G817" i="18"/>
  <c r="G818" i="18"/>
  <c r="G819" i="18"/>
  <c r="G820" i="18"/>
  <c r="G821" i="18"/>
  <c r="G822" i="18"/>
  <c r="G823" i="18"/>
  <c r="G824" i="18"/>
  <c r="G825" i="18"/>
  <c r="G826" i="18"/>
  <c r="G827" i="18"/>
  <c r="G828" i="18"/>
  <c r="G829" i="18"/>
  <c r="G830" i="18"/>
  <c r="G831" i="18"/>
  <c r="G832" i="18"/>
  <c r="G833" i="18"/>
  <c r="G834" i="18"/>
  <c r="G835" i="18"/>
  <c r="G836" i="18"/>
  <c r="G837" i="18"/>
  <c r="G838" i="18"/>
  <c r="G839" i="18"/>
  <c r="G840" i="18"/>
  <c r="G841" i="18"/>
  <c r="G842" i="18"/>
  <c r="G843" i="18"/>
  <c r="G844" i="18"/>
  <c r="G845" i="18"/>
  <c r="G846" i="18"/>
  <c r="G847" i="18"/>
  <c r="G848" i="18"/>
  <c r="G849" i="18"/>
  <c r="G850" i="18"/>
  <c r="G851" i="18"/>
  <c r="G852" i="18"/>
  <c r="G853" i="18"/>
  <c r="G854" i="18"/>
  <c r="G855" i="18"/>
  <c r="G856" i="18"/>
  <c r="G857" i="18"/>
  <c r="G858" i="18"/>
  <c r="G859" i="18"/>
  <c r="G860" i="18"/>
  <c r="G861" i="18"/>
  <c r="G862" i="18"/>
  <c r="G863" i="18"/>
  <c r="G864" i="18"/>
  <c r="G865" i="18"/>
  <c r="G866" i="18"/>
  <c r="G867" i="18"/>
  <c r="G868" i="18"/>
  <c r="G869" i="18"/>
  <c r="G870" i="18"/>
  <c r="G871" i="18"/>
  <c r="G872" i="18"/>
  <c r="G873" i="18"/>
  <c r="G874" i="18"/>
  <c r="G875" i="18"/>
  <c r="G876" i="18"/>
  <c r="G877" i="18"/>
  <c r="G878" i="18"/>
  <c r="G879" i="18"/>
  <c r="G880" i="18"/>
  <c r="G881" i="18"/>
  <c r="G882" i="18"/>
  <c r="G883" i="18"/>
  <c r="G884" i="18"/>
  <c r="G885" i="18"/>
  <c r="G886" i="18"/>
  <c r="G887" i="18"/>
  <c r="G888" i="18"/>
  <c r="G889" i="18"/>
  <c r="G890" i="18"/>
  <c r="G891" i="18"/>
  <c r="G892" i="18"/>
  <c r="G893" i="18"/>
  <c r="G894" i="18"/>
  <c r="G895" i="18"/>
  <c r="G896" i="18"/>
  <c r="G897" i="18"/>
  <c r="G898" i="18"/>
  <c r="G899" i="18"/>
  <c r="G900" i="18"/>
  <c r="G901" i="18"/>
  <c r="G902" i="18"/>
  <c r="G903" i="18"/>
  <c r="G904" i="18"/>
  <c r="G905" i="18"/>
  <c r="G906" i="18"/>
  <c r="G907" i="18"/>
  <c r="G908" i="18"/>
  <c r="G909" i="18"/>
  <c r="G910" i="18"/>
  <c r="G911" i="18"/>
  <c r="G912" i="18"/>
  <c r="G913" i="18"/>
  <c r="G914" i="18"/>
  <c r="G915" i="18"/>
  <c r="G916" i="18"/>
  <c r="G917" i="18"/>
  <c r="G918" i="18"/>
  <c r="G919" i="18"/>
  <c r="G920" i="18"/>
  <c r="G921" i="18"/>
  <c r="G922" i="18"/>
  <c r="G923" i="18"/>
  <c r="G924" i="18"/>
  <c r="G925" i="18"/>
  <c r="G926" i="18"/>
  <c r="G927" i="18"/>
  <c r="G928" i="18"/>
  <c r="G929" i="18"/>
  <c r="G930" i="18"/>
  <c r="G931" i="18"/>
  <c r="G932" i="18"/>
  <c r="G933" i="18"/>
  <c r="G934" i="18"/>
  <c r="G935" i="18"/>
  <c r="G936" i="18"/>
  <c r="G937" i="18"/>
  <c r="G938" i="18"/>
  <c r="G939" i="18"/>
  <c r="G940" i="18"/>
  <c r="G941" i="18"/>
  <c r="G942" i="18"/>
  <c r="G943" i="18"/>
  <c r="G944" i="18"/>
  <c r="G945" i="18"/>
  <c r="G946" i="18"/>
  <c r="G947" i="18"/>
  <c r="G948" i="18"/>
  <c r="G949" i="18"/>
  <c r="G950" i="18"/>
  <c r="G951" i="18"/>
  <c r="G952" i="18"/>
  <c r="G953" i="18"/>
  <c r="G954" i="18"/>
  <c r="G955" i="18"/>
  <c r="G956" i="18"/>
  <c r="G957" i="18"/>
  <c r="G958" i="18"/>
  <c r="G959" i="18"/>
  <c r="G960" i="18"/>
  <c r="G961" i="18"/>
  <c r="G962" i="18"/>
  <c r="G963" i="18"/>
  <c r="G964" i="18"/>
  <c r="G965" i="18"/>
  <c r="G966" i="18"/>
  <c r="G967" i="18"/>
  <c r="G968" i="18"/>
  <c r="G969" i="18"/>
  <c r="G970" i="18"/>
  <c r="G971" i="18"/>
  <c r="G972" i="18"/>
  <c r="G973" i="18"/>
  <c r="G974" i="18"/>
  <c r="G975" i="18"/>
  <c r="G976" i="18"/>
  <c r="G977" i="18"/>
  <c r="G978" i="18"/>
  <c r="G979" i="18"/>
  <c r="G980" i="18"/>
  <c r="G981" i="18"/>
  <c r="G982" i="18"/>
  <c r="G983" i="18"/>
  <c r="G984" i="18"/>
  <c r="G985" i="18"/>
  <c r="G986" i="18"/>
  <c r="G987" i="18"/>
  <c r="G988" i="18"/>
  <c r="G989" i="18"/>
  <c r="G990" i="18"/>
  <c r="G991" i="18"/>
  <c r="G992" i="18"/>
  <c r="G993" i="18"/>
  <c r="G994" i="18"/>
  <c r="G995" i="18"/>
  <c r="G996" i="18"/>
  <c r="G997" i="18"/>
  <c r="G998" i="18"/>
  <c r="G999" i="18"/>
  <c r="G1000" i="18"/>
  <c r="G1001" i="18"/>
  <c r="G1002" i="18"/>
  <c r="G1003" i="18"/>
  <c r="G1004" i="18"/>
  <c r="G1005" i="18"/>
  <c r="G1006" i="18"/>
  <c r="G1007" i="18"/>
  <c r="G1008" i="18"/>
  <c r="G1009" i="18"/>
  <c r="G1010" i="18"/>
  <c r="G1011" i="18"/>
  <c r="G1012" i="18"/>
  <c r="G1013" i="18"/>
  <c r="G1014" i="18"/>
  <c r="G1015" i="18"/>
  <c r="G1016" i="18"/>
  <c r="G1017" i="18"/>
  <c r="G1018" i="18"/>
  <c r="G1019" i="18"/>
  <c r="G1020" i="18"/>
  <c r="G1021" i="18"/>
  <c r="G1022" i="18"/>
  <c r="G1023" i="18"/>
  <c r="G1024" i="18"/>
  <c r="G1025" i="18"/>
  <c r="G1026" i="18"/>
  <c r="G1027" i="18"/>
  <c r="G1028" i="18"/>
  <c r="G1029" i="18"/>
  <c r="G1030" i="18"/>
  <c r="G1031" i="18"/>
  <c r="G1032" i="18"/>
  <c r="G1033" i="18"/>
  <c r="G1034" i="18"/>
  <c r="G1035" i="18"/>
  <c r="G1036" i="18"/>
  <c r="G1037" i="18"/>
  <c r="G1038" i="18"/>
  <c r="G1039" i="18"/>
  <c r="G1040" i="18"/>
  <c r="G1041" i="18"/>
  <c r="G1042" i="18"/>
  <c r="G1043" i="18"/>
  <c r="G1044" i="18"/>
  <c r="G1045" i="18"/>
  <c r="G1046" i="18"/>
  <c r="G1047" i="18"/>
  <c r="G1048" i="18"/>
  <c r="G1049" i="18"/>
  <c r="G1050" i="18"/>
  <c r="G1051" i="18"/>
  <c r="G1052" i="18"/>
  <c r="G1053" i="18"/>
  <c r="G1054" i="18"/>
  <c r="G1055" i="18"/>
  <c r="G1056" i="18"/>
  <c r="G1057" i="18"/>
  <c r="G1058" i="18"/>
  <c r="G1059" i="18"/>
  <c r="G1060" i="18"/>
  <c r="G1061" i="18"/>
  <c r="G1062" i="18"/>
  <c r="G1063" i="18"/>
  <c r="G1064" i="18"/>
  <c r="G1065" i="18"/>
  <c r="G1066" i="18"/>
  <c r="G1067" i="18"/>
  <c r="G1068" i="18"/>
  <c r="G1069" i="18"/>
  <c r="G1070" i="18"/>
  <c r="G1071" i="18"/>
  <c r="G1072" i="18"/>
  <c r="G1073" i="18"/>
  <c r="G1074" i="18"/>
  <c r="G1075" i="18"/>
  <c r="G1076" i="18"/>
  <c r="G1077" i="18"/>
  <c r="G1078" i="18"/>
  <c r="G1079" i="18"/>
  <c r="G1080" i="18"/>
  <c r="G1081" i="18"/>
  <c r="G1082" i="18"/>
  <c r="G1083" i="18"/>
  <c r="G1084" i="18"/>
  <c r="G1085" i="18"/>
  <c r="G1086" i="18"/>
  <c r="G1087" i="18"/>
  <c r="G1088" i="18"/>
  <c r="G1089" i="18"/>
  <c r="G1090" i="18"/>
  <c r="G1091" i="18"/>
  <c r="G1092" i="18"/>
  <c r="G1093" i="18"/>
  <c r="G1094" i="18"/>
  <c r="G1095" i="18"/>
  <c r="G1096" i="18"/>
  <c r="G1097" i="18"/>
  <c r="G1098" i="18"/>
  <c r="G1099" i="18"/>
  <c r="G1100" i="18"/>
  <c r="G1101" i="18"/>
  <c r="G1102" i="18"/>
  <c r="G1103" i="18"/>
  <c r="G1104" i="18"/>
  <c r="G1105" i="18"/>
  <c r="G1106" i="18"/>
  <c r="G1107" i="18"/>
  <c r="G1108" i="18"/>
  <c r="G1109" i="18"/>
  <c r="G1110" i="18"/>
  <c r="G1111" i="18"/>
  <c r="G1112" i="18"/>
  <c r="G1113" i="18"/>
  <c r="G1114" i="18"/>
  <c r="G1115" i="18"/>
  <c r="G1116" i="18"/>
  <c r="G1117" i="18"/>
  <c r="G1118" i="18"/>
  <c r="G1119" i="18"/>
  <c r="G1120" i="18"/>
  <c r="G1121" i="18"/>
  <c r="G1122" i="18"/>
  <c r="G1123" i="18"/>
  <c r="G1124" i="18"/>
  <c r="G1125" i="18"/>
  <c r="G1126" i="18"/>
  <c r="G1127" i="18"/>
  <c r="G1128" i="18"/>
  <c r="G1129" i="18"/>
  <c r="G1130" i="18"/>
  <c r="G1131" i="18"/>
  <c r="G1132" i="18"/>
  <c r="G1133" i="18"/>
  <c r="G1134" i="18"/>
  <c r="G1135" i="18"/>
  <c r="G1136" i="18"/>
  <c r="G1137" i="18"/>
  <c r="G1138" i="18"/>
  <c r="G1139" i="18"/>
  <c r="G1140" i="18"/>
  <c r="G1141" i="18"/>
  <c r="G1142" i="18"/>
  <c r="G1143" i="18"/>
  <c r="G1144" i="18"/>
  <c r="G1145" i="18"/>
  <c r="G1146" i="18"/>
  <c r="G1147" i="18"/>
  <c r="G1148" i="18"/>
  <c r="G1149" i="18"/>
  <c r="G1150" i="18"/>
  <c r="G1151" i="18"/>
  <c r="G1152" i="18"/>
  <c r="G1153" i="18"/>
  <c r="G1154" i="18"/>
  <c r="G1155" i="18"/>
  <c r="G1156" i="18"/>
  <c r="G1157" i="18"/>
  <c r="G1158" i="18"/>
  <c r="G1159" i="18"/>
  <c r="G1160" i="18"/>
  <c r="G1161" i="18"/>
  <c r="G1162" i="18"/>
  <c r="G1163" i="18"/>
  <c r="G1164" i="18"/>
  <c r="G1165" i="18"/>
  <c r="G1166" i="18"/>
  <c r="G1167" i="18"/>
  <c r="G1168" i="18"/>
  <c r="G1169" i="18"/>
  <c r="G1170" i="18"/>
  <c r="G1171" i="18"/>
  <c r="G1172" i="18"/>
  <c r="G1173" i="18"/>
  <c r="G1174" i="18"/>
  <c r="G1175" i="18"/>
  <c r="G1176" i="18"/>
  <c r="G1177" i="18"/>
  <c r="G1178" i="18"/>
  <c r="G1179" i="18"/>
  <c r="G1180" i="18"/>
  <c r="G1181" i="18"/>
  <c r="G1182" i="18"/>
  <c r="G1183" i="18"/>
  <c r="G1184" i="18"/>
  <c r="G1185" i="18"/>
  <c r="G1186" i="18"/>
  <c r="G1187" i="18"/>
  <c r="G1188" i="18"/>
  <c r="B254" i="18"/>
  <c r="B255" i="18"/>
  <c r="B256" i="18"/>
  <c r="B257" i="18"/>
  <c r="B258" i="18"/>
  <c r="I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I306" i="18"/>
  <c r="B307" i="18"/>
  <c r="B308" i="18"/>
  <c r="B309" i="18"/>
  <c r="B310" i="18"/>
  <c r="B311" i="18"/>
  <c r="B312" i="18"/>
  <c r="B313" i="18"/>
  <c r="B314" i="18"/>
  <c r="B315" i="18"/>
  <c r="I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I338" i="18"/>
  <c r="B339" i="18"/>
  <c r="B340" i="18"/>
  <c r="B341" i="18"/>
  <c r="B342" i="18"/>
  <c r="B343" i="18"/>
  <c r="B344" i="18"/>
  <c r="B345" i="18"/>
  <c r="B346" i="18"/>
  <c r="B347" i="18"/>
  <c r="I347" i="18"/>
  <c r="B348" i="18"/>
  <c r="I348" i="18"/>
  <c r="B349" i="18"/>
  <c r="B350" i="18"/>
  <c r="B351" i="18"/>
  <c r="B352" i="18"/>
  <c r="B353" i="18"/>
  <c r="B354" i="18"/>
  <c r="B355" i="18"/>
  <c r="B356" i="18"/>
  <c r="B357" i="18"/>
  <c r="I357" i="18"/>
  <c r="B358" i="18"/>
  <c r="B359" i="18"/>
  <c r="B360" i="18"/>
  <c r="B361" i="18"/>
  <c r="B362" i="18"/>
  <c r="B363" i="18"/>
  <c r="B364" i="18"/>
  <c r="B365" i="18"/>
  <c r="B366" i="18"/>
  <c r="B367" i="18"/>
  <c r="B368" i="18"/>
  <c r="B369" i="18"/>
  <c r="I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I412" i="18"/>
  <c r="B413" i="18"/>
  <c r="B414" i="18"/>
  <c r="B415" i="18"/>
  <c r="B416" i="18"/>
  <c r="B417" i="18"/>
  <c r="B418" i="18"/>
  <c r="B419" i="18"/>
  <c r="B420" i="18"/>
  <c r="B421" i="18"/>
  <c r="B422" i="18"/>
  <c r="B423" i="18"/>
  <c r="B424" i="18"/>
  <c r="B425" i="18"/>
  <c r="B426" i="18"/>
  <c r="B427" i="18"/>
  <c r="B428" i="18"/>
  <c r="B429" i="18"/>
  <c r="B430" i="18"/>
  <c r="B431" i="18"/>
  <c r="B432" i="18"/>
  <c r="B433" i="18"/>
  <c r="B434" i="18"/>
  <c r="I434" i="18"/>
  <c r="B435" i="18"/>
  <c r="B436" i="18"/>
  <c r="B437" i="18"/>
  <c r="B438" i="18"/>
  <c r="B439" i="18"/>
  <c r="B440" i="18"/>
  <c r="B441" i="18"/>
  <c r="B442" i="18"/>
  <c r="B443" i="18"/>
  <c r="I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I466" i="18"/>
  <c r="B467" i="18"/>
  <c r="B468" i="18"/>
  <c r="B469" i="18"/>
  <c r="B470" i="18"/>
  <c r="B471" i="18"/>
  <c r="B472" i="18"/>
  <c r="B473" i="18"/>
  <c r="B474" i="18"/>
  <c r="I474" i="18"/>
  <c r="B475" i="18"/>
  <c r="I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I498" i="18"/>
  <c r="B499" i="18"/>
  <c r="B500" i="18"/>
  <c r="B501" i="18"/>
  <c r="B502" i="18"/>
  <c r="I502" i="18"/>
  <c r="B503" i="18"/>
  <c r="B504" i="18"/>
  <c r="B505" i="18"/>
  <c r="B506" i="18"/>
  <c r="I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I530" i="18"/>
  <c r="B531" i="18"/>
  <c r="B532" i="18"/>
  <c r="B533" i="18"/>
  <c r="B534" i="18"/>
  <c r="B535" i="18"/>
  <c r="B536" i="18"/>
  <c r="B537" i="18"/>
  <c r="B538" i="18"/>
  <c r="B539" i="18"/>
  <c r="B540" i="18"/>
  <c r="I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I580" i="18"/>
  <c r="B581" i="18"/>
  <c r="B582" i="18"/>
  <c r="B583" i="18"/>
  <c r="B584" i="18"/>
  <c r="B585" i="18"/>
  <c r="B586" i="18"/>
  <c r="B587" i="18"/>
  <c r="B588" i="18"/>
  <c r="I588" i="18"/>
  <c r="B589" i="18"/>
  <c r="B590" i="18"/>
  <c r="B591" i="18"/>
  <c r="B592" i="18"/>
  <c r="B593" i="18"/>
  <c r="B594" i="18"/>
  <c r="B595" i="18"/>
  <c r="B596" i="18"/>
  <c r="B597" i="18"/>
  <c r="B598" i="18"/>
  <c r="B599" i="18"/>
  <c r="B600" i="18"/>
  <c r="B601" i="18"/>
  <c r="B602" i="18"/>
  <c r="B603" i="18"/>
  <c r="B604" i="18"/>
  <c r="I604" i="18"/>
  <c r="B605" i="18"/>
  <c r="B606" i="18"/>
  <c r="B607" i="18"/>
  <c r="B608" i="18"/>
  <c r="B609" i="18"/>
  <c r="B610" i="18"/>
  <c r="B611" i="18"/>
  <c r="B612" i="18"/>
  <c r="B613" i="18"/>
  <c r="B614" i="18"/>
  <c r="B615" i="18"/>
  <c r="I615" i="18"/>
  <c r="B616" i="18"/>
  <c r="B617" i="18"/>
  <c r="B618" i="18"/>
  <c r="B619" i="18"/>
  <c r="B620" i="18"/>
  <c r="B621" i="18"/>
  <c r="B622" i="18"/>
  <c r="B623" i="18"/>
  <c r="B624" i="18"/>
  <c r="B625" i="18"/>
  <c r="B626" i="18"/>
  <c r="B627" i="18"/>
  <c r="B628" i="18"/>
  <c r="I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I652" i="18"/>
  <c r="B653" i="18"/>
  <c r="B654" i="18"/>
  <c r="B655" i="18"/>
  <c r="B656" i="18"/>
  <c r="B657" i="18"/>
  <c r="B658" i="18"/>
  <c r="B659" i="18"/>
  <c r="B660" i="18"/>
  <c r="B661" i="18"/>
  <c r="B662" i="18"/>
  <c r="B663" i="18"/>
  <c r="B664" i="18"/>
  <c r="B665" i="18"/>
  <c r="B666" i="18"/>
  <c r="B667" i="18"/>
  <c r="B668" i="18"/>
  <c r="I668" i="18"/>
  <c r="B669" i="18"/>
  <c r="B670" i="18"/>
  <c r="B671" i="18"/>
  <c r="B672" i="18"/>
  <c r="B673" i="18"/>
  <c r="B674" i="18"/>
  <c r="B675" i="18"/>
  <c r="B676" i="18"/>
  <c r="B677" i="18"/>
  <c r="B678" i="18"/>
  <c r="B679" i="18"/>
  <c r="B680" i="18"/>
  <c r="B681" i="18"/>
  <c r="B682" i="18"/>
  <c r="B683" i="18"/>
  <c r="B684" i="18"/>
  <c r="B685" i="18"/>
  <c r="B686" i="18"/>
  <c r="B687" i="18"/>
  <c r="B688" i="18"/>
  <c r="B689" i="18"/>
  <c r="B690" i="18"/>
  <c r="B691" i="18"/>
  <c r="I691" i="18"/>
  <c r="B692" i="18"/>
  <c r="I692" i="18"/>
  <c r="B693" i="18"/>
  <c r="B694" i="18"/>
  <c r="B695" i="18"/>
  <c r="B696" i="18"/>
  <c r="B697" i="18"/>
  <c r="B698" i="18"/>
  <c r="B699" i="18"/>
  <c r="B700" i="18"/>
  <c r="B701" i="18"/>
  <c r="B702" i="18"/>
  <c r="B703" i="18"/>
  <c r="B704" i="18"/>
  <c r="B705" i="18"/>
  <c r="B706" i="18"/>
  <c r="B707" i="18"/>
  <c r="I707" i="18"/>
  <c r="B708" i="18"/>
  <c r="B709" i="18"/>
  <c r="B710" i="18"/>
  <c r="B711" i="18"/>
  <c r="B712" i="18"/>
  <c r="B713" i="18"/>
  <c r="B714" i="18"/>
  <c r="B715" i="18"/>
  <c r="B716" i="18"/>
  <c r="B717" i="18"/>
  <c r="B718" i="18"/>
  <c r="B719" i="18"/>
  <c r="B720" i="18"/>
  <c r="B721" i="18"/>
  <c r="B722" i="18"/>
  <c r="B723" i="18"/>
  <c r="I723" i="18"/>
  <c r="B724" i="18"/>
  <c r="I724" i="18"/>
  <c r="B725" i="18"/>
  <c r="B726" i="18"/>
  <c r="B727" i="18"/>
  <c r="B728" i="18"/>
  <c r="B729" i="18"/>
  <c r="B730" i="18"/>
  <c r="B731" i="18"/>
  <c r="B732" i="18"/>
  <c r="B733" i="18"/>
  <c r="B734" i="18"/>
  <c r="B735" i="18"/>
  <c r="B736" i="18"/>
  <c r="B737" i="18"/>
  <c r="B738" i="18"/>
  <c r="B739" i="18"/>
  <c r="I739" i="18"/>
  <c r="B740" i="18"/>
  <c r="I740" i="18"/>
  <c r="B741" i="18"/>
  <c r="B742" i="18"/>
  <c r="B743" i="18"/>
  <c r="B744" i="18"/>
  <c r="B745" i="18"/>
  <c r="B746" i="18"/>
  <c r="B747" i="18"/>
  <c r="B748" i="18"/>
  <c r="B749" i="18"/>
  <c r="B750" i="18"/>
  <c r="B751" i="18"/>
  <c r="B752" i="18"/>
  <c r="B753" i="18"/>
  <c r="B754" i="18"/>
  <c r="B755" i="18"/>
  <c r="I755" i="18"/>
  <c r="B756" i="18"/>
  <c r="I756" i="18"/>
  <c r="B757" i="18"/>
  <c r="B758" i="18"/>
  <c r="B759" i="18"/>
  <c r="B760" i="18"/>
  <c r="B761" i="18"/>
  <c r="B762" i="18"/>
  <c r="B763" i="18"/>
  <c r="B764" i="18"/>
  <c r="B765" i="18"/>
  <c r="B766" i="18"/>
  <c r="B767" i="18"/>
  <c r="B768" i="18"/>
  <c r="B769" i="18"/>
  <c r="B770" i="18"/>
  <c r="B771" i="18"/>
  <c r="I771" i="18"/>
  <c r="B772" i="18"/>
  <c r="I772" i="18"/>
  <c r="B773" i="18"/>
  <c r="B774" i="18"/>
  <c r="B775" i="18"/>
  <c r="B776" i="18"/>
  <c r="B777" i="18"/>
  <c r="B778" i="18"/>
  <c r="B779" i="18"/>
  <c r="B780" i="18"/>
  <c r="B781" i="18"/>
  <c r="B782" i="18"/>
  <c r="B783" i="18"/>
  <c r="I783" i="18"/>
  <c r="B784" i="18"/>
  <c r="B785" i="18"/>
  <c r="B786" i="18"/>
  <c r="B787" i="18"/>
  <c r="I787" i="18"/>
  <c r="B788" i="18"/>
  <c r="I788" i="18"/>
  <c r="B789" i="18"/>
  <c r="B790" i="18"/>
  <c r="B791" i="18"/>
  <c r="B792" i="18"/>
  <c r="B793" i="18"/>
  <c r="B794" i="18"/>
  <c r="B795" i="18"/>
  <c r="B796" i="18"/>
  <c r="B797" i="18"/>
  <c r="B798" i="18"/>
  <c r="B799" i="18"/>
  <c r="B800" i="18"/>
  <c r="B801" i="18"/>
  <c r="B802" i="18"/>
  <c r="I802" i="18"/>
  <c r="B803" i="18"/>
  <c r="B804" i="18"/>
  <c r="B805" i="18"/>
  <c r="B806" i="18"/>
  <c r="B807" i="18"/>
  <c r="B808" i="18"/>
  <c r="B809" i="18"/>
  <c r="B810" i="18"/>
  <c r="I810" i="18"/>
  <c r="B811" i="18"/>
  <c r="I811" i="18"/>
  <c r="B812" i="18"/>
  <c r="I812" i="18"/>
  <c r="B813" i="18"/>
  <c r="B814" i="18"/>
  <c r="B815" i="18"/>
  <c r="B816" i="18"/>
  <c r="B817" i="18"/>
  <c r="B818" i="18"/>
  <c r="B819" i="18"/>
  <c r="B820" i="18"/>
  <c r="B821" i="18"/>
  <c r="B822" i="18"/>
  <c r="B823" i="18"/>
  <c r="B824" i="18"/>
  <c r="B825" i="18"/>
  <c r="B826" i="18"/>
  <c r="I826" i="18"/>
  <c r="B827" i="18"/>
  <c r="I827" i="18"/>
  <c r="B828" i="18"/>
  <c r="B829" i="18"/>
  <c r="B830" i="18"/>
  <c r="B831" i="18"/>
  <c r="B832" i="18"/>
  <c r="B833" i="18"/>
  <c r="B834" i="18"/>
  <c r="I834" i="18"/>
  <c r="B835" i="18"/>
  <c r="I835" i="18"/>
  <c r="B836" i="18"/>
  <c r="I836" i="18"/>
  <c r="B837" i="18"/>
  <c r="B838" i="18"/>
  <c r="B839" i="18"/>
  <c r="B840" i="18"/>
  <c r="B841" i="18"/>
  <c r="B842" i="18"/>
  <c r="B843" i="18"/>
  <c r="B844" i="18"/>
  <c r="B845" i="18"/>
  <c r="B846" i="18"/>
  <c r="B847" i="18"/>
  <c r="B848" i="18"/>
  <c r="B849" i="18"/>
  <c r="B850" i="18"/>
  <c r="I850" i="18"/>
  <c r="B851" i="18"/>
  <c r="B852" i="18"/>
  <c r="B853" i="18"/>
  <c r="B854" i="18"/>
  <c r="B855" i="18"/>
  <c r="B856" i="18"/>
  <c r="B857" i="18"/>
  <c r="B858" i="18"/>
  <c r="B859" i="18"/>
  <c r="B860" i="18"/>
  <c r="B861" i="18"/>
  <c r="B862" i="18"/>
  <c r="B863" i="18"/>
  <c r="B864" i="18"/>
  <c r="B865" i="18"/>
  <c r="B866" i="18"/>
  <c r="I866" i="18"/>
  <c r="B867" i="18"/>
  <c r="B868" i="18"/>
  <c r="B869" i="18"/>
  <c r="B870" i="18"/>
  <c r="B871" i="18"/>
  <c r="B872" i="18"/>
  <c r="B873" i="18"/>
  <c r="B874" i="18"/>
  <c r="I874" i="18"/>
  <c r="B875" i="18"/>
  <c r="B876" i="18"/>
  <c r="B877" i="18"/>
  <c r="B878" i="18"/>
  <c r="B879" i="18"/>
  <c r="B880" i="18"/>
  <c r="B881" i="18"/>
  <c r="B882" i="18"/>
  <c r="B883" i="18"/>
  <c r="B884" i="18"/>
  <c r="B885" i="18"/>
  <c r="B886" i="18"/>
  <c r="B887" i="18"/>
  <c r="B888" i="18"/>
  <c r="B889" i="18"/>
  <c r="B890" i="18"/>
  <c r="I890" i="18"/>
  <c r="B891" i="18"/>
  <c r="B892" i="18"/>
  <c r="B893" i="18"/>
  <c r="I893" i="18"/>
  <c r="B894" i="18"/>
  <c r="B895" i="18"/>
  <c r="B896" i="18"/>
  <c r="B897" i="18"/>
  <c r="B898" i="18"/>
  <c r="I898" i="18"/>
  <c r="B899" i="18"/>
  <c r="B900" i="18"/>
  <c r="B901" i="18"/>
  <c r="B902" i="18"/>
  <c r="B903" i="18"/>
  <c r="B904" i="18"/>
  <c r="B905" i="18"/>
  <c r="B906" i="18"/>
  <c r="B907" i="18"/>
  <c r="B908" i="18"/>
  <c r="B909" i="18"/>
  <c r="B910" i="18"/>
  <c r="B911" i="18"/>
  <c r="B912" i="18"/>
  <c r="B913" i="18"/>
  <c r="B914" i="18"/>
  <c r="I914" i="18"/>
  <c r="B915" i="18"/>
  <c r="B916" i="18"/>
  <c r="B917" i="18"/>
  <c r="B918" i="18"/>
  <c r="B919" i="18"/>
  <c r="B920" i="18"/>
  <c r="B921" i="18"/>
  <c r="B922" i="18"/>
  <c r="B923" i="18"/>
  <c r="B924" i="18"/>
  <c r="B925" i="18"/>
  <c r="B926" i="18"/>
  <c r="B927" i="18"/>
  <c r="B928" i="18"/>
  <c r="B929" i="18"/>
  <c r="B930" i="18"/>
  <c r="I930" i="18"/>
  <c r="B931" i="18"/>
  <c r="B932" i="18"/>
  <c r="B933" i="18"/>
  <c r="I933" i="18"/>
  <c r="B934" i="18"/>
  <c r="B935" i="18"/>
  <c r="B936" i="18"/>
  <c r="B937" i="18"/>
  <c r="B938" i="18"/>
  <c r="I938" i="18"/>
  <c r="B939" i="18"/>
  <c r="B940" i="18"/>
  <c r="B941" i="18"/>
  <c r="B942" i="18"/>
  <c r="B943" i="18"/>
  <c r="B944" i="18"/>
  <c r="B945" i="18"/>
  <c r="B946" i="18"/>
  <c r="B947" i="18"/>
  <c r="B948" i="18"/>
  <c r="B949" i="18"/>
  <c r="B950" i="18"/>
  <c r="B951" i="18"/>
  <c r="B952" i="18"/>
  <c r="B953" i="18"/>
  <c r="B954" i="18"/>
  <c r="I954" i="18"/>
  <c r="B955" i="18"/>
  <c r="B956" i="18"/>
  <c r="B957" i="18"/>
  <c r="B958" i="18"/>
  <c r="B959" i="18"/>
  <c r="B960" i="18"/>
  <c r="B961" i="18"/>
  <c r="B962" i="18"/>
  <c r="I962" i="18"/>
  <c r="B963" i="18"/>
  <c r="B964" i="18"/>
  <c r="B965" i="18"/>
  <c r="B966" i="18"/>
  <c r="B967" i="18"/>
  <c r="B968" i="18"/>
  <c r="B969" i="18"/>
  <c r="B970" i="18"/>
  <c r="B971" i="18"/>
  <c r="B972" i="18"/>
  <c r="B973" i="18"/>
  <c r="B974" i="18"/>
  <c r="B975" i="18"/>
  <c r="B976" i="18"/>
  <c r="B977" i="18"/>
  <c r="B978" i="18"/>
  <c r="I978" i="18"/>
  <c r="B979" i="18"/>
  <c r="B980" i="18"/>
  <c r="B981" i="18"/>
  <c r="B982" i="18"/>
  <c r="B983" i="18"/>
  <c r="B984" i="18"/>
  <c r="B985" i="18"/>
  <c r="B986" i="18"/>
  <c r="B987" i="18"/>
  <c r="B988" i="18"/>
  <c r="B989" i="18"/>
  <c r="B990" i="18"/>
  <c r="B991" i="18"/>
  <c r="B992" i="18"/>
  <c r="B993" i="18"/>
  <c r="B994" i="18"/>
  <c r="I994" i="18"/>
  <c r="B995" i="18"/>
  <c r="B996" i="18"/>
  <c r="B997" i="18"/>
  <c r="B998" i="18"/>
  <c r="B999" i="18"/>
  <c r="B1000" i="18"/>
  <c r="B1001" i="18"/>
  <c r="B1002" i="18"/>
  <c r="I1002" i="18"/>
  <c r="B1003" i="18"/>
  <c r="B1004" i="18"/>
  <c r="B1005" i="18"/>
  <c r="B1006" i="18"/>
  <c r="B1007" i="18"/>
  <c r="B1008" i="18"/>
  <c r="B1009" i="18"/>
  <c r="B1010" i="18"/>
  <c r="B1011" i="18"/>
  <c r="B1012" i="18"/>
  <c r="B1013" i="18"/>
  <c r="B1014" i="18"/>
  <c r="B1015" i="18"/>
  <c r="B1016" i="18"/>
  <c r="B1017" i="18"/>
  <c r="B1018" i="18"/>
  <c r="I1018" i="18"/>
  <c r="B1019" i="18"/>
  <c r="B1020" i="18"/>
  <c r="B1021" i="18"/>
  <c r="B1022" i="18"/>
  <c r="B1023" i="18"/>
  <c r="B1024" i="18"/>
  <c r="B1025" i="18"/>
  <c r="B1026" i="18"/>
  <c r="I1026" i="18"/>
  <c r="B1027" i="18"/>
  <c r="B1028" i="18"/>
  <c r="B1029" i="18"/>
  <c r="B1030" i="18"/>
  <c r="B1031" i="18"/>
  <c r="B1032" i="18"/>
  <c r="B1033" i="18"/>
  <c r="B1034" i="18"/>
  <c r="B1035" i="18"/>
  <c r="B1036" i="18"/>
  <c r="B1037" i="18"/>
  <c r="B1038" i="18"/>
  <c r="B1039" i="18"/>
  <c r="B1040" i="18"/>
  <c r="B1041" i="18"/>
  <c r="B1042" i="18"/>
  <c r="I1042" i="18"/>
  <c r="B1043" i="18"/>
  <c r="B1044" i="18"/>
  <c r="B1045" i="18"/>
  <c r="B1046" i="18"/>
  <c r="B1047" i="18"/>
  <c r="B1048" i="18"/>
  <c r="B1049" i="18"/>
  <c r="B1050" i="18"/>
  <c r="B1051" i="18"/>
  <c r="B1052" i="18"/>
  <c r="B1053" i="18"/>
  <c r="B1054" i="18"/>
  <c r="B1055" i="18"/>
  <c r="B1056" i="18"/>
  <c r="B1057" i="18"/>
  <c r="B1058" i="18"/>
  <c r="I1058" i="18"/>
  <c r="B1059" i="18"/>
  <c r="B1060" i="18"/>
  <c r="I1060" i="18"/>
  <c r="B1061" i="18"/>
  <c r="B1062" i="18"/>
  <c r="B1063" i="18"/>
  <c r="B1064" i="18"/>
  <c r="B1065" i="18"/>
  <c r="B1066" i="18"/>
  <c r="I1066" i="18"/>
  <c r="B1067" i="18"/>
  <c r="B1068" i="18"/>
  <c r="B1069" i="18"/>
  <c r="B1070" i="18"/>
  <c r="B1071" i="18"/>
  <c r="B1072" i="18"/>
  <c r="B1073" i="18"/>
  <c r="B1074" i="18"/>
  <c r="B1075" i="18"/>
  <c r="B1076" i="18"/>
  <c r="B1077" i="18"/>
  <c r="B1078" i="18"/>
  <c r="B1079" i="18"/>
  <c r="B1080" i="18"/>
  <c r="B1081" i="18"/>
  <c r="B1082" i="18"/>
  <c r="I1082" i="18"/>
  <c r="B1083" i="18"/>
  <c r="B1084" i="18"/>
  <c r="B1085" i="18"/>
  <c r="B1086" i="18"/>
  <c r="B1087" i="18"/>
  <c r="B1088" i="18"/>
  <c r="B1089" i="18"/>
  <c r="B1090" i="18"/>
  <c r="I1090" i="18"/>
  <c r="B1091" i="18"/>
  <c r="B1092" i="18"/>
  <c r="B1093" i="18"/>
  <c r="B1094" i="18"/>
  <c r="B1095" i="18"/>
  <c r="B1096" i="18"/>
  <c r="B1097" i="18"/>
  <c r="B1098" i="18"/>
  <c r="B1099" i="18"/>
  <c r="B1100" i="18"/>
  <c r="B1101" i="18"/>
  <c r="B1102" i="18"/>
  <c r="B1103" i="18"/>
  <c r="B1104" i="18"/>
  <c r="B1105" i="18"/>
  <c r="B1106" i="18"/>
  <c r="B1107" i="18"/>
  <c r="B1108" i="18"/>
  <c r="B1109" i="18"/>
  <c r="B1110" i="18"/>
  <c r="B1111" i="18"/>
  <c r="B1112" i="18"/>
  <c r="B1113" i="18"/>
  <c r="B1114" i="18"/>
  <c r="I1114" i="18"/>
  <c r="B1115" i="18"/>
  <c r="B1116" i="18"/>
  <c r="B1117" i="18"/>
  <c r="B1118" i="18"/>
  <c r="B1119" i="18"/>
  <c r="B1120" i="18"/>
  <c r="B1121" i="18"/>
  <c r="B1122" i="18"/>
  <c r="B1123" i="18"/>
  <c r="B1124" i="18"/>
  <c r="B1125" i="18"/>
  <c r="B1126" i="18"/>
  <c r="B1127" i="18"/>
  <c r="B1128" i="18"/>
  <c r="B1129" i="18"/>
  <c r="I1129" i="18"/>
  <c r="B1130" i="18"/>
  <c r="B1131" i="18"/>
  <c r="B1132" i="18"/>
  <c r="B1133" i="18"/>
  <c r="B1134" i="18"/>
  <c r="B1135" i="18"/>
  <c r="B1136" i="18"/>
  <c r="B1137" i="18"/>
  <c r="B1138" i="18"/>
  <c r="B1139" i="18"/>
  <c r="B1140" i="18"/>
  <c r="B1141" i="18"/>
  <c r="B1142" i="18"/>
  <c r="B1143" i="18"/>
  <c r="B1144" i="18"/>
  <c r="B1145" i="18"/>
  <c r="B1146" i="18"/>
  <c r="I1146" i="18"/>
  <c r="B1147" i="18"/>
  <c r="B1148" i="18"/>
  <c r="B1149" i="18"/>
  <c r="B1150" i="18"/>
  <c r="B1151" i="18"/>
  <c r="B1152" i="18"/>
  <c r="B1153" i="18"/>
  <c r="B1154" i="18"/>
  <c r="I1154" i="18"/>
  <c r="B1155" i="18"/>
  <c r="B1156" i="18"/>
  <c r="B1157" i="18"/>
  <c r="B1158" i="18"/>
  <c r="B1159" i="18"/>
  <c r="B1160" i="18"/>
  <c r="B1161" i="18"/>
  <c r="I1161" i="18"/>
  <c r="B1162" i="18"/>
  <c r="B1163" i="18"/>
  <c r="B1164" i="18"/>
  <c r="B1165" i="18"/>
  <c r="B1166" i="18"/>
  <c r="B1167" i="18"/>
  <c r="B1168" i="18"/>
  <c r="B1169" i="18"/>
  <c r="B1170" i="18"/>
  <c r="B1171" i="18"/>
  <c r="B1172" i="18"/>
  <c r="B1173" i="18"/>
  <c r="B1174" i="18"/>
  <c r="B1175" i="18"/>
  <c r="B1176" i="18"/>
  <c r="B1177" i="18"/>
  <c r="B1178" i="18"/>
  <c r="I1178" i="18"/>
  <c r="B1179" i="18"/>
  <c r="B1180" i="18"/>
  <c r="B1181" i="18"/>
  <c r="I1181" i="18"/>
  <c r="B1182" i="18"/>
  <c r="B1183" i="18"/>
  <c r="B1184" i="18"/>
  <c r="B1185" i="18"/>
  <c r="B1186" i="18"/>
  <c r="I1186" i="18"/>
  <c r="B1187" i="18"/>
  <c r="B1188" i="18"/>
  <c r="D275" i="17"/>
  <c r="F275" i="17"/>
  <c r="I275" i="17"/>
  <c r="D276" i="17"/>
  <c r="F276" i="17"/>
  <c r="I276" i="17"/>
  <c r="D277" i="17"/>
  <c r="F277" i="17"/>
  <c r="I277" i="17"/>
  <c r="D278" i="17"/>
  <c r="F278" i="17"/>
  <c r="I278" i="17"/>
  <c r="D279" i="17"/>
  <c r="F279" i="17"/>
  <c r="I279" i="17"/>
  <c r="D280" i="17"/>
  <c r="F280" i="17"/>
  <c r="I280" i="17"/>
  <c r="D281" i="17"/>
  <c r="F281" i="17"/>
  <c r="I281" i="17"/>
  <c r="D282" i="17"/>
  <c r="F282" i="17"/>
  <c r="I282" i="17"/>
  <c r="D283" i="17"/>
  <c r="F283" i="17"/>
  <c r="I283" i="17"/>
  <c r="D284" i="17"/>
  <c r="F284" i="17"/>
  <c r="I284" i="17"/>
  <c r="D285" i="17"/>
  <c r="F285" i="17"/>
  <c r="I285" i="17"/>
  <c r="D286" i="17"/>
  <c r="F286" i="17"/>
  <c r="I286" i="17"/>
  <c r="D287" i="17"/>
  <c r="F287" i="17"/>
  <c r="I287" i="17"/>
  <c r="D288" i="17"/>
  <c r="F288" i="17"/>
  <c r="I288" i="17"/>
  <c r="D289" i="17"/>
  <c r="F289" i="17"/>
  <c r="I289" i="17"/>
  <c r="D290" i="17"/>
  <c r="F290" i="17"/>
  <c r="I290" i="17"/>
  <c r="D291" i="17"/>
  <c r="F291" i="17"/>
  <c r="I291" i="17"/>
  <c r="D292" i="17"/>
  <c r="F292" i="17"/>
  <c r="I292" i="17"/>
  <c r="D293" i="17"/>
  <c r="F293" i="17"/>
  <c r="I293" i="17"/>
  <c r="D294" i="17"/>
  <c r="F294" i="17"/>
  <c r="I294" i="17"/>
  <c r="D295" i="17"/>
  <c r="F295" i="17"/>
  <c r="I295" i="17"/>
  <c r="D296" i="17"/>
  <c r="F296" i="17"/>
  <c r="I296" i="17"/>
  <c r="D297" i="17"/>
  <c r="F297" i="17"/>
  <c r="I297" i="17"/>
  <c r="D298" i="17"/>
  <c r="F298" i="17"/>
  <c r="I298" i="17"/>
  <c r="D299" i="17"/>
  <c r="F299" i="17"/>
  <c r="I299" i="17"/>
  <c r="D300" i="17"/>
  <c r="F300" i="17"/>
  <c r="I300" i="17"/>
  <c r="D301" i="17"/>
  <c r="F301" i="17"/>
  <c r="I301" i="17"/>
  <c r="D302" i="17"/>
  <c r="F302" i="17"/>
  <c r="I302" i="17"/>
  <c r="D303" i="17"/>
  <c r="F303" i="17"/>
  <c r="I303" i="17"/>
  <c r="D304" i="17"/>
  <c r="F304" i="17"/>
  <c r="I304" i="17"/>
  <c r="D305" i="17"/>
  <c r="F305" i="17"/>
  <c r="I305" i="17"/>
  <c r="D306" i="17"/>
  <c r="F306" i="17"/>
  <c r="I306" i="17"/>
  <c r="D307" i="17"/>
  <c r="F307" i="17"/>
  <c r="I307" i="17"/>
  <c r="D308" i="17"/>
  <c r="F308" i="17"/>
  <c r="I308" i="17"/>
  <c r="D309" i="17"/>
  <c r="F309" i="17"/>
  <c r="I309" i="17"/>
  <c r="D310" i="17"/>
  <c r="F310" i="17"/>
  <c r="I310" i="17"/>
  <c r="D311" i="17"/>
  <c r="F311" i="17"/>
  <c r="I311" i="17"/>
  <c r="D312" i="17"/>
  <c r="F312" i="17"/>
  <c r="I312" i="17"/>
  <c r="D313" i="17"/>
  <c r="F313" i="17"/>
  <c r="I313" i="17"/>
  <c r="D314" i="17"/>
  <c r="F314" i="17"/>
  <c r="I314" i="17"/>
  <c r="D315" i="17"/>
  <c r="F315" i="17"/>
  <c r="I315" i="17"/>
  <c r="D316" i="17"/>
  <c r="F316" i="17"/>
  <c r="I316" i="17"/>
  <c r="D317" i="17"/>
  <c r="F317" i="17"/>
  <c r="I317" i="17"/>
  <c r="D318" i="17"/>
  <c r="F318" i="17"/>
  <c r="I318" i="17"/>
  <c r="D319" i="17"/>
  <c r="F319" i="17"/>
  <c r="I319" i="17"/>
  <c r="D320" i="17"/>
  <c r="F320" i="17"/>
  <c r="I320" i="17"/>
  <c r="D321" i="17"/>
  <c r="F321" i="17"/>
  <c r="I321" i="17"/>
  <c r="D322" i="17"/>
  <c r="F322" i="17"/>
  <c r="I322" i="17"/>
  <c r="D323" i="17"/>
  <c r="F323" i="17"/>
  <c r="I323" i="17"/>
  <c r="D324" i="17"/>
  <c r="F324" i="17"/>
  <c r="I324" i="17"/>
  <c r="D325" i="17"/>
  <c r="F325" i="17"/>
  <c r="I325" i="17"/>
  <c r="D326" i="17"/>
  <c r="F326" i="17"/>
  <c r="I326" i="17"/>
  <c r="D327" i="17"/>
  <c r="F327" i="17"/>
  <c r="I327" i="17"/>
  <c r="D328" i="17"/>
  <c r="F328" i="17"/>
  <c r="I328" i="17"/>
  <c r="D329" i="17"/>
  <c r="F329" i="17"/>
  <c r="I329" i="17"/>
  <c r="D330" i="17"/>
  <c r="F330" i="17"/>
  <c r="I330" i="17"/>
  <c r="D331" i="17"/>
  <c r="F331" i="17"/>
  <c r="I331" i="17"/>
  <c r="D332" i="17"/>
  <c r="F332" i="17"/>
  <c r="I332" i="17"/>
  <c r="D333" i="17"/>
  <c r="F333" i="17"/>
  <c r="I333" i="17"/>
  <c r="D334" i="17"/>
  <c r="F334" i="17"/>
  <c r="I334" i="17"/>
  <c r="D335" i="17"/>
  <c r="F335" i="17"/>
  <c r="I335" i="17"/>
  <c r="D336" i="17"/>
  <c r="F336" i="17"/>
  <c r="I336" i="17"/>
  <c r="D337" i="17"/>
  <c r="F337" i="17"/>
  <c r="I337" i="17"/>
  <c r="D338" i="17"/>
  <c r="F338" i="17"/>
  <c r="I338" i="17"/>
  <c r="D339" i="17"/>
  <c r="F339" i="17"/>
  <c r="I339" i="17"/>
  <c r="D340" i="17"/>
  <c r="F340" i="17"/>
  <c r="I340" i="17"/>
  <c r="D341" i="17"/>
  <c r="F341" i="17"/>
  <c r="I341" i="17"/>
  <c r="D342" i="17"/>
  <c r="F342" i="17"/>
  <c r="I342" i="17"/>
  <c r="D343" i="17"/>
  <c r="F343" i="17"/>
  <c r="I343" i="17"/>
  <c r="D344" i="17"/>
  <c r="F344" i="17"/>
  <c r="I344" i="17"/>
  <c r="D345" i="17"/>
  <c r="F345" i="17"/>
  <c r="I345" i="17"/>
  <c r="D346" i="17"/>
  <c r="F346" i="17"/>
  <c r="I346" i="17"/>
  <c r="D347" i="17"/>
  <c r="F347" i="17"/>
  <c r="I347" i="17"/>
  <c r="D348" i="17"/>
  <c r="F348" i="17"/>
  <c r="I348" i="17"/>
  <c r="D349" i="17"/>
  <c r="F349" i="17"/>
  <c r="I349" i="17"/>
  <c r="D350" i="17"/>
  <c r="F350" i="17"/>
  <c r="I350" i="17"/>
  <c r="D351" i="17"/>
  <c r="F351" i="17"/>
  <c r="I351" i="17"/>
  <c r="D352" i="17"/>
  <c r="F352" i="17"/>
  <c r="I352" i="17"/>
  <c r="D353" i="17"/>
  <c r="F353" i="17"/>
  <c r="I353" i="17"/>
  <c r="D354" i="17"/>
  <c r="F354" i="17"/>
  <c r="I354" i="17"/>
  <c r="D355" i="17"/>
  <c r="F355" i="17"/>
  <c r="I355" i="17"/>
  <c r="D356" i="17"/>
  <c r="F356" i="17"/>
  <c r="I356" i="17"/>
  <c r="D357" i="17"/>
  <c r="F357" i="17"/>
  <c r="I357" i="17"/>
  <c r="D358" i="17"/>
  <c r="F358" i="17"/>
  <c r="I358" i="17"/>
  <c r="D359" i="17"/>
  <c r="F359" i="17"/>
  <c r="I359" i="17"/>
  <c r="D360" i="17"/>
  <c r="F360" i="17"/>
  <c r="I360" i="17"/>
  <c r="D361" i="17"/>
  <c r="F361" i="17"/>
  <c r="I361" i="17"/>
  <c r="D362" i="17"/>
  <c r="F362" i="17"/>
  <c r="I362" i="17"/>
  <c r="D363" i="17"/>
  <c r="F363" i="17"/>
  <c r="I363" i="17"/>
  <c r="D364" i="17"/>
  <c r="F364" i="17"/>
  <c r="I364" i="17"/>
  <c r="D365" i="17"/>
  <c r="F365" i="17"/>
  <c r="I365" i="17"/>
  <c r="D366" i="17"/>
  <c r="F366" i="17"/>
  <c r="I366" i="17"/>
  <c r="D367" i="17"/>
  <c r="F367" i="17"/>
  <c r="I367" i="17"/>
  <c r="D368" i="17"/>
  <c r="F368" i="17"/>
  <c r="I368" i="17"/>
  <c r="D369" i="17"/>
  <c r="F369" i="17"/>
  <c r="I369" i="17"/>
  <c r="D370" i="17"/>
  <c r="F370" i="17"/>
  <c r="I370" i="17"/>
  <c r="D371" i="17"/>
  <c r="F371" i="17"/>
  <c r="I371" i="17"/>
  <c r="D372" i="17"/>
  <c r="F372" i="17"/>
  <c r="I372" i="17"/>
  <c r="D373" i="17"/>
  <c r="F373" i="17"/>
  <c r="I373" i="17"/>
  <c r="D374" i="17"/>
  <c r="F374" i="17"/>
  <c r="I374" i="17"/>
  <c r="D375" i="17"/>
  <c r="F375" i="17"/>
  <c r="I375" i="17"/>
  <c r="D376" i="17"/>
  <c r="F376" i="17"/>
  <c r="I376" i="17"/>
  <c r="D377" i="17"/>
  <c r="F377" i="17"/>
  <c r="I377" i="17"/>
  <c r="D378" i="17"/>
  <c r="F378" i="17"/>
  <c r="I378" i="17"/>
  <c r="D379" i="17"/>
  <c r="F379" i="17"/>
  <c r="I379" i="17"/>
  <c r="D380" i="17"/>
  <c r="F380" i="17"/>
  <c r="I380" i="17"/>
  <c r="D381" i="17"/>
  <c r="F381" i="17"/>
  <c r="I381" i="17"/>
  <c r="D382" i="17"/>
  <c r="F382" i="17"/>
  <c r="I382" i="17"/>
  <c r="D383" i="17"/>
  <c r="F383" i="17"/>
  <c r="I383" i="17"/>
  <c r="D384" i="17"/>
  <c r="F384" i="17"/>
  <c r="I384" i="17"/>
  <c r="D385" i="17"/>
  <c r="F385" i="17"/>
  <c r="I385" i="17"/>
  <c r="D386" i="17"/>
  <c r="F386" i="17"/>
  <c r="I386" i="17"/>
  <c r="D387" i="17"/>
  <c r="F387" i="17"/>
  <c r="I387" i="17"/>
  <c r="D388" i="17"/>
  <c r="F388" i="17"/>
  <c r="I388" i="17"/>
  <c r="D389" i="17"/>
  <c r="F389" i="17"/>
  <c r="I389" i="17"/>
  <c r="D390" i="17"/>
  <c r="F390" i="17"/>
  <c r="I390" i="17"/>
  <c r="D391" i="17"/>
  <c r="F391" i="17"/>
  <c r="I391" i="17"/>
  <c r="D392" i="17"/>
  <c r="F392" i="17"/>
  <c r="I392" i="17"/>
  <c r="D393" i="17"/>
  <c r="F393" i="17"/>
  <c r="I393" i="17"/>
  <c r="D394" i="17"/>
  <c r="F394" i="17"/>
  <c r="I394" i="17"/>
  <c r="D395" i="17"/>
  <c r="F395" i="17"/>
  <c r="I395" i="17"/>
  <c r="D396" i="17"/>
  <c r="F396" i="17"/>
  <c r="I396" i="17"/>
  <c r="D397" i="17"/>
  <c r="F397" i="17"/>
  <c r="I397" i="17"/>
  <c r="D398" i="17"/>
  <c r="F398" i="17"/>
  <c r="I398" i="17"/>
  <c r="D399" i="17"/>
  <c r="F399" i="17"/>
  <c r="I399" i="17"/>
  <c r="D400" i="17"/>
  <c r="F400" i="17"/>
  <c r="I400" i="17"/>
  <c r="D401" i="17"/>
  <c r="F401" i="17"/>
  <c r="I401" i="17"/>
  <c r="D402" i="17"/>
  <c r="F402" i="17"/>
  <c r="I402" i="17"/>
  <c r="D403" i="17"/>
  <c r="F403" i="17"/>
  <c r="I403" i="17"/>
  <c r="D404" i="17"/>
  <c r="F404" i="17"/>
  <c r="I404" i="17"/>
  <c r="D405" i="17"/>
  <c r="F405" i="17"/>
  <c r="I405" i="17"/>
  <c r="D406" i="17"/>
  <c r="F406" i="17"/>
  <c r="I406" i="17"/>
  <c r="D407" i="17"/>
  <c r="F407" i="17"/>
  <c r="I407" i="17"/>
  <c r="D408" i="17"/>
  <c r="F408" i="17"/>
  <c r="I408" i="17"/>
  <c r="D409" i="17"/>
  <c r="F409" i="17"/>
  <c r="I409" i="17"/>
  <c r="D410" i="17"/>
  <c r="F410" i="17"/>
  <c r="I410" i="17"/>
  <c r="D411" i="17"/>
  <c r="F411" i="17"/>
  <c r="I411" i="17"/>
  <c r="D412" i="17"/>
  <c r="F412" i="17"/>
  <c r="I412" i="17"/>
  <c r="D413" i="17"/>
  <c r="F413" i="17"/>
  <c r="I413" i="17"/>
  <c r="D414" i="17"/>
  <c r="F414" i="17"/>
  <c r="I414" i="17"/>
  <c r="D415" i="17"/>
  <c r="F415" i="17"/>
  <c r="I415" i="17"/>
  <c r="D416" i="17"/>
  <c r="F416" i="17"/>
  <c r="I416" i="17"/>
  <c r="D417" i="17"/>
  <c r="F417" i="17"/>
  <c r="I417" i="17"/>
  <c r="D418" i="17"/>
  <c r="F418" i="17"/>
  <c r="I418" i="17"/>
  <c r="D419" i="17"/>
  <c r="F419" i="17"/>
  <c r="I419" i="17"/>
  <c r="D420" i="17"/>
  <c r="F420" i="17"/>
  <c r="I420" i="17"/>
  <c r="D421" i="17"/>
  <c r="F421" i="17"/>
  <c r="I421" i="17"/>
  <c r="D422" i="17"/>
  <c r="F422" i="17"/>
  <c r="I422" i="17"/>
  <c r="D423" i="17"/>
  <c r="F423" i="17"/>
  <c r="I423" i="17"/>
  <c r="D424" i="17"/>
  <c r="F424" i="17"/>
  <c r="I424" i="17"/>
  <c r="D425" i="17"/>
  <c r="F425" i="17"/>
  <c r="I425" i="17"/>
  <c r="D426" i="17"/>
  <c r="F426" i="17"/>
  <c r="I426" i="17"/>
  <c r="D427" i="17"/>
  <c r="F427" i="17"/>
  <c r="I427" i="17"/>
  <c r="D428" i="17"/>
  <c r="F428" i="17"/>
  <c r="I428" i="17"/>
  <c r="D429" i="17"/>
  <c r="F429" i="17"/>
  <c r="I429" i="17"/>
  <c r="D430" i="17"/>
  <c r="F430" i="17"/>
  <c r="I430" i="17"/>
  <c r="D431" i="17"/>
  <c r="F431" i="17"/>
  <c r="I431" i="17"/>
  <c r="D432" i="17"/>
  <c r="F432" i="17"/>
  <c r="I432" i="17"/>
  <c r="D433" i="17"/>
  <c r="F433" i="17"/>
  <c r="I433" i="17"/>
  <c r="D434" i="17"/>
  <c r="F434" i="17"/>
  <c r="I434" i="17"/>
  <c r="D435" i="17"/>
  <c r="F435" i="17"/>
  <c r="I435" i="17"/>
  <c r="D436" i="17"/>
  <c r="F436" i="17"/>
  <c r="I436" i="17"/>
  <c r="D437" i="17"/>
  <c r="F437" i="17"/>
  <c r="I437" i="17"/>
  <c r="D438" i="17"/>
  <c r="F438" i="17"/>
  <c r="I438" i="17"/>
  <c r="D439" i="17"/>
  <c r="F439" i="17"/>
  <c r="I439" i="17"/>
  <c r="D440" i="17"/>
  <c r="F440" i="17"/>
  <c r="I440" i="17"/>
  <c r="D441" i="17"/>
  <c r="F441" i="17"/>
  <c r="I441" i="17"/>
  <c r="D442" i="17"/>
  <c r="F442" i="17"/>
  <c r="I442" i="17"/>
  <c r="D443" i="17"/>
  <c r="F443" i="17"/>
  <c r="I443" i="17"/>
  <c r="D444" i="17"/>
  <c r="F444" i="17"/>
  <c r="I444" i="17"/>
  <c r="D445" i="17"/>
  <c r="F445" i="17"/>
  <c r="I445" i="17"/>
  <c r="D446" i="17"/>
  <c r="F446" i="17"/>
  <c r="I446" i="17"/>
  <c r="D447" i="17"/>
  <c r="F447" i="17"/>
  <c r="I447" i="17"/>
  <c r="D448" i="17"/>
  <c r="F448" i="17"/>
  <c r="I448" i="17"/>
  <c r="D449" i="17"/>
  <c r="F449" i="17"/>
  <c r="I449" i="17"/>
  <c r="D450" i="17"/>
  <c r="F450" i="17"/>
  <c r="I450" i="17"/>
  <c r="D451" i="17"/>
  <c r="F451" i="17"/>
  <c r="I451" i="17"/>
  <c r="D452" i="17"/>
  <c r="F452" i="17"/>
  <c r="I452" i="17"/>
  <c r="D453" i="17"/>
  <c r="F453" i="17"/>
  <c r="I453" i="17"/>
  <c r="D454" i="17"/>
  <c r="F454" i="17"/>
  <c r="I454" i="17"/>
  <c r="D455" i="17"/>
  <c r="F455" i="17"/>
  <c r="I455" i="17"/>
  <c r="D456" i="17"/>
  <c r="F456" i="17"/>
  <c r="I456" i="17"/>
  <c r="D457" i="17"/>
  <c r="F457" i="17"/>
  <c r="I457" i="17"/>
  <c r="D458" i="17"/>
  <c r="F458" i="17"/>
  <c r="I458" i="17"/>
  <c r="D459" i="17"/>
  <c r="F459" i="17"/>
  <c r="I459" i="17"/>
  <c r="D460" i="17"/>
  <c r="F460" i="17"/>
  <c r="I460" i="17"/>
  <c r="D461" i="17"/>
  <c r="F461" i="17"/>
  <c r="I461" i="17"/>
  <c r="D462" i="17"/>
  <c r="F462" i="17"/>
  <c r="I462" i="17"/>
  <c r="D463" i="17"/>
  <c r="F463" i="17"/>
  <c r="I463" i="17"/>
  <c r="D464" i="17"/>
  <c r="F464" i="17"/>
  <c r="I464" i="17"/>
  <c r="D465" i="17"/>
  <c r="F465" i="17"/>
  <c r="I465" i="17"/>
  <c r="D466" i="17"/>
  <c r="F466" i="17"/>
  <c r="I466" i="17"/>
  <c r="D467" i="17"/>
  <c r="F467" i="17"/>
  <c r="I467" i="17"/>
  <c r="D468" i="17"/>
  <c r="F468" i="17"/>
  <c r="I468" i="17"/>
  <c r="D469" i="17"/>
  <c r="F469" i="17"/>
  <c r="I469" i="17"/>
  <c r="D470" i="17"/>
  <c r="F470" i="17"/>
  <c r="I470" i="17"/>
  <c r="D471" i="17"/>
  <c r="F471" i="17"/>
  <c r="I471" i="17"/>
  <c r="D472" i="17"/>
  <c r="F472" i="17"/>
  <c r="I472" i="17"/>
  <c r="D473" i="17"/>
  <c r="F473" i="17"/>
  <c r="I473" i="17"/>
  <c r="D474" i="17"/>
  <c r="F474" i="17"/>
  <c r="I474" i="17"/>
  <c r="D475" i="17"/>
  <c r="F475" i="17"/>
  <c r="I475" i="17"/>
  <c r="D476" i="17"/>
  <c r="F476" i="17"/>
  <c r="I476" i="17"/>
  <c r="D477" i="17"/>
  <c r="F477" i="17"/>
  <c r="I477" i="17"/>
  <c r="D478" i="17"/>
  <c r="F478" i="17"/>
  <c r="I478" i="17"/>
  <c r="D479" i="17"/>
  <c r="F479" i="17"/>
  <c r="I479" i="17"/>
  <c r="D480" i="17"/>
  <c r="F480" i="17"/>
  <c r="I480" i="17"/>
  <c r="D481" i="17"/>
  <c r="F481" i="17"/>
  <c r="I481" i="17"/>
  <c r="D482" i="17"/>
  <c r="F482" i="17"/>
  <c r="I482" i="17"/>
  <c r="D483" i="17"/>
  <c r="F483" i="17"/>
  <c r="I483" i="17"/>
  <c r="D484" i="17"/>
  <c r="F484" i="17"/>
  <c r="I484" i="17"/>
  <c r="D485" i="17"/>
  <c r="F485" i="17"/>
  <c r="I485" i="17"/>
  <c r="D486" i="17"/>
  <c r="F486" i="17"/>
  <c r="I486" i="17"/>
  <c r="D487" i="17"/>
  <c r="F487" i="17"/>
  <c r="I487" i="17"/>
  <c r="D488" i="17"/>
  <c r="F488" i="17"/>
  <c r="I488" i="17"/>
  <c r="D489" i="17"/>
  <c r="F489" i="17"/>
  <c r="I489" i="17"/>
  <c r="D490" i="17"/>
  <c r="F490" i="17"/>
  <c r="I490" i="17"/>
  <c r="D491" i="17"/>
  <c r="F491" i="17"/>
  <c r="I491" i="17"/>
  <c r="D492" i="17"/>
  <c r="F492" i="17"/>
  <c r="I492" i="17"/>
  <c r="D493" i="17"/>
  <c r="F493" i="17"/>
  <c r="I493" i="17"/>
  <c r="D494" i="17"/>
  <c r="F494" i="17"/>
  <c r="I494" i="17"/>
  <c r="D495" i="17"/>
  <c r="F495" i="17"/>
  <c r="I495" i="17"/>
  <c r="D496" i="17"/>
  <c r="F496" i="17"/>
  <c r="I496" i="17"/>
  <c r="D497" i="17"/>
  <c r="F497" i="17"/>
  <c r="I497" i="17"/>
  <c r="D498" i="17"/>
  <c r="F498" i="17"/>
  <c r="I498" i="17"/>
  <c r="D499" i="17"/>
  <c r="F499" i="17"/>
  <c r="I499" i="17"/>
  <c r="D500" i="17"/>
  <c r="F500" i="17"/>
  <c r="I500" i="17"/>
  <c r="D501" i="17"/>
  <c r="F501" i="17"/>
  <c r="I501" i="17"/>
  <c r="D502" i="17"/>
  <c r="F502" i="17"/>
  <c r="I502" i="17"/>
  <c r="D503" i="17"/>
  <c r="F503" i="17"/>
  <c r="I503" i="17"/>
  <c r="D504" i="17"/>
  <c r="F504" i="17"/>
  <c r="I504" i="17"/>
  <c r="D505" i="17"/>
  <c r="F505" i="17"/>
  <c r="I505" i="17"/>
  <c r="D506" i="17"/>
  <c r="F506" i="17"/>
  <c r="I506" i="17"/>
  <c r="D507" i="17"/>
  <c r="F507" i="17"/>
  <c r="I507" i="17"/>
  <c r="D508" i="17"/>
  <c r="F508" i="17"/>
  <c r="I508" i="17"/>
  <c r="D509" i="17"/>
  <c r="F509" i="17"/>
  <c r="I509" i="17"/>
  <c r="D510" i="17"/>
  <c r="F510" i="17"/>
  <c r="I510" i="17"/>
  <c r="D511" i="17"/>
  <c r="F511" i="17"/>
  <c r="I511" i="17"/>
  <c r="D512" i="17"/>
  <c r="F512" i="17"/>
  <c r="I512" i="17"/>
  <c r="D513" i="17"/>
  <c r="F513" i="17"/>
  <c r="I513" i="17"/>
  <c r="D514" i="17"/>
  <c r="F514" i="17"/>
  <c r="I514" i="17"/>
  <c r="D515" i="17"/>
  <c r="F515" i="17"/>
  <c r="I515" i="17"/>
  <c r="D516" i="17"/>
  <c r="F516" i="17"/>
  <c r="I516" i="17"/>
  <c r="D517" i="17"/>
  <c r="F517" i="17"/>
  <c r="I517" i="17"/>
  <c r="D518" i="17"/>
  <c r="F518" i="17"/>
  <c r="I518" i="17"/>
  <c r="D519" i="17"/>
  <c r="F519" i="17"/>
  <c r="I519" i="17"/>
  <c r="D520" i="17"/>
  <c r="F520" i="17"/>
  <c r="I520" i="17"/>
  <c r="D521" i="17"/>
  <c r="F521" i="17"/>
  <c r="I521" i="17"/>
  <c r="D522" i="17"/>
  <c r="F522" i="17"/>
  <c r="I522" i="17"/>
  <c r="D523" i="17"/>
  <c r="F523" i="17"/>
  <c r="I523" i="17"/>
  <c r="D524" i="17"/>
  <c r="F524" i="17"/>
  <c r="I524" i="17"/>
  <c r="D525" i="17"/>
  <c r="F525" i="17"/>
  <c r="I525" i="17"/>
  <c r="D526" i="17"/>
  <c r="F526" i="17"/>
  <c r="I526" i="17"/>
  <c r="D527" i="17"/>
  <c r="F527" i="17"/>
  <c r="I527" i="17"/>
  <c r="D528" i="17"/>
  <c r="F528" i="17"/>
  <c r="I528" i="17"/>
  <c r="D529" i="17"/>
  <c r="F529" i="17"/>
  <c r="I529" i="17"/>
  <c r="D530" i="17"/>
  <c r="F530" i="17"/>
  <c r="I530" i="17"/>
  <c r="D531" i="17"/>
  <c r="F531" i="17"/>
  <c r="I531" i="17"/>
  <c r="D532" i="17"/>
  <c r="F532" i="17"/>
  <c r="I532" i="17"/>
  <c r="D533" i="17"/>
  <c r="F533" i="17"/>
  <c r="I533" i="17"/>
  <c r="D534" i="17"/>
  <c r="F534" i="17"/>
  <c r="I534" i="17"/>
  <c r="D535" i="17"/>
  <c r="F535" i="17"/>
  <c r="I535" i="17"/>
  <c r="D536" i="17"/>
  <c r="F536" i="17"/>
  <c r="I536" i="17"/>
  <c r="D537" i="17"/>
  <c r="F537" i="17"/>
  <c r="I537" i="17"/>
  <c r="D538" i="17"/>
  <c r="F538" i="17"/>
  <c r="I538" i="17"/>
  <c r="D539" i="17"/>
  <c r="F539" i="17"/>
  <c r="I539" i="17"/>
  <c r="D540" i="17"/>
  <c r="F540" i="17"/>
  <c r="I540" i="17"/>
  <c r="D541" i="17"/>
  <c r="F541" i="17"/>
  <c r="I541" i="17"/>
  <c r="D542" i="17"/>
  <c r="F542" i="17"/>
  <c r="I542" i="17"/>
  <c r="D543" i="17"/>
  <c r="F543" i="17"/>
  <c r="I543" i="17"/>
  <c r="D544" i="17"/>
  <c r="F544" i="17"/>
  <c r="I544" i="17"/>
  <c r="D545" i="17"/>
  <c r="F545" i="17"/>
  <c r="I545" i="17"/>
  <c r="D546" i="17"/>
  <c r="F546" i="17"/>
  <c r="I546" i="17"/>
  <c r="D547" i="17"/>
  <c r="F547" i="17"/>
  <c r="I547" i="17"/>
  <c r="D548" i="17"/>
  <c r="F548" i="17"/>
  <c r="I548" i="17"/>
  <c r="D549" i="17"/>
  <c r="F549" i="17"/>
  <c r="I549" i="17"/>
  <c r="D550" i="17"/>
  <c r="F550" i="17"/>
  <c r="I550" i="17"/>
  <c r="D551" i="17"/>
  <c r="F551" i="17"/>
  <c r="I551" i="17"/>
  <c r="D552" i="17"/>
  <c r="F552" i="17"/>
  <c r="I552" i="17"/>
  <c r="D553" i="17"/>
  <c r="F553" i="17"/>
  <c r="I553" i="17"/>
  <c r="D554" i="17"/>
  <c r="F554" i="17"/>
  <c r="I554" i="17"/>
  <c r="D555" i="17"/>
  <c r="F555" i="17"/>
  <c r="I555" i="17"/>
  <c r="D556" i="17"/>
  <c r="F556" i="17"/>
  <c r="I556" i="17"/>
  <c r="D557" i="17"/>
  <c r="F557" i="17"/>
  <c r="I557" i="17"/>
  <c r="D558" i="17"/>
  <c r="F558" i="17"/>
  <c r="I558" i="17"/>
  <c r="D559" i="17"/>
  <c r="F559" i="17"/>
  <c r="I559" i="17"/>
  <c r="D560" i="17"/>
  <c r="F560" i="17"/>
  <c r="I560" i="17"/>
  <c r="D561" i="17"/>
  <c r="F561" i="17"/>
  <c r="I561" i="17"/>
  <c r="D562" i="17"/>
  <c r="F562" i="17"/>
  <c r="I562" i="17"/>
  <c r="D563" i="17"/>
  <c r="F563" i="17"/>
  <c r="I563" i="17"/>
  <c r="D564" i="17"/>
  <c r="F564" i="17"/>
  <c r="I564" i="17"/>
  <c r="D565" i="17"/>
  <c r="F565" i="17"/>
  <c r="I565" i="17"/>
  <c r="D566" i="17"/>
  <c r="F566" i="17"/>
  <c r="I566" i="17"/>
  <c r="D567" i="17"/>
  <c r="F567" i="17"/>
  <c r="I567" i="17"/>
  <c r="D568" i="17"/>
  <c r="F568" i="17"/>
  <c r="I568" i="17"/>
  <c r="D569" i="17"/>
  <c r="F569" i="17"/>
  <c r="I569" i="17"/>
  <c r="D570" i="17"/>
  <c r="F570" i="17"/>
  <c r="I570" i="17"/>
  <c r="D571" i="17"/>
  <c r="F571" i="17"/>
  <c r="I571" i="17"/>
  <c r="D572" i="17"/>
  <c r="F572" i="17"/>
  <c r="I572" i="17"/>
  <c r="D573" i="17"/>
  <c r="F573" i="17"/>
  <c r="I573" i="17"/>
  <c r="D574" i="17"/>
  <c r="F574" i="17"/>
  <c r="I574" i="17"/>
  <c r="D575" i="17"/>
  <c r="F575" i="17"/>
  <c r="I575" i="17"/>
  <c r="D576" i="17"/>
  <c r="F576" i="17"/>
  <c r="I576" i="17"/>
  <c r="D577" i="17"/>
  <c r="F577" i="17"/>
  <c r="I577" i="17"/>
  <c r="D578" i="17"/>
  <c r="F578" i="17"/>
  <c r="I578" i="17"/>
  <c r="D579" i="17"/>
  <c r="F579" i="17"/>
  <c r="I579" i="17"/>
  <c r="D580" i="17"/>
  <c r="F580" i="17"/>
  <c r="I580" i="17"/>
  <c r="D581" i="17"/>
  <c r="F581" i="17"/>
  <c r="I581" i="17"/>
  <c r="D582" i="17"/>
  <c r="F582" i="17"/>
  <c r="I582" i="17"/>
  <c r="D583" i="17"/>
  <c r="F583" i="17"/>
  <c r="I583" i="17"/>
  <c r="D584" i="17"/>
  <c r="F584" i="17"/>
  <c r="I584" i="17"/>
  <c r="D585" i="17"/>
  <c r="F585" i="17"/>
  <c r="I585" i="17"/>
  <c r="D586" i="17"/>
  <c r="F586" i="17"/>
  <c r="I586" i="17"/>
  <c r="D587" i="17"/>
  <c r="F587" i="17"/>
  <c r="I587" i="17"/>
  <c r="D588" i="17"/>
  <c r="F588" i="17"/>
  <c r="I588" i="17"/>
  <c r="D589" i="17"/>
  <c r="F589" i="17"/>
  <c r="I589" i="17"/>
  <c r="D590" i="17"/>
  <c r="F590" i="17"/>
  <c r="I590" i="17"/>
  <c r="D591" i="17"/>
  <c r="F591" i="17"/>
  <c r="I591" i="17"/>
  <c r="D592" i="17"/>
  <c r="F592" i="17"/>
  <c r="I592" i="17"/>
  <c r="D593" i="17"/>
  <c r="F593" i="17"/>
  <c r="I593" i="17"/>
  <c r="D594" i="17"/>
  <c r="F594" i="17"/>
  <c r="I594" i="17"/>
  <c r="D595" i="17"/>
  <c r="F595" i="17"/>
  <c r="I595" i="17"/>
  <c r="D596" i="17"/>
  <c r="F596" i="17"/>
  <c r="I596" i="17"/>
  <c r="D597" i="17"/>
  <c r="F597" i="17"/>
  <c r="I597" i="17"/>
  <c r="D598" i="17"/>
  <c r="F598" i="17"/>
  <c r="I598" i="17"/>
  <c r="D599" i="17"/>
  <c r="F599" i="17"/>
  <c r="I599" i="17"/>
  <c r="D600" i="17"/>
  <c r="F600" i="17"/>
  <c r="I600" i="17"/>
  <c r="D601" i="17"/>
  <c r="F601" i="17"/>
  <c r="I601" i="17"/>
  <c r="D602" i="17"/>
  <c r="F602" i="17"/>
  <c r="I602" i="17"/>
  <c r="D603" i="17"/>
  <c r="F603" i="17"/>
  <c r="I603" i="17"/>
  <c r="D604" i="17"/>
  <c r="F604" i="17"/>
  <c r="I604" i="17"/>
  <c r="D605" i="17"/>
  <c r="F605" i="17"/>
  <c r="I605" i="17"/>
  <c r="D606" i="17"/>
  <c r="F606" i="17"/>
  <c r="I606" i="17"/>
  <c r="D607" i="17"/>
  <c r="F607" i="17"/>
  <c r="I607" i="17"/>
  <c r="D608" i="17"/>
  <c r="F608" i="17"/>
  <c r="I608" i="17"/>
  <c r="D609" i="17"/>
  <c r="F609" i="17"/>
  <c r="I609" i="17"/>
  <c r="D610" i="17"/>
  <c r="F610" i="17"/>
  <c r="I610" i="17"/>
  <c r="D611" i="17"/>
  <c r="F611" i="17"/>
  <c r="I611" i="17"/>
  <c r="D612" i="17"/>
  <c r="F612" i="17"/>
  <c r="I612" i="17"/>
  <c r="D613" i="17"/>
  <c r="F613" i="17"/>
  <c r="I613" i="17"/>
  <c r="D614" i="17"/>
  <c r="F614" i="17"/>
  <c r="I614" i="17"/>
  <c r="D615" i="17"/>
  <c r="F615" i="17"/>
  <c r="I615" i="17"/>
  <c r="D616" i="17"/>
  <c r="F616" i="17"/>
  <c r="I616" i="17"/>
  <c r="D617" i="17"/>
  <c r="F617" i="17"/>
  <c r="I617" i="17"/>
  <c r="D618" i="17"/>
  <c r="F618" i="17"/>
  <c r="I618" i="17"/>
  <c r="D619" i="17"/>
  <c r="F619" i="17"/>
  <c r="I619" i="17"/>
  <c r="D620" i="17"/>
  <c r="F620" i="17"/>
  <c r="I620" i="17"/>
  <c r="D621" i="17"/>
  <c r="F621" i="17"/>
  <c r="I621" i="17"/>
  <c r="D622" i="17"/>
  <c r="F622" i="17"/>
  <c r="I622" i="17"/>
  <c r="D623" i="17"/>
  <c r="F623" i="17"/>
  <c r="I623" i="17"/>
  <c r="D624" i="17"/>
  <c r="F624" i="17"/>
  <c r="I624" i="17"/>
  <c r="D625" i="17"/>
  <c r="F625" i="17"/>
  <c r="I625" i="17"/>
  <c r="D626" i="17"/>
  <c r="F626" i="17"/>
  <c r="I626" i="17"/>
  <c r="D627" i="17"/>
  <c r="F627" i="17"/>
  <c r="I627" i="17"/>
  <c r="D628" i="17"/>
  <c r="F628" i="17"/>
  <c r="I628" i="17"/>
  <c r="D629" i="17"/>
  <c r="F629" i="17"/>
  <c r="I629" i="17"/>
  <c r="D630" i="17"/>
  <c r="F630" i="17"/>
  <c r="I630" i="17"/>
  <c r="D631" i="17"/>
  <c r="F631" i="17"/>
  <c r="I631" i="17"/>
  <c r="D632" i="17"/>
  <c r="F632" i="17"/>
  <c r="I632" i="17"/>
  <c r="D633" i="17"/>
  <c r="F633" i="17"/>
  <c r="I633" i="17"/>
  <c r="D634" i="17"/>
  <c r="F634" i="17"/>
  <c r="I634" i="17"/>
  <c r="D635" i="17"/>
  <c r="F635" i="17"/>
  <c r="I635" i="17"/>
  <c r="D636" i="17"/>
  <c r="F636" i="17"/>
  <c r="I636" i="17"/>
  <c r="D637" i="17"/>
  <c r="F637" i="17"/>
  <c r="I637" i="17"/>
  <c r="D638" i="17"/>
  <c r="F638" i="17"/>
  <c r="I638" i="17"/>
  <c r="D639" i="17"/>
  <c r="F639" i="17"/>
  <c r="I639" i="17"/>
  <c r="D640" i="17"/>
  <c r="F640" i="17"/>
  <c r="I640" i="17"/>
  <c r="D641" i="17"/>
  <c r="F641" i="17"/>
  <c r="I641" i="17"/>
  <c r="D642" i="17"/>
  <c r="F642" i="17"/>
  <c r="I642" i="17"/>
  <c r="D643" i="17"/>
  <c r="F643" i="17"/>
  <c r="I643" i="17"/>
  <c r="D644" i="17"/>
  <c r="F644" i="17"/>
  <c r="I644" i="17"/>
  <c r="D645" i="17"/>
  <c r="F645" i="17"/>
  <c r="I645" i="17"/>
  <c r="D646" i="17"/>
  <c r="F646" i="17"/>
  <c r="I646" i="17"/>
  <c r="D647" i="17"/>
  <c r="F647" i="17"/>
  <c r="I647" i="17"/>
  <c r="D648" i="17"/>
  <c r="F648" i="17"/>
  <c r="I648" i="17"/>
  <c r="D649" i="17"/>
  <c r="F649" i="17"/>
  <c r="I649" i="17"/>
  <c r="D650" i="17"/>
  <c r="F650" i="17"/>
  <c r="I650" i="17"/>
  <c r="D651" i="17"/>
  <c r="F651" i="17"/>
  <c r="I651" i="17"/>
  <c r="D652" i="17"/>
  <c r="F652" i="17"/>
  <c r="I652" i="17"/>
  <c r="D653" i="17"/>
  <c r="F653" i="17"/>
  <c r="I653" i="17"/>
  <c r="D654" i="17"/>
  <c r="F654" i="17"/>
  <c r="I654" i="17"/>
  <c r="D655" i="17"/>
  <c r="F655" i="17"/>
  <c r="I655" i="17"/>
  <c r="D656" i="17"/>
  <c r="F656" i="17"/>
  <c r="I656" i="17"/>
  <c r="D657" i="17"/>
  <c r="F657" i="17"/>
  <c r="I657" i="17"/>
  <c r="D658" i="17"/>
  <c r="F658" i="17"/>
  <c r="I658" i="17"/>
  <c r="D659" i="17"/>
  <c r="F659" i="17"/>
  <c r="I659" i="17"/>
  <c r="D660" i="17"/>
  <c r="F660" i="17"/>
  <c r="I660" i="17"/>
  <c r="D661" i="17"/>
  <c r="F661" i="17"/>
  <c r="I661" i="17"/>
  <c r="D662" i="17"/>
  <c r="F662" i="17"/>
  <c r="I662" i="17"/>
  <c r="D663" i="17"/>
  <c r="F663" i="17"/>
  <c r="I663" i="17"/>
  <c r="D664" i="17"/>
  <c r="F664" i="17"/>
  <c r="I664" i="17"/>
  <c r="D665" i="17"/>
  <c r="F665" i="17"/>
  <c r="I665" i="17"/>
  <c r="D666" i="17"/>
  <c r="F666" i="17"/>
  <c r="I666" i="17"/>
  <c r="D667" i="17"/>
  <c r="F667" i="17"/>
  <c r="I667" i="17"/>
  <c r="D668" i="17"/>
  <c r="F668" i="17"/>
  <c r="I668" i="17"/>
  <c r="D669" i="17"/>
  <c r="F669" i="17"/>
  <c r="I669" i="17"/>
  <c r="D670" i="17"/>
  <c r="F670" i="17"/>
  <c r="I670" i="17"/>
  <c r="D671" i="17"/>
  <c r="F671" i="17"/>
  <c r="I671" i="17"/>
  <c r="D672" i="17"/>
  <c r="F672" i="17"/>
  <c r="I672" i="17"/>
  <c r="D673" i="17"/>
  <c r="F673" i="17"/>
  <c r="I673" i="17"/>
  <c r="D674" i="17"/>
  <c r="F674" i="17"/>
  <c r="I674" i="17"/>
  <c r="D675" i="17"/>
  <c r="F675" i="17"/>
  <c r="I675" i="17"/>
  <c r="D676" i="17"/>
  <c r="F676" i="17"/>
  <c r="I676" i="17"/>
  <c r="D677" i="17"/>
  <c r="F677" i="17"/>
  <c r="I677" i="17"/>
  <c r="D678" i="17"/>
  <c r="F678" i="17"/>
  <c r="I678" i="17"/>
  <c r="D679" i="17"/>
  <c r="F679" i="17"/>
  <c r="I679" i="17"/>
  <c r="D680" i="17"/>
  <c r="F680" i="17"/>
  <c r="I680" i="17"/>
  <c r="D681" i="17"/>
  <c r="F681" i="17"/>
  <c r="I681" i="17"/>
  <c r="D682" i="17"/>
  <c r="F682" i="17"/>
  <c r="I682" i="17"/>
  <c r="D683" i="17"/>
  <c r="F683" i="17"/>
  <c r="I683" i="17"/>
  <c r="D684" i="17"/>
  <c r="F684" i="17"/>
  <c r="I684" i="17"/>
  <c r="D685" i="17"/>
  <c r="F685" i="17"/>
  <c r="I685" i="17"/>
  <c r="D686" i="17"/>
  <c r="F686" i="17"/>
  <c r="I686" i="17"/>
  <c r="D687" i="17"/>
  <c r="F687" i="17"/>
  <c r="I687" i="17"/>
  <c r="D688" i="17"/>
  <c r="F688" i="17"/>
  <c r="I688" i="17"/>
  <c r="D689" i="17"/>
  <c r="F689" i="17"/>
  <c r="I689" i="17"/>
  <c r="D690" i="17"/>
  <c r="F690" i="17"/>
  <c r="I690" i="17"/>
  <c r="D691" i="17"/>
  <c r="F691" i="17"/>
  <c r="I691" i="17"/>
  <c r="D692" i="17"/>
  <c r="F692" i="17"/>
  <c r="I692" i="17"/>
  <c r="D693" i="17"/>
  <c r="F693" i="17"/>
  <c r="I693" i="17"/>
  <c r="D694" i="17"/>
  <c r="F694" i="17"/>
  <c r="I694" i="17"/>
  <c r="D695" i="17"/>
  <c r="F695" i="17"/>
  <c r="I695" i="17"/>
  <c r="D696" i="17"/>
  <c r="F696" i="17"/>
  <c r="I696" i="17"/>
  <c r="D697" i="17"/>
  <c r="F697" i="17"/>
  <c r="I697" i="17"/>
  <c r="D698" i="17"/>
  <c r="F698" i="17"/>
  <c r="I698" i="17"/>
  <c r="D699" i="17"/>
  <c r="F699" i="17"/>
  <c r="I699" i="17"/>
  <c r="D700" i="17"/>
  <c r="F700" i="17"/>
  <c r="I700" i="17"/>
  <c r="D701" i="17"/>
  <c r="F701" i="17"/>
  <c r="I701" i="17"/>
  <c r="D702" i="17"/>
  <c r="F702" i="17"/>
  <c r="I702" i="17"/>
  <c r="D703" i="17"/>
  <c r="F703" i="17"/>
  <c r="I703" i="17"/>
  <c r="D704" i="17"/>
  <c r="F704" i="17"/>
  <c r="I704" i="17"/>
  <c r="D705" i="17"/>
  <c r="F705" i="17"/>
  <c r="I705" i="17"/>
  <c r="D706" i="17"/>
  <c r="F706" i="17"/>
  <c r="I706" i="17"/>
  <c r="D707" i="17"/>
  <c r="F707" i="17"/>
  <c r="I707" i="17"/>
  <c r="D708" i="17"/>
  <c r="F708" i="17"/>
  <c r="I708" i="17"/>
  <c r="D709" i="17"/>
  <c r="F709" i="17"/>
  <c r="I709" i="17"/>
  <c r="D710" i="17"/>
  <c r="F710" i="17"/>
  <c r="I710" i="17"/>
  <c r="D711" i="17"/>
  <c r="F711" i="17"/>
  <c r="I711" i="17"/>
  <c r="D712" i="17"/>
  <c r="F712" i="17"/>
  <c r="I712" i="17"/>
  <c r="D713" i="17"/>
  <c r="F713" i="17"/>
  <c r="I713" i="17"/>
  <c r="D714" i="17"/>
  <c r="F714" i="17"/>
  <c r="I714" i="17"/>
  <c r="D715" i="17"/>
  <c r="F715" i="17"/>
  <c r="I715" i="17"/>
  <c r="D716" i="17"/>
  <c r="F716" i="17"/>
  <c r="I716" i="17"/>
  <c r="D717" i="17"/>
  <c r="F717" i="17"/>
  <c r="I717" i="17"/>
  <c r="D718" i="17"/>
  <c r="F718" i="17"/>
  <c r="I718" i="17"/>
  <c r="D719" i="17"/>
  <c r="F719" i="17"/>
  <c r="I719" i="17"/>
  <c r="D720" i="17"/>
  <c r="F720" i="17"/>
  <c r="I720" i="17"/>
  <c r="D721" i="17"/>
  <c r="F721" i="17"/>
  <c r="I721" i="17"/>
  <c r="D722" i="17"/>
  <c r="F722" i="17"/>
  <c r="I722" i="17"/>
  <c r="D723" i="17"/>
  <c r="F723" i="17"/>
  <c r="I723" i="17"/>
  <c r="D724" i="17"/>
  <c r="F724" i="17"/>
  <c r="I724" i="17"/>
  <c r="D725" i="17"/>
  <c r="F725" i="17"/>
  <c r="I725" i="17"/>
  <c r="D726" i="17"/>
  <c r="F726" i="17"/>
  <c r="I726" i="17"/>
  <c r="D727" i="17"/>
  <c r="F727" i="17"/>
  <c r="I727" i="17"/>
  <c r="D728" i="17"/>
  <c r="F728" i="17"/>
  <c r="I728" i="17"/>
  <c r="D729" i="17"/>
  <c r="F729" i="17"/>
  <c r="I729" i="17"/>
  <c r="D730" i="17"/>
  <c r="F730" i="17"/>
  <c r="I730" i="17"/>
  <c r="D731" i="17"/>
  <c r="F731" i="17"/>
  <c r="I731" i="17"/>
  <c r="D732" i="17"/>
  <c r="F732" i="17"/>
  <c r="I732" i="17"/>
  <c r="D733" i="17"/>
  <c r="F733" i="17"/>
  <c r="I733" i="17"/>
  <c r="D734" i="17"/>
  <c r="F734" i="17"/>
  <c r="I734" i="17"/>
  <c r="D735" i="17"/>
  <c r="F735" i="17"/>
  <c r="I735" i="17"/>
  <c r="D736" i="17"/>
  <c r="F736" i="17"/>
  <c r="I736" i="17"/>
  <c r="D737" i="17"/>
  <c r="F737" i="17"/>
  <c r="I737" i="17"/>
  <c r="D738" i="17"/>
  <c r="F738" i="17"/>
  <c r="I738" i="17"/>
  <c r="D739" i="17"/>
  <c r="F739" i="17"/>
  <c r="I739" i="17"/>
  <c r="D740" i="17"/>
  <c r="F740" i="17"/>
  <c r="I740" i="17"/>
  <c r="D741" i="17"/>
  <c r="F741" i="17"/>
  <c r="I741" i="17"/>
  <c r="D742" i="17"/>
  <c r="F742" i="17"/>
  <c r="I742" i="17"/>
  <c r="D743" i="17"/>
  <c r="F743" i="17"/>
  <c r="I743" i="17"/>
  <c r="D744" i="17"/>
  <c r="F744" i="17"/>
  <c r="I744" i="17"/>
  <c r="D745" i="17"/>
  <c r="F745" i="17"/>
  <c r="I745" i="17"/>
  <c r="D746" i="17"/>
  <c r="F746" i="17"/>
  <c r="I746" i="17"/>
  <c r="D747" i="17"/>
  <c r="F747" i="17"/>
  <c r="I747" i="17"/>
  <c r="D748" i="17"/>
  <c r="F748" i="17"/>
  <c r="I748" i="17"/>
  <c r="D749" i="17"/>
  <c r="F749" i="17"/>
  <c r="I749" i="17"/>
  <c r="D750" i="17"/>
  <c r="F750" i="17"/>
  <c r="I750" i="17"/>
  <c r="D751" i="17"/>
  <c r="F751" i="17"/>
  <c r="I751" i="17"/>
  <c r="D752" i="17"/>
  <c r="F752" i="17"/>
  <c r="I752" i="17"/>
  <c r="D753" i="17"/>
  <c r="F753" i="17"/>
  <c r="I753" i="17"/>
  <c r="D754" i="17"/>
  <c r="F754" i="17"/>
  <c r="I754" i="17"/>
  <c r="D755" i="17"/>
  <c r="F755" i="17"/>
  <c r="I755" i="17"/>
  <c r="D756" i="17"/>
  <c r="F756" i="17"/>
  <c r="I756" i="17"/>
  <c r="D757" i="17"/>
  <c r="F757" i="17"/>
  <c r="I757" i="17"/>
  <c r="D758" i="17"/>
  <c r="F758" i="17"/>
  <c r="I758" i="17"/>
  <c r="D759" i="17"/>
  <c r="F759" i="17"/>
  <c r="I759" i="17"/>
  <c r="D760" i="17"/>
  <c r="F760" i="17"/>
  <c r="I760" i="17"/>
  <c r="D761" i="17"/>
  <c r="F761" i="17"/>
  <c r="I761" i="17"/>
  <c r="D762" i="17"/>
  <c r="F762" i="17"/>
  <c r="I762" i="17"/>
  <c r="D763" i="17"/>
  <c r="F763" i="17"/>
  <c r="I763" i="17"/>
  <c r="D764" i="17"/>
  <c r="F764" i="17"/>
  <c r="I764" i="17"/>
  <c r="D765" i="17"/>
  <c r="F765" i="17"/>
  <c r="I765" i="17"/>
  <c r="D766" i="17"/>
  <c r="F766" i="17"/>
  <c r="I766" i="17"/>
  <c r="D767" i="17"/>
  <c r="F767" i="17"/>
  <c r="I767" i="17"/>
  <c r="D768" i="17"/>
  <c r="F768" i="17"/>
  <c r="I768" i="17"/>
  <c r="D769" i="17"/>
  <c r="F769" i="17"/>
  <c r="I769" i="17"/>
  <c r="D770" i="17"/>
  <c r="F770" i="17"/>
  <c r="I770" i="17"/>
  <c r="D771" i="17"/>
  <c r="F771" i="17"/>
  <c r="I771" i="17"/>
  <c r="D772" i="17"/>
  <c r="F772" i="17"/>
  <c r="I772" i="17"/>
  <c r="D773" i="17"/>
  <c r="F773" i="17"/>
  <c r="I773" i="17"/>
  <c r="D774" i="17"/>
  <c r="F774" i="17"/>
  <c r="I774" i="17"/>
  <c r="D775" i="17"/>
  <c r="F775" i="17"/>
  <c r="I775" i="17"/>
  <c r="D776" i="17"/>
  <c r="F776" i="17"/>
  <c r="I776" i="17"/>
  <c r="D777" i="17"/>
  <c r="F777" i="17"/>
  <c r="I777" i="17"/>
  <c r="D778" i="17"/>
  <c r="F778" i="17"/>
  <c r="I778" i="17"/>
  <c r="D779" i="17"/>
  <c r="F779" i="17"/>
  <c r="I779" i="17"/>
  <c r="D780" i="17"/>
  <c r="F780" i="17"/>
  <c r="I780" i="17"/>
  <c r="D781" i="17"/>
  <c r="F781" i="17"/>
  <c r="I781" i="17"/>
  <c r="D782" i="17"/>
  <c r="F782" i="17"/>
  <c r="I782" i="17"/>
  <c r="D783" i="17"/>
  <c r="F783" i="17"/>
  <c r="I783" i="17"/>
  <c r="D784" i="17"/>
  <c r="F784" i="17"/>
  <c r="I784" i="17"/>
  <c r="D785" i="17"/>
  <c r="F785" i="17"/>
  <c r="I785" i="17"/>
  <c r="D786" i="17"/>
  <c r="F786" i="17"/>
  <c r="I786" i="17"/>
  <c r="D787" i="17"/>
  <c r="F787" i="17"/>
  <c r="I787" i="17"/>
  <c r="D788" i="17"/>
  <c r="F788" i="17"/>
  <c r="I788" i="17"/>
  <c r="D789" i="17"/>
  <c r="F789" i="17"/>
  <c r="I789" i="17"/>
  <c r="D790" i="17"/>
  <c r="F790" i="17"/>
  <c r="I790" i="17"/>
  <c r="D791" i="17"/>
  <c r="F791" i="17"/>
  <c r="I791" i="17"/>
  <c r="D792" i="17"/>
  <c r="F792" i="17"/>
  <c r="I792" i="17"/>
  <c r="D793" i="17"/>
  <c r="F793" i="17"/>
  <c r="I793" i="17"/>
  <c r="D794" i="17"/>
  <c r="F794" i="17"/>
  <c r="I794" i="17"/>
  <c r="D795" i="17"/>
  <c r="F795" i="17"/>
  <c r="I795" i="17"/>
  <c r="D796" i="17"/>
  <c r="F796" i="17"/>
  <c r="I796" i="17"/>
  <c r="D797" i="17"/>
  <c r="F797" i="17"/>
  <c r="I797" i="17"/>
  <c r="D798" i="17"/>
  <c r="F798" i="17"/>
  <c r="I798" i="17"/>
  <c r="D799" i="17"/>
  <c r="F799" i="17"/>
  <c r="I799" i="17"/>
  <c r="D800" i="17"/>
  <c r="F800" i="17"/>
  <c r="I800" i="17"/>
  <c r="D801" i="17"/>
  <c r="F801" i="17"/>
  <c r="I801" i="17"/>
  <c r="D802" i="17"/>
  <c r="F802" i="17"/>
  <c r="I802" i="17"/>
  <c r="D803" i="17"/>
  <c r="F803" i="17"/>
  <c r="I803" i="17"/>
  <c r="D804" i="17"/>
  <c r="F804" i="17"/>
  <c r="I804" i="17"/>
  <c r="D805" i="17"/>
  <c r="F805" i="17"/>
  <c r="I805" i="17"/>
  <c r="D806" i="17"/>
  <c r="F806" i="17"/>
  <c r="I806" i="17"/>
  <c r="D807" i="17"/>
  <c r="F807" i="17"/>
  <c r="I807" i="17"/>
  <c r="D808" i="17"/>
  <c r="F808" i="17"/>
  <c r="I808" i="17"/>
  <c r="D809" i="17"/>
  <c r="F809" i="17"/>
  <c r="I809" i="17"/>
  <c r="D810" i="17"/>
  <c r="F810" i="17"/>
  <c r="I810" i="17"/>
  <c r="D811" i="17"/>
  <c r="F811" i="17"/>
  <c r="I811" i="17"/>
  <c r="D812" i="17"/>
  <c r="F812" i="17"/>
  <c r="I812" i="17"/>
  <c r="D813" i="17"/>
  <c r="F813" i="17"/>
  <c r="I813" i="17"/>
  <c r="D814" i="17"/>
  <c r="F814" i="17"/>
  <c r="I814" i="17"/>
  <c r="D815" i="17"/>
  <c r="F815" i="17"/>
  <c r="I815" i="17"/>
  <c r="D816" i="17"/>
  <c r="F816" i="17"/>
  <c r="I816" i="17"/>
  <c r="D817" i="17"/>
  <c r="F817" i="17"/>
  <c r="I817" i="17"/>
  <c r="D818" i="17"/>
  <c r="F818" i="17"/>
  <c r="I818" i="17"/>
  <c r="D819" i="17"/>
  <c r="F819" i="17"/>
  <c r="I819" i="17"/>
  <c r="D820" i="17"/>
  <c r="F820" i="17"/>
  <c r="I820" i="17"/>
  <c r="D821" i="17"/>
  <c r="F821" i="17"/>
  <c r="I821" i="17"/>
  <c r="D822" i="17"/>
  <c r="F822" i="17"/>
  <c r="I822" i="17"/>
  <c r="D823" i="17"/>
  <c r="F823" i="17"/>
  <c r="I823" i="17"/>
  <c r="D824" i="17"/>
  <c r="F824" i="17"/>
  <c r="I824" i="17"/>
  <c r="D825" i="17"/>
  <c r="F825" i="17"/>
  <c r="I825" i="17"/>
  <c r="D826" i="17"/>
  <c r="F826" i="17"/>
  <c r="I826" i="17"/>
  <c r="D827" i="17"/>
  <c r="F827" i="17"/>
  <c r="I827" i="17"/>
  <c r="D828" i="17"/>
  <c r="F828" i="17"/>
  <c r="I828" i="17"/>
  <c r="D829" i="17"/>
  <c r="F829" i="17"/>
  <c r="I829" i="17"/>
  <c r="D830" i="17"/>
  <c r="F830" i="17"/>
  <c r="I830" i="17"/>
  <c r="D831" i="17"/>
  <c r="F831" i="17"/>
  <c r="I831" i="17"/>
  <c r="D832" i="17"/>
  <c r="F832" i="17"/>
  <c r="I832" i="17"/>
  <c r="D833" i="17"/>
  <c r="F833" i="17"/>
  <c r="I833" i="17"/>
  <c r="D834" i="17"/>
  <c r="F834" i="17"/>
  <c r="I834" i="17"/>
  <c r="D835" i="17"/>
  <c r="F835" i="17"/>
  <c r="I835" i="17"/>
  <c r="D836" i="17"/>
  <c r="F836" i="17"/>
  <c r="I836" i="17"/>
  <c r="D837" i="17"/>
  <c r="F837" i="17"/>
  <c r="I837" i="17"/>
  <c r="D838" i="17"/>
  <c r="F838" i="17"/>
  <c r="I838" i="17"/>
  <c r="D839" i="17"/>
  <c r="F839" i="17"/>
  <c r="I839" i="17"/>
  <c r="D840" i="17"/>
  <c r="F840" i="17"/>
  <c r="I840" i="17"/>
  <c r="D841" i="17"/>
  <c r="F841" i="17"/>
  <c r="I841" i="17"/>
  <c r="D842" i="17"/>
  <c r="F842" i="17"/>
  <c r="I842" i="17"/>
  <c r="D843" i="17"/>
  <c r="F843" i="17"/>
  <c r="I843" i="17"/>
  <c r="D844" i="17"/>
  <c r="F844" i="17"/>
  <c r="I844" i="17"/>
  <c r="D845" i="17"/>
  <c r="F845" i="17"/>
  <c r="I845" i="17"/>
  <c r="D846" i="17"/>
  <c r="F846" i="17"/>
  <c r="I846" i="17"/>
  <c r="D847" i="17"/>
  <c r="F847" i="17"/>
  <c r="I847" i="17"/>
  <c r="D848" i="17"/>
  <c r="F848" i="17"/>
  <c r="I848" i="17"/>
  <c r="D849" i="17"/>
  <c r="F849" i="17"/>
  <c r="I849" i="17"/>
  <c r="D850" i="17"/>
  <c r="F850" i="17"/>
  <c r="I850" i="17"/>
  <c r="D851" i="17"/>
  <c r="F851" i="17"/>
  <c r="I851" i="17"/>
  <c r="D852" i="17"/>
  <c r="F852" i="17"/>
  <c r="I852" i="17"/>
  <c r="D853" i="17"/>
  <c r="F853" i="17"/>
  <c r="I853" i="17"/>
  <c r="D854" i="17"/>
  <c r="F854" i="17"/>
  <c r="I854" i="17"/>
  <c r="D855" i="17"/>
  <c r="F855" i="17"/>
  <c r="I855" i="17"/>
  <c r="D856" i="17"/>
  <c r="F856" i="17"/>
  <c r="I856" i="17"/>
  <c r="D857" i="17"/>
  <c r="F857" i="17"/>
  <c r="I857" i="17"/>
  <c r="D858" i="17"/>
  <c r="F858" i="17"/>
  <c r="I858" i="17"/>
  <c r="D859" i="17"/>
  <c r="F859" i="17"/>
  <c r="I859" i="17"/>
  <c r="D860" i="17"/>
  <c r="F860" i="17"/>
  <c r="I860" i="17"/>
  <c r="D861" i="17"/>
  <c r="F861" i="17"/>
  <c r="I861" i="17"/>
  <c r="D862" i="17"/>
  <c r="F862" i="17"/>
  <c r="I862" i="17"/>
  <c r="D863" i="17"/>
  <c r="F863" i="17"/>
  <c r="I863" i="17"/>
  <c r="D864" i="17"/>
  <c r="F864" i="17"/>
  <c r="I864" i="17"/>
  <c r="D865" i="17"/>
  <c r="F865" i="17"/>
  <c r="I865" i="17"/>
  <c r="D866" i="17"/>
  <c r="F866" i="17"/>
  <c r="I866" i="17"/>
  <c r="D867" i="17"/>
  <c r="F867" i="17"/>
  <c r="I867" i="17"/>
  <c r="D868" i="17"/>
  <c r="F868" i="17"/>
  <c r="I868" i="17"/>
  <c r="D869" i="17"/>
  <c r="F869" i="17"/>
  <c r="I869" i="17"/>
  <c r="D870" i="17"/>
  <c r="F870" i="17"/>
  <c r="I870" i="17"/>
  <c r="D871" i="17"/>
  <c r="F871" i="17"/>
  <c r="I871" i="17"/>
  <c r="D872" i="17"/>
  <c r="F872" i="17"/>
  <c r="I872" i="17"/>
  <c r="D873" i="17"/>
  <c r="F873" i="17"/>
  <c r="I873" i="17"/>
  <c r="D874" i="17"/>
  <c r="F874" i="17"/>
  <c r="I874" i="17"/>
  <c r="D875" i="17"/>
  <c r="F875" i="17"/>
  <c r="I875" i="17"/>
  <c r="D876" i="17"/>
  <c r="F876" i="17"/>
  <c r="I876" i="17"/>
  <c r="D877" i="17"/>
  <c r="F877" i="17"/>
  <c r="I877" i="17"/>
  <c r="D878" i="17"/>
  <c r="F878" i="17"/>
  <c r="I878" i="17"/>
  <c r="D879" i="17"/>
  <c r="F879" i="17"/>
  <c r="I879" i="17"/>
  <c r="D880" i="17"/>
  <c r="F880" i="17"/>
  <c r="I880" i="17"/>
  <c r="D881" i="17"/>
  <c r="F881" i="17"/>
  <c r="I881" i="17"/>
  <c r="D882" i="17"/>
  <c r="F882" i="17"/>
  <c r="I882" i="17"/>
  <c r="D883" i="17"/>
  <c r="F883" i="17"/>
  <c r="I883" i="17"/>
  <c r="D884" i="17"/>
  <c r="F884" i="17"/>
  <c r="I884" i="17"/>
  <c r="D885" i="17"/>
  <c r="F885" i="17"/>
  <c r="I885" i="17"/>
  <c r="D886" i="17"/>
  <c r="F886" i="17"/>
  <c r="I886" i="17"/>
  <c r="D887" i="17"/>
  <c r="F887" i="17"/>
  <c r="I887" i="17"/>
  <c r="D888" i="17"/>
  <c r="F888" i="17"/>
  <c r="I888" i="17"/>
  <c r="D889" i="17"/>
  <c r="F889" i="17"/>
  <c r="I889" i="17"/>
  <c r="D890" i="17"/>
  <c r="F890" i="17"/>
  <c r="I890" i="17"/>
  <c r="D891" i="17"/>
  <c r="F891" i="17"/>
  <c r="I891" i="17"/>
  <c r="D892" i="17"/>
  <c r="F892" i="17"/>
  <c r="I892" i="17"/>
  <c r="D893" i="17"/>
  <c r="F893" i="17"/>
  <c r="I893" i="17"/>
  <c r="D894" i="17"/>
  <c r="F894" i="17"/>
  <c r="I894" i="17"/>
  <c r="D895" i="17"/>
  <c r="F895" i="17"/>
  <c r="I895" i="17"/>
  <c r="D896" i="17"/>
  <c r="F896" i="17"/>
  <c r="I896" i="17"/>
  <c r="D897" i="17"/>
  <c r="F897" i="17"/>
  <c r="I897" i="17"/>
  <c r="D898" i="17"/>
  <c r="F898" i="17"/>
  <c r="I898" i="17"/>
  <c r="D899" i="17"/>
  <c r="F899" i="17"/>
  <c r="I899" i="17"/>
  <c r="D900" i="17"/>
  <c r="F900" i="17"/>
  <c r="I900" i="17"/>
  <c r="D901" i="17"/>
  <c r="F901" i="17"/>
  <c r="I901" i="17"/>
  <c r="D902" i="17"/>
  <c r="F902" i="17"/>
  <c r="I902" i="17"/>
  <c r="D903" i="17"/>
  <c r="F903" i="17"/>
  <c r="I903" i="17"/>
  <c r="D904" i="17"/>
  <c r="F904" i="17"/>
  <c r="I904" i="17"/>
  <c r="D905" i="17"/>
  <c r="F905" i="17"/>
  <c r="I905" i="17"/>
  <c r="D906" i="17"/>
  <c r="F906" i="17"/>
  <c r="I906" i="17"/>
  <c r="D907" i="17"/>
  <c r="F907" i="17"/>
  <c r="I907" i="17"/>
  <c r="D908" i="17"/>
  <c r="F908" i="17"/>
  <c r="I908" i="17"/>
  <c r="D909" i="17"/>
  <c r="F909" i="17"/>
  <c r="I909" i="17"/>
  <c r="D910" i="17"/>
  <c r="F910" i="17"/>
  <c r="I910" i="17"/>
  <c r="D911" i="17"/>
  <c r="F911" i="17"/>
  <c r="I911" i="17"/>
  <c r="D912" i="17"/>
  <c r="F912" i="17"/>
  <c r="I912" i="17"/>
  <c r="D913" i="17"/>
  <c r="F913" i="17"/>
  <c r="I913" i="17"/>
  <c r="D914" i="17"/>
  <c r="F914" i="17"/>
  <c r="I914" i="17"/>
  <c r="D915" i="17"/>
  <c r="F915" i="17"/>
  <c r="I915" i="17"/>
  <c r="D916" i="17"/>
  <c r="F916" i="17"/>
  <c r="I916" i="17"/>
  <c r="D917" i="17"/>
  <c r="F917" i="17"/>
  <c r="I917" i="17"/>
  <c r="D918" i="17"/>
  <c r="F918" i="17"/>
  <c r="I918" i="17"/>
  <c r="D919" i="17"/>
  <c r="F919" i="17"/>
  <c r="I919" i="17"/>
  <c r="D920" i="17"/>
  <c r="F920" i="17"/>
  <c r="I920" i="17"/>
  <c r="D921" i="17"/>
  <c r="F921" i="17"/>
  <c r="I921" i="17"/>
  <c r="D922" i="17"/>
  <c r="F922" i="17"/>
  <c r="I922" i="17"/>
  <c r="D923" i="17"/>
  <c r="F923" i="17"/>
  <c r="I923" i="17"/>
  <c r="D924" i="17"/>
  <c r="F924" i="17"/>
  <c r="I924" i="17"/>
  <c r="D925" i="17"/>
  <c r="F925" i="17"/>
  <c r="I925" i="17"/>
  <c r="D926" i="17"/>
  <c r="F926" i="17"/>
  <c r="I926" i="17"/>
  <c r="D927" i="17"/>
  <c r="F927" i="17"/>
  <c r="I927" i="17"/>
  <c r="D928" i="17"/>
  <c r="F928" i="17"/>
  <c r="I928" i="17"/>
  <c r="D929" i="17"/>
  <c r="F929" i="17"/>
  <c r="I929" i="17"/>
  <c r="D930" i="17"/>
  <c r="F930" i="17"/>
  <c r="I930" i="17"/>
  <c r="D931" i="17"/>
  <c r="F931" i="17"/>
  <c r="I931" i="17"/>
  <c r="D932" i="17"/>
  <c r="F932" i="17"/>
  <c r="I932" i="17"/>
  <c r="D933" i="17"/>
  <c r="F933" i="17"/>
  <c r="I933" i="17"/>
  <c r="D934" i="17"/>
  <c r="F934" i="17"/>
  <c r="I934" i="17"/>
  <c r="D935" i="17"/>
  <c r="F935" i="17"/>
  <c r="I935" i="17"/>
  <c r="D936" i="17"/>
  <c r="F936" i="17"/>
  <c r="I936" i="17"/>
  <c r="D937" i="17"/>
  <c r="F937" i="17"/>
  <c r="I937" i="17"/>
  <c r="D938" i="17"/>
  <c r="F938" i="17"/>
  <c r="I938" i="17"/>
  <c r="D939" i="17"/>
  <c r="F939" i="17"/>
  <c r="I939" i="17"/>
  <c r="D940" i="17"/>
  <c r="F940" i="17"/>
  <c r="I940" i="17"/>
  <c r="D941" i="17"/>
  <c r="F941" i="17"/>
  <c r="I941" i="17"/>
  <c r="D942" i="17"/>
  <c r="F942" i="17"/>
  <c r="I942" i="17"/>
  <c r="D943" i="17"/>
  <c r="F943" i="17"/>
  <c r="I943" i="17"/>
  <c r="D944" i="17"/>
  <c r="F944" i="17"/>
  <c r="I944" i="17"/>
  <c r="D945" i="17"/>
  <c r="F945" i="17"/>
  <c r="I945" i="17"/>
  <c r="D946" i="17"/>
  <c r="F946" i="17"/>
  <c r="I946" i="17"/>
  <c r="D947" i="17"/>
  <c r="F947" i="17"/>
  <c r="I947" i="17"/>
  <c r="D948" i="17"/>
  <c r="F948" i="17"/>
  <c r="I948" i="17"/>
  <c r="D949" i="17"/>
  <c r="F949" i="17"/>
  <c r="I949" i="17"/>
  <c r="D950" i="17"/>
  <c r="F950" i="17"/>
  <c r="I950" i="17"/>
  <c r="D951" i="17"/>
  <c r="F951" i="17"/>
  <c r="I951" i="17"/>
  <c r="D952" i="17"/>
  <c r="F952" i="17"/>
  <c r="I952" i="17"/>
  <c r="D953" i="17"/>
  <c r="F953" i="17"/>
  <c r="I953" i="17"/>
  <c r="D954" i="17"/>
  <c r="F954" i="17"/>
  <c r="I954" i="17"/>
  <c r="D955" i="17"/>
  <c r="F955" i="17"/>
  <c r="I955" i="17"/>
  <c r="D956" i="17"/>
  <c r="F956" i="17"/>
  <c r="I956" i="17"/>
  <c r="D957" i="17"/>
  <c r="F957" i="17"/>
  <c r="I957" i="17"/>
  <c r="D958" i="17"/>
  <c r="F958" i="17"/>
  <c r="I958" i="17"/>
  <c r="D959" i="17"/>
  <c r="F959" i="17"/>
  <c r="I959" i="17"/>
  <c r="D960" i="17"/>
  <c r="F960" i="17"/>
  <c r="I960" i="17"/>
  <c r="D961" i="17"/>
  <c r="F961" i="17"/>
  <c r="I961" i="17"/>
  <c r="D962" i="17"/>
  <c r="F962" i="17"/>
  <c r="I962" i="17"/>
  <c r="D963" i="17"/>
  <c r="F963" i="17"/>
  <c r="I963" i="17"/>
  <c r="D964" i="17"/>
  <c r="F964" i="17"/>
  <c r="I964" i="17"/>
  <c r="D965" i="17"/>
  <c r="F965" i="17"/>
  <c r="I965" i="17"/>
  <c r="D966" i="17"/>
  <c r="F966" i="17"/>
  <c r="I966" i="17"/>
  <c r="D967" i="17"/>
  <c r="F967" i="17"/>
  <c r="I967" i="17"/>
  <c r="D968" i="17"/>
  <c r="F968" i="17"/>
  <c r="I968" i="17"/>
  <c r="D969" i="17"/>
  <c r="F969" i="17"/>
  <c r="I969" i="17"/>
  <c r="D970" i="17"/>
  <c r="F970" i="17"/>
  <c r="I970" i="17"/>
  <c r="D971" i="17"/>
  <c r="F971" i="17"/>
  <c r="I971" i="17"/>
  <c r="D972" i="17"/>
  <c r="F972" i="17"/>
  <c r="I972" i="17"/>
  <c r="D973" i="17"/>
  <c r="F973" i="17"/>
  <c r="I973" i="17"/>
  <c r="D974" i="17"/>
  <c r="F974" i="17"/>
  <c r="I974" i="17"/>
  <c r="D975" i="17"/>
  <c r="F975" i="17"/>
  <c r="I975" i="17"/>
  <c r="D976" i="17"/>
  <c r="F976" i="17"/>
  <c r="I976" i="17"/>
  <c r="D977" i="17"/>
  <c r="F977" i="17"/>
  <c r="I977" i="17"/>
  <c r="D978" i="17"/>
  <c r="F978" i="17"/>
  <c r="I978" i="17"/>
  <c r="D979" i="17"/>
  <c r="F979" i="17"/>
  <c r="I979" i="17"/>
  <c r="D980" i="17"/>
  <c r="F980" i="17"/>
  <c r="I980" i="17"/>
  <c r="D981" i="17"/>
  <c r="F981" i="17"/>
  <c r="I981" i="17"/>
  <c r="D982" i="17"/>
  <c r="F982" i="17"/>
  <c r="I982" i="17"/>
  <c r="D983" i="17"/>
  <c r="F983" i="17"/>
  <c r="I983" i="17"/>
  <c r="D984" i="17"/>
  <c r="F984" i="17"/>
  <c r="I984" i="17"/>
  <c r="D985" i="17"/>
  <c r="F985" i="17"/>
  <c r="I985" i="17"/>
  <c r="D986" i="17"/>
  <c r="F986" i="17"/>
  <c r="I986" i="17"/>
  <c r="D987" i="17"/>
  <c r="F987" i="17"/>
  <c r="I987" i="17"/>
  <c r="D988" i="17"/>
  <c r="F988" i="17"/>
  <c r="I988" i="17"/>
  <c r="D989" i="17"/>
  <c r="F989" i="17"/>
  <c r="I989" i="17"/>
  <c r="D990" i="17"/>
  <c r="F990" i="17"/>
  <c r="I990" i="17"/>
  <c r="D991" i="17"/>
  <c r="F991" i="17"/>
  <c r="I991" i="17"/>
  <c r="D992" i="17"/>
  <c r="F992" i="17"/>
  <c r="I992" i="17"/>
  <c r="D993" i="17"/>
  <c r="F993" i="17"/>
  <c r="I993" i="17"/>
  <c r="D994" i="17"/>
  <c r="F994" i="17"/>
  <c r="I994" i="17"/>
  <c r="D995" i="17"/>
  <c r="F995" i="17"/>
  <c r="I995" i="17"/>
  <c r="D996" i="17"/>
  <c r="F996" i="17"/>
  <c r="I996" i="17"/>
  <c r="D997" i="17"/>
  <c r="F997" i="17"/>
  <c r="I997" i="17"/>
  <c r="D998" i="17"/>
  <c r="F998" i="17"/>
  <c r="I998" i="17"/>
  <c r="D999" i="17"/>
  <c r="F999" i="17"/>
  <c r="I999" i="17"/>
  <c r="D1000" i="17"/>
  <c r="F1000" i="17"/>
  <c r="I1000" i="17"/>
  <c r="D1001" i="17"/>
  <c r="F1001" i="17"/>
  <c r="I1001" i="17"/>
  <c r="D1002" i="17"/>
  <c r="F1002" i="17"/>
  <c r="I1002" i="17"/>
  <c r="D1003" i="17"/>
  <c r="F1003" i="17"/>
  <c r="I1003" i="17"/>
  <c r="D1004" i="17"/>
  <c r="F1004" i="17"/>
  <c r="I1004" i="17"/>
  <c r="D1005" i="17"/>
  <c r="F1005" i="17"/>
  <c r="I1005" i="17"/>
  <c r="D1006" i="17"/>
  <c r="F1006" i="17"/>
  <c r="I1006" i="17"/>
  <c r="D1007" i="17"/>
  <c r="F1007" i="17"/>
  <c r="I1007" i="17"/>
  <c r="D1008" i="17"/>
  <c r="F1008" i="17"/>
  <c r="I1008" i="17"/>
  <c r="D1009" i="17"/>
  <c r="F1009" i="17"/>
  <c r="I1009" i="17"/>
  <c r="D1010" i="17"/>
  <c r="F1010" i="17"/>
  <c r="I1010" i="17"/>
  <c r="D1011" i="17"/>
  <c r="F1011" i="17"/>
  <c r="I1011" i="17"/>
  <c r="D1012" i="17"/>
  <c r="F1012" i="17"/>
  <c r="I1012" i="17"/>
  <c r="D1013" i="17"/>
  <c r="F1013" i="17"/>
  <c r="I1013" i="17"/>
  <c r="D1014" i="17"/>
  <c r="F1014" i="17"/>
  <c r="I1014" i="17"/>
  <c r="D1015" i="17"/>
  <c r="F1015" i="17"/>
  <c r="I1015" i="17"/>
  <c r="D1016" i="17"/>
  <c r="F1016" i="17"/>
  <c r="I1016" i="17"/>
  <c r="D1017" i="17"/>
  <c r="F1017" i="17"/>
  <c r="I1017" i="17"/>
  <c r="D1018" i="17"/>
  <c r="F1018" i="17"/>
  <c r="I1018" i="17"/>
  <c r="D1019" i="17"/>
  <c r="F1019" i="17"/>
  <c r="I1019" i="17"/>
  <c r="D1020" i="17"/>
  <c r="F1020" i="17"/>
  <c r="I1020" i="17"/>
  <c r="D1021" i="17"/>
  <c r="F1021" i="17"/>
  <c r="I1021" i="17"/>
  <c r="D1022" i="17"/>
  <c r="F1022" i="17"/>
  <c r="I1022" i="17"/>
  <c r="D1023" i="17"/>
  <c r="F1023" i="17"/>
  <c r="I1023" i="17"/>
  <c r="D1024" i="17"/>
  <c r="F1024" i="17"/>
  <c r="I1024" i="17"/>
  <c r="D1025" i="17"/>
  <c r="F1025" i="17"/>
  <c r="I1025" i="17"/>
  <c r="D1026" i="17"/>
  <c r="F1026" i="17"/>
  <c r="I1026" i="17"/>
  <c r="D1027" i="17"/>
  <c r="F1027" i="17"/>
  <c r="I1027" i="17"/>
  <c r="D1028" i="17"/>
  <c r="F1028" i="17"/>
  <c r="I1028" i="17"/>
  <c r="D1029" i="17"/>
  <c r="F1029" i="17"/>
  <c r="I1029" i="17"/>
  <c r="D1030" i="17"/>
  <c r="F1030" i="17"/>
  <c r="I1030" i="17"/>
  <c r="D1031" i="17"/>
  <c r="F1031" i="17"/>
  <c r="I1031" i="17"/>
  <c r="D1032" i="17"/>
  <c r="F1032" i="17"/>
  <c r="I1032" i="17"/>
  <c r="D1033" i="17"/>
  <c r="F1033" i="17"/>
  <c r="I1033" i="17"/>
  <c r="D1034" i="17"/>
  <c r="F1034" i="17"/>
  <c r="I1034" i="17"/>
  <c r="D1035" i="17"/>
  <c r="F1035" i="17"/>
  <c r="I1035" i="17"/>
  <c r="D1036" i="17"/>
  <c r="F1036" i="17"/>
  <c r="I1036" i="17"/>
  <c r="D1037" i="17"/>
  <c r="F1037" i="17"/>
  <c r="I1037" i="17"/>
  <c r="D1038" i="17"/>
  <c r="F1038" i="17"/>
  <c r="I1038" i="17"/>
  <c r="D1039" i="17"/>
  <c r="F1039" i="17"/>
  <c r="I1039" i="17"/>
  <c r="D1040" i="17"/>
  <c r="F1040" i="17"/>
  <c r="I1040" i="17"/>
  <c r="D1041" i="17"/>
  <c r="F1041" i="17"/>
  <c r="I1041" i="17"/>
  <c r="D1042" i="17"/>
  <c r="F1042" i="17"/>
  <c r="I1042" i="17"/>
  <c r="D1043" i="17"/>
  <c r="F1043" i="17"/>
  <c r="I1043" i="17"/>
  <c r="D1044" i="17"/>
  <c r="F1044" i="17"/>
  <c r="I1044" i="17"/>
  <c r="D1045" i="17"/>
  <c r="F1045" i="17"/>
  <c r="I1045" i="17"/>
  <c r="D1046" i="17"/>
  <c r="F1046" i="17"/>
  <c r="I1046" i="17"/>
  <c r="D1047" i="17"/>
  <c r="F1047" i="17"/>
  <c r="I1047" i="17"/>
  <c r="D1048" i="17"/>
  <c r="F1048" i="17"/>
  <c r="I1048" i="17"/>
  <c r="D1049" i="17"/>
  <c r="F1049" i="17"/>
  <c r="I1049" i="17"/>
  <c r="D1050" i="17"/>
  <c r="F1050" i="17"/>
  <c r="I1050" i="17"/>
  <c r="D1051" i="17"/>
  <c r="F1051" i="17"/>
  <c r="I1051" i="17"/>
  <c r="D1052" i="17"/>
  <c r="F1052" i="17"/>
  <c r="I1052" i="17"/>
  <c r="D1053" i="17"/>
  <c r="F1053" i="17"/>
  <c r="I1053" i="17"/>
  <c r="D1054" i="17"/>
  <c r="F1054" i="17"/>
  <c r="I1054" i="17"/>
  <c r="D1055" i="17"/>
  <c r="F1055" i="17"/>
  <c r="I1055" i="17"/>
  <c r="D1056" i="17"/>
  <c r="F1056" i="17"/>
  <c r="I1056" i="17"/>
  <c r="D1057" i="17"/>
  <c r="F1057" i="17"/>
  <c r="I1057" i="17"/>
  <c r="D1058" i="17"/>
  <c r="F1058" i="17"/>
  <c r="I1058" i="17"/>
  <c r="D1059" i="17"/>
  <c r="F1059" i="17"/>
  <c r="I1059" i="17"/>
  <c r="D1060" i="17"/>
  <c r="F1060" i="17"/>
  <c r="I1060" i="17"/>
  <c r="D1061" i="17"/>
  <c r="F1061" i="17"/>
  <c r="I1061" i="17"/>
  <c r="D1062" i="17"/>
  <c r="F1062" i="17"/>
  <c r="I1062" i="17"/>
  <c r="D1063" i="17"/>
  <c r="F1063" i="17"/>
  <c r="I1063" i="17"/>
  <c r="D1064" i="17"/>
  <c r="F1064" i="17"/>
  <c r="I1064" i="17"/>
  <c r="D1065" i="17"/>
  <c r="F1065" i="17"/>
  <c r="I1065" i="17"/>
  <c r="D1066" i="17"/>
  <c r="F1066" i="17"/>
  <c r="I1066" i="17"/>
  <c r="D1067" i="17"/>
  <c r="F1067" i="17"/>
  <c r="I1067" i="17"/>
  <c r="D1068" i="17"/>
  <c r="F1068" i="17"/>
  <c r="I1068" i="17"/>
  <c r="D1069" i="17"/>
  <c r="F1069" i="17"/>
  <c r="I1069" i="17"/>
  <c r="D1070" i="17"/>
  <c r="F1070" i="17"/>
  <c r="I1070" i="17"/>
  <c r="D1071" i="17"/>
  <c r="F1071" i="17"/>
  <c r="I1071" i="17"/>
  <c r="D1072" i="17"/>
  <c r="F1072" i="17"/>
  <c r="I1072" i="17"/>
  <c r="D1073" i="17"/>
  <c r="F1073" i="17"/>
  <c r="I1073" i="17"/>
  <c r="D1074" i="17"/>
  <c r="F1074" i="17"/>
  <c r="I1074" i="17"/>
  <c r="D1075" i="17"/>
  <c r="F1075" i="17"/>
  <c r="I1075" i="17"/>
  <c r="D1076" i="17"/>
  <c r="F1076" i="17"/>
  <c r="I1076" i="17"/>
  <c r="D1077" i="17"/>
  <c r="F1077" i="17"/>
  <c r="I1077" i="17"/>
  <c r="D1078" i="17"/>
  <c r="F1078" i="17"/>
  <c r="I1078" i="17"/>
  <c r="D1079" i="17"/>
  <c r="F1079" i="17"/>
  <c r="I1079" i="17"/>
  <c r="D1080" i="17"/>
  <c r="F1080" i="17"/>
  <c r="I1080" i="17"/>
  <c r="D1081" i="17"/>
  <c r="F1081" i="17"/>
  <c r="I1081" i="17"/>
  <c r="D1082" i="17"/>
  <c r="F1082" i="17"/>
  <c r="I1082" i="17"/>
  <c r="D1083" i="17"/>
  <c r="F1083" i="17"/>
  <c r="I1083" i="17"/>
  <c r="D1084" i="17"/>
  <c r="F1084" i="17"/>
  <c r="I1084" i="17"/>
  <c r="D1085" i="17"/>
  <c r="F1085" i="17"/>
  <c r="I1085" i="17"/>
  <c r="D1086" i="17"/>
  <c r="F1086" i="17"/>
  <c r="I1086" i="17"/>
  <c r="D1087" i="17"/>
  <c r="F1087" i="17"/>
  <c r="I1087" i="17"/>
  <c r="D1088" i="17"/>
  <c r="F1088" i="17"/>
  <c r="I1088" i="17"/>
  <c r="D1089" i="17"/>
  <c r="F1089" i="17"/>
  <c r="I1089" i="17"/>
  <c r="D1090" i="17"/>
  <c r="F1090" i="17"/>
  <c r="I1090" i="17"/>
  <c r="D1091" i="17"/>
  <c r="F1091" i="17"/>
  <c r="I1091" i="17"/>
  <c r="D1092" i="17"/>
  <c r="F1092" i="17"/>
  <c r="I1092" i="17"/>
  <c r="D1093" i="17"/>
  <c r="F1093" i="17"/>
  <c r="I1093" i="17"/>
  <c r="D1094" i="17"/>
  <c r="F1094" i="17"/>
  <c r="I1094" i="17"/>
  <c r="D1095" i="17"/>
  <c r="F1095" i="17"/>
  <c r="I1095" i="17"/>
  <c r="D1096" i="17"/>
  <c r="F1096" i="17"/>
  <c r="I1096" i="17"/>
  <c r="D1097" i="17"/>
  <c r="F1097" i="17"/>
  <c r="I1097" i="17"/>
  <c r="D1098" i="17"/>
  <c r="F1098" i="17"/>
  <c r="I1098" i="17"/>
  <c r="D1099" i="17"/>
  <c r="F1099" i="17"/>
  <c r="I1099" i="17"/>
  <c r="D1100" i="17"/>
  <c r="F1100" i="17"/>
  <c r="I1100" i="17"/>
  <c r="D1101" i="17"/>
  <c r="F1101" i="17"/>
  <c r="I1101" i="17"/>
  <c r="D1102" i="17"/>
  <c r="F1102" i="17"/>
  <c r="I1102" i="17"/>
  <c r="D1103" i="17"/>
  <c r="F1103" i="17"/>
  <c r="I1103" i="17"/>
  <c r="D1104" i="17"/>
  <c r="F1104" i="17"/>
  <c r="I1104" i="17"/>
  <c r="D1105" i="17"/>
  <c r="F1105" i="17"/>
  <c r="I1105" i="17"/>
  <c r="D1106" i="17"/>
  <c r="F1106" i="17"/>
  <c r="I1106" i="17"/>
  <c r="D1107" i="17"/>
  <c r="F1107" i="17"/>
  <c r="I1107" i="17"/>
  <c r="D1108" i="17"/>
  <c r="F1108" i="17"/>
  <c r="I1108" i="17"/>
  <c r="D1109" i="17"/>
  <c r="F1109" i="17"/>
  <c r="I1109" i="17"/>
  <c r="D1110" i="17"/>
  <c r="F1110" i="17"/>
  <c r="I1110" i="17"/>
  <c r="D1111" i="17"/>
  <c r="F1111" i="17"/>
  <c r="I1111" i="17"/>
  <c r="D1112" i="17"/>
  <c r="F1112" i="17"/>
  <c r="I1112" i="17"/>
  <c r="D1113" i="17"/>
  <c r="F1113" i="17"/>
  <c r="I1113" i="17"/>
  <c r="D1114" i="17"/>
  <c r="F1114" i="17"/>
  <c r="I1114" i="17"/>
  <c r="D1115" i="17"/>
  <c r="F1115" i="17"/>
  <c r="I1115" i="17"/>
  <c r="D1116" i="17"/>
  <c r="F1116" i="17"/>
  <c r="I1116" i="17"/>
  <c r="D1117" i="17"/>
  <c r="F1117" i="17"/>
  <c r="I1117" i="17"/>
  <c r="D1118" i="17"/>
  <c r="F1118" i="17"/>
  <c r="I1118" i="17"/>
  <c r="D1119" i="17"/>
  <c r="F1119" i="17"/>
  <c r="I1119" i="17"/>
  <c r="D1120" i="17"/>
  <c r="F1120" i="17"/>
  <c r="I1120" i="17"/>
  <c r="D1121" i="17"/>
  <c r="F1121" i="17"/>
  <c r="I1121" i="17"/>
  <c r="D1122" i="17"/>
  <c r="F1122" i="17"/>
  <c r="I1122" i="17"/>
  <c r="D1123" i="17"/>
  <c r="F1123" i="17"/>
  <c r="I1123" i="17"/>
  <c r="D1124" i="17"/>
  <c r="F1124" i="17"/>
  <c r="I1124" i="17"/>
  <c r="D1125" i="17"/>
  <c r="F1125" i="17"/>
  <c r="I1125" i="17"/>
  <c r="D1126" i="17"/>
  <c r="F1126" i="17"/>
  <c r="I1126" i="17"/>
  <c r="D1127" i="17"/>
  <c r="F1127" i="17"/>
  <c r="I1127" i="17"/>
  <c r="D1128" i="17"/>
  <c r="F1128" i="17"/>
  <c r="I1128" i="17"/>
  <c r="D1129" i="17"/>
  <c r="F1129" i="17"/>
  <c r="I1129" i="17"/>
  <c r="D1130" i="17"/>
  <c r="F1130" i="17"/>
  <c r="I1130" i="17"/>
  <c r="D1131" i="17"/>
  <c r="F1131" i="17"/>
  <c r="I1131" i="17"/>
  <c r="D1132" i="17"/>
  <c r="F1132" i="17"/>
  <c r="I1132" i="17"/>
  <c r="D1133" i="17"/>
  <c r="F1133" i="17"/>
  <c r="I1133" i="17"/>
  <c r="D1134" i="17"/>
  <c r="F1134" i="17"/>
  <c r="I1134" i="17"/>
  <c r="D1135" i="17"/>
  <c r="F1135" i="17"/>
  <c r="I1135" i="17"/>
  <c r="D1136" i="17"/>
  <c r="F1136" i="17"/>
  <c r="I1136" i="17"/>
  <c r="D1137" i="17"/>
  <c r="F1137" i="17"/>
  <c r="I1137" i="17"/>
  <c r="D1138" i="17"/>
  <c r="F1138" i="17"/>
  <c r="I1138" i="17"/>
  <c r="D1139" i="17"/>
  <c r="F1139" i="17"/>
  <c r="I1139" i="17"/>
  <c r="D1140" i="17"/>
  <c r="F1140" i="17"/>
  <c r="I1140" i="17"/>
  <c r="D1141" i="17"/>
  <c r="F1141" i="17"/>
  <c r="I1141" i="17"/>
  <c r="D1142" i="17"/>
  <c r="F1142" i="17"/>
  <c r="I1142" i="17"/>
  <c r="D1143" i="17"/>
  <c r="F1143" i="17"/>
  <c r="I1143" i="17"/>
  <c r="D1144" i="17"/>
  <c r="F1144" i="17"/>
  <c r="I1144" i="17"/>
  <c r="D1145" i="17"/>
  <c r="F1145" i="17"/>
  <c r="I1145" i="17"/>
  <c r="D1146" i="17"/>
  <c r="F1146" i="17"/>
  <c r="I1146" i="17"/>
  <c r="D1147" i="17"/>
  <c r="F1147" i="17"/>
  <c r="I1147" i="17"/>
  <c r="D1148" i="17"/>
  <c r="F1148" i="17"/>
  <c r="I1148" i="17"/>
  <c r="D1149" i="17"/>
  <c r="F1149" i="17"/>
  <c r="I1149" i="17"/>
  <c r="D1150" i="17"/>
  <c r="F1150" i="17"/>
  <c r="I1150" i="17"/>
  <c r="D1151" i="17"/>
  <c r="F1151" i="17"/>
  <c r="I1151" i="17"/>
  <c r="D1152" i="17"/>
  <c r="F1152" i="17"/>
  <c r="I1152" i="17"/>
  <c r="D1153" i="17"/>
  <c r="F1153" i="17"/>
  <c r="I1153" i="17"/>
  <c r="D1154" i="17"/>
  <c r="F1154" i="17"/>
  <c r="I1154" i="17"/>
  <c r="D1155" i="17"/>
  <c r="F1155" i="17"/>
  <c r="I1155" i="17"/>
  <c r="D1156" i="17"/>
  <c r="F1156" i="17"/>
  <c r="I1156" i="17"/>
  <c r="D1157" i="17"/>
  <c r="F1157" i="17"/>
  <c r="I1157" i="17"/>
  <c r="D1158" i="17"/>
  <c r="F1158" i="17"/>
  <c r="I1158" i="17"/>
  <c r="D1159" i="17"/>
  <c r="F1159" i="17"/>
  <c r="I1159" i="17"/>
  <c r="D1160" i="17"/>
  <c r="F1160" i="17"/>
  <c r="I1160" i="17"/>
  <c r="D1161" i="17"/>
  <c r="F1161" i="17"/>
  <c r="I1161" i="17"/>
  <c r="D1162" i="17"/>
  <c r="F1162" i="17"/>
  <c r="I1162" i="17"/>
  <c r="D1163" i="17"/>
  <c r="F1163" i="17"/>
  <c r="I1163" i="17"/>
  <c r="D1164" i="17"/>
  <c r="F1164" i="17"/>
  <c r="I1164" i="17"/>
  <c r="D1165" i="17"/>
  <c r="F1165" i="17"/>
  <c r="I1165" i="17"/>
  <c r="D1166" i="17"/>
  <c r="F1166" i="17"/>
  <c r="I1166" i="17"/>
  <c r="D1167" i="17"/>
  <c r="F1167" i="17"/>
  <c r="I1167" i="17"/>
  <c r="D1168" i="17"/>
  <c r="F1168" i="17"/>
  <c r="I1168" i="17"/>
  <c r="D1169" i="17"/>
  <c r="F1169" i="17"/>
  <c r="I1169" i="17"/>
  <c r="D1170" i="17"/>
  <c r="F1170" i="17"/>
  <c r="I1170" i="17"/>
  <c r="D1171" i="17"/>
  <c r="F1171" i="17"/>
  <c r="I1171" i="17"/>
  <c r="D1172" i="17"/>
  <c r="F1172" i="17"/>
  <c r="I1172" i="17"/>
  <c r="D1173" i="17"/>
  <c r="F1173" i="17"/>
  <c r="I1173" i="17"/>
  <c r="D1174" i="17"/>
  <c r="F1174" i="17"/>
  <c r="I1174" i="17"/>
  <c r="D1175" i="17"/>
  <c r="F1175" i="17"/>
  <c r="I1175" i="17"/>
  <c r="D1176" i="17"/>
  <c r="F1176" i="17"/>
  <c r="I1176" i="17"/>
  <c r="D1177" i="17"/>
  <c r="F1177" i="17"/>
  <c r="I1177" i="17"/>
  <c r="D1178" i="17"/>
  <c r="F1178" i="17"/>
  <c r="I1178" i="17"/>
  <c r="D1179" i="17"/>
  <c r="F1179" i="17"/>
  <c r="I1179" i="17"/>
  <c r="D1180" i="17"/>
  <c r="F1180" i="17"/>
  <c r="I1180" i="17"/>
  <c r="D1181" i="17"/>
  <c r="F1181" i="17"/>
  <c r="I1181" i="17"/>
  <c r="D1182" i="17"/>
  <c r="F1182" i="17"/>
  <c r="I1182" i="17"/>
  <c r="D1183" i="17"/>
  <c r="F1183" i="17"/>
  <c r="I1183" i="17"/>
  <c r="D1184" i="17"/>
  <c r="F1184" i="17"/>
  <c r="I1184" i="17"/>
  <c r="D1185" i="17"/>
  <c r="F1185" i="17"/>
  <c r="I1185" i="17"/>
  <c r="D1186" i="17"/>
  <c r="F1186" i="17"/>
  <c r="I1186" i="17"/>
  <c r="D1187" i="17"/>
  <c r="F1187" i="17"/>
  <c r="I1187" i="17"/>
  <c r="D1188" i="17"/>
  <c r="F1188" i="17"/>
  <c r="I1188" i="17"/>
  <c r="D1189" i="17"/>
  <c r="F1189" i="17"/>
  <c r="I1189" i="17"/>
  <c r="D1190" i="17"/>
  <c r="F1190" i="17"/>
  <c r="I1190" i="17"/>
  <c r="D1191" i="17"/>
  <c r="F1191" i="17"/>
  <c r="I1191" i="17"/>
  <c r="D257" i="17"/>
  <c r="F257" i="17"/>
  <c r="I257" i="17"/>
  <c r="D258" i="17"/>
  <c r="F258" i="17"/>
  <c r="I258" i="17"/>
  <c r="D259" i="17"/>
  <c r="F259" i="17"/>
  <c r="I259" i="17"/>
  <c r="D260" i="17"/>
  <c r="F260" i="17"/>
  <c r="I260" i="17"/>
  <c r="D261" i="17"/>
  <c r="F261" i="17"/>
  <c r="I261" i="17"/>
  <c r="D262" i="17"/>
  <c r="F262" i="17"/>
  <c r="I262" i="17"/>
  <c r="D263" i="17"/>
  <c r="F263" i="17"/>
  <c r="I263" i="17"/>
  <c r="D264" i="17"/>
  <c r="F264" i="17"/>
  <c r="I264" i="17"/>
  <c r="D265" i="17"/>
  <c r="F265" i="17"/>
  <c r="I265" i="17"/>
  <c r="D266" i="17"/>
  <c r="F266" i="17"/>
  <c r="I266" i="17"/>
  <c r="D267" i="17"/>
  <c r="F267" i="17"/>
  <c r="I267" i="17"/>
  <c r="D268" i="17"/>
  <c r="F268" i="17"/>
  <c r="I268" i="17"/>
  <c r="D269" i="17"/>
  <c r="F269" i="17"/>
  <c r="I269" i="17"/>
  <c r="D270" i="17"/>
  <c r="F270" i="17"/>
  <c r="I270" i="17"/>
  <c r="D271" i="17"/>
  <c r="F271" i="17"/>
  <c r="I271" i="17"/>
  <c r="D272" i="17"/>
  <c r="F272" i="17"/>
  <c r="I272" i="17"/>
  <c r="D273" i="17"/>
  <c r="F273" i="17"/>
  <c r="I273" i="17"/>
  <c r="D274" i="17"/>
  <c r="F274" i="17"/>
  <c r="I274" i="17"/>
  <c r="I1184" i="18"/>
  <c r="I1176" i="18"/>
  <c r="I1168" i="18"/>
  <c r="I1160" i="18"/>
  <c r="I1152" i="18"/>
  <c r="I1144" i="18"/>
  <c r="I1136" i="18"/>
  <c r="I1128" i="18"/>
  <c r="I1120" i="18"/>
  <c r="I1112" i="18"/>
  <c r="I1104" i="18"/>
  <c r="I1096" i="18"/>
  <c r="I1088" i="18"/>
  <c r="I1080" i="18"/>
  <c r="I1072" i="18"/>
  <c r="I1064" i="18"/>
  <c r="I1056" i="18"/>
  <c r="I1048" i="18"/>
  <c r="I1040" i="18"/>
  <c r="I1032" i="18"/>
  <c r="I1024" i="18"/>
  <c r="I1016" i="18"/>
  <c r="I1008" i="18"/>
  <c r="I1000" i="18"/>
  <c r="I992" i="18"/>
  <c r="I984" i="18"/>
  <c r="I976" i="18"/>
  <c r="I968" i="18"/>
  <c r="I960" i="18"/>
  <c r="I952" i="18"/>
  <c r="I944" i="18"/>
  <c r="I936" i="18"/>
  <c r="I928" i="18"/>
  <c r="I920" i="18"/>
  <c r="I912" i="18"/>
  <c r="I904" i="18"/>
  <c r="I896" i="18"/>
  <c r="I888" i="18"/>
  <c r="I880" i="18"/>
  <c r="I872" i="18"/>
  <c r="I864" i="18"/>
  <c r="I856" i="18"/>
  <c r="I848" i="18"/>
  <c r="I840" i="18"/>
  <c r="I832" i="18"/>
  <c r="I824" i="18"/>
  <c r="I816" i="18"/>
  <c r="I808" i="18"/>
  <c r="I800" i="18"/>
  <c r="I792" i="18"/>
  <c r="I784" i="18"/>
  <c r="I776" i="18"/>
  <c r="I768" i="18"/>
  <c r="I760" i="18"/>
  <c r="I752" i="18"/>
  <c r="I744" i="18"/>
  <c r="I736" i="18"/>
  <c r="I728" i="18"/>
  <c r="I720" i="18"/>
  <c r="I712" i="18"/>
  <c r="I704" i="18"/>
  <c r="I696" i="18"/>
  <c r="I688" i="18"/>
  <c r="I680" i="18"/>
  <c r="I672" i="18"/>
  <c r="I664" i="18"/>
  <c r="I656" i="18"/>
  <c r="I648" i="18"/>
  <c r="I640" i="18"/>
  <c r="I632" i="18"/>
  <c r="I624" i="18"/>
  <c r="I616" i="18"/>
  <c r="I608" i="18"/>
  <c r="I600" i="18"/>
  <c r="I592" i="18"/>
  <c r="I584" i="18"/>
  <c r="I576" i="18"/>
  <c r="I568" i="18"/>
  <c r="I560" i="18"/>
  <c r="I552" i="18"/>
  <c r="I544" i="18"/>
  <c r="I536" i="18"/>
  <c r="I528" i="18"/>
  <c r="I520" i="18"/>
  <c r="I512" i="18"/>
  <c r="I504" i="18"/>
  <c r="I496" i="18"/>
  <c r="I488" i="18"/>
  <c r="I480" i="18"/>
  <c r="I472" i="18"/>
  <c r="I464" i="18"/>
  <c r="I456" i="18"/>
  <c r="I448" i="18"/>
  <c r="I440" i="18"/>
  <c r="I432" i="18"/>
  <c r="I424" i="18"/>
  <c r="I416" i="18"/>
  <c r="I408" i="18"/>
  <c r="I400" i="18"/>
  <c r="I392" i="18"/>
  <c r="I384" i="18"/>
  <c r="I376" i="18"/>
  <c r="I368" i="18"/>
  <c r="I360" i="18"/>
  <c r="I352" i="18"/>
  <c r="I344" i="18"/>
  <c r="I336" i="18"/>
  <c r="I328" i="18"/>
  <c r="I320" i="18"/>
  <c r="I312" i="18"/>
  <c r="I304" i="18"/>
  <c r="I296" i="18"/>
  <c r="I288" i="18"/>
  <c r="I280" i="18"/>
  <c r="I272" i="18"/>
  <c r="I264" i="18"/>
  <c r="I256" i="18"/>
  <c r="I1182" i="18"/>
  <c r="I1174" i="18"/>
  <c r="I1166" i="18"/>
  <c r="I1158" i="18"/>
  <c r="I1150" i="18"/>
  <c r="I1142" i="18"/>
  <c r="I1134" i="18"/>
  <c r="I1126" i="18"/>
  <c r="I1118" i="18"/>
  <c r="I1110" i="18"/>
  <c r="I1102" i="18"/>
  <c r="I1094" i="18"/>
  <c r="I1086" i="18"/>
  <c r="I1078" i="18"/>
  <c r="I1070" i="18"/>
  <c r="I1062" i="18"/>
  <c r="I1054" i="18"/>
  <c r="I1046" i="18"/>
  <c r="I1038" i="18"/>
  <c r="I1188" i="18"/>
  <c r="I1180" i="18"/>
  <c r="I1172" i="18"/>
  <c r="I1164" i="18"/>
  <c r="I1156" i="18"/>
  <c r="I1148" i="18"/>
  <c r="I1140" i="18"/>
  <c r="I1132" i="18"/>
  <c r="I1124" i="18"/>
  <c r="I1116" i="18"/>
  <c r="I1108" i="18"/>
  <c r="I1100" i="18"/>
  <c r="I1092" i="18"/>
  <c r="I1084" i="18"/>
  <c r="I1076" i="18"/>
  <c r="I1068" i="18"/>
  <c r="I1052" i="18"/>
  <c r="I1044" i="18"/>
  <c r="I1036" i="18"/>
  <c r="I1028" i="18"/>
  <c r="I1020" i="18"/>
  <c r="I1012" i="18"/>
  <c r="I1004" i="18"/>
  <c r="I996" i="18"/>
  <c r="I988" i="18"/>
  <c r="I980" i="18"/>
  <c r="I972" i="18"/>
  <c r="I964" i="18"/>
  <c r="I956" i="18"/>
  <c r="I948" i="18"/>
  <c r="I940" i="18"/>
  <c r="I932" i="18"/>
  <c r="I924" i="18"/>
  <c r="I916" i="18"/>
  <c r="I908" i="18"/>
  <c r="I900" i="18"/>
  <c r="I892" i="18"/>
  <c r="I884" i="18"/>
  <c r="I876" i="18"/>
  <c r="I868" i="18"/>
  <c r="I860" i="18"/>
  <c r="I1187" i="18"/>
  <c r="I1179" i="18"/>
  <c r="I1171" i="18"/>
  <c r="I1163" i="18"/>
  <c r="I1155" i="18"/>
  <c r="I1147" i="18"/>
  <c r="I1139" i="18"/>
  <c r="I1131" i="18"/>
  <c r="I1123" i="18"/>
  <c r="I1115" i="18"/>
  <c r="I1099" i="18"/>
  <c r="I1091" i="18"/>
  <c r="I1083" i="18"/>
  <c r="I1075" i="18"/>
  <c r="I1067" i="18"/>
  <c r="I1059" i="18"/>
  <c r="I1051" i="18"/>
  <c r="I1043" i="18"/>
  <c r="I1035" i="18"/>
  <c r="I1027" i="18"/>
  <c r="I1019" i="18"/>
  <c r="I1011" i="18"/>
  <c r="I1003" i="18"/>
  <c r="I995" i="18"/>
  <c r="I987" i="18"/>
  <c r="I979" i="18"/>
  <c r="I971" i="18"/>
  <c r="I963" i="18"/>
  <c r="I955" i="18"/>
  <c r="I947" i="18"/>
  <c r="I939" i="18"/>
  <c r="I931" i="18"/>
  <c r="I923" i="18"/>
  <c r="I915" i="18"/>
  <c r="I899" i="18"/>
  <c r="I891" i="18"/>
  <c r="I883" i="18"/>
  <c r="I875" i="18"/>
  <c r="I867" i="18"/>
  <c r="I859" i="18"/>
  <c r="I851" i="18"/>
  <c r="I1107" i="18"/>
  <c r="I907" i="18"/>
  <c r="I1030" i="18"/>
  <c r="I1022" i="18"/>
  <c r="I1014" i="18"/>
  <c r="I998" i="18"/>
  <c r="I990" i="18"/>
  <c r="I974" i="18"/>
  <c r="I966" i="18"/>
  <c r="I958" i="18"/>
  <c r="I950" i="18"/>
  <c r="I934" i="18"/>
  <c r="I926" i="18"/>
  <c r="I910" i="18"/>
  <c r="I902" i="18"/>
  <c r="I894" i="18"/>
  <c r="I886" i="18"/>
  <c r="I870" i="18"/>
  <c r="I862" i="18"/>
  <c r="I846" i="18"/>
  <c r="I838" i="18"/>
  <c r="I830" i="18"/>
  <c r="I822" i="18"/>
  <c r="I806" i="18"/>
  <c r="I798" i="18"/>
  <c r="I782" i="18"/>
  <c r="I766" i="18"/>
  <c r="I750" i="18"/>
  <c r="I734" i="18"/>
  <c r="I718" i="18"/>
  <c r="I702" i="18"/>
  <c r="I686" i="18"/>
  <c r="I678" i="18"/>
  <c r="I670" i="18"/>
  <c r="I662" i="18"/>
  <c r="I646" i="18"/>
  <c r="I638" i="18"/>
  <c r="I622" i="18"/>
  <c r="I614" i="18"/>
  <c r="I606" i="18"/>
  <c r="I598" i="18"/>
  <c r="I582" i="18"/>
  <c r="I574" i="18"/>
  <c r="I566" i="18"/>
  <c r="I558" i="18"/>
  <c r="I550" i="18"/>
  <c r="I542" i="18"/>
  <c r="I534" i="18"/>
  <c r="I526" i="18"/>
  <c r="I518" i="18"/>
  <c r="I510" i="18"/>
  <c r="I790" i="18"/>
  <c r="I726" i="18"/>
  <c r="I654" i="18"/>
  <c r="I1173" i="18"/>
  <c r="I1165" i="18"/>
  <c r="I1157" i="18"/>
  <c r="I1141" i="18"/>
  <c r="I1133" i="18"/>
  <c r="I1125" i="18"/>
  <c r="I1109" i="18"/>
  <c r="I1101" i="18"/>
  <c r="I1093" i="18"/>
  <c r="I1077" i="18"/>
  <c r="I1069" i="18"/>
  <c r="I1061" i="18"/>
  <c r="I1053" i="18"/>
  <c r="I1037" i="18"/>
  <c r="I1029" i="18"/>
  <c r="I1013" i="18"/>
  <c r="I1005" i="18"/>
  <c r="I997" i="18"/>
  <c r="I989" i="18"/>
  <c r="I973" i="18"/>
  <c r="I965" i="18"/>
  <c r="I949" i="18"/>
  <c r="I941" i="18"/>
  <c r="I925" i="18"/>
  <c r="I909" i="18"/>
  <c r="I901" i="18"/>
  <c r="I885" i="18"/>
  <c r="I877" i="18"/>
  <c r="I869" i="18"/>
  <c r="I861" i="18"/>
  <c r="I845" i="18"/>
  <c r="I837" i="18"/>
  <c r="I821" i="18"/>
  <c r="I813" i="18"/>
  <c r="I805" i="18"/>
  <c r="I797" i="18"/>
  <c r="I781" i="18"/>
  <c r="I765" i="18"/>
  <c r="I749" i="18"/>
  <c r="I733" i="18"/>
  <c r="I717" i="18"/>
  <c r="I701" i="18"/>
  <c r="I685" i="18"/>
  <c r="I669" i="18"/>
  <c r="I661" i="18"/>
  <c r="I645" i="18"/>
  <c r="I637" i="18"/>
  <c r="I629" i="18"/>
  <c r="I621" i="18"/>
  <c r="I605" i="18"/>
  <c r="I597" i="18"/>
  <c r="I581" i="18"/>
  <c r="I573" i="18"/>
  <c r="I565" i="18"/>
  <c r="I557" i="18"/>
  <c r="I1045" i="18"/>
  <c r="I942" i="18"/>
  <c r="I789" i="18"/>
  <c r="I725" i="18"/>
  <c r="I653" i="18"/>
  <c r="I1085" i="18"/>
  <c r="I982" i="18"/>
  <c r="I829" i="18"/>
  <c r="I774" i="18"/>
  <c r="I710" i="18"/>
  <c r="I981" i="18"/>
  <c r="I878" i="18"/>
  <c r="I773" i="18"/>
  <c r="I709" i="18"/>
  <c r="I630" i="18"/>
  <c r="I1117" i="18"/>
  <c r="I1021" i="18"/>
  <c r="I918" i="18"/>
  <c r="I758" i="18"/>
  <c r="I694" i="18"/>
  <c r="I613" i="18"/>
  <c r="I1185" i="18"/>
  <c r="I1177" i="18"/>
  <c r="I1169" i="18"/>
  <c r="I1153" i="18"/>
  <c r="I1145" i="18"/>
  <c r="I1137" i="18"/>
  <c r="I1121" i="18"/>
  <c r="I1113" i="18"/>
  <c r="I1105" i="18"/>
  <c r="I1089" i="18"/>
  <c r="I1081" i="18"/>
  <c r="I1073" i="18"/>
  <c r="I1065" i="18"/>
  <c r="I1057" i="18"/>
  <c r="I1049" i="18"/>
  <c r="I1041" i="18"/>
  <c r="I1033" i="18"/>
  <c r="I1025" i="18"/>
  <c r="I1017" i="18"/>
  <c r="I1009" i="18"/>
  <c r="I1001" i="18"/>
  <c r="I993" i="18"/>
  <c r="I985" i="18"/>
  <c r="I977" i="18"/>
  <c r="I969" i="18"/>
  <c r="I961" i="18"/>
  <c r="I953" i="18"/>
  <c r="I945" i="18"/>
  <c r="I937" i="18"/>
  <c r="I929" i="18"/>
  <c r="I921" i="18"/>
  <c r="I913" i="18"/>
  <c r="I905" i="18"/>
  <c r="I897" i="18"/>
  <c r="I889" i="18"/>
  <c r="I881" i="18"/>
  <c r="I873" i="18"/>
  <c r="I865" i="18"/>
  <c r="I857" i="18"/>
  <c r="I849" i="18"/>
  <c r="I841" i="18"/>
  <c r="I833" i="18"/>
  <c r="I825" i="18"/>
  <c r="I817" i="18"/>
  <c r="I809" i="18"/>
  <c r="I801" i="18"/>
  <c r="I793" i="18"/>
  <c r="I785" i="18"/>
  <c r="I777" i="18"/>
  <c r="I769" i="18"/>
  <c r="I761" i="18"/>
  <c r="I753" i="18"/>
  <c r="I745" i="18"/>
  <c r="I737" i="18"/>
  <c r="I729" i="18"/>
  <c r="I721" i="18"/>
  <c r="I713" i="18"/>
  <c r="I705" i="18"/>
  <c r="I697" i="18"/>
  <c r="I689" i="18"/>
  <c r="I681" i="18"/>
  <c r="I673" i="18"/>
  <c r="I665" i="18"/>
  <c r="I657" i="18"/>
  <c r="I649" i="18"/>
  <c r="I641" i="18"/>
  <c r="I633" i="18"/>
  <c r="I625" i="18"/>
  <c r="I617" i="18"/>
  <c r="I609" i="18"/>
  <c r="I601" i="18"/>
  <c r="I593" i="18"/>
  <c r="I585" i="18"/>
  <c r="I577" i="18"/>
  <c r="I569" i="18"/>
  <c r="I561" i="18"/>
  <c r="I553" i="18"/>
  <c r="I545" i="18"/>
  <c r="I537" i="18"/>
  <c r="I529" i="18"/>
  <c r="I521" i="18"/>
  <c r="I513" i="18"/>
  <c r="I505" i="18"/>
  <c r="I497" i="18"/>
  <c r="I489" i="18"/>
  <c r="I481" i="18"/>
  <c r="I473" i="18"/>
  <c r="I465" i="18"/>
  <c r="I457" i="18"/>
  <c r="I449" i="18"/>
  <c r="I441" i="18"/>
  <c r="I433" i="18"/>
  <c r="I425" i="18"/>
  <c r="I417" i="18"/>
  <c r="I409" i="18"/>
  <c r="I401" i="18"/>
  <c r="I393" i="18"/>
  <c r="I385" i="18"/>
  <c r="I377" i="18"/>
  <c r="I361" i="18"/>
  <c r="I353" i="18"/>
  <c r="I345" i="18"/>
  <c r="I337" i="18"/>
  <c r="I329" i="18"/>
  <c r="I321" i="18"/>
  <c r="I313" i="18"/>
  <c r="I305" i="18"/>
  <c r="I297" i="18"/>
  <c r="I289" i="18"/>
  <c r="I281" i="18"/>
  <c r="I273" i="18"/>
  <c r="I265" i="18"/>
  <c r="I257" i="18"/>
  <c r="I917" i="18"/>
  <c r="I814" i="18"/>
  <c r="I757" i="18"/>
  <c r="I693" i="18"/>
  <c r="I1183" i="18"/>
  <c r="I1175" i="18"/>
  <c r="I1167" i="18"/>
  <c r="I1159" i="18"/>
  <c r="I1151" i="18"/>
  <c r="I1143" i="18"/>
  <c r="I1135" i="18"/>
  <c r="I1127" i="18"/>
  <c r="I1119" i="18"/>
  <c r="I1111" i="18"/>
  <c r="I1103" i="18"/>
  <c r="I1095" i="18"/>
  <c r="I1087" i="18"/>
  <c r="I1079" i="18"/>
  <c r="I1071" i="18"/>
  <c r="I1063" i="18"/>
  <c r="I1055" i="18"/>
  <c r="I1047" i="18"/>
  <c r="I1039" i="18"/>
  <c r="I1031" i="18"/>
  <c r="I1023" i="18"/>
  <c r="I1015" i="18"/>
  <c r="I1007" i="18"/>
  <c r="I999" i="18"/>
  <c r="I991" i="18"/>
  <c r="I983" i="18"/>
  <c r="I975" i="18"/>
  <c r="I967" i="18"/>
  <c r="I959" i="18"/>
  <c r="I951" i="18"/>
  <c r="I943" i="18"/>
  <c r="I935" i="18"/>
  <c r="I927" i="18"/>
  <c r="I919" i="18"/>
  <c r="I911" i="18"/>
  <c r="I903" i="18"/>
  <c r="I895" i="18"/>
  <c r="I887" i="18"/>
  <c r="I879" i="18"/>
  <c r="I871" i="18"/>
  <c r="I863" i="18"/>
  <c r="I855" i="18"/>
  <c r="I847" i="18"/>
  <c r="I839" i="18"/>
  <c r="I831" i="18"/>
  <c r="I823" i="18"/>
  <c r="I815" i="18"/>
  <c r="I807" i="18"/>
  <c r="I799" i="18"/>
  <c r="I791" i="18"/>
  <c r="I775" i="18"/>
  <c r="I767" i="18"/>
  <c r="I759" i="18"/>
  <c r="I751" i="18"/>
  <c r="I743" i="18"/>
  <c r="I735" i="18"/>
  <c r="I727" i="18"/>
  <c r="I719" i="18"/>
  <c r="I711" i="18"/>
  <c r="I703" i="18"/>
  <c r="I695" i="18"/>
  <c r="I687" i="18"/>
  <c r="I679" i="18"/>
  <c r="I671" i="18"/>
  <c r="I663" i="18"/>
  <c r="I655" i="18"/>
  <c r="I647" i="18"/>
  <c r="I639" i="18"/>
  <c r="I631" i="18"/>
  <c r="I623" i="18"/>
  <c r="I607" i="18"/>
  <c r="I599" i="18"/>
  <c r="I591" i="18"/>
  <c r="I583" i="18"/>
  <c r="I575" i="18"/>
  <c r="I567" i="18"/>
  <c r="I559" i="18"/>
  <c r="I551" i="18"/>
  <c r="I543" i="18"/>
  <c r="I535" i="18"/>
  <c r="I527" i="18"/>
  <c r="I519" i="18"/>
  <c r="I511" i="18"/>
  <c r="I503" i="18"/>
  <c r="I495" i="18"/>
  <c r="I487" i="18"/>
  <c r="I479" i="18"/>
  <c r="I471" i="18"/>
  <c r="I463" i="18"/>
  <c r="I455" i="18"/>
  <c r="I447" i="18"/>
  <c r="I439" i="18"/>
  <c r="I431" i="18"/>
  <c r="I423" i="18"/>
  <c r="I415" i="18"/>
  <c r="I407" i="18"/>
  <c r="I399" i="18"/>
  <c r="I391" i="18"/>
  <c r="I383" i="18"/>
  <c r="I375" i="18"/>
  <c r="I367" i="18"/>
  <c r="I359" i="18"/>
  <c r="I351" i="18"/>
  <c r="I343" i="18"/>
  <c r="I335" i="18"/>
  <c r="I327" i="18"/>
  <c r="I319" i="18"/>
  <c r="I311" i="18"/>
  <c r="I303" i="18"/>
  <c r="I295" i="18"/>
  <c r="I287" i="18"/>
  <c r="I279" i="18"/>
  <c r="I271" i="18"/>
  <c r="I263" i="18"/>
  <c r="I255" i="18"/>
  <c r="I1006" i="18"/>
  <c r="I853" i="18"/>
  <c r="I741" i="18"/>
  <c r="I589" i="18"/>
  <c r="I852" i="18"/>
  <c r="I708" i="18"/>
  <c r="I478" i="18"/>
  <c r="I470" i="18"/>
  <c r="I446" i="18"/>
  <c r="I438" i="18"/>
  <c r="I430" i="18"/>
  <c r="I414" i="18"/>
  <c r="I406" i="18"/>
  <c r="I398" i="18"/>
  <c r="I382" i="18"/>
  <c r="I374" i="18"/>
  <c r="I366" i="18"/>
  <c r="I350" i="18"/>
  <c r="I342" i="18"/>
  <c r="I334" i="18"/>
  <c r="I318" i="18"/>
  <c r="I310" i="18"/>
  <c r="I302" i="18"/>
  <c r="I286" i="18"/>
  <c r="I278" i="18"/>
  <c r="I270" i="18"/>
  <c r="I262" i="18"/>
  <c r="I254" i="18"/>
  <c r="I390" i="18"/>
  <c r="I541" i="18"/>
  <c r="I533" i="18"/>
  <c r="I525" i="18"/>
  <c r="I509" i="18"/>
  <c r="I501" i="18"/>
  <c r="I493" i="18"/>
  <c r="I477" i="18"/>
  <c r="I469" i="18"/>
  <c r="I461" i="18"/>
  <c r="I445" i="18"/>
  <c r="I437" i="18"/>
  <c r="I429" i="18"/>
  <c r="I413" i="18"/>
  <c r="I405" i="18"/>
  <c r="I397" i="18"/>
  <c r="I381" i="18"/>
  <c r="I373" i="18"/>
  <c r="I365" i="18"/>
  <c r="I349" i="18"/>
  <c r="I341" i="18"/>
  <c r="I333" i="18"/>
  <c r="I317" i="18"/>
  <c r="I309" i="18"/>
  <c r="I301" i="18"/>
  <c r="I285" i="18"/>
  <c r="I277" i="18"/>
  <c r="I269" i="18"/>
  <c r="I261" i="18"/>
  <c r="I389" i="18"/>
  <c r="I564" i="18"/>
  <c r="I556" i="18"/>
  <c r="I532" i="18"/>
  <c r="I524" i="18"/>
  <c r="I500" i="18"/>
  <c r="I492" i="18"/>
  <c r="I468" i="18"/>
  <c r="I460" i="18"/>
  <c r="I452" i="18"/>
  <c r="I436" i="18"/>
  <c r="I428" i="18"/>
  <c r="I420" i="18"/>
  <c r="I404" i="18"/>
  <c r="I396" i="18"/>
  <c r="I388" i="18"/>
  <c r="I372" i="18"/>
  <c r="I364" i="18"/>
  <c r="I356" i="18"/>
  <c r="I340" i="18"/>
  <c r="I332" i="18"/>
  <c r="I324" i="18"/>
  <c r="I308" i="18"/>
  <c r="I300" i="18"/>
  <c r="I292" i="18"/>
  <c r="I276" i="18"/>
  <c r="I268" i="18"/>
  <c r="I260" i="18"/>
  <c r="I1122" i="18"/>
  <c r="I796" i="18"/>
  <c r="I644" i="18"/>
  <c r="I549" i="18"/>
  <c r="I494" i="18"/>
  <c r="I422" i="18"/>
  <c r="I380" i="18"/>
  <c r="I294" i="18"/>
  <c r="I683" i="18"/>
  <c r="I675" i="18"/>
  <c r="I667" i="18"/>
  <c r="I659" i="18"/>
  <c r="I651" i="18"/>
  <c r="I643" i="18"/>
  <c r="I635" i="18"/>
  <c r="I627" i="18"/>
  <c r="I619" i="18"/>
  <c r="I611" i="18"/>
  <c r="I603" i="18"/>
  <c r="I595" i="18"/>
  <c r="I587" i="18"/>
  <c r="I579" i="18"/>
  <c r="I563" i="18"/>
  <c r="I555" i="18"/>
  <c r="I547" i="18"/>
  <c r="I531" i="18"/>
  <c r="I523" i="18"/>
  <c r="I515" i="18"/>
  <c r="I499" i="18"/>
  <c r="I491" i="18"/>
  <c r="I483" i="18"/>
  <c r="I467" i="18"/>
  <c r="I459" i="18"/>
  <c r="I451" i="18"/>
  <c r="I435" i="18"/>
  <c r="I427" i="18"/>
  <c r="I419" i="18"/>
  <c r="I403" i="18"/>
  <c r="I395" i="18"/>
  <c r="I387" i="18"/>
  <c r="I371" i="18"/>
  <c r="I363" i="18"/>
  <c r="I355" i="18"/>
  <c r="I339" i="18"/>
  <c r="I331" i="18"/>
  <c r="I323" i="18"/>
  <c r="I307" i="18"/>
  <c r="I299" i="18"/>
  <c r="I291" i="18"/>
  <c r="I275" i="18"/>
  <c r="I267" i="18"/>
  <c r="I259" i="18"/>
  <c r="I820" i="18"/>
  <c r="I795" i="18"/>
  <c r="I780" i="18"/>
  <c r="I764" i="18"/>
  <c r="I748" i="18"/>
  <c r="I732" i="18"/>
  <c r="I716" i="18"/>
  <c r="I700" i="18"/>
  <c r="I684" i="18"/>
  <c r="I620" i="18"/>
  <c r="I572" i="18"/>
  <c r="I548" i="18"/>
  <c r="I517" i="18"/>
  <c r="I486" i="18"/>
  <c r="I462" i="18"/>
  <c r="I421" i="18"/>
  <c r="I379" i="18"/>
  <c r="I293" i="18"/>
  <c r="I786" i="18"/>
  <c r="I778" i="18"/>
  <c r="I770" i="18"/>
  <c r="I762" i="18"/>
  <c r="I754" i="18"/>
  <c r="I746" i="18"/>
  <c r="I738" i="18"/>
  <c r="I730" i="18"/>
  <c r="I722" i="18"/>
  <c r="I714" i="18"/>
  <c r="I706" i="18"/>
  <c r="I698" i="18"/>
  <c r="I690" i="18"/>
  <c r="I682" i="18"/>
  <c r="I674" i="18"/>
  <c r="I666" i="18"/>
  <c r="I658" i="18"/>
  <c r="I650" i="18"/>
  <c r="I642" i="18"/>
  <c r="I634" i="18"/>
  <c r="I626" i="18"/>
  <c r="I618" i="18"/>
  <c r="I610" i="18"/>
  <c r="I602" i="18"/>
  <c r="I594" i="18"/>
  <c r="I586" i="18"/>
  <c r="I578" i="18"/>
  <c r="I554" i="18"/>
  <c r="I546" i="18"/>
  <c r="I522" i="18"/>
  <c r="I514" i="18"/>
  <c r="I490" i="18"/>
  <c r="I482" i="18"/>
  <c r="I458" i="18"/>
  <c r="I450" i="18"/>
  <c r="I442" i="18"/>
  <c r="I426" i="18"/>
  <c r="I418" i="18"/>
  <c r="I410" i="18"/>
  <c r="I394" i="18"/>
  <c r="I386" i="18"/>
  <c r="I378" i="18"/>
  <c r="I362" i="18"/>
  <c r="I354" i="18"/>
  <c r="I346" i="18"/>
  <c r="I330" i="18"/>
  <c r="I322" i="18"/>
  <c r="I314" i="18"/>
  <c r="I298" i="18"/>
  <c r="I290" i="18"/>
  <c r="I282" i="18"/>
  <c r="I266" i="18"/>
  <c r="I1162" i="18"/>
  <c r="I1130" i="18"/>
  <c r="I1098" i="18"/>
  <c r="I1050" i="18"/>
  <c r="I986" i="18"/>
  <c r="I922" i="18"/>
  <c r="I858" i="18"/>
  <c r="I844" i="18"/>
  <c r="I819" i="18"/>
  <c r="I794" i="18"/>
  <c r="I779" i="18"/>
  <c r="I763" i="18"/>
  <c r="I747" i="18"/>
  <c r="I731" i="18"/>
  <c r="I715" i="18"/>
  <c r="I699" i="18"/>
  <c r="I660" i="18"/>
  <c r="I596" i="18"/>
  <c r="I571" i="18"/>
  <c r="I516" i="18"/>
  <c r="I485" i="18"/>
  <c r="I454" i="18"/>
  <c r="I370" i="18"/>
  <c r="I326" i="18"/>
  <c r="I284" i="18"/>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B86" i="19"/>
  <c r="A86" i="19"/>
  <c r="D86" i="19"/>
  <c r="B87" i="19"/>
  <c r="A87" i="19"/>
  <c r="A171" i="19"/>
  <c r="A255" i="19"/>
  <c r="A339" i="19"/>
  <c r="B88" i="19"/>
  <c r="A88" i="19"/>
  <c r="B89" i="19"/>
  <c r="A89" i="19"/>
  <c r="A173" i="19"/>
  <c r="A257" i="19"/>
  <c r="A341" i="19"/>
  <c r="D89" i="19"/>
  <c r="B90" i="19"/>
  <c r="B174" i="19"/>
  <c r="A90" i="19"/>
  <c r="A174" i="19"/>
  <c r="B91" i="19"/>
  <c r="A91" i="19"/>
  <c r="B92" i="19"/>
  <c r="A92" i="19"/>
  <c r="D92" i="19"/>
  <c r="B93" i="19"/>
  <c r="B177" i="19"/>
  <c r="A93" i="19"/>
  <c r="A177" i="19"/>
  <c r="B94" i="19"/>
  <c r="B178" i="19"/>
  <c r="B262" i="19"/>
  <c r="D262" i="19"/>
  <c r="A94" i="19"/>
  <c r="B95" i="19"/>
  <c r="A95" i="19"/>
  <c r="A179" i="19"/>
  <c r="B96" i="19"/>
  <c r="A96" i="19"/>
  <c r="A180" i="19"/>
  <c r="A264" i="19"/>
  <c r="A348" i="19"/>
  <c r="B97" i="19"/>
  <c r="D97" i="19"/>
  <c r="A97" i="19"/>
  <c r="A181" i="19"/>
  <c r="A265" i="19"/>
  <c r="A349" i="19"/>
  <c r="B98" i="19"/>
  <c r="B182" i="19"/>
  <c r="B266" i="19"/>
  <c r="A98" i="19"/>
  <c r="A182" i="19"/>
  <c r="D98" i="19"/>
  <c r="B99" i="19"/>
  <c r="A99" i="19"/>
  <c r="A183" i="19"/>
  <c r="A267" i="19"/>
  <c r="A351" i="19"/>
  <c r="B100" i="19"/>
  <c r="A100" i="19"/>
  <c r="A184" i="19"/>
  <c r="B101" i="19"/>
  <c r="B185" i="19"/>
  <c r="A101" i="19"/>
  <c r="B102" i="19"/>
  <c r="A102" i="19"/>
  <c r="D102" i="19"/>
  <c r="B103" i="19"/>
  <c r="A103" i="19"/>
  <c r="A187" i="19"/>
  <c r="B104" i="19"/>
  <c r="A104" i="19"/>
  <c r="B105" i="19"/>
  <c r="A105" i="19"/>
  <c r="A189" i="19"/>
  <c r="B106" i="19"/>
  <c r="B190" i="19"/>
  <c r="A106" i="19"/>
  <c r="A190" i="19"/>
  <c r="B107" i="19"/>
  <c r="D107" i="19"/>
  <c r="A107" i="19"/>
  <c r="B108" i="19"/>
  <c r="B192" i="19"/>
  <c r="A108" i="19"/>
  <c r="D108" i="19"/>
  <c r="B109" i="19"/>
  <c r="B193" i="19"/>
  <c r="A109" i="19"/>
  <c r="B110" i="19"/>
  <c r="D110" i="19"/>
  <c r="A110" i="19"/>
  <c r="A194" i="19"/>
  <c r="A278" i="19"/>
  <c r="B111" i="19"/>
  <c r="D111" i="19"/>
  <c r="A111" i="19"/>
  <c r="A195" i="19"/>
  <c r="B112" i="19"/>
  <c r="D112" i="19"/>
  <c r="A112" i="19"/>
  <c r="B113" i="19"/>
  <c r="D113" i="19"/>
  <c r="A113" i="19"/>
  <c r="B114" i="19"/>
  <c r="B198" i="19"/>
  <c r="A114" i="19"/>
  <c r="A198" i="19"/>
  <c r="A282" i="19"/>
  <c r="A366" i="19"/>
  <c r="B115" i="19"/>
  <c r="A115" i="19"/>
  <c r="B116" i="19"/>
  <c r="A116" i="19"/>
  <c r="A200" i="19"/>
  <c r="A284" i="19"/>
  <c r="A368" i="19"/>
  <c r="B117" i="19"/>
  <c r="B201" i="19"/>
  <c r="B285" i="19"/>
  <c r="B369" i="19"/>
  <c r="A117" i="19"/>
  <c r="A201" i="19"/>
  <c r="A285" i="19"/>
  <c r="B118" i="19"/>
  <c r="A118" i="19"/>
  <c r="D118" i="19"/>
  <c r="B119" i="19"/>
  <c r="D119" i="19"/>
  <c r="A119" i="19"/>
  <c r="A203" i="19"/>
  <c r="A287" i="19"/>
  <c r="B120" i="19"/>
  <c r="A120" i="19"/>
  <c r="B121" i="19"/>
  <c r="A121" i="19"/>
  <c r="A205" i="19"/>
  <c r="A289" i="19"/>
  <c r="A373" i="19"/>
  <c r="D121" i="19"/>
  <c r="B122" i="19"/>
  <c r="B206" i="19"/>
  <c r="A122" i="19"/>
  <c r="A206" i="19"/>
  <c r="A290" i="19"/>
  <c r="A374" i="19"/>
  <c r="B123" i="19"/>
  <c r="A123" i="19"/>
  <c r="B124" i="19"/>
  <c r="A124" i="19"/>
  <c r="D124" i="19"/>
  <c r="B125" i="19"/>
  <c r="B209" i="19"/>
  <c r="A125" i="19"/>
  <c r="A209" i="19"/>
  <c r="D209" i="19"/>
  <c r="B126" i="19"/>
  <c r="B210" i="19"/>
  <c r="B294" i="19"/>
  <c r="A126" i="19"/>
  <c r="B127" i="19"/>
  <c r="A127" i="19"/>
  <c r="A211" i="19"/>
  <c r="A295" i="19"/>
  <c r="A379" i="19"/>
  <c r="B128" i="19"/>
  <c r="A128" i="19"/>
  <c r="A212" i="19"/>
  <c r="A296" i="19"/>
  <c r="A380" i="19"/>
  <c r="B129" i="19"/>
  <c r="D129" i="19"/>
  <c r="A129" i="19"/>
  <c r="A213" i="19"/>
  <c r="A297" i="19"/>
  <c r="A381" i="19"/>
  <c r="B130" i="19"/>
  <c r="B214" i="19"/>
  <c r="B298" i="19"/>
  <c r="A130" i="19"/>
  <c r="A214" i="19"/>
  <c r="B131" i="19"/>
  <c r="A131" i="19"/>
  <c r="A215" i="19"/>
  <c r="A299" i="19"/>
  <c r="A383" i="19"/>
  <c r="B132" i="19"/>
  <c r="A132" i="19"/>
  <c r="B133" i="19"/>
  <c r="B217" i="19"/>
  <c r="B301" i="19"/>
  <c r="A133" i="19"/>
  <c r="A217" i="19"/>
  <c r="B134" i="19"/>
  <c r="A134" i="19"/>
  <c r="D134" i="19"/>
  <c r="B135" i="19"/>
  <c r="A135" i="19"/>
  <c r="A219" i="19"/>
  <c r="A303" i="19"/>
  <c r="A387" i="19"/>
  <c r="B136" i="19"/>
  <c r="A136" i="19"/>
  <c r="B137" i="19"/>
  <c r="D137" i="19"/>
  <c r="A137" i="19"/>
  <c r="A221" i="19"/>
  <c r="B138" i="19"/>
  <c r="B222" i="19"/>
  <c r="A138" i="19"/>
  <c r="A222" i="19"/>
  <c r="B139" i="19"/>
  <c r="A139" i="19"/>
  <c r="B140" i="19"/>
  <c r="B224" i="19"/>
  <c r="D224" i="19"/>
  <c r="A140" i="19"/>
  <c r="A224" i="19"/>
  <c r="B141" i="19"/>
  <c r="B225" i="19"/>
  <c r="A141" i="19"/>
  <c r="B142" i="19"/>
  <c r="A142" i="19"/>
  <c r="A226" i="19"/>
  <c r="A310" i="19"/>
  <c r="A394" i="19"/>
  <c r="B143" i="19"/>
  <c r="D143" i="19"/>
  <c r="A143" i="19"/>
  <c r="A227" i="19"/>
  <c r="B144" i="19"/>
  <c r="D144" i="19"/>
  <c r="A144" i="19"/>
  <c r="B145" i="19"/>
  <c r="D145" i="19"/>
  <c r="A145" i="19"/>
  <c r="B146" i="19"/>
  <c r="B230" i="19"/>
  <c r="A146" i="19"/>
  <c r="A230" i="19"/>
  <c r="A314" i="19"/>
  <c r="A398" i="19"/>
  <c r="B147" i="19"/>
  <c r="A147" i="19"/>
  <c r="B148" i="19"/>
  <c r="B232" i="19"/>
  <c r="A148" i="19"/>
  <c r="B149" i="19"/>
  <c r="B233" i="19"/>
  <c r="B317" i="19"/>
  <c r="B401" i="19"/>
  <c r="A149" i="19"/>
  <c r="A233" i="19"/>
  <c r="B150" i="19"/>
  <c r="A150" i="19"/>
  <c r="B151" i="19"/>
  <c r="A151" i="19"/>
  <c r="A235" i="19"/>
  <c r="A319" i="19"/>
  <c r="B152" i="19"/>
  <c r="A152" i="19"/>
  <c r="A236" i="19"/>
  <c r="A320" i="19"/>
  <c r="A404" i="19"/>
  <c r="B153" i="19"/>
  <c r="D153" i="19"/>
  <c r="A153" i="19"/>
  <c r="A237" i="19"/>
  <c r="A321" i="19"/>
  <c r="A405" i="19"/>
  <c r="B154" i="19"/>
  <c r="B238" i="19"/>
  <c r="D238" i="19"/>
  <c r="A154" i="19"/>
  <c r="A238" i="19"/>
  <c r="D154" i="19"/>
  <c r="B155" i="19"/>
  <c r="A155" i="19"/>
  <c r="B156" i="19"/>
  <c r="D156" i="19"/>
  <c r="A156" i="19"/>
  <c r="A240" i="19"/>
  <c r="A324" i="19"/>
  <c r="B157" i="19"/>
  <c r="B241" i="19"/>
  <c r="A157" i="19"/>
  <c r="A241" i="19"/>
  <c r="D157" i="19"/>
  <c r="B158" i="19"/>
  <c r="A158" i="19"/>
  <c r="B159" i="19"/>
  <c r="B243" i="19"/>
  <c r="D243" i="19"/>
  <c r="A159" i="19"/>
  <c r="A243" i="19"/>
  <c r="A327" i="19"/>
  <c r="B160" i="19"/>
  <c r="A160" i="19"/>
  <c r="B161" i="19"/>
  <c r="B245" i="19"/>
  <c r="A161" i="19"/>
  <c r="D161" i="19"/>
  <c r="B162" i="19"/>
  <c r="B246" i="19"/>
  <c r="B330" i="19"/>
  <c r="A162" i="19"/>
  <c r="A246" i="19"/>
  <c r="A330" i="19"/>
  <c r="A414" i="19"/>
  <c r="B163" i="19"/>
  <c r="A163" i="19"/>
  <c r="B164" i="19"/>
  <c r="A164" i="19"/>
  <c r="B165" i="19"/>
  <c r="B249" i="19"/>
  <c r="A165" i="19"/>
  <c r="A249" i="19"/>
  <c r="B166" i="19"/>
  <c r="A166" i="19"/>
  <c r="B167" i="19"/>
  <c r="A167" i="19"/>
  <c r="A251" i="19"/>
  <c r="A335" i="19"/>
  <c r="B168" i="19"/>
  <c r="D168" i="19"/>
  <c r="A168" i="19"/>
  <c r="A252" i="19"/>
  <c r="A336" i="19"/>
  <c r="A420" i="19"/>
  <c r="B169" i="19"/>
  <c r="B253" i="19"/>
  <c r="A169" i="19"/>
  <c r="A253" i="19"/>
  <c r="A337" i="19"/>
  <c r="B170" i="19"/>
  <c r="B254" i="19"/>
  <c r="A170" i="19"/>
  <c r="A254" i="19"/>
  <c r="A338" i="19"/>
  <c r="D338" i="19"/>
  <c r="B171" i="19"/>
  <c r="A172" i="19"/>
  <c r="A256" i="19"/>
  <c r="B173" i="19"/>
  <c r="A175" i="19"/>
  <c r="A259" i="19"/>
  <c r="A343" i="19"/>
  <c r="B176" i="19"/>
  <c r="A176" i="19"/>
  <c r="A260" i="19"/>
  <c r="A344" i="19"/>
  <c r="A178" i="19"/>
  <c r="A262" i="19"/>
  <c r="A346" i="19"/>
  <c r="B179" i="19"/>
  <c r="B180" i="19"/>
  <c r="B181" i="19"/>
  <c r="B265" i="19"/>
  <c r="B349" i="19"/>
  <c r="D181" i="19"/>
  <c r="D182" i="19"/>
  <c r="B183" i="19"/>
  <c r="B267" i="19"/>
  <c r="D183" i="19"/>
  <c r="A185" i="19"/>
  <c r="B186" i="19"/>
  <c r="A186" i="19"/>
  <c r="A270" i="19"/>
  <c r="A354" i="19"/>
  <c r="B187" i="19"/>
  <c r="A188" i="19"/>
  <c r="A272" i="19"/>
  <c r="A356" i="19"/>
  <c r="B189" i="19"/>
  <c r="B273" i="19"/>
  <c r="B357" i="19"/>
  <c r="D190" i="19"/>
  <c r="A191" i="19"/>
  <c r="A275" i="19"/>
  <c r="A359" i="19"/>
  <c r="A192" i="19"/>
  <c r="B194" i="19"/>
  <c r="B278" i="19"/>
  <c r="D278" i="19"/>
  <c r="B196" i="19"/>
  <c r="B280" i="19"/>
  <c r="A196" i="19"/>
  <c r="A280" i="19"/>
  <c r="A364" i="19"/>
  <c r="A197" i="19"/>
  <c r="A281" i="19"/>
  <c r="B199" i="19"/>
  <c r="A199" i="19"/>
  <c r="B200" i="19"/>
  <c r="D201" i="19"/>
  <c r="B202" i="19"/>
  <c r="B286" i="19"/>
  <c r="A202" i="19"/>
  <c r="A286" i="19"/>
  <c r="A370" i="19"/>
  <c r="A204" i="19"/>
  <c r="A288" i="19"/>
  <c r="A372" i="19"/>
  <c r="B205" i="19"/>
  <c r="A207" i="19"/>
  <c r="A291" i="19"/>
  <c r="B208" i="19"/>
  <c r="A208" i="19"/>
  <c r="A292" i="19"/>
  <c r="A376" i="19"/>
  <c r="A210" i="19"/>
  <c r="A294" i="19"/>
  <c r="A378" i="19"/>
  <c r="B211" i="19"/>
  <c r="B212" i="19"/>
  <c r="B213" i="19"/>
  <c r="B297" i="19"/>
  <c r="B381" i="19"/>
  <c r="D213" i="19"/>
  <c r="D214" i="19"/>
  <c r="A216" i="19"/>
  <c r="B218" i="19"/>
  <c r="B302" i="19"/>
  <c r="D302" i="19"/>
  <c r="A218" i="19"/>
  <c r="A302" i="19"/>
  <c r="A386" i="19"/>
  <c r="B219" i="19"/>
  <c r="A220" i="19"/>
  <c r="A304" i="19"/>
  <c r="A388" i="19"/>
  <c r="B221" i="19"/>
  <c r="B305" i="19"/>
  <c r="D222" i="19"/>
  <c r="A223" i="19"/>
  <c r="A307" i="19"/>
  <c r="A391" i="19"/>
  <c r="B226" i="19"/>
  <c r="A228" i="19"/>
  <c r="A312" i="19"/>
  <c r="A396" i="19"/>
  <c r="A229" i="19"/>
  <c r="A313" i="19"/>
  <c r="B231" i="19"/>
  <c r="A231" i="19"/>
  <c r="A234" i="19"/>
  <c r="A318" i="19"/>
  <c r="A402" i="19"/>
  <c r="B235" i="19"/>
  <c r="B237" i="19"/>
  <c r="A239" i="19"/>
  <c r="A323" i="19"/>
  <c r="A407" i="19"/>
  <c r="B240" i="19"/>
  <c r="A242" i="19"/>
  <c r="A326" i="19"/>
  <c r="A410" i="19"/>
  <c r="B244" i="19"/>
  <c r="A244" i="19"/>
  <c r="A328" i="19"/>
  <c r="A412" i="19"/>
  <c r="A245" i="19"/>
  <c r="A329" i="19"/>
  <c r="B247" i="19"/>
  <c r="B331" i="19"/>
  <c r="A247" i="19"/>
  <c r="A248" i="19"/>
  <c r="A332" i="19"/>
  <c r="B250" i="19"/>
  <c r="B334" i="19"/>
  <c r="A250" i="19"/>
  <c r="B251" i="19"/>
  <c r="D254" i="19"/>
  <c r="B255" i="19"/>
  <c r="B258" i="19"/>
  <c r="B261" i="19"/>
  <c r="B345" i="19"/>
  <c r="A263" i="19"/>
  <c r="A347" i="19"/>
  <c r="D265" i="19"/>
  <c r="A266" i="19"/>
  <c r="A268" i="19"/>
  <c r="A352" i="19"/>
  <c r="B269" i="19"/>
  <c r="A271" i="19"/>
  <c r="A355" i="19"/>
  <c r="B274" i="19"/>
  <c r="B358" i="19"/>
  <c r="A274" i="19"/>
  <c r="B276" i="19"/>
  <c r="A276" i="19"/>
  <c r="A360" i="19"/>
  <c r="B277" i="19"/>
  <c r="B361" i="19"/>
  <c r="A279" i="19"/>
  <c r="A363" i="19"/>
  <c r="B283" i="19"/>
  <c r="D286" i="19"/>
  <c r="B290" i="19"/>
  <c r="B293" i="19"/>
  <c r="B377" i="19"/>
  <c r="D297" i="19"/>
  <c r="A298" i="19"/>
  <c r="A382" i="19"/>
  <c r="A300" i="19"/>
  <c r="A384" i="19"/>
  <c r="B306" i="19"/>
  <c r="A306" i="19"/>
  <c r="A390" i="19"/>
  <c r="B308" i="19"/>
  <c r="D308" i="19"/>
  <c r="A308" i="19"/>
  <c r="B309" i="19"/>
  <c r="B393" i="19"/>
  <c r="A311" i="19"/>
  <c r="B315" i="19"/>
  <c r="B319" i="19"/>
  <c r="B322" i="19"/>
  <c r="D322" i="19"/>
  <c r="A322" i="19"/>
  <c r="A406" i="19"/>
  <c r="B325" i="19"/>
  <c r="B409" i="19"/>
  <c r="D409" i="19"/>
  <c r="A325" i="19"/>
  <c r="A409" i="19"/>
  <c r="D325" i="19"/>
  <c r="B333" i="19"/>
  <c r="B338" i="19"/>
  <c r="A340" i="19"/>
  <c r="B346" i="19"/>
  <c r="D346" i="19"/>
  <c r="A350" i="19"/>
  <c r="A358" i="19"/>
  <c r="A362" i="19"/>
  <c r="A365" i="19"/>
  <c r="B370" i="19"/>
  <c r="A371" i="19"/>
  <c r="A375" i="19"/>
  <c r="B382" i="19"/>
  <c r="D382" i="19"/>
  <c r="B386" i="19"/>
  <c r="B390" i="19"/>
  <c r="D390" i="19"/>
  <c r="A392" i="19"/>
  <c r="A395" i="19"/>
  <c r="A397" i="19"/>
  <c r="A403" i="19"/>
  <c r="A408" i="19"/>
  <c r="A411" i="19"/>
  <c r="A413" i="19"/>
  <c r="B414" i="19"/>
  <c r="A416" i="19"/>
  <c r="B418" i="19"/>
  <c r="A419" i="19"/>
  <c r="A421" i="19"/>
  <c r="D2" i="19"/>
  <c r="B109" i="18"/>
  <c r="B110" i="18"/>
  <c r="I110" i="18"/>
  <c r="B111" i="18"/>
  <c r="B112" i="18"/>
  <c r="B113" i="18"/>
  <c r="I113" i="18"/>
  <c r="B114" i="18"/>
  <c r="I114" i="18"/>
  <c r="B115" i="18"/>
  <c r="B116" i="18"/>
  <c r="B117" i="18"/>
  <c r="B118" i="18"/>
  <c r="I118" i="18"/>
  <c r="B119" i="18"/>
  <c r="B120" i="18"/>
  <c r="B121" i="18"/>
  <c r="I121" i="18"/>
  <c r="B122" i="18"/>
  <c r="I122" i="18"/>
  <c r="B123" i="18"/>
  <c r="B124" i="18"/>
  <c r="I124" i="18"/>
  <c r="B125" i="18"/>
  <c r="B126" i="18"/>
  <c r="I126" i="18"/>
  <c r="B127" i="18"/>
  <c r="B128" i="18"/>
  <c r="B129" i="18"/>
  <c r="I129" i="18"/>
  <c r="B130" i="18"/>
  <c r="I130" i="18"/>
  <c r="B131" i="18"/>
  <c r="B132" i="18"/>
  <c r="B133" i="18"/>
  <c r="B134" i="18"/>
  <c r="I134" i="18"/>
  <c r="B135" i="18"/>
  <c r="B136" i="18"/>
  <c r="B137" i="18"/>
  <c r="I137" i="18"/>
  <c r="B138" i="18"/>
  <c r="I138" i="18"/>
  <c r="B139" i="18"/>
  <c r="B140" i="18"/>
  <c r="I140" i="18"/>
  <c r="B141" i="18"/>
  <c r="B142" i="18"/>
  <c r="I142" i="18"/>
  <c r="B143" i="18"/>
  <c r="B144" i="18"/>
  <c r="B145" i="18"/>
  <c r="I145" i="18"/>
  <c r="B146" i="18"/>
  <c r="I146" i="18"/>
  <c r="B147" i="18"/>
  <c r="B148" i="18"/>
  <c r="B149" i="18"/>
  <c r="B150" i="18"/>
  <c r="I150" i="18"/>
  <c r="B151" i="18"/>
  <c r="B152" i="18"/>
  <c r="B153" i="18"/>
  <c r="I153" i="18"/>
  <c r="B154" i="18"/>
  <c r="I154" i="18"/>
  <c r="B155" i="18"/>
  <c r="B156" i="18"/>
  <c r="I156" i="18"/>
  <c r="B157" i="18"/>
  <c r="B158" i="18"/>
  <c r="I158" i="18"/>
  <c r="B159" i="18"/>
  <c r="B160" i="18"/>
  <c r="B161" i="18"/>
  <c r="I161" i="18"/>
  <c r="B162" i="18"/>
  <c r="I162" i="18"/>
  <c r="B163" i="18"/>
  <c r="B164" i="18"/>
  <c r="B165" i="18"/>
  <c r="B166" i="18"/>
  <c r="I166" i="18"/>
  <c r="B167" i="18"/>
  <c r="B168" i="18"/>
  <c r="B169" i="18"/>
  <c r="I169" i="18"/>
  <c r="B170" i="18"/>
  <c r="I170" i="18"/>
  <c r="B171" i="18"/>
  <c r="B172" i="18"/>
  <c r="I172" i="18"/>
  <c r="B173" i="18"/>
  <c r="B174" i="18"/>
  <c r="I174" i="18"/>
  <c r="B175" i="18"/>
  <c r="B176" i="18"/>
  <c r="B177" i="18"/>
  <c r="I177" i="18"/>
  <c r="B178" i="18"/>
  <c r="I178" i="18"/>
  <c r="B179" i="18"/>
  <c r="B180" i="18"/>
  <c r="B181" i="18"/>
  <c r="B182" i="18"/>
  <c r="I182" i="18"/>
  <c r="B183" i="18"/>
  <c r="B184" i="18"/>
  <c r="B185" i="18"/>
  <c r="I185" i="18"/>
  <c r="B186" i="18"/>
  <c r="I186" i="18"/>
  <c r="B187" i="18"/>
  <c r="B188" i="18"/>
  <c r="I188" i="18"/>
  <c r="B189" i="18"/>
  <c r="B190" i="18"/>
  <c r="I190" i="18"/>
  <c r="B191" i="18"/>
  <c r="B192" i="18"/>
  <c r="B193" i="18"/>
  <c r="I193" i="18"/>
  <c r="B194" i="18"/>
  <c r="I194" i="18"/>
  <c r="B195" i="18"/>
  <c r="B196" i="18"/>
  <c r="B197" i="18"/>
  <c r="B198" i="18"/>
  <c r="I198" i="18"/>
  <c r="B199" i="18"/>
  <c r="B200" i="18"/>
  <c r="B201" i="18"/>
  <c r="I201" i="18"/>
  <c r="B202" i="18"/>
  <c r="I202" i="18"/>
  <c r="B203" i="18"/>
  <c r="B204" i="18"/>
  <c r="B205" i="18"/>
  <c r="B206" i="18"/>
  <c r="I206" i="18"/>
  <c r="B207" i="18"/>
  <c r="B208" i="18"/>
  <c r="B209" i="18"/>
  <c r="I209" i="18"/>
  <c r="B210" i="18"/>
  <c r="I210" i="18"/>
  <c r="B211" i="18"/>
  <c r="B212" i="18"/>
  <c r="B213" i="18"/>
  <c r="B214" i="18"/>
  <c r="I214" i="18"/>
  <c r="B215" i="18"/>
  <c r="B216" i="18"/>
  <c r="B217" i="18"/>
  <c r="I217" i="18"/>
  <c r="B218" i="18"/>
  <c r="I218" i="18"/>
  <c r="B219" i="18"/>
  <c r="B220" i="18"/>
  <c r="I220" i="18"/>
  <c r="B221" i="18"/>
  <c r="B222" i="18"/>
  <c r="I222" i="18"/>
  <c r="B223" i="18"/>
  <c r="B224" i="18"/>
  <c r="B225" i="18"/>
  <c r="I225" i="18"/>
  <c r="B226" i="18"/>
  <c r="I226" i="18"/>
  <c r="B227" i="18"/>
  <c r="B228" i="18"/>
  <c r="B229" i="18"/>
  <c r="B230" i="18"/>
  <c r="I230" i="18"/>
  <c r="B231" i="18"/>
  <c r="B232" i="18"/>
  <c r="B233" i="18"/>
  <c r="I233" i="18"/>
  <c r="B234" i="18"/>
  <c r="I234" i="18"/>
  <c r="B235" i="18"/>
  <c r="B236" i="18"/>
  <c r="I236" i="18"/>
  <c r="B237" i="18"/>
  <c r="B238" i="18"/>
  <c r="I238" i="18"/>
  <c r="B239" i="18"/>
  <c r="B240" i="18"/>
  <c r="B241" i="18"/>
  <c r="I241" i="18"/>
  <c r="B242" i="18"/>
  <c r="I242" i="18"/>
  <c r="B243" i="18"/>
  <c r="B244" i="18"/>
  <c r="B245" i="18"/>
  <c r="B246" i="18"/>
  <c r="I246" i="18"/>
  <c r="B247" i="18"/>
  <c r="B248" i="18"/>
  <c r="B249" i="18"/>
  <c r="I249" i="18"/>
  <c r="B250" i="18"/>
  <c r="I250" i="18"/>
  <c r="B251" i="18"/>
  <c r="B252" i="18"/>
  <c r="I252" i="18"/>
  <c r="B253" i="18"/>
  <c r="B99" i="18"/>
  <c r="B100" i="18"/>
  <c r="B101" i="18"/>
  <c r="B102" i="18"/>
  <c r="B103" i="18"/>
  <c r="B104" i="18"/>
  <c r="B105" i="18"/>
  <c r="B106" i="18"/>
  <c r="B107" i="18"/>
  <c r="B108" i="18"/>
  <c r="B20" i="18"/>
  <c r="A20" i="18"/>
  <c r="B21" i="18"/>
  <c r="A21" i="18"/>
  <c r="B22" i="18"/>
  <c r="A22" i="18"/>
  <c r="B23" i="18"/>
  <c r="A23" i="18"/>
  <c r="B24" i="18"/>
  <c r="A24" i="18"/>
  <c r="B25" i="18"/>
  <c r="A25" i="18"/>
  <c r="B26" i="18"/>
  <c r="A26" i="18"/>
  <c r="B27" i="18"/>
  <c r="A27" i="18"/>
  <c r="B28" i="18"/>
  <c r="A28" i="18"/>
  <c r="B29" i="18"/>
  <c r="A29" i="18"/>
  <c r="B30" i="18"/>
  <c r="A30" i="18"/>
  <c r="B31" i="18"/>
  <c r="A31" i="18"/>
  <c r="B32" i="18"/>
  <c r="I32" i="18"/>
  <c r="A32" i="18"/>
  <c r="B33" i="18"/>
  <c r="A33" i="18"/>
  <c r="B34" i="18"/>
  <c r="A34" i="18"/>
  <c r="B35" i="18"/>
  <c r="A35" i="18"/>
  <c r="B36" i="18"/>
  <c r="A36" i="18"/>
  <c r="B37" i="18"/>
  <c r="A37" i="18"/>
  <c r="B38" i="18"/>
  <c r="A38" i="18"/>
  <c r="B39" i="18"/>
  <c r="A39" i="18"/>
  <c r="B40" i="18"/>
  <c r="I40" i="18"/>
  <c r="A40" i="18"/>
  <c r="B41" i="18"/>
  <c r="A41" i="18"/>
  <c r="B42" i="18"/>
  <c r="A42" i="18"/>
  <c r="B43" i="18"/>
  <c r="A43" i="18"/>
  <c r="B44" i="18"/>
  <c r="A44" i="18"/>
  <c r="B45" i="18"/>
  <c r="A45" i="18"/>
  <c r="B46" i="18"/>
  <c r="A46" i="18"/>
  <c r="B47" i="18"/>
  <c r="A47" i="18"/>
  <c r="B48" i="18"/>
  <c r="A48" i="18"/>
  <c r="B49" i="18"/>
  <c r="A49" i="18"/>
  <c r="B50" i="18"/>
  <c r="A50" i="18"/>
  <c r="B51" i="18"/>
  <c r="A51" i="18"/>
  <c r="B52" i="18"/>
  <c r="A52" i="18"/>
  <c r="B53" i="18"/>
  <c r="A53" i="18"/>
  <c r="B54" i="18"/>
  <c r="A54" i="18"/>
  <c r="B55" i="18"/>
  <c r="A55" i="18"/>
  <c r="B56" i="18"/>
  <c r="I56" i="18"/>
  <c r="A56" i="18"/>
  <c r="B57" i="18"/>
  <c r="A57" i="18"/>
  <c r="B58" i="18"/>
  <c r="A58" i="18"/>
  <c r="B59" i="18"/>
  <c r="A59" i="18"/>
  <c r="B60" i="18"/>
  <c r="A60" i="18"/>
  <c r="B61" i="18"/>
  <c r="A61" i="18"/>
  <c r="B62" i="18"/>
  <c r="A62" i="18"/>
  <c r="B63" i="18"/>
  <c r="A63" i="18"/>
  <c r="B64" i="18"/>
  <c r="I64" i="18"/>
  <c r="A64" i="18"/>
  <c r="B65" i="18"/>
  <c r="A65" i="18"/>
  <c r="B66" i="18"/>
  <c r="A66" i="18"/>
  <c r="B67" i="18"/>
  <c r="A67" i="18"/>
  <c r="B68" i="18"/>
  <c r="A68" i="18"/>
  <c r="B69" i="18"/>
  <c r="A69" i="18"/>
  <c r="B70" i="18"/>
  <c r="A70" i="18"/>
  <c r="B71" i="18"/>
  <c r="A71" i="18"/>
  <c r="B72" i="18"/>
  <c r="A72" i="18"/>
  <c r="B73" i="18"/>
  <c r="A73" i="18"/>
  <c r="B74" i="18"/>
  <c r="A74" i="18"/>
  <c r="B75" i="18"/>
  <c r="A75" i="18"/>
  <c r="B76" i="18"/>
  <c r="A76" i="18"/>
  <c r="B77" i="18"/>
  <c r="A77" i="18"/>
  <c r="B78" i="18"/>
  <c r="A78" i="18"/>
  <c r="B79" i="18"/>
  <c r="A79" i="18"/>
  <c r="B80" i="18"/>
  <c r="I80" i="18"/>
  <c r="A80" i="18"/>
  <c r="B81" i="18"/>
  <c r="A81" i="18"/>
  <c r="B82" i="18"/>
  <c r="A82" i="18"/>
  <c r="B83" i="18"/>
  <c r="A83" i="18"/>
  <c r="B84" i="18"/>
  <c r="A84" i="18"/>
  <c r="B85" i="18"/>
  <c r="A85" i="18"/>
  <c r="B86" i="18"/>
  <c r="B87" i="18"/>
  <c r="B88" i="18"/>
  <c r="B89" i="18"/>
  <c r="B90" i="18"/>
  <c r="B91" i="18"/>
  <c r="B92" i="18"/>
  <c r="B93" i="18"/>
  <c r="B94" i="18"/>
  <c r="B95" i="18"/>
  <c r="B96" i="18"/>
  <c r="B97" i="18"/>
  <c r="B98" i="18"/>
  <c r="B15" i="18"/>
  <c r="I15" i="18"/>
  <c r="B16" i="18"/>
  <c r="I16" i="18"/>
  <c r="B17" i="18"/>
  <c r="I17" i="18"/>
  <c r="B18" i="18"/>
  <c r="I18" i="18"/>
  <c r="B19" i="18"/>
  <c r="I19" i="18"/>
  <c r="I20" i="18"/>
  <c r="I21" i="18"/>
  <c r="I25" i="18"/>
  <c r="I27" i="18"/>
  <c r="I28" i="18"/>
  <c r="I29" i="18"/>
  <c r="I33" i="18"/>
  <c r="I36" i="18"/>
  <c r="I37" i="18"/>
  <c r="I41" i="18"/>
  <c r="I43" i="18"/>
  <c r="I44" i="18"/>
  <c r="I45" i="18"/>
  <c r="I49" i="18"/>
  <c r="I52" i="18"/>
  <c r="I53" i="18"/>
  <c r="I57" i="18"/>
  <c r="I59" i="18"/>
  <c r="I60" i="18"/>
  <c r="I61" i="18"/>
  <c r="I65" i="18"/>
  <c r="I68" i="18"/>
  <c r="I69" i="18"/>
  <c r="I73" i="18"/>
  <c r="I75" i="18"/>
  <c r="I76" i="18"/>
  <c r="I77" i="18"/>
  <c r="I81" i="18"/>
  <c r="I84" i="18"/>
  <c r="I85" i="18"/>
  <c r="I89" i="18"/>
  <c r="I91" i="18"/>
  <c r="I92" i="18"/>
  <c r="I93" i="18"/>
  <c r="I97" i="18"/>
  <c r="I99" i="18"/>
  <c r="I101" i="18"/>
  <c r="I103" i="18"/>
  <c r="I104" i="18"/>
  <c r="I105" i="18"/>
  <c r="I106" i="18"/>
  <c r="I107" i="18"/>
  <c r="B3" i="18"/>
  <c r="I3" i="18"/>
  <c r="A3" i="18"/>
  <c r="H24" i="22"/>
  <c r="D24" i="22"/>
  <c r="B24" i="22"/>
  <c r="C24" i="22"/>
  <c r="B4" i="18"/>
  <c r="A4" i="18"/>
  <c r="B5" i="18"/>
  <c r="A5" i="18"/>
  <c r="B6" i="18"/>
  <c r="A6" i="18"/>
  <c r="B7" i="18"/>
  <c r="E7" i="18"/>
  <c r="A7" i="18"/>
  <c r="B8" i="18"/>
  <c r="I8" i="18"/>
  <c r="A8" i="18"/>
  <c r="B9" i="18"/>
  <c r="I9" i="18"/>
  <c r="A9" i="18"/>
  <c r="B10" i="18"/>
  <c r="A10" i="18"/>
  <c r="B11" i="18"/>
  <c r="E11" i="18"/>
  <c r="A11" i="18"/>
  <c r="B12" i="18"/>
  <c r="A12" i="18"/>
  <c r="B13" i="18"/>
  <c r="A13" i="18"/>
  <c r="B14" i="18"/>
  <c r="A14" i="18"/>
  <c r="A15" i="18"/>
  <c r="E15" i="18"/>
  <c r="A16" i="18"/>
  <c r="A17" i="18"/>
  <c r="A18" i="18"/>
  <c r="A19" i="18"/>
  <c r="B2" i="18"/>
  <c r="A2" i="18"/>
  <c r="I4" i="18"/>
  <c r="I6" i="18"/>
  <c r="I12" i="18"/>
  <c r="I14" i="18"/>
  <c r="I2" i="18"/>
  <c r="E24" i="22"/>
  <c r="F24" i="22"/>
  <c r="G24" i="22"/>
  <c r="I24" i="22"/>
  <c r="J24" i="22"/>
  <c r="K24" i="22"/>
  <c r="L24" i="22"/>
  <c r="M24" i="22"/>
  <c r="N24" i="22"/>
  <c r="O24" i="22"/>
  <c r="D4" i="17"/>
  <c r="F4" i="17"/>
  <c r="I4" i="17"/>
  <c r="G4" i="18"/>
  <c r="D5" i="17"/>
  <c r="F5" i="17"/>
  <c r="I5" i="17"/>
  <c r="G5" i="18"/>
  <c r="D6" i="17"/>
  <c r="F6" i="17"/>
  <c r="I6" i="17"/>
  <c r="G6" i="18"/>
  <c r="D7" i="17"/>
  <c r="F7" i="17"/>
  <c r="I7" i="17"/>
  <c r="G7" i="18"/>
  <c r="D8" i="17"/>
  <c r="F8" i="17"/>
  <c r="I8" i="17"/>
  <c r="G8" i="18"/>
  <c r="D9" i="17"/>
  <c r="F9" i="17"/>
  <c r="I9" i="17"/>
  <c r="G9" i="18"/>
  <c r="D10" i="17"/>
  <c r="F10" i="17"/>
  <c r="I10" i="17"/>
  <c r="G10" i="18"/>
  <c r="D11" i="17"/>
  <c r="F11" i="17"/>
  <c r="I11" i="17"/>
  <c r="G11" i="18"/>
  <c r="D12" i="17"/>
  <c r="F12" i="17"/>
  <c r="I12" i="17"/>
  <c r="G12" i="18"/>
  <c r="D13" i="17"/>
  <c r="F13" i="17"/>
  <c r="I13" i="17"/>
  <c r="G13" i="18"/>
  <c r="D14" i="17"/>
  <c r="F14" i="17"/>
  <c r="I14" i="17"/>
  <c r="G14" i="18"/>
  <c r="D15" i="17"/>
  <c r="F15" i="17"/>
  <c r="I15" i="17"/>
  <c r="G15" i="18"/>
  <c r="D16" i="17"/>
  <c r="F16" i="17"/>
  <c r="I16" i="17"/>
  <c r="G16" i="18"/>
  <c r="D17" i="17"/>
  <c r="F17" i="17"/>
  <c r="I17" i="17"/>
  <c r="G17" i="18"/>
  <c r="D18" i="17"/>
  <c r="F18" i="17"/>
  <c r="I18" i="17"/>
  <c r="G18" i="18"/>
  <c r="D19" i="17"/>
  <c r="I19" i="17"/>
  <c r="G19" i="18"/>
  <c r="D20" i="17"/>
  <c r="F20" i="17"/>
  <c r="I20" i="17"/>
  <c r="G20" i="18"/>
  <c r="D21" i="17"/>
  <c r="F21" i="17"/>
  <c r="I21" i="17"/>
  <c r="G21" i="18"/>
  <c r="D22" i="17"/>
  <c r="F22" i="17"/>
  <c r="I22" i="17"/>
  <c r="G22" i="18"/>
  <c r="D23" i="17"/>
  <c r="F23" i="17"/>
  <c r="I23" i="17"/>
  <c r="G23" i="18"/>
  <c r="D24" i="17"/>
  <c r="F24" i="17"/>
  <c r="I24" i="17"/>
  <c r="G24" i="18"/>
  <c r="D25" i="17"/>
  <c r="F25" i="17"/>
  <c r="I25" i="17"/>
  <c r="G25" i="18"/>
  <c r="D26" i="17"/>
  <c r="F26" i="17"/>
  <c r="I26" i="17"/>
  <c r="G26" i="18"/>
  <c r="D27" i="17"/>
  <c r="F27" i="17"/>
  <c r="I27" i="17"/>
  <c r="G27" i="18"/>
  <c r="D28" i="17"/>
  <c r="F28" i="17"/>
  <c r="I28" i="17"/>
  <c r="G28" i="18"/>
  <c r="D29" i="17"/>
  <c r="F29" i="17"/>
  <c r="I29" i="17"/>
  <c r="G29" i="18"/>
  <c r="D30" i="17"/>
  <c r="F30" i="17"/>
  <c r="I30" i="17"/>
  <c r="G30" i="18"/>
  <c r="D31" i="17"/>
  <c r="F31" i="17"/>
  <c r="I31" i="17"/>
  <c r="G31" i="18"/>
  <c r="D32" i="17"/>
  <c r="F32" i="17"/>
  <c r="I32" i="17"/>
  <c r="G32" i="18"/>
  <c r="D33" i="17"/>
  <c r="F33" i="17"/>
  <c r="I33" i="17"/>
  <c r="G33" i="18"/>
  <c r="D34" i="17"/>
  <c r="F34" i="17"/>
  <c r="I34" i="17"/>
  <c r="G34" i="18"/>
  <c r="D35" i="17"/>
  <c r="F35" i="17"/>
  <c r="I35" i="17"/>
  <c r="G35" i="18"/>
  <c r="D36" i="17"/>
  <c r="F36" i="17"/>
  <c r="I36" i="17"/>
  <c r="G36" i="18"/>
  <c r="D37" i="17"/>
  <c r="F37" i="17"/>
  <c r="I37" i="17"/>
  <c r="D38" i="17"/>
  <c r="F38" i="17"/>
  <c r="I38" i="17"/>
  <c r="G37" i="18"/>
  <c r="D39" i="17"/>
  <c r="F39" i="17"/>
  <c r="I39" i="17"/>
  <c r="G38" i="18"/>
  <c r="D40" i="17"/>
  <c r="F40" i="17"/>
  <c r="I40" i="17"/>
  <c r="G39" i="18"/>
  <c r="D41" i="17"/>
  <c r="F41" i="17"/>
  <c r="I41" i="17"/>
  <c r="G40" i="18"/>
  <c r="D42" i="17"/>
  <c r="F42" i="17"/>
  <c r="I42" i="17"/>
  <c r="G41" i="18"/>
  <c r="D43" i="17"/>
  <c r="F43" i="17"/>
  <c r="I43" i="17"/>
  <c r="G42" i="18"/>
  <c r="D44" i="17"/>
  <c r="F44" i="17"/>
  <c r="I44" i="17"/>
  <c r="G43" i="18"/>
  <c r="D45" i="17"/>
  <c r="F45" i="17"/>
  <c r="I45" i="17"/>
  <c r="G44" i="18"/>
  <c r="D46" i="17"/>
  <c r="F46" i="17"/>
  <c r="I46" i="17"/>
  <c r="G45" i="18"/>
  <c r="D47" i="17"/>
  <c r="F47" i="17"/>
  <c r="I47" i="17"/>
  <c r="G46" i="18"/>
  <c r="D48" i="17"/>
  <c r="F48" i="17"/>
  <c r="I48" i="17"/>
  <c r="G47" i="18"/>
  <c r="D49" i="17"/>
  <c r="F49" i="17"/>
  <c r="I49" i="17"/>
  <c r="G48" i="18"/>
  <c r="D50" i="17"/>
  <c r="F50" i="17"/>
  <c r="I50" i="17"/>
  <c r="G49" i="18"/>
  <c r="D51" i="17"/>
  <c r="F51" i="17"/>
  <c r="I51" i="17"/>
  <c r="G50" i="18"/>
  <c r="D52" i="17"/>
  <c r="F52" i="17"/>
  <c r="I52" i="17"/>
  <c r="G51" i="18"/>
  <c r="D53" i="17"/>
  <c r="F53" i="17"/>
  <c r="I53" i="17"/>
  <c r="G52" i="18"/>
  <c r="D54" i="17"/>
  <c r="F54" i="17"/>
  <c r="I54" i="17"/>
  <c r="G53" i="18"/>
  <c r="D55" i="17"/>
  <c r="F55" i="17"/>
  <c r="I55" i="17"/>
  <c r="G54" i="18"/>
  <c r="D56" i="17"/>
  <c r="F56" i="17"/>
  <c r="I56" i="17"/>
  <c r="G55" i="18"/>
  <c r="D57" i="17"/>
  <c r="F57" i="17"/>
  <c r="I57" i="17"/>
  <c r="G56" i="18"/>
  <c r="D58" i="17"/>
  <c r="F58" i="17"/>
  <c r="I58" i="17"/>
  <c r="G57" i="18"/>
  <c r="D59" i="17"/>
  <c r="F59" i="17"/>
  <c r="I59" i="17"/>
  <c r="G58" i="18"/>
  <c r="D60" i="17"/>
  <c r="F60" i="17"/>
  <c r="I60" i="17"/>
  <c r="G59" i="18"/>
  <c r="D61" i="17"/>
  <c r="F61" i="17"/>
  <c r="I61" i="17"/>
  <c r="G60" i="18"/>
  <c r="D62" i="17"/>
  <c r="F62" i="17"/>
  <c r="I62" i="17"/>
  <c r="G61" i="18"/>
  <c r="D63" i="17"/>
  <c r="F63" i="17"/>
  <c r="I63" i="17"/>
  <c r="G62" i="18"/>
  <c r="D64" i="17"/>
  <c r="F64" i="17"/>
  <c r="I64" i="17"/>
  <c r="G63" i="18"/>
  <c r="D65" i="17"/>
  <c r="F65" i="17"/>
  <c r="I65" i="17"/>
  <c r="G64" i="18"/>
  <c r="D66" i="17"/>
  <c r="F66" i="17"/>
  <c r="I66" i="17"/>
  <c r="G65" i="18"/>
  <c r="D67" i="17"/>
  <c r="F67" i="17"/>
  <c r="I67" i="17"/>
  <c r="G66" i="18"/>
  <c r="D68" i="17"/>
  <c r="F68" i="17"/>
  <c r="I68" i="17"/>
  <c r="G67" i="18"/>
  <c r="D69" i="17"/>
  <c r="F69" i="17"/>
  <c r="I69" i="17"/>
  <c r="G68" i="18"/>
  <c r="D70" i="17"/>
  <c r="F70" i="17"/>
  <c r="I70" i="17"/>
  <c r="G69" i="18"/>
  <c r="D71" i="17"/>
  <c r="F71" i="17"/>
  <c r="I71" i="17"/>
  <c r="G70" i="18"/>
  <c r="D72" i="17"/>
  <c r="F72" i="17"/>
  <c r="I72" i="17"/>
  <c r="G71" i="18"/>
  <c r="D73" i="17"/>
  <c r="F73" i="17"/>
  <c r="I73" i="17"/>
  <c r="G72" i="18"/>
  <c r="D74" i="17"/>
  <c r="F74" i="17"/>
  <c r="I74" i="17"/>
  <c r="G73" i="18"/>
  <c r="D75" i="17"/>
  <c r="F75" i="17"/>
  <c r="I75" i="17"/>
  <c r="G74" i="18"/>
  <c r="D76" i="17"/>
  <c r="F76" i="17"/>
  <c r="I76" i="17"/>
  <c r="G75" i="18"/>
  <c r="D77" i="17"/>
  <c r="F77" i="17"/>
  <c r="I77" i="17"/>
  <c r="G76" i="18"/>
  <c r="D78" i="17"/>
  <c r="F78" i="17"/>
  <c r="I78" i="17"/>
  <c r="G77" i="18"/>
  <c r="D79" i="17"/>
  <c r="F79" i="17"/>
  <c r="I79" i="17"/>
  <c r="G78" i="18"/>
  <c r="D80" i="17"/>
  <c r="F80" i="17"/>
  <c r="I80" i="17"/>
  <c r="G79" i="18"/>
  <c r="D81" i="17"/>
  <c r="F81" i="17"/>
  <c r="I81" i="17"/>
  <c r="G80" i="18"/>
  <c r="D82" i="17"/>
  <c r="F82" i="17"/>
  <c r="I82" i="17"/>
  <c r="G81" i="18"/>
  <c r="D83" i="17"/>
  <c r="F83" i="17"/>
  <c r="I83" i="17"/>
  <c r="G82" i="18"/>
  <c r="D84" i="17"/>
  <c r="F84" i="17"/>
  <c r="I84" i="17"/>
  <c r="G83" i="18"/>
  <c r="D85" i="17"/>
  <c r="F85" i="17"/>
  <c r="I85" i="17"/>
  <c r="G84" i="18"/>
  <c r="D86" i="17"/>
  <c r="F86" i="17"/>
  <c r="I86" i="17"/>
  <c r="G85" i="18"/>
  <c r="D87" i="17"/>
  <c r="F87" i="17"/>
  <c r="I87" i="17"/>
  <c r="G86" i="18"/>
  <c r="D88" i="17"/>
  <c r="F88" i="17"/>
  <c r="I88" i="17"/>
  <c r="G87" i="18"/>
  <c r="D89" i="17"/>
  <c r="F89" i="17"/>
  <c r="I89" i="17"/>
  <c r="G88" i="18"/>
  <c r="D90" i="17"/>
  <c r="F90" i="17"/>
  <c r="I90" i="17"/>
  <c r="G89" i="18"/>
  <c r="D91" i="17"/>
  <c r="F91" i="17"/>
  <c r="I91" i="17"/>
  <c r="G90" i="18"/>
  <c r="D92" i="17"/>
  <c r="F92" i="17"/>
  <c r="I92" i="17"/>
  <c r="G91" i="18"/>
  <c r="D93" i="17"/>
  <c r="F93" i="17"/>
  <c r="I93" i="17"/>
  <c r="G92" i="18"/>
  <c r="D94" i="17"/>
  <c r="F94" i="17"/>
  <c r="I94" i="17"/>
  <c r="G93" i="18"/>
  <c r="D95" i="17"/>
  <c r="F95" i="17"/>
  <c r="I95" i="17"/>
  <c r="G94" i="18"/>
  <c r="D96" i="17"/>
  <c r="F96" i="17"/>
  <c r="I96" i="17"/>
  <c r="G95" i="18"/>
  <c r="D97" i="17"/>
  <c r="F97" i="17"/>
  <c r="I97" i="17"/>
  <c r="G96" i="18"/>
  <c r="D98" i="17"/>
  <c r="F98" i="17"/>
  <c r="I98" i="17"/>
  <c r="G97" i="18"/>
  <c r="D99" i="17"/>
  <c r="F99" i="17"/>
  <c r="I99" i="17"/>
  <c r="G98" i="18"/>
  <c r="D100" i="17"/>
  <c r="F100" i="17"/>
  <c r="I100" i="17"/>
  <c r="G99" i="18"/>
  <c r="D101" i="17"/>
  <c r="F101" i="17"/>
  <c r="I101" i="17"/>
  <c r="G100" i="18"/>
  <c r="D102" i="17"/>
  <c r="F102" i="17"/>
  <c r="I102" i="17"/>
  <c r="G101" i="18"/>
  <c r="D103" i="17"/>
  <c r="F103" i="17"/>
  <c r="I103" i="17"/>
  <c r="G102" i="18"/>
  <c r="D104" i="17"/>
  <c r="F104" i="17"/>
  <c r="I104" i="17"/>
  <c r="G103" i="18"/>
  <c r="D105" i="17"/>
  <c r="F105" i="17"/>
  <c r="I105" i="17"/>
  <c r="G104" i="18"/>
  <c r="D106" i="17"/>
  <c r="F106" i="17"/>
  <c r="I106" i="17"/>
  <c r="G105" i="18"/>
  <c r="D107" i="17"/>
  <c r="F107" i="17"/>
  <c r="I107" i="17"/>
  <c r="G106" i="18"/>
  <c r="D108" i="17"/>
  <c r="F108" i="17"/>
  <c r="I108" i="17"/>
  <c r="G107" i="18"/>
  <c r="D109" i="17"/>
  <c r="F109" i="17"/>
  <c r="I109" i="17"/>
  <c r="G108" i="18"/>
  <c r="D110" i="17"/>
  <c r="F110" i="17"/>
  <c r="I110" i="17"/>
  <c r="G109" i="18"/>
  <c r="D111" i="17"/>
  <c r="F111" i="17"/>
  <c r="I111" i="17"/>
  <c r="G110" i="18"/>
  <c r="D112" i="17"/>
  <c r="F112" i="17"/>
  <c r="I112" i="17"/>
  <c r="G111" i="18"/>
  <c r="D113" i="17"/>
  <c r="F113" i="17"/>
  <c r="I113" i="17"/>
  <c r="G112" i="18"/>
  <c r="D114" i="17"/>
  <c r="F114" i="17"/>
  <c r="I114" i="17"/>
  <c r="G113" i="18"/>
  <c r="D115" i="17"/>
  <c r="F115" i="17"/>
  <c r="I115" i="17"/>
  <c r="G114" i="18"/>
  <c r="D116" i="17"/>
  <c r="F116" i="17"/>
  <c r="I116" i="17"/>
  <c r="G115" i="18"/>
  <c r="D117" i="17"/>
  <c r="F117" i="17"/>
  <c r="I117" i="17"/>
  <c r="G116" i="18"/>
  <c r="D118" i="17"/>
  <c r="F118" i="17"/>
  <c r="I118" i="17"/>
  <c r="G117" i="18"/>
  <c r="D119" i="17"/>
  <c r="F119" i="17"/>
  <c r="I119" i="17"/>
  <c r="G118" i="18"/>
  <c r="D120" i="17"/>
  <c r="F120" i="17"/>
  <c r="I120" i="17"/>
  <c r="G119" i="18"/>
  <c r="D121" i="17"/>
  <c r="F121" i="17"/>
  <c r="I121" i="17"/>
  <c r="G120" i="18"/>
  <c r="D122" i="17"/>
  <c r="F122" i="17"/>
  <c r="I122" i="17"/>
  <c r="D123" i="17"/>
  <c r="F123" i="17"/>
  <c r="I123" i="17"/>
  <c r="G121" i="18"/>
  <c r="D124" i="17"/>
  <c r="F124" i="17"/>
  <c r="I124" i="17"/>
  <c r="G122" i="18"/>
  <c r="D125" i="17"/>
  <c r="F125" i="17"/>
  <c r="I125" i="17"/>
  <c r="G123" i="18"/>
  <c r="D126" i="17"/>
  <c r="F126" i="17"/>
  <c r="I126" i="17"/>
  <c r="G124" i="18"/>
  <c r="D127" i="17"/>
  <c r="F127" i="17"/>
  <c r="I127" i="17"/>
  <c r="G125" i="18"/>
  <c r="D128" i="17"/>
  <c r="F128" i="17"/>
  <c r="I128" i="17"/>
  <c r="G126" i="18"/>
  <c r="D129" i="17"/>
  <c r="F129" i="17"/>
  <c r="I129" i="17"/>
  <c r="G127" i="18"/>
  <c r="D130" i="17"/>
  <c r="F130" i="17"/>
  <c r="I130" i="17"/>
  <c r="G128" i="18"/>
  <c r="D131" i="17"/>
  <c r="F131" i="17"/>
  <c r="I131" i="17"/>
  <c r="G129" i="18"/>
  <c r="D132" i="17"/>
  <c r="F132" i="17"/>
  <c r="I132" i="17"/>
  <c r="G130" i="18"/>
  <c r="D133" i="17"/>
  <c r="F133" i="17"/>
  <c r="I133" i="17"/>
  <c r="G131" i="18"/>
  <c r="D134" i="17"/>
  <c r="F134" i="17"/>
  <c r="I134" i="17"/>
  <c r="G132" i="18"/>
  <c r="D135" i="17"/>
  <c r="F135" i="17"/>
  <c r="I135" i="17"/>
  <c r="G133" i="18"/>
  <c r="D136" i="17"/>
  <c r="F136" i="17"/>
  <c r="I136" i="17"/>
  <c r="G134" i="18"/>
  <c r="D137" i="17"/>
  <c r="F137" i="17"/>
  <c r="I137" i="17"/>
  <c r="G135" i="18"/>
  <c r="D138" i="17"/>
  <c r="F138" i="17"/>
  <c r="I138" i="17"/>
  <c r="G136" i="18"/>
  <c r="D139" i="17"/>
  <c r="F139" i="17"/>
  <c r="I139" i="17"/>
  <c r="G137" i="18"/>
  <c r="D140" i="17"/>
  <c r="F140" i="17"/>
  <c r="I140" i="17"/>
  <c r="G138" i="18"/>
  <c r="D141" i="17"/>
  <c r="F141" i="17"/>
  <c r="I141" i="17"/>
  <c r="G139" i="18"/>
  <c r="D142" i="17"/>
  <c r="F142" i="17"/>
  <c r="I142" i="17"/>
  <c r="G140" i="18"/>
  <c r="D143" i="17"/>
  <c r="F143" i="17"/>
  <c r="I143" i="17"/>
  <c r="G141" i="18"/>
  <c r="D144" i="17"/>
  <c r="F144" i="17"/>
  <c r="I144" i="17"/>
  <c r="G142" i="18"/>
  <c r="D145" i="17"/>
  <c r="F145" i="17"/>
  <c r="I145" i="17"/>
  <c r="G143" i="18"/>
  <c r="D146" i="17"/>
  <c r="F146" i="17"/>
  <c r="I146" i="17"/>
  <c r="G144" i="18"/>
  <c r="D147" i="17"/>
  <c r="F147" i="17"/>
  <c r="I147" i="17"/>
  <c r="G145" i="18"/>
  <c r="D148" i="17"/>
  <c r="F148" i="17"/>
  <c r="I148" i="17"/>
  <c r="G146" i="18"/>
  <c r="D149" i="17"/>
  <c r="F149" i="17"/>
  <c r="I149" i="17"/>
  <c r="G147" i="18"/>
  <c r="D150" i="17"/>
  <c r="F150" i="17"/>
  <c r="I150" i="17"/>
  <c r="G148" i="18"/>
  <c r="D151" i="17"/>
  <c r="F151" i="17"/>
  <c r="I151" i="17"/>
  <c r="G149" i="18"/>
  <c r="D152" i="17"/>
  <c r="F152" i="17"/>
  <c r="I152" i="17"/>
  <c r="G150" i="18"/>
  <c r="D153" i="17"/>
  <c r="F153" i="17"/>
  <c r="I153" i="17"/>
  <c r="G151" i="18"/>
  <c r="D154" i="17"/>
  <c r="F154" i="17"/>
  <c r="I154" i="17"/>
  <c r="G152" i="18"/>
  <c r="D155" i="17"/>
  <c r="F155" i="17"/>
  <c r="I155" i="17"/>
  <c r="G153" i="18"/>
  <c r="D156" i="17"/>
  <c r="F156" i="17"/>
  <c r="I156" i="17"/>
  <c r="G154" i="18"/>
  <c r="D157" i="17"/>
  <c r="F157" i="17"/>
  <c r="I157" i="17"/>
  <c r="G155" i="18"/>
  <c r="D158" i="17"/>
  <c r="F158" i="17"/>
  <c r="I158" i="17"/>
  <c r="G156" i="18"/>
  <c r="D159" i="17"/>
  <c r="F159" i="17"/>
  <c r="I159" i="17"/>
  <c r="G157" i="18"/>
  <c r="D160" i="17"/>
  <c r="F160" i="17"/>
  <c r="I160" i="17"/>
  <c r="G158" i="18"/>
  <c r="D161" i="17"/>
  <c r="F161" i="17"/>
  <c r="I161" i="17"/>
  <c r="G159" i="18"/>
  <c r="D162" i="17"/>
  <c r="F162" i="17"/>
  <c r="I162" i="17"/>
  <c r="G160" i="18"/>
  <c r="D163" i="17"/>
  <c r="F163" i="17"/>
  <c r="I163" i="17"/>
  <c r="G161" i="18"/>
  <c r="D164" i="17"/>
  <c r="F164" i="17"/>
  <c r="I164" i="17"/>
  <c r="G162" i="18"/>
  <c r="D165" i="17"/>
  <c r="F165" i="17"/>
  <c r="I165" i="17"/>
  <c r="G163" i="18"/>
  <c r="D166" i="17"/>
  <c r="F166" i="17"/>
  <c r="I166" i="17"/>
  <c r="G164" i="18"/>
  <c r="D167" i="17"/>
  <c r="F167" i="17"/>
  <c r="I167" i="17"/>
  <c r="G165" i="18"/>
  <c r="D168" i="17"/>
  <c r="F168" i="17"/>
  <c r="I168" i="17"/>
  <c r="G166" i="18"/>
  <c r="D169" i="17"/>
  <c r="F169" i="17"/>
  <c r="I169" i="17"/>
  <c r="G167" i="18"/>
  <c r="D170" i="17"/>
  <c r="F170" i="17"/>
  <c r="I170" i="17"/>
  <c r="G168" i="18"/>
  <c r="D171" i="17"/>
  <c r="F171" i="17"/>
  <c r="I171" i="17"/>
  <c r="G169" i="18"/>
  <c r="D172" i="17"/>
  <c r="F172" i="17"/>
  <c r="I172" i="17"/>
  <c r="G170" i="18"/>
  <c r="D173" i="17"/>
  <c r="F173" i="17"/>
  <c r="I173" i="17"/>
  <c r="G171" i="18"/>
  <c r="D174" i="17"/>
  <c r="F174" i="17"/>
  <c r="I174" i="17"/>
  <c r="G172" i="18"/>
  <c r="D175" i="17"/>
  <c r="F175" i="17"/>
  <c r="I175" i="17"/>
  <c r="G173" i="18"/>
  <c r="D176" i="17"/>
  <c r="F176" i="17"/>
  <c r="I176" i="17"/>
  <c r="G174" i="18"/>
  <c r="D177" i="17"/>
  <c r="F177" i="17"/>
  <c r="I177" i="17"/>
  <c r="G175" i="18"/>
  <c r="D178" i="17"/>
  <c r="F178" i="17"/>
  <c r="I178" i="17"/>
  <c r="G176" i="18"/>
  <c r="D179" i="17"/>
  <c r="F179" i="17"/>
  <c r="I179" i="17"/>
  <c r="G177" i="18"/>
  <c r="D180" i="17"/>
  <c r="F180" i="17"/>
  <c r="I180" i="17"/>
  <c r="G178" i="18"/>
  <c r="D181" i="17"/>
  <c r="F181" i="17"/>
  <c r="I181" i="17"/>
  <c r="G179" i="18"/>
  <c r="D182" i="17"/>
  <c r="F182" i="17"/>
  <c r="I182" i="17"/>
  <c r="G180" i="18"/>
  <c r="D183" i="17"/>
  <c r="F183" i="17"/>
  <c r="I183" i="17"/>
  <c r="G181" i="18"/>
  <c r="D184" i="17"/>
  <c r="F184" i="17"/>
  <c r="I184" i="17"/>
  <c r="G182" i="18"/>
  <c r="D185" i="17"/>
  <c r="F185" i="17"/>
  <c r="I185" i="17"/>
  <c r="G183" i="18"/>
  <c r="D186" i="17"/>
  <c r="F186" i="17"/>
  <c r="I186" i="17"/>
  <c r="G184" i="18"/>
  <c r="D187" i="17"/>
  <c r="F187" i="17"/>
  <c r="I187" i="17"/>
  <c r="G185" i="18"/>
  <c r="D188" i="17"/>
  <c r="F188" i="17"/>
  <c r="I188" i="17"/>
  <c r="G186" i="18"/>
  <c r="D189" i="17"/>
  <c r="F189" i="17"/>
  <c r="I189" i="17"/>
  <c r="G187" i="18"/>
  <c r="D190" i="17"/>
  <c r="F190" i="17"/>
  <c r="I190" i="17"/>
  <c r="G188" i="18"/>
  <c r="D191" i="17"/>
  <c r="F191" i="17"/>
  <c r="I191" i="17"/>
  <c r="G189" i="18"/>
  <c r="D192" i="17"/>
  <c r="F192" i="17"/>
  <c r="I192" i="17"/>
  <c r="G190" i="18"/>
  <c r="D193" i="17"/>
  <c r="F193" i="17"/>
  <c r="I193" i="17"/>
  <c r="G191" i="18"/>
  <c r="D194" i="17"/>
  <c r="F194" i="17"/>
  <c r="I194" i="17"/>
  <c r="G192" i="18"/>
  <c r="D195" i="17"/>
  <c r="F195" i="17"/>
  <c r="I195" i="17"/>
  <c r="G193" i="18"/>
  <c r="D196" i="17"/>
  <c r="F196" i="17"/>
  <c r="I196" i="17"/>
  <c r="G194" i="18"/>
  <c r="D197" i="17"/>
  <c r="F197" i="17"/>
  <c r="I197" i="17"/>
  <c r="G195" i="18"/>
  <c r="D198" i="17"/>
  <c r="F198" i="17"/>
  <c r="I198" i="17"/>
  <c r="G196" i="18"/>
  <c r="D199" i="17"/>
  <c r="F199" i="17"/>
  <c r="I199" i="17"/>
  <c r="G197" i="18"/>
  <c r="D200" i="17"/>
  <c r="F200" i="17"/>
  <c r="I200" i="17"/>
  <c r="G198" i="18"/>
  <c r="D201" i="17"/>
  <c r="F201" i="17"/>
  <c r="I201" i="17"/>
  <c r="G199" i="18"/>
  <c r="D202" i="17"/>
  <c r="F202" i="17"/>
  <c r="I202" i="17"/>
  <c r="G200" i="18"/>
  <c r="D203" i="17"/>
  <c r="F203" i="17"/>
  <c r="I203" i="17"/>
  <c r="G201" i="18"/>
  <c r="D204" i="17"/>
  <c r="F204" i="17"/>
  <c r="I204" i="17"/>
  <c r="G202" i="18"/>
  <c r="D205" i="17"/>
  <c r="F205" i="17"/>
  <c r="I205" i="17"/>
  <c r="G203" i="18"/>
  <c r="D206" i="17"/>
  <c r="F206" i="17"/>
  <c r="I206" i="17"/>
  <c r="G204" i="18"/>
  <c r="D207" i="17"/>
  <c r="F207" i="17"/>
  <c r="I207" i="17"/>
  <c r="D208" i="17"/>
  <c r="F208" i="17"/>
  <c r="I208" i="17"/>
  <c r="G205" i="18"/>
  <c r="D209" i="17"/>
  <c r="F209" i="17"/>
  <c r="I209" i="17"/>
  <c r="G206" i="18"/>
  <c r="D210" i="17"/>
  <c r="F210" i="17"/>
  <c r="I210" i="17"/>
  <c r="G207" i="18"/>
  <c r="D211" i="17"/>
  <c r="F211" i="17"/>
  <c r="I211" i="17"/>
  <c r="G208" i="18"/>
  <c r="D212" i="17"/>
  <c r="F212" i="17"/>
  <c r="I212" i="17"/>
  <c r="G209" i="18"/>
  <c r="D213" i="17"/>
  <c r="F213" i="17"/>
  <c r="I213" i="17"/>
  <c r="G210" i="18"/>
  <c r="D214" i="17"/>
  <c r="F214" i="17"/>
  <c r="I214" i="17"/>
  <c r="G211" i="18"/>
  <c r="D215" i="17"/>
  <c r="F215" i="17"/>
  <c r="I215" i="17"/>
  <c r="G212" i="18"/>
  <c r="D216" i="17"/>
  <c r="F216" i="17"/>
  <c r="I216" i="17"/>
  <c r="G213" i="18"/>
  <c r="D217" i="17"/>
  <c r="F217" i="17"/>
  <c r="I217" i="17"/>
  <c r="G214" i="18"/>
  <c r="D218" i="17"/>
  <c r="F218" i="17"/>
  <c r="I218" i="17"/>
  <c r="G215" i="18"/>
  <c r="D219" i="17"/>
  <c r="F219" i="17"/>
  <c r="I219" i="17"/>
  <c r="G216" i="18"/>
  <c r="D220" i="17"/>
  <c r="F220" i="17"/>
  <c r="I220" i="17"/>
  <c r="G217" i="18"/>
  <c r="D221" i="17"/>
  <c r="F221" i="17"/>
  <c r="I221" i="17"/>
  <c r="G218" i="18"/>
  <c r="D222" i="17"/>
  <c r="F222" i="17"/>
  <c r="I222" i="17"/>
  <c r="G219" i="18"/>
  <c r="D223" i="17"/>
  <c r="F223" i="17"/>
  <c r="I223" i="17"/>
  <c r="G220" i="18"/>
  <c r="D224" i="17"/>
  <c r="F224" i="17"/>
  <c r="I224" i="17"/>
  <c r="G221" i="18"/>
  <c r="D225" i="17"/>
  <c r="F225" i="17"/>
  <c r="I225" i="17"/>
  <c r="G222" i="18"/>
  <c r="D226" i="17"/>
  <c r="F226" i="17"/>
  <c r="I226" i="17"/>
  <c r="G223" i="18"/>
  <c r="D227" i="17"/>
  <c r="F227" i="17"/>
  <c r="I227" i="17"/>
  <c r="G224" i="18"/>
  <c r="D228" i="17"/>
  <c r="F228" i="17"/>
  <c r="I228" i="17"/>
  <c r="G225" i="18"/>
  <c r="D229" i="17"/>
  <c r="F229" i="17"/>
  <c r="I229" i="17"/>
  <c r="G226" i="18"/>
  <c r="D230" i="17"/>
  <c r="F230" i="17"/>
  <c r="I230" i="17"/>
  <c r="G227" i="18"/>
  <c r="D231" i="17"/>
  <c r="F231" i="17"/>
  <c r="I231" i="17"/>
  <c r="G228" i="18"/>
  <c r="D232" i="17"/>
  <c r="F232" i="17"/>
  <c r="I232" i="17"/>
  <c r="G229" i="18"/>
  <c r="D233" i="17"/>
  <c r="F233" i="17"/>
  <c r="I233" i="17"/>
  <c r="G230" i="18"/>
  <c r="D234" i="17"/>
  <c r="F234" i="17"/>
  <c r="I234" i="17"/>
  <c r="G231" i="18"/>
  <c r="D235" i="17"/>
  <c r="F235" i="17"/>
  <c r="I235" i="17"/>
  <c r="G232" i="18"/>
  <c r="D236" i="17"/>
  <c r="F236" i="17"/>
  <c r="I236" i="17"/>
  <c r="G233" i="18"/>
  <c r="D237" i="17"/>
  <c r="F237" i="17"/>
  <c r="I237" i="17"/>
  <c r="G234" i="18"/>
  <c r="D238" i="17"/>
  <c r="F238" i="17"/>
  <c r="I238" i="17"/>
  <c r="G235" i="18"/>
  <c r="D239" i="17"/>
  <c r="F239" i="17"/>
  <c r="I239" i="17"/>
  <c r="G236" i="18"/>
  <c r="D240" i="17"/>
  <c r="F240" i="17"/>
  <c r="I240" i="17"/>
  <c r="G237" i="18"/>
  <c r="D241" i="17"/>
  <c r="F241" i="17"/>
  <c r="I241" i="17"/>
  <c r="G238" i="18"/>
  <c r="D242" i="17"/>
  <c r="F242" i="17"/>
  <c r="I242" i="17"/>
  <c r="G239" i="18"/>
  <c r="D243" i="17"/>
  <c r="F243" i="17"/>
  <c r="I243" i="17"/>
  <c r="G240" i="18"/>
  <c r="D244" i="17"/>
  <c r="F244" i="17"/>
  <c r="I244" i="17"/>
  <c r="G241" i="18"/>
  <c r="D245" i="17"/>
  <c r="F245" i="17"/>
  <c r="I245" i="17"/>
  <c r="G242" i="18"/>
  <c r="D246" i="17"/>
  <c r="F246" i="17"/>
  <c r="I246" i="17"/>
  <c r="G243" i="18"/>
  <c r="D247" i="17"/>
  <c r="F247" i="17"/>
  <c r="I247" i="17"/>
  <c r="G244" i="18"/>
  <c r="D248" i="17"/>
  <c r="F248" i="17"/>
  <c r="I248" i="17"/>
  <c r="G245" i="18"/>
  <c r="D249" i="17"/>
  <c r="F249" i="17"/>
  <c r="I249" i="17"/>
  <c r="G246" i="18"/>
  <c r="D250" i="17"/>
  <c r="F250" i="17"/>
  <c r="I250" i="17"/>
  <c r="G247" i="18"/>
  <c r="D251" i="17"/>
  <c r="F251" i="17"/>
  <c r="I251" i="17"/>
  <c r="G248" i="18"/>
  <c r="D252" i="17"/>
  <c r="F252" i="17"/>
  <c r="I252" i="17"/>
  <c r="G249" i="18"/>
  <c r="D253" i="17"/>
  <c r="F253" i="17"/>
  <c r="I253" i="17"/>
  <c r="G250" i="18"/>
  <c r="D254" i="17"/>
  <c r="F254" i="17"/>
  <c r="I254" i="17"/>
  <c r="G251" i="18"/>
  <c r="D255" i="17"/>
  <c r="F255" i="17"/>
  <c r="I255" i="17"/>
  <c r="G252" i="18"/>
  <c r="D256" i="17"/>
  <c r="F256" i="17"/>
  <c r="I256" i="17"/>
  <c r="G253" i="18"/>
  <c r="G3" i="18"/>
  <c r="D3" i="17"/>
  <c r="F3" i="17"/>
  <c r="I3" i="17"/>
  <c r="D2" i="17"/>
  <c r="F2" i="17"/>
  <c r="I2" i="17"/>
  <c r="G2" i="18"/>
  <c r="J3" i="17"/>
  <c r="J4" i="17"/>
  <c r="J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94" i="17"/>
  <c r="J102" i="17"/>
  <c r="J110" i="17"/>
  <c r="J118" i="17"/>
  <c r="J126" i="17"/>
  <c r="J134" i="17"/>
  <c r="J142" i="17"/>
  <c r="J150" i="17"/>
  <c r="J158" i="17"/>
  <c r="J166" i="17"/>
  <c r="J2" i="17"/>
  <c r="E3" i="17"/>
  <c r="E4" i="17"/>
  <c r="E5" i="17"/>
  <c r="E6" i="17"/>
  <c r="E7" i="17"/>
  <c r="E8" i="17"/>
  <c r="E9" i="17"/>
  <c r="E10" i="17"/>
  <c r="E11" i="17"/>
  <c r="E12" i="17"/>
  <c r="E13" i="17"/>
  <c r="E14" i="17"/>
  <c r="E15" i="17"/>
  <c r="E16" i="17"/>
  <c r="E17" i="17"/>
  <c r="E18"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70" i="17"/>
  <c r="E71" i="17"/>
  <c r="E72" i="17"/>
  <c r="E73" i="17"/>
  <c r="E74" i="17"/>
  <c r="E75" i="17"/>
  <c r="E76" i="17"/>
  <c r="E77" i="17"/>
  <c r="E78" i="17"/>
  <c r="E79" i="17"/>
  <c r="E80" i="17"/>
  <c r="E81" i="17"/>
  <c r="E82" i="17"/>
  <c r="E83" i="17"/>
  <c r="E84" i="17"/>
  <c r="E85" i="17"/>
  <c r="E86" i="17"/>
  <c r="E87" i="17"/>
  <c r="E2" i="17"/>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3" i="17"/>
  <c r="K96" i="17"/>
  <c r="K97" i="17"/>
  <c r="K101" i="17"/>
  <c r="K104" i="17"/>
  <c r="K105" i="17"/>
  <c r="K109" i="17"/>
  <c r="K112" i="17"/>
  <c r="K113" i="17"/>
  <c r="K117" i="17"/>
  <c r="K120" i="17"/>
  <c r="K121" i="17"/>
  <c r="K125" i="17"/>
  <c r="K128" i="17"/>
  <c r="K129" i="17"/>
  <c r="K133" i="17"/>
  <c r="K136" i="17"/>
  <c r="K137" i="17"/>
  <c r="K141" i="17"/>
  <c r="K144" i="17"/>
  <c r="K145" i="17"/>
  <c r="K149" i="17"/>
  <c r="K152" i="17"/>
  <c r="K153" i="17"/>
  <c r="K157" i="17"/>
  <c r="K160" i="17"/>
  <c r="K161" i="17"/>
  <c r="K165" i="17"/>
  <c r="K168" i="17"/>
  <c r="K169" i="17"/>
  <c r="K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9" i="17"/>
  <c r="G90" i="17"/>
  <c r="G93" i="17"/>
  <c r="G94" i="17"/>
  <c r="G97" i="17"/>
  <c r="G98" i="17"/>
  <c r="G101" i="17"/>
  <c r="G102" i="17"/>
  <c r="G105" i="17"/>
  <c r="G106" i="17"/>
  <c r="G109" i="17"/>
  <c r="G110" i="17"/>
  <c r="G113" i="17"/>
  <c r="G114" i="17"/>
  <c r="G117" i="17"/>
  <c r="G118" i="17"/>
  <c r="G121" i="17"/>
  <c r="G122" i="17"/>
  <c r="G125" i="17"/>
  <c r="G126" i="17"/>
  <c r="G129" i="17"/>
  <c r="G130" i="17"/>
  <c r="G133" i="17"/>
  <c r="G134" i="17"/>
  <c r="G137" i="17"/>
  <c r="G138" i="17"/>
  <c r="G141" i="17"/>
  <c r="G142" i="17"/>
  <c r="G145" i="17"/>
  <c r="G146" i="17"/>
  <c r="G149" i="17"/>
  <c r="G150" i="17"/>
  <c r="G153" i="17"/>
  <c r="G154" i="17"/>
  <c r="G157" i="17"/>
  <c r="G158" i="17"/>
  <c r="G161" i="17"/>
  <c r="G162" i="17"/>
  <c r="G165" i="17"/>
  <c r="G166" i="17"/>
  <c r="G169" i="17"/>
  <c r="G170" i="17"/>
  <c r="G178" i="17"/>
  <c r="G186" i="17"/>
  <c r="G194" i="17"/>
  <c r="G202" i="17"/>
  <c r="G210" i="17"/>
  <c r="G245" i="17"/>
  <c r="G250" i="17"/>
  <c r="G253" i="17"/>
  <c r="G2" i="17"/>
  <c r="B245" i="17"/>
  <c r="B330" i="17"/>
  <c r="B250" i="17"/>
  <c r="B335" i="17"/>
  <c r="B251" i="17"/>
  <c r="B336" i="17"/>
  <c r="B252" i="17"/>
  <c r="B337" i="17"/>
  <c r="B253" i="17"/>
  <c r="B338" i="17"/>
  <c r="B88" i="17"/>
  <c r="E88" i="17"/>
  <c r="B89" i="17"/>
  <c r="E89" i="17"/>
  <c r="B90" i="17"/>
  <c r="K90" i="17"/>
  <c r="B91" i="17"/>
  <c r="A90" i="18"/>
  <c r="B92" i="17"/>
  <c r="G92" i="17"/>
  <c r="B93" i="17"/>
  <c r="A92" i="18"/>
  <c r="B94" i="17"/>
  <c r="K94" i="17"/>
  <c r="B95" i="17"/>
  <c r="J95" i="17"/>
  <c r="B96" i="17"/>
  <c r="E96" i="17"/>
  <c r="B97" i="17"/>
  <c r="E97" i="17"/>
  <c r="B98" i="17"/>
  <c r="K98" i="17"/>
  <c r="B99" i="17"/>
  <c r="A98" i="18"/>
  <c r="B100" i="17"/>
  <c r="A99" i="18"/>
  <c r="E99" i="18"/>
  <c r="B101" i="17"/>
  <c r="A100" i="18"/>
  <c r="B102" i="17"/>
  <c r="K102" i="17"/>
  <c r="B103" i="17"/>
  <c r="A102" i="18"/>
  <c r="B104" i="17"/>
  <c r="E104" i="17"/>
  <c r="B105" i="17"/>
  <c r="E105" i="17"/>
  <c r="B106" i="17"/>
  <c r="K106" i="17"/>
  <c r="B107" i="17"/>
  <c r="A106" i="18"/>
  <c r="B108" i="17"/>
  <c r="A107" i="18"/>
  <c r="E107" i="18"/>
  <c r="B109" i="17"/>
  <c r="A108" i="18"/>
  <c r="B110" i="17"/>
  <c r="A109" i="18"/>
  <c r="B111" i="17"/>
  <c r="J111" i="17"/>
  <c r="B112" i="17"/>
  <c r="E112" i="17"/>
  <c r="B113" i="17"/>
  <c r="A112" i="18"/>
  <c r="B114" i="17"/>
  <c r="A113" i="18"/>
  <c r="E113" i="18"/>
  <c r="B115" i="17"/>
  <c r="G115" i="17"/>
  <c r="B116" i="17"/>
  <c r="G116" i="17"/>
  <c r="B117" i="17"/>
  <c r="A116" i="18"/>
  <c r="B118" i="17"/>
  <c r="A117" i="18"/>
  <c r="B119" i="17"/>
  <c r="J119" i="17"/>
  <c r="B120" i="17"/>
  <c r="E120" i="17"/>
  <c r="B121" i="17"/>
  <c r="A120" i="18"/>
  <c r="B122" i="17"/>
  <c r="K122" i="17"/>
  <c r="B123" i="17"/>
  <c r="A121" i="18"/>
  <c r="E121" i="18"/>
  <c r="B124" i="17"/>
  <c r="A122" i="18"/>
  <c r="E122" i="18"/>
  <c r="B125" i="17"/>
  <c r="A123" i="18"/>
  <c r="B126" i="17"/>
  <c r="A124" i="18"/>
  <c r="B127" i="17"/>
  <c r="J127" i="17"/>
  <c r="B128" i="17"/>
  <c r="E128" i="17"/>
  <c r="B129" i="17"/>
  <c r="E129" i="17"/>
  <c r="B130" i="17"/>
  <c r="A128" i="18"/>
  <c r="B131" i="17"/>
  <c r="A129" i="18"/>
  <c r="E129" i="18"/>
  <c r="B132" i="17"/>
  <c r="B217" i="17"/>
  <c r="B133" i="17"/>
  <c r="B218" i="17"/>
  <c r="B134" i="17"/>
  <c r="B219" i="17"/>
  <c r="B135" i="17"/>
  <c r="J135" i="17"/>
  <c r="B136" i="17"/>
  <c r="E136" i="17"/>
  <c r="B137" i="17"/>
  <c r="E137" i="17"/>
  <c r="B138" i="17"/>
  <c r="A136" i="18"/>
  <c r="B139" i="17"/>
  <c r="A137" i="18"/>
  <c r="E137" i="18"/>
  <c r="B140" i="17"/>
  <c r="B225" i="17"/>
  <c r="B141" i="17"/>
  <c r="B226" i="17"/>
  <c r="B142" i="17"/>
  <c r="B227" i="17"/>
  <c r="B143" i="17"/>
  <c r="J143" i="17"/>
  <c r="B144" i="17"/>
  <c r="E144" i="17"/>
  <c r="B145" i="17"/>
  <c r="E145" i="17"/>
  <c r="B146" i="17"/>
  <c r="A144" i="18"/>
  <c r="B147" i="17"/>
  <c r="A145" i="18"/>
  <c r="E145" i="18"/>
  <c r="B148" i="17"/>
  <c r="B233" i="17"/>
  <c r="B149" i="17"/>
  <c r="B234" i="17"/>
  <c r="B150" i="17"/>
  <c r="B235" i="17"/>
  <c r="B151" i="17"/>
  <c r="J151" i="17"/>
  <c r="B152" i="17"/>
  <c r="E152" i="17"/>
  <c r="B153" i="17"/>
  <c r="E153" i="17"/>
  <c r="B154" i="17"/>
  <c r="A152" i="18"/>
  <c r="B155" i="17"/>
  <c r="A153" i="18"/>
  <c r="E153" i="18"/>
  <c r="B156" i="17"/>
  <c r="B241" i="17"/>
  <c r="B157" i="17"/>
  <c r="B242" i="17"/>
  <c r="B158" i="17"/>
  <c r="B243" i="17"/>
  <c r="B159" i="17"/>
  <c r="J159" i="17"/>
  <c r="B160" i="17"/>
  <c r="E160" i="17"/>
  <c r="B161" i="17"/>
  <c r="E161" i="17"/>
  <c r="B162" i="17"/>
  <c r="A160" i="18"/>
  <c r="B163" i="17"/>
  <c r="A161" i="18"/>
  <c r="E161" i="18"/>
  <c r="B164" i="17"/>
  <c r="A162" i="18"/>
  <c r="E162" i="18"/>
  <c r="B165" i="17"/>
  <c r="A163" i="18"/>
  <c r="B166" i="17"/>
  <c r="A164" i="18"/>
  <c r="B167" i="17"/>
  <c r="J167" i="17"/>
  <c r="B168" i="17"/>
  <c r="E168" i="17"/>
  <c r="B169" i="17"/>
  <c r="E169" i="17"/>
  <c r="B170" i="17"/>
  <c r="A168" i="18"/>
  <c r="B171" i="17"/>
  <c r="A169" i="18"/>
  <c r="E169" i="18"/>
  <c r="B172" i="17"/>
  <c r="B257" i="17"/>
  <c r="B175" i="17"/>
  <c r="B260" i="17"/>
  <c r="B178" i="17"/>
  <c r="B263" i="17"/>
  <c r="B179" i="17"/>
  <c r="B264" i="17"/>
  <c r="B183" i="17"/>
  <c r="B268" i="17"/>
  <c r="B186" i="17"/>
  <c r="B271" i="17"/>
  <c r="B187" i="17"/>
  <c r="B272" i="17"/>
  <c r="B191" i="17"/>
  <c r="B276" i="17"/>
  <c r="B194" i="17"/>
  <c r="B279" i="17"/>
  <c r="B195" i="17"/>
  <c r="B280" i="17"/>
  <c r="B199" i="17"/>
  <c r="B284" i="17"/>
  <c r="B202" i="17"/>
  <c r="B287" i="17"/>
  <c r="B203" i="17"/>
  <c r="B288" i="17"/>
  <c r="B207" i="17"/>
  <c r="B292" i="17"/>
  <c r="B210" i="17"/>
  <c r="B295" i="17"/>
  <c r="B211" i="17"/>
  <c r="B296" i="17"/>
  <c r="B87" i="17"/>
  <c r="A86" i="18"/>
  <c r="G139" i="7"/>
  <c r="G3" i="7"/>
  <c r="G140" i="7"/>
  <c r="G4" i="7"/>
  <c r="G141" i="7"/>
  <c r="G5" i="7"/>
  <c r="G142" i="7"/>
  <c r="G6" i="7"/>
  <c r="G143" i="7"/>
  <c r="G7" i="7"/>
  <c r="G144" i="7"/>
  <c r="G8" i="7"/>
  <c r="G145" i="7"/>
  <c r="G9" i="7"/>
  <c r="G146" i="7"/>
  <c r="G10" i="7"/>
  <c r="G147" i="7"/>
  <c r="G11" i="7"/>
  <c r="G36" i="7"/>
  <c r="G76" i="7"/>
  <c r="G107" i="7"/>
  <c r="G148" i="7"/>
  <c r="G173" i="7"/>
  <c r="G213" i="7"/>
  <c r="G379" i="7"/>
  <c r="G470" i="7"/>
  <c r="G573" i="7"/>
  <c r="G647" i="7"/>
  <c r="G12" i="7"/>
  <c r="G149" i="7"/>
  <c r="G13" i="7"/>
  <c r="G150" i="7"/>
  <c r="G14" i="7"/>
  <c r="G151" i="7"/>
  <c r="G15" i="7"/>
  <c r="G152" i="7"/>
  <c r="G16" i="7"/>
  <c r="G153" i="7"/>
  <c r="G17" i="7"/>
  <c r="G154" i="7"/>
  <c r="G18" i="7"/>
  <c r="G155" i="7"/>
  <c r="G19" i="7"/>
  <c r="G156" i="7"/>
  <c r="G20" i="7"/>
  <c r="G157" i="7"/>
  <c r="G21" i="7"/>
  <c r="G158" i="7"/>
  <c r="G22" i="7"/>
  <c r="G159" i="7"/>
  <c r="G23" i="7"/>
  <c r="G160" i="7"/>
  <c r="G24" i="7"/>
  <c r="G161" i="7"/>
  <c r="G25" i="7"/>
  <c r="G162" i="7"/>
  <c r="G26" i="7"/>
  <c r="G163" i="7"/>
  <c r="G27" i="7"/>
  <c r="G164" i="7"/>
  <c r="G28" i="7"/>
  <c r="G165" i="7"/>
  <c r="G29" i="7"/>
  <c r="G166" i="7"/>
  <c r="G30" i="7"/>
  <c r="G167" i="7"/>
  <c r="G31" i="7"/>
  <c r="G168" i="7"/>
  <c r="G32" i="7"/>
  <c r="G169" i="7"/>
  <c r="G33" i="7"/>
  <c r="G170" i="7"/>
  <c r="G557" i="7"/>
  <c r="G34" i="7"/>
  <c r="G49" i="7"/>
  <c r="G171" i="7"/>
  <c r="G186" i="7"/>
  <c r="G35" i="7"/>
  <c r="G172" i="7"/>
  <c r="G37" i="7"/>
  <c r="G174" i="7"/>
  <c r="G38" i="7"/>
  <c r="G175" i="7"/>
  <c r="G39" i="7"/>
  <c r="G176" i="7"/>
  <c r="G40" i="7"/>
  <c r="G177" i="7"/>
  <c r="G41" i="7"/>
  <c r="G178" i="7"/>
  <c r="G42" i="7"/>
  <c r="G179" i="7"/>
  <c r="G43" i="7"/>
  <c r="G180" i="7"/>
  <c r="G44" i="7"/>
  <c r="G181" i="7"/>
  <c r="G45" i="7"/>
  <c r="G182" i="7"/>
  <c r="G46" i="7"/>
  <c r="G58" i="7"/>
  <c r="G183" i="7"/>
  <c r="G195" i="7"/>
  <c r="G47" i="7"/>
  <c r="G184" i="7"/>
  <c r="G48" i="7"/>
  <c r="G185" i="7"/>
  <c r="G50" i="7"/>
  <c r="G187" i="7"/>
  <c r="G51" i="7"/>
  <c r="G188" i="7"/>
  <c r="G52" i="7"/>
  <c r="G189" i="7"/>
  <c r="G53" i="7"/>
  <c r="G190" i="7"/>
  <c r="G54" i="7"/>
  <c r="G191" i="7"/>
  <c r="G55" i="7"/>
  <c r="G192" i="7"/>
  <c r="G56" i="7"/>
  <c r="G193" i="7"/>
  <c r="G57" i="7"/>
  <c r="G194" i="7"/>
  <c r="G59" i="7"/>
  <c r="G91" i="7"/>
  <c r="G196" i="7"/>
  <c r="G273" i="7"/>
  <c r="G592" i="7"/>
  <c r="G60" i="7"/>
  <c r="G92" i="7"/>
  <c r="G197" i="7"/>
  <c r="G270" i="7"/>
  <c r="G61" i="7"/>
  <c r="G93" i="7"/>
  <c r="G198" i="7"/>
  <c r="G62" i="7"/>
  <c r="G199" i="7"/>
  <c r="G63" i="7"/>
  <c r="G94" i="7"/>
  <c r="G200" i="7"/>
  <c r="G64" i="7"/>
  <c r="G95" i="7"/>
  <c r="G201" i="7"/>
  <c r="G65" i="7"/>
  <c r="G96" i="7"/>
  <c r="G202" i="7"/>
  <c r="G66" i="7"/>
  <c r="G97" i="7"/>
  <c r="G203" i="7"/>
  <c r="G67" i="7"/>
  <c r="G98" i="7"/>
  <c r="G204" i="7"/>
  <c r="G68" i="7"/>
  <c r="G99" i="7"/>
  <c r="G205" i="7"/>
  <c r="G69" i="7"/>
  <c r="G100" i="7"/>
  <c r="G206" i="7"/>
  <c r="G485" i="7"/>
  <c r="G588" i="7"/>
  <c r="G664" i="7"/>
  <c r="G70" i="7"/>
  <c r="G101" i="7"/>
  <c r="G207" i="7"/>
  <c r="G397" i="7"/>
  <c r="G487" i="7"/>
  <c r="G590" i="7"/>
  <c r="G652" i="7"/>
  <c r="G71" i="7"/>
  <c r="G102" i="7"/>
  <c r="G208" i="7"/>
  <c r="G399" i="7"/>
  <c r="G72" i="7"/>
  <c r="G103" i="7"/>
  <c r="G209" i="7"/>
  <c r="G73" i="7"/>
  <c r="G104" i="7"/>
  <c r="G210" i="7"/>
  <c r="G402" i="7"/>
  <c r="G74" i="7"/>
  <c r="G105" i="7"/>
  <c r="G211" i="7"/>
  <c r="G75" i="7"/>
  <c r="G106" i="7"/>
  <c r="G212" i="7"/>
  <c r="G77" i="7"/>
  <c r="G108" i="7"/>
  <c r="G214" i="7"/>
  <c r="G78" i="7"/>
  <c r="G109" i="7"/>
  <c r="G215" i="7"/>
  <c r="G472" i="7"/>
  <c r="G575" i="7"/>
  <c r="G649" i="7"/>
  <c r="G79" i="7"/>
  <c r="G110" i="7"/>
  <c r="G216" i="7"/>
  <c r="G473" i="7"/>
  <c r="G576" i="7"/>
  <c r="G650" i="7"/>
  <c r="G80" i="7"/>
  <c r="G111" i="7"/>
  <c r="G217" i="7"/>
  <c r="G474" i="7"/>
  <c r="G577" i="7"/>
  <c r="G651" i="7"/>
  <c r="G81" i="7"/>
  <c r="G112" i="7"/>
  <c r="G218" i="7"/>
  <c r="G82" i="7"/>
  <c r="G113" i="7"/>
  <c r="G219" i="7"/>
  <c r="G83" i="7"/>
  <c r="G114" i="7"/>
  <c r="G220" i="7"/>
  <c r="G383" i="7"/>
  <c r="G477" i="7"/>
  <c r="G579" i="7"/>
  <c r="G653" i="7"/>
  <c r="G84" i="7"/>
  <c r="G115" i="7"/>
  <c r="G221" i="7"/>
  <c r="G85" i="7"/>
  <c r="G116" i="7"/>
  <c r="G222" i="7"/>
  <c r="G478" i="7"/>
  <c r="G580" i="7"/>
  <c r="G656" i="7"/>
  <c r="G86" i="7"/>
  <c r="G117" i="7"/>
  <c r="G223" i="7"/>
  <c r="G385" i="7"/>
  <c r="G479" i="7"/>
  <c r="G581" i="7"/>
  <c r="G657" i="7"/>
  <c r="G87" i="7"/>
  <c r="G118" i="7"/>
  <c r="G224" i="7"/>
  <c r="G386" i="7"/>
  <c r="G480" i="7"/>
  <c r="G582" i="7"/>
  <c r="G658" i="7"/>
  <c r="G88" i="7"/>
  <c r="G119" i="7"/>
  <c r="G225" i="7"/>
  <c r="G403" i="7"/>
  <c r="G491" i="7"/>
  <c r="G89" i="7"/>
  <c r="G120" i="7"/>
  <c r="G226" i="7"/>
  <c r="G90" i="7"/>
  <c r="G121" i="7"/>
  <c r="G227" i="7"/>
  <c r="G409" i="7"/>
  <c r="G494" i="7"/>
  <c r="G122" i="7"/>
  <c r="G228" i="7"/>
  <c r="G123" i="7"/>
  <c r="G229" i="7"/>
  <c r="G124" i="7"/>
  <c r="G230" i="7"/>
  <c r="G125" i="7"/>
  <c r="G231" i="7"/>
  <c r="G126" i="7"/>
  <c r="G232" i="7"/>
  <c r="G127" i="7"/>
  <c r="G233" i="7"/>
  <c r="G128" i="7"/>
  <c r="G234" i="7"/>
  <c r="G129" i="7"/>
  <c r="G235" i="7"/>
  <c r="G130" i="7"/>
  <c r="G236" i="7"/>
  <c r="G131" i="7"/>
  <c r="G237" i="7"/>
  <c r="G132" i="7"/>
  <c r="G238" i="7"/>
  <c r="G133" i="7"/>
  <c r="G239" i="7"/>
  <c r="G134" i="7"/>
  <c r="G240" i="7"/>
  <c r="G135" i="7"/>
  <c r="G241" i="7"/>
  <c r="G136" i="7"/>
  <c r="G242" i="7"/>
  <c r="G137" i="7"/>
  <c r="G243" i="7"/>
  <c r="G306" i="7"/>
  <c r="G429" i="7"/>
  <c r="G565" i="7"/>
  <c r="G138" i="7"/>
  <c r="G244" i="7"/>
  <c r="G245" i="7"/>
  <c r="G246" i="7"/>
  <c r="G247" i="7"/>
  <c r="G248" i="7"/>
  <c r="G249" i="7"/>
  <c r="G250" i="7"/>
  <c r="G251" i="7"/>
  <c r="G447" i="7"/>
  <c r="G252" i="7"/>
  <c r="G253" i="7"/>
  <c r="G254" i="7"/>
  <c r="G453" i="7"/>
  <c r="G255" i="7"/>
  <c r="G311" i="7"/>
  <c r="G256" i="7"/>
  <c r="G416" i="7"/>
  <c r="G257" i="7"/>
  <c r="G293" i="7"/>
  <c r="G354" i="7"/>
  <c r="G598" i="7"/>
  <c r="G258" i="7"/>
  <c r="G259" i="7"/>
  <c r="G260" i="7"/>
  <c r="G261" i="7"/>
  <c r="G262" i="7"/>
  <c r="G263" i="7"/>
  <c r="G264" i="7"/>
  <c r="G265" i="7"/>
  <c r="G266" i="7"/>
  <c r="G267" i="7"/>
  <c r="G268" i="7"/>
  <c r="G269" i="7"/>
  <c r="G271" i="7"/>
  <c r="G362" i="7"/>
  <c r="G449" i="7"/>
  <c r="G272" i="7"/>
  <c r="G274" i="7"/>
  <c r="G506" i="7"/>
  <c r="G275" i="7"/>
  <c r="G507" i="7"/>
  <c r="G276" i="7"/>
  <c r="G277" i="7"/>
  <c r="G312" i="7"/>
  <c r="G278" i="7"/>
  <c r="G279" i="7"/>
  <c r="G280" i="7"/>
  <c r="G281" i="7"/>
  <c r="G282" i="7"/>
  <c r="G283" i="7"/>
  <c r="G284" i="7"/>
  <c r="G285" i="7"/>
  <c r="G286" i="7"/>
  <c r="G431" i="7"/>
  <c r="G287" i="7"/>
  <c r="G288" i="7"/>
  <c r="G289" i="7"/>
  <c r="G290" i="7"/>
  <c r="G558" i="7"/>
  <c r="G291" i="7"/>
  <c r="G292" i="7"/>
  <c r="G294" i="7"/>
  <c r="G450" i="7"/>
  <c r="G295" i="7"/>
  <c r="G296" i="7"/>
  <c r="G297" i="7"/>
  <c r="G298" i="7"/>
  <c r="G299" i="7"/>
  <c r="G300" i="7"/>
  <c r="G301" i="7"/>
  <c r="G302" i="7"/>
  <c r="G303" i="7"/>
  <c r="G304" i="7"/>
  <c r="G305" i="7"/>
  <c r="G307" i="7"/>
  <c r="G527" i="7"/>
  <c r="G308" i="7"/>
  <c r="G309" i="7"/>
  <c r="G310"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63" i="7"/>
  <c r="G365" i="7"/>
  <c r="G343" i="7"/>
  <c r="G344" i="7"/>
  <c r="G345" i="7"/>
  <c r="G346" i="7"/>
  <c r="G347" i="7"/>
  <c r="G348" i="7"/>
  <c r="G349" i="7"/>
  <c r="G350" i="7"/>
  <c r="G351" i="7"/>
  <c r="G352" i="7"/>
  <c r="G353" i="7"/>
  <c r="G355" i="7"/>
  <c r="G599" i="7"/>
  <c r="G356" i="7"/>
  <c r="G357" i="7"/>
  <c r="G626" i="7"/>
  <c r="G358" i="7"/>
  <c r="G359" i="7"/>
  <c r="G360" i="7"/>
  <c r="G361" i="7"/>
  <c r="G364" i="7"/>
  <c r="G451" i="7"/>
  <c r="G366" i="7"/>
  <c r="G367" i="7"/>
  <c r="G368" i="7"/>
  <c r="G369" i="7"/>
  <c r="G370" i="7"/>
  <c r="G537" i="7"/>
  <c r="G371" i="7"/>
  <c r="G372" i="7"/>
  <c r="G373" i="7"/>
  <c r="G551" i="7"/>
  <c r="G374" i="7"/>
  <c r="G375" i="7"/>
  <c r="G376" i="7"/>
  <c r="G377" i="7"/>
  <c r="G571" i="7"/>
  <c r="G378" i="7"/>
  <c r="G469" i="7"/>
  <c r="G572" i="7"/>
  <c r="G645" i="7"/>
  <c r="G380" i="7"/>
  <c r="G381" i="7"/>
  <c r="G382" i="7"/>
  <c r="G384" i="7"/>
  <c r="G387" i="7"/>
  <c r="G660" i="7"/>
  <c r="G388" i="7"/>
  <c r="G661" i="7"/>
  <c r="G389" i="7"/>
  <c r="G662" i="7"/>
  <c r="G390" i="7"/>
  <c r="G583" i="7"/>
  <c r="G391" i="7"/>
  <c r="G392" i="7"/>
  <c r="G393" i="7"/>
  <c r="G394" i="7"/>
  <c r="G395" i="7"/>
  <c r="G396" i="7"/>
  <c r="G486" i="7"/>
  <c r="G589" i="7"/>
  <c r="G665" i="7"/>
  <c r="G398" i="7"/>
  <c r="G488" i="7"/>
  <c r="G591" i="7"/>
  <c r="G666" i="7"/>
  <c r="G400" i="7"/>
  <c r="G401" i="7"/>
  <c r="G404" i="7"/>
  <c r="G405" i="7"/>
  <c r="G406" i="7"/>
  <c r="G407" i="7"/>
  <c r="G408" i="7"/>
  <c r="G410" i="7"/>
  <c r="G411" i="7"/>
  <c r="G412" i="7"/>
  <c r="G413" i="7"/>
  <c r="G414" i="7"/>
  <c r="G415" i="7"/>
  <c r="G417" i="7"/>
  <c r="G418" i="7"/>
  <c r="G419" i="7"/>
  <c r="G420" i="7"/>
  <c r="G421" i="7"/>
  <c r="G422" i="7"/>
  <c r="G423" i="7"/>
  <c r="G424" i="7"/>
  <c r="G425" i="7"/>
  <c r="G426" i="7"/>
  <c r="G427" i="7"/>
  <c r="G428" i="7"/>
  <c r="G430" i="7"/>
  <c r="G432" i="7"/>
  <c r="G433" i="7"/>
  <c r="G434" i="7"/>
  <c r="G435" i="7"/>
  <c r="G436" i="7"/>
  <c r="G437" i="7"/>
  <c r="G438" i="7"/>
  <c r="G439" i="7"/>
  <c r="G440" i="7"/>
  <c r="G441" i="7"/>
  <c r="G442" i="7"/>
  <c r="G443" i="7"/>
  <c r="G444" i="7"/>
  <c r="G445" i="7"/>
  <c r="G446" i="7"/>
  <c r="G448" i="7"/>
  <c r="G452" i="7"/>
  <c r="G454" i="7"/>
  <c r="G455" i="7"/>
  <c r="G456" i="7"/>
  <c r="G457" i="7"/>
  <c r="G458" i="7"/>
  <c r="G459" i="7"/>
  <c r="G460" i="7"/>
  <c r="G461" i="7"/>
  <c r="G462" i="7"/>
  <c r="G463" i="7"/>
  <c r="G464" i="7"/>
  <c r="G465" i="7"/>
  <c r="G466" i="7"/>
  <c r="G467" i="7"/>
  <c r="G468" i="7"/>
  <c r="G471" i="7"/>
  <c r="G475" i="7"/>
  <c r="G476" i="7"/>
  <c r="G578" i="7"/>
  <c r="G481" i="7"/>
  <c r="G482" i="7"/>
  <c r="G483" i="7"/>
  <c r="G484" i="7"/>
  <c r="G489" i="7"/>
  <c r="G490" i="7"/>
  <c r="G492" i="7"/>
  <c r="G493" i="7"/>
  <c r="G495" i="7"/>
  <c r="G496" i="7"/>
  <c r="G497" i="7"/>
  <c r="G498" i="7"/>
  <c r="G499" i="7"/>
  <c r="G500" i="7"/>
  <c r="G501" i="7"/>
  <c r="G502" i="7"/>
  <c r="G503" i="7"/>
  <c r="G504" i="7"/>
  <c r="G505" i="7"/>
  <c r="G508" i="7"/>
  <c r="G509" i="7"/>
  <c r="G510" i="7"/>
  <c r="G511" i="7"/>
  <c r="G512" i="7"/>
  <c r="G513" i="7"/>
  <c r="G514" i="7"/>
  <c r="G515" i="7"/>
  <c r="G516" i="7"/>
  <c r="G517" i="7"/>
  <c r="G518" i="7"/>
  <c r="G519" i="7"/>
  <c r="G520" i="7"/>
  <c r="G521" i="7"/>
  <c r="G522" i="7"/>
  <c r="G523" i="7"/>
  <c r="G524" i="7"/>
  <c r="G525" i="7"/>
  <c r="G526" i="7"/>
  <c r="G528" i="7"/>
  <c r="G529" i="7"/>
  <c r="G530" i="7"/>
  <c r="G531" i="7"/>
  <c r="G532" i="7"/>
  <c r="G618" i="7"/>
  <c r="G533" i="7"/>
  <c r="G534" i="7"/>
  <c r="G535" i="7"/>
  <c r="G622" i="7"/>
  <c r="G536" i="7"/>
  <c r="G538" i="7"/>
  <c r="G539" i="7"/>
  <c r="G540" i="7"/>
  <c r="G541" i="7"/>
  <c r="G542" i="7"/>
  <c r="G543" i="7"/>
  <c r="G544" i="7"/>
  <c r="G545" i="7"/>
  <c r="G546" i="7"/>
  <c r="G547" i="7"/>
  <c r="G548" i="7"/>
  <c r="G549" i="7"/>
  <c r="G550" i="7"/>
  <c r="G552" i="7"/>
  <c r="G553" i="7"/>
  <c r="G554" i="7"/>
  <c r="G555" i="7"/>
  <c r="G556" i="7"/>
  <c r="G559" i="7"/>
  <c r="G560" i="7"/>
  <c r="G561" i="7"/>
  <c r="G562" i="7"/>
  <c r="G563" i="7"/>
  <c r="G564" i="7"/>
  <c r="G566" i="7"/>
  <c r="G567" i="7"/>
  <c r="G568" i="7"/>
  <c r="G569" i="7"/>
  <c r="G570" i="7"/>
  <c r="G574" i="7"/>
  <c r="G584" i="7"/>
  <c r="G585" i="7"/>
  <c r="G586" i="7"/>
  <c r="G587" i="7"/>
  <c r="G593" i="7"/>
  <c r="G594" i="7"/>
  <c r="G595" i="7"/>
  <c r="G596" i="7"/>
  <c r="G597" i="7"/>
  <c r="G607" i="7"/>
  <c r="G608" i="7"/>
  <c r="G609" i="7"/>
  <c r="G610" i="7"/>
  <c r="G611" i="7"/>
  <c r="G612" i="7"/>
  <c r="G613" i="7"/>
  <c r="G614" i="7"/>
  <c r="G615" i="7"/>
  <c r="G600" i="7"/>
  <c r="G601" i="7"/>
  <c r="G602" i="7"/>
  <c r="G603" i="7"/>
  <c r="G616" i="7"/>
  <c r="G617" i="7"/>
  <c r="G619" i="7"/>
  <c r="G620" i="7"/>
  <c r="G621" i="7"/>
  <c r="G623" i="7"/>
  <c r="G624" i="7"/>
  <c r="G625" i="7"/>
  <c r="G627" i="7"/>
  <c r="G628" i="7"/>
  <c r="G629" i="7"/>
  <c r="G630" i="7"/>
  <c r="G631" i="7"/>
  <c r="G632" i="7"/>
  <c r="G633" i="7"/>
  <c r="G634" i="7"/>
  <c r="G635" i="7"/>
  <c r="G636" i="7"/>
  <c r="G637" i="7"/>
  <c r="G638" i="7"/>
  <c r="G639" i="7"/>
  <c r="G640" i="7"/>
  <c r="G641" i="7"/>
  <c r="G642" i="7"/>
  <c r="G643" i="7"/>
  <c r="G644" i="7"/>
  <c r="G646" i="7"/>
  <c r="G648" i="7"/>
  <c r="G654" i="7"/>
  <c r="G655" i="7"/>
  <c r="G659" i="7"/>
  <c r="G663" i="7"/>
  <c r="G667" i="7"/>
  <c r="E139" i="7"/>
  <c r="E3" i="7"/>
  <c r="E140" i="7"/>
  <c r="E4" i="7"/>
  <c r="E141" i="7"/>
  <c r="E5" i="7"/>
  <c r="E142" i="7"/>
  <c r="E6" i="7"/>
  <c r="E143" i="7"/>
  <c r="E7" i="7"/>
  <c r="E144" i="7"/>
  <c r="E8" i="7"/>
  <c r="E145" i="7"/>
  <c r="E9" i="7"/>
  <c r="E146" i="7"/>
  <c r="E10" i="7"/>
  <c r="E147" i="7"/>
  <c r="E11" i="7"/>
  <c r="E36" i="7"/>
  <c r="E76" i="7"/>
  <c r="E107" i="7"/>
  <c r="E148" i="7"/>
  <c r="E173" i="7"/>
  <c r="E213" i="7"/>
  <c r="E379" i="7"/>
  <c r="E470" i="7"/>
  <c r="E573" i="7"/>
  <c r="E647" i="7"/>
  <c r="E12" i="7"/>
  <c r="E149" i="7"/>
  <c r="E13" i="7"/>
  <c r="E150" i="7"/>
  <c r="E14" i="7"/>
  <c r="E151" i="7"/>
  <c r="E15" i="7"/>
  <c r="E152" i="7"/>
  <c r="E16" i="7"/>
  <c r="E153" i="7"/>
  <c r="E17" i="7"/>
  <c r="E154" i="7"/>
  <c r="E18" i="7"/>
  <c r="E155" i="7"/>
  <c r="E19" i="7"/>
  <c r="E156" i="7"/>
  <c r="E20" i="7"/>
  <c r="E157" i="7"/>
  <c r="E21" i="7"/>
  <c r="E158" i="7"/>
  <c r="E22" i="7"/>
  <c r="E159" i="7"/>
  <c r="E23" i="7"/>
  <c r="E160" i="7"/>
  <c r="E24" i="7"/>
  <c r="E161" i="7"/>
  <c r="E25" i="7"/>
  <c r="E162" i="7"/>
  <c r="E26" i="7"/>
  <c r="E163" i="7"/>
  <c r="E27" i="7"/>
  <c r="E164" i="7"/>
  <c r="E28" i="7"/>
  <c r="E165" i="7"/>
  <c r="E29" i="7"/>
  <c r="E166" i="7"/>
  <c r="E30" i="7"/>
  <c r="E167" i="7"/>
  <c r="E31" i="7"/>
  <c r="E168" i="7"/>
  <c r="E32" i="7"/>
  <c r="E169" i="7"/>
  <c r="E33" i="7"/>
  <c r="E170" i="7"/>
  <c r="E557" i="7"/>
  <c r="E34" i="7"/>
  <c r="E49" i="7"/>
  <c r="E171" i="7"/>
  <c r="E186" i="7"/>
  <c r="E35" i="7"/>
  <c r="E172" i="7"/>
  <c r="E37" i="7"/>
  <c r="E174" i="7"/>
  <c r="E38" i="7"/>
  <c r="E175" i="7"/>
  <c r="E39" i="7"/>
  <c r="E176" i="7"/>
  <c r="E40" i="7"/>
  <c r="E177" i="7"/>
  <c r="E41" i="7"/>
  <c r="E178" i="7"/>
  <c r="E42" i="7"/>
  <c r="E179" i="7"/>
  <c r="E43" i="7"/>
  <c r="E180" i="7"/>
  <c r="E44" i="7"/>
  <c r="E181" i="7"/>
  <c r="E45" i="7"/>
  <c r="E182" i="7"/>
  <c r="E46" i="7"/>
  <c r="E58" i="7"/>
  <c r="E183" i="7"/>
  <c r="E195" i="7"/>
  <c r="E47" i="7"/>
  <c r="E184" i="7"/>
  <c r="E48" i="7"/>
  <c r="E185" i="7"/>
  <c r="E50" i="7"/>
  <c r="E187" i="7"/>
  <c r="E51" i="7"/>
  <c r="E188" i="7"/>
  <c r="E52" i="7"/>
  <c r="E189" i="7"/>
  <c r="E53" i="7"/>
  <c r="E190" i="7"/>
  <c r="E54" i="7"/>
  <c r="E191" i="7"/>
  <c r="E55" i="7"/>
  <c r="E192" i="7"/>
  <c r="E56" i="7"/>
  <c r="E193" i="7"/>
  <c r="E57" i="7"/>
  <c r="E194" i="7"/>
  <c r="E59" i="7"/>
  <c r="E91" i="7"/>
  <c r="E196" i="7"/>
  <c r="E273" i="7"/>
  <c r="E592" i="7"/>
  <c r="E60" i="7"/>
  <c r="E92" i="7"/>
  <c r="E197" i="7"/>
  <c r="E270" i="7"/>
  <c r="E61" i="7"/>
  <c r="E93" i="7"/>
  <c r="E198" i="7"/>
  <c r="E62" i="7"/>
  <c r="E199" i="7"/>
  <c r="E63" i="7"/>
  <c r="E94" i="7"/>
  <c r="E200" i="7"/>
  <c r="E64" i="7"/>
  <c r="E95" i="7"/>
  <c r="E201" i="7"/>
  <c r="E65" i="7"/>
  <c r="E96" i="7"/>
  <c r="E202" i="7"/>
  <c r="E66" i="7"/>
  <c r="E97" i="7"/>
  <c r="E203" i="7"/>
  <c r="E67" i="7"/>
  <c r="E98" i="7"/>
  <c r="E204" i="7"/>
  <c r="E68" i="7"/>
  <c r="E99" i="7"/>
  <c r="E205" i="7"/>
  <c r="E69" i="7"/>
  <c r="E100" i="7"/>
  <c r="E206" i="7"/>
  <c r="E485" i="7"/>
  <c r="E588" i="7"/>
  <c r="E664" i="7"/>
  <c r="E70" i="7"/>
  <c r="E101" i="7"/>
  <c r="E207" i="7"/>
  <c r="E397" i="7"/>
  <c r="E487" i="7"/>
  <c r="E590" i="7"/>
  <c r="E652" i="7"/>
  <c r="E71" i="7"/>
  <c r="E102" i="7"/>
  <c r="E208" i="7"/>
  <c r="E399" i="7"/>
  <c r="E72" i="7"/>
  <c r="E103" i="7"/>
  <c r="E209" i="7"/>
  <c r="E73" i="7"/>
  <c r="E104" i="7"/>
  <c r="E210" i="7"/>
  <c r="E402" i="7"/>
  <c r="E74" i="7"/>
  <c r="E105" i="7"/>
  <c r="E211" i="7"/>
  <c r="E75" i="7"/>
  <c r="E106" i="7"/>
  <c r="E212" i="7"/>
  <c r="E77" i="7"/>
  <c r="E108" i="7"/>
  <c r="E214" i="7"/>
  <c r="E78" i="7"/>
  <c r="E109" i="7"/>
  <c r="E215" i="7"/>
  <c r="E472" i="7"/>
  <c r="E575" i="7"/>
  <c r="E649" i="7"/>
  <c r="E79" i="7"/>
  <c r="E110" i="7"/>
  <c r="E216" i="7"/>
  <c r="E473" i="7"/>
  <c r="E576" i="7"/>
  <c r="E650" i="7"/>
  <c r="E80" i="7"/>
  <c r="E111" i="7"/>
  <c r="E217" i="7"/>
  <c r="E474" i="7"/>
  <c r="E577" i="7"/>
  <c r="E651" i="7"/>
  <c r="E81" i="7"/>
  <c r="E112" i="7"/>
  <c r="E218" i="7"/>
  <c r="E82" i="7"/>
  <c r="E113" i="7"/>
  <c r="E219" i="7"/>
  <c r="E83" i="7"/>
  <c r="E114" i="7"/>
  <c r="E220" i="7"/>
  <c r="E383" i="7"/>
  <c r="E477" i="7"/>
  <c r="E579" i="7"/>
  <c r="E653" i="7"/>
  <c r="E84" i="7"/>
  <c r="E115" i="7"/>
  <c r="E221" i="7"/>
  <c r="E85" i="7"/>
  <c r="E116" i="7"/>
  <c r="E222" i="7"/>
  <c r="E478" i="7"/>
  <c r="E580" i="7"/>
  <c r="E656" i="7"/>
  <c r="E86" i="7"/>
  <c r="E117" i="7"/>
  <c r="E223" i="7"/>
  <c r="E385" i="7"/>
  <c r="E479" i="7"/>
  <c r="E581" i="7"/>
  <c r="E657" i="7"/>
  <c r="E87" i="7"/>
  <c r="E118" i="7"/>
  <c r="E224" i="7"/>
  <c r="E386" i="7"/>
  <c r="E480" i="7"/>
  <c r="E582" i="7"/>
  <c r="E658" i="7"/>
  <c r="E88" i="7"/>
  <c r="E119" i="7"/>
  <c r="E225" i="7"/>
  <c r="E403" i="7"/>
  <c r="E491" i="7"/>
  <c r="E89" i="7"/>
  <c r="E120" i="7"/>
  <c r="E226" i="7"/>
  <c r="E90" i="7"/>
  <c r="E121" i="7"/>
  <c r="E227" i="7"/>
  <c r="E409" i="7"/>
  <c r="E494" i="7"/>
  <c r="E122" i="7"/>
  <c r="E228" i="7"/>
  <c r="E123" i="7"/>
  <c r="E229" i="7"/>
  <c r="E124" i="7"/>
  <c r="E230" i="7"/>
  <c r="E125" i="7"/>
  <c r="E231" i="7"/>
  <c r="E126" i="7"/>
  <c r="E232" i="7"/>
  <c r="E127" i="7"/>
  <c r="E233" i="7"/>
  <c r="E128" i="7"/>
  <c r="E234" i="7"/>
  <c r="E129" i="7"/>
  <c r="E235" i="7"/>
  <c r="E130" i="7"/>
  <c r="E236" i="7"/>
  <c r="E131" i="7"/>
  <c r="E237" i="7"/>
  <c r="E132" i="7"/>
  <c r="E238" i="7"/>
  <c r="E133" i="7"/>
  <c r="E239" i="7"/>
  <c r="E134" i="7"/>
  <c r="E240" i="7"/>
  <c r="E135" i="7"/>
  <c r="E241" i="7"/>
  <c r="E136" i="7"/>
  <c r="E242" i="7"/>
  <c r="E137" i="7"/>
  <c r="E243" i="7"/>
  <c r="E306" i="7"/>
  <c r="E429" i="7"/>
  <c r="E565" i="7"/>
  <c r="E138" i="7"/>
  <c r="E244" i="7"/>
  <c r="E245" i="7"/>
  <c r="E246" i="7"/>
  <c r="E247" i="7"/>
  <c r="E248" i="7"/>
  <c r="E249" i="7"/>
  <c r="E250" i="7"/>
  <c r="E251" i="7"/>
  <c r="E447" i="7"/>
  <c r="E252" i="7"/>
  <c r="E253" i="7"/>
  <c r="E254" i="7"/>
  <c r="E453" i="7"/>
  <c r="E255" i="7"/>
  <c r="E311" i="7"/>
  <c r="E256" i="7"/>
  <c r="E416" i="7"/>
  <c r="E257" i="7"/>
  <c r="E293" i="7"/>
  <c r="E354" i="7"/>
  <c r="E598" i="7"/>
  <c r="E258" i="7"/>
  <c r="E259" i="7"/>
  <c r="E260" i="7"/>
  <c r="E261" i="7"/>
  <c r="E262" i="7"/>
  <c r="E263" i="7"/>
  <c r="E264" i="7"/>
  <c r="E265" i="7"/>
  <c r="E266" i="7"/>
  <c r="E267" i="7"/>
  <c r="E268" i="7"/>
  <c r="E269" i="7"/>
  <c r="E271" i="7"/>
  <c r="E362" i="7"/>
  <c r="E449" i="7"/>
  <c r="E272" i="7"/>
  <c r="E274" i="7"/>
  <c r="E506" i="7"/>
  <c r="E275" i="7"/>
  <c r="E507" i="7"/>
  <c r="E276" i="7"/>
  <c r="E277" i="7"/>
  <c r="E312" i="7"/>
  <c r="E278" i="7"/>
  <c r="E279" i="7"/>
  <c r="E280" i="7"/>
  <c r="E281" i="7"/>
  <c r="E282" i="7"/>
  <c r="E283" i="7"/>
  <c r="E284" i="7"/>
  <c r="E285" i="7"/>
  <c r="E286" i="7"/>
  <c r="E431" i="7"/>
  <c r="E287" i="7"/>
  <c r="E288" i="7"/>
  <c r="E289" i="7"/>
  <c r="E290" i="7"/>
  <c r="E558" i="7"/>
  <c r="E291" i="7"/>
  <c r="E292" i="7"/>
  <c r="E294" i="7"/>
  <c r="E450" i="7"/>
  <c r="E295" i="7"/>
  <c r="E296" i="7"/>
  <c r="E297" i="7"/>
  <c r="E298" i="7"/>
  <c r="E299" i="7"/>
  <c r="E300" i="7"/>
  <c r="E301" i="7"/>
  <c r="E302" i="7"/>
  <c r="E303" i="7"/>
  <c r="E304" i="7"/>
  <c r="E305" i="7"/>
  <c r="E307" i="7"/>
  <c r="E527" i="7"/>
  <c r="E308" i="7"/>
  <c r="E309" i="7"/>
  <c r="E310"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63" i="7"/>
  <c r="E365" i="7"/>
  <c r="E343" i="7"/>
  <c r="E344" i="7"/>
  <c r="E345" i="7"/>
  <c r="E346" i="7"/>
  <c r="E347" i="7"/>
  <c r="E348" i="7"/>
  <c r="E349" i="7"/>
  <c r="E350" i="7"/>
  <c r="E351" i="7"/>
  <c r="E352" i="7"/>
  <c r="E353" i="7"/>
  <c r="E355" i="7"/>
  <c r="E599" i="7"/>
  <c r="E356" i="7"/>
  <c r="E357" i="7"/>
  <c r="E626" i="7"/>
  <c r="E358" i="7"/>
  <c r="E359" i="7"/>
  <c r="E360" i="7"/>
  <c r="E361" i="7"/>
  <c r="E364" i="7"/>
  <c r="E451" i="7"/>
  <c r="E366" i="7"/>
  <c r="E367" i="7"/>
  <c r="E368" i="7"/>
  <c r="E369" i="7"/>
  <c r="E370" i="7"/>
  <c r="E537" i="7"/>
  <c r="E371" i="7"/>
  <c r="E372" i="7"/>
  <c r="E373" i="7"/>
  <c r="E551" i="7"/>
  <c r="E374" i="7"/>
  <c r="E375" i="7"/>
  <c r="E376" i="7"/>
  <c r="E377" i="7"/>
  <c r="E571" i="7"/>
  <c r="E378" i="7"/>
  <c r="E469" i="7"/>
  <c r="E572" i="7"/>
  <c r="E645" i="7"/>
  <c r="E380" i="7"/>
  <c r="E381" i="7"/>
  <c r="E382" i="7"/>
  <c r="E384" i="7"/>
  <c r="E387" i="7"/>
  <c r="E660" i="7"/>
  <c r="E388" i="7"/>
  <c r="E661" i="7"/>
  <c r="E389" i="7"/>
  <c r="E662" i="7"/>
  <c r="E390" i="7"/>
  <c r="E583" i="7"/>
  <c r="E391" i="7"/>
  <c r="E392" i="7"/>
  <c r="E393" i="7"/>
  <c r="E394" i="7"/>
  <c r="E395" i="7"/>
  <c r="E396" i="7"/>
  <c r="E486" i="7"/>
  <c r="E589" i="7"/>
  <c r="E665" i="7"/>
  <c r="E398" i="7"/>
  <c r="E488" i="7"/>
  <c r="E591" i="7"/>
  <c r="E666" i="7"/>
  <c r="E400" i="7"/>
  <c r="E401" i="7"/>
  <c r="E404" i="7"/>
  <c r="E405" i="7"/>
  <c r="E406" i="7"/>
  <c r="E407" i="7"/>
  <c r="E408" i="7"/>
  <c r="E410" i="7"/>
  <c r="E411" i="7"/>
  <c r="E412" i="7"/>
  <c r="E413" i="7"/>
  <c r="E414" i="7"/>
  <c r="E415" i="7"/>
  <c r="E417" i="7"/>
  <c r="E418" i="7"/>
  <c r="E419" i="7"/>
  <c r="E420" i="7"/>
  <c r="E421" i="7"/>
  <c r="E422" i="7"/>
  <c r="E423" i="7"/>
  <c r="E424" i="7"/>
  <c r="E425" i="7"/>
  <c r="E426" i="7"/>
  <c r="E427" i="7"/>
  <c r="E428" i="7"/>
  <c r="E430" i="7"/>
  <c r="E432" i="7"/>
  <c r="E433" i="7"/>
  <c r="E434" i="7"/>
  <c r="E435" i="7"/>
  <c r="E436" i="7"/>
  <c r="E437" i="7"/>
  <c r="E438" i="7"/>
  <c r="E439" i="7"/>
  <c r="E440" i="7"/>
  <c r="E441" i="7"/>
  <c r="E442" i="7"/>
  <c r="E443" i="7"/>
  <c r="E444" i="7"/>
  <c r="E445" i="7"/>
  <c r="E446" i="7"/>
  <c r="E448" i="7"/>
  <c r="E452" i="7"/>
  <c r="E454" i="7"/>
  <c r="E455" i="7"/>
  <c r="E456" i="7"/>
  <c r="E457" i="7"/>
  <c r="E458" i="7"/>
  <c r="E459" i="7"/>
  <c r="E460" i="7"/>
  <c r="E461" i="7"/>
  <c r="E462" i="7"/>
  <c r="E463" i="7"/>
  <c r="E464" i="7"/>
  <c r="E465" i="7"/>
  <c r="E466" i="7"/>
  <c r="E467" i="7"/>
  <c r="E468" i="7"/>
  <c r="E471" i="7"/>
  <c r="E475" i="7"/>
  <c r="E476" i="7"/>
  <c r="E578" i="7"/>
  <c r="E481" i="7"/>
  <c r="E482" i="7"/>
  <c r="E483" i="7"/>
  <c r="E484" i="7"/>
  <c r="E489" i="7"/>
  <c r="E490" i="7"/>
  <c r="E492" i="7"/>
  <c r="E493" i="7"/>
  <c r="E495" i="7"/>
  <c r="E496" i="7"/>
  <c r="E497" i="7"/>
  <c r="E498" i="7"/>
  <c r="E499" i="7"/>
  <c r="E500" i="7"/>
  <c r="E501" i="7"/>
  <c r="E502" i="7"/>
  <c r="E503" i="7"/>
  <c r="E504" i="7"/>
  <c r="E505" i="7"/>
  <c r="E508" i="7"/>
  <c r="E509" i="7"/>
  <c r="E510" i="7"/>
  <c r="E511" i="7"/>
  <c r="E512" i="7"/>
  <c r="E513" i="7"/>
  <c r="E514" i="7"/>
  <c r="E515" i="7"/>
  <c r="E516" i="7"/>
  <c r="E517" i="7"/>
  <c r="E518" i="7"/>
  <c r="E519" i="7"/>
  <c r="E520" i="7"/>
  <c r="E521" i="7"/>
  <c r="E522" i="7"/>
  <c r="E523" i="7"/>
  <c r="E524" i="7"/>
  <c r="E525" i="7"/>
  <c r="E526" i="7"/>
  <c r="E528" i="7"/>
  <c r="E529" i="7"/>
  <c r="E530" i="7"/>
  <c r="E531" i="7"/>
  <c r="E532" i="7"/>
  <c r="E618" i="7"/>
  <c r="E533" i="7"/>
  <c r="E534" i="7"/>
  <c r="E535" i="7"/>
  <c r="E622" i="7"/>
  <c r="E536" i="7"/>
  <c r="E538" i="7"/>
  <c r="E539" i="7"/>
  <c r="E540" i="7"/>
  <c r="E541" i="7"/>
  <c r="E542" i="7"/>
  <c r="E543" i="7"/>
  <c r="E544" i="7"/>
  <c r="E545" i="7"/>
  <c r="E546" i="7"/>
  <c r="E547" i="7"/>
  <c r="E548" i="7"/>
  <c r="E549" i="7"/>
  <c r="E550" i="7"/>
  <c r="E552" i="7"/>
  <c r="E553" i="7"/>
  <c r="E554" i="7"/>
  <c r="E555" i="7"/>
  <c r="E556" i="7"/>
  <c r="E559" i="7"/>
  <c r="E560" i="7"/>
  <c r="E561" i="7"/>
  <c r="E562" i="7"/>
  <c r="E563" i="7"/>
  <c r="E564" i="7"/>
  <c r="E566" i="7"/>
  <c r="E567" i="7"/>
  <c r="E568" i="7"/>
  <c r="E569" i="7"/>
  <c r="E570" i="7"/>
  <c r="E574" i="7"/>
  <c r="E584" i="7"/>
  <c r="E585" i="7"/>
  <c r="E586" i="7"/>
  <c r="E587" i="7"/>
  <c r="E593" i="7"/>
  <c r="E594" i="7"/>
  <c r="E595" i="7"/>
  <c r="E596" i="7"/>
  <c r="E597" i="7"/>
  <c r="E607" i="7"/>
  <c r="E608" i="7"/>
  <c r="E609" i="7"/>
  <c r="E610" i="7"/>
  <c r="E611" i="7"/>
  <c r="E612" i="7"/>
  <c r="E613" i="7"/>
  <c r="E614" i="7"/>
  <c r="E615" i="7"/>
  <c r="E600" i="7"/>
  <c r="E601" i="7"/>
  <c r="E602" i="7"/>
  <c r="E603" i="7"/>
  <c r="E616" i="7"/>
  <c r="E617" i="7"/>
  <c r="E619" i="7"/>
  <c r="E620" i="7"/>
  <c r="E621" i="7"/>
  <c r="E623" i="7"/>
  <c r="E624" i="7"/>
  <c r="E625" i="7"/>
  <c r="E627" i="7"/>
  <c r="E628" i="7"/>
  <c r="E629" i="7"/>
  <c r="E630" i="7"/>
  <c r="E631" i="7"/>
  <c r="E632" i="7"/>
  <c r="E633" i="7"/>
  <c r="E634" i="7"/>
  <c r="E635" i="7"/>
  <c r="E636" i="7"/>
  <c r="E637" i="7"/>
  <c r="E638" i="7"/>
  <c r="E639" i="7"/>
  <c r="E640" i="7"/>
  <c r="E641" i="7"/>
  <c r="E642" i="7"/>
  <c r="E643" i="7"/>
  <c r="E644" i="7"/>
  <c r="E646" i="7"/>
  <c r="E648" i="7"/>
  <c r="E654" i="7"/>
  <c r="E655" i="7"/>
  <c r="E659" i="7"/>
  <c r="E663" i="7"/>
  <c r="E667" i="7"/>
  <c r="G2" i="7"/>
  <c r="E2" i="7"/>
  <c r="H659" i="7"/>
  <c r="H660" i="7"/>
  <c r="H661" i="7"/>
  <c r="H662" i="7"/>
  <c r="H663" i="7"/>
  <c r="H664" i="7"/>
  <c r="H665" i="7"/>
  <c r="H666" i="7"/>
  <c r="H667" i="7"/>
  <c r="H644" i="7"/>
  <c r="H645" i="7"/>
  <c r="H646" i="7"/>
  <c r="H647" i="7"/>
  <c r="H648" i="7"/>
  <c r="H649" i="7"/>
  <c r="H650" i="7"/>
  <c r="H651" i="7"/>
  <c r="H652" i="7"/>
  <c r="H653" i="7"/>
  <c r="H654" i="7"/>
  <c r="H655" i="7"/>
  <c r="H656" i="7"/>
  <c r="H657" i="7"/>
  <c r="H658" i="7"/>
  <c r="H638" i="7"/>
  <c r="H639" i="7"/>
  <c r="H640" i="7"/>
  <c r="H641" i="7"/>
  <c r="H642" i="7"/>
  <c r="H643" i="7"/>
  <c r="H613" i="7"/>
  <c r="H614" i="7"/>
  <c r="H615" i="7"/>
  <c r="H598" i="7"/>
  <c r="H599" i="7"/>
  <c r="H600" i="7"/>
  <c r="H601" i="7"/>
  <c r="H602" i="7"/>
  <c r="H603" i="7"/>
  <c r="H616" i="7"/>
  <c r="H617" i="7"/>
  <c r="H618" i="7"/>
  <c r="H619" i="7"/>
  <c r="H620" i="7"/>
  <c r="H621" i="7"/>
  <c r="H622" i="7"/>
  <c r="H623" i="7"/>
  <c r="H624" i="7"/>
  <c r="H625" i="7"/>
  <c r="H626" i="7"/>
  <c r="H627" i="7"/>
  <c r="H628" i="7"/>
  <c r="H629" i="7"/>
  <c r="H630" i="7"/>
  <c r="H631" i="7"/>
  <c r="H632" i="7"/>
  <c r="H633" i="7"/>
  <c r="H634" i="7"/>
  <c r="H635" i="7"/>
  <c r="H636" i="7"/>
  <c r="H637"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H548" i="7"/>
  <c r="H549" i="7"/>
  <c r="H550" i="7"/>
  <c r="H551" i="7"/>
  <c r="H552" i="7"/>
  <c r="H553" i="7"/>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H591" i="7"/>
  <c r="H592" i="7"/>
  <c r="H593" i="7"/>
  <c r="H594" i="7"/>
  <c r="H595" i="7"/>
  <c r="H596" i="7"/>
  <c r="H597" i="7"/>
  <c r="H607" i="7"/>
  <c r="H608" i="7"/>
  <c r="H609" i="7"/>
  <c r="H610" i="7"/>
  <c r="H611" i="7"/>
  <c r="H612" i="7"/>
  <c r="H464" i="7"/>
  <c r="H465" i="7"/>
  <c r="H466" i="7"/>
  <c r="H467" i="7"/>
  <c r="H468" i="7"/>
  <c r="H469" i="7"/>
  <c r="H470" i="7"/>
  <c r="H471" i="7"/>
  <c r="H472" i="7"/>
  <c r="H473" i="7"/>
  <c r="H474" i="7"/>
  <c r="H475" i="7"/>
  <c r="H476" i="7"/>
  <c r="H477" i="7"/>
  <c r="H478" i="7"/>
  <c r="H479" i="7"/>
  <c r="H480" i="7"/>
  <c r="H481"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377" i="7"/>
  <c r="H378" i="7"/>
  <c r="H379" i="7"/>
  <c r="H380" i="7"/>
  <c r="H381" i="7"/>
  <c r="H382" i="7"/>
  <c r="H383" i="7"/>
  <c r="H384" i="7"/>
  <c r="H385" i="7"/>
  <c r="H386" i="7"/>
  <c r="H387" i="7"/>
  <c r="H388" i="7"/>
  <c r="H389" i="7"/>
  <c r="H390" i="7"/>
  <c r="H391" i="7"/>
  <c r="H392" i="7"/>
  <c r="H393" i="7"/>
  <c r="H394" i="7"/>
  <c r="H395" i="7"/>
  <c r="H396" i="7"/>
  <c r="H397" i="7"/>
  <c r="H398" i="7"/>
  <c r="H399" i="7"/>
  <c r="H400" i="7"/>
  <c r="H401" i="7"/>
  <c r="H402" i="7"/>
  <c r="H403" i="7"/>
  <c r="H404" i="7"/>
  <c r="H405" i="7"/>
  <c r="H406" i="7"/>
  <c r="H407" i="7"/>
  <c r="H408" i="7"/>
  <c r="H409" i="7"/>
  <c r="H410" i="7"/>
  <c r="H411" i="7"/>
  <c r="H412" i="7"/>
  <c r="H413" i="7"/>
  <c r="H414" i="7"/>
  <c r="H415" i="7"/>
  <c r="H416" i="7"/>
  <c r="H417" i="7"/>
  <c r="H418" i="7"/>
  <c r="H419" i="7"/>
  <c r="H420" i="7"/>
  <c r="H421" i="7"/>
  <c r="H422" i="7"/>
  <c r="H42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H373" i="7"/>
  <c r="H374" i="7"/>
  <c r="H375" i="7"/>
  <c r="H376" i="7"/>
  <c r="H327" i="7"/>
  <c r="H328" i="7"/>
  <c r="H329" i="7"/>
  <c r="H330" i="7"/>
  <c r="H331" i="7"/>
  <c r="H332" i="7"/>
  <c r="H333" i="7"/>
  <c r="H334" i="7"/>
  <c r="H335" i="7"/>
  <c r="H336" i="7"/>
  <c r="H337" i="7"/>
  <c r="H338" i="7"/>
  <c r="H339" i="7"/>
  <c r="H340" i="7"/>
  <c r="H341" i="7"/>
  <c r="H342" i="7"/>
  <c r="H343"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H241" i="7"/>
  <c r="H242" i="7"/>
  <c r="H243" i="7"/>
  <c r="H244" i="7"/>
  <c r="H245" i="7"/>
  <c r="H246" i="7"/>
  <c r="H247"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92" i="7"/>
  <c r="H93" i="7"/>
  <c r="H94" i="7"/>
  <c r="H95"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3" i="7"/>
  <c r="H4" i="7"/>
  <c r="H5" i="7"/>
  <c r="H6" i="7"/>
  <c r="H7" i="7"/>
  <c r="H8" i="7"/>
  <c r="H9" i="7"/>
  <c r="H10" i="7"/>
  <c r="H11" i="7"/>
  <c r="H12" i="7"/>
  <c r="H13" i="7"/>
  <c r="H14" i="7"/>
  <c r="H15" i="7"/>
  <c r="H16" i="7"/>
  <c r="H2" i="7"/>
  <c r="I2" i="7"/>
  <c r="I3"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H381" i="28"/>
  <c r="N381" i="28"/>
  <c r="E19" i="9"/>
  <c r="J75" i="3"/>
  <c r="J4" i="3"/>
  <c r="J5" i="3"/>
  <c r="J6" i="3"/>
  <c r="J7" i="3"/>
  <c r="J8" i="3"/>
  <c r="J9" i="3"/>
  <c r="J10" i="3"/>
  <c r="J11" i="3"/>
  <c r="J12" i="3"/>
  <c r="J13" i="3"/>
  <c r="J14" i="3"/>
  <c r="J16" i="3"/>
  <c r="J17" i="3"/>
  <c r="J18" i="3"/>
  <c r="J19" i="3"/>
  <c r="J20" i="3"/>
  <c r="J21" i="3"/>
  <c r="J22" i="3"/>
  <c r="J23" i="3"/>
  <c r="J24" i="3"/>
  <c r="J25" i="3"/>
  <c r="J26" i="3"/>
  <c r="J27" i="3"/>
  <c r="J28" i="3"/>
  <c r="J29" i="3"/>
  <c r="J30" i="3"/>
  <c r="J31" i="3"/>
  <c r="J32" i="3"/>
  <c r="J33" i="3"/>
  <c r="J34" i="3"/>
  <c r="J35" i="3"/>
  <c r="J36" i="3"/>
  <c r="J37" i="3"/>
  <c r="J38" i="3"/>
  <c r="J40" i="3"/>
  <c r="J41" i="3"/>
  <c r="J42" i="3"/>
  <c r="J43" i="3"/>
  <c r="J44" i="3"/>
  <c r="J45" i="3"/>
  <c r="J46" i="3"/>
  <c r="J47" i="3"/>
  <c r="J48" i="3"/>
  <c r="J49" i="3"/>
  <c r="J50" i="3"/>
  <c r="J51" i="3"/>
  <c r="J52" i="3"/>
  <c r="J53" i="3"/>
  <c r="J55" i="3"/>
  <c r="J56" i="3"/>
  <c r="J57" i="3"/>
  <c r="J58" i="3"/>
  <c r="J59" i="3"/>
  <c r="J60" i="3"/>
  <c r="J61" i="3"/>
  <c r="J62" i="3"/>
  <c r="J64" i="3"/>
  <c r="J65" i="3"/>
  <c r="J66" i="3"/>
  <c r="J67" i="3"/>
  <c r="J68" i="3"/>
  <c r="J69" i="3"/>
  <c r="J70" i="3"/>
  <c r="J71" i="3"/>
  <c r="J72" i="3"/>
  <c r="J74" i="3"/>
  <c r="J76" i="3"/>
  <c r="J77" i="3"/>
  <c r="J78" i="3"/>
  <c r="J79" i="3"/>
  <c r="J80" i="3"/>
  <c r="J82" i="3"/>
  <c r="J83" i="3"/>
  <c r="J84" i="3"/>
  <c r="J85" i="3"/>
  <c r="J86" i="3"/>
  <c r="J87" i="3"/>
  <c r="J88" i="3"/>
  <c r="J89" i="3"/>
  <c r="J90" i="3"/>
  <c r="J91" i="3"/>
  <c r="J92" i="3"/>
  <c r="J93" i="3"/>
  <c r="J94" i="3"/>
  <c r="J96" i="3"/>
  <c r="J97" i="3"/>
  <c r="J98" i="3"/>
  <c r="J100" i="3"/>
  <c r="J101" i="3"/>
  <c r="J102" i="3"/>
  <c r="J103" i="3"/>
  <c r="J104" i="3"/>
  <c r="J105" i="3"/>
  <c r="J106" i="3"/>
  <c r="J107" i="3"/>
  <c r="J108" i="3"/>
  <c r="J109" i="3"/>
  <c r="J111" i="3"/>
  <c r="J112" i="3"/>
  <c r="J113" i="3"/>
  <c r="J114" i="3"/>
  <c r="J115" i="3"/>
  <c r="J116" i="3"/>
  <c r="J117" i="3"/>
  <c r="J120" i="3"/>
  <c r="J121" i="3"/>
  <c r="J122" i="3"/>
  <c r="J123" i="3"/>
  <c r="J124" i="3"/>
  <c r="J125" i="3"/>
  <c r="J126" i="3"/>
  <c r="J128" i="3"/>
  <c r="J129" i="3"/>
  <c r="J130" i="3"/>
  <c r="J131" i="3"/>
  <c r="J132" i="3"/>
  <c r="J133" i="3"/>
  <c r="J135" i="3"/>
  <c r="J136" i="3"/>
  <c r="J137" i="3"/>
  <c r="J138" i="3"/>
  <c r="J139" i="3"/>
  <c r="J140" i="3"/>
  <c r="J141" i="3"/>
  <c r="J143" i="3"/>
  <c r="J144" i="3"/>
  <c r="J145" i="3"/>
  <c r="J146" i="3"/>
  <c r="J147" i="3"/>
  <c r="J148" i="3"/>
  <c r="J149" i="3"/>
  <c r="J150" i="3"/>
  <c r="J151" i="3"/>
  <c r="J152" i="3"/>
  <c r="J153" i="3"/>
  <c r="J155" i="3"/>
  <c r="J156" i="3"/>
  <c r="J157" i="3"/>
  <c r="J158" i="3"/>
  <c r="J159" i="3"/>
  <c r="J160" i="3"/>
  <c r="J161" i="3"/>
  <c r="J162" i="3"/>
  <c r="J163" i="3"/>
  <c r="J164" i="3"/>
  <c r="J165" i="3"/>
  <c r="J166" i="3"/>
  <c r="J167" i="3"/>
  <c r="J168" i="3"/>
  <c r="J169"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9" i="3"/>
  <c r="J210" i="3"/>
  <c r="J211" i="3"/>
  <c r="J212" i="3"/>
  <c r="J213" i="3"/>
  <c r="J214" i="3"/>
  <c r="J215" i="3"/>
  <c r="J216" i="3"/>
  <c r="J217" i="3"/>
  <c r="J218" i="3"/>
  <c r="J220" i="3"/>
  <c r="J221" i="3"/>
  <c r="J222" i="3"/>
  <c r="J223" i="3"/>
  <c r="J224" i="3"/>
  <c r="J225" i="3"/>
  <c r="J226" i="3"/>
  <c r="J227" i="3"/>
  <c r="J228" i="3"/>
  <c r="J229" i="3"/>
  <c r="J230" i="3"/>
  <c r="J231" i="3"/>
  <c r="J232" i="3"/>
  <c r="J233" i="3"/>
  <c r="J234" i="3"/>
  <c r="J235" i="3"/>
  <c r="J237" i="3"/>
  <c r="J238" i="3"/>
  <c r="J239" i="3"/>
  <c r="J240" i="3"/>
  <c r="J241" i="3"/>
  <c r="J242" i="3"/>
  <c r="J243" i="3"/>
  <c r="J244" i="3"/>
  <c r="J245" i="3"/>
  <c r="J248" i="3"/>
  <c r="J249" i="3"/>
  <c r="J250" i="3"/>
  <c r="J251" i="3"/>
  <c r="J252" i="3"/>
  <c r="J253" i="3"/>
  <c r="J254" i="3"/>
  <c r="J255" i="3"/>
  <c r="J256" i="3"/>
  <c r="J257" i="3"/>
  <c r="J259" i="3"/>
  <c r="J260" i="3"/>
  <c r="J261" i="3"/>
  <c r="J262" i="3"/>
  <c r="J264" i="3"/>
  <c r="J265" i="3"/>
  <c r="J266" i="3"/>
  <c r="J268" i="3"/>
  <c r="J269" i="3"/>
  <c r="J270" i="3"/>
  <c r="J271" i="3"/>
  <c r="J272" i="3"/>
  <c r="J273" i="3"/>
  <c r="J274" i="3"/>
  <c r="J275" i="3"/>
  <c r="J276" i="3"/>
  <c r="J277" i="3"/>
  <c r="J278" i="3"/>
  <c r="J279" i="3"/>
  <c r="J280" i="3"/>
  <c r="J281" i="3"/>
  <c r="J283" i="3"/>
  <c r="J284" i="3"/>
  <c r="J285" i="3"/>
  <c r="J286" i="3"/>
  <c r="J287" i="3"/>
  <c r="J288" i="3"/>
  <c r="J289" i="3"/>
  <c r="J290" i="3"/>
  <c r="J291" i="3"/>
  <c r="J292" i="3"/>
  <c r="J293" i="3"/>
  <c r="J294" i="3"/>
  <c r="J296" i="3"/>
  <c r="J297" i="3"/>
  <c r="J298" i="3"/>
  <c r="J299" i="3"/>
  <c r="J300" i="3"/>
  <c r="J301" i="3"/>
  <c r="J302" i="3"/>
  <c r="J305" i="3"/>
  <c r="J306" i="3"/>
  <c r="J307" i="3"/>
  <c r="J308" i="3"/>
  <c r="J310" i="3"/>
  <c r="J312" i="3"/>
  <c r="J314" i="3"/>
  <c r="J316" i="3"/>
  <c r="J321" i="3"/>
  <c r="J322" i="3"/>
  <c r="J323" i="3"/>
  <c r="J324" i="3"/>
  <c r="J325" i="3"/>
  <c r="J327" i="3"/>
  <c r="J328" i="3"/>
  <c r="J329" i="3"/>
  <c r="J331" i="3"/>
  <c r="J332" i="3"/>
  <c r="J333" i="3"/>
  <c r="J334" i="3"/>
  <c r="J335" i="3"/>
  <c r="J336" i="3"/>
  <c r="J337" i="3"/>
  <c r="J339" i="3"/>
  <c r="J340" i="3"/>
  <c r="J341" i="3"/>
  <c r="J342" i="3"/>
  <c r="J344" i="3"/>
  <c r="J345" i="3"/>
  <c r="J346" i="3"/>
  <c r="J347" i="3"/>
  <c r="J348" i="3"/>
  <c r="J350" i="3"/>
  <c r="J351" i="3"/>
  <c r="J352" i="3"/>
  <c r="J357" i="3"/>
  <c r="J361" i="3"/>
  <c r="J363" i="3"/>
  <c r="J365" i="3"/>
  <c r="J367" i="3"/>
  <c r="J368" i="3"/>
  <c r="J369" i="3"/>
  <c r="J370" i="3"/>
  <c r="J372" i="3"/>
  <c r="J373" i="3"/>
  <c r="J374" i="3"/>
  <c r="J376" i="3"/>
  <c r="J378" i="3"/>
  <c r="J380" i="3"/>
  <c r="J382" i="3"/>
  <c r="J384" i="3"/>
  <c r="J386" i="3"/>
  <c r="J388" i="3"/>
  <c r="J390" i="3"/>
  <c r="J392" i="3"/>
  <c r="J394" i="3"/>
  <c r="J396" i="3"/>
  <c r="J398" i="3"/>
  <c r="J403" i="3"/>
  <c r="J405" i="3"/>
  <c r="J407" i="3"/>
  <c r="J409" i="3"/>
  <c r="J411" i="3"/>
  <c r="J413" i="3"/>
  <c r="J415" i="3"/>
  <c r="J417" i="3"/>
  <c r="J419" i="3"/>
  <c r="J421" i="3"/>
  <c r="J423" i="3"/>
  <c r="J425" i="3"/>
  <c r="J427" i="3"/>
  <c r="J429" i="3"/>
  <c r="J434" i="3"/>
  <c r="J436" i="3"/>
  <c r="J438" i="3"/>
  <c r="J440" i="3"/>
  <c r="J442" i="3"/>
  <c r="J443" i="3"/>
  <c r="J444" i="3"/>
  <c r="J449" i="3"/>
  <c r="J451" i="3"/>
  <c r="J453" i="3"/>
  <c r="J455" i="3"/>
  <c r="J457" i="3"/>
  <c r="J459" i="3"/>
  <c r="J462" i="3"/>
  <c r="J463" i="3"/>
  <c r="J464" i="3"/>
  <c r="J465" i="3"/>
  <c r="J466" i="3"/>
  <c r="J467" i="3"/>
  <c r="J468" i="3"/>
  <c r="J469" i="3"/>
  <c r="J470" i="3"/>
  <c r="J471" i="3"/>
  <c r="J475" i="3"/>
  <c r="J476" i="3"/>
  <c r="J477" i="3"/>
  <c r="J478" i="3"/>
  <c r="J480" i="3"/>
  <c r="J481" i="3"/>
  <c r="J482" i="3"/>
  <c r="J483" i="3"/>
  <c r="J484" i="3"/>
  <c r="J486" i="3"/>
  <c r="J487" i="3"/>
  <c r="J488" i="3"/>
  <c r="J489" i="3"/>
  <c r="J491" i="3"/>
  <c r="J492" i="3"/>
  <c r="J493" i="3"/>
  <c r="J494" i="3"/>
  <c r="J495" i="3"/>
  <c r="J496" i="3"/>
  <c r="J497" i="3"/>
  <c r="J498" i="3"/>
  <c r="J500" i="3"/>
  <c r="J501" i="3"/>
  <c r="J502" i="3"/>
  <c r="J511" i="3"/>
  <c r="J512" i="3"/>
  <c r="J513" i="3"/>
  <c r="J514" i="3"/>
  <c r="J515" i="3"/>
  <c r="J517" i="3"/>
  <c r="J518" i="3"/>
  <c r="J519" i="3"/>
  <c r="J520" i="3"/>
  <c r="J521" i="3"/>
  <c r="J523" i="3"/>
  <c r="J524" i="3"/>
  <c r="J525" i="3"/>
  <c r="J526" i="3"/>
  <c r="J528" i="3"/>
  <c r="J529" i="3"/>
  <c r="J530" i="3"/>
  <c r="J531" i="3"/>
  <c r="J533" i="3"/>
  <c r="J534" i="3"/>
  <c r="J535" i="3"/>
  <c r="J536" i="3"/>
  <c r="J537" i="3"/>
  <c r="J539" i="3"/>
  <c r="J540" i="3"/>
  <c r="J541" i="3"/>
  <c r="J542" i="3"/>
  <c r="J543" i="3"/>
  <c r="J545" i="3"/>
  <c r="J546" i="3"/>
  <c r="J547" i="3"/>
  <c r="J548" i="3"/>
  <c r="J549" i="3"/>
  <c r="J550" i="3"/>
  <c r="J555" i="3"/>
  <c r="J557" i="3"/>
  <c r="J559" i="3"/>
  <c r="J561" i="3"/>
  <c r="J562" i="3"/>
  <c r="J564" i="3"/>
  <c r="J566" i="3"/>
  <c r="J568" i="3"/>
  <c r="J573" i="3"/>
  <c r="J575" i="3"/>
  <c r="J577" i="3"/>
  <c r="J579" i="3"/>
  <c r="J581" i="3"/>
  <c r="J583" i="3"/>
  <c r="J585" i="3"/>
  <c r="J587" i="3"/>
  <c r="J589" i="3"/>
  <c r="J591" i="3"/>
  <c r="J593" i="3"/>
  <c r="J595" i="3"/>
  <c r="J597" i="3"/>
  <c r="J602" i="3"/>
  <c r="J604" i="3"/>
  <c r="J606" i="3"/>
  <c r="J608" i="3"/>
  <c r="J610" i="3"/>
  <c r="J612" i="3"/>
  <c r="J613" i="3"/>
  <c r="J614" i="3"/>
  <c r="J619" i="3"/>
  <c r="J621" i="3"/>
  <c r="J623" i="3"/>
  <c r="J625" i="3"/>
  <c r="J629" i="3"/>
  <c r="J3" i="3"/>
  <c r="B328" i="17"/>
  <c r="A240" i="18"/>
  <c r="G243" i="17"/>
  <c r="K243" i="17"/>
  <c r="E243" i="17"/>
  <c r="J243" i="17"/>
  <c r="B320" i="17"/>
  <c r="A232" i="18"/>
  <c r="G235" i="17"/>
  <c r="K235" i="17"/>
  <c r="E235" i="17"/>
  <c r="J235" i="17"/>
  <c r="B312" i="17"/>
  <c r="A224" i="18"/>
  <c r="G227" i="17"/>
  <c r="K227" i="17"/>
  <c r="E227" i="17"/>
  <c r="J227" i="17"/>
  <c r="B304" i="17"/>
  <c r="A216" i="18"/>
  <c r="G219" i="17"/>
  <c r="K219" i="17"/>
  <c r="E219" i="17"/>
  <c r="J219" i="17"/>
  <c r="B327" i="17"/>
  <c r="G242" i="17"/>
  <c r="K242" i="17"/>
  <c r="E242" i="17"/>
  <c r="J242" i="17"/>
  <c r="A239" i="18"/>
  <c r="B319" i="17"/>
  <c r="G234" i="17"/>
  <c r="K234" i="17"/>
  <c r="E234" i="17"/>
  <c r="J234" i="17"/>
  <c r="A231" i="18"/>
  <c r="B311" i="17"/>
  <c r="G226" i="17"/>
  <c r="K226" i="17"/>
  <c r="E226" i="17"/>
  <c r="J226" i="17"/>
  <c r="A223" i="18"/>
  <c r="B303" i="17"/>
  <c r="G218" i="17"/>
  <c r="K218" i="17"/>
  <c r="E218" i="17"/>
  <c r="J218" i="17"/>
  <c r="A215" i="18"/>
  <c r="B326" i="17"/>
  <c r="K241" i="17"/>
  <c r="E241" i="17"/>
  <c r="J241" i="17"/>
  <c r="A238" i="18"/>
  <c r="G241" i="17"/>
  <c r="B318" i="17"/>
  <c r="K233" i="17"/>
  <c r="E233" i="17"/>
  <c r="J233" i="17"/>
  <c r="A230" i="18"/>
  <c r="G233" i="17"/>
  <c r="B310" i="17"/>
  <c r="K225" i="17"/>
  <c r="E225" i="17"/>
  <c r="J225" i="17"/>
  <c r="A222" i="18"/>
  <c r="G225" i="17"/>
  <c r="B302" i="17"/>
  <c r="K217" i="17"/>
  <c r="E217" i="17"/>
  <c r="J217" i="17"/>
  <c r="A214" i="18"/>
  <c r="G217" i="17"/>
  <c r="B337" i="19"/>
  <c r="D337" i="19"/>
  <c r="D253" i="19"/>
  <c r="B329" i="19"/>
  <c r="D245" i="19"/>
  <c r="B381" i="17"/>
  <c r="A293" i="18"/>
  <c r="E293" i="18"/>
  <c r="G296" i="17"/>
  <c r="J296" i="17"/>
  <c r="K296" i="17"/>
  <c r="E296" i="17"/>
  <c r="B373" i="17"/>
  <c r="A285" i="18"/>
  <c r="E285" i="18"/>
  <c r="G288" i="17"/>
  <c r="J288" i="17"/>
  <c r="K288" i="17"/>
  <c r="E288" i="17"/>
  <c r="B365" i="17"/>
  <c r="A277" i="18"/>
  <c r="E277" i="18"/>
  <c r="G280" i="17"/>
  <c r="J280" i="17"/>
  <c r="K280" i="17"/>
  <c r="E280" i="17"/>
  <c r="B357" i="17"/>
  <c r="A269" i="18"/>
  <c r="E269" i="18"/>
  <c r="E272" i="17"/>
  <c r="G272" i="17"/>
  <c r="J272" i="17"/>
  <c r="K272" i="17"/>
  <c r="B349" i="17"/>
  <c r="A261" i="18"/>
  <c r="E261" i="18"/>
  <c r="E264" i="17"/>
  <c r="G264" i="17"/>
  <c r="K264" i="17"/>
  <c r="J264" i="17"/>
  <c r="B240" i="17"/>
  <c r="B232" i="17"/>
  <c r="B224" i="17"/>
  <c r="B216" i="17"/>
  <c r="A334" i="18"/>
  <c r="E334" i="18"/>
  <c r="E337" i="17"/>
  <c r="G337" i="17"/>
  <c r="K337" i="17"/>
  <c r="J337" i="17"/>
  <c r="B422" i="17"/>
  <c r="E207" i="17"/>
  <c r="E199" i="17"/>
  <c r="E191" i="17"/>
  <c r="E183" i="17"/>
  <c r="E175" i="17"/>
  <c r="E167" i="17"/>
  <c r="E159" i="17"/>
  <c r="E151" i="17"/>
  <c r="E143" i="17"/>
  <c r="E135" i="17"/>
  <c r="E127" i="17"/>
  <c r="E119" i="17"/>
  <c r="E111" i="17"/>
  <c r="E103" i="17"/>
  <c r="E95" i="17"/>
  <c r="A97" i="18"/>
  <c r="A93" i="18"/>
  <c r="A89" i="18"/>
  <c r="A247" i="18"/>
  <c r="A207" i="18"/>
  <c r="A167" i="18"/>
  <c r="A159" i="18"/>
  <c r="A151" i="18"/>
  <c r="A143" i="18"/>
  <c r="A135" i="18"/>
  <c r="A127" i="18"/>
  <c r="A119" i="18"/>
  <c r="A111" i="18"/>
  <c r="E106" i="18"/>
  <c r="E102" i="18"/>
  <c r="E240" i="18"/>
  <c r="I240" i="18"/>
  <c r="I228" i="18"/>
  <c r="E216" i="18"/>
  <c r="I216" i="18"/>
  <c r="I173" i="18"/>
  <c r="E167" i="18"/>
  <c r="I149" i="18"/>
  <c r="E112" i="18"/>
  <c r="I112" i="18"/>
  <c r="B270" i="19"/>
  <c r="B354" i="19"/>
  <c r="D354" i="19"/>
  <c r="D186" i="19"/>
  <c r="A232" i="19"/>
  <c r="A316" i="19"/>
  <c r="A400" i="19"/>
  <c r="D148" i="19"/>
  <c r="B380" i="17"/>
  <c r="A292" i="18"/>
  <c r="E292" i="18"/>
  <c r="E295" i="17"/>
  <c r="G295" i="17"/>
  <c r="J295" i="17"/>
  <c r="K295" i="17"/>
  <c r="B372" i="17"/>
  <c r="A284" i="18"/>
  <c r="E284" i="18"/>
  <c r="E287" i="17"/>
  <c r="G287" i="17"/>
  <c r="J287" i="17"/>
  <c r="K287" i="17"/>
  <c r="B364" i="17"/>
  <c r="A276" i="18"/>
  <c r="E276" i="18"/>
  <c r="E279" i="17"/>
  <c r="G279" i="17"/>
  <c r="J279" i="17"/>
  <c r="K279" i="17"/>
  <c r="B356" i="17"/>
  <c r="A268" i="18"/>
  <c r="E268" i="18"/>
  <c r="E271" i="17"/>
  <c r="G271" i="17"/>
  <c r="K271" i="17"/>
  <c r="J271" i="17"/>
  <c r="B348" i="17"/>
  <c r="A260" i="18"/>
  <c r="E260" i="18"/>
  <c r="E263" i="17"/>
  <c r="G263" i="17"/>
  <c r="J263" i="17"/>
  <c r="K263" i="17"/>
  <c r="B239" i="17"/>
  <c r="B231" i="17"/>
  <c r="B223" i="17"/>
  <c r="B215" i="17"/>
  <c r="A333" i="18"/>
  <c r="E333" i="18"/>
  <c r="G336" i="17"/>
  <c r="J336" i="17"/>
  <c r="K336" i="17"/>
  <c r="E336" i="17"/>
  <c r="B421" i="17"/>
  <c r="G168" i="17"/>
  <c r="G160" i="17"/>
  <c r="G152" i="17"/>
  <c r="G144" i="17"/>
  <c r="G136" i="17"/>
  <c r="G128" i="17"/>
  <c r="G120" i="17"/>
  <c r="G112" i="17"/>
  <c r="G104" i="17"/>
  <c r="G96" i="17"/>
  <c r="G88" i="17"/>
  <c r="K207" i="17"/>
  <c r="K199" i="17"/>
  <c r="K191" i="17"/>
  <c r="K183" i="17"/>
  <c r="K175" i="17"/>
  <c r="K167" i="17"/>
  <c r="K159" i="17"/>
  <c r="K151" i="17"/>
  <c r="K143" i="17"/>
  <c r="K135" i="17"/>
  <c r="K127" i="17"/>
  <c r="K119" i="17"/>
  <c r="K111" i="17"/>
  <c r="K103" i="17"/>
  <c r="K95" i="17"/>
  <c r="E166" i="17"/>
  <c r="E158" i="17"/>
  <c r="E150" i="17"/>
  <c r="E142" i="17"/>
  <c r="E134" i="17"/>
  <c r="E126" i="17"/>
  <c r="E118" i="17"/>
  <c r="E110" i="17"/>
  <c r="E102" i="17"/>
  <c r="E94" i="17"/>
  <c r="J253" i="17"/>
  <c r="J245" i="17"/>
  <c r="J165" i="17"/>
  <c r="J157" i="17"/>
  <c r="J149" i="17"/>
  <c r="J141" i="17"/>
  <c r="J133" i="17"/>
  <c r="J125" i="17"/>
  <c r="J117" i="17"/>
  <c r="J109" i="17"/>
  <c r="J101" i="17"/>
  <c r="J93" i="17"/>
  <c r="E97" i="18"/>
  <c r="E93" i="18"/>
  <c r="E89" i="18"/>
  <c r="E85" i="18"/>
  <c r="E81" i="18"/>
  <c r="E77" i="18"/>
  <c r="E73" i="18"/>
  <c r="E69" i="18"/>
  <c r="E65" i="18"/>
  <c r="E61" i="18"/>
  <c r="E57" i="18"/>
  <c r="E53" i="18"/>
  <c r="E49" i="18"/>
  <c r="E45" i="18"/>
  <c r="E41" i="18"/>
  <c r="E37" i="18"/>
  <c r="E33" i="18"/>
  <c r="E29" i="18"/>
  <c r="E25" i="18"/>
  <c r="E21" i="18"/>
  <c r="A166" i="18"/>
  <c r="A158" i="18"/>
  <c r="A150" i="18"/>
  <c r="A142" i="18"/>
  <c r="A134" i="18"/>
  <c r="A126" i="18"/>
  <c r="A118" i="18"/>
  <c r="A110" i="18"/>
  <c r="A105" i="18"/>
  <c r="A101" i="18"/>
  <c r="E101" i="18"/>
  <c r="I221" i="18"/>
  <c r="E215" i="18"/>
  <c r="I197" i="18"/>
  <c r="E160" i="18"/>
  <c r="I160" i="18"/>
  <c r="I148" i="18"/>
  <c r="E136" i="18"/>
  <c r="I136" i="18"/>
  <c r="E124" i="18"/>
  <c r="D358" i="19"/>
  <c r="A334" i="19"/>
  <c r="A418" i="19"/>
  <c r="D418" i="19"/>
  <c r="D250" i="19"/>
  <c r="A315" i="19"/>
  <c r="A399" i="19"/>
  <c r="D231" i="19"/>
  <c r="A269" i="19"/>
  <c r="A353" i="19"/>
  <c r="D185" i="19"/>
  <c r="B209" i="17"/>
  <c r="B201" i="17"/>
  <c r="B193" i="17"/>
  <c r="B185" i="17"/>
  <c r="B177" i="17"/>
  <c r="B238" i="17"/>
  <c r="B230" i="17"/>
  <c r="B222" i="17"/>
  <c r="B214" i="17"/>
  <c r="A332" i="18"/>
  <c r="E332" i="18"/>
  <c r="E335" i="17"/>
  <c r="G335" i="17"/>
  <c r="K335" i="17"/>
  <c r="J335" i="17"/>
  <c r="B420" i="17"/>
  <c r="G207" i="17"/>
  <c r="G199" i="17"/>
  <c r="G191" i="17"/>
  <c r="G183" i="17"/>
  <c r="G175" i="17"/>
  <c r="G167" i="17"/>
  <c r="G159" i="17"/>
  <c r="G151" i="17"/>
  <c r="G143" i="17"/>
  <c r="G135" i="17"/>
  <c r="G127" i="17"/>
  <c r="G119" i="17"/>
  <c r="G111" i="17"/>
  <c r="G103" i="17"/>
  <c r="G95" i="17"/>
  <c r="K166" i="17"/>
  <c r="K158" i="17"/>
  <c r="K150" i="17"/>
  <c r="K142" i="17"/>
  <c r="K134" i="17"/>
  <c r="K126" i="17"/>
  <c r="K118" i="17"/>
  <c r="K110" i="17"/>
  <c r="E253" i="17"/>
  <c r="E245" i="17"/>
  <c r="E165" i="17"/>
  <c r="E157" i="17"/>
  <c r="E149" i="17"/>
  <c r="E141" i="17"/>
  <c r="E133" i="17"/>
  <c r="E125" i="17"/>
  <c r="E117" i="17"/>
  <c r="E109" i="17"/>
  <c r="E101" i="17"/>
  <c r="E93" i="17"/>
  <c r="J252" i="17"/>
  <c r="J172" i="17"/>
  <c r="J164" i="17"/>
  <c r="J156" i="17"/>
  <c r="J148" i="17"/>
  <c r="J140" i="17"/>
  <c r="J132" i="17"/>
  <c r="J124" i="17"/>
  <c r="J116" i="17"/>
  <c r="J108" i="17"/>
  <c r="J100" i="17"/>
  <c r="J92" i="17"/>
  <c r="E14" i="18"/>
  <c r="E10" i="18"/>
  <c r="E6" i="18"/>
  <c r="A96" i="18"/>
  <c r="E96" i="18"/>
  <c r="A88" i="18"/>
  <c r="A197" i="18"/>
  <c r="E197" i="18"/>
  <c r="A189" i="18"/>
  <c r="A181" i="18"/>
  <c r="A173" i="18"/>
  <c r="E173" i="18"/>
  <c r="A165" i="18"/>
  <c r="A157" i="18"/>
  <c r="A149" i="18"/>
  <c r="E149" i="18"/>
  <c r="A141" i="18"/>
  <c r="A133" i="18"/>
  <c r="A125" i="18"/>
  <c r="E105" i="18"/>
  <c r="I245" i="18"/>
  <c r="I208" i="18"/>
  <c r="I196" i="18"/>
  <c r="I184" i="18"/>
  <c r="I141" i="18"/>
  <c r="E141" i="18"/>
  <c r="E135" i="18"/>
  <c r="I117" i="18"/>
  <c r="E117" i="18"/>
  <c r="A283" i="19"/>
  <c r="A367" i="19"/>
  <c r="D199" i="19"/>
  <c r="D169" i="19"/>
  <c r="D166" i="19"/>
  <c r="B208" i="17"/>
  <c r="B200" i="17"/>
  <c r="B192" i="17"/>
  <c r="B184" i="17"/>
  <c r="B176" i="17"/>
  <c r="B237" i="17"/>
  <c r="B229" i="17"/>
  <c r="B221" i="17"/>
  <c r="B213" i="17"/>
  <c r="B249" i="17"/>
  <c r="K253" i="17"/>
  <c r="K245" i="17"/>
  <c r="E252" i="17"/>
  <c r="E172" i="17"/>
  <c r="E164" i="17"/>
  <c r="E156" i="17"/>
  <c r="E148" i="17"/>
  <c r="E140" i="17"/>
  <c r="E132" i="17"/>
  <c r="E124" i="17"/>
  <c r="E116" i="17"/>
  <c r="E108" i="17"/>
  <c r="E100" i="17"/>
  <c r="E92" i="17"/>
  <c r="J251" i="17"/>
  <c r="J211" i="17"/>
  <c r="J203" i="17"/>
  <c r="J195" i="17"/>
  <c r="J187" i="17"/>
  <c r="J179" i="17"/>
  <c r="J171" i="17"/>
  <c r="J163" i="17"/>
  <c r="J155" i="17"/>
  <c r="J147" i="17"/>
  <c r="J139" i="17"/>
  <c r="J131" i="17"/>
  <c r="J123" i="17"/>
  <c r="J115" i="17"/>
  <c r="J107" i="17"/>
  <c r="J99" i="17"/>
  <c r="J91" i="17"/>
  <c r="E2" i="18"/>
  <c r="I102" i="18"/>
  <c r="E92" i="18"/>
  <c r="E88" i="18"/>
  <c r="E84" i="18"/>
  <c r="E76" i="18"/>
  <c r="E72" i="18"/>
  <c r="E68" i="18"/>
  <c r="E60" i="18"/>
  <c r="E52" i="18"/>
  <c r="E48" i="18"/>
  <c r="E44" i="18"/>
  <c r="E36" i="18"/>
  <c r="E28" i="18"/>
  <c r="E24" i="18"/>
  <c r="E20" i="18"/>
  <c r="A156" i="18"/>
  <c r="A148" i="18"/>
  <c r="E148" i="18"/>
  <c r="A140" i="18"/>
  <c r="A132" i="18"/>
  <c r="A104" i="18"/>
  <c r="I244" i="18"/>
  <c r="E232" i="18"/>
  <c r="I232" i="18"/>
  <c r="I189" i="18"/>
  <c r="E189" i="18"/>
  <c r="I165" i="18"/>
  <c r="E165" i="18"/>
  <c r="E128" i="18"/>
  <c r="I128" i="18"/>
  <c r="E116" i="18"/>
  <c r="I116" i="18"/>
  <c r="D158" i="19"/>
  <c r="D109" i="19"/>
  <c r="A193" i="19"/>
  <c r="A277" i="19"/>
  <c r="B377" i="17"/>
  <c r="A289" i="18"/>
  <c r="E289" i="18"/>
  <c r="E292" i="17"/>
  <c r="G292" i="17"/>
  <c r="J292" i="17"/>
  <c r="K292" i="17"/>
  <c r="B369" i="17"/>
  <c r="A281" i="18"/>
  <c r="E281" i="18"/>
  <c r="E284" i="17"/>
  <c r="G284" i="17"/>
  <c r="J284" i="17"/>
  <c r="K284" i="17"/>
  <c r="B361" i="17"/>
  <c r="A273" i="18"/>
  <c r="E273" i="18"/>
  <c r="E276" i="17"/>
  <c r="J276" i="17"/>
  <c r="K276" i="17"/>
  <c r="G276" i="17"/>
  <c r="B353" i="17"/>
  <c r="A265" i="18"/>
  <c r="E265" i="18"/>
  <c r="K268" i="17"/>
  <c r="J268" i="17"/>
  <c r="E268" i="17"/>
  <c r="G268" i="17"/>
  <c r="B345" i="17"/>
  <c r="A257" i="18"/>
  <c r="E257" i="18"/>
  <c r="K260" i="17"/>
  <c r="E260" i="17"/>
  <c r="G260" i="17"/>
  <c r="J260" i="17"/>
  <c r="B244" i="17"/>
  <c r="B236" i="17"/>
  <c r="B228" i="17"/>
  <c r="B220" i="17"/>
  <c r="B256" i="17"/>
  <c r="B248" i="17"/>
  <c r="K252" i="17"/>
  <c r="K172" i="17"/>
  <c r="K164" i="17"/>
  <c r="K156" i="17"/>
  <c r="K148" i="17"/>
  <c r="K140" i="17"/>
  <c r="K132" i="17"/>
  <c r="K124" i="17"/>
  <c r="K116" i="17"/>
  <c r="K108" i="17"/>
  <c r="K100" i="17"/>
  <c r="K92" i="17"/>
  <c r="E251" i="17"/>
  <c r="E211" i="17"/>
  <c r="E203" i="17"/>
  <c r="E195" i="17"/>
  <c r="E187" i="17"/>
  <c r="E179" i="17"/>
  <c r="E171" i="17"/>
  <c r="E163" i="17"/>
  <c r="E155" i="17"/>
  <c r="E147" i="17"/>
  <c r="E139" i="17"/>
  <c r="E131" i="17"/>
  <c r="E123" i="17"/>
  <c r="E115" i="17"/>
  <c r="E107" i="17"/>
  <c r="E99" i="17"/>
  <c r="E91" i="17"/>
  <c r="J250" i="17"/>
  <c r="J210" i="17"/>
  <c r="J202" i="17"/>
  <c r="J194" i="17"/>
  <c r="J186" i="17"/>
  <c r="J178" i="17"/>
  <c r="J170" i="17"/>
  <c r="J162" i="17"/>
  <c r="J154" i="17"/>
  <c r="J146" i="17"/>
  <c r="J138" i="17"/>
  <c r="J130" i="17"/>
  <c r="J122" i="17"/>
  <c r="J114" i="17"/>
  <c r="J106" i="17"/>
  <c r="J98" i="17"/>
  <c r="J90" i="17"/>
  <c r="I11" i="18"/>
  <c r="E13" i="18"/>
  <c r="E5" i="18"/>
  <c r="E3" i="18"/>
  <c r="A95" i="18"/>
  <c r="A91" i="18"/>
  <c r="E91" i="18"/>
  <c r="A87" i="18"/>
  <c r="E87" i="18"/>
  <c r="A155" i="18"/>
  <c r="A147" i="18"/>
  <c r="A139" i="18"/>
  <c r="A131" i="18"/>
  <c r="A115" i="18"/>
  <c r="E108" i="18"/>
  <c r="E104" i="18"/>
  <c r="E100" i="18"/>
  <c r="I237" i="18"/>
  <c r="E231" i="18"/>
  <c r="I213" i="18"/>
  <c r="I176" i="18"/>
  <c r="E164" i="18"/>
  <c r="I164" i="18"/>
  <c r="E152" i="18"/>
  <c r="I152" i="18"/>
  <c r="E140" i="18"/>
  <c r="I109" i="18"/>
  <c r="E109" i="18"/>
  <c r="D290" i="19"/>
  <c r="B374" i="19"/>
  <c r="D374" i="19"/>
  <c r="A331" i="19"/>
  <c r="A415" i="19"/>
  <c r="D247" i="19"/>
  <c r="D139" i="19"/>
  <c r="B223" i="19"/>
  <c r="D193" i="19"/>
  <c r="B206" i="17"/>
  <c r="B198" i="17"/>
  <c r="B190" i="17"/>
  <c r="B182" i="17"/>
  <c r="B174" i="17"/>
  <c r="B255" i="17"/>
  <c r="B247" i="17"/>
  <c r="G252" i="17"/>
  <c r="G172" i="17"/>
  <c r="G164" i="17"/>
  <c r="G156" i="17"/>
  <c r="G148" i="17"/>
  <c r="G140" i="17"/>
  <c r="G132" i="17"/>
  <c r="G124" i="17"/>
  <c r="G108" i="17"/>
  <c r="G100" i="17"/>
  <c r="K251" i="17"/>
  <c r="K211" i="17"/>
  <c r="K203" i="17"/>
  <c r="K195" i="17"/>
  <c r="K187" i="17"/>
  <c r="K179" i="17"/>
  <c r="K171" i="17"/>
  <c r="K163" i="17"/>
  <c r="K155" i="17"/>
  <c r="K147" i="17"/>
  <c r="K139" i="17"/>
  <c r="K131" i="17"/>
  <c r="K123" i="17"/>
  <c r="K115" i="17"/>
  <c r="K107" i="17"/>
  <c r="K99" i="17"/>
  <c r="K91" i="17"/>
  <c r="E250" i="17"/>
  <c r="E210" i="17"/>
  <c r="E202" i="17"/>
  <c r="E194" i="17"/>
  <c r="E186" i="17"/>
  <c r="E178" i="17"/>
  <c r="E170" i="17"/>
  <c r="E162" i="17"/>
  <c r="E154" i="17"/>
  <c r="E146" i="17"/>
  <c r="E138" i="17"/>
  <c r="E130" i="17"/>
  <c r="E122" i="17"/>
  <c r="E114" i="17"/>
  <c r="E106" i="17"/>
  <c r="E98" i="17"/>
  <c r="E90" i="17"/>
  <c r="J169" i="17"/>
  <c r="J161" i="17"/>
  <c r="J153" i="17"/>
  <c r="J145" i="17"/>
  <c r="J137" i="17"/>
  <c r="J129" i="17"/>
  <c r="J121" i="17"/>
  <c r="J113" i="17"/>
  <c r="J105" i="17"/>
  <c r="J97" i="17"/>
  <c r="J89" i="17"/>
  <c r="I10" i="18"/>
  <c r="E18" i="18"/>
  <c r="I108" i="18"/>
  <c r="I100" i="18"/>
  <c r="E95" i="18"/>
  <c r="E83" i="18"/>
  <c r="E79" i="18"/>
  <c r="E75" i="18"/>
  <c r="E71" i="18"/>
  <c r="E67" i="18"/>
  <c r="E63" i="18"/>
  <c r="E59" i="18"/>
  <c r="E55" i="18"/>
  <c r="E51" i="18"/>
  <c r="E47" i="18"/>
  <c r="E43" i="18"/>
  <c r="E39" i="18"/>
  <c r="E35" i="18"/>
  <c r="E31" i="18"/>
  <c r="E27" i="18"/>
  <c r="E23" i="18"/>
  <c r="A250" i="18"/>
  <c r="E250" i="18"/>
  <c r="A242" i="18"/>
  <c r="E242" i="18"/>
  <c r="A170" i="18"/>
  <c r="E170" i="18"/>
  <c r="A154" i="18"/>
  <c r="E154" i="18"/>
  <c r="A146" i="18"/>
  <c r="E146" i="18"/>
  <c r="A138" i="18"/>
  <c r="E138" i="18"/>
  <c r="A130" i="18"/>
  <c r="E130" i="18"/>
  <c r="A114" i="18"/>
  <c r="E114" i="18"/>
  <c r="A103" i="18"/>
  <c r="E224" i="18"/>
  <c r="I224" i="18"/>
  <c r="I212" i="18"/>
  <c r="I200" i="18"/>
  <c r="I157" i="18"/>
  <c r="E157" i="18"/>
  <c r="E151" i="18"/>
  <c r="I133" i="18"/>
  <c r="E133" i="18"/>
  <c r="B229" i="19"/>
  <c r="D381" i="19"/>
  <c r="B197" i="19"/>
  <c r="D150" i="19"/>
  <c r="B234" i="19"/>
  <c r="B318" i="19"/>
  <c r="D131" i="19"/>
  <c r="B215" i="19"/>
  <c r="D174" i="19"/>
  <c r="A258" i="19"/>
  <c r="A342" i="19"/>
  <c r="D87" i="19"/>
  <c r="B205" i="17"/>
  <c r="B197" i="17"/>
  <c r="B189" i="17"/>
  <c r="B181" i="17"/>
  <c r="B173" i="17"/>
  <c r="B254" i="17"/>
  <c r="B246" i="17"/>
  <c r="G251" i="17"/>
  <c r="G211" i="17"/>
  <c r="G203" i="17"/>
  <c r="G195" i="17"/>
  <c r="G187" i="17"/>
  <c r="G179" i="17"/>
  <c r="G171" i="17"/>
  <c r="G163" i="17"/>
  <c r="G155" i="17"/>
  <c r="G147" i="17"/>
  <c r="G139" i="17"/>
  <c r="G131" i="17"/>
  <c r="G123" i="17"/>
  <c r="G107" i="17"/>
  <c r="G99" i="17"/>
  <c r="G91" i="17"/>
  <c r="K250" i="17"/>
  <c r="K210" i="17"/>
  <c r="K202" i="17"/>
  <c r="K194" i="17"/>
  <c r="K186" i="17"/>
  <c r="K178" i="17"/>
  <c r="K170" i="17"/>
  <c r="K162" i="17"/>
  <c r="K154" i="17"/>
  <c r="K146" i="17"/>
  <c r="K138" i="17"/>
  <c r="K130" i="17"/>
  <c r="K114" i="17"/>
  <c r="E121" i="17"/>
  <c r="E113" i="17"/>
  <c r="J168" i="17"/>
  <c r="J160" i="17"/>
  <c r="J152" i="17"/>
  <c r="J144" i="17"/>
  <c r="J136" i="17"/>
  <c r="J128" i="17"/>
  <c r="J120" i="17"/>
  <c r="J112" i="17"/>
  <c r="J104" i="17"/>
  <c r="J96" i="17"/>
  <c r="J88" i="17"/>
  <c r="I7" i="18"/>
  <c r="E17" i="18"/>
  <c r="E12" i="18"/>
  <c r="E4" i="18"/>
  <c r="I83" i="18"/>
  <c r="I67" i="18"/>
  <c r="I51" i="18"/>
  <c r="I35" i="18"/>
  <c r="A94" i="18"/>
  <c r="A249" i="18"/>
  <c r="E249" i="18"/>
  <c r="A201" i="18"/>
  <c r="E201" i="18"/>
  <c r="A193" i="18"/>
  <c r="E193" i="18"/>
  <c r="A185" i="18"/>
  <c r="E185" i="18"/>
  <c r="A177" i="18"/>
  <c r="E177" i="18"/>
  <c r="E103" i="18"/>
  <c r="I248" i="18"/>
  <c r="I205" i="18"/>
  <c r="I181" i="18"/>
  <c r="E181" i="18"/>
  <c r="E144" i="18"/>
  <c r="I144" i="18"/>
  <c r="E132" i="18"/>
  <c r="I132" i="18"/>
  <c r="E120" i="18"/>
  <c r="I120" i="18"/>
  <c r="B392" i="19"/>
  <c r="D392" i="19"/>
  <c r="D218" i="19"/>
  <c r="D142" i="19"/>
  <c r="D116" i="19"/>
  <c r="D349" i="19"/>
  <c r="D177" i="19"/>
  <c r="A261" i="19"/>
  <c r="A345" i="19"/>
  <c r="B212" i="17"/>
  <c r="B204" i="17"/>
  <c r="B196" i="17"/>
  <c r="B188" i="17"/>
  <c r="B180" i="17"/>
  <c r="A254" i="18"/>
  <c r="E254" i="18"/>
  <c r="J257" i="17"/>
  <c r="K257" i="17"/>
  <c r="B342" i="17"/>
  <c r="E257" i="17"/>
  <c r="G257" i="17"/>
  <c r="A335" i="18"/>
  <c r="E335" i="18"/>
  <c r="E338" i="17"/>
  <c r="G338" i="17"/>
  <c r="J338" i="17"/>
  <c r="K338" i="17"/>
  <c r="B423" i="17"/>
  <c r="A327" i="18"/>
  <c r="E327" i="18"/>
  <c r="E330" i="17"/>
  <c r="G330" i="17"/>
  <c r="J330" i="17"/>
  <c r="K330" i="17"/>
  <c r="B415" i="17"/>
  <c r="J207" i="17"/>
  <c r="J199" i="17"/>
  <c r="J191" i="17"/>
  <c r="J183" i="17"/>
  <c r="J175" i="17"/>
  <c r="J103" i="17"/>
  <c r="E19" i="18"/>
  <c r="E98" i="18"/>
  <c r="E94" i="18"/>
  <c r="E90" i="18"/>
  <c r="E86" i="18"/>
  <c r="E82" i="18"/>
  <c r="E78" i="18"/>
  <c r="E74" i="18"/>
  <c r="E70" i="18"/>
  <c r="E66" i="18"/>
  <c r="E62" i="18"/>
  <c r="E58" i="18"/>
  <c r="E54" i="18"/>
  <c r="E50" i="18"/>
  <c r="E46" i="18"/>
  <c r="E42" i="18"/>
  <c r="E38" i="18"/>
  <c r="E34" i="18"/>
  <c r="E30" i="18"/>
  <c r="E26" i="18"/>
  <c r="E22" i="18"/>
  <c r="A248" i="18"/>
  <c r="E248" i="18"/>
  <c r="A208" i="18"/>
  <c r="E208" i="18"/>
  <c r="A200" i="18"/>
  <c r="E200" i="18"/>
  <c r="A192" i="18"/>
  <c r="A184" i="18"/>
  <c r="E184" i="18"/>
  <c r="A176" i="18"/>
  <c r="E176" i="18"/>
  <c r="I253" i="18"/>
  <c r="E247" i="18"/>
  <c r="I229" i="18"/>
  <c r="I204" i="18"/>
  <c r="E192" i="18"/>
  <c r="I192" i="18"/>
  <c r="I180" i="18"/>
  <c r="E168" i="18"/>
  <c r="I168" i="18"/>
  <c r="E156" i="18"/>
  <c r="I125" i="18"/>
  <c r="E125" i="18"/>
  <c r="E119" i="18"/>
  <c r="D180" i="19"/>
  <c r="D141" i="19"/>
  <c r="A225" i="19"/>
  <c r="D294" i="19"/>
  <c r="B378" i="19"/>
  <c r="E239" i="18"/>
  <c r="E223" i="18"/>
  <c r="E207" i="18"/>
  <c r="E159" i="18"/>
  <c r="E143" i="18"/>
  <c r="E127" i="18"/>
  <c r="E111" i="18"/>
  <c r="D274" i="19"/>
  <c r="D206" i="19"/>
  <c r="D105" i="19"/>
  <c r="D99" i="19"/>
  <c r="E238" i="18"/>
  <c r="E222" i="18"/>
  <c r="E163" i="18"/>
  <c r="E158" i="18"/>
  <c r="E147" i="18"/>
  <c r="E142" i="18"/>
  <c r="E131" i="18"/>
  <c r="E126" i="18"/>
  <c r="E115" i="18"/>
  <c r="E110" i="18"/>
  <c r="D414" i="19"/>
  <c r="B242" i="19"/>
  <c r="B326" i="19"/>
  <c r="D211" i="19"/>
  <c r="B203" i="19"/>
  <c r="D179" i="19"/>
  <c r="D171" i="19"/>
  <c r="D241" i="19"/>
  <c r="D115" i="19"/>
  <c r="D101" i="19"/>
  <c r="D378" i="19"/>
  <c r="D370" i="19"/>
  <c r="D140" i="19"/>
  <c r="D298" i="19"/>
  <c r="D126" i="19"/>
  <c r="D192" i="19"/>
  <c r="D94" i="19"/>
  <c r="D319" i="19"/>
  <c r="D163" i="19"/>
  <c r="D147" i="19"/>
  <c r="E230" i="18"/>
  <c r="E214" i="18"/>
  <c r="E166" i="18"/>
  <c r="E155" i="18"/>
  <c r="E150" i="18"/>
  <c r="E139" i="18"/>
  <c r="E134" i="18"/>
  <c r="E123" i="18"/>
  <c r="E118" i="18"/>
  <c r="D334" i="19"/>
  <c r="D386" i="19"/>
  <c r="B191" i="19"/>
  <c r="D136" i="19"/>
  <c r="D125" i="19"/>
  <c r="D122" i="19"/>
  <c r="D93" i="19"/>
  <c r="D90" i="19"/>
  <c r="A317" i="19"/>
  <c r="D233" i="19"/>
  <c r="D123" i="19"/>
  <c r="B207" i="19"/>
  <c r="D120" i="19"/>
  <c r="B204" i="19"/>
  <c r="D91" i="19"/>
  <c r="B175" i="19"/>
  <c r="D88" i="19"/>
  <c r="B172" i="19"/>
  <c r="D261" i="19"/>
  <c r="D191" i="19"/>
  <c r="B275" i="19"/>
  <c r="D330" i="19"/>
  <c r="D230" i="19"/>
  <c r="B184" i="19"/>
  <c r="D100" i="19"/>
  <c r="D269" i="19"/>
  <c r="B353" i="19"/>
  <c r="D353" i="19"/>
  <c r="D280" i="19"/>
  <c r="B364" i="19"/>
  <c r="D364" i="19"/>
  <c r="A333" i="19"/>
  <c r="A417" i="19"/>
  <c r="D249" i="19"/>
  <c r="B216" i="19"/>
  <c r="D132" i="19"/>
  <c r="D331" i="19"/>
  <c r="B415" i="19"/>
  <c r="D415" i="19"/>
  <c r="B403" i="19"/>
  <c r="D403" i="19"/>
  <c r="D345" i="19"/>
  <c r="D251" i="19"/>
  <c r="B335" i="19"/>
  <c r="D223" i="19"/>
  <c r="B307" i="19"/>
  <c r="B289" i="19"/>
  <c r="D205" i="19"/>
  <c r="B257" i="19"/>
  <c r="D173" i="19"/>
  <c r="D155" i="19"/>
  <c r="B239" i="19"/>
  <c r="D152" i="19"/>
  <c r="B236" i="19"/>
  <c r="D240" i="19"/>
  <c r="B324" i="19"/>
  <c r="D212" i="19"/>
  <c r="B296" i="19"/>
  <c r="A273" i="19"/>
  <c r="A357" i="19"/>
  <c r="D357" i="19"/>
  <c r="D189" i="19"/>
  <c r="B385" i="19"/>
  <c r="D276" i="19"/>
  <c r="B360" i="19"/>
  <c r="D360" i="19"/>
  <c r="B342" i="19"/>
  <c r="D342" i="19"/>
  <c r="D258" i="19"/>
  <c r="D187" i="19"/>
  <c r="B271" i="19"/>
  <c r="B248" i="19"/>
  <c r="D164" i="19"/>
  <c r="D232" i="19"/>
  <c r="B316" i="19"/>
  <c r="D315" i="19"/>
  <c r="B399" i="19"/>
  <c r="D399" i="19"/>
  <c r="D283" i="19"/>
  <c r="B367" i="19"/>
  <c r="D367" i="19"/>
  <c r="B321" i="19"/>
  <c r="D237" i="19"/>
  <c r="D277" i="19"/>
  <c r="A361" i="19"/>
  <c r="D361" i="19"/>
  <c r="D267" i="19"/>
  <c r="B351" i="19"/>
  <c r="D351" i="19"/>
  <c r="A305" i="19"/>
  <c r="A389" i="19"/>
  <c r="D221" i="19"/>
  <c r="B350" i="19"/>
  <c r="D350" i="19"/>
  <c r="D266" i="19"/>
  <c r="D255" i="19"/>
  <c r="B339" i="19"/>
  <c r="D339" i="19"/>
  <c r="B406" i="19"/>
  <c r="D406" i="19"/>
  <c r="B417" i="19"/>
  <c r="D417" i="19"/>
  <c r="D333" i="19"/>
  <c r="A293" i="19"/>
  <c r="D244" i="19"/>
  <c r="B328" i="19"/>
  <c r="B310" i="19"/>
  <c r="D226" i="19"/>
  <c r="D219" i="19"/>
  <c r="B303" i="19"/>
  <c r="A301" i="19"/>
  <c r="A385" i="19"/>
  <c r="D217" i="19"/>
  <c r="A369" i="19"/>
  <c r="D369" i="19"/>
  <c r="D285" i="19"/>
  <c r="D198" i="19"/>
  <c r="D208" i="19"/>
  <c r="D176" i="19"/>
  <c r="D151" i="19"/>
  <c r="B362" i="19"/>
  <c r="D362" i="19"/>
  <c r="D160" i="19"/>
  <c r="D128" i="19"/>
  <c r="D96" i="19"/>
  <c r="B421" i="19"/>
  <c r="D421" i="19"/>
  <c r="B389" i="19"/>
  <c r="D389" i="19"/>
  <c r="B314" i="19"/>
  <c r="D306" i="19"/>
  <c r="B282" i="19"/>
  <c r="B264" i="19"/>
  <c r="D246" i="19"/>
  <c r="D242" i="19"/>
  <c r="D210" i="19"/>
  <c r="D200" i="19"/>
  <c r="D196" i="19"/>
  <c r="D178" i="19"/>
  <c r="D165" i="19"/>
  <c r="D162" i="19"/>
  <c r="D159" i="19"/>
  <c r="D133" i="19"/>
  <c r="D130" i="19"/>
  <c r="D127" i="19"/>
  <c r="D95" i="19"/>
  <c r="D104" i="19"/>
  <c r="D235" i="19"/>
  <c r="B292" i="19"/>
  <c r="D270" i="19"/>
  <c r="B260" i="19"/>
  <c r="D234" i="19"/>
  <c r="B228" i="19"/>
  <c r="D202" i="19"/>
  <c r="D170" i="19"/>
  <c r="D167" i="19"/>
  <c r="D138" i="19"/>
  <c r="D135" i="19"/>
  <c r="D106" i="19"/>
  <c r="D103" i="19"/>
  <c r="B327" i="19"/>
  <c r="B295" i="19"/>
  <c r="D273" i="19"/>
  <c r="B263" i="19"/>
  <c r="B227" i="19"/>
  <c r="B195" i="19"/>
  <c r="B284" i="19"/>
  <c r="B252" i="19"/>
  <c r="B220" i="19"/>
  <c r="D194" i="19"/>
  <c r="B188" i="19"/>
  <c r="D149" i="19"/>
  <c r="D146" i="19"/>
  <c r="D117" i="19"/>
  <c r="D114" i="19"/>
  <c r="E9" i="18"/>
  <c r="I13" i="18"/>
  <c r="I5" i="18"/>
  <c r="I98" i="18"/>
  <c r="I90" i="18"/>
  <c r="I82" i="18"/>
  <c r="I74" i="18"/>
  <c r="I66" i="18"/>
  <c r="I58" i="18"/>
  <c r="I50" i="18"/>
  <c r="I42" i="18"/>
  <c r="I34" i="18"/>
  <c r="I26" i="18"/>
  <c r="I251" i="18"/>
  <c r="I247" i="18"/>
  <c r="I243" i="18"/>
  <c r="I239" i="18"/>
  <c r="I235" i="18"/>
  <c r="I231" i="18"/>
  <c r="I227" i="18"/>
  <c r="I223" i="18"/>
  <c r="I219" i="18"/>
  <c r="I215" i="18"/>
  <c r="I211" i="18"/>
  <c r="I207" i="18"/>
  <c r="I203" i="18"/>
  <c r="I199" i="18"/>
  <c r="I195" i="18"/>
  <c r="I191" i="18"/>
  <c r="I187" i="18"/>
  <c r="I183" i="18"/>
  <c r="I179" i="18"/>
  <c r="I175" i="18"/>
  <c r="I171" i="18"/>
  <c r="I167" i="18"/>
  <c r="I163" i="18"/>
  <c r="I159" i="18"/>
  <c r="I155" i="18"/>
  <c r="I151" i="18"/>
  <c r="I147" i="18"/>
  <c r="I143" i="18"/>
  <c r="I139" i="18"/>
  <c r="I135" i="18"/>
  <c r="I131" i="18"/>
  <c r="I127" i="18"/>
  <c r="I123" i="18"/>
  <c r="I119" i="18"/>
  <c r="I115" i="18"/>
  <c r="I111" i="18"/>
  <c r="E8" i="18"/>
  <c r="E16" i="18"/>
  <c r="I96" i="18"/>
  <c r="I72" i="18"/>
  <c r="I24" i="18"/>
  <c r="I88" i="18"/>
  <c r="I48" i="18"/>
  <c r="I95" i="18"/>
  <c r="I87" i="18"/>
  <c r="I79" i="18"/>
  <c r="I71" i="18"/>
  <c r="I63" i="18"/>
  <c r="I55" i="18"/>
  <c r="I47" i="18"/>
  <c r="I39" i="18"/>
  <c r="I31" i="18"/>
  <c r="I23" i="18"/>
  <c r="E80" i="18"/>
  <c r="E64" i="18"/>
  <c r="E56" i="18"/>
  <c r="E40" i="18"/>
  <c r="E32" i="18"/>
  <c r="I94" i="18"/>
  <c r="I86" i="18"/>
  <c r="I78" i="18"/>
  <c r="I70" i="18"/>
  <c r="I62" i="18"/>
  <c r="I54" i="18"/>
  <c r="I46" i="18"/>
  <c r="I38" i="18"/>
  <c r="I30" i="18"/>
  <c r="I22" i="18"/>
  <c r="H508" i="28"/>
  <c r="N508" i="28"/>
  <c r="H303" i="28"/>
  <c r="N303" i="28"/>
  <c r="H292" i="28"/>
  <c r="N292" i="28"/>
  <c r="H231" i="28"/>
  <c r="N231" i="28"/>
  <c r="H181" i="28"/>
  <c r="N181" i="28"/>
  <c r="H368" i="28"/>
  <c r="N368" i="28"/>
  <c r="H390" i="28"/>
  <c r="N390" i="28"/>
  <c r="H170" i="28"/>
  <c r="N170" i="28"/>
  <c r="H168" i="28"/>
  <c r="N168" i="28"/>
  <c r="H324" i="28"/>
  <c r="N324" i="28"/>
  <c r="H123" i="28"/>
  <c r="N123" i="28"/>
  <c r="H425" i="28"/>
  <c r="N425" i="28"/>
  <c r="H344" i="28"/>
  <c r="N344" i="28"/>
  <c r="H263" i="28"/>
  <c r="N263" i="28"/>
  <c r="H174" i="28"/>
  <c r="N174" i="28"/>
  <c r="H435" i="28"/>
  <c r="N435" i="28"/>
  <c r="H338" i="28"/>
  <c r="N338" i="28"/>
  <c r="H225" i="28"/>
  <c r="N225" i="28"/>
  <c r="H208" i="28"/>
  <c r="N208" i="28"/>
  <c r="H230" i="28"/>
  <c r="N230" i="28"/>
  <c r="H269" i="28"/>
  <c r="N269" i="28"/>
  <c r="H244" i="28"/>
  <c r="N244" i="28"/>
  <c r="H299" i="28"/>
  <c r="N299" i="28"/>
  <c r="H281" i="28"/>
  <c r="N281" i="28"/>
  <c r="H328" i="28"/>
  <c r="N328" i="28"/>
  <c r="H311" i="28"/>
  <c r="N311" i="28"/>
  <c r="H350" i="28"/>
  <c r="N350" i="28"/>
  <c r="H428" i="28"/>
  <c r="N428" i="28"/>
  <c r="B508" i="17"/>
  <c r="A420" i="18"/>
  <c r="E420" i="18"/>
  <c r="E423" i="17"/>
  <c r="G423" i="17"/>
  <c r="J423" i="17"/>
  <c r="K423" i="17"/>
  <c r="A339" i="18"/>
  <c r="E339" i="18"/>
  <c r="K342" i="17"/>
  <c r="E342" i="17"/>
  <c r="G342" i="17"/>
  <c r="J342" i="17"/>
  <c r="B427" i="17"/>
  <c r="B297" i="17"/>
  <c r="A209" i="18"/>
  <c r="E209" i="18"/>
  <c r="G212" i="17"/>
  <c r="K212" i="17"/>
  <c r="E212" i="17"/>
  <c r="J212" i="17"/>
  <c r="B339" i="17"/>
  <c r="A251" i="18"/>
  <c r="E251" i="18"/>
  <c r="G254" i="17"/>
  <c r="K254" i="17"/>
  <c r="E254" i="17"/>
  <c r="J254" i="17"/>
  <c r="B283" i="17"/>
  <c r="A196" i="18"/>
  <c r="E196" i="18"/>
  <c r="G198" i="17"/>
  <c r="K198" i="17"/>
  <c r="E198" i="17"/>
  <c r="J198" i="17"/>
  <c r="B313" i="17"/>
  <c r="A225" i="18"/>
  <c r="E225" i="18"/>
  <c r="G228" i="17"/>
  <c r="K228" i="17"/>
  <c r="E228" i="17"/>
  <c r="J228" i="17"/>
  <c r="A342" i="18"/>
  <c r="E342" i="18"/>
  <c r="E345" i="17"/>
  <c r="G345" i="17"/>
  <c r="K345" i="17"/>
  <c r="J345" i="17"/>
  <c r="B430" i="17"/>
  <c r="A374" i="18"/>
  <c r="E374" i="18"/>
  <c r="E377" i="17"/>
  <c r="G377" i="17"/>
  <c r="K377" i="17"/>
  <c r="J377" i="17"/>
  <c r="B462" i="17"/>
  <c r="B298" i="17"/>
  <c r="A210" i="18"/>
  <c r="E210" i="18"/>
  <c r="G213" i="17"/>
  <c r="K213" i="17"/>
  <c r="E213" i="17"/>
  <c r="J213" i="17"/>
  <c r="B293" i="17"/>
  <c r="E208" i="17"/>
  <c r="J208" i="17"/>
  <c r="A205" i="18"/>
  <c r="E205" i="18"/>
  <c r="G208" i="17"/>
  <c r="K208" i="17"/>
  <c r="B286" i="17"/>
  <c r="K201" i="17"/>
  <c r="E201" i="17"/>
  <c r="J201" i="17"/>
  <c r="A199" i="18"/>
  <c r="E199" i="18"/>
  <c r="G201" i="17"/>
  <c r="D305" i="19"/>
  <c r="D203" i="19"/>
  <c r="B287" i="19"/>
  <c r="B258" i="17"/>
  <c r="A171" i="18"/>
  <c r="E171" i="18"/>
  <c r="G173" i="17"/>
  <c r="K173" i="17"/>
  <c r="E173" i="17"/>
  <c r="J173" i="17"/>
  <c r="B299" i="19"/>
  <c r="D215" i="19"/>
  <c r="B291" i="17"/>
  <c r="A204" i="18"/>
  <c r="E204" i="18"/>
  <c r="G206" i="17"/>
  <c r="K206" i="17"/>
  <c r="E206" i="17"/>
  <c r="J206" i="17"/>
  <c r="B321" i="17"/>
  <c r="A233" i="18"/>
  <c r="E233" i="18"/>
  <c r="G236" i="17"/>
  <c r="K236" i="17"/>
  <c r="E236" i="17"/>
  <c r="J236" i="17"/>
  <c r="B306" i="17"/>
  <c r="A218" i="18"/>
  <c r="E218" i="18"/>
  <c r="G221" i="17"/>
  <c r="K221" i="17"/>
  <c r="E221" i="17"/>
  <c r="J221" i="17"/>
  <c r="B299" i="17"/>
  <c r="A211" i="18"/>
  <c r="E211" i="18"/>
  <c r="G214" i="17"/>
  <c r="K214" i="17"/>
  <c r="E214" i="17"/>
  <c r="J214" i="17"/>
  <c r="B294" i="17"/>
  <c r="K209" i="17"/>
  <c r="E209" i="17"/>
  <c r="J209" i="17"/>
  <c r="A206" i="18"/>
  <c r="E206" i="18"/>
  <c r="G209" i="17"/>
  <c r="A353" i="18"/>
  <c r="E353" i="18"/>
  <c r="E356" i="17"/>
  <c r="K356" i="17"/>
  <c r="J356" i="17"/>
  <c r="G356" i="17"/>
  <c r="B441" i="17"/>
  <c r="A354" i="18"/>
  <c r="E354" i="18"/>
  <c r="E357" i="17"/>
  <c r="G357" i="17"/>
  <c r="J357" i="17"/>
  <c r="K357" i="17"/>
  <c r="B442" i="17"/>
  <c r="K318" i="17"/>
  <c r="A315" i="18"/>
  <c r="E315" i="18"/>
  <c r="E318" i="17"/>
  <c r="G318" i="17"/>
  <c r="J318" i="17"/>
  <c r="B403" i="17"/>
  <c r="A316" i="18"/>
  <c r="E316" i="18"/>
  <c r="E319" i="17"/>
  <c r="G319" i="17"/>
  <c r="J319" i="17"/>
  <c r="K319" i="17"/>
  <c r="B404" i="17"/>
  <c r="A317" i="18"/>
  <c r="E317" i="18"/>
  <c r="G320" i="17"/>
  <c r="J320" i="17"/>
  <c r="K320" i="17"/>
  <c r="E320" i="17"/>
  <c r="B405" i="17"/>
  <c r="B500" i="17"/>
  <c r="A412" i="18"/>
  <c r="E412" i="18"/>
  <c r="E415" i="17"/>
  <c r="G415" i="17"/>
  <c r="J415" i="17"/>
  <c r="K415" i="17"/>
  <c r="B266" i="17"/>
  <c r="A179" i="18"/>
  <c r="E179" i="18"/>
  <c r="G181" i="17"/>
  <c r="K181" i="17"/>
  <c r="E181" i="17"/>
  <c r="J181" i="17"/>
  <c r="B329" i="17"/>
  <c r="A241" i="18"/>
  <c r="E241" i="18"/>
  <c r="G244" i="17"/>
  <c r="K244" i="17"/>
  <c r="E244" i="17"/>
  <c r="J244" i="17"/>
  <c r="A366" i="18"/>
  <c r="E366" i="18"/>
  <c r="E369" i="17"/>
  <c r="G369" i="17"/>
  <c r="K369" i="17"/>
  <c r="J369" i="17"/>
  <c r="B454" i="17"/>
  <c r="B314" i="17"/>
  <c r="A226" i="18"/>
  <c r="E226" i="18"/>
  <c r="G229" i="17"/>
  <c r="K229" i="17"/>
  <c r="E229" i="17"/>
  <c r="J229" i="17"/>
  <c r="B307" i="17"/>
  <c r="A219" i="18"/>
  <c r="E219" i="18"/>
  <c r="G222" i="17"/>
  <c r="K222" i="17"/>
  <c r="E222" i="17"/>
  <c r="J222" i="17"/>
  <c r="B300" i="17"/>
  <c r="J215" i="17"/>
  <c r="A212" i="18"/>
  <c r="E212" i="18"/>
  <c r="G215" i="17"/>
  <c r="K215" i="17"/>
  <c r="E215" i="17"/>
  <c r="B301" i="17"/>
  <c r="E216" i="17"/>
  <c r="J216" i="17"/>
  <c r="A213" i="18"/>
  <c r="E213" i="18"/>
  <c r="G216" i="17"/>
  <c r="K216" i="17"/>
  <c r="D326" i="19"/>
  <c r="B410" i="19"/>
  <c r="D410" i="19"/>
  <c r="B274" i="17"/>
  <c r="A187" i="18"/>
  <c r="E187" i="18"/>
  <c r="G189" i="17"/>
  <c r="K189" i="17"/>
  <c r="E189" i="17"/>
  <c r="J189" i="17"/>
  <c r="D318" i="19"/>
  <c r="B402" i="19"/>
  <c r="D402" i="19"/>
  <c r="B332" i="17"/>
  <c r="J247" i="17"/>
  <c r="A244" i="18"/>
  <c r="E244" i="18"/>
  <c r="G247" i="17"/>
  <c r="K247" i="17"/>
  <c r="E247" i="17"/>
  <c r="B322" i="17"/>
  <c r="A234" i="18"/>
  <c r="E234" i="18"/>
  <c r="G237" i="17"/>
  <c r="K237" i="17"/>
  <c r="E237" i="17"/>
  <c r="J237" i="17"/>
  <c r="A417" i="18"/>
  <c r="E417" i="18"/>
  <c r="E420" i="17"/>
  <c r="G420" i="17"/>
  <c r="J420" i="17"/>
  <c r="K420" i="17"/>
  <c r="B505" i="17"/>
  <c r="B315" i="17"/>
  <c r="A227" i="18"/>
  <c r="E227" i="18"/>
  <c r="G230" i="17"/>
  <c r="K230" i="17"/>
  <c r="E230" i="17"/>
  <c r="J230" i="17"/>
  <c r="B308" i="17"/>
  <c r="J223" i="17"/>
  <c r="A220" i="18"/>
  <c r="E220" i="18"/>
  <c r="G223" i="17"/>
  <c r="K223" i="17"/>
  <c r="E223" i="17"/>
  <c r="A345" i="18"/>
  <c r="E345" i="18"/>
  <c r="E348" i="17"/>
  <c r="K348" i="17"/>
  <c r="J348" i="17"/>
  <c r="G348" i="17"/>
  <c r="B433" i="17"/>
  <c r="A377" i="18"/>
  <c r="E377" i="18"/>
  <c r="E380" i="17"/>
  <c r="K380" i="17"/>
  <c r="J380" i="17"/>
  <c r="G380" i="17"/>
  <c r="B465" i="17"/>
  <c r="B309" i="17"/>
  <c r="E224" i="17"/>
  <c r="J224" i="17"/>
  <c r="A221" i="18"/>
  <c r="E221" i="18"/>
  <c r="G224" i="17"/>
  <c r="K224" i="17"/>
  <c r="A346" i="18"/>
  <c r="E346" i="18"/>
  <c r="E349" i="17"/>
  <c r="G349" i="17"/>
  <c r="J349" i="17"/>
  <c r="K349" i="17"/>
  <c r="B434" i="17"/>
  <c r="E381" i="17"/>
  <c r="G381" i="17"/>
  <c r="J381" i="17"/>
  <c r="K381" i="17"/>
  <c r="A378" i="18"/>
  <c r="E378" i="18"/>
  <c r="B466" i="17"/>
  <c r="A307" i="18"/>
  <c r="E307" i="18"/>
  <c r="K310" i="17"/>
  <c r="E310" i="17"/>
  <c r="J310" i="17"/>
  <c r="G310" i="17"/>
  <c r="B395" i="17"/>
  <c r="A308" i="18"/>
  <c r="E308" i="18"/>
  <c r="E311" i="17"/>
  <c r="G311" i="17"/>
  <c r="J311" i="17"/>
  <c r="K311" i="17"/>
  <c r="B396" i="17"/>
  <c r="A309" i="18"/>
  <c r="E309" i="18"/>
  <c r="G312" i="17"/>
  <c r="J312" i="17"/>
  <c r="K312" i="17"/>
  <c r="E312" i="17"/>
  <c r="B397" i="17"/>
  <c r="B265" i="17"/>
  <c r="A178" i="18"/>
  <c r="E178" i="18"/>
  <c r="G180" i="17"/>
  <c r="K180" i="17"/>
  <c r="E180" i="17"/>
  <c r="J180" i="17"/>
  <c r="B282" i="17"/>
  <c r="A195" i="18"/>
  <c r="E195" i="18"/>
  <c r="G197" i="17"/>
  <c r="K197" i="17"/>
  <c r="E197" i="17"/>
  <c r="J197" i="17"/>
  <c r="B340" i="17"/>
  <c r="A252" i="18"/>
  <c r="E252" i="18"/>
  <c r="J255" i="17"/>
  <c r="G255" i="17"/>
  <c r="K255" i="17"/>
  <c r="E255" i="17"/>
  <c r="A358" i="18"/>
  <c r="E358" i="18"/>
  <c r="E361" i="17"/>
  <c r="G361" i="17"/>
  <c r="K361" i="17"/>
  <c r="J361" i="17"/>
  <c r="B446" i="17"/>
  <c r="B261" i="17"/>
  <c r="E176" i="17"/>
  <c r="J176" i="17"/>
  <c r="A174" i="18"/>
  <c r="E174" i="18"/>
  <c r="G176" i="17"/>
  <c r="K176" i="17"/>
  <c r="B323" i="17"/>
  <c r="A235" i="18"/>
  <c r="E235" i="18"/>
  <c r="G238" i="17"/>
  <c r="K238" i="17"/>
  <c r="E238" i="17"/>
  <c r="J238" i="17"/>
  <c r="B506" i="17"/>
  <c r="A418" i="18"/>
  <c r="E418" i="18"/>
  <c r="G421" i="17"/>
  <c r="J421" i="17"/>
  <c r="K421" i="17"/>
  <c r="E421" i="17"/>
  <c r="B316" i="17"/>
  <c r="J231" i="17"/>
  <c r="A228" i="18"/>
  <c r="E228" i="18"/>
  <c r="G231" i="17"/>
  <c r="K231" i="17"/>
  <c r="E231" i="17"/>
  <c r="B507" i="17"/>
  <c r="A419" i="18"/>
  <c r="E419" i="18"/>
  <c r="E422" i="17"/>
  <c r="G422" i="17"/>
  <c r="K422" i="17"/>
  <c r="J422" i="17"/>
  <c r="B317" i="17"/>
  <c r="E232" i="17"/>
  <c r="J232" i="17"/>
  <c r="A229" i="18"/>
  <c r="E229" i="18"/>
  <c r="G232" i="17"/>
  <c r="K232" i="17"/>
  <c r="B273" i="17"/>
  <c r="A186" i="18"/>
  <c r="E186" i="18"/>
  <c r="G188" i="17"/>
  <c r="K188" i="17"/>
  <c r="E188" i="17"/>
  <c r="J188" i="17"/>
  <c r="B290" i="17"/>
  <c r="A203" i="18"/>
  <c r="E203" i="18"/>
  <c r="G205" i="17"/>
  <c r="K205" i="17"/>
  <c r="E205" i="17"/>
  <c r="J205" i="17"/>
  <c r="B281" i="19"/>
  <c r="D197" i="19"/>
  <c r="B259" i="17"/>
  <c r="A172" i="18"/>
  <c r="E172" i="18"/>
  <c r="G174" i="17"/>
  <c r="K174" i="17"/>
  <c r="E174" i="17"/>
  <c r="J174" i="17"/>
  <c r="B333" i="17"/>
  <c r="E248" i="17"/>
  <c r="J248" i="17"/>
  <c r="A245" i="18"/>
  <c r="E245" i="18"/>
  <c r="G248" i="17"/>
  <c r="K248" i="17"/>
  <c r="B269" i="17"/>
  <c r="E184" i="17"/>
  <c r="J184" i="17"/>
  <c r="A182" i="18"/>
  <c r="E182" i="18"/>
  <c r="G184" i="17"/>
  <c r="K184" i="17"/>
  <c r="B262" i="17"/>
  <c r="K177" i="17"/>
  <c r="E177" i="17"/>
  <c r="J177" i="17"/>
  <c r="A175" i="18"/>
  <c r="E175" i="18"/>
  <c r="G177" i="17"/>
  <c r="B324" i="17"/>
  <c r="J239" i="17"/>
  <c r="A236" i="18"/>
  <c r="E236" i="18"/>
  <c r="G239" i="17"/>
  <c r="K239" i="17"/>
  <c r="E239" i="17"/>
  <c r="A369" i="18"/>
  <c r="E369" i="18"/>
  <c r="E372" i="17"/>
  <c r="K372" i="17"/>
  <c r="J372" i="17"/>
  <c r="G372" i="17"/>
  <c r="B457" i="17"/>
  <c r="B325" i="17"/>
  <c r="E240" i="17"/>
  <c r="J240" i="17"/>
  <c r="A237" i="18"/>
  <c r="E237" i="18"/>
  <c r="G240" i="17"/>
  <c r="K240" i="17"/>
  <c r="A370" i="18"/>
  <c r="E370" i="18"/>
  <c r="E373" i="17"/>
  <c r="G373" i="17"/>
  <c r="J373" i="17"/>
  <c r="K373" i="17"/>
  <c r="B458" i="17"/>
  <c r="B413" i="19"/>
  <c r="D413" i="19"/>
  <c r="D329" i="19"/>
  <c r="A299" i="18"/>
  <c r="E299" i="18"/>
  <c r="K302" i="17"/>
  <c r="E302" i="17"/>
  <c r="J302" i="17"/>
  <c r="G302" i="17"/>
  <c r="B387" i="17"/>
  <c r="E303" i="17"/>
  <c r="A300" i="18"/>
  <c r="E300" i="18"/>
  <c r="G303" i="17"/>
  <c r="J303" i="17"/>
  <c r="K303" i="17"/>
  <c r="B388" i="17"/>
  <c r="A301" i="18"/>
  <c r="E301" i="18"/>
  <c r="G304" i="17"/>
  <c r="J304" i="17"/>
  <c r="K304" i="17"/>
  <c r="E304" i="17"/>
  <c r="B389" i="17"/>
  <c r="A309" i="19"/>
  <c r="D225" i="19"/>
  <c r="B281" i="17"/>
  <c r="A194" i="18"/>
  <c r="E194" i="18"/>
  <c r="G196" i="17"/>
  <c r="K196" i="17"/>
  <c r="E196" i="17"/>
  <c r="J196" i="17"/>
  <c r="B267" i="17"/>
  <c r="A180" i="18"/>
  <c r="E180" i="18"/>
  <c r="G182" i="17"/>
  <c r="K182" i="17"/>
  <c r="E182" i="17"/>
  <c r="J182" i="17"/>
  <c r="B341" i="17"/>
  <c r="A253" i="18"/>
  <c r="E253" i="18"/>
  <c r="E256" i="17"/>
  <c r="J256" i="17"/>
  <c r="G256" i="17"/>
  <c r="K256" i="17"/>
  <c r="A350" i="18"/>
  <c r="E350" i="18"/>
  <c r="E353" i="17"/>
  <c r="G353" i="17"/>
  <c r="K353" i="17"/>
  <c r="J353" i="17"/>
  <c r="B438" i="17"/>
  <c r="B277" i="17"/>
  <c r="E192" i="17"/>
  <c r="J192" i="17"/>
  <c r="A190" i="18"/>
  <c r="E190" i="18"/>
  <c r="G192" i="17"/>
  <c r="K192" i="17"/>
  <c r="B270" i="17"/>
  <c r="K185" i="17"/>
  <c r="E185" i="17"/>
  <c r="J185" i="17"/>
  <c r="A183" i="18"/>
  <c r="E183" i="18"/>
  <c r="G185" i="17"/>
  <c r="B289" i="17"/>
  <c r="A202" i="18"/>
  <c r="E202" i="18"/>
  <c r="G204" i="17"/>
  <c r="K204" i="17"/>
  <c r="E204" i="17"/>
  <c r="J204" i="17"/>
  <c r="B331" i="17"/>
  <c r="A243" i="18"/>
  <c r="E243" i="18"/>
  <c r="G246" i="17"/>
  <c r="K246" i="17"/>
  <c r="E246" i="17"/>
  <c r="J246" i="17"/>
  <c r="B313" i="19"/>
  <c r="D229" i="19"/>
  <c r="B275" i="17"/>
  <c r="A188" i="18"/>
  <c r="E188" i="18"/>
  <c r="G190" i="17"/>
  <c r="K190" i="17"/>
  <c r="E190" i="17"/>
  <c r="J190" i="17"/>
  <c r="B305" i="17"/>
  <c r="A217" i="18"/>
  <c r="E217" i="18"/>
  <c r="G220" i="17"/>
  <c r="K220" i="17"/>
  <c r="E220" i="17"/>
  <c r="J220" i="17"/>
  <c r="B334" i="17"/>
  <c r="K249" i="17"/>
  <c r="E249" i="17"/>
  <c r="J249" i="17"/>
  <c r="A246" i="18"/>
  <c r="E246" i="18"/>
  <c r="G249" i="17"/>
  <c r="B285" i="17"/>
  <c r="E200" i="17"/>
  <c r="J200" i="17"/>
  <c r="A198" i="18"/>
  <c r="E198" i="18"/>
  <c r="G200" i="17"/>
  <c r="K200" i="17"/>
  <c r="B278" i="17"/>
  <c r="K193" i="17"/>
  <c r="E193" i="17"/>
  <c r="J193" i="17"/>
  <c r="A191" i="18"/>
  <c r="E191" i="18"/>
  <c r="G193" i="17"/>
  <c r="A361" i="18"/>
  <c r="E361" i="18"/>
  <c r="E364" i="17"/>
  <c r="K364" i="17"/>
  <c r="J364" i="17"/>
  <c r="G364" i="17"/>
  <c r="B449" i="17"/>
  <c r="E365" i="17"/>
  <c r="G365" i="17"/>
  <c r="J365" i="17"/>
  <c r="K365" i="17"/>
  <c r="A362" i="18"/>
  <c r="E362" i="18"/>
  <c r="B450" i="17"/>
  <c r="A323" i="18"/>
  <c r="E323" i="18"/>
  <c r="K326" i="17"/>
  <c r="J326" i="17"/>
  <c r="E326" i="17"/>
  <c r="G326" i="17"/>
  <c r="B411" i="17"/>
  <c r="A324" i="18"/>
  <c r="E324" i="18"/>
  <c r="E327" i="17"/>
  <c r="G327" i="17"/>
  <c r="J327" i="17"/>
  <c r="K327" i="17"/>
  <c r="B412" i="17"/>
  <c r="A325" i="18"/>
  <c r="E325" i="18"/>
  <c r="G328" i="17"/>
  <c r="J328" i="17"/>
  <c r="K328" i="17"/>
  <c r="E328" i="17"/>
  <c r="B413" i="17"/>
  <c r="B355" i="19"/>
  <c r="D355" i="19"/>
  <c r="D271" i="19"/>
  <c r="D301" i="19"/>
  <c r="B320" i="19"/>
  <c r="D236" i="19"/>
  <c r="B373" i="19"/>
  <c r="D373" i="19"/>
  <c r="D289" i="19"/>
  <c r="D275" i="19"/>
  <c r="B359" i="19"/>
  <c r="D359" i="19"/>
  <c r="B259" i="19"/>
  <c r="D175" i="19"/>
  <c r="B344" i="19"/>
  <c r="D344" i="19"/>
  <c r="D260" i="19"/>
  <c r="B394" i="19"/>
  <c r="D394" i="19"/>
  <c r="D310" i="19"/>
  <c r="D385" i="19"/>
  <c r="D307" i="19"/>
  <c r="B391" i="19"/>
  <c r="D391" i="19"/>
  <c r="D195" i="19"/>
  <c r="B279" i="19"/>
  <c r="D328" i="19"/>
  <c r="B412" i="19"/>
  <c r="D412" i="19"/>
  <c r="B323" i="19"/>
  <c r="D239" i="19"/>
  <c r="B288" i="19"/>
  <c r="D204" i="19"/>
  <c r="D252" i="19"/>
  <c r="B336" i="19"/>
  <c r="D227" i="19"/>
  <c r="B311" i="19"/>
  <c r="D292" i="19"/>
  <c r="B376" i="19"/>
  <c r="D376" i="19"/>
  <c r="D264" i="19"/>
  <c r="B348" i="19"/>
  <c r="D348" i="19"/>
  <c r="D335" i="19"/>
  <c r="B419" i="19"/>
  <c r="D419" i="19"/>
  <c r="B366" i="19"/>
  <c r="D366" i="19"/>
  <c r="D282" i="19"/>
  <c r="A377" i="19"/>
  <c r="D377" i="19"/>
  <c r="D293" i="19"/>
  <c r="D316" i="19"/>
  <c r="B400" i="19"/>
  <c r="D400" i="19"/>
  <c r="D296" i="19"/>
  <c r="B380" i="19"/>
  <c r="D380" i="19"/>
  <c r="D216" i="19"/>
  <c r="B300" i="19"/>
  <c r="B291" i="19"/>
  <c r="D207" i="19"/>
  <c r="D263" i="19"/>
  <c r="B347" i="19"/>
  <c r="D347" i="19"/>
  <c r="D188" i="19"/>
  <c r="B272" i="19"/>
  <c r="B341" i="19"/>
  <c r="D341" i="19"/>
  <c r="D257" i="19"/>
  <c r="D184" i="19"/>
  <c r="B268" i="19"/>
  <c r="D284" i="19"/>
  <c r="B368" i="19"/>
  <c r="D368" i="19"/>
  <c r="D295" i="19"/>
  <c r="B379" i="19"/>
  <c r="D379" i="19"/>
  <c r="D303" i="19"/>
  <c r="B387" i="19"/>
  <c r="D387" i="19"/>
  <c r="D324" i="19"/>
  <c r="B408" i="19"/>
  <c r="D408" i="19"/>
  <c r="B256" i="19"/>
  <c r="D172" i="19"/>
  <c r="D314" i="19"/>
  <c r="B398" i="19"/>
  <c r="D398" i="19"/>
  <c r="D220" i="19"/>
  <c r="B304" i="19"/>
  <c r="D327" i="19"/>
  <c r="B411" i="19"/>
  <c r="D411" i="19"/>
  <c r="B312" i="19"/>
  <c r="D228" i="19"/>
  <c r="B405" i="19"/>
  <c r="D405" i="19"/>
  <c r="D321" i="19"/>
  <c r="D248" i="19"/>
  <c r="B332" i="19"/>
  <c r="A401" i="19"/>
  <c r="D401" i="19"/>
  <c r="D317" i="19"/>
  <c r="A331" i="18"/>
  <c r="E331" i="18"/>
  <c r="K334" i="17"/>
  <c r="E334" i="17"/>
  <c r="G334" i="17"/>
  <c r="J334" i="17"/>
  <c r="B419" i="17"/>
  <c r="B355" i="17"/>
  <c r="A267" i="18"/>
  <c r="E267" i="18"/>
  <c r="G270" i="17"/>
  <c r="J270" i="17"/>
  <c r="E270" i="17"/>
  <c r="K270" i="17"/>
  <c r="A264" i="18"/>
  <c r="E264" i="18"/>
  <c r="E267" i="17"/>
  <c r="B352" i="17"/>
  <c r="G267" i="17"/>
  <c r="J267" i="17"/>
  <c r="K267" i="17"/>
  <c r="A393" i="19"/>
  <c r="D393" i="19"/>
  <c r="D309" i="19"/>
  <c r="A322" i="18"/>
  <c r="E322" i="18"/>
  <c r="E325" i="17"/>
  <c r="G325" i="17"/>
  <c r="J325" i="17"/>
  <c r="K325" i="17"/>
  <c r="B410" i="17"/>
  <c r="B354" i="17"/>
  <c r="A266" i="18"/>
  <c r="E266" i="18"/>
  <c r="K269" i="17"/>
  <c r="E269" i="17"/>
  <c r="G269" i="17"/>
  <c r="J269" i="17"/>
  <c r="A314" i="18"/>
  <c r="E314" i="18"/>
  <c r="E317" i="17"/>
  <c r="G317" i="17"/>
  <c r="J317" i="17"/>
  <c r="K317" i="17"/>
  <c r="B402" i="17"/>
  <c r="A320" i="18"/>
  <c r="E320" i="18"/>
  <c r="J323" i="17"/>
  <c r="K323" i="17"/>
  <c r="G323" i="17"/>
  <c r="E323" i="17"/>
  <c r="B408" i="17"/>
  <c r="A279" i="18"/>
  <c r="E279" i="18"/>
  <c r="E282" i="17"/>
  <c r="G282" i="17"/>
  <c r="J282" i="17"/>
  <c r="K282" i="17"/>
  <c r="B367" i="17"/>
  <c r="A304" i="18"/>
  <c r="E304" i="18"/>
  <c r="J307" i="17"/>
  <c r="K307" i="17"/>
  <c r="G307" i="17"/>
  <c r="E307" i="17"/>
  <c r="B392" i="17"/>
  <c r="A263" i="18"/>
  <c r="E263" i="18"/>
  <c r="E266" i="17"/>
  <c r="G266" i="17"/>
  <c r="J266" i="17"/>
  <c r="B351" i="17"/>
  <c r="K266" i="17"/>
  <c r="A296" i="18"/>
  <c r="E296" i="18"/>
  <c r="J299" i="17"/>
  <c r="K299" i="17"/>
  <c r="G299" i="17"/>
  <c r="E299" i="17"/>
  <c r="B384" i="17"/>
  <c r="B547" i="17"/>
  <c r="A459" i="18"/>
  <c r="E459" i="18"/>
  <c r="E462" i="17"/>
  <c r="G462" i="17"/>
  <c r="K462" i="17"/>
  <c r="J462" i="17"/>
  <c r="B498" i="17"/>
  <c r="A410" i="18"/>
  <c r="E410" i="18"/>
  <c r="G413" i="17"/>
  <c r="J413" i="17"/>
  <c r="K413" i="17"/>
  <c r="E413" i="17"/>
  <c r="B534" i="17"/>
  <c r="A446" i="18"/>
  <c r="E446" i="18"/>
  <c r="E449" i="17"/>
  <c r="G449" i="17"/>
  <c r="J449" i="17"/>
  <c r="K449" i="17"/>
  <c r="B474" i="17"/>
  <c r="A386" i="18"/>
  <c r="E386" i="18"/>
  <c r="E389" i="17"/>
  <c r="G389" i="17"/>
  <c r="J389" i="17"/>
  <c r="K389" i="17"/>
  <c r="B542" i="17"/>
  <c r="A454" i="18"/>
  <c r="E454" i="18"/>
  <c r="E457" i="17"/>
  <c r="G457" i="17"/>
  <c r="J457" i="17"/>
  <c r="K457" i="17"/>
  <c r="A463" i="18"/>
  <c r="E463" i="18"/>
  <c r="E466" i="17"/>
  <c r="G466" i="17"/>
  <c r="J466" i="17"/>
  <c r="K466" i="17"/>
  <c r="B551" i="17"/>
  <c r="B518" i="17"/>
  <c r="A430" i="18"/>
  <c r="E430" i="18"/>
  <c r="E433" i="17"/>
  <c r="G433" i="17"/>
  <c r="J433" i="17"/>
  <c r="K433" i="17"/>
  <c r="A439" i="18"/>
  <c r="E439" i="18"/>
  <c r="E442" i="17"/>
  <c r="G442" i="17"/>
  <c r="J442" i="17"/>
  <c r="K442" i="17"/>
  <c r="B527" i="17"/>
  <c r="B378" i="17"/>
  <c r="A290" i="18"/>
  <c r="E290" i="18"/>
  <c r="E293" i="17"/>
  <c r="G293" i="17"/>
  <c r="J293" i="17"/>
  <c r="K293" i="17"/>
  <c r="A310" i="18"/>
  <c r="E310" i="18"/>
  <c r="E313" i="17"/>
  <c r="G313" i="17"/>
  <c r="K313" i="17"/>
  <c r="J313" i="17"/>
  <c r="B398" i="17"/>
  <c r="B370" i="17"/>
  <c r="A282" i="18"/>
  <c r="E282" i="18"/>
  <c r="E285" i="17"/>
  <c r="G285" i="17"/>
  <c r="J285" i="17"/>
  <c r="K285" i="17"/>
  <c r="A286" i="18"/>
  <c r="E286" i="18"/>
  <c r="E289" i="17"/>
  <c r="G289" i="17"/>
  <c r="K289" i="17"/>
  <c r="J289" i="17"/>
  <c r="B374" i="17"/>
  <c r="A338" i="18"/>
  <c r="E338" i="18"/>
  <c r="E341" i="17"/>
  <c r="G341" i="17"/>
  <c r="J341" i="17"/>
  <c r="K341" i="17"/>
  <c r="B426" i="17"/>
  <c r="B347" i="17"/>
  <c r="A259" i="18"/>
  <c r="E259" i="18"/>
  <c r="G262" i="17"/>
  <c r="J262" i="17"/>
  <c r="K262" i="17"/>
  <c r="E262" i="17"/>
  <c r="A270" i="18"/>
  <c r="E270" i="18"/>
  <c r="J273" i="17"/>
  <c r="K273" i="17"/>
  <c r="B358" i="17"/>
  <c r="G273" i="17"/>
  <c r="E273" i="17"/>
  <c r="B591" i="17"/>
  <c r="A503" i="18"/>
  <c r="E503" i="18"/>
  <c r="E506" i="17"/>
  <c r="G506" i="17"/>
  <c r="J506" i="17"/>
  <c r="K506" i="17"/>
  <c r="A337" i="18"/>
  <c r="E337" i="18"/>
  <c r="E340" i="17"/>
  <c r="K340" i="17"/>
  <c r="J340" i="17"/>
  <c r="G340" i="17"/>
  <c r="B425" i="17"/>
  <c r="A306" i="18"/>
  <c r="E306" i="18"/>
  <c r="E309" i="17"/>
  <c r="G309" i="17"/>
  <c r="J309" i="17"/>
  <c r="K309" i="17"/>
  <c r="B394" i="17"/>
  <c r="A312" i="18"/>
  <c r="E312" i="18"/>
  <c r="J315" i="17"/>
  <c r="K315" i="17"/>
  <c r="G315" i="17"/>
  <c r="E315" i="17"/>
  <c r="B400" i="17"/>
  <c r="B385" i="17"/>
  <c r="A297" i="18"/>
  <c r="E297" i="18"/>
  <c r="E300" i="17"/>
  <c r="G300" i="17"/>
  <c r="J300" i="17"/>
  <c r="K300" i="17"/>
  <c r="A326" i="18"/>
  <c r="E326" i="18"/>
  <c r="E329" i="17"/>
  <c r="K329" i="17"/>
  <c r="G329" i="17"/>
  <c r="J329" i="17"/>
  <c r="B414" i="17"/>
  <c r="B379" i="17"/>
  <c r="A291" i="18"/>
  <c r="E291" i="18"/>
  <c r="K294" i="17"/>
  <c r="E294" i="17"/>
  <c r="J294" i="17"/>
  <c r="G294" i="17"/>
  <c r="A288" i="18"/>
  <c r="E288" i="18"/>
  <c r="J291" i="17"/>
  <c r="K291" i="17"/>
  <c r="G291" i="17"/>
  <c r="E291" i="17"/>
  <c r="B376" i="17"/>
  <c r="A255" i="18"/>
  <c r="E255" i="18"/>
  <c r="B343" i="17"/>
  <c r="G258" i="17"/>
  <c r="E258" i="17"/>
  <c r="J258" i="17"/>
  <c r="K258" i="17"/>
  <c r="A447" i="18"/>
  <c r="E447" i="18"/>
  <c r="E450" i="17"/>
  <c r="G450" i="17"/>
  <c r="J450" i="17"/>
  <c r="K450" i="17"/>
  <c r="B535" i="17"/>
  <c r="A392" i="18"/>
  <c r="E392" i="18"/>
  <c r="J395" i="17"/>
  <c r="K395" i="17"/>
  <c r="E395" i="17"/>
  <c r="G395" i="17"/>
  <c r="B480" i="17"/>
  <c r="B550" i="17"/>
  <c r="A462" i="18"/>
  <c r="E462" i="18"/>
  <c r="E465" i="17"/>
  <c r="G465" i="17"/>
  <c r="J465" i="17"/>
  <c r="K465" i="17"/>
  <c r="B590" i="17"/>
  <c r="A502" i="18"/>
  <c r="E502" i="18"/>
  <c r="E505" i="17"/>
  <c r="G505" i="17"/>
  <c r="J505" i="17"/>
  <c r="K505" i="17"/>
  <c r="A400" i="18"/>
  <c r="E400" i="18"/>
  <c r="K403" i="17"/>
  <c r="E403" i="17"/>
  <c r="J403" i="17"/>
  <c r="G403" i="17"/>
  <c r="B488" i="17"/>
  <c r="B371" i="19"/>
  <c r="D371" i="19"/>
  <c r="D287" i="19"/>
  <c r="B371" i="17"/>
  <c r="A283" i="18"/>
  <c r="E283" i="18"/>
  <c r="K286" i="17"/>
  <c r="E286" i="17"/>
  <c r="J286" i="17"/>
  <c r="G286" i="17"/>
  <c r="A294" i="18"/>
  <c r="E294" i="18"/>
  <c r="E297" i="17"/>
  <c r="G297" i="17"/>
  <c r="K297" i="17"/>
  <c r="J297" i="17"/>
  <c r="B382" i="17"/>
  <c r="B363" i="17"/>
  <c r="A275" i="18"/>
  <c r="E275" i="18"/>
  <c r="K278" i="17"/>
  <c r="E278" i="17"/>
  <c r="J278" i="17"/>
  <c r="G278" i="17"/>
  <c r="G275" i="17"/>
  <c r="K275" i="17"/>
  <c r="A272" i="18"/>
  <c r="E272" i="18"/>
  <c r="J275" i="17"/>
  <c r="E275" i="17"/>
  <c r="B360" i="17"/>
  <c r="A328" i="18"/>
  <c r="E328" i="18"/>
  <c r="J331" i="17"/>
  <c r="K331" i="17"/>
  <c r="E331" i="17"/>
  <c r="G331" i="17"/>
  <c r="B416" i="17"/>
  <c r="A321" i="18"/>
  <c r="E321" i="18"/>
  <c r="E324" i="17"/>
  <c r="G324" i="17"/>
  <c r="J324" i="17"/>
  <c r="K324" i="17"/>
  <c r="B409" i="17"/>
  <c r="A256" i="18"/>
  <c r="E256" i="18"/>
  <c r="E259" i="17"/>
  <c r="G259" i="17"/>
  <c r="J259" i="17"/>
  <c r="K259" i="17"/>
  <c r="B344" i="17"/>
  <c r="A287" i="18"/>
  <c r="E287" i="18"/>
  <c r="E290" i="17"/>
  <c r="G290" i="17"/>
  <c r="J290" i="17"/>
  <c r="K290" i="17"/>
  <c r="B375" i="17"/>
  <c r="A313" i="18"/>
  <c r="E313" i="18"/>
  <c r="E316" i="17"/>
  <c r="G316" i="17"/>
  <c r="J316" i="17"/>
  <c r="K316" i="17"/>
  <c r="B401" i="17"/>
  <c r="E308" i="17"/>
  <c r="A305" i="18"/>
  <c r="E305" i="18"/>
  <c r="G308" i="17"/>
  <c r="J308" i="17"/>
  <c r="K308" i="17"/>
  <c r="B393" i="17"/>
  <c r="A329" i="18"/>
  <c r="E329" i="18"/>
  <c r="E332" i="17"/>
  <c r="K332" i="17"/>
  <c r="G332" i="17"/>
  <c r="J332" i="17"/>
  <c r="B417" i="17"/>
  <c r="A271" i="18"/>
  <c r="E271" i="18"/>
  <c r="B359" i="17"/>
  <c r="E274" i="17"/>
  <c r="G274" i="17"/>
  <c r="J274" i="17"/>
  <c r="K274" i="17"/>
  <c r="A298" i="18"/>
  <c r="E298" i="18"/>
  <c r="E301" i="17"/>
  <c r="G301" i="17"/>
  <c r="J301" i="17"/>
  <c r="K301" i="17"/>
  <c r="B386" i="17"/>
  <c r="E321" i="17"/>
  <c r="G321" i="17"/>
  <c r="A318" i="18"/>
  <c r="E318" i="18"/>
  <c r="J321" i="17"/>
  <c r="K321" i="17"/>
  <c r="B406" i="17"/>
  <c r="D299" i="19"/>
  <c r="B383" i="19"/>
  <c r="D383" i="19"/>
  <c r="A424" i="18"/>
  <c r="E424" i="18"/>
  <c r="K427" i="17"/>
  <c r="E427" i="17"/>
  <c r="J427" i="17"/>
  <c r="G427" i="17"/>
  <c r="B512" i="17"/>
  <c r="A408" i="18"/>
  <c r="E408" i="18"/>
  <c r="K411" i="17"/>
  <c r="E411" i="17"/>
  <c r="J411" i="17"/>
  <c r="G411" i="17"/>
  <c r="B496" i="17"/>
  <c r="A384" i="18"/>
  <c r="E384" i="18"/>
  <c r="J387" i="17"/>
  <c r="K387" i="17"/>
  <c r="E387" i="17"/>
  <c r="G387" i="17"/>
  <c r="B472" i="17"/>
  <c r="A455" i="18"/>
  <c r="E455" i="18"/>
  <c r="E458" i="17"/>
  <c r="G458" i="17"/>
  <c r="J458" i="17"/>
  <c r="K458" i="17"/>
  <c r="B543" i="17"/>
  <c r="A393" i="18"/>
  <c r="E393" i="18"/>
  <c r="E396" i="17"/>
  <c r="K396" i="17"/>
  <c r="J396" i="17"/>
  <c r="G396" i="17"/>
  <c r="B481" i="17"/>
  <c r="A401" i="18"/>
  <c r="E401" i="18"/>
  <c r="E404" i="17"/>
  <c r="G404" i="17"/>
  <c r="J404" i="17"/>
  <c r="K404" i="17"/>
  <c r="B489" i="17"/>
  <c r="A336" i="18"/>
  <c r="E336" i="18"/>
  <c r="J339" i="17"/>
  <c r="K339" i="17"/>
  <c r="E339" i="17"/>
  <c r="G339" i="17"/>
  <c r="B424" i="17"/>
  <c r="A302" i="18"/>
  <c r="E302" i="18"/>
  <c r="E305" i="17"/>
  <c r="G305" i="17"/>
  <c r="K305" i="17"/>
  <c r="J305" i="17"/>
  <c r="B390" i="17"/>
  <c r="D313" i="19"/>
  <c r="B397" i="19"/>
  <c r="D397" i="19"/>
  <c r="B362" i="17"/>
  <c r="A274" i="18"/>
  <c r="E274" i="18"/>
  <c r="G277" i="17"/>
  <c r="E277" i="17"/>
  <c r="J277" i="17"/>
  <c r="K277" i="17"/>
  <c r="A278" i="18"/>
  <c r="E278" i="18"/>
  <c r="E281" i="17"/>
  <c r="G281" i="17"/>
  <c r="K281" i="17"/>
  <c r="J281" i="17"/>
  <c r="B366" i="17"/>
  <c r="E333" i="17"/>
  <c r="G333" i="17"/>
  <c r="J333" i="17"/>
  <c r="K333" i="17"/>
  <c r="A330" i="18"/>
  <c r="E330" i="18"/>
  <c r="B418" i="17"/>
  <c r="D281" i="19"/>
  <c r="B365" i="19"/>
  <c r="D365" i="19"/>
  <c r="B592" i="17"/>
  <c r="A504" i="18"/>
  <c r="E504" i="18"/>
  <c r="K507" i="17"/>
  <c r="E507" i="17"/>
  <c r="J507" i="17"/>
  <c r="G507" i="17"/>
  <c r="B346" i="17"/>
  <c r="A258" i="18"/>
  <c r="E258" i="18"/>
  <c r="E261" i="17"/>
  <c r="G261" i="17"/>
  <c r="J261" i="17"/>
  <c r="K261" i="17"/>
  <c r="A262" i="18"/>
  <c r="E262" i="18"/>
  <c r="J265" i="17"/>
  <c r="K265" i="17"/>
  <c r="B350" i="17"/>
  <c r="E265" i="17"/>
  <c r="G265" i="17"/>
  <c r="A319" i="18"/>
  <c r="E319" i="18"/>
  <c r="E322" i="17"/>
  <c r="G322" i="17"/>
  <c r="J322" i="17"/>
  <c r="K322" i="17"/>
  <c r="B407" i="17"/>
  <c r="A311" i="18"/>
  <c r="E311" i="18"/>
  <c r="E314" i="17"/>
  <c r="G314" i="17"/>
  <c r="J314" i="17"/>
  <c r="K314" i="17"/>
  <c r="B399" i="17"/>
  <c r="B585" i="17"/>
  <c r="A497" i="18"/>
  <c r="E497" i="18"/>
  <c r="E500" i="17"/>
  <c r="G500" i="17"/>
  <c r="J500" i="17"/>
  <c r="K500" i="17"/>
  <c r="A303" i="18"/>
  <c r="E303" i="18"/>
  <c r="E306" i="17"/>
  <c r="G306" i="17"/>
  <c r="J306" i="17"/>
  <c r="K306" i="17"/>
  <c r="B391" i="17"/>
  <c r="B515" i="17"/>
  <c r="A427" i="18"/>
  <c r="E427" i="18"/>
  <c r="E430" i="17"/>
  <c r="G430" i="17"/>
  <c r="K430" i="17"/>
  <c r="J430" i="17"/>
  <c r="A409" i="18"/>
  <c r="E409" i="18"/>
  <c r="E412" i="17"/>
  <c r="G412" i="17"/>
  <c r="J412" i="17"/>
  <c r="K412" i="17"/>
  <c r="B497" i="17"/>
  <c r="B523" i="17"/>
  <c r="A435" i="18"/>
  <c r="E435" i="18"/>
  <c r="E438" i="17"/>
  <c r="G438" i="17"/>
  <c r="K438" i="17"/>
  <c r="J438" i="17"/>
  <c r="A385" i="18"/>
  <c r="E385" i="18"/>
  <c r="E388" i="17"/>
  <c r="K388" i="17"/>
  <c r="J388" i="17"/>
  <c r="G388" i="17"/>
  <c r="B473" i="17"/>
  <c r="B531" i="17"/>
  <c r="A443" i="18"/>
  <c r="E443" i="18"/>
  <c r="E446" i="17"/>
  <c r="G446" i="17"/>
  <c r="K446" i="17"/>
  <c r="J446" i="17"/>
  <c r="B482" i="17"/>
  <c r="A394" i="18"/>
  <c r="E394" i="18"/>
  <c r="E397" i="17"/>
  <c r="G397" i="17"/>
  <c r="J397" i="17"/>
  <c r="K397" i="17"/>
  <c r="A431" i="18"/>
  <c r="E431" i="18"/>
  <c r="E434" i="17"/>
  <c r="G434" i="17"/>
  <c r="J434" i="17"/>
  <c r="K434" i="17"/>
  <c r="B519" i="17"/>
  <c r="B539" i="17"/>
  <c r="A451" i="18"/>
  <c r="E451" i="18"/>
  <c r="E454" i="17"/>
  <c r="G454" i="17"/>
  <c r="K454" i="17"/>
  <c r="J454" i="17"/>
  <c r="B490" i="17"/>
  <c r="A402" i="18"/>
  <c r="E402" i="18"/>
  <c r="G405" i="17"/>
  <c r="J405" i="17"/>
  <c r="K405" i="17"/>
  <c r="E405" i="17"/>
  <c r="B526" i="17"/>
  <c r="A438" i="18"/>
  <c r="E438" i="18"/>
  <c r="E441" i="17"/>
  <c r="G441" i="17"/>
  <c r="J441" i="17"/>
  <c r="K441" i="17"/>
  <c r="A295" i="18"/>
  <c r="E295" i="18"/>
  <c r="E298" i="17"/>
  <c r="G298" i="17"/>
  <c r="J298" i="17"/>
  <c r="K298" i="17"/>
  <c r="B383" i="17"/>
  <c r="A280" i="18"/>
  <c r="E280" i="18"/>
  <c r="J283" i="17"/>
  <c r="K283" i="17"/>
  <c r="G283" i="17"/>
  <c r="E283" i="17"/>
  <c r="B368" i="17"/>
  <c r="B593" i="17"/>
  <c r="A505" i="18"/>
  <c r="E505" i="18"/>
  <c r="E508" i="17"/>
  <c r="G508" i="17"/>
  <c r="J508" i="17"/>
  <c r="K508" i="17"/>
  <c r="B352" i="19"/>
  <c r="D352" i="19"/>
  <c r="D268" i="19"/>
  <c r="D291" i="19"/>
  <c r="B375" i="19"/>
  <c r="D375" i="19"/>
  <c r="D323" i="19"/>
  <c r="B407" i="19"/>
  <c r="D407" i="19"/>
  <c r="D332" i="19"/>
  <c r="B416" i="19"/>
  <c r="D416" i="19"/>
  <c r="D304" i="19"/>
  <c r="B388" i="19"/>
  <c r="D388" i="19"/>
  <c r="B384" i="19"/>
  <c r="D384" i="19"/>
  <c r="D300" i="19"/>
  <c r="D311" i="19"/>
  <c r="B395" i="19"/>
  <c r="D395" i="19"/>
  <c r="D272" i="19"/>
  <c r="B356" i="19"/>
  <c r="D356" i="19"/>
  <c r="D336" i="19"/>
  <c r="B420" i="19"/>
  <c r="D420" i="19"/>
  <c r="B363" i="19"/>
  <c r="D363" i="19"/>
  <c r="D279" i="19"/>
  <c r="D320" i="19"/>
  <c r="B404" i="19"/>
  <c r="D404" i="19"/>
  <c r="D259" i="19"/>
  <c r="B343" i="19"/>
  <c r="D343" i="19"/>
  <c r="D312" i="19"/>
  <c r="B396" i="19"/>
  <c r="D396" i="19"/>
  <c r="D256" i="19"/>
  <c r="B340" i="19"/>
  <c r="D340" i="19"/>
  <c r="D288" i="19"/>
  <c r="B372" i="19"/>
  <c r="D372" i="19"/>
  <c r="B492" i="17"/>
  <c r="A404" i="18"/>
  <c r="E404" i="18"/>
  <c r="E407" i="17"/>
  <c r="G407" i="17"/>
  <c r="J407" i="17"/>
  <c r="K407" i="17"/>
  <c r="A347" i="18"/>
  <c r="E347" i="18"/>
  <c r="K350" i="17"/>
  <c r="E350" i="17"/>
  <c r="G350" i="17"/>
  <c r="J350" i="17"/>
  <c r="B435" i="17"/>
  <c r="A379" i="18"/>
  <c r="E379" i="18"/>
  <c r="K382" i="17"/>
  <c r="E382" i="17"/>
  <c r="G382" i="17"/>
  <c r="J382" i="17"/>
  <c r="B467" i="17"/>
  <c r="B565" i="17"/>
  <c r="A477" i="18"/>
  <c r="E477" i="18"/>
  <c r="J480" i="17"/>
  <c r="K480" i="17"/>
  <c r="G480" i="17"/>
  <c r="E480" i="17"/>
  <c r="A391" i="18"/>
  <c r="E391" i="18"/>
  <c r="E394" i="17"/>
  <c r="G394" i="17"/>
  <c r="J394" i="17"/>
  <c r="K394" i="17"/>
  <c r="B479" i="17"/>
  <c r="B483" i="17"/>
  <c r="A395" i="18"/>
  <c r="E395" i="18"/>
  <c r="K398" i="17"/>
  <c r="E398" i="17"/>
  <c r="G398" i="17"/>
  <c r="J398" i="17"/>
  <c r="K523" i="17"/>
  <c r="E523" i="17"/>
  <c r="A520" i="18"/>
  <c r="E520" i="18"/>
  <c r="J523" i="17"/>
  <c r="G523" i="17"/>
  <c r="B608" i="17"/>
  <c r="A582" i="18"/>
  <c r="E582" i="18"/>
  <c r="E585" i="17"/>
  <c r="G585" i="17"/>
  <c r="J585" i="17"/>
  <c r="K585" i="17"/>
  <c r="B670" i="17"/>
  <c r="A343" i="18"/>
  <c r="E343" i="18"/>
  <c r="E346" i="17"/>
  <c r="G346" i="17"/>
  <c r="J346" i="17"/>
  <c r="K346" i="17"/>
  <c r="B431" i="17"/>
  <c r="A587" i="18"/>
  <c r="E587" i="18"/>
  <c r="E590" i="17"/>
  <c r="G590" i="17"/>
  <c r="J590" i="17"/>
  <c r="K590" i="17"/>
  <c r="B675" i="17"/>
  <c r="A382" i="18"/>
  <c r="E382" i="18"/>
  <c r="E385" i="17"/>
  <c r="G385" i="17"/>
  <c r="K385" i="17"/>
  <c r="J385" i="17"/>
  <c r="B470" i="17"/>
  <c r="A588" i="18"/>
  <c r="E588" i="18"/>
  <c r="K591" i="17"/>
  <c r="E591" i="17"/>
  <c r="G591" i="17"/>
  <c r="J591" i="17"/>
  <c r="B676" i="17"/>
  <c r="B559" i="17"/>
  <c r="A471" i="18"/>
  <c r="E471" i="18"/>
  <c r="E474" i="17"/>
  <c r="G474" i="17"/>
  <c r="J474" i="17"/>
  <c r="K474" i="17"/>
  <c r="A349" i="18"/>
  <c r="E349" i="18"/>
  <c r="G352" i="17"/>
  <c r="J352" i="17"/>
  <c r="K352" i="17"/>
  <c r="E352" i="17"/>
  <c r="B437" i="17"/>
  <c r="A352" i="18"/>
  <c r="E352" i="18"/>
  <c r="J355" i="17"/>
  <c r="K355" i="17"/>
  <c r="E355" i="17"/>
  <c r="G355" i="17"/>
  <c r="B440" i="17"/>
  <c r="A340" i="18"/>
  <c r="E340" i="18"/>
  <c r="E343" i="17"/>
  <c r="G343" i="17"/>
  <c r="K343" i="17"/>
  <c r="J343" i="17"/>
  <c r="B428" i="17"/>
  <c r="A548" i="18"/>
  <c r="E548" i="18"/>
  <c r="E551" i="17"/>
  <c r="G551" i="17"/>
  <c r="J551" i="17"/>
  <c r="K551" i="17"/>
  <c r="B636" i="17"/>
  <c r="B477" i="17"/>
  <c r="A389" i="18"/>
  <c r="E389" i="18"/>
  <c r="G392" i="17"/>
  <c r="J392" i="17"/>
  <c r="K392" i="17"/>
  <c r="E392" i="17"/>
  <c r="B582" i="17"/>
  <c r="A494" i="18"/>
  <c r="E494" i="18"/>
  <c r="E497" i="17"/>
  <c r="G497" i="17"/>
  <c r="J497" i="17"/>
  <c r="K497" i="17"/>
  <c r="B484" i="17"/>
  <c r="A396" i="18"/>
  <c r="E396" i="18"/>
  <c r="E399" i="17"/>
  <c r="G399" i="17"/>
  <c r="K399" i="17"/>
  <c r="J399" i="17"/>
  <c r="A415" i="18"/>
  <c r="E415" i="18"/>
  <c r="E418" i="17"/>
  <c r="G418" i="17"/>
  <c r="J418" i="17"/>
  <c r="K418" i="17"/>
  <c r="B503" i="17"/>
  <c r="B574" i="17"/>
  <c r="A486" i="18"/>
  <c r="E486" i="18"/>
  <c r="E489" i="17"/>
  <c r="G489" i="17"/>
  <c r="J489" i="17"/>
  <c r="K489" i="17"/>
  <c r="B581" i="17"/>
  <c r="A493" i="18"/>
  <c r="E493" i="18"/>
  <c r="J496" i="17"/>
  <c r="K496" i="17"/>
  <c r="G496" i="17"/>
  <c r="E496" i="17"/>
  <c r="B502" i="17"/>
  <c r="A414" i="18"/>
  <c r="E414" i="18"/>
  <c r="E417" i="17"/>
  <c r="G417" i="17"/>
  <c r="J417" i="17"/>
  <c r="K417" i="17"/>
  <c r="A341" i="18"/>
  <c r="E341" i="18"/>
  <c r="G344" i="17"/>
  <c r="J344" i="17"/>
  <c r="K344" i="17"/>
  <c r="E344" i="17"/>
  <c r="B429" i="17"/>
  <c r="G376" i="17"/>
  <c r="J376" i="17"/>
  <c r="K376" i="17"/>
  <c r="A373" i="18"/>
  <c r="E373" i="18"/>
  <c r="E376" i="17"/>
  <c r="B461" i="17"/>
  <c r="B485" i="17"/>
  <c r="A397" i="18"/>
  <c r="E397" i="18"/>
  <c r="G400" i="17"/>
  <c r="J400" i="17"/>
  <c r="K400" i="17"/>
  <c r="E400" i="17"/>
  <c r="A399" i="18"/>
  <c r="E399" i="18"/>
  <c r="J402" i="17"/>
  <c r="E402" i="17"/>
  <c r="G402" i="17"/>
  <c r="K402" i="17"/>
  <c r="B487" i="17"/>
  <c r="A416" i="18"/>
  <c r="E416" i="18"/>
  <c r="K419" i="17"/>
  <c r="E419" i="17"/>
  <c r="J419" i="17"/>
  <c r="G419" i="17"/>
  <c r="B504" i="17"/>
  <c r="A536" i="18"/>
  <c r="E536" i="18"/>
  <c r="K539" i="17"/>
  <c r="E539" i="17"/>
  <c r="J539" i="17"/>
  <c r="G539" i="17"/>
  <c r="B624" i="17"/>
  <c r="A359" i="18"/>
  <c r="E359" i="18"/>
  <c r="E362" i="17"/>
  <c r="G362" i="17"/>
  <c r="J362" i="17"/>
  <c r="K362" i="17"/>
  <c r="B447" i="17"/>
  <c r="A368" i="18"/>
  <c r="E368" i="18"/>
  <c r="J371" i="17"/>
  <c r="K371" i="17"/>
  <c r="E371" i="17"/>
  <c r="G371" i="17"/>
  <c r="B456" i="17"/>
  <c r="A375" i="18"/>
  <c r="E375" i="18"/>
  <c r="E378" i="17"/>
  <c r="G378" i="17"/>
  <c r="J378" i="17"/>
  <c r="K378" i="17"/>
  <c r="B463" i="17"/>
  <c r="A539" i="18"/>
  <c r="E539" i="18"/>
  <c r="G542" i="17"/>
  <c r="J542" i="17"/>
  <c r="K542" i="17"/>
  <c r="E542" i="17"/>
  <c r="B627" i="17"/>
  <c r="A544" i="18"/>
  <c r="E544" i="18"/>
  <c r="K547" i="17"/>
  <c r="E547" i="17"/>
  <c r="G547" i="17"/>
  <c r="J547" i="17"/>
  <c r="B632" i="17"/>
  <c r="A348" i="18"/>
  <c r="E348" i="18"/>
  <c r="E351" i="17"/>
  <c r="G351" i="17"/>
  <c r="K351" i="17"/>
  <c r="J351" i="17"/>
  <c r="B436" i="17"/>
  <c r="A363" i="18"/>
  <c r="E363" i="18"/>
  <c r="K366" i="17"/>
  <c r="E366" i="17"/>
  <c r="G366" i="17"/>
  <c r="J366" i="17"/>
  <c r="B451" i="17"/>
  <c r="B566" i="17"/>
  <c r="A478" i="18"/>
  <c r="E478" i="18"/>
  <c r="E481" i="17"/>
  <c r="G481" i="17"/>
  <c r="J481" i="17"/>
  <c r="K481" i="17"/>
  <c r="B597" i="17"/>
  <c r="A509" i="18"/>
  <c r="E509" i="18"/>
  <c r="J512" i="17"/>
  <c r="K512" i="17"/>
  <c r="E512" i="17"/>
  <c r="G512" i="17"/>
  <c r="B491" i="17"/>
  <c r="A403" i="18"/>
  <c r="E403" i="18"/>
  <c r="E406" i="17"/>
  <c r="G406" i="17"/>
  <c r="K406" i="17"/>
  <c r="J406" i="17"/>
  <c r="A356" i="18"/>
  <c r="E356" i="18"/>
  <c r="E359" i="17"/>
  <c r="G359" i="17"/>
  <c r="K359" i="17"/>
  <c r="J359" i="17"/>
  <c r="B444" i="17"/>
  <c r="B478" i="17"/>
  <c r="A390" i="18"/>
  <c r="E390" i="18"/>
  <c r="E393" i="17"/>
  <c r="G393" i="17"/>
  <c r="K393" i="17"/>
  <c r="J393" i="17"/>
  <c r="B494" i="17"/>
  <c r="A406" i="18"/>
  <c r="E406" i="18"/>
  <c r="E409" i="17"/>
  <c r="G409" i="17"/>
  <c r="J409" i="17"/>
  <c r="K409" i="17"/>
  <c r="A380" i="18"/>
  <c r="E380" i="18"/>
  <c r="E383" i="17"/>
  <c r="G383" i="17"/>
  <c r="K383" i="17"/>
  <c r="J383" i="17"/>
  <c r="B468" i="17"/>
  <c r="A516" i="18"/>
  <c r="E516" i="18"/>
  <c r="E519" i="17"/>
  <c r="G519" i="17"/>
  <c r="J519" i="17"/>
  <c r="K519" i="17"/>
  <c r="B604" i="17"/>
  <c r="B509" i="17"/>
  <c r="A421" i="18"/>
  <c r="E421" i="18"/>
  <c r="J424" i="17"/>
  <c r="K424" i="17"/>
  <c r="G424" i="17"/>
  <c r="E424" i="17"/>
  <c r="B557" i="17"/>
  <c r="A469" i="18"/>
  <c r="E469" i="18"/>
  <c r="J472" i="17"/>
  <c r="K472" i="17"/>
  <c r="G472" i="17"/>
  <c r="E472" i="17"/>
  <c r="A372" i="18"/>
  <c r="E372" i="18"/>
  <c r="E375" i="17"/>
  <c r="G375" i="17"/>
  <c r="K375" i="17"/>
  <c r="J375" i="17"/>
  <c r="B460" i="17"/>
  <c r="A357" i="18"/>
  <c r="E357" i="18"/>
  <c r="G360" i="17"/>
  <c r="J360" i="17"/>
  <c r="K360" i="17"/>
  <c r="E360" i="17"/>
  <c r="B445" i="17"/>
  <c r="A355" i="18"/>
  <c r="E355" i="18"/>
  <c r="K358" i="17"/>
  <c r="E358" i="17"/>
  <c r="G358" i="17"/>
  <c r="J358" i="17"/>
  <c r="B443" i="17"/>
  <c r="A371" i="18"/>
  <c r="E371" i="18"/>
  <c r="K374" i="17"/>
  <c r="E374" i="17"/>
  <c r="G374" i="17"/>
  <c r="J374" i="17"/>
  <c r="B459" i="17"/>
  <c r="A524" i="18"/>
  <c r="E524" i="18"/>
  <c r="E527" i="17"/>
  <c r="G527" i="17"/>
  <c r="J527" i="17"/>
  <c r="K527" i="17"/>
  <c r="B612" i="17"/>
  <c r="A381" i="18"/>
  <c r="E381" i="18"/>
  <c r="G384" i="17"/>
  <c r="J384" i="17"/>
  <c r="K384" i="17"/>
  <c r="E384" i="17"/>
  <c r="B469" i="17"/>
  <c r="B493" i="17"/>
  <c r="A405" i="18"/>
  <c r="E405" i="18"/>
  <c r="J408" i="17"/>
  <c r="K408" i="17"/>
  <c r="G408" i="17"/>
  <c r="E408" i="17"/>
  <c r="A376" i="18"/>
  <c r="E376" i="18"/>
  <c r="J379" i="17"/>
  <c r="K379" i="17"/>
  <c r="E379" i="17"/>
  <c r="G379" i="17"/>
  <c r="B464" i="17"/>
  <c r="J347" i="17"/>
  <c r="A344" i="18"/>
  <c r="E344" i="18"/>
  <c r="K347" i="17"/>
  <c r="E347" i="17"/>
  <c r="G347" i="17"/>
  <c r="B432" i="17"/>
  <c r="B583" i="17"/>
  <c r="A495" i="18"/>
  <c r="E495" i="18"/>
  <c r="E498" i="17"/>
  <c r="G498" i="17"/>
  <c r="J498" i="17"/>
  <c r="K498" i="17"/>
  <c r="A351" i="18"/>
  <c r="E351" i="18"/>
  <c r="E354" i="17"/>
  <c r="G354" i="17"/>
  <c r="J354" i="17"/>
  <c r="K354" i="17"/>
  <c r="B439" i="17"/>
  <c r="B558" i="17"/>
  <c r="A470" i="18"/>
  <c r="E470" i="18"/>
  <c r="E473" i="17"/>
  <c r="G473" i="17"/>
  <c r="J473" i="17"/>
  <c r="K473" i="17"/>
  <c r="B476" i="17"/>
  <c r="E391" i="17"/>
  <c r="G391" i="17"/>
  <c r="A388" i="18"/>
  <c r="E388" i="18"/>
  <c r="K391" i="17"/>
  <c r="J391" i="17"/>
  <c r="B475" i="17"/>
  <c r="A387" i="18"/>
  <c r="E387" i="18"/>
  <c r="K390" i="17"/>
  <c r="E390" i="17"/>
  <c r="G390" i="17"/>
  <c r="J390" i="17"/>
  <c r="A540" i="18"/>
  <c r="E540" i="18"/>
  <c r="E543" i="17"/>
  <c r="G543" i="17"/>
  <c r="J543" i="17"/>
  <c r="K543" i="17"/>
  <c r="B628" i="17"/>
  <c r="A383" i="18"/>
  <c r="E383" i="18"/>
  <c r="E386" i="17"/>
  <c r="G386" i="17"/>
  <c r="J386" i="17"/>
  <c r="K386" i="17"/>
  <c r="B471" i="17"/>
  <c r="B486" i="17"/>
  <c r="A398" i="18"/>
  <c r="E398" i="18"/>
  <c r="E401" i="17"/>
  <c r="G401" i="17"/>
  <c r="K401" i="17"/>
  <c r="J401" i="17"/>
  <c r="B501" i="17"/>
  <c r="A413" i="18"/>
  <c r="E413" i="18"/>
  <c r="J416" i="17"/>
  <c r="K416" i="17"/>
  <c r="G416" i="17"/>
  <c r="E416" i="17"/>
  <c r="B573" i="17"/>
  <c r="A485" i="18"/>
  <c r="E485" i="18"/>
  <c r="J488" i="17"/>
  <c r="K488" i="17"/>
  <c r="G488" i="17"/>
  <c r="E488" i="17"/>
  <c r="A532" i="18"/>
  <c r="E532" i="18"/>
  <c r="E535" i="17"/>
  <c r="G535" i="17"/>
  <c r="J535" i="17"/>
  <c r="K535" i="17"/>
  <c r="B620" i="17"/>
  <c r="B499" i="17"/>
  <c r="A411" i="18"/>
  <c r="E411" i="18"/>
  <c r="E414" i="17"/>
  <c r="G414" i="17"/>
  <c r="K414" i="17"/>
  <c r="J414" i="17"/>
  <c r="B510" i="17"/>
  <c r="A422" i="18"/>
  <c r="E422" i="18"/>
  <c r="E425" i="17"/>
  <c r="G425" i="17"/>
  <c r="J425" i="17"/>
  <c r="K425" i="17"/>
  <c r="A423" i="18"/>
  <c r="E423" i="18"/>
  <c r="E426" i="17"/>
  <c r="G426" i="17"/>
  <c r="J426" i="17"/>
  <c r="K426" i="17"/>
  <c r="B511" i="17"/>
  <c r="A364" i="18"/>
  <c r="E364" i="18"/>
  <c r="E367" i="17"/>
  <c r="G367" i="17"/>
  <c r="K367" i="17"/>
  <c r="J367" i="17"/>
  <c r="B452" i="17"/>
  <c r="A407" i="18"/>
  <c r="E407" i="18"/>
  <c r="E410" i="17"/>
  <c r="G410" i="17"/>
  <c r="J410" i="17"/>
  <c r="K410" i="17"/>
  <c r="B495" i="17"/>
  <c r="A590" i="18"/>
  <c r="E590" i="18"/>
  <c r="J593" i="17"/>
  <c r="K593" i="17"/>
  <c r="E593" i="17"/>
  <c r="G593" i="17"/>
  <c r="B678" i="17"/>
  <c r="B575" i="17"/>
  <c r="A487" i="18"/>
  <c r="E487" i="18"/>
  <c r="E490" i="17"/>
  <c r="G490" i="17"/>
  <c r="J490" i="17"/>
  <c r="K490" i="17"/>
  <c r="A528" i="18"/>
  <c r="E528" i="18"/>
  <c r="K531" i="17"/>
  <c r="E531" i="17"/>
  <c r="J531" i="17"/>
  <c r="G531" i="17"/>
  <c r="B616" i="17"/>
  <c r="A512" i="18"/>
  <c r="E512" i="18"/>
  <c r="K515" i="17"/>
  <c r="E515" i="17"/>
  <c r="J515" i="17"/>
  <c r="G515" i="17"/>
  <c r="B600" i="17"/>
  <c r="A365" i="18"/>
  <c r="E365" i="18"/>
  <c r="G368" i="17"/>
  <c r="J368" i="17"/>
  <c r="K368" i="17"/>
  <c r="E368" i="17"/>
  <c r="B453" i="17"/>
  <c r="A523" i="18"/>
  <c r="E523" i="18"/>
  <c r="E526" i="17"/>
  <c r="G526" i="17"/>
  <c r="J526" i="17"/>
  <c r="K526" i="17"/>
  <c r="B611" i="17"/>
  <c r="B567" i="17"/>
  <c r="A479" i="18"/>
  <c r="E479" i="18"/>
  <c r="E482" i="17"/>
  <c r="G482" i="17"/>
  <c r="J482" i="17"/>
  <c r="K482" i="17"/>
  <c r="A589" i="18"/>
  <c r="E589" i="18"/>
  <c r="J592" i="17"/>
  <c r="E592" i="17"/>
  <c r="G592" i="17"/>
  <c r="K592" i="17"/>
  <c r="B677" i="17"/>
  <c r="J363" i="17"/>
  <c r="K363" i="17"/>
  <c r="A360" i="18"/>
  <c r="E360" i="18"/>
  <c r="E363" i="17"/>
  <c r="G363" i="17"/>
  <c r="B448" i="17"/>
  <c r="A547" i="18"/>
  <c r="E547" i="18"/>
  <c r="G550" i="17"/>
  <c r="J550" i="17"/>
  <c r="K550" i="17"/>
  <c r="E550" i="17"/>
  <c r="B635" i="17"/>
  <c r="A367" i="18"/>
  <c r="E367" i="18"/>
  <c r="E370" i="17"/>
  <c r="G370" i="17"/>
  <c r="J370" i="17"/>
  <c r="K370" i="17"/>
  <c r="B455" i="17"/>
  <c r="A515" i="18"/>
  <c r="E515" i="18"/>
  <c r="E518" i="17"/>
  <c r="G518" i="17"/>
  <c r="J518" i="17"/>
  <c r="K518" i="17"/>
  <c r="B603" i="17"/>
  <c r="A531" i="18"/>
  <c r="E531" i="18"/>
  <c r="E534" i="17"/>
  <c r="G534" i="17"/>
  <c r="J534" i="17"/>
  <c r="K534" i="17"/>
  <c r="B619" i="17"/>
  <c r="B541" i="17"/>
  <c r="A453" i="18"/>
  <c r="E453" i="18"/>
  <c r="J456" i="17"/>
  <c r="K456" i="17"/>
  <c r="G456" i="17"/>
  <c r="E456" i="17"/>
  <c r="A425" i="18"/>
  <c r="E425" i="18"/>
  <c r="E428" i="17"/>
  <c r="G428" i="17"/>
  <c r="J428" i="17"/>
  <c r="K428" i="17"/>
  <c r="B513" i="17"/>
  <c r="B578" i="17"/>
  <c r="A490" i="18"/>
  <c r="E490" i="18"/>
  <c r="G493" i="17"/>
  <c r="J493" i="17"/>
  <c r="K493" i="17"/>
  <c r="E493" i="17"/>
  <c r="B594" i="17"/>
  <c r="A506" i="18"/>
  <c r="E506" i="18"/>
  <c r="G509" i="17"/>
  <c r="J509" i="17"/>
  <c r="K509" i="17"/>
  <c r="E509" i="17"/>
  <c r="B563" i="17"/>
  <c r="A475" i="18"/>
  <c r="E475" i="18"/>
  <c r="E478" i="17"/>
  <c r="G478" i="17"/>
  <c r="K478" i="17"/>
  <c r="J478" i="17"/>
  <c r="A563" i="18"/>
  <c r="E563" i="18"/>
  <c r="E566" i="17"/>
  <c r="G566" i="17"/>
  <c r="J566" i="17"/>
  <c r="K566" i="17"/>
  <c r="B651" i="17"/>
  <c r="A571" i="18"/>
  <c r="E571" i="18"/>
  <c r="E574" i="17"/>
  <c r="G574" i="17"/>
  <c r="J574" i="17"/>
  <c r="K574" i="17"/>
  <c r="B659" i="17"/>
  <c r="B562" i="17"/>
  <c r="A474" i="18"/>
  <c r="E474" i="18"/>
  <c r="G477" i="17"/>
  <c r="J477" i="17"/>
  <c r="K477" i="17"/>
  <c r="E477" i="17"/>
  <c r="B568" i="17"/>
  <c r="K483" i="17"/>
  <c r="E483" i="17"/>
  <c r="A480" i="18"/>
  <c r="E480" i="18"/>
  <c r="J483" i="17"/>
  <c r="G483" i="17"/>
  <c r="B762" i="17"/>
  <c r="A674" i="18"/>
  <c r="E674" i="18"/>
  <c r="E677" i="17"/>
  <c r="G677" i="17"/>
  <c r="J677" i="17"/>
  <c r="K677" i="17"/>
  <c r="A465" i="18"/>
  <c r="E465" i="18"/>
  <c r="E468" i="17"/>
  <c r="G468" i="17"/>
  <c r="J468" i="17"/>
  <c r="K468" i="17"/>
  <c r="B553" i="17"/>
  <c r="A570" i="18"/>
  <c r="E570" i="18"/>
  <c r="G573" i="17"/>
  <c r="E573" i="17"/>
  <c r="J573" i="17"/>
  <c r="K573" i="17"/>
  <c r="B658" i="17"/>
  <c r="B704" i="17"/>
  <c r="A616" i="18"/>
  <c r="E616" i="18"/>
  <c r="E619" i="17"/>
  <c r="G619" i="17"/>
  <c r="J619" i="17"/>
  <c r="K619" i="17"/>
  <c r="B538" i="17"/>
  <c r="A450" i="18"/>
  <c r="E450" i="18"/>
  <c r="G453" i="17"/>
  <c r="J453" i="17"/>
  <c r="K453" i="17"/>
  <c r="E453" i="17"/>
  <c r="A675" i="18"/>
  <c r="E675" i="18"/>
  <c r="E678" i="17"/>
  <c r="G678" i="17"/>
  <c r="J678" i="17"/>
  <c r="K678" i="17"/>
  <c r="B763" i="17"/>
  <c r="B554" i="17"/>
  <c r="A466" i="18"/>
  <c r="E466" i="18"/>
  <c r="G469" i="17"/>
  <c r="J469" i="17"/>
  <c r="K469" i="17"/>
  <c r="E469" i="17"/>
  <c r="B530" i="17"/>
  <c r="A442" i="18"/>
  <c r="E442" i="18"/>
  <c r="G445" i="17"/>
  <c r="J445" i="17"/>
  <c r="K445" i="17"/>
  <c r="E445" i="17"/>
  <c r="B689" i="17"/>
  <c r="A601" i="18"/>
  <c r="E601" i="18"/>
  <c r="G604" i="17"/>
  <c r="J604" i="17"/>
  <c r="K604" i="17"/>
  <c r="E604" i="17"/>
  <c r="A441" i="18"/>
  <c r="E441" i="18"/>
  <c r="E444" i="17"/>
  <c r="G444" i="17"/>
  <c r="J444" i="17"/>
  <c r="K444" i="17"/>
  <c r="B529" i="17"/>
  <c r="A448" i="18"/>
  <c r="E448" i="18"/>
  <c r="K451" i="17"/>
  <c r="E451" i="17"/>
  <c r="J451" i="17"/>
  <c r="G451" i="17"/>
  <c r="B536" i="17"/>
  <c r="B548" i="17"/>
  <c r="A460" i="18"/>
  <c r="E460" i="18"/>
  <c r="E463" i="17"/>
  <c r="G463" i="17"/>
  <c r="J463" i="17"/>
  <c r="K463" i="17"/>
  <c r="B589" i="17"/>
  <c r="A501" i="18"/>
  <c r="E501" i="18"/>
  <c r="J504" i="17"/>
  <c r="K504" i="17"/>
  <c r="G504" i="17"/>
  <c r="E504" i="17"/>
  <c r="B514" i="17"/>
  <c r="A426" i="18"/>
  <c r="E426" i="18"/>
  <c r="G429" i="17"/>
  <c r="J429" i="17"/>
  <c r="K429" i="17"/>
  <c r="E429" i="17"/>
  <c r="B588" i="17"/>
  <c r="A500" i="18"/>
  <c r="E500" i="18"/>
  <c r="E503" i="17"/>
  <c r="G503" i="17"/>
  <c r="J503" i="17"/>
  <c r="K503" i="17"/>
  <c r="B721" i="17"/>
  <c r="A633" i="18"/>
  <c r="E633" i="18"/>
  <c r="J636" i="17"/>
  <c r="K636" i="17"/>
  <c r="E636" i="17"/>
  <c r="G636" i="17"/>
  <c r="B516" i="17"/>
  <c r="A428" i="18"/>
  <c r="E428" i="18"/>
  <c r="E431" i="17"/>
  <c r="G431" i="17"/>
  <c r="J431" i="17"/>
  <c r="K431" i="17"/>
  <c r="B564" i="17"/>
  <c r="A476" i="18"/>
  <c r="E476" i="18"/>
  <c r="E479" i="17"/>
  <c r="G479" i="17"/>
  <c r="J479" i="17"/>
  <c r="K479" i="17"/>
  <c r="B533" i="17"/>
  <c r="A445" i="18"/>
  <c r="E445" i="18"/>
  <c r="J448" i="17"/>
  <c r="K448" i="17"/>
  <c r="G448" i="17"/>
  <c r="E448" i="17"/>
  <c r="A564" i="18"/>
  <c r="E564" i="18"/>
  <c r="E567" i="17"/>
  <c r="G567" i="17"/>
  <c r="J567" i="17"/>
  <c r="K567" i="17"/>
  <c r="B652" i="17"/>
  <c r="A555" i="18"/>
  <c r="E555" i="18"/>
  <c r="E558" i="17"/>
  <c r="G558" i="17"/>
  <c r="J558" i="17"/>
  <c r="K558" i="17"/>
  <c r="B643" i="17"/>
  <c r="A554" i="18"/>
  <c r="E554" i="18"/>
  <c r="G557" i="17"/>
  <c r="E557" i="17"/>
  <c r="J557" i="17"/>
  <c r="K557" i="17"/>
  <c r="B642" i="17"/>
  <c r="B579" i="17"/>
  <c r="A491" i="18"/>
  <c r="E491" i="18"/>
  <c r="E494" i="17"/>
  <c r="G494" i="17"/>
  <c r="K494" i="17"/>
  <c r="J494" i="17"/>
  <c r="A594" i="18"/>
  <c r="E594" i="18"/>
  <c r="G597" i="17"/>
  <c r="E597" i="17"/>
  <c r="J597" i="17"/>
  <c r="K597" i="17"/>
  <c r="B682" i="17"/>
  <c r="B570" i="17"/>
  <c r="A482" i="18"/>
  <c r="E482" i="18"/>
  <c r="G485" i="17"/>
  <c r="J485" i="17"/>
  <c r="K485" i="17"/>
  <c r="E485" i="17"/>
  <c r="A578" i="18"/>
  <c r="E578" i="18"/>
  <c r="G581" i="17"/>
  <c r="E581" i="17"/>
  <c r="J581" i="17"/>
  <c r="K581" i="17"/>
  <c r="B666" i="17"/>
  <c r="A579" i="18"/>
  <c r="E579" i="18"/>
  <c r="E582" i="17"/>
  <c r="G582" i="17"/>
  <c r="J582" i="17"/>
  <c r="K582" i="17"/>
  <c r="B667" i="17"/>
  <c r="B517" i="17"/>
  <c r="A429" i="18"/>
  <c r="E429" i="18"/>
  <c r="J432" i="17"/>
  <c r="K432" i="17"/>
  <c r="G432" i="17"/>
  <c r="E432" i="17"/>
  <c r="B761" i="17"/>
  <c r="A673" i="18"/>
  <c r="E673" i="18"/>
  <c r="J676" i="17"/>
  <c r="K676" i="17"/>
  <c r="E676" i="17"/>
  <c r="G676" i="17"/>
  <c r="A667" i="18"/>
  <c r="E667" i="18"/>
  <c r="E670" i="17"/>
  <c r="G670" i="17"/>
  <c r="J670" i="17"/>
  <c r="K670" i="17"/>
  <c r="B755" i="17"/>
  <c r="B720" i="17"/>
  <c r="A632" i="18"/>
  <c r="E632" i="18"/>
  <c r="E635" i="17"/>
  <c r="G635" i="17"/>
  <c r="J635" i="17"/>
  <c r="K635" i="17"/>
  <c r="B696" i="17"/>
  <c r="A608" i="18"/>
  <c r="E608" i="18"/>
  <c r="E611" i="17"/>
  <c r="G611" i="17"/>
  <c r="J611" i="17"/>
  <c r="K611" i="17"/>
  <c r="B596" i="17"/>
  <c r="A508" i="18"/>
  <c r="E508" i="18"/>
  <c r="E511" i="17"/>
  <c r="G511" i="17"/>
  <c r="J511" i="17"/>
  <c r="K511" i="17"/>
  <c r="B713" i="17"/>
  <c r="A625" i="18"/>
  <c r="E625" i="18"/>
  <c r="J628" i="17"/>
  <c r="K628" i="17"/>
  <c r="E628" i="17"/>
  <c r="G628" i="17"/>
  <c r="B524" i="17"/>
  <c r="A436" i="18"/>
  <c r="E436" i="18"/>
  <c r="E439" i="17"/>
  <c r="G439" i="17"/>
  <c r="J439" i="17"/>
  <c r="K439" i="17"/>
  <c r="A440" i="18"/>
  <c r="E440" i="18"/>
  <c r="K443" i="17"/>
  <c r="E443" i="17"/>
  <c r="J443" i="17"/>
  <c r="G443" i="17"/>
  <c r="B528" i="17"/>
  <c r="B712" i="17"/>
  <c r="A624" i="18"/>
  <c r="E624" i="18"/>
  <c r="E627" i="17"/>
  <c r="G627" i="17"/>
  <c r="J627" i="17"/>
  <c r="K627" i="17"/>
  <c r="A621" i="18"/>
  <c r="E621" i="18"/>
  <c r="E624" i="17"/>
  <c r="G624" i="17"/>
  <c r="J624" i="17"/>
  <c r="K624" i="17"/>
  <c r="B709" i="17"/>
  <c r="B546" i="17"/>
  <c r="A458" i="18"/>
  <c r="E458" i="18"/>
  <c r="G461" i="17"/>
  <c r="J461" i="17"/>
  <c r="K461" i="17"/>
  <c r="E461" i="17"/>
  <c r="B522" i="17"/>
  <c r="A434" i="18"/>
  <c r="E434" i="18"/>
  <c r="G437" i="17"/>
  <c r="J437" i="17"/>
  <c r="K437" i="17"/>
  <c r="E437" i="17"/>
  <c r="B760" i="17"/>
  <c r="A672" i="18"/>
  <c r="E672" i="18"/>
  <c r="E675" i="17"/>
  <c r="G675" i="17"/>
  <c r="J675" i="17"/>
  <c r="K675" i="17"/>
  <c r="K435" i="17"/>
  <c r="A432" i="18"/>
  <c r="E432" i="18"/>
  <c r="E435" i="17"/>
  <c r="J435" i="17"/>
  <c r="G435" i="17"/>
  <c r="B520" i="17"/>
  <c r="B697" i="17"/>
  <c r="A609" i="18"/>
  <c r="E609" i="18"/>
  <c r="J612" i="17"/>
  <c r="K612" i="17"/>
  <c r="E612" i="17"/>
  <c r="G612" i="17"/>
  <c r="A457" i="18"/>
  <c r="E457" i="18"/>
  <c r="E460" i="17"/>
  <c r="G460" i="17"/>
  <c r="J460" i="17"/>
  <c r="K460" i="17"/>
  <c r="B545" i="17"/>
  <c r="B584" i="17"/>
  <c r="A496" i="18"/>
  <c r="E496" i="18"/>
  <c r="K499" i="17"/>
  <c r="E499" i="17"/>
  <c r="J499" i="17"/>
  <c r="G499" i="17"/>
  <c r="B561" i="17"/>
  <c r="A473" i="18"/>
  <c r="E473" i="18"/>
  <c r="E476" i="17"/>
  <c r="G476" i="17"/>
  <c r="J476" i="17"/>
  <c r="K476" i="17"/>
  <c r="B576" i="17"/>
  <c r="A488" i="18"/>
  <c r="E488" i="18"/>
  <c r="K491" i="17"/>
  <c r="E491" i="17"/>
  <c r="J491" i="17"/>
  <c r="G491" i="17"/>
  <c r="B587" i="17"/>
  <c r="A499" i="18"/>
  <c r="E499" i="18"/>
  <c r="E502" i="17"/>
  <c r="G502" i="17"/>
  <c r="K502" i="17"/>
  <c r="J502" i="17"/>
  <c r="B569" i="17"/>
  <c r="A481" i="18"/>
  <c r="E481" i="18"/>
  <c r="E484" i="17"/>
  <c r="G484" i="17"/>
  <c r="J484" i="17"/>
  <c r="K484" i="17"/>
  <c r="A562" i="18"/>
  <c r="E562" i="18"/>
  <c r="G565" i="17"/>
  <c r="E565" i="17"/>
  <c r="J565" i="17"/>
  <c r="K565" i="17"/>
  <c r="B650" i="17"/>
  <c r="A597" i="18"/>
  <c r="E597" i="18"/>
  <c r="J600" i="17"/>
  <c r="K600" i="17"/>
  <c r="E600" i="17"/>
  <c r="G600" i="17"/>
  <c r="B685" i="17"/>
  <c r="A433" i="18"/>
  <c r="E433" i="18"/>
  <c r="E436" i="17"/>
  <c r="G436" i="17"/>
  <c r="J436" i="17"/>
  <c r="K436" i="17"/>
  <c r="B521" i="17"/>
  <c r="B572" i="17"/>
  <c r="A484" i="18"/>
  <c r="E484" i="18"/>
  <c r="E487" i="17"/>
  <c r="G487" i="17"/>
  <c r="J487" i="17"/>
  <c r="K487" i="17"/>
  <c r="A572" i="18"/>
  <c r="E572" i="18"/>
  <c r="K575" i="17"/>
  <c r="E575" i="17"/>
  <c r="G575" i="17"/>
  <c r="J575" i="17"/>
  <c r="B660" i="17"/>
  <c r="B571" i="17"/>
  <c r="A483" i="18"/>
  <c r="E483" i="18"/>
  <c r="E486" i="17"/>
  <c r="G486" i="17"/>
  <c r="K486" i="17"/>
  <c r="J486" i="17"/>
  <c r="B540" i="17"/>
  <c r="A452" i="18"/>
  <c r="E452" i="18"/>
  <c r="E455" i="17"/>
  <c r="G455" i="17"/>
  <c r="J455" i="17"/>
  <c r="K455" i="17"/>
  <c r="A613" i="18"/>
  <c r="E613" i="18"/>
  <c r="E616" i="17"/>
  <c r="G616" i="17"/>
  <c r="J616" i="17"/>
  <c r="K616" i="17"/>
  <c r="B701" i="17"/>
  <c r="A449" i="18"/>
  <c r="E449" i="18"/>
  <c r="E452" i="17"/>
  <c r="G452" i="17"/>
  <c r="J452" i="17"/>
  <c r="K452" i="17"/>
  <c r="B537" i="17"/>
  <c r="B705" i="17"/>
  <c r="A617" i="18"/>
  <c r="E617" i="18"/>
  <c r="J620" i="17"/>
  <c r="K620" i="17"/>
  <c r="E620" i="17"/>
  <c r="G620" i="17"/>
  <c r="B556" i="17"/>
  <c r="A468" i="18"/>
  <c r="E468" i="18"/>
  <c r="E471" i="17"/>
  <c r="G471" i="17"/>
  <c r="J471" i="17"/>
  <c r="K471" i="17"/>
  <c r="B549" i="17"/>
  <c r="A461" i="18"/>
  <c r="E461" i="18"/>
  <c r="J464" i="17"/>
  <c r="K464" i="17"/>
  <c r="G464" i="17"/>
  <c r="E464" i="17"/>
  <c r="A456" i="18"/>
  <c r="E456" i="18"/>
  <c r="K459" i="17"/>
  <c r="E459" i="17"/>
  <c r="J459" i="17"/>
  <c r="G459" i="17"/>
  <c r="B544" i="17"/>
  <c r="A629" i="18"/>
  <c r="E629" i="18"/>
  <c r="E632" i="17"/>
  <c r="G632" i="17"/>
  <c r="J632" i="17"/>
  <c r="K632" i="17"/>
  <c r="B717" i="17"/>
  <c r="B532" i="17"/>
  <c r="A444" i="18"/>
  <c r="E444" i="18"/>
  <c r="E447" i="17"/>
  <c r="G447" i="17"/>
  <c r="J447" i="17"/>
  <c r="K447" i="17"/>
  <c r="B525" i="17"/>
  <c r="A437" i="18"/>
  <c r="E437" i="18"/>
  <c r="J440" i="17"/>
  <c r="K440" i="17"/>
  <c r="G440" i="17"/>
  <c r="E440" i="17"/>
  <c r="B555" i="17"/>
  <c r="A467" i="18"/>
  <c r="E467" i="18"/>
  <c r="E470" i="17"/>
  <c r="G470" i="17"/>
  <c r="K470" i="17"/>
  <c r="J470" i="17"/>
  <c r="A605" i="18"/>
  <c r="E605" i="18"/>
  <c r="E608" i="17"/>
  <c r="G608" i="17"/>
  <c r="J608" i="17"/>
  <c r="K608" i="17"/>
  <c r="B693" i="17"/>
  <c r="A464" i="18"/>
  <c r="E464" i="18"/>
  <c r="K467" i="17"/>
  <c r="E467" i="17"/>
  <c r="J467" i="17"/>
  <c r="G467" i="17"/>
  <c r="B552" i="17"/>
  <c r="B688" i="17"/>
  <c r="A600" i="18"/>
  <c r="E600" i="18"/>
  <c r="K603" i="17"/>
  <c r="E603" i="17"/>
  <c r="G603" i="17"/>
  <c r="J603" i="17"/>
  <c r="B580" i="17"/>
  <c r="A492" i="18"/>
  <c r="E492" i="18"/>
  <c r="E495" i="17"/>
  <c r="G495" i="17"/>
  <c r="J495" i="17"/>
  <c r="K495" i="17"/>
  <c r="B595" i="17"/>
  <c r="A507" i="18"/>
  <c r="E507" i="18"/>
  <c r="E510" i="17"/>
  <c r="G510" i="17"/>
  <c r="J510" i="17"/>
  <c r="K510" i="17"/>
  <c r="B586" i="17"/>
  <c r="A498" i="18"/>
  <c r="E498" i="18"/>
  <c r="G501" i="17"/>
  <c r="J501" i="17"/>
  <c r="K501" i="17"/>
  <c r="E501" i="17"/>
  <c r="B560" i="17"/>
  <c r="A472" i="18"/>
  <c r="E472" i="18"/>
  <c r="K475" i="17"/>
  <c r="E475" i="17"/>
  <c r="J475" i="17"/>
  <c r="G475" i="17"/>
  <c r="A580" i="18"/>
  <c r="E580" i="18"/>
  <c r="E583" i="17"/>
  <c r="G583" i="17"/>
  <c r="J583" i="17"/>
  <c r="K583" i="17"/>
  <c r="B668" i="17"/>
  <c r="A556" i="18"/>
  <c r="E556" i="18"/>
  <c r="K559" i="17"/>
  <c r="E559" i="17"/>
  <c r="G559" i="17"/>
  <c r="J559" i="17"/>
  <c r="B644" i="17"/>
  <c r="B577" i="17"/>
  <c r="A489" i="18"/>
  <c r="E489" i="18"/>
  <c r="E492" i="17"/>
  <c r="G492" i="17"/>
  <c r="J492" i="17"/>
  <c r="K492" i="17"/>
  <c r="A557" i="18"/>
  <c r="E557" i="18"/>
  <c r="J560" i="17"/>
  <c r="E560" i="17"/>
  <c r="G560" i="17"/>
  <c r="K560" i="17"/>
  <c r="B645" i="17"/>
  <c r="A685" i="18"/>
  <c r="E685" i="18"/>
  <c r="E688" i="17"/>
  <c r="G688" i="17"/>
  <c r="J688" i="17"/>
  <c r="K688" i="17"/>
  <c r="B773" i="17"/>
  <c r="A581" i="18"/>
  <c r="E581" i="18"/>
  <c r="J584" i="17"/>
  <c r="K584" i="17"/>
  <c r="E584" i="17"/>
  <c r="G584" i="17"/>
  <c r="B669" i="17"/>
  <c r="B845" i="17"/>
  <c r="A757" i="18"/>
  <c r="E757" i="18"/>
  <c r="E760" i="17"/>
  <c r="G760" i="17"/>
  <c r="J760" i="17"/>
  <c r="K760" i="17"/>
  <c r="A709" i="18"/>
  <c r="E709" i="18"/>
  <c r="E712" i="17"/>
  <c r="G712" i="17"/>
  <c r="J712" i="17"/>
  <c r="K712" i="17"/>
  <c r="B797" i="17"/>
  <c r="A593" i="18"/>
  <c r="E593" i="18"/>
  <c r="E596" i="17"/>
  <c r="G596" i="17"/>
  <c r="J596" i="17"/>
  <c r="K596" i="17"/>
  <c r="B681" i="17"/>
  <c r="B846" i="17"/>
  <c r="A758" i="18"/>
  <c r="E758" i="18"/>
  <c r="G761" i="17"/>
  <c r="J761" i="17"/>
  <c r="K761" i="17"/>
  <c r="E761" i="17"/>
  <c r="A567" i="18"/>
  <c r="E567" i="18"/>
  <c r="E570" i="17"/>
  <c r="J570" i="17"/>
  <c r="K570" i="17"/>
  <c r="G570" i="17"/>
  <c r="B655" i="17"/>
  <c r="A513" i="18"/>
  <c r="E513" i="18"/>
  <c r="E516" i="17"/>
  <c r="G516" i="17"/>
  <c r="J516" i="17"/>
  <c r="K516" i="17"/>
  <c r="B601" i="17"/>
  <c r="A586" i="18"/>
  <c r="E586" i="18"/>
  <c r="G589" i="17"/>
  <c r="E589" i="17"/>
  <c r="J589" i="17"/>
  <c r="K589" i="17"/>
  <c r="B674" i="17"/>
  <c r="B774" i="17"/>
  <c r="A686" i="18"/>
  <c r="E686" i="18"/>
  <c r="G689" i="17"/>
  <c r="J689" i="17"/>
  <c r="K689" i="17"/>
  <c r="E689" i="17"/>
  <c r="A535" i="18"/>
  <c r="E535" i="18"/>
  <c r="E538" i="17"/>
  <c r="G538" i="17"/>
  <c r="J538" i="17"/>
  <c r="K538" i="17"/>
  <c r="B623" i="17"/>
  <c r="B847" i="17"/>
  <c r="A759" i="18"/>
  <c r="E759" i="18"/>
  <c r="E762" i="17"/>
  <c r="G762" i="17"/>
  <c r="J762" i="17"/>
  <c r="K762" i="17"/>
  <c r="B743" i="17"/>
  <c r="A655" i="18"/>
  <c r="E655" i="18"/>
  <c r="E658" i="17"/>
  <c r="G658" i="17"/>
  <c r="J658" i="17"/>
  <c r="K658" i="17"/>
  <c r="A566" i="18"/>
  <c r="E566" i="18"/>
  <c r="E569" i="17"/>
  <c r="G569" i="17"/>
  <c r="J569" i="17"/>
  <c r="K569" i="17"/>
  <c r="B654" i="17"/>
  <c r="A549" i="18"/>
  <c r="E549" i="18"/>
  <c r="J552" i="17"/>
  <c r="K552" i="17"/>
  <c r="E552" i="17"/>
  <c r="G552" i="17"/>
  <c r="B637" i="17"/>
  <c r="A518" i="18"/>
  <c r="E518" i="18"/>
  <c r="E521" i="17"/>
  <c r="G521" i="17"/>
  <c r="J521" i="17"/>
  <c r="K521" i="17"/>
  <c r="B606" i="17"/>
  <c r="A542" i="18"/>
  <c r="E542" i="18"/>
  <c r="E545" i="17"/>
  <c r="G545" i="17"/>
  <c r="J545" i="17"/>
  <c r="K545" i="17"/>
  <c r="B630" i="17"/>
  <c r="A525" i="18"/>
  <c r="E525" i="18"/>
  <c r="J528" i="17"/>
  <c r="K528" i="17"/>
  <c r="E528" i="17"/>
  <c r="G528" i="17"/>
  <c r="B613" i="17"/>
  <c r="B767" i="17"/>
  <c r="A679" i="18"/>
  <c r="E679" i="18"/>
  <c r="E682" i="17"/>
  <c r="G682" i="17"/>
  <c r="J682" i="17"/>
  <c r="K682" i="17"/>
  <c r="B737" i="17"/>
  <c r="A649" i="18"/>
  <c r="E649" i="18"/>
  <c r="J652" i="17"/>
  <c r="K652" i="17"/>
  <c r="E652" i="17"/>
  <c r="G652" i="17"/>
  <c r="A558" i="18"/>
  <c r="E558" i="18"/>
  <c r="J561" i="17"/>
  <c r="K561" i="17"/>
  <c r="E561" i="17"/>
  <c r="G561" i="17"/>
  <c r="B646" i="17"/>
  <c r="B798" i="17"/>
  <c r="A710" i="18"/>
  <c r="E710" i="18"/>
  <c r="G713" i="17"/>
  <c r="J713" i="17"/>
  <c r="K713" i="17"/>
  <c r="E713" i="17"/>
  <c r="A561" i="18"/>
  <c r="E561" i="18"/>
  <c r="E564" i="17"/>
  <c r="G564" i="17"/>
  <c r="J564" i="17"/>
  <c r="K564" i="17"/>
  <c r="B649" i="17"/>
  <c r="A511" i="18"/>
  <c r="E511" i="18"/>
  <c r="E514" i="17"/>
  <c r="G514" i="17"/>
  <c r="J514" i="17"/>
  <c r="K514" i="17"/>
  <c r="B599" i="17"/>
  <c r="A575" i="18"/>
  <c r="E575" i="18"/>
  <c r="E578" i="17"/>
  <c r="G578" i="17"/>
  <c r="J578" i="17"/>
  <c r="K578" i="17"/>
  <c r="B663" i="17"/>
  <c r="B729" i="17"/>
  <c r="A641" i="18"/>
  <c r="E641" i="18"/>
  <c r="J644" i="17"/>
  <c r="K644" i="17"/>
  <c r="E644" i="17"/>
  <c r="G644" i="17"/>
  <c r="A533" i="18"/>
  <c r="E533" i="18"/>
  <c r="J536" i="17"/>
  <c r="K536" i="17"/>
  <c r="E536" i="17"/>
  <c r="G536" i="17"/>
  <c r="B621" i="17"/>
  <c r="B728" i="17"/>
  <c r="A640" i="18"/>
  <c r="E640" i="18"/>
  <c r="E643" i="17"/>
  <c r="G643" i="17"/>
  <c r="J643" i="17"/>
  <c r="K643" i="17"/>
  <c r="B736" i="17"/>
  <c r="A648" i="18"/>
  <c r="E648" i="18"/>
  <c r="E651" i="17"/>
  <c r="G651" i="17"/>
  <c r="J651" i="17"/>
  <c r="K651" i="17"/>
  <c r="A510" i="18"/>
  <c r="E510" i="18"/>
  <c r="E513" i="17"/>
  <c r="G513" i="17"/>
  <c r="J513" i="17"/>
  <c r="K513" i="17"/>
  <c r="B598" i="17"/>
  <c r="A522" i="18"/>
  <c r="E522" i="18"/>
  <c r="G525" i="17"/>
  <c r="J525" i="17"/>
  <c r="K525" i="17"/>
  <c r="E525" i="17"/>
  <c r="B610" i="17"/>
  <c r="A552" i="18"/>
  <c r="E552" i="18"/>
  <c r="K555" i="17"/>
  <c r="E555" i="17"/>
  <c r="G555" i="17"/>
  <c r="J555" i="17"/>
  <c r="B640" i="17"/>
  <c r="B786" i="17"/>
  <c r="A698" i="18"/>
  <c r="E698" i="18"/>
  <c r="E701" i="17"/>
  <c r="G701" i="17"/>
  <c r="J701" i="17"/>
  <c r="K701" i="17"/>
  <c r="A592" i="18"/>
  <c r="E592" i="18"/>
  <c r="K595" i="17"/>
  <c r="G595" i="17"/>
  <c r="J595" i="17"/>
  <c r="E595" i="17"/>
  <c r="B680" i="17"/>
  <c r="B790" i="17"/>
  <c r="A702" i="18"/>
  <c r="E702" i="18"/>
  <c r="G705" i="17"/>
  <c r="J705" i="17"/>
  <c r="K705" i="17"/>
  <c r="E705" i="17"/>
  <c r="A568" i="18"/>
  <c r="E568" i="18"/>
  <c r="K571" i="17"/>
  <c r="E571" i="17"/>
  <c r="G571" i="17"/>
  <c r="J571" i="17"/>
  <c r="B656" i="17"/>
  <c r="A573" i="18"/>
  <c r="E573" i="18"/>
  <c r="J576" i="17"/>
  <c r="E576" i="17"/>
  <c r="G576" i="17"/>
  <c r="K576" i="17"/>
  <c r="B661" i="17"/>
  <c r="B782" i="17"/>
  <c r="A694" i="18"/>
  <c r="E694" i="18"/>
  <c r="G697" i="17"/>
  <c r="J697" i="17"/>
  <c r="K697" i="17"/>
  <c r="E697" i="17"/>
  <c r="A543" i="18"/>
  <c r="E543" i="18"/>
  <c r="E546" i="17"/>
  <c r="G546" i="17"/>
  <c r="J546" i="17"/>
  <c r="K546" i="17"/>
  <c r="B631" i="17"/>
  <c r="A521" i="18"/>
  <c r="E521" i="18"/>
  <c r="E524" i="17"/>
  <c r="G524" i="17"/>
  <c r="J524" i="17"/>
  <c r="K524" i="17"/>
  <c r="B609" i="17"/>
  <c r="A717" i="18"/>
  <c r="E717" i="18"/>
  <c r="E720" i="17"/>
  <c r="G720" i="17"/>
  <c r="J720" i="17"/>
  <c r="K720" i="17"/>
  <c r="B805" i="17"/>
  <c r="K579" i="17"/>
  <c r="A576" i="18"/>
  <c r="E576" i="18"/>
  <c r="G579" i="17"/>
  <c r="J579" i="17"/>
  <c r="E579" i="17"/>
  <c r="B664" i="17"/>
  <c r="A530" i="18"/>
  <c r="E530" i="18"/>
  <c r="G533" i="17"/>
  <c r="J533" i="17"/>
  <c r="K533" i="17"/>
  <c r="E533" i="17"/>
  <c r="B618" i="17"/>
  <c r="A585" i="18"/>
  <c r="E585" i="18"/>
  <c r="G588" i="17"/>
  <c r="J588" i="17"/>
  <c r="K588" i="17"/>
  <c r="E588" i="17"/>
  <c r="B673" i="17"/>
  <c r="A551" i="18"/>
  <c r="E551" i="18"/>
  <c r="E554" i="17"/>
  <c r="G554" i="17"/>
  <c r="J554" i="17"/>
  <c r="K554" i="17"/>
  <c r="B639" i="17"/>
  <c r="A559" i="18"/>
  <c r="E559" i="18"/>
  <c r="E562" i="17"/>
  <c r="G562" i="17"/>
  <c r="J562" i="17"/>
  <c r="K562" i="17"/>
  <c r="B647" i="17"/>
  <c r="A591" i="18"/>
  <c r="E591" i="18"/>
  <c r="E594" i="17"/>
  <c r="G594" i="17"/>
  <c r="J594" i="17"/>
  <c r="K594" i="17"/>
  <c r="B679" i="17"/>
  <c r="B778" i="17"/>
  <c r="A690" i="18"/>
  <c r="E690" i="18"/>
  <c r="E693" i="17"/>
  <c r="G693" i="17"/>
  <c r="J693" i="17"/>
  <c r="K693" i="17"/>
  <c r="B802" i="17"/>
  <c r="A714" i="18"/>
  <c r="E714" i="18"/>
  <c r="E717" i="17"/>
  <c r="G717" i="17"/>
  <c r="J717" i="17"/>
  <c r="K717" i="17"/>
  <c r="A569" i="18"/>
  <c r="E569" i="18"/>
  <c r="G572" i="17"/>
  <c r="J572" i="17"/>
  <c r="K572" i="17"/>
  <c r="E572" i="17"/>
  <c r="B657" i="17"/>
  <c r="A577" i="18"/>
  <c r="E577" i="18"/>
  <c r="E580" i="17"/>
  <c r="G580" i="17"/>
  <c r="J580" i="17"/>
  <c r="K580" i="17"/>
  <c r="B665" i="17"/>
  <c r="B753" i="17"/>
  <c r="A665" i="18"/>
  <c r="E665" i="18"/>
  <c r="J668" i="17"/>
  <c r="K668" i="17"/>
  <c r="E668" i="17"/>
  <c r="G668" i="17"/>
  <c r="A541" i="18"/>
  <c r="E541" i="18"/>
  <c r="J544" i="17"/>
  <c r="K544" i="17"/>
  <c r="E544" i="17"/>
  <c r="G544" i="17"/>
  <c r="B629" i="17"/>
  <c r="A517" i="18"/>
  <c r="E517" i="18"/>
  <c r="J520" i="17"/>
  <c r="K520" i="17"/>
  <c r="E520" i="17"/>
  <c r="G520" i="17"/>
  <c r="B605" i="17"/>
  <c r="B840" i="17"/>
  <c r="A752" i="18"/>
  <c r="E752" i="18"/>
  <c r="E755" i="17"/>
  <c r="G755" i="17"/>
  <c r="J755" i="17"/>
  <c r="K755" i="17"/>
  <c r="B751" i="17"/>
  <c r="A663" i="18"/>
  <c r="E663" i="18"/>
  <c r="E666" i="17"/>
  <c r="G666" i="17"/>
  <c r="J666" i="17"/>
  <c r="K666" i="17"/>
  <c r="B727" i="17"/>
  <c r="A639" i="18"/>
  <c r="E639" i="18"/>
  <c r="E642" i="17"/>
  <c r="G642" i="17"/>
  <c r="J642" i="17"/>
  <c r="K642" i="17"/>
  <c r="A526" i="18"/>
  <c r="E526" i="18"/>
  <c r="E529" i="17"/>
  <c r="G529" i="17"/>
  <c r="J529" i="17"/>
  <c r="K529" i="17"/>
  <c r="B614" i="17"/>
  <c r="B848" i="17"/>
  <c r="A760" i="18"/>
  <c r="E760" i="18"/>
  <c r="E763" i="17"/>
  <c r="G763" i="17"/>
  <c r="J763" i="17"/>
  <c r="K763" i="17"/>
  <c r="A550" i="18"/>
  <c r="E550" i="18"/>
  <c r="E553" i="17"/>
  <c r="G553" i="17"/>
  <c r="J553" i="17"/>
  <c r="K553" i="17"/>
  <c r="B638" i="17"/>
  <c r="B744" i="17"/>
  <c r="A656" i="18"/>
  <c r="E656" i="18"/>
  <c r="E659" i="17"/>
  <c r="G659" i="17"/>
  <c r="J659" i="17"/>
  <c r="K659" i="17"/>
  <c r="B770" i="17"/>
  <c r="A682" i="18"/>
  <c r="E682" i="18"/>
  <c r="E685" i="17"/>
  <c r="G685" i="17"/>
  <c r="J685" i="17"/>
  <c r="K685" i="17"/>
  <c r="B752" i="17"/>
  <c r="A664" i="18"/>
  <c r="E664" i="18"/>
  <c r="E667" i="17"/>
  <c r="G667" i="17"/>
  <c r="J667" i="17"/>
  <c r="K667" i="17"/>
  <c r="A546" i="18"/>
  <c r="E546" i="18"/>
  <c r="G549" i="17"/>
  <c r="J549" i="17"/>
  <c r="E549" i="17"/>
  <c r="K549" i="17"/>
  <c r="B634" i="17"/>
  <c r="A534" i="18"/>
  <c r="E534" i="18"/>
  <c r="E537" i="17"/>
  <c r="G537" i="17"/>
  <c r="J537" i="17"/>
  <c r="K537" i="17"/>
  <c r="B622" i="17"/>
  <c r="B745" i="17"/>
  <c r="A657" i="18"/>
  <c r="E657" i="18"/>
  <c r="J660" i="17"/>
  <c r="K660" i="17"/>
  <c r="E660" i="17"/>
  <c r="G660" i="17"/>
  <c r="B735" i="17"/>
  <c r="A647" i="18"/>
  <c r="E647" i="18"/>
  <c r="E650" i="17"/>
  <c r="G650" i="17"/>
  <c r="J650" i="17"/>
  <c r="K650" i="17"/>
  <c r="B794" i="17"/>
  <c r="A706" i="18"/>
  <c r="E706" i="18"/>
  <c r="E709" i="17"/>
  <c r="G709" i="17"/>
  <c r="J709" i="17"/>
  <c r="K709" i="17"/>
  <c r="A574" i="18"/>
  <c r="E574" i="18"/>
  <c r="J577" i="17"/>
  <c r="K577" i="17"/>
  <c r="E577" i="17"/>
  <c r="G577" i="17"/>
  <c r="B662" i="17"/>
  <c r="A583" i="18"/>
  <c r="E583" i="18"/>
  <c r="E586" i="17"/>
  <c r="J586" i="17"/>
  <c r="K586" i="17"/>
  <c r="G586" i="17"/>
  <c r="B671" i="17"/>
  <c r="A529" i="18"/>
  <c r="E529" i="18"/>
  <c r="E532" i="17"/>
  <c r="G532" i="17"/>
  <c r="J532" i="17"/>
  <c r="K532" i="17"/>
  <c r="B617" i="17"/>
  <c r="A553" i="18"/>
  <c r="E553" i="18"/>
  <c r="G556" i="17"/>
  <c r="J556" i="17"/>
  <c r="K556" i="17"/>
  <c r="E556" i="17"/>
  <c r="B641" i="17"/>
  <c r="A537" i="18"/>
  <c r="E537" i="18"/>
  <c r="E540" i="17"/>
  <c r="G540" i="17"/>
  <c r="K540" i="17"/>
  <c r="J540" i="17"/>
  <c r="B625" i="17"/>
  <c r="A584" i="18"/>
  <c r="E584" i="18"/>
  <c r="K587" i="17"/>
  <c r="E587" i="17"/>
  <c r="G587" i="17"/>
  <c r="J587" i="17"/>
  <c r="B672" i="17"/>
  <c r="A519" i="18"/>
  <c r="E519" i="18"/>
  <c r="E522" i="17"/>
  <c r="G522" i="17"/>
  <c r="J522" i="17"/>
  <c r="K522" i="17"/>
  <c r="B607" i="17"/>
  <c r="B781" i="17"/>
  <c r="A693" i="18"/>
  <c r="E693" i="18"/>
  <c r="E696" i="17"/>
  <c r="G696" i="17"/>
  <c r="J696" i="17"/>
  <c r="K696" i="17"/>
  <c r="A514" i="18"/>
  <c r="E514" i="18"/>
  <c r="G517" i="17"/>
  <c r="J517" i="17"/>
  <c r="K517" i="17"/>
  <c r="E517" i="17"/>
  <c r="B602" i="17"/>
  <c r="B806" i="17"/>
  <c r="A718" i="18"/>
  <c r="E718" i="18"/>
  <c r="G721" i="17"/>
  <c r="J721" i="17"/>
  <c r="K721" i="17"/>
  <c r="E721" i="17"/>
  <c r="A545" i="18"/>
  <c r="E545" i="18"/>
  <c r="G548" i="17"/>
  <c r="J548" i="17"/>
  <c r="K548" i="17"/>
  <c r="E548" i="17"/>
  <c r="B633" i="17"/>
  <c r="A527" i="18"/>
  <c r="E527" i="18"/>
  <c r="E530" i="17"/>
  <c r="G530" i="17"/>
  <c r="J530" i="17"/>
  <c r="K530" i="17"/>
  <c r="B615" i="17"/>
  <c r="B789" i="17"/>
  <c r="A701" i="18"/>
  <c r="E701" i="18"/>
  <c r="E704" i="17"/>
  <c r="G704" i="17"/>
  <c r="J704" i="17"/>
  <c r="K704" i="17"/>
  <c r="A565" i="18"/>
  <c r="E565" i="18"/>
  <c r="J568" i="17"/>
  <c r="K568" i="17"/>
  <c r="E568" i="17"/>
  <c r="G568" i="17"/>
  <c r="B653" i="17"/>
  <c r="A560" i="18"/>
  <c r="E560" i="18"/>
  <c r="K563" i="17"/>
  <c r="G563" i="17"/>
  <c r="J563" i="17"/>
  <c r="E563" i="17"/>
  <c r="B648" i="17"/>
  <c r="A538" i="18"/>
  <c r="E538" i="18"/>
  <c r="G541" i="17"/>
  <c r="J541" i="17"/>
  <c r="E541" i="17"/>
  <c r="K541" i="17"/>
  <c r="B626" i="17"/>
  <c r="A620" i="18"/>
  <c r="E620" i="18"/>
  <c r="K623" i="17"/>
  <c r="E623" i="17"/>
  <c r="G623" i="17"/>
  <c r="J623" i="17"/>
  <c r="B708" i="17"/>
  <c r="A652" i="18"/>
  <c r="E652" i="18"/>
  <c r="K655" i="17"/>
  <c r="E655" i="17"/>
  <c r="G655" i="17"/>
  <c r="J655" i="17"/>
  <c r="B740" i="17"/>
  <c r="B874" i="17"/>
  <c r="A786" i="18"/>
  <c r="E786" i="18"/>
  <c r="E789" i="17"/>
  <c r="G789" i="17"/>
  <c r="J789" i="17"/>
  <c r="K789" i="17"/>
  <c r="B887" i="17"/>
  <c r="A799" i="18"/>
  <c r="E799" i="18"/>
  <c r="E802" i="17"/>
  <c r="G802" i="17"/>
  <c r="J802" i="17"/>
  <c r="K802" i="17"/>
  <c r="B871" i="17"/>
  <c r="A783" i="18"/>
  <c r="E783" i="18"/>
  <c r="E786" i="17"/>
  <c r="G786" i="17"/>
  <c r="J786" i="17"/>
  <c r="K786" i="17"/>
  <c r="B821" i="17"/>
  <c r="A733" i="18"/>
  <c r="E733" i="18"/>
  <c r="E736" i="17"/>
  <c r="G736" i="17"/>
  <c r="J736" i="17"/>
  <c r="K736" i="17"/>
  <c r="A740" i="18"/>
  <c r="E740" i="18"/>
  <c r="K743" i="17"/>
  <c r="E743" i="17"/>
  <c r="G743" i="17"/>
  <c r="J743" i="17"/>
  <c r="B828" i="17"/>
  <c r="B706" i="17"/>
  <c r="A618" i="18"/>
  <c r="E618" i="18"/>
  <c r="E621" i="17"/>
  <c r="G621" i="17"/>
  <c r="J621" i="17"/>
  <c r="K621" i="17"/>
  <c r="B734" i="17"/>
  <c r="A646" i="18"/>
  <c r="E646" i="18"/>
  <c r="G649" i="17"/>
  <c r="J649" i="17"/>
  <c r="K649" i="17"/>
  <c r="E649" i="17"/>
  <c r="B726" i="17"/>
  <c r="A638" i="18"/>
  <c r="E638" i="18"/>
  <c r="G641" i="17"/>
  <c r="J641" i="17"/>
  <c r="K641" i="17"/>
  <c r="E641" i="17"/>
  <c r="B719" i="17"/>
  <c r="A631" i="18"/>
  <c r="E631" i="18"/>
  <c r="E634" i="17"/>
  <c r="G634" i="17"/>
  <c r="J634" i="17"/>
  <c r="K634" i="17"/>
  <c r="A635" i="18"/>
  <c r="E635" i="18"/>
  <c r="E638" i="17"/>
  <c r="G638" i="17"/>
  <c r="J638" i="17"/>
  <c r="K638" i="17"/>
  <c r="B723" i="17"/>
  <c r="B758" i="17"/>
  <c r="A670" i="18"/>
  <c r="E670" i="18"/>
  <c r="G673" i="17"/>
  <c r="J673" i="17"/>
  <c r="K673" i="17"/>
  <c r="E673" i="17"/>
  <c r="B694" i="17"/>
  <c r="A606" i="18"/>
  <c r="E606" i="18"/>
  <c r="G609" i="17"/>
  <c r="J609" i="17"/>
  <c r="K609" i="17"/>
  <c r="E609" i="17"/>
  <c r="A653" i="18"/>
  <c r="E653" i="18"/>
  <c r="E656" i="17"/>
  <c r="G656" i="17"/>
  <c r="J656" i="17"/>
  <c r="K656" i="17"/>
  <c r="B741" i="17"/>
  <c r="A637" i="18"/>
  <c r="E637" i="18"/>
  <c r="E640" i="17"/>
  <c r="G640" i="17"/>
  <c r="J640" i="17"/>
  <c r="K640" i="17"/>
  <c r="B725" i="17"/>
  <c r="A596" i="18"/>
  <c r="E596" i="18"/>
  <c r="E599" i="17"/>
  <c r="G599" i="17"/>
  <c r="J599" i="17"/>
  <c r="K599" i="17"/>
  <c r="B684" i="17"/>
  <c r="A603" i="18"/>
  <c r="E603" i="18"/>
  <c r="E606" i="17"/>
  <c r="G606" i="17"/>
  <c r="J606" i="17"/>
  <c r="K606" i="17"/>
  <c r="B691" i="17"/>
  <c r="B686" i="17"/>
  <c r="A598" i="18"/>
  <c r="E598" i="18"/>
  <c r="E601" i="17"/>
  <c r="G601" i="17"/>
  <c r="J601" i="17"/>
  <c r="K601" i="17"/>
  <c r="B882" i="17"/>
  <c r="A794" i="18"/>
  <c r="E794" i="18"/>
  <c r="E797" i="17"/>
  <c r="G797" i="17"/>
  <c r="K797" i="17"/>
  <c r="J797" i="17"/>
  <c r="B730" i="17"/>
  <c r="A642" i="18"/>
  <c r="E642" i="18"/>
  <c r="E645" i="17"/>
  <c r="G645" i="17"/>
  <c r="J645" i="17"/>
  <c r="K645" i="17"/>
  <c r="B703" i="17"/>
  <c r="A615" i="18"/>
  <c r="E615" i="18"/>
  <c r="E618" i="17"/>
  <c r="G618" i="17"/>
  <c r="J618" i="17"/>
  <c r="K618" i="17"/>
  <c r="B855" i="17"/>
  <c r="A767" i="18"/>
  <c r="E767" i="18"/>
  <c r="E770" i="17"/>
  <c r="G770" i="17"/>
  <c r="J770" i="17"/>
  <c r="K770" i="17"/>
  <c r="B867" i="17"/>
  <c r="A779" i="18"/>
  <c r="E779" i="18"/>
  <c r="E782" i="17"/>
  <c r="G782" i="17"/>
  <c r="J782" i="17"/>
  <c r="K782" i="17"/>
  <c r="B814" i="17"/>
  <c r="A726" i="18"/>
  <c r="E726" i="18"/>
  <c r="G729" i="17"/>
  <c r="J729" i="17"/>
  <c r="K729" i="17"/>
  <c r="E729" i="17"/>
  <c r="B883" i="17"/>
  <c r="A795" i="18"/>
  <c r="E795" i="18"/>
  <c r="E798" i="17"/>
  <c r="G798" i="17"/>
  <c r="J798" i="17"/>
  <c r="K798" i="17"/>
  <c r="A771" i="18"/>
  <c r="E771" i="18"/>
  <c r="E774" i="17"/>
  <c r="G774" i="17"/>
  <c r="J774" i="17"/>
  <c r="K774" i="17"/>
  <c r="B859" i="17"/>
  <c r="B931" i="17"/>
  <c r="A843" i="18"/>
  <c r="E843" i="18"/>
  <c r="E846" i="17"/>
  <c r="G846" i="17"/>
  <c r="J846" i="17"/>
  <c r="K846" i="17"/>
  <c r="B718" i="17"/>
  <c r="A630" i="18"/>
  <c r="E630" i="18"/>
  <c r="G633" i="17"/>
  <c r="J633" i="17"/>
  <c r="K633" i="17"/>
  <c r="E633" i="17"/>
  <c r="B830" i="17"/>
  <c r="A742" i="18"/>
  <c r="E742" i="18"/>
  <c r="G745" i="17"/>
  <c r="J745" i="17"/>
  <c r="K745" i="17"/>
  <c r="E745" i="17"/>
  <c r="B687" i="17"/>
  <c r="A599" i="18"/>
  <c r="E599" i="18"/>
  <c r="E602" i="17"/>
  <c r="J602" i="17"/>
  <c r="K602" i="17"/>
  <c r="G602" i="17"/>
  <c r="B710" i="17"/>
  <c r="A622" i="18"/>
  <c r="E622" i="18"/>
  <c r="G625" i="17"/>
  <c r="J625" i="17"/>
  <c r="K625" i="17"/>
  <c r="E625" i="17"/>
  <c r="A659" i="18"/>
  <c r="E659" i="18"/>
  <c r="E662" i="17"/>
  <c r="G662" i="17"/>
  <c r="J662" i="17"/>
  <c r="K662" i="17"/>
  <c r="B747" i="17"/>
  <c r="A619" i="18"/>
  <c r="E619" i="18"/>
  <c r="E622" i="17"/>
  <c r="G622" i="17"/>
  <c r="J622" i="17"/>
  <c r="K622" i="17"/>
  <c r="B707" i="17"/>
  <c r="B714" i="17"/>
  <c r="A626" i="18"/>
  <c r="E626" i="18"/>
  <c r="E629" i="17"/>
  <c r="G629" i="17"/>
  <c r="J629" i="17"/>
  <c r="K629" i="17"/>
  <c r="A636" i="18"/>
  <c r="E636" i="18"/>
  <c r="K639" i="17"/>
  <c r="E639" i="17"/>
  <c r="G639" i="17"/>
  <c r="J639" i="17"/>
  <c r="B724" i="17"/>
  <c r="B890" i="17"/>
  <c r="A802" i="18"/>
  <c r="E802" i="18"/>
  <c r="E805" i="17"/>
  <c r="G805" i="17"/>
  <c r="J805" i="17"/>
  <c r="K805" i="17"/>
  <c r="B746" i="17"/>
  <c r="A658" i="18"/>
  <c r="E658" i="18"/>
  <c r="E661" i="17"/>
  <c r="G661" i="17"/>
  <c r="J661" i="17"/>
  <c r="K661" i="17"/>
  <c r="A660" i="18"/>
  <c r="E660" i="18"/>
  <c r="K663" i="17"/>
  <c r="E663" i="17"/>
  <c r="G663" i="17"/>
  <c r="J663" i="17"/>
  <c r="B748" i="17"/>
  <c r="A643" i="18"/>
  <c r="E643" i="18"/>
  <c r="E646" i="17"/>
  <c r="G646" i="17"/>
  <c r="J646" i="17"/>
  <c r="K646" i="17"/>
  <c r="B731" i="17"/>
  <c r="A627" i="18"/>
  <c r="E627" i="18"/>
  <c r="E630" i="17"/>
  <c r="G630" i="17"/>
  <c r="J630" i="17"/>
  <c r="K630" i="17"/>
  <c r="B715" i="17"/>
  <c r="B759" i="17"/>
  <c r="A671" i="18"/>
  <c r="E671" i="18"/>
  <c r="E674" i="17"/>
  <c r="G674" i="17"/>
  <c r="J674" i="17"/>
  <c r="K674" i="17"/>
  <c r="B766" i="17"/>
  <c r="A678" i="18"/>
  <c r="E678" i="18"/>
  <c r="G681" i="17"/>
  <c r="J681" i="17"/>
  <c r="K681" i="17"/>
  <c r="E681" i="17"/>
  <c r="B858" i="17"/>
  <c r="A770" i="18"/>
  <c r="E770" i="18"/>
  <c r="E773" i="17"/>
  <c r="G773" i="17"/>
  <c r="J773" i="17"/>
  <c r="K773" i="17"/>
  <c r="B750" i="17"/>
  <c r="A662" i="18"/>
  <c r="E662" i="18"/>
  <c r="G665" i="17"/>
  <c r="J665" i="17"/>
  <c r="K665" i="17"/>
  <c r="E665" i="17"/>
  <c r="A741" i="18"/>
  <c r="E741" i="18"/>
  <c r="E744" i="17"/>
  <c r="G744" i="17"/>
  <c r="J744" i="17"/>
  <c r="K744" i="17"/>
  <c r="B829" i="17"/>
  <c r="B812" i="17"/>
  <c r="A724" i="18"/>
  <c r="E724" i="18"/>
  <c r="K727" i="17"/>
  <c r="E727" i="17"/>
  <c r="G727" i="17"/>
  <c r="J727" i="17"/>
  <c r="B820" i="17"/>
  <c r="A732" i="18"/>
  <c r="E732" i="18"/>
  <c r="K735" i="17"/>
  <c r="E735" i="17"/>
  <c r="G735" i="17"/>
  <c r="J735" i="17"/>
  <c r="A837" i="18"/>
  <c r="E837" i="18"/>
  <c r="E840" i="17"/>
  <c r="G840" i="17"/>
  <c r="K840" i="17"/>
  <c r="J840" i="17"/>
  <c r="B925" i="17"/>
  <c r="B875" i="17"/>
  <c r="A787" i="18"/>
  <c r="E787" i="18"/>
  <c r="E790" i="17"/>
  <c r="G790" i="17"/>
  <c r="J790" i="17"/>
  <c r="K790" i="17"/>
  <c r="A764" i="18"/>
  <c r="E764" i="18"/>
  <c r="K767" i="17"/>
  <c r="E767" i="17"/>
  <c r="G767" i="17"/>
  <c r="J767" i="17"/>
  <c r="B852" i="17"/>
  <c r="B930" i="17"/>
  <c r="A842" i="18"/>
  <c r="E842" i="18"/>
  <c r="G845" i="17"/>
  <c r="J845" i="17"/>
  <c r="K845" i="17"/>
  <c r="E845" i="17"/>
  <c r="B702" i="17"/>
  <c r="A614" i="18"/>
  <c r="E614" i="18"/>
  <c r="G617" i="17"/>
  <c r="J617" i="17"/>
  <c r="K617" i="17"/>
  <c r="E617" i="17"/>
  <c r="B711" i="17"/>
  <c r="A623" i="18"/>
  <c r="E623" i="18"/>
  <c r="E626" i="17"/>
  <c r="G626" i="17"/>
  <c r="J626" i="17"/>
  <c r="K626" i="17"/>
  <c r="A612" i="18"/>
  <c r="E612" i="18"/>
  <c r="K615" i="17"/>
  <c r="E615" i="17"/>
  <c r="G615" i="17"/>
  <c r="J615" i="17"/>
  <c r="B700" i="17"/>
  <c r="B837" i="17"/>
  <c r="A749" i="18"/>
  <c r="E749" i="18"/>
  <c r="E752" i="17"/>
  <c r="G752" i="17"/>
  <c r="J752" i="17"/>
  <c r="K752" i="17"/>
  <c r="A845" i="18"/>
  <c r="E845" i="18"/>
  <c r="E848" i="17"/>
  <c r="G848" i="17"/>
  <c r="J848" i="17"/>
  <c r="K848" i="17"/>
  <c r="B933" i="17"/>
  <c r="B738" i="17"/>
  <c r="A650" i="18"/>
  <c r="E650" i="18"/>
  <c r="E653" i="17"/>
  <c r="G653" i="17"/>
  <c r="J653" i="17"/>
  <c r="K653" i="17"/>
  <c r="A669" i="18"/>
  <c r="E669" i="18"/>
  <c r="E672" i="17"/>
  <c r="G672" i="17"/>
  <c r="J672" i="17"/>
  <c r="K672" i="17"/>
  <c r="B757" i="17"/>
  <c r="A668" i="18"/>
  <c r="E668" i="18"/>
  <c r="K671" i="17"/>
  <c r="E671" i="17"/>
  <c r="G671" i="17"/>
  <c r="J671" i="17"/>
  <c r="B756" i="17"/>
  <c r="A611" i="18"/>
  <c r="E611" i="18"/>
  <c r="E614" i="17"/>
  <c r="G614" i="17"/>
  <c r="J614" i="17"/>
  <c r="K614" i="17"/>
  <c r="B699" i="17"/>
  <c r="B690" i="17"/>
  <c r="A602" i="18"/>
  <c r="E602" i="18"/>
  <c r="G605" i="17"/>
  <c r="E605" i="17"/>
  <c r="J605" i="17"/>
  <c r="K605" i="17"/>
  <c r="B742" i="17"/>
  <c r="A654" i="18"/>
  <c r="E654" i="18"/>
  <c r="G657" i="17"/>
  <c r="J657" i="17"/>
  <c r="K657" i="17"/>
  <c r="E657" i="17"/>
  <c r="A644" i="18"/>
  <c r="E644" i="18"/>
  <c r="K647" i="17"/>
  <c r="E647" i="17"/>
  <c r="G647" i="17"/>
  <c r="J647" i="17"/>
  <c r="B732" i="17"/>
  <c r="A661" i="18"/>
  <c r="E661" i="18"/>
  <c r="E664" i="17"/>
  <c r="G664" i="17"/>
  <c r="J664" i="17"/>
  <c r="K664" i="17"/>
  <c r="B749" i="17"/>
  <c r="A677" i="18"/>
  <c r="E677" i="18"/>
  <c r="E680" i="17"/>
  <c r="G680" i="17"/>
  <c r="J680" i="17"/>
  <c r="K680" i="17"/>
  <c r="B765" i="17"/>
  <c r="A595" i="18"/>
  <c r="E595" i="18"/>
  <c r="E598" i="17"/>
  <c r="G598" i="17"/>
  <c r="J598" i="17"/>
  <c r="K598" i="17"/>
  <c r="B683" i="17"/>
  <c r="B698" i="17"/>
  <c r="A610" i="18"/>
  <c r="E610" i="18"/>
  <c r="E613" i="17"/>
  <c r="G613" i="17"/>
  <c r="J613" i="17"/>
  <c r="K613" i="17"/>
  <c r="A651" i="18"/>
  <c r="E651" i="18"/>
  <c r="E654" i="17"/>
  <c r="G654" i="17"/>
  <c r="J654" i="17"/>
  <c r="K654" i="17"/>
  <c r="B739" i="17"/>
  <c r="B754" i="17"/>
  <c r="A666" i="18"/>
  <c r="E666" i="18"/>
  <c r="E669" i="17"/>
  <c r="G669" i="17"/>
  <c r="J669" i="17"/>
  <c r="K669" i="17"/>
  <c r="A645" i="18"/>
  <c r="E645" i="18"/>
  <c r="E648" i="17"/>
  <c r="G648" i="17"/>
  <c r="J648" i="17"/>
  <c r="K648" i="17"/>
  <c r="B733" i="17"/>
  <c r="A604" i="18"/>
  <c r="E604" i="18"/>
  <c r="K607" i="17"/>
  <c r="E607" i="17"/>
  <c r="G607" i="17"/>
  <c r="J607" i="17"/>
  <c r="B692" i="17"/>
  <c r="A676" i="18"/>
  <c r="E676" i="18"/>
  <c r="K679" i="17"/>
  <c r="E679" i="17"/>
  <c r="G679" i="17"/>
  <c r="J679" i="17"/>
  <c r="B764" i="17"/>
  <c r="A628" i="18"/>
  <c r="E628" i="18"/>
  <c r="K631" i="17"/>
  <c r="E631" i="17"/>
  <c r="G631" i="17"/>
  <c r="J631" i="17"/>
  <c r="B716" i="17"/>
  <c r="B695" i="17"/>
  <c r="A607" i="18"/>
  <c r="E607" i="18"/>
  <c r="E610" i="17"/>
  <c r="G610" i="17"/>
  <c r="J610" i="17"/>
  <c r="K610" i="17"/>
  <c r="B722" i="17"/>
  <c r="A634" i="18"/>
  <c r="E634" i="18"/>
  <c r="E637" i="17"/>
  <c r="G637" i="17"/>
  <c r="J637" i="17"/>
  <c r="K637" i="17"/>
  <c r="B891" i="17"/>
  <c r="A803" i="18"/>
  <c r="E803" i="18"/>
  <c r="E806" i="17"/>
  <c r="G806" i="17"/>
  <c r="J806" i="17"/>
  <c r="K806" i="17"/>
  <c r="B866" i="17"/>
  <c r="A778" i="18"/>
  <c r="E778" i="18"/>
  <c r="E781" i="17"/>
  <c r="G781" i="17"/>
  <c r="J781" i="17"/>
  <c r="K781" i="17"/>
  <c r="B879" i="17"/>
  <c r="A791" i="18"/>
  <c r="E791" i="18"/>
  <c r="E794" i="17"/>
  <c r="J794" i="17"/>
  <c r="K794" i="17"/>
  <c r="G794" i="17"/>
  <c r="A748" i="18"/>
  <c r="E748" i="18"/>
  <c r="K751" i="17"/>
  <c r="E751" i="17"/>
  <c r="G751" i="17"/>
  <c r="J751" i="17"/>
  <c r="B836" i="17"/>
  <c r="B838" i="17"/>
  <c r="A750" i="18"/>
  <c r="E750" i="18"/>
  <c r="G753" i="17"/>
  <c r="J753" i="17"/>
  <c r="K753" i="17"/>
  <c r="E753" i="17"/>
  <c r="B863" i="17"/>
  <c r="A775" i="18"/>
  <c r="E775" i="18"/>
  <c r="E778" i="17"/>
  <c r="G778" i="17"/>
  <c r="J778" i="17"/>
  <c r="K778" i="17"/>
  <c r="B813" i="17"/>
  <c r="A725" i="18"/>
  <c r="E725" i="18"/>
  <c r="E728" i="17"/>
  <c r="G728" i="17"/>
  <c r="J728" i="17"/>
  <c r="K728" i="17"/>
  <c r="B822" i="17"/>
  <c r="A734" i="18"/>
  <c r="E734" i="18"/>
  <c r="G737" i="17"/>
  <c r="J737" i="17"/>
  <c r="K737" i="17"/>
  <c r="E737" i="17"/>
  <c r="A844" i="18"/>
  <c r="E844" i="18"/>
  <c r="K847" i="17"/>
  <c r="J847" i="17"/>
  <c r="E847" i="17"/>
  <c r="G847" i="17"/>
  <c r="B932" i="17"/>
  <c r="B816" i="17"/>
  <c r="A728" i="18"/>
  <c r="E728" i="18"/>
  <c r="E731" i="17"/>
  <c r="G731" i="17"/>
  <c r="J731" i="17"/>
  <c r="K731" i="17"/>
  <c r="B809" i="17"/>
  <c r="A721" i="18"/>
  <c r="E721" i="18"/>
  <c r="J724" i="17"/>
  <c r="K724" i="17"/>
  <c r="E724" i="17"/>
  <c r="G724" i="17"/>
  <c r="A860" i="18"/>
  <c r="E860" i="18"/>
  <c r="K863" i="17"/>
  <c r="J863" i="17"/>
  <c r="E863" i="17"/>
  <c r="G863" i="17"/>
  <c r="B948" i="17"/>
  <c r="A863" i="18"/>
  <c r="E863" i="18"/>
  <c r="E866" i="17"/>
  <c r="G866" i="17"/>
  <c r="J866" i="17"/>
  <c r="K866" i="17"/>
  <c r="B951" i="17"/>
  <c r="B839" i="17"/>
  <c r="A751" i="18"/>
  <c r="E751" i="18"/>
  <c r="E754" i="17"/>
  <c r="G754" i="17"/>
  <c r="J754" i="17"/>
  <c r="K754" i="17"/>
  <c r="B775" i="17"/>
  <c r="A687" i="18"/>
  <c r="E687" i="18"/>
  <c r="E690" i="17"/>
  <c r="G690" i="17"/>
  <c r="J690" i="17"/>
  <c r="K690" i="17"/>
  <c r="B823" i="17"/>
  <c r="A735" i="18"/>
  <c r="E735" i="18"/>
  <c r="E738" i="17"/>
  <c r="G738" i="17"/>
  <c r="J738" i="17"/>
  <c r="K738" i="17"/>
  <c r="A708" i="18"/>
  <c r="E708" i="18"/>
  <c r="K711" i="17"/>
  <c r="E711" i="17"/>
  <c r="G711" i="17"/>
  <c r="J711" i="17"/>
  <c r="B796" i="17"/>
  <c r="A872" i="18"/>
  <c r="E872" i="18"/>
  <c r="E875" i="17"/>
  <c r="G875" i="17"/>
  <c r="J875" i="17"/>
  <c r="K875" i="17"/>
  <c r="B960" i="17"/>
  <c r="B844" i="17"/>
  <c r="A756" i="18"/>
  <c r="E756" i="18"/>
  <c r="K759" i="17"/>
  <c r="E759" i="17"/>
  <c r="G759" i="17"/>
  <c r="J759" i="17"/>
  <c r="B831" i="17"/>
  <c r="A743" i="18"/>
  <c r="E743" i="18"/>
  <c r="E746" i="17"/>
  <c r="G746" i="17"/>
  <c r="J746" i="17"/>
  <c r="K746" i="17"/>
  <c r="B915" i="17"/>
  <c r="A827" i="18"/>
  <c r="E827" i="18"/>
  <c r="E830" i="17"/>
  <c r="G830" i="17"/>
  <c r="J830" i="17"/>
  <c r="K830" i="17"/>
  <c r="A880" i="18"/>
  <c r="E880" i="18"/>
  <c r="E883" i="17"/>
  <c r="G883" i="17"/>
  <c r="J883" i="17"/>
  <c r="K883" i="17"/>
  <c r="B968" i="17"/>
  <c r="B788" i="17"/>
  <c r="A700" i="18"/>
  <c r="E700" i="18"/>
  <c r="K703" i="17"/>
  <c r="E703" i="17"/>
  <c r="G703" i="17"/>
  <c r="J703" i="17"/>
  <c r="B779" i="17"/>
  <c r="A691" i="18"/>
  <c r="E691" i="18"/>
  <c r="E694" i="17"/>
  <c r="G694" i="17"/>
  <c r="J694" i="17"/>
  <c r="K694" i="17"/>
  <c r="B811" i="17"/>
  <c r="A723" i="18"/>
  <c r="E723" i="18"/>
  <c r="E726" i="17"/>
  <c r="G726" i="17"/>
  <c r="J726" i="17"/>
  <c r="K726" i="17"/>
  <c r="B906" i="17"/>
  <c r="A818" i="18"/>
  <c r="E818" i="18"/>
  <c r="E821" i="17"/>
  <c r="G821" i="17"/>
  <c r="J821" i="17"/>
  <c r="K821" i="17"/>
  <c r="B921" i="17"/>
  <c r="A833" i="18"/>
  <c r="E833" i="18"/>
  <c r="J836" i="17"/>
  <c r="K836" i="17"/>
  <c r="E836" i="17"/>
  <c r="G836" i="17"/>
  <c r="B777" i="17"/>
  <c r="A689" i="18"/>
  <c r="E689" i="18"/>
  <c r="J692" i="17"/>
  <c r="K692" i="17"/>
  <c r="E692" i="17"/>
  <c r="G692" i="17"/>
  <c r="B849" i="17"/>
  <c r="A761" i="18"/>
  <c r="E761" i="18"/>
  <c r="J764" i="17"/>
  <c r="K764" i="17"/>
  <c r="G764" i="17"/>
  <c r="E764" i="17"/>
  <c r="B824" i="17"/>
  <c r="A736" i="18"/>
  <c r="E736" i="18"/>
  <c r="E739" i="17"/>
  <c r="G739" i="17"/>
  <c r="J739" i="17"/>
  <c r="K739" i="17"/>
  <c r="B834" i="17"/>
  <c r="A746" i="18"/>
  <c r="E746" i="18"/>
  <c r="E749" i="17"/>
  <c r="G749" i="17"/>
  <c r="J749" i="17"/>
  <c r="K749" i="17"/>
  <c r="B784" i="17"/>
  <c r="A696" i="18"/>
  <c r="E696" i="18"/>
  <c r="E699" i="17"/>
  <c r="G699" i="17"/>
  <c r="J699" i="17"/>
  <c r="K699" i="17"/>
  <c r="A930" i="18"/>
  <c r="E930" i="18"/>
  <c r="E933" i="17"/>
  <c r="G933" i="17"/>
  <c r="J933" i="17"/>
  <c r="K933" i="17"/>
  <c r="B1018" i="17"/>
  <c r="A922" i="18"/>
  <c r="E922" i="18"/>
  <c r="E925" i="17"/>
  <c r="G925" i="17"/>
  <c r="J925" i="17"/>
  <c r="K925" i="17"/>
  <c r="B1010" i="17"/>
  <c r="B800" i="17"/>
  <c r="A712" i="18"/>
  <c r="E712" i="18"/>
  <c r="E715" i="17"/>
  <c r="G715" i="17"/>
  <c r="J715" i="17"/>
  <c r="K715" i="17"/>
  <c r="B832" i="17"/>
  <c r="A744" i="18"/>
  <c r="E744" i="18"/>
  <c r="E747" i="17"/>
  <c r="G747" i="17"/>
  <c r="J747" i="17"/>
  <c r="K747" i="17"/>
  <c r="B769" i="17"/>
  <c r="A681" i="18"/>
  <c r="E681" i="18"/>
  <c r="J684" i="17"/>
  <c r="K684" i="17"/>
  <c r="E684" i="17"/>
  <c r="G684" i="17"/>
  <c r="B793" i="17"/>
  <c r="A705" i="18"/>
  <c r="E705" i="18"/>
  <c r="J708" i="17"/>
  <c r="K708" i="17"/>
  <c r="E708" i="17"/>
  <c r="G708" i="17"/>
  <c r="A929" i="18"/>
  <c r="E929" i="18"/>
  <c r="J932" i="17"/>
  <c r="K932" i="17"/>
  <c r="E932" i="17"/>
  <c r="G932" i="17"/>
  <c r="B1017" i="17"/>
  <c r="B898" i="17"/>
  <c r="A810" i="18"/>
  <c r="E810" i="18"/>
  <c r="E813" i="17"/>
  <c r="G813" i="17"/>
  <c r="K813" i="17"/>
  <c r="J813" i="17"/>
  <c r="A876" i="18"/>
  <c r="E876" i="18"/>
  <c r="K879" i="17"/>
  <c r="E879" i="17"/>
  <c r="G879" i="17"/>
  <c r="J879" i="17"/>
  <c r="B964" i="17"/>
  <c r="B780" i="17"/>
  <c r="A692" i="18"/>
  <c r="E692" i="18"/>
  <c r="K695" i="17"/>
  <c r="E695" i="17"/>
  <c r="G695" i="17"/>
  <c r="J695" i="17"/>
  <c r="B827" i="17"/>
  <c r="A739" i="18"/>
  <c r="E739" i="18"/>
  <c r="E742" i="17"/>
  <c r="G742" i="17"/>
  <c r="J742" i="17"/>
  <c r="K742" i="17"/>
  <c r="B897" i="17"/>
  <c r="A809" i="18"/>
  <c r="E809" i="18"/>
  <c r="J812" i="17"/>
  <c r="K812" i="17"/>
  <c r="E812" i="17"/>
  <c r="G812" i="17"/>
  <c r="A763" i="18"/>
  <c r="E763" i="18"/>
  <c r="E766" i="17"/>
  <c r="G766" i="17"/>
  <c r="J766" i="17"/>
  <c r="K766" i="17"/>
  <c r="B851" i="17"/>
  <c r="B799" i="17"/>
  <c r="A711" i="18"/>
  <c r="E711" i="18"/>
  <c r="E714" i="17"/>
  <c r="G714" i="17"/>
  <c r="J714" i="17"/>
  <c r="K714" i="17"/>
  <c r="A684" i="18"/>
  <c r="E684" i="18"/>
  <c r="K687" i="17"/>
  <c r="E687" i="17"/>
  <c r="G687" i="17"/>
  <c r="J687" i="17"/>
  <c r="B772" i="17"/>
  <c r="A852" i="18"/>
  <c r="E852" i="18"/>
  <c r="K855" i="17"/>
  <c r="E855" i="17"/>
  <c r="G855" i="17"/>
  <c r="J855" i="17"/>
  <c r="B940" i="17"/>
  <c r="B771" i="17"/>
  <c r="A683" i="18"/>
  <c r="E683" i="18"/>
  <c r="E686" i="17"/>
  <c r="G686" i="17"/>
  <c r="J686" i="17"/>
  <c r="K686" i="17"/>
  <c r="A716" i="18"/>
  <c r="E716" i="18"/>
  <c r="K719" i="17"/>
  <c r="E719" i="17"/>
  <c r="G719" i="17"/>
  <c r="J719" i="17"/>
  <c r="B804" i="17"/>
  <c r="A871" i="18"/>
  <c r="E871" i="18"/>
  <c r="E874" i="17"/>
  <c r="G874" i="17"/>
  <c r="J874" i="17"/>
  <c r="K874" i="17"/>
  <c r="B959" i="17"/>
  <c r="B801" i="17"/>
  <c r="A713" i="18"/>
  <c r="E713" i="18"/>
  <c r="J716" i="17"/>
  <c r="K716" i="17"/>
  <c r="E716" i="17"/>
  <c r="G716" i="17"/>
  <c r="B914" i="17"/>
  <c r="A826" i="18"/>
  <c r="E826" i="18"/>
  <c r="E829" i="17"/>
  <c r="G829" i="17"/>
  <c r="K829" i="17"/>
  <c r="J829" i="17"/>
  <c r="B792" i="17"/>
  <c r="A704" i="18"/>
  <c r="E704" i="18"/>
  <c r="E707" i="17"/>
  <c r="G707" i="17"/>
  <c r="J707" i="17"/>
  <c r="K707" i="17"/>
  <c r="B776" i="17"/>
  <c r="A688" i="18"/>
  <c r="E688" i="18"/>
  <c r="E691" i="17"/>
  <c r="G691" i="17"/>
  <c r="J691" i="17"/>
  <c r="K691" i="17"/>
  <c r="B825" i="17"/>
  <c r="A737" i="18"/>
  <c r="E737" i="18"/>
  <c r="J740" i="17"/>
  <c r="K740" i="17"/>
  <c r="E740" i="17"/>
  <c r="G740" i="17"/>
  <c r="B817" i="17"/>
  <c r="A729" i="18"/>
  <c r="E729" i="18"/>
  <c r="J732" i="17"/>
  <c r="K732" i="17"/>
  <c r="E732" i="17"/>
  <c r="G732" i="17"/>
  <c r="B810" i="17"/>
  <c r="A722" i="18"/>
  <c r="E722" i="18"/>
  <c r="E725" i="17"/>
  <c r="G725" i="17"/>
  <c r="J725" i="17"/>
  <c r="K725" i="17"/>
  <c r="B808" i="17"/>
  <c r="A720" i="18"/>
  <c r="E720" i="18"/>
  <c r="E723" i="17"/>
  <c r="G723" i="17"/>
  <c r="J723" i="17"/>
  <c r="K723" i="17"/>
  <c r="B850" i="17"/>
  <c r="A762" i="18"/>
  <c r="E762" i="18"/>
  <c r="E765" i="17"/>
  <c r="G765" i="17"/>
  <c r="J765" i="17"/>
  <c r="K765" i="17"/>
  <c r="B907" i="17"/>
  <c r="A819" i="18"/>
  <c r="E819" i="18"/>
  <c r="E822" i="17"/>
  <c r="G822" i="17"/>
  <c r="J822" i="17"/>
  <c r="K822" i="17"/>
  <c r="B807" i="17"/>
  <c r="A719" i="18"/>
  <c r="E719" i="18"/>
  <c r="E722" i="17"/>
  <c r="G722" i="17"/>
  <c r="J722" i="17"/>
  <c r="K722" i="17"/>
  <c r="B783" i="17"/>
  <c r="A695" i="18"/>
  <c r="E695" i="18"/>
  <c r="E698" i="17"/>
  <c r="G698" i="17"/>
  <c r="J698" i="17"/>
  <c r="K698" i="17"/>
  <c r="B922" i="17"/>
  <c r="A834" i="18"/>
  <c r="E834" i="18"/>
  <c r="E837" i="17"/>
  <c r="K837" i="17"/>
  <c r="G837" i="17"/>
  <c r="J837" i="17"/>
  <c r="A927" i="18"/>
  <c r="E927" i="18"/>
  <c r="E930" i="17"/>
  <c r="G930" i="17"/>
  <c r="J930" i="17"/>
  <c r="K930" i="17"/>
  <c r="B1015" i="17"/>
  <c r="B905" i="17"/>
  <c r="A817" i="18"/>
  <c r="E817" i="18"/>
  <c r="J820" i="17"/>
  <c r="K820" i="17"/>
  <c r="E820" i="17"/>
  <c r="G820" i="17"/>
  <c r="A855" i="18"/>
  <c r="E855" i="18"/>
  <c r="E858" i="17"/>
  <c r="G858" i="17"/>
  <c r="J858" i="17"/>
  <c r="K858" i="17"/>
  <c r="B943" i="17"/>
  <c r="B795" i="17"/>
  <c r="A707" i="18"/>
  <c r="E707" i="18"/>
  <c r="E710" i="17"/>
  <c r="G710" i="17"/>
  <c r="J710" i="17"/>
  <c r="K710" i="17"/>
  <c r="A928" i="18"/>
  <c r="E928" i="18"/>
  <c r="E931" i="17"/>
  <c r="G931" i="17"/>
  <c r="J931" i="17"/>
  <c r="K931" i="17"/>
  <c r="B1016" i="17"/>
  <c r="A864" i="18"/>
  <c r="E864" i="18"/>
  <c r="E867" i="17"/>
  <c r="G867" i="17"/>
  <c r="J867" i="17"/>
  <c r="K867" i="17"/>
  <c r="B952" i="17"/>
  <c r="A879" i="18"/>
  <c r="E879" i="18"/>
  <c r="E882" i="17"/>
  <c r="G882" i="17"/>
  <c r="J882" i="17"/>
  <c r="K882" i="17"/>
  <c r="B967" i="17"/>
  <c r="B791" i="17"/>
  <c r="A703" i="18"/>
  <c r="E703" i="18"/>
  <c r="E706" i="17"/>
  <c r="G706" i="17"/>
  <c r="J706" i="17"/>
  <c r="K706" i="17"/>
  <c r="A884" i="18"/>
  <c r="E884" i="18"/>
  <c r="K887" i="17"/>
  <c r="E887" i="17"/>
  <c r="G887" i="17"/>
  <c r="J887" i="17"/>
  <c r="B972" i="17"/>
  <c r="B841" i="17"/>
  <c r="A753" i="18"/>
  <c r="E753" i="18"/>
  <c r="J756" i="17"/>
  <c r="K756" i="17"/>
  <c r="E756" i="17"/>
  <c r="G756" i="17"/>
  <c r="B818" i="17"/>
  <c r="A730" i="18"/>
  <c r="E730" i="18"/>
  <c r="E733" i="17"/>
  <c r="G733" i="17"/>
  <c r="J733" i="17"/>
  <c r="K733" i="17"/>
  <c r="B768" i="17"/>
  <c r="A680" i="18"/>
  <c r="E680" i="18"/>
  <c r="E683" i="17"/>
  <c r="G683" i="17"/>
  <c r="J683" i="17"/>
  <c r="K683" i="17"/>
  <c r="B842" i="17"/>
  <c r="A754" i="18"/>
  <c r="E754" i="18"/>
  <c r="E757" i="17"/>
  <c r="G757" i="17"/>
  <c r="J757" i="17"/>
  <c r="K757" i="17"/>
  <c r="B785" i="17"/>
  <c r="A697" i="18"/>
  <c r="E697" i="18"/>
  <c r="J700" i="17"/>
  <c r="K700" i="17"/>
  <c r="E700" i="17"/>
  <c r="G700" i="17"/>
  <c r="A849" i="18"/>
  <c r="E849" i="18"/>
  <c r="J852" i="17"/>
  <c r="K852" i="17"/>
  <c r="E852" i="17"/>
  <c r="G852" i="17"/>
  <c r="B937" i="17"/>
  <c r="B833" i="17"/>
  <c r="A745" i="18"/>
  <c r="E745" i="18"/>
  <c r="J748" i="17"/>
  <c r="K748" i="17"/>
  <c r="E748" i="17"/>
  <c r="G748" i="17"/>
  <c r="A856" i="18"/>
  <c r="E856" i="18"/>
  <c r="E859" i="17"/>
  <c r="G859" i="17"/>
  <c r="J859" i="17"/>
  <c r="K859" i="17"/>
  <c r="B944" i="17"/>
  <c r="B826" i="17"/>
  <c r="A738" i="18"/>
  <c r="E738" i="18"/>
  <c r="E741" i="17"/>
  <c r="G741" i="17"/>
  <c r="J741" i="17"/>
  <c r="K741" i="17"/>
  <c r="B913" i="17"/>
  <c r="A825" i="18"/>
  <c r="E825" i="18"/>
  <c r="J828" i="17"/>
  <c r="K828" i="17"/>
  <c r="E828" i="17"/>
  <c r="G828" i="17"/>
  <c r="A835" i="18"/>
  <c r="E835" i="18"/>
  <c r="E838" i="17"/>
  <c r="G838" i="17"/>
  <c r="J838" i="17"/>
  <c r="K838" i="17"/>
  <c r="B923" i="17"/>
  <c r="A888" i="18"/>
  <c r="E888" i="18"/>
  <c r="E891" i="17"/>
  <c r="G891" i="17"/>
  <c r="J891" i="17"/>
  <c r="K891" i="17"/>
  <c r="B976" i="17"/>
  <c r="B787" i="17"/>
  <c r="A699" i="18"/>
  <c r="E699" i="18"/>
  <c r="E702" i="17"/>
  <c r="G702" i="17"/>
  <c r="J702" i="17"/>
  <c r="K702" i="17"/>
  <c r="A747" i="18"/>
  <c r="E747" i="18"/>
  <c r="E750" i="17"/>
  <c r="G750" i="17"/>
  <c r="J750" i="17"/>
  <c r="K750" i="17"/>
  <c r="B835" i="17"/>
  <c r="A887" i="18"/>
  <c r="E887" i="18"/>
  <c r="E890" i="17"/>
  <c r="G890" i="17"/>
  <c r="J890" i="17"/>
  <c r="K890" i="17"/>
  <c r="B975" i="17"/>
  <c r="B803" i="17"/>
  <c r="A715" i="18"/>
  <c r="E715" i="18"/>
  <c r="E718" i="17"/>
  <c r="G718" i="17"/>
  <c r="J718" i="17"/>
  <c r="K718" i="17"/>
  <c r="A811" i="18"/>
  <c r="E811" i="18"/>
  <c r="E814" i="17"/>
  <c r="G814" i="17"/>
  <c r="J814" i="17"/>
  <c r="K814" i="17"/>
  <c r="B899" i="17"/>
  <c r="B815" i="17"/>
  <c r="A727" i="18"/>
  <c r="E727" i="18"/>
  <c r="E730" i="17"/>
  <c r="G730" i="17"/>
  <c r="J730" i="17"/>
  <c r="K730" i="17"/>
  <c r="B843" i="17"/>
  <c r="A755" i="18"/>
  <c r="E755" i="18"/>
  <c r="E758" i="17"/>
  <c r="G758" i="17"/>
  <c r="J758" i="17"/>
  <c r="K758" i="17"/>
  <c r="B819" i="17"/>
  <c r="A731" i="18"/>
  <c r="E731" i="18"/>
  <c r="E734" i="17"/>
  <c r="G734" i="17"/>
  <c r="J734" i="17"/>
  <c r="K734" i="17"/>
  <c r="A868" i="18"/>
  <c r="E868" i="18"/>
  <c r="K871" i="17"/>
  <c r="E871" i="17"/>
  <c r="G871" i="17"/>
  <c r="J871" i="17"/>
  <c r="B956" i="17"/>
  <c r="B1101" i="17"/>
  <c r="A1013" i="18"/>
  <c r="E1013" i="18"/>
  <c r="E1016" i="17"/>
  <c r="G1016" i="17"/>
  <c r="J1016" i="17"/>
  <c r="K1016" i="17"/>
  <c r="B1103" i="17"/>
  <c r="A1015" i="18"/>
  <c r="E1015" i="18"/>
  <c r="E1018" i="17"/>
  <c r="G1018" i="17"/>
  <c r="J1018" i="17"/>
  <c r="K1018" i="17"/>
  <c r="A812" i="18"/>
  <c r="E812" i="18"/>
  <c r="K815" i="17"/>
  <c r="E815" i="17"/>
  <c r="G815" i="17"/>
  <c r="J815" i="17"/>
  <c r="B900" i="17"/>
  <c r="B894" i="17"/>
  <c r="A806" i="18"/>
  <c r="E806" i="18"/>
  <c r="G809" i="17"/>
  <c r="J809" i="17"/>
  <c r="K809" i="17"/>
  <c r="E809" i="17"/>
  <c r="B1053" i="17"/>
  <c r="A965" i="18"/>
  <c r="E965" i="18"/>
  <c r="E968" i="17"/>
  <c r="G968" i="17"/>
  <c r="J968" i="17"/>
  <c r="K968" i="17"/>
  <c r="B1045" i="17"/>
  <c r="A957" i="18"/>
  <c r="E957" i="18"/>
  <c r="E960" i="17"/>
  <c r="G960" i="17"/>
  <c r="J960" i="17"/>
  <c r="K960" i="17"/>
  <c r="B1061" i="17"/>
  <c r="A973" i="18"/>
  <c r="E973" i="18"/>
  <c r="E976" i="17"/>
  <c r="G976" i="17"/>
  <c r="J976" i="17"/>
  <c r="K976" i="17"/>
  <c r="A969" i="18"/>
  <c r="E969" i="18"/>
  <c r="J972" i="17"/>
  <c r="K972" i="17"/>
  <c r="E972" i="17"/>
  <c r="G972" i="17"/>
  <c r="B1057" i="17"/>
  <c r="B1095" i="17"/>
  <c r="A1007" i="18"/>
  <c r="E1007" i="18"/>
  <c r="E1010" i="17"/>
  <c r="G1010" i="17"/>
  <c r="J1010" i="17"/>
  <c r="K1010" i="17"/>
  <c r="B928" i="17"/>
  <c r="A840" i="18"/>
  <c r="E840" i="18"/>
  <c r="E843" i="17"/>
  <c r="G843" i="17"/>
  <c r="J843" i="17"/>
  <c r="K843" i="17"/>
  <c r="B918" i="17"/>
  <c r="A830" i="18"/>
  <c r="E830" i="18"/>
  <c r="G833" i="17"/>
  <c r="J833" i="17"/>
  <c r="K833" i="17"/>
  <c r="E833" i="17"/>
  <c r="A765" i="18"/>
  <c r="E765" i="18"/>
  <c r="E768" i="17"/>
  <c r="G768" i="17"/>
  <c r="J768" i="17"/>
  <c r="K768" i="17"/>
  <c r="B853" i="17"/>
  <c r="B876" i="17"/>
  <c r="A788" i="18"/>
  <c r="E788" i="18"/>
  <c r="K791" i="17"/>
  <c r="G791" i="17"/>
  <c r="J791" i="17"/>
  <c r="E791" i="17"/>
  <c r="B880" i="17"/>
  <c r="A792" i="18"/>
  <c r="E792" i="18"/>
  <c r="E795" i="17"/>
  <c r="G795" i="17"/>
  <c r="J795" i="17"/>
  <c r="K795" i="17"/>
  <c r="A919" i="18"/>
  <c r="E919" i="18"/>
  <c r="E922" i="17"/>
  <c r="G922" i="17"/>
  <c r="J922" i="17"/>
  <c r="K922" i="17"/>
  <c r="B1007" i="17"/>
  <c r="A847" i="18"/>
  <c r="E847" i="18"/>
  <c r="E850" i="17"/>
  <c r="G850" i="17"/>
  <c r="J850" i="17"/>
  <c r="K850" i="17"/>
  <c r="B935" i="17"/>
  <c r="B910" i="17"/>
  <c r="A822" i="18"/>
  <c r="E822" i="18"/>
  <c r="G825" i="17"/>
  <c r="J825" i="17"/>
  <c r="K825" i="17"/>
  <c r="E825" i="17"/>
  <c r="B886" i="17"/>
  <c r="A798" i="18"/>
  <c r="E798" i="18"/>
  <c r="G801" i="17"/>
  <c r="J801" i="17"/>
  <c r="K801" i="17"/>
  <c r="E801" i="17"/>
  <c r="A894" i="18"/>
  <c r="E894" i="18"/>
  <c r="G897" i="17"/>
  <c r="J897" i="17"/>
  <c r="K897" i="17"/>
  <c r="E897" i="17"/>
  <c r="B982" i="17"/>
  <c r="A895" i="18"/>
  <c r="E895" i="18"/>
  <c r="E898" i="17"/>
  <c r="G898" i="17"/>
  <c r="J898" i="17"/>
  <c r="K898" i="17"/>
  <c r="B983" i="17"/>
  <c r="A829" i="18"/>
  <c r="E829" i="18"/>
  <c r="E832" i="17"/>
  <c r="G832" i="17"/>
  <c r="K832" i="17"/>
  <c r="J832" i="17"/>
  <c r="B917" i="17"/>
  <c r="A781" i="18"/>
  <c r="E781" i="18"/>
  <c r="E784" i="17"/>
  <c r="G784" i="17"/>
  <c r="J784" i="17"/>
  <c r="K784" i="17"/>
  <c r="B869" i="17"/>
  <c r="B862" i="17"/>
  <c r="A774" i="18"/>
  <c r="E774" i="18"/>
  <c r="G777" i="17"/>
  <c r="J777" i="17"/>
  <c r="K777" i="17"/>
  <c r="E777" i="17"/>
  <c r="B864" i="17"/>
  <c r="A776" i="18"/>
  <c r="E776" i="18"/>
  <c r="E779" i="17"/>
  <c r="G779" i="17"/>
  <c r="J779" i="17"/>
  <c r="K779" i="17"/>
  <c r="B916" i="17"/>
  <c r="A828" i="18"/>
  <c r="E828" i="18"/>
  <c r="K831" i="17"/>
  <c r="E831" i="17"/>
  <c r="G831" i="17"/>
  <c r="J831" i="17"/>
  <c r="B908" i="17"/>
  <c r="A820" i="18"/>
  <c r="E820" i="18"/>
  <c r="K823" i="17"/>
  <c r="G823" i="17"/>
  <c r="J823" i="17"/>
  <c r="E823" i="17"/>
  <c r="A961" i="18"/>
  <c r="E961" i="18"/>
  <c r="J964" i="17"/>
  <c r="K964" i="17"/>
  <c r="E964" i="17"/>
  <c r="G964" i="17"/>
  <c r="B1049" i="17"/>
  <c r="B912" i="17"/>
  <c r="A824" i="18"/>
  <c r="E824" i="18"/>
  <c r="E827" i="17"/>
  <c r="G827" i="17"/>
  <c r="J827" i="17"/>
  <c r="K827" i="17"/>
  <c r="A797" i="18"/>
  <c r="E797" i="18"/>
  <c r="E800" i="17"/>
  <c r="G800" i="17"/>
  <c r="J800" i="17"/>
  <c r="K800" i="17"/>
  <c r="B885" i="17"/>
  <c r="B919" i="17"/>
  <c r="A831" i="18"/>
  <c r="E831" i="18"/>
  <c r="E834" i="17"/>
  <c r="G834" i="17"/>
  <c r="J834" i="17"/>
  <c r="K834" i="17"/>
  <c r="B1037" i="17"/>
  <c r="A949" i="18"/>
  <c r="E949" i="18"/>
  <c r="E952" i="17"/>
  <c r="G952" i="17"/>
  <c r="J952" i="17"/>
  <c r="K952" i="17"/>
  <c r="B1022" i="17"/>
  <c r="A934" i="18"/>
  <c r="E934" i="18"/>
  <c r="G937" i="17"/>
  <c r="J937" i="17"/>
  <c r="K937" i="17"/>
  <c r="E937" i="17"/>
  <c r="B1052" i="17"/>
  <c r="A964" i="18"/>
  <c r="E964" i="18"/>
  <c r="K967" i="17"/>
  <c r="E967" i="17"/>
  <c r="G967" i="17"/>
  <c r="J967" i="17"/>
  <c r="B1028" i="17"/>
  <c r="A940" i="18"/>
  <c r="E940" i="18"/>
  <c r="K943" i="17"/>
  <c r="E943" i="17"/>
  <c r="G943" i="17"/>
  <c r="J943" i="17"/>
  <c r="B1044" i="17"/>
  <c r="A956" i="18"/>
  <c r="E956" i="18"/>
  <c r="K959" i="17"/>
  <c r="E959" i="17"/>
  <c r="G959" i="17"/>
  <c r="J959" i="17"/>
  <c r="B857" i="17"/>
  <c r="A769" i="18"/>
  <c r="E769" i="18"/>
  <c r="J772" i="17"/>
  <c r="K772" i="17"/>
  <c r="G772" i="17"/>
  <c r="E772" i="17"/>
  <c r="B1102" i="17"/>
  <c r="A1014" i="18"/>
  <c r="E1014" i="18"/>
  <c r="G1017" i="17"/>
  <c r="J1017" i="17"/>
  <c r="K1017" i="17"/>
  <c r="E1017" i="17"/>
  <c r="B1029" i="17"/>
  <c r="A941" i="18"/>
  <c r="E941" i="18"/>
  <c r="E944" i="17"/>
  <c r="G944" i="17"/>
  <c r="J944" i="17"/>
  <c r="K944" i="17"/>
  <c r="B1100" i="17"/>
  <c r="A1012" i="18"/>
  <c r="E1012" i="18"/>
  <c r="K1015" i="17"/>
  <c r="E1015" i="17"/>
  <c r="G1015" i="17"/>
  <c r="J1015" i="17"/>
  <c r="B920" i="17"/>
  <c r="A832" i="18"/>
  <c r="E832" i="18"/>
  <c r="E835" i="17"/>
  <c r="G835" i="17"/>
  <c r="J835" i="17"/>
  <c r="K835" i="17"/>
  <c r="B904" i="17"/>
  <c r="A816" i="18"/>
  <c r="E816" i="18"/>
  <c r="E819" i="17"/>
  <c r="G819" i="17"/>
  <c r="J819" i="17"/>
  <c r="K819" i="17"/>
  <c r="B888" i="17"/>
  <c r="A800" i="18"/>
  <c r="E800" i="18"/>
  <c r="E803" i="17"/>
  <c r="G803" i="17"/>
  <c r="J803" i="17"/>
  <c r="K803" i="17"/>
  <c r="B927" i="17"/>
  <c r="A839" i="18"/>
  <c r="E839" i="18"/>
  <c r="E842" i="17"/>
  <c r="G842" i="17"/>
  <c r="J842" i="17"/>
  <c r="K842" i="17"/>
  <c r="A904" i="18"/>
  <c r="E904" i="18"/>
  <c r="E907" i="17"/>
  <c r="G907" i="17"/>
  <c r="J907" i="17"/>
  <c r="K907" i="17"/>
  <c r="B992" i="17"/>
  <c r="B902" i="17"/>
  <c r="A814" i="18"/>
  <c r="E814" i="18"/>
  <c r="G817" i="17"/>
  <c r="J817" i="17"/>
  <c r="K817" i="17"/>
  <c r="E817" i="17"/>
  <c r="A911" i="18"/>
  <c r="E911" i="18"/>
  <c r="E914" i="17"/>
  <c r="G914" i="17"/>
  <c r="J914" i="17"/>
  <c r="K914" i="17"/>
  <c r="B999" i="17"/>
  <c r="B856" i="17"/>
  <c r="A768" i="18"/>
  <c r="E768" i="18"/>
  <c r="E771" i="17"/>
  <c r="G771" i="17"/>
  <c r="J771" i="17"/>
  <c r="K771" i="17"/>
  <c r="B854" i="17"/>
  <c r="A766" i="18"/>
  <c r="E766" i="18"/>
  <c r="G769" i="17"/>
  <c r="J769" i="17"/>
  <c r="K769" i="17"/>
  <c r="E769" i="17"/>
  <c r="A846" i="18"/>
  <c r="E846" i="18"/>
  <c r="G849" i="17"/>
  <c r="J849" i="17"/>
  <c r="K849" i="17"/>
  <c r="E849" i="17"/>
  <c r="B934" i="17"/>
  <c r="B896" i="17"/>
  <c r="A808" i="18"/>
  <c r="E808" i="18"/>
  <c r="E811" i="17"/>
  <c r="G811" i="17"/>
  <c r="J811" i="17"/>
  <c r="K811" i="17"/>
  <c r="A912" i="18"/>
  <c r="E912" i="18"/>
  <c r="E915" i="17"/>
  <c r="G915" i="17"/>
  <c r="J915" i="17"/>
  <c r="K915" i="17"/>
  <c r="B1000" i="17"/>
  <c r="B868" i="17"/>
  <c r="A780" i="18"/>
  <c r="E780" i="18"/>
  <c r="K783" i="17"/>
  <c r="E783" i="17"/>
  <c r="G783" i="17"/>
  <c r="J783" i="17"/>
  <c r="A805" i="18"/>
  <c r="E805" i="18"/>
  <c r="E808" i="17"/>
  <c r="G808" i="17"/>
  <c r="J808" i="17"/>
  <c r="K808" i="17"/>
  <c r="B893" i="17"/>
  <c r="A773" i="18"/>
  <c r="E773" i="18"/>
  <c r="E776" i="17"/>
  <c r="G776" i="17"/>
  <c r="J776" i="17"/>
  <c r="K776" i="17"/>
  <c r="B861" i="17"/>
  <c r="A896" i="18"/>
  <c r="E896" i="18"/>
  <c r="E899" i="17"/>
  <c r="G899" i="17"/>
  <c r="J899" i="17"/>
  <c r="K899" i="17"/>
  <c r="B984" i="17"/>
  <c r="B1060" i="17"/>
  <c r="A972" i="18"/>
  <c r="E972" i="18"/>
  <c r="K975" i="17"/>
  <c r="E975" i="17"/>
  <c r="G975" i="17"/>
  <c r="J975" i="17"/>
  <c r="A920" i="18"/>
  <c r="E920" i="18"/>
  <c r="E923" i="17"/>
  <c r="G923" i="17"/>
  <c r="J923" i="17"/>
  <c r="K923" i="17"/>
  <c r="B1008" i="17"/>
  <c r="A937" i="18"/>
  <c r="E937" i="18"/>
  <c r="J940" i="17"/>
  <c r="K940" i="17"/>
  <c r="E940" i="17"/>
  <c r="G940" i="17"/>
  <c r="B1025" i="17"/>
  <c r="A945" i="18"/>
  <c r="E945" i="18"/>
  <c r="J948" i="17"/>
  <c r="K948" i="17"/>
  <c r="E948" i="17"/>
  <c r="G948" i="17"/>
  <c r="B1033" i="17"/>
  <c r="A848" i="18"/>
  <c r="E848" i="18"/>
  <c r="E851" i="17"/>
  <c r="G851" i="17"/>
  <c r="J851" i="17"/>
  <c r="K851" i="17"/>
  <c r="B936" i="17"/>
  <c r="B881" i="17"/>
  <c r="A793" i="18"/>
  <c r="E793" i="18"/>
  <c r="J796" i="17"/>
  <c r="K796" i="17"/>
  <c r="E796" i="17"/>
  <c r="G796" i="17"/>
  <c r="B1036" i="17"/>
  <c r="A948" i="18"/>
  <c r="E948" i="18"/>
  <c r="K951" i="17"/>
  <c r="E951" i="17"/>
  <c r="G951" i="17"/>
  <c r="J951" i="17"/>
  <c r="A910" i="18"/>
  <c r="E910" i="18"/>
  <c r="G913" i="17"/>
  <c r="J913" i="17"/>
  <c r="K913" i="17"/>
  <c r="E913" i="17"/>
  <c r="B998" i="17"/>
  <c r="B903" i="17"/>
  <c r="A815" i="18"/>
  <c r="E815" i="18"/>
  <c r="E818" i="17"/>
  <c r="G818" i="17"/>
  <c r="J818" i="17"/>
  <c r="K818" i="17"/>
  <c r="A918" i="18"/>
  <c r="E918" i="18"/>
  <c r="G921" i="17"/>
  <c r="J921" i="17"/>
  <c r="K921" i="17"/>
  <c r="E921" i="17"/>
  <c r="B1006" i="17"/>
  <c r="B873" i="17"/>
  <c r="A785" i="18"/>
  <c r="E785" i="18"/>
  <c r="J788" i="17"/>
  <c r="K788" i="17"/>
  <c r="E788" i="17"/>
  <c r="G788" i="17"/>
  <c r="B929" i="17"/>
  <c r="A841" i="18"/>
  <c r="E841" i="18"/>
  <c r="J844" i="17"/>
  <c r="K844" i="17"/>
  <c r="E844" i="17"/>
  <c r="G844" i="17"/>
  <c r="B860" i="17"/>
  <c r="A772" i="18"/>
  <c r="E772" i="18"/>
  <c r="K775" i="17"/>
  <c r="E775" i="17"/>
  <c r="G775" i="17"/>
  <c r="J775" i="17"/>
  <c r="A953" i="18"/>
  <c r="E953" i="18"/>
  <c r="J956" i="17"/>
  <c r="K956" i="17"/>
  <c r="E956" i="17"/>
  <c r="G956" i="17"/>
  <c r="B1041" i="17"/>
  <c r="B889" i="17"/>
  <c r="A801" i="18"/>
  <c r="E801" i="18"/>
  <c r="J804" i="17"/>
  <c r="K804" i="17"/>
  <c r="E804" i="17"/>
  <c r="G804" i="17"/>
  <c r="B872" i="17"/>
  <c r="A784" i="18"/>
  <c r="E784" i="18"/>
  <c r="E787" i="17"/>
  <c r="G787" i="17"/>
  <c r="J787" i="17"/>
  <c r="K787" i="17"/>
  <c r="B911" i="17"/>
  <c r="A823" i="18"/>
  <c r="E823" i="18"/>
  <c r="E826" i="17"/>
  <c r="J826" i="17"/>
  <c r="K826" i="17"/>
  <c r="G826" i="17"/>
  <c r="B870" i="17"/>
  <c r="A782" i="18"/>
  <c r="E782" i="18"/>
  <c r="G785" i="17"/>
  <c r="J785" i="17"/>
  <c r="K785" i="17"/>
  <c r="E785" i="17"/>
  <c r="B926" i="17"/>
  <c r="A838" i="18"/>
  <c r="E838" i="18"/>
  <c r="G841" i="17"/>
  <c r="J841" i="17"/>
  <c r="K841" i="17"/>
  <c r="E841" i="17"/>
  <c r="A902" i="18"/>
  <c r="E902" i="18"/>
  <c r="G905" i="17"/>
  <c r="J905" i="17"/>
  <c r="K905" i="17"/>
  <c r="E905" i="17"/>
  <c r="B990" i="17"/>
  <c r="B892" i="17"/>
  <c r="A804" i="18"/>
  <c r="E804" i="18"/>
  <c r="K807" i="17"/>
  <c r="G807" i="17"/>
  <c r="J807" i="17"/>
  <c r="E807" i="17"/>
  <c r="B895" i="17"/>
  <c r="A807" i="18"/>
  <c r="E807" i="18"/>
  <c r="E810" i="17"/>
  <c r="J810" i="17"/>
  <c r="K810" i="17"/>
  <c r="G810" i="17"/>
  <c r="A789" i="18"/>
  <c r="E789" i="18"/>
  <c r="E792" i="17"/>
  <c r="G792" i="17"/>
  <c r="J792" i="17"/>
  <c r="K792" i="17"/>
  <c r="B877" i="17"/>
  <c r="B884" i="17"/>
  <c r="A796" i="18"/>
  <c r="E796" i="18"/>
  <c r="K799" i="17"/>
  <c r="E799" i="17"/>
  <c r="G799" i="17"/>
  <c r="J799" i="17"/>
  <c r="B865" i="17"/>
  <c r="A777" i="18"/>
  <c r="E777" i="18"/>
  <c r="J780" i="17"/>
  <c r="K780" i="17"/>
  <c r="G780" i="17"/>
  <c r="E780" i="17"/>
  <c r="B878" i="17"/>
  <c r="A790" i="18"/>
  <c r="E790" i="18"/>
  <c r="G793" i="17"/>
  <c r="J793" i="17"/>
  <c r="K793" i="17"/>
  <c r="E793" i="17"/>
  <c r="A821" i="18"/>
  <c r="E821" i="18"/>
  <c r="E824" i="17"/>
  <c r="G824" i="17"/>
  <c r="J824" i="17"/>
  <c r="K824" i="17"/>
  <c r="B909" i="17"/>
  <c r="A903" i="18"/>
  <c r="E903" i="18"/>
  <c r="E906" i="17"/>
  <c r="G906" i="17"/>
  <c r="J906" i="17"/>
  <c r="K906" i="17"/>
  <c r="B991" i="17"/>
  <c r="B924" i="17"/>
  <c r="A836" i="18"/>
  <c r="E836" i="18"/>
  <c r="K839" i="17"/>
  <c r="E839" i="17"/>
  <c r="G839" i="17"/>
  <c r="J839" i="17"/>
  <c r="B901" i="17"/>
  <c r="A813" i="18"/>
  <c r="E813" i="18"/>
  <c r="E816" i="17"/>
  <c r="G816" i="17"/>
  <c r="J816" i="17"/>
  <c r="K816" i="17"/>
  <c r="B1077" i="17"/>
  <c r="A989" i="18"/>
  <c r="E989" i="18"/>
  <c r="E992" i="17"/>
  <c r="G992" i="17"/>
  <c r="J992" i="17"/>
  <c r="K992" i="17"/>
  <c r="B1068" i="17"/>
  <c r="A980" i="18"/>
  <c r="E980" i="18"/>
  <c r="K983" i="17"/>
  <c r="E983" i="17"/>
  <c r="G983" i="17"/>
  <c r="J983" i="17"/>
  <c r="B1020" i="17"/>
  <c r="A932" i="18"/>
  <c r="E932" i="18"/>
  <c r="K935" i="17"/>
  <c r="E935" i="17"/>
  <c r="G935" i="17"/>
  <c r="J935" i="17"/>
  <c r="A850" i="18"/>
  <c r="E850" i="18"/>
  <c r="E853" i="17"/>
  <c r="G853" i="17"/>
  <c r="J853" i="17"/>
  <c r="K853" i="17"/>
  <c r="B938" i="17"/>
  <c r="B1142" i="17"/>
  <c r="A1054" i="18"/>
  <c r="E1054" i="18"/>
  <c r="G1057" i="17"/>
  <c r="J1057" i="17"/>
  <c r="K1057" i="17"/>
  <c r="E1057" i="17"/>
  <c r="A923" i="18"/>
  <c r="E923" i="18"/>
  <c r="E926" i="17"/>
  <c r="G926" i="17"/>
  <c r="J926" i="17"/>
  <c r="K926" i="17"/>
  <c r="B1011" i="17"/>
  <c r="A886" i="18"/>
  <c r="E886" i="18"/>
  <c r="G889" i="17"/>
  <c r="J889" i="17"/>
  <c r="K889" i="17"/>
  <c r="E889" i="17"/>
  <c r="B974" i="17"/>
  <c r="A870" i="18"/>
  <c r="E870" i="18"/>
  <c r="G873" i="17"/>
  <c r="J873" i="17"/>
  <c r="K873" i="17"/>
  <c r="E873" i="17"/>
  <c r="B958" i="17"/>
  <c r="B1121" i="17"/>
  <c r="A1033" i="18"/>
  <c r="E1033" i="18"/>
  <c r="J1036" i="17"/>
  <c r="K1036" i="17"/>
  <c r="E1036" i="17"/>
  <c r="G1036" i="17"/>
  <c r="A893" i="18"/>
  <c r="E893" i="18"/>
  <c r="E896" i="17"/>
  <c r="G896" i="17"/>
  <c r="J896" i="17"/>
  <c r="K896" i="17"/>
  <c r="B981" i="17"/>
  <c r="A885" i="18"/>
  <c r="E885" i="18"/>
  <c r="E888" i="17"/>
  <c r="G888" i="17"/>
  <c r="J888" i="17"/>
  <c r="K888" i="17"/>
  <c r="B973" i="17"/>
  <c r="A1026" i="18"/>
  <c r="E1026" i="18"/>
  <c r="E1029" i="17"/>
  <c r="G1029" i="17"/>
  <c r="J1029" i="17"/>
  <c r="K1029" i="17"/>
  <c r="B1114" i="17"/>
  <c r="A1025" i="18"/>
  <c r="E1025" i="18"/>
  <c r="J1028" i="17"/>
  <c r="K1028" i="17"/>
  <c r="E1028" i="17"/>
  <c r="B1113" i="17"/>
  <c r="G1028" i="17"/>
  <c r="A916" i="18"/>
  <c r="E916" i="18"/>
  <c r="K919" i="17"/>
  <c r="E919" i="17"/>
  <c r="G919" i="17"/>
  <c r="J919" i="17"/>
  <c r="B1004" i="17"/>
  <c r="A905" i="18"/>
  <c r="E905" i="18"/>
  <c r="J908" i="17"/>
  <c r="K908" i="17"/>
  <c r="E908" i="17"/>
  <c r="G908" i="17"/>
  <c r="B993" i="17"/>
  <c r="A883" i="18"/>
  <c r="E883" i="18"/>
  <c r="E886" i="17"/>
  <c r="G886" i="17"/>
  <c r="J886" i="17"/>
  <c r="K886" i="17"/>
  <c r="B971" i="17"/>
  <c r="A877" i="18"/>
  <c r="E877" i="18"/>
  <c r="E880" i="17"/>
  <c r="G880" i="17"/>
  <c r="J880" i="17"/>
  <c r="K880" i="17"/>
  <c r="B965" i="17"/>
  <c r="A925" i="18"/>
  <c r="E925" i="18"/>
  <c r="E928" i="17"/>
  <c r="G928" i="17"/>
  <c r="J928" i="17"/>
  <c r="K928" i="17"/>
  <c r="B1013" i="17"/>
  <c r="A1042" i="18"/>
  <c r="E1042" i="18"/>
  <c r="E1045" i="17"/>
  <c r="G1045" i="17"/>
  <c r="J1045" i="17"/>
  <c r="K1045" i="17"/>
  <c r="B1130" i="17"/>
  <c r="B1188" i="17"/>
  <c r="A1100" i="18"/>
  <c r="E1100" i="18"/>
  <c r="K1103" i="17"/>
  <c r="E1103" i="17"/>
  <c r="G1103" i="17"/>
  <c r="J1103" i="17"/>
  <c r="B1126" i="17"/>
  <c r="A1038" i="18"/>
  <c r="E1038" i="18"/>
  <c r="G1041" i="17"/>
  <c r="J1041" i="17"/>
  <c r="K1041" i="17"/>
  <c r="E1041" i="17"/>
  <c r="A1003" i="18"/>
  <c r="E1003" i="18"/>
  <c r="E1006" i="17"/>
  <c r="G1006" i="17"/>
  <c r="J1006" i="17"/>
  <c r="K1006" i="17"/>
  <c r="B1091" i="17"/>
  <c r="B1093" i="17"/>
  <c r="A1005" i="18"/>
  <c r="E1005" i="18"/>
  <c r="E1008" i="17"/>
  <c r="G1008" i="17"/>
  <c r="J1008" i="17"/>
  <c r="K1008" i="17"/>
  <c r="A890" i="18"/>
  <c r="E890" i="18"/>
  <c r="E893" i="17"/>
  <c r="G893" i="17"/>
  <c r="J893" i="17"/>
  <c r="K893" i="17"/>
  <c r="B978" i="17"/>
  <c r="A931" i="18"/>
  <c r="E931" i="18"/>
  <c r="E934" i="17"/>
  <c r="G934" i="17"/>
  <c r="J934" i="17"/>
  <c r="K934" i="17"/>
  <c r="B1019" i="17"/>
  <c r="A882" i="18"/>
  <c r="E882" i="18"/>
  <c r="E885" i="17"/>
  <c r="G885" i="17"/>
  <c r="J885" i="17"/>
  <c r="K885" i="17"/>
  <c r="B970" i="17"/>
  <c r="A914" i="18"/>
  <c r="E914" i="18"/>
  <c r="E917" i="17"/>
  <c r="G917" i="17"/>
  <c r="J917" i="17"/>
  <c r="K917" i="17"/>
  <c r="B1002" i="17"/>
  <c r="A881" i="18"/>
  <c r="E881" i="18"/>
  <c r="J884" i="17"/>
  <c r="K884" i="17"/>
  <c r="E884" i="17"/>
  <c r="G884" i="17"/>
  <c r="B969" i="17"/>
  <c r="A869" i="18"/>
  <c r="E869" i="18"/>
  <c r="E872" i="17"/>
  <c r="G872" i="17"/>
  <c r="J872" i="17"/>
  <c r="K872" i="17"/>
  <c r="B957" i="17"/>
  <c r="A926" i="18"/>
  <c r="E926" i="18"/>
  <c r="G929" i="17"/>
  <c r="J929" i="17"/>
  <c r="K929" i="17"/>
  <c r="E929" i="17"/>
  <c r="B1014" i="17"/>
  <c r="A853" i="18"/>
  <c r="E853" i="18"/>
  <c r="E856" i="17"/>
  <c r="K856" i="17"/>
  <c r="G856" i="17"/>
  <c r="J856" i="17"/>
  <c r="B941" i="17"/>
  <c r="A924" i="18"/>
  <c r="E924" i="18"/>
  <c r="K927" i="17"/>
  <c r="E927" i="17"/>
  <c r="G927" i="17"/>
  <c r="J927" i="17"/>
  <c r="B1012" i="17"/>
  <c r="B1185" i="17"/>
  <c r="A1097" i="18"/>
  <c r="E1097" i="18"/>
  <c r="J1100" i="17"/>
  <c r="K1100" i="17"/>
  <c r="E1100" i="17"/>
  <c r="G1100" i="17"/>
  <c r="A1041" i="18"/>
  <c r="E1041" i="18"/>
  <c r="J1044" i="17"/>
  <c r="K1044" i="17"/>
  <c r="E1044" i="17"/>
  <c r="B1129" i="17"/>
  <c r="G1044" i="17"/>
  <c r="B1122" i="17"/>
  <c r="A1034" i="18"/>
  <c r="E1034" i="18"/>
  <c r="E1037" i="17"/>
  <c r="G1037" i="17"/>
  <c r="J1037" i="17"/>
  <c r="K1037" i="17"/>
  <c r="A859" i="18"/>
  <c r="E859" i="18"/>
  <c r="E862" i="17"/>
  <c r="G862" i="17"/>
  <c r="J862" i="17"/>
  <c r="K862" i="17"/>
  <c r="B947" i="17"/>
  <c r="A915" i="18"/>
  <c r="E915" i="18"/>
  <c r="E918" i="17"/>
  <c r="G918" i="17"/>
  <c r="J918" i="17"/>
  <c r="K918" i="17"/>
  <c r="B1003" i="17"/>
  <c r="A1058" i="18"/>
  <c r="E1058" i="18"/>
  <c r="E1061" i="17"/>
  <c r="G1061" i="17"/>
  <c r="J1061" i="17"/>
  <c r="K1061" i="17"/>
  <c r="B1146" i="17"/>
  <c r="B1021" i="17"/>
  <c r="A933" i="18"/>
  <c r="E933" i="18"/>
  <c r="E936" i="17"/>
  <c r="G936" i="17"/>
  <c r="J936" i="17"/>
  <c r="K936" i="17"/>
  <c r="A906" i="18"/>
  <c r="E906" i="18"/>
  <c r="E909" i="17"/>
  <c r="G909" i="17"/>
  <c r="J909" i="17"/>
  <c r="K909" i="17"/>
  <c r="B994" i="17"/>
  <c r="B1110" i="17"/>
  <c r="A1022" i="18"/>
  <c r="E1022" i="18"/>
  <c r="G1025" i="17"/>
  <c r="J1025" i="17"/>
  <c r="K1025" i="17"/>
  <c r="E1025" i="17"/>
  <c r="B1084" i="17"/>
  <c r="A996" i="18"/>
  <c r="E996" i="18"/>
  <c r="K999" i="17"/>
  <c r="E999" i="17"/>
  <c r="G999" i="17"/>
  <c r="J999" i="17"/>
  <c r="A866" i="18"/>
  <c r="E866" i="18"/>
  <c r="E869" i="17"/>
  <c r="G869" i="17"/>
  <c r="J869" i="17"/>
  <c r="K869" i="17"/>
  <c r="B954" i="17"/>
  <c r="A874" i="18"/>
  <c r="E874" i="18"/>
  <c r="E877" i="17"/>
  <c r="G877" i="17"/>
  <c r="J877" i="17"/>
  <c r="K877" i="17"/>
  <c r="B962" i="17"/>
  <c r="A858" i="18"/>
  <c r="E858" i="18"/>
  <c r="G861" i="17"/>
  <c r="J861" i="17"/>
  <c r="K861" i="17"/>
  <c r="E861" i="17"/>
  <c r="B946" i="17"/>
  <c r="A921" i="18"/>
  <c r="E921" i="18"/>
  <c r="J924" i="17"/>
  <c r="K924" i="17"/>
  <c r="E924" i="17"/>
  <c r="G924" i="17"/>
  <c r="B1009" i="17"/>
  <c r="A862" i="18"/>
  <c r="E862" i="18"/>
  <c r="G865" i="17"/>
  <c r="J865" i="17"/>
  <c r="K865" i="17"/>
  <c r="E865" i="17"/>
  <c r="B950" i="17"/>
  <c r="A889" i="18"/>
  <c r="E889" i="18"/>
  <c r="J892" i="17"/>
  <c r="K892" i="17"/>
  <c r="E892" i="17"/>
  <c r="G892" i="17"/>
  <c r="B977" i="17"/>
  <c r="A908" i="18"/>
  <c r="E908" i="18"/>
  <c r="K911" i="17"/>
  <c r="E911" i="17"/>
  <c r="G911" i="17"/>
  <c r="J911" i="17"/>
  <c r="B996" i="17"/>
  <c r="A857" i="18"/>
  <c r="E857" i="18"/>
  <c r="J860" i="17"/>
  <c r="K860" i="17"/>
  <c r="E860" i="17"/>
  <c r="G860" i="17"/>
  <c r="B945" i="17"/>
  <c r="A900" i="18"/>
  <c r="E900" i="18"/>
  <c r="K903" i="17"/>
  <c r="E903" i="17"/>
  <c r="G903" i="17"/>
  <c r="J903" i="17"/>
  <c r="B988" i="17"/>
  <c r="A1057" i="18"/>
  <c r="E1057" i="18"/>
  <c r="J1060" i="17"/>
  <c r="K1060" i="17"/>
  <c r="E1060" i="17"/>
  <c r="B1145" i="17"/>
  <c r="G1060" i="17"/>
  <c r="A865" i="18"/>
  <c r="E865" i="18"/>
  <c r="K868" i="17"/>
  <c r="E868" i="17"/>
  <c r="G868" i="17"/>
  <c r="J868" i="17"/>
  <c r="B953" i="17"/>
  <c r="A851" i="18"/>
  <c r="E851" i="18"/>
  <c r="E854" i="17"/>
  <c r="G854" i="17"/>
  <c r="J854" i="17"/>
  <c r="K854" i="17"/>
  <c r="B939" i="17"/>
  <c r="A917" i="18"/>
  <c r="E917" i="18"/>
  <c r="E920" i="17"/>
  <c r="G920" i="17"/>
  <c r="J920" i="17"/>
  <c r="K920" i="17"/>
  <c r="B1005" i="17"/>
  <c r="A854" i="18"/>
  <c r="E854" i="18"/>
  <c r="G857" i="17"/>
  <c r="J857" i="17"/>
  <c r="K857" i="17"/>
  <c r="E857" i="17"/>
  <c r="B942" i="17"/>
  <c r="B1107" i="17"/>
  <c r="A1019" i="18"/>
  <c r="E1019" i="18"/>
  <c r="E1022" i="17"/>
  <c r="G1022" i="17"/>
  <c r="J1022" i="17"/>
  <c r="K1022" i="17"/>
  <c r="A909" i="18"/>
  <c r="E909" i="18"/>
  <c r="E912" i="17"/>
  <c r="G912" i="17"/>
  <c r="J912" i="17"/>
  <c r="K912" i="17"/>
  <c r="B997" i="17"/>
  <c r="A861" i="18"/>
  <c r="E861" i="18"/>
  <c r="E864" i="17"/>
  <c r="G864" i="17"/>
  <c r="J864" i="17"/>
  <c r="K864" i="17"/>
  <c r="B949" i="17"/>
  <c r="A891" i="18"/>
  <c r="E891" i="18"/>
  <c r="E894" i="17"/>
  <c r="G894" i="17"/>
  <c r="J894" i="17"/>
  <c r="K894" i="17"/>
  <c r="B979" i="17"/>
  <c r="B1076" i="17"/>
  <c r="A988" i="18"/>
  <c r="E988" i="18"/>
  <c r="K991" i="17"/>
  <c r="E991" i="17"/>
  <c r="G991" i="17"/>
  <c r="J991" i="17"/>
  <c r="A987" i="18"/>
  <c r="E987" i="18"/>
  <c r="E990" i="17"/>
  <c r="G990" i="17"/>
  <c r="J990" i="17"/>
  <c r="K990" i="17"/>
  <c r="B1075" i="17"/>
  <c r="A995" i="18"/>
  <c r="E995" i="18"/>
  <c r="E998" i="17"/>
  <c r="G998" i="17"/>
  <c r="J998" i="17"/>
  <c r="K998" i="17"/>
  <c r="B1083" i="17"/>
  <c r="B1085" i="17"/>
  <c r="A997" i="18"/>
  <c r="E997" i="18"/>
  <c r="E1000" i="17"/>
  <c r="G1000" i="17"/>
  <c r="J1000" i="17"/>
  <c r="K1000" i="17"/>
  <c r="B1134" i="17"/>
  <c r="A1046" i="18"/>
  <c r="E1046" i="18"/>
  <c r="G1049" i="17"/>
  <c r="J1049" i="17"/>
  <c r="K1049" i="17"/>
  <c r="E1049" i="17"/>
  <c r="A979" i="18"/>
  <c r="E979" i="18"/>
  <c r="E982" i="17"/>
  <c r="G982" i="17"/>
  <c r="J982" i="17"/>
  <c r="K982" i="17"/>
  <c r="B1067" i="17"/>
  <c r="B1092" i="17"/>
  <c r="A1004" i="18"/>
  <c r="E1004" i="18"/>
  <c r="K1007" i="17"/>
  <c r="E1007" i="17"/>
  <c r="G1007" i="17"/>
  <c r="J1007" i="17"/>
  <c r="A897" i="18"/>
  <c r="E897" i="18"/>
  <c r="J900" i="17"/>
  <c r="K900" i="17"/>
  <c r="E900" i="17"/>
  <c r="G900" i="17"/>
  <c r="B985" i="17"/>
  <c r="B1118" i="17"/>
  <c r="A1030" i="18"/>
  <c r="E1030" i="18"/>
  <c r="G1033" i="17"/>
  <c r="J1033" i="17"/>
  <c r="K1033" i="17"/>
  <c r="E1033" i="17"/>
  <c r="B1069" i="17"/>
  <c r="A981" i="18"/>
  <c r="E981" i="18"/>
  <c r="E984" i="17"/>
  <c r="G984" i="17"/>
  <c r="J984" i="17"/>
  <c r="K984" i="17"/>
  <c r="A898" i="18"/>
  <c r="E898" i="18"/>
  <c r="E901" i="17"/>
  <c r="G901" i="17"/>
  <c r="J901" i="17"/>
  <c r="K901" i="17"/>
  <c r="B986" i="17"/>
  <c r="A875" i="18"/>
  <c r="E875" i="18"/>
  <c r="E878" i="17"/>
  <c r="G878" i="17"/>
  <c r="J878" i="17"/>
  <c r="K878" i="17"/>
  <c r="B963" i="17"/>
  <c r="A892" i="18"/>
  <c r="E892" i="18"/>
  <c r="K895" i="17"/>
  <c r="E895" i="17"/>
  <c r="G895" i="17"/>
  <c r="J895" i="17"/>
  <c r="B980" i="17"/>
  <c r="A867" i="18"/>
  <c r="E867" i="18"/>
  <c r="G870" i="17"/>
  <c r="E870" i="17"/>
  <c r="J870" i="17"/>
  <c r="K870" i="17"/>
  <c r="B955" i="17"/>
  <c r="A878" i="18"/>
  <c r="E878" i="18"/>
  <c r="G881" i="17"/>
  <c r="J881" i="17"/>
  <c r="K881" i="17"/>
  <c r="E881" i="17"/>
  <c r="B966" i="17"/>
  <c r="A899" i="18"/>
  <c r="E899" i="18"/>
  <c r="E902" i="17"/>
  <c r="G902" i="17"/>
  <c r="J902" i="17"/>
  <c r="K902" i="17"/>
  <c r="B987" i="17"/>
  <c r="A901" i="18"/>
  <c r="E901" i="18"/>
  <c r="E904" i="17"/>
  <c r="G904" i="17"/>
  <c r="J904" i="17"/>
  <c r="K904" i="17"/>
  <c r="B989" i="17"/>
  <c r="B1187" i="17"/>
  <c r="A1099" i="18"/>
  <c r="E1099" i="18"/>
  <c r="E1102" i="17"/>
  <c r="G1102" i="17"/>
  <c r="J1102" i="17"/>
  <c r="K1102" i="17"/>
  <c r="B1137" i="17"/>
  <c r="A1049" i="18"/>
  <c r="E1049" i="18"/>
  <c r="J1052" i="17"/>
  <c r="K1052" i="17"/>
  <c r="E1052" i="17"/>
  <c r="G1052" i="17"/>
  <c r="A913" i="18"/>
  <c r="E913" i="18"/>
  <c r="J916" i="17"/>
  <c r="K916" i="17"/>
  <c r="E916" i="17"/>
  <c r="G916" i="17"/>
  <c r="B1001" i="17"/>
  <c r="A907" i="18"/>
  <c r="E907" i="18"/>
  <c r="E910" i="17"/>
  <c r="G910" i="17"/>
  <c r="J910" i="17"/>
  <c r="K910" i="17"/>
  <c r="B995" i="17"/>
  <c r="A873" i="18"/>
  <c r="E873" i="18"/>
  <c r="J876" i="17"/>
  <c r="K876" i="17"/>
  <c r="E876" i="17"/>
  <c r="G876" i="17"/>
  <c r="B961" i="17"/>
  <c r="B1180" i="17"/>
  <c r="A1092" i="18"/>
  <c r="E1092" i="18"/>
  <c r="K1095" i="17"/>
  <c r="E1095" i="17"/>
  <c r="G1095" i="17"/>
  <c r="J1095" i="17"/>
  <c r="B1138" i="17"/>
  <c r="A1050" i="18"/>
  <c r="E1050" i="18"/>
  <c r="E1053" i="17"/>
  <c r="G1053" i="17"/>
  <c r="J1053" i="17"/>
  <c r="K1053" i="17"/>
  <c r="B1186" i="17"/>
  <c r="A1098" i="18"/>
  <c r="E1098" i="18"/>
  <c r="E1101" i="17"/>
  <c r="G1101" i="17"/>
  <c r="J1101" i="17"/>
  <c r="K1101" i="17"/>
  <c r="B1086" i="17"/>
  <c r="A998" i="18"/>
  <c r="E998" i="18"/>
  <c r="G1001" i="17"/>
  <c r="J1001" i="17"/>
  <c r="K1001" i="17"/>
  <c r="E1001" i="17"/>
  <c r="B1070" i="17"/>
  <c r="A982" i="18"/>
  <c r="E982" i="18"/>
  <c r="G985" i="17"/>
  <c r="J985" i="17"/>
  <c r="K985" i="17"/>
  <c r="E985" i="17"/>
  <c r="B1064" i="17"/>
  <c r="A976" i="18"/>
  <c r="E976" i="18"/>
  <c r="E979" i="17"/>
  <c r="G979" i="17"/>
  <c r="J979" i="17"/>
  <c r="K979" i="17"/>
  <c r="B1079" i="17"/>
  <c r="A991" i="18"/>
  <c r="E991" i="18"/>
  <c r="E994" i="17"/>
  <c r="G994" i="17"/>
  <c r="J994" i="17"/>
  <c r="K994" i="17"/>
  <c r="B1153" i="17"/>
  <c r="A1065" i="18"/>
  <c r="E1065" i="18"/>
  <c r="J1068" i="17"/>
  <c r="K1068" i="17"/>
  <c r="E1068" i="17"/>
  <c r="G1068" i="17"/>
  <c r="A986" i="18"/>
  <c r="E986" i="18"/>
  <c r="E989" i="17"/>
  <c r="G989" i="17"/>
  <c r="J989" i="17"/>
  <c r="K989" i="17"/>
  <c r="B1074" i="17"/>
  <c r="A977" i="18"/>
  <c r="E977" i="18"/>
  <c r="J980" i="17"/>
  <c r="K980" i="17"/>
  <c r="E980" i="17"/>
  <c r="G980" i="17"/>
  <c r="B1065" i="17"/>
  <c r="B1038" i="17"/>
  <c r="A950" i="18"/>
  <c r="E950" i="18"/>
  <c r="G953" i="17"/>
  <c r="J953" i="17"/>
  <c r="K953" i="17"/>
  <c r="E953" i="17"/>
  <c r="A993" i="18"/>
  <c r="E993" i="18"/>
  <c r="J996" i="17"/>
  <c r="K996" i="17"/>
  <c r="E996" i="17"/>
  <c r="G996" i="17"/>
  <c r="B1081" i="17"/>
  <c r="B1031" i="17"/>
  <c r="A943" i="18"/>
  <c r="E943" i="18"/>
  <c r="E946" i="17"/>
  <c r="G946" i="17"/>
  <c r="J946" i="17"/>
  <c r="K946" i="17"/>
  <c r="B1088" i="17"/>
  <c r="A1000" i="18"/>
  <c r="E1000" i="18"/>
  <c r="E1003" i="17"/>
  <c r="G1003" i="17"/>
  <c r="J1003" i="17"/>
  <c r="K1003" i="17"/>
  <c r="A954" i="18"/>
  <c r="E954" i="18"/>
  <c r="E957" i="17"/>
  <c r="G957" i="17"/>
  <c r="J957" i="17"/>
  <c r="K957" i="17"/>
  <c r="B1042" i="17"/>
  <c r="B1104" i="17"/>
  <c r="A1016" i="18"/>
  <c r="E1016" i="18"/>
  <c r="E1019" i="17"/>
  <c r="G1019" i="17"/>
  <c r="J1019" i="17"/>
  <c r="K1019" i="17"/>
  <c r="A962" i="18"/>
  <c r="E962" i="18"/>
  <c r="E965" i="17"/>
  <c r="G965" i="17"/>
  <c r="J965" i="17"/>
  <c r="K965" i="17"/>
  <c r="B1050" i="17"/>
  <c r="B1032" i="17"/>
  <c r="A944" i="18"/>
  <c r="E944" i="18"/>
  <c r="E947" i="17"/>
  <c r="G947" i="17"/>
  <c r="J947" i="17"/>
  <c r="K947" i="17"/>
  <c r="B1054" i="17"/>
  <c r="A966" i="18"/>
  <c r="E966" i="18"/>
  <c r="G969" i="17"/>
  <c r="J969" i="17"/>
  <c r="K969" i="17"/>
  <c r="E969" i="17"/>
  <c r="A1111" i="18"/>
  <c r="E1111" i="18"/>
  <c r="E1114" i="17"/>
  <c r="G1114" i="17"/>
  <c r="J1114" i="17"/>
  <c r="K1114" i="17"/>
  <c r="A955" i="18"/>
  <c r="E955" i="18"/>
  <c r="E958" i="17"/>
  <c r="G958" i="17"/>
  <c r="J958" i="17"/>
  <c r="K958" i="17"/>
  <c r="B1043" i="17"/>
  <c r="B1023" i="17"/>
  <c r="A935" i="18"/>
  <c r="E935" i="18"/>
  <c r="E938" i="17"/>
  <c r="G938" i="17"/>
  <c r="J938" i="17"/>
  <c r="K938" i="17"/>
  <c r="A1184" i="18"/>
  <c r="E1184" i="18"/>
  <c r="K1187" i="17"/>
  <c r="E1187" i="17"/>
  <c r="G1187" i="17"/>
  <c r="J1187" i="17"/>
  <c r="A1142" i="18"/>
  <c r="E1142" i="18"/>
  <c r="G1145" i="17"/>
  <c r="J1145" i="17"/>
  <c r="K1145" i="17"/>
  <c r="E1145" i="17"/>
  <c r="B1080" i="17"/>
  <c r="A992" i="18"/>
  <c r="E992" i="18"/>
  <c r="E995" i="17"/>
  <c r="G995" i="17"/>
  <c r="J995" i="17"/>
  <c r="K995" i="17"/>
  <c r="B1106" i="17"/>
  <c r="A1018" i="18"/>
  <c r="E1018" i="18"/>
  <c r="E1021" i="17"/>
  <c r="G1021" i="17"/>
  <c r="J1021" i="17"/>
  <c r="K1021" i="17"/>
  <c r="A1119" i="18"/>
  <c r="E1119" i="18"/>
  <c r="E1122" i="17"/>
  <c r="G1122" i="17"/>
  <c r="J1122" i="17"/>
  <c r="K1122" i="17"/>
  <c r="A1090" i="18"/>
  <c r="E1090" i="18"/>
  <c r="E1093" i="17"/>
  <c r="G1093" i="17"/>
  <c r="J1093" i="17"/>
  <c r="K1093" i="17"/>
  <c r="B1178" i="17"/>
  <c r="A1110" i="18"/>
  <c r="E1110" i="18"/>
  <c r="G1113" i="17"/>
  <c r="J1113" i="17"/>
  <c r="K1113" i="17"/>
  <c r="E1113" i="17"/>
  <c r="B1105" i="17"/>
  <c r="A1017" i="18"/>
  <c r="E1017" i="18"/>
  <c r="J1020" i="17"/>
  <c r="K1020" i="17"/>
  <c r="E1020" i="17"/>
  <c r="G1020" i="17"/>
  <c r="A939" i="18"/>
  <c r="E939" i="18"/>
  <c r="E942" i="17"/>
  <c r="G942" i="17"/>
  <c r="J942" i="17"/>
  <c r="K942" i="17"/>
  <c r="B1027" i="17"/>
  <c r="B1169" i="17"/>
  <c r="A1081" i="18"/>
  <c r="E1081" i="18"/>
  <c r="J1084" i="17"/>
  <c r="K1084" i="17"/>
  <c r="E1084" i="17"/>
  <c r="G1084" i="17"/>
  <c r="A1177" i="18"/>
  <c r="E1177" i="18"/>
  <c r="J1180" i="17"/>
  <c r="E1180" i="17"/>
  <c r="G1180" i="17"/>
  <c r="K1180" i="17"/>
  <c r="A1134" i="18"/>
  <c r="E1134" i="18"/>
  <c r="G1137" i="17"/>
  <c r="J1137" i="17"/>
  <c r="K1137" i="17"/>
  <c r="E1137" i="17"/>
  <c r="A1089" i="18"/>
  <c r="E1089" i="18"/>
  <c r="J1092" i="17"/>
  <c r="K1092" i="17"/>
  <c r="E1092" i="17"/>
  <c r="B1177" i="17"/>
  <c r="G1092" i="17"/>
  <c r="B1046" i="17"/>
  <c r="A958" i="18"/>
  <c r="E958" i="18"/>
  <c r="G961" i="17"/>
  <c r="J961" i="17"/>
  <c r="K961" i="17"/>
  <c r="E961" i="17"/>
  <c r="B1040" i="17"/>
  <c r="A952" i="18"/>
  <c r="E952" i="18"/>
  <c r="E955" i="17"/>
  <c r="G955" i="17"/>
  <c r="J955" i="17"/>
  <c r="K955" i="17"/>
  <c r="B1152" i="17"/>
  <c r="A1064" i="18"/>
  <c r="E1064" i="18"/>
  <c r="E1067" i="17"/>
  <c r="G1067" i="17"/>
  <c r="J1067" i="17"/>
  <c r="K1067" i="17"/>
  <c r="A1072" i="18"/>
  <c r="E1072" i="18"/>
  <c r="E1075" i="17"/>
  <c r="G1075" i="17"/>
  <c r="J1075" i="17"/>
  <c r="K1075" i="17"/>
  <c r="B1160" i="17"/>
  <c r="A994" i="18"/>
  <c r="E994" i="18"/>
  <c r="E997" i="17"/>
  <c r="G997" i="17"/>
  <c r="J997" i="17"/>
  <c r="K997" i="17"/>
  <c r="B1082" i="17"/>
  <c r="B1024" i="17"/>
  <c r="A936" i="18"/>
  <c r="E936" i="18"/>
  <c r="E939" i="17"/>
  <c r="G939" i="17"/>
  <c r="J939" i="17"/>
  <c r="K939" i="17"/>
  <c r="B1030" i="17"/>
  <c r="A942" i="18"/>
  <c r="E942" i="18"/>
  <c r="G945" i="17"/>
  <c r="J945" i="17"/>
  <c r="K945" i="17"/>
  <c r="E945" i="17"/>
  <c r="B1094" i="17"/>
  <c r="A1006" i="18"/>
  <c r="E1006" i="18"/>
  <c r="G1009" i="17"/>
  <c r="J1009" i="17"/>
  <c r="K1009" i="17"/>
  <c r="E1009" i="17"/>
  <c r="A1143" i="18"/>
  <c r="E1143" i="18"/>
  <c r="J1146" i="17"/>
  <c r="K1146" i="17"/>
  <c r="E1146" i="17"/>
  <c r="G1146" i="17"/>
  <c r="A1011" i="18"/>
  <c r="E1011" i="18"/>
  <c r="E1014" i="17"/>
  <c r="G1014" i="17"/>
  <c r="J1014" i="17"/>
  <c r="K1014" i="17"/>
  <c r="B1099" i="17"/>
  <c r="B1055" i="17"/>
  <c r="A967" i="18"/>
  <c r="E967" i="18"/>
  <c r="E970" i="17"/>
  <c r="G970" i="17"/>
  <c r="J970" i="17"/>
  <c r="K970" i="17"/>
  <c r="A1088" i="18"/>
  <c r="E1088" i="18"/>
  <c r="E1091" i="17"/>
  <c r="G1091" i="17"/>
  <c r="J1091" i="17"/>
  <c r="K1091" i="17"/>
  <c r="B1176" i="17"/>
  <c r="A1010" i="18"/>
  <c r="E1010" i="18"/>
  <c r="E1013" i="17"/>
  <c r="G1013" i="17"/>
  <c r="J1013" i="17"/>
  <c r="K1013" i="17"/>
  <c r="B1098" i="17"/>
  <c r="A1001" i="18"/>
  <c r="E1001" i="18"/>
  <c r="J1004" i="17"/>
  <c r="K1004" i="17"/>
  <c r="E1004" i="17"/>
  <c r="G1004" i="17"/>
  <c r="B1089" i="17"/>
  <c r="A978" i="18"/>
  <c r="E978" i="18"/>
  <c r="E981" i="17"/>
  <c r="G981" i="17"/>
  <c r="J981" i="17"/>
  <c r="K981" i="17"/>
  <c r="B1066" i="17"/>
  <c r="B1096" i="17"/>
  <c r="A1008" i="18"/>
  <c r="E1008" i="18"/>
  <c r="E1011" i="17"/>
  <c r="G1011" i="17"/>
  <c r="J1011" i="17"/>
  <c r="K1011" i="17"/>
  <c r="B1072" i="17"/>
  <c r="A984" i="18"/>
  <c r="E984" i="18"/>
  <c r="E987" i="17"/>
  <c r="G987" i="17"/>
  <c r="J987" i="17"/>
  <c r="K987" i="17"/>
  <c r="A1135" i="18"/>
  <c r="E1135" i="18"/>
  <c r="E1138" i="17"/>
  <c r="G1138" i="17"/>
  <c r="J1138" i="17"/>
  <c r="K1138" i="17"/>
  <c r="B1170" i="17"/>
  <c r="A1082" i="18"/>
  <c r="E1082" i="18"/>
  <c r="E1085" i="17"/>
  <c r="G1085" i="17"/>
  <c r="K1085" i="17"/>
  <c r="J1085" i="17"/>
  <c r="A1126" i="18"/>
  <c r="E1126" i="18"/>
  <c r="G1129" i="17"/>
  <c r="J1129" i="17"/>
  <c r="K1129" i="17"/>
  <c r="E1129" i="17"/>
  <c r="A1185" i="18"/>
  <c r="E1185" i="18"/>
  <c r="J1188" i="17"/>
  <c r="E1188" i="17"/>
  <c r="G1188" i="17"/>
  <c r="K1188" i="17"/>
  <c r="B1048" i="17"/>
  <c r="A960" i="18"/>
  <c r="E960" i="18"/>
  <c r="E963" i="17"/>
  <c r="G963" i="17"/>
  <c r="J963" i="17"/>
  <c r="K963" i="17"/>
  <c r="B1062" i="17"/>
  <c r="A974" i="18"/>
  <c r="E974" i="18"/>
  <c r="G977" i="17"/>
  <c r="J977" i="17"/>
  <c r="K977" i="17"/>
  <c r="E977" i="17"/>
  <c r="B1047" i="17"/>
  <c r="A959" i="18"/>
  <c r="E959" i="18"/>
  <c r="E962" i="17"/>
  <c r="G962" i="17"/>
  <c r="J962" i="17"/>
  <c r="K962" i="17"/>
  <c r="B1063" i="17"/>
  <c r="A975" i="18"/>
  <c r="E975" i="18"/>
  <c r="E978" i="17"/>
  <c r="G978" i="17"/>
  <c r="J978" i="17"/>
  <c r="K978" i="17"/>
  <c r="B1154" i="17"/>
  <c r="A1066" i="18"/>
  <c r="E1066" i="18"/>
  <c r="E1069" i="17"/>
  <c r="G1069" i="17"/>
  <c r="J1069" i="17"/>
  <c r="K1069" i="17"/>
  <c r="A963" i="18"/>
  <c r="E963" i="18"/>
  <c r="E966" i="17"/>
  <c r="G966" i="17"/>
  <c r="J966" i="17"/>
  <c r="K966" i="17"/>
  <c r="B1051" i="17"/>
  <c r="B1071" i="17"/>
  <c r="A983" i="18"/>
  <c r="E983" i="18"/>
  <c r="E986" i="17"/>
  <c r="G986" i="17"/>
  <c r="J986" i="17"/>
  <c r="K986" i="17"/>
  <c r="B1168" i="17"/>
  <c r="A1080" i="18"/>
  <c r="E1080" i="18"/>
  <c r="E1083" i="17"/>
  <c r="G1083" i="17"/>
  <c r="J1083" i="17"/>
  <c r="K1083" i="17"/>
  <c r="A946" i="18"/>
  <c r="E946" i="18"/>
  <c r="E949" i="17"/>
  <c r="G949" i="17"/>
  <c r="J949" i="17"/>
  <c r="K949" i="17"/>
  <c r="B1034" i="17"/>
  <c r="A1002" i="18"/>
  <c r="E1002" i="18"/>
  <c r="E1005" i="17"/>
  <c r="G1005" i="17"/>
  <c r="J1005" i="17"/>
  <c r="K1005" i="17"/>
  <c r="B1090" i="17"/>
  <c r="A985" i="18"/>
  <c r="E985" i="18"/>
  <c r="J988" i="17"/>
  <c r="K988" i="17"/>
  <c r="E988" i="17"/>
  <c r="G988" i="17"/>
  <c r="B1073" i="17"/>
  <c r="A947" i="18"/>
  <c r="E947" i="18"/>
  <c r="E950" i="17"/>
  <c r="G950" i="17"/>
  <c r="J950" i="17"/>
  <c r="K950" i="17"/>
  <c r="B1035" i="17"/>
  <c r="B1039" i="17"/>
  <c r="A951" i="18"/>
  <c r="E951" i="18"/>
  <c r="E954" i="17"/>
  <c r="G954" i="17"/>
  <c r="J954" i="17"/>
  <c r="K954" i="17"/>
  <c r="A938" i="18"/>
  <c r="E938" i="18"/>
  <c r="E941" i="17"/>
  <c r="G941" i="17"/>
  <c r="J941" i="17"/>
  <c r="K941" i="17"/>
  <c r="B1026" i="17"/>
  <c r="B1087" i="17"/>
  <c r="A999" i="18"/>
  <c r="E999" i="18"/>
  <c r="E1002" i="17"/>
  <c r="G1002" i="17"/>
  <c r="J1002" i="17"/>
  <c r="K1002" i="17"/>
  <c r="A1127" i="18"/>
  <c r="E1127" i="18"/>
  <c r="E1130" i="17"/>
  <c r="G1130" i="17"/>
  <c r="J1130" i="17"/>
  <c r="K1130" i="17"/>
  <c r="B1078" i="17"/>
  <c r="A990" i="18"/>
  <c r="E990" i="18"/>
  <c r="G993" i="17"/>
  <c r="J993" i="17"/>
  <c r="K993" i="17"/>
  <c r="E993" i="17"/>
  <c r="A970" i="18"/>
  <c r="E970" i="18"/>
  <c r="E973" i="17"/>
  <c r="G973" i="17"/>
  <c r="J973" i="17"/>
  <c r="K973" i="17"/>
  <c r="B1058" i="17"/>
  <c r="A971" i="18"/>
  <c r="E971" i="18"/>
  <c r="E974" i="17"/>
  <c r="G974" i="17"/>
  <c r="J974" i="17"/>
  <c r="K974" i="17"/>
  <c r="B1059" i="17"/>
  <c r="A1009" i="18"/>
  <c r="E1009" i="18"/>
  <c r="J1012" i="17"/>
  <c r="K1012" i="17"/>
  <c r="E1012" i="17"/>
  <c r="G1012" i="17"/>
  <c r="B1097" i="17"/>
  <c r="B1056" i="17"/>
  <c r="A968" i="18"/>
  <c r="E968" i="18"/>
  <c r="E971" i="17"/>
  <c r="G971" i="17"/>
  <c r="J971" i="17"/>
  <c r="K971" i="17"/>
  <c r="A1183" i="18"/>
  <c r="E1183" i="18"/>
  <c r="E1186" i="17"/>
  <c r="G1186" i="17"/>
  <c r="J1186" i="17"/>
  <c r="K1186" i="17"/>
  <c r="A1115" i="18"/>
  <c r="E1115" i="18"/>
  <c r="E1118" i="17"/>
  <c r="G1118" i="17"/>
  <c r="J1118" i="17"/>
  <c r="K1118" i="17"/>
  <c r="A1131" i="18"/>
  <c r="E1131" i="18"/>
  <c r="E1134" i="17"/>
  <c r="G1134" i="17"/>
  <c r="J1134" i="17"/>
  <c r="K1134" i="17"/>
  <c r="A1073" i="18"/>
  <c r="E1073" i="18"/>
  <c r="J1076" i="17"/>
  <c r="K1076" i="17"/>
  <c r="E1076" i="17"/>
  <c r="B1161" i="17"/>
  <c r="G1076" i="17"/>
  <c r="A1104" i="18"/>
  <c r="E1104" i="18"/>
  <c r="E1107" i="17"/>
  <c r="G1107" i="17"/>
  <c r="J1107" i="17"/>
  <c r="K1107" i="17"/>
  <c r="A1107" i="18"/>
  <c r="E1107" i="18"/>
  <c r="E1110" i="17"/>
  <c r="G1110" i="17"/>
  <c r="J1110" i="17"/>
  <c r="K1110" i="17"/>
  <c r="A1182" i="18"/>
  <c r="E1182" i="18"/>
  <c r="E1185" i="17"/>
  <c r="G1185" i="17"/>
  <c r="J1185" i="17"/>
  <c r="K1185" i="17"/>
  <c r="A1123" i="18"/>
  <c r="E1123" i="18"/>
  <c r="E1126" i="17"/>
  <c r="G1126" i="17"/>
  <c r="J1126" i="17"/>
  <c r="K1126" i="17"/>
  <c r="A1118" i="18"/>
  <c r="E1118" i="18"/>
  <c r="G1121" i="17"/>
  <c r="J1121" i="17"/>
  <c r="K1121" i="17"/>
  <c r="E1121" i="17"/>
  <c r="A1139" i="18"/>
  <c r="E1139" i="18"/>
  <c r="E1142" i="17"/>
  <c r="G1142" i="17"/>
  <c r="J1142" i="17"/>
  <c r="K1142" i="17"/>
  <c r="A1074" i="18"/>
  <c r="E1074" i="18"/>
  <c r="E1077" i="17"/>
  <c r="G1077" i="17"/>
  <c r="J1077" i="17"/>
  <c r="K1077" i="17"/>
  <c r="B1162" i="17"/>
  <c r="B1156" i="17"/>
  <c r="A1068" i="18"/>
  <c r="E1068" i="18"/>
  <c r="K1071" i="17"/>
  <c r="E1071" i="17"/>
  <c r="G1071" i="17"/>
  <c r="J1071" i="17"/>
  <c r="B1190" i="17"/>
  <c r="A1102" i="18"/>
  <c r="E1102" i="18"/>
  <c r="G1105" i="17"/>
  <c r="J1105" i="17"/>
  <c r="K1105" i="17"/>
  <c r="E1105" i="17"/>
  <c r="B1167" i="17"/>
  <c r="A1079" i="18"/>
  <c r="E1079" i="18"/>
  <c r="E1082" i="17"/>
  <c r="J1082" i="17"/>
  <c r="G1082" i="17"/>
  <c r="K1082" i="17"/>
  <c r="B1116" i="17"/>
  <c r="A1028" i="18"/>
  <c r="E1028" i="18"/>
  <c r="K1031" i="17"/>
  <c r="E1031" i="17"/>
  <c r="G1031" i="17"/>
  <c r="J1031" i="17"/>
  <c r="B1155" i="17"/>
  <c r="A1067" i="18"/>
  <c r="E1067" i="18"/>
  <c r="E1070" i="17"/>
  <c r="G1070" i="17"/>
  <c r="J1070" i="17"/>
  <c r="K1070" i="17"/>
  <c r="A1174" i="18"/>
  <c r="E1174" i="18"/>
  <c r="G1177" i="17"/>
  <c r="K1177" i="17"/>
  <c r="E1177" i="17"/>
  <c r="J1177" i="17"/>
  <c r="B1136" i="17"/>
  <c r="A1048" i="18"/>
  <c r="E1048" i="18"/>
  <c r="E1051" i="17"/>
  <c r="G1051" i="17"/>
  <c r="J1051" i="17"/>
  <c r="K1051" i="17"/>
  <c r="B1143" i="17"/>
  <c r="A1055" i="18"/>
  <c r="E1055" i="18"/>
  <c r="E1058" i="17"/>
  <c r="G1058" i="17"/>
  <c r="J1058" i="17"/>
  <c r="K1058" i="17"/>
  <c r="A1165" i="18"/>
  <c r="E1165" i="18"/>
  <c r="E1168" i="17"/>
  <c r="G1168" i="17"/>
  <c r="J1168" i="17"/>
  <c r="K1168" i="17"/>
  <c r="B1148" i="17"/>
  <c r="A1060" i="18"/>
  <c r="E1060" i="18"/>
  <c r="K1063" i="17"/>
  <c r="E1063" i="17"/>
  <c r="G1063" i="17"/>
  <c r="J1063" i="17"/>
  <c r="B1183" i="17"/>
  <c r="A1095" i="18"/>
  <c r="E1095" i="18"/>
  <c r="E1098" i="17"/>
  <c r="G1098" i="17"/>
  <c r="J1098" i="17"/>
  <c r="K1098" i="17"/>
  <c r="A1027" i="18"/>
  <c r="E1027" i="18"/>
  <c r="E1030" i="17"/>
  <c r="G1030" i="17"/>
  <c r="J1030" i="17"/>
  <c r="K1030" i="17"/>
  <c r="B1115" i="17"/>
  <c r="A1149" i="18"/>
  <c r="E1149" i="18"/>
  <c r="E1152" i="17"/>
  <c r="G1152" i="17"/>
  <c r="J1152" i="17"/>
  <c r="K1152" i="17"/>
  <c r="B1166" i="17"/>
  <c r="A1078" i="18"/>
  <c r="E1078" i="18"/>
  <c r="G1081" i="17"/>
  <c r="J1081" i="17"/>
  <c r="K1081" i="17"/>
  <c r="E1081" i="17"/>
  <c r="B1175" i="17"/>
  <c r="A1087" i="18"/>
  <c r="E1087" i="18"/>
  <c r="E1090" i="17"/>
  <c r="G1090" i="17"/>
  <c r="J1090" i="17"/>
  <c r="K1090" i="17"/>
  <c r="B1158" i="17"/>
  <c r="A1070" i="18"/>
  <c r="E1070" i="18"/>
  <c r="G1073" i="17"/>
  <c r="J1073" i="17"/>
  <c r="K1073" i="17"/>
  <c r="E1073" i="17"/>
  <c r="B1140" i="17"/>
  <c r="A1052" i="18"/>
  <c r="E1052" i="18"/>
  <c r="K1055" i="17"/>
  <c r="E1055" i="17"/>
  <c r="G1055" i="17"/>
  <c r="J1055" i="17"/>
  <c r="B1117" i="17"/>
  <c r="A1029" i="18"/>
  <c r="E1029" i="18"/>
  <c r="E1032" i="17"/>
  <c r="G1032" i="17"/>
  <c r="J1032" i="17"/>
  <c r="K1032" i="17"/>
  <c r="B1173" i="17"/>
  <c r="A1085" i="18"/>
  <c r="E1085" i="18"/>
  <c r="E1088" i="17"/>
  <c r="G1088" i="17"/>
  <c r="J1088" i="17"/>
  <c r="K1088" i="17"/>
  <c r="B1149" i="17"/>
  <c r="A1061" i="18"/>
  <c r="E1061" i="18"/>
  <c r="E1064" i="17"/>
  <c r="G1064" i="17"/>
  <c r="J1064" i="17"/>
  <c r="K1064" i="17"/>
  <c r="B1172" i="17"/>
  <c r="A1084" i="18"/>
  <c r="E1084" i="18"/>
  <c r="K1087" i="17"/>
  <c r="G1087" i="17"/>
  <c r="E1087" i="17"/>
  <c r="J1087" i="17"/>
  <c r="A1173" i="18"/>
  <c r="E1173" i="18"/>
  <c r="E1176" i="17"/>
  <c r="G1176" i="17"/>
  <c r="J1176" i="17"/>
  <c r="K1176" i="17"/>
  <c r="B1109" i="17"/>
  <c r="A1021" i="18"/>
  <c r="E1021" i="18"/>
  <c r="E1024" i="17"/>
  <c r="G1024" i="17"/>
  <c r="J1024" i="17"/>
  <c r="K1024" i="17"/>
  <c r="B1125" i="17"/>
  <c r="A1037" i="18"/>
  <c r="E1037" i="18"/>
  <c r="E1040" i="17"/>
  <c r="G1040" i="17"/>
  <c r="J1040" i="17"/>
  <c r="K1040" i="17"/>
  <c r="A1158" i="18"/>
  <c r="E1158" i="18"/>
  <c r="G1161" i="17"/>
  <c r="K1161" i="17"/>
  <c r="E1161" i="17"/>
  <c r="J1161" i="17"/>
  <c r="B1124" i="17"/>
  <c r="A1036" i="18"/>
  <c r="E1036" i="18"/>
  <c r="K1039" i="17"/>
  <c r="E1039" i="17"/>
  <c r="G1039" i="17"/>
  <c r="J1039" i="17"/>
  <c r="A1151" i="18"/>
  <c r="E1151" i="18"/>
  <c r="E1154" i="17"/>
  <c r="G1154" i="17"/>
  <c r="J1154" i="17"/>
  <c r="K1154" i="17"/>
  <c r="B1133" i="17"/>
  <c r="A1045" i="18"/>
  <c r="E1045" i="18"/>
  <c r="E1048" i="17"/>
  <c r="G1048" i="17"/>
  <c r="J1048" i="17"/>
  <c r="K1048" i="17"/>
  <c r="A1167" i="18"/>
  <c r="E1167" i="18"/>
  <c r="G1170" i="17"/>
  <c r="J1170" i="17"/>
  <c r="K1170" i="17"/>
  <c r="E1170" i="17"/>
  <c r="B1174" i="17"/>
  <c r="A1086" i="18"/>
  <c r="E1086" i="18"/>
  <c r="G1089" i="17"/>
  <c r="J1089" i="17"/>
  <c r="K1089" i="17"/>
  <c r="E1089" i="17"/>
  <c r="B1184" i="17"/>
  <c r="A1096" i="18"/>
  <c r="E1096" i="18"/>
  <c r="E1099" i="17"/>
  <c r="G1099" i="17"/>
  <c r="J1099" i="17"/>
  <c r="K1099" i="17"/>
  <c r="A1091" i="18"/>
  <c r="E1091" i="18"/>
  <c r="E1094" i="17"/>
  <c r="G1094" i="17"/>
  <c r="J1094" i="17"/>
  <c r="K1094" i="17"/>
  <c r="B1179" i="17"/>
  <c r="A1166" i="18"/>
  <c r="E1166" i="18"/>
  <c r="G1169" i="17"/>
  <c r="K1169" i="17"/>
  <c r="E1169" i="17"/>
  <c r="J1169" i="17"/>
  <c r="B1165" i="17"/>
  <c r="A1077" i="18"/>
  <c r="E1077" i="18"/>
  <c r="E1080" i="17"/>
  <c r="G1080" i="17"/>
  <c r="J1080" i="17"/>
  <c r="K1080" i="17"/>
  <c r="B1108" i="17"/>
  <c r="A1020" i="18"/>
  <c r="E1020" i="18"/>
  <c r="K1023" i="17"/>
  <c r="E1023" i="17"/>
  <c r="G1023" i="17"/>
  <c r="J1023" i="17"/>
  <c r="B1135" i="17"/>
  <c r="A1047" i="18"/>
  <c r="E1047" i="18"/>
  <c r="E1050" i="17"/>
  <c r="G1050" i="17"/>
  <c r="J1050" i="17"/>
  <c r="K1050" i="17"/>
  <c r="B1159" i="17"/>
  <c r="A1071" i="18"/>
  <c r="E1071" i="18"/>
  <c r="E1074" i="17"/>
  <c r="G1074" i="17"/>
  <c r="J1074" i="17"/>
  <c r="K1074" i="17"/>
  <c r="B1132" i="17"/>
  <c r="A1044" i="18"/>
  <c r="E1044" i="18"/>
  <c r="K1047" i="17"/>
  <c r="E1047" i="17"/>
  <c r="G1047" i="17"/>
  <c r="J1047" i="17"/>
  <c r="B1127" i="17"/>
  <c r="A1039" i="18"/>
  <c r="E1039" i="18"/>
  <c r="E1042" i="17"/>
  <c r="G1042" i="17"/>
  <c r="J1042" i="17"/>
  <c r="K1042" i="17"/>
  <c r="A1056" i="18"/>
  <c r="E1056" i="18"/>
  <c r="E1059" i="17"/>
  <c r="G1059" i="17"/>
  <c r="J1059" i="17"/>
  <c r="K1059" i="17"/>
  <c r="B1144" i="17"/>
  <c r="B1141" i="17"/>
  <c r="A1053" i="18"/>
  <c r="E1053" i="18"/>
  <c r="E1056" i="17"/>
  <c r="G1056" i="17"/>
  <c r="J1056" i="17"/>
  <c r="K1056" i="17"/>
  <c r="A1075" i="18"/>
  <c r="E1075" i="18"/>
  <c r="E1078" i="17"/>
  <c r="G1078" i="17"/>
  <c r="J1078" i="17"/>
  <c r="K1078" i="17"/>
  <c r="B1163" i="17"/>
  <c r="B1120" i="17"/>
  <c r="A1032" i="18"/>
  <c r="E1032" i="18"/>
  <c r="E1035" i="17"/>
  <c r="G1035" i="17"/>
  <c r="J1035" i="17"/>
  <c r="K1035" i="17"/>
  <c r="B1181" i="17"/>
  <c r="A1093" i="18"/>
  <c r="E1093" i="18"/>
  <c r="E1096" i="17"/>
  <c r="G1096" i="17"/>
  <c r="J1096" i="17"/>
  <c r="K1096" i="17"/>
  <c r="A1024" i="18"/>
  <c r="E1024" i="18"/>
  <c r="E1027" i="17"/>
  <c r="G1027" i="17"/>
  <c r="J1027" i="17"/>
  <c r="K1027" i="17"/>
  <c r="B1112" i="17"/>
  <c r="A1040" i="18"/>
  <c r="E1040" i="18"/>
  <c r="E1043" i="17"/>
  <c r="G1043" i="17"/>
  <c r="J1043" i="17"/>
  <c r="K1043" i="17"/>
  <c r="B1128" i="17"/>
  <c r="B1139" i="17"/>
  <c r="A1051" i="18"/>
  <c r="E1051" i="18"/>
  <c r="E1054" i="17"/>
  <c r="G1054" i="17"/>
  <c r="J1054" i="17"/>
  <c r="K1054" i="17"/>
  <c r="B1123" i="17"/>
  <c r="A1035" i="18"/>
  <c r="E1035" i="18"/>
  <c r="E1038" i="17"/>
  <c r="G1038" i="17"/>
  <c r="J1038" i="17"/>
  <c r="K1038" i="17"/>
  <c r="B1164" i="17"/>
  <c r="A1076" i="18"/>
  <c r="E1076" i="18"/>
  <c r="K1079" i="17"/>
  <c r="E1079" i="17"/>
  <c r="G1079" i="17"/>
  <c r="J1079" i="17"/>
  <c r="A1059" i="18"/>
  <c r="E1059" i="18"/>
  <c r="E1062" i="17"/>
  <c r="G1062" i="17"/>
  <c r="J1062" i="17"/>
  <c r="K1062" i="17"/>
  <c r="B1147" i="17"/>
  <c r="B1151" i="17"/>
  <c r="A1063" i="18"/>
  <c r="E1063" i="18"/>
  <c r="E1066" i="17"/>
  <c r="G1066" i="17"/>
  <c r="J1066" i="17"/>
  <c r="K1066" i="17"/>
  <c r="A1043" i="18"/>
  <c r="E1043" i="18"/>
  <c r="E1046" i="17"/>
  <c r="G1046" i="17"/>
  <c r="J1046" i="17"/>
  <c r="K1046" i="17"/>
  <c r="B1131" i="17"/>
  <c r="A1175" i="18"/>
  <c r="E1175" i="18"/>
  <c r="J1178" i="17"/>
  <c r="E1178" i="17"/>
  <c r="G1178" i="17"/>
  <c r="K1178" i="17"/>
  <c r="B1191" i="17"/>
  <c r="A1103" i="18"/>
  <c r="E1103" i="18"/>
  <c r="E1106" i="17"/>
  <c r="G1106" i="17"/>
  <c r="J1106" i="17"/>
  <c r="K1106" i="17"/>
  <c r="B1150" i="17"/>
  <c r="A1062" i="18"/>
  <c r="E1062" i="18"/>
  <c r="G1065" i="17"/>
  <c r="J1065" i="17"/>
  <c r="K1065" i="17"/>
  <c r="E1065" i="17"/>
  <c r="B1111" i="17"/>
  <c r="A1023" i="18"/>
  <c r="E1023" i="18"/>
  <c r="E1026" i="17"/>
  <c r="G1026" i="17"/>
  <c r="J1026" i="17"/>
  <c r="K1026" i="17"/>
  <c r="B1182" i="17"/>
  <c r="A1094" i="18"/>
  <c r="E1094" i="18"/>
  <c r="G1097" i="17"/>
  <c r="J1097" i="17"/>
  <c r="K1097" i="17"/>
  <c r="E1097" i="17"/>
  <c r="A1159" i="18"/>
  <c r="E1159" i="18"/>
  <c r="G1162" i="17"/>
  <c r="J1162" i="17"/>
  <c r="K1162" i="17"/>
  <c r="E1162" i="17"/>
  <c r="B1119" i="17"/>
  <c r="A1031" i="18"/>
  <c r="E1031" i="18"/>
  <c r="E1034" i="17"/>
  <c r="G1034" i="17"/>
  <c r="J1034" i="17"/>
  <c r="K1034" i="17"/>
  <c r="B1157" i="17"/>
  <c r="A1069" i="18"/>
  <c r="E1069" i="18"/>
  <c r="E1072" i="17"/>
  <c r="G1072" i="17"/>
  <c r="J1072" i="17"/>
  <c r="K1072" i="17"/>
  <c r="A1157" i="18"/>
  <c r="E1157" i="18"/>
  <c r="E1160" i="17"/>
  <c r="G1160" i="17"/>
  <c r="J1160" i="17"/>
  <c r="K1160" i="17"/>
  <c r="B1189" i="17"/>
  <c r="A1101" i="18"/>
  <c r="E1101" i="18"/>
  <c r="E1104" i="17"/>
  <c r="G1104" i="17"/>
  <c r="J1104" i="17"/>
  <c r="K1104" i="17"/>
  <c r="A1150" i="18"/>
  <c r="E1150" i="18"/>
  <c r="G1153" i="17"/>
  <c r="J1153" i="17"/>
  <c r="K1153" i="17"/>
  <c r="E1153" i="17"/>
  <c r="B1171" i="17"/>
  <c r="A1083" i="18"/>
  <c r="E1083" i="18"/>
  <c r="E1086" i="17"/>
  <c r="G1086" i="17"/>
  <c r="J1086" i="17"/>
  <c r="K1086" i="17"/>
  <c r="A1128" i="18"/>
  <c r="E1128" i="18"/>
  <c r="E1131" i="17"/>
  <c r="G1131" i="17"/>
  <c r="J1131" i="17"/>
  <c r="K1131" i="17"/>
  <c r="A1146" i="18"/>
  <c r="E1146" i="18"/>
  <c r="E1149" i="17"/>
  <c r="G1149" i="17"/>
  <c r="J1149" i="17"/>
  <c r="K1149" i="17"/>
  <c r="A1155" i="18"/>
  <c r="E1155" i="18"/>
  <c r="E1158" i="17"/>
  <c r="G1158" i="17"/>
  <c r="J1158" i="17"/>
  <c r="K1158" i="17"/>
  <c r="A1168" i="18"/>
  <c r="E1168" i="18"/>
  <c r="G1171" i="17"/>
  <c r="E1171" i="17"/>
  <c r="J1171" i="17"/>
  <c r="K1171" i="17"/>
  <c r="A1129" i="18"/>
  <c r="E1129" i="18"/>
  <c r="J1132" i="17"/>
  <c r="K1132" i="17"/>
  <c r="E1132" i="17"/>
  <c r="G1132" i="17"/>
  <c r="A1162" i="18"/>
  <c r="E1162" i="18"/>
  <c r="E1165" i="17"/>
  <c r="G1165" i="17"/>
  <c r="J1165" i="17"/>
  <c r="K1165" i="17"/>
  <c r="A1122" i="18"/>
  <c r="E1122" i="18"/>
  <c r="E1125" i="17"/>
  <c r="G1125" i="17"/>
  <c r="J1125" i="17"/>
  <c r="K1125" i="17"/>
  <c r="A1187" i="18"/>
  <c r="E1187" i="18"/>
  <c r="E1190" i="17"/>
  <c r="G1190" i="17"/>
  <c r="J1190" i="17"/>
  <c r="K1190" i="17"/>
  <c r="A1171" i="18"/>
  <c r="E1171" i="18"/>
  <c r="E1174" i="17"/>
  <c r="G1174" i="17"/>
  <c r="J1174" i="17"/>
  <c r="K1174" i="17"/>
  <c r="A1109" i="18"/>
  <c r="E1109" i="18"/>
  <c r="E1112" i="17"/>
  <c r="G1112" i="17"/>
  <c r="J1112" i="17"/>
  <c r="K1112" i="17"/>
  <c r="A1181" i="18"/>
  <c r="E1181" i="18"/>
  <c r="J1184" i="17"/>
  <c r="K1184" i="17"/>
  <c r="E1184" i="17"/>
  <c r="G1184" i="17"/>
  <c r="A1169" i="18"/>
  <c r="E1169" i="18"/>
  <c r="J1172" i="17"/>
  <c r="E1172" i="17"/>
  <c r="G1172" i="17"/>
  <c r="K1172" i="17"/>
  <c r="A1137" i="18"/>
  <c r="E1137" i="18"/>
  <c r="J1140" i="17"/>
  <c r="K1140" i="17"/>
  <c r="E1140" i="17"/>
  <c r="G1140" i="17"/>
  <c r="A1112" i="18"/>
  <c r="E1112" i="18"/>
  <c r="E1115" i="17"/>
  <c r="G1115" i="17"/>
  <c r="J1115" i="17"/>
  <c r="K1115" i="17"/>
  <c r="A1188" i="18"/>
  <c r="E1188" i="18"/>
  <c r="E1191" i="17"/>
  <c r="G1191" i="17"/>
  <c r="J1191" i="17"/>
  <c r="K1191" i="17"/>
  <c r="A1148" i="18"/>
  <c r="E1148" i="18"/>
  <c r="K1151" i="17"/>
  <c r="E1151" i="17"/>
  <c r="G1151" i="17"/>
  <c r="J1151" i="17"/>
  <c r="A1136" i="18"/>
  <c r="E1136" i="18"/>
  <c r="E1139" i="17"/>
  <c r="G1139" i="17"/>
  <c r="K1139" i="17"/>
  <c r="J1139" i="17"/>
  <c r="A1117" i="18"/>
  <c r="E1117" i="18"/>
  <c r="E1120" i="17"/>
  <c r="G1120" i="17"/>
  <c r="J1120" i="17"/>
  <c r="K1120" i="17"/>
  <c r="A1124" i="18"/>
  <c r="E1124" i="18"/>
  <c r="K1127" i="17"/>
  <c r="E1127" i="17"/>
  <c r="G1127" i="17"/>
  <c r="J1127" i="17"/>
  <c r="A1105" i="18"/>
  <c r="E1105" i="18"/>
  <c r="J1108" i="17"/>
  <c r="K1108" i="17"/>
  <c r="E1108" i="17"/>
  <c r="G1108" i="17"/>
  <c r="A1130" i="18"/>
  <c r="E1130" i="18"/>
  <c r="E1133" i="17"/>
  <c r="G1133" i="17"/>
  <c r="J1133" i="17"/>
  <c r="K1133" i="17"/>
  <c r="A1145" i="18"/>
  <c r="E1145" i="18"/>
  <c r="J1148" i="17"/>
  <c r="K1148" i="17"/>
  <c r="E1148" i="17"/>
  <c r="G1148" i="17"/>
  <c r="A1164" i="18"/>
  <c r="E1164" i="18"/>
  <c r="K1167" i="17"/>
  <c r="E1167" i="17"/>
  <c r="G1167" i="17"/>
  <c r="J1167" i="17"/>
  <c r="A1125" i="18"/>
  <c r="E1125" i="18"/>
  <c r="E1128" i="17"/>
  <c r="G1128" i="17"/>
  <c r="J1128" i="17"/>
  <c r="K1128" i="17"/>
  <c r="A1160" i="18"/>
  <c r="E1160" i="18"/>
  <c r="G1163" i="17"/>
  <c r="E1163" i="17"/>
  <c r="J1163" i="17"/>
  <c r="K1163" i="17"/>
  <c r="A1114" i="18"/>
  <c r="E1114" i="18"/>
  <c r="E1117" i="17"/>
  <c r="G1117" i="17"/>
  <c r="J1117" i="17"/>
  <c r="K1117" i="17"/>
  <c r="A1163" i="18"/>
  <c r="E1163" i="18"/>
  <c r="E1166" i="17"/>
  <c r="J1166" i="17"/>
  <c r="G1166" i="17"/>
  <c r="K1166" i="17"/>
  <c r="A1133" i="18"/>
  <c r="E1133" i="18"/>
  <c r="E1136" i="17"/>
  <c r="G1136" i="17"/>
  <c r="J1136" i="17"/>
  <c r="K1136" i="17"/>
  <c r="A1141" i="18"/>
  <c r="E1141" i="18"/>
  <c r="E1144" i="17"/>
  <c r="G1144" i="17"/>
  <c r="J1144" i="17"/>
  <c r="K1144" i="17"/>
  <c r="A1186" i="18"/>
  <c r="E1186" i="18"/>
  <c r="G1189" i="17"/>
  <c r="J1189" i="17"/>
  <c r="K1189" i="17"/>
  <c r="E1189" i="17"/>
  <c r="A1120" i="18"/>
  <c r="E1120" i="18"/>
  <c r="E1123" i="17"/>
  <c r="G1123" i="17"/>
  <c r="J1123" i="17"/>
  <c r="K1123" i="17"/>
  <c r="A1178" i="18"/>
  <c r="E1178" i="18"/>
  <c r="E1181" i="17"/>
  <c r="G1181" i="17"/>
  <c r="J1181" i="17"/>
  <c r="K1181" i="17"/>
  <c r="A1132" i="18"/>
  <c r="E1132" i="18"/>
  <c r="K1135" i="17"/>
  <c r="E1135" i="17"/>
  <c r="G1135" i="17"/>
  <c r="J1135" i="17"/>
  <c r="A1180" i="18"/>
  <c r="E1180" i="18"/>
  <c r="E1183" i="17"/>
  <c r="G1183" i="17"/>
  <c r="K1183" i="17"/>
  <c r="J1183" i="17"/>
  <c r="A1113" i="18"/>
  <c r="E1113" i="18"/>
  <c r="J1116" i="17"/>
  <c r="K1116" i="17"/>
  <c r="E1116" i="17"/>
  <c r="G1116" i="17"/>
  <c r="A1147" i="18"/>
  <c r="E1147" i="18"/>
  <c r="E1150" i="17"/>
  <c r="G1150" i="17"/>
  <c r="J1150" i="17"/>
  <c r="K1150" i="17"/>
  <c r="A1108" i="18"/>
  <c r="E1108" i="18"/>
  <c r="K1111" i="17"/>
  <c r="E1111" i="17"/>
  <c r="G1111" i="17"/>
  <c r="J1111" i="17"/>
  <c r="A1121" i="18"/>
  <c r="E1121" i="18"/>
  <c r="J1124" i="17"/>
  <c r="K1124" i="17"/>
  <c r="E1124" i="17"/>
  <c r="G1124" i="17"/>
  <c r="A1170" i="18"/>
  <c r="E1170" i="18"/>
  <c r="E1173" i="17"/>
  <c r="G1173" i="17"/>
  <c r="J1173" i="17"/>
  <c r="K1173" i="17"/>
  <c r="A1172" i="18"/>
  <c r="E1172" i="18"/>
  <c r="K1175" i="17"/>
  <c r="E1175" i="17"/>
  <c r="G1175" i="17"/>
  <c r="J1175" i="17"/>
  <c r="A1140" i="18"/>
  <c r="E1140" i="18"/>
  <c r="K1143" i="17"/>
  <c r="E1143" i="17"/>
  <c r="G1143" i="17"/>
  <c r="J1143" i="17"/>
  <c r="A1179" i="18"/>
  <c r="E1179" i="18"/>
  <c r="E1182" i="17"/>
  <c r="G1182" i="17"/>
  <c r="J1182" i="17"/>
  <c r="K1182" i="17"/>
  <c r="A1144" i="18"/>
  <c r="E1144" i="18"/>
  <c r="E1147" i="17"/>
  <c r="G1147" i="17"/>
  <c r="J1147" i="17"/>
  <c r="K1147" i="17"/>
  <c r="A1116" i="18"/>
  <c r="E1116" i="18"/>
  <c r="K1119" i="17"/>
  <c r="E1119" i="17"/>
  <c r="G1119" i="17"/>
  <c r="J1119" i="17"/>
  <c r="A1154" i="18"/>
  <c r="E1154" i="18"/>
  <c r="K1157" i="17"/>
  <c r="E1157" i="17"/>
  <c r="G1157" i="17"/>
  <c r="J1157" i="17"/>
  <c r="A1161" i="18"/>
  <c r="E1161" i="18"/>
  <c r="J1164" i="17"/>
  <c r="E1164" i="17"/>
  <c r="G1164" i="17"/>
  <c r="K1164" i="17"/>
  <c r="A1138" i="18"/>
  <c r="E1138" i="18"/>
  <c r="K1141" i="17"/>
  <c r="E1141" i="17"/>
  <c r="G1141" i="17"/>
  <c r="J1141" i="17"/>
  <c r="A1156" i="18"/>
  <c r="E1156" i="18"/>
  <c r="K1159" i="17"/>
  <c r="E1159" i="17"/>
  <c r="G1159" i="17"/>
  <c r="J1159" i="17"/>
  <c r="A1176" i="18"/>
  <c r="E1176" i="18"/>
  <c r="G1179" i="17"/>
  <c r="J1179" i="17"/>
  <c r="K1179" i="17"/>
  <c r="E1179" i="17"/>
  <c r="A1106" i="18"/>
  <c r="E1106" i="18"/>
  <c r="E1109" i="17"/>
  <c r="G1109" i="17"/>
  <c r="J1109" i="17"/>
  <c r="K1109" i="17"/>
  <c r="A1152" i="18"/>
  <c r="E1152" i="18"/>
  <c r="E1155" i="17"/>
  <c r="G1155" i="17"/>
  <c r="K1155" i="17"/>
  <c r="J1155" i="17"/>
  <c r="A1153" i="18"/>
  <c r="E1153" i="18"/>
  <c r="J1156" i="17"/>
  <c r="K1156" i="17"/>
  <c r="E1156" i="17"/>
  <c r="G1156" i="17"/>
  <c r="H451" i="28"/>
  <c r="N451" i="28"/>
  <c r="H172" i="28"/>
  <c r="N172" i="28"/>
  <c r="H294" i="28"/>
  <c r="N294" i="28"/>
  <c r="H149" i="28"/>
  <c r="N149" i="28"/>
  <c r="H187" i="28"/>
  <c r="N187" i="28"/>
  <c r="H129" i="28"/>
  <c r="N129" i="28"/>
  <c r="H147" i="28"/>
  <c r="N147" i="28"/>
  <c r="H453" i="28"/>
  <c r="N453" i="28"/>
  <c r="H439" i="28"/>
  <c r="N439" i="28"/>
  <c r="H392" i="28"/>
  <c r="N392" i="28"/>
  <c r="H409" i="28"/>
  <c r="N409" i="28"/>
  <c r="H394" i="28"/>
  <c r="N394" i="28"/>
  <c r="H372" i="28"/>
  <c r="N372" i="28"/>
  <c r="H333" i="28"/>
  <c r="N333" i="28"/>
  <c r="H358" i="28"/>
  <c r="N358" i="28"/>
  <c r="H319" i="28"/>
  <c r="N319" i="28"/>
  <c r="H452" i="28"/>
  <c r="N452" i="28"/>
  <c r="H290" i="28"/>
  <c r="N290" i="28"/>
  <c r="H318" i="28"/>
  <c r="N318" i="28"/>
  <c r="H360" i="28"/>
  <c r="N360" i="28"/>
  <c r="H109" i="28"/>
  <c r="N109" i="28"/>
  <c r="H518" i="28"/>
  <c r="N518" i="28"/>
  <c r="H339" i="28"/>
  <c r="N339" i="28"/>
  <c r="H373" i="28"/>
  <c r="N373" i="28"/>
  <c r="H125" i="28"/>
  <c r="N125" i="28"/>
  <c r="H375" i="28"/>
  <c r="N375" i="28"/>
  <c r="H308" i="28"/>
  <c r="N308" i="28"/>
  <c r="H289" i="28"/>
  <c r="N289" i="28"/>
  <c r="H327" i="28"/>
  <c r="N327" i="28"/>
  <c r="H226" i="28"/>
  <c r="N226" i="28"/>
  <c r="H359" i="28"/>
  <c r="N359" i="28"/>
  <c r="H236" i="28"/>
  <c r="N236" i="28"/>
  <c r="H133" i="28"/>
  <c r="N133" i="28"/>
  <c r="H517" i="28"/>
  <c r="N517" i="28"/>
  <c r="H478" i="28"/>
  <c r="N478" i="28"/>
  <c r="H503" i="28"/>
  <c r="N503" i="28"/>
  <c r="H456" i="28"/>
  <c r="N456" i="28"/>
  <c r="H458" i="28"/>
  <c r="N458" i="28"/>
  <c r="H427" i="28"/>
  <c r="N427" i="28"/>
  <c r="H436" i="28"/>
  <c r="N436" i="28"/>
  <c r="H397" i="28"/>
  <c r="N397" i="28"/>
  <c r="H383" i="28"/>
  <c r="N383" i="28"/>
  <c r="H336" i="28"/>
  <c r="N336" i="28"/>
  <c r="H417" i="28"/>
  <c r="N417" i="28"/>
  <c r="H115" i="28"/>
  <c r="N115" i="28"/>
  <c r="H188" i="28"/>
  <c r="N188" i="28"/>
  <c r="H277" i="28"/>
  <c r="N277" i="28"/>
  <c r="H366" i="28"/>
  <c r="N366" i="28"/>
  <c r="H455" i="28"/>
  <c r="N455" i="28"/>
  <c r="H489" i="28"/>
  <c r="N489" i="28"/>
  <c r="H218" i="28"/>
  <c r="N218" i="28"/>
  <c r="H315" i="28"/>
  <c r="N315" i="28"/>
  <c r="H502" i="28"/>
  <c r="N502" i="28"/>
  <c r="H480" i="28"/>
  <c r="N480" i="28"/>
  <c r="H418" i="28"/>
  <c r="N418" i="28"/>
  <c r="H332" i="28"/>
  <c r="N332" i="28"/>
  <c r="H488" i="28"/>
  <c r="N488" i="28"/>
  <c r="H139" i="28"/>
  <c r="N139" i="28"/>
  <c r="H287" i="28"/>
  <c r="N287" i="28"/>
  <c r="H257" i="28"/>
  <c r="N257" i="28"/>
  <c r="H142" i="28"/>
  <c r="N142" i="28"/>
  <c r="H120" i="28"/>
  <c r="N120" i="28"/>
  <c r="H52" i="28"/>
  <c r="H96" i="28"/>
  <c r="H106" i="28"/>
  <c r="H21" i="28"/>
  <c r="H23" i="28"/>
  <c r="H25" i="28"/>
  <c r="H27" i="28"/>
  <c r="H29" i="28"/>
  <c r="H34" i="28"/>
  <c r="H50" i="28"/>
  <c r="H65" i="28"/>
  <c r="H79" i="28"/>
  <c r="H95" i="28"/>
  <c r="H62" i="28"/>
  <c r="H69" i="28"/>
  <c r="H31" i="28"/>
  <c r="H36" i="28"/>
  <c r="H39" i="28"/>
  <c r="H44" i="28"/>
  <c r="H91" i="28"/>
  <c r="H35" i="28"/>
  <c r="H55" i="28"/>
  <c r="H66" i="28"/>
  <c r="H80" i="28"/>
  <c r="H98" i="28"/>
  <c r="H102" i="28"/>
  <c r="H38" i="28"/>
  <c r="H45" i="28"/>
  <c r="H8" i="28"/>
  <c r="H10" i="28"/>
  <c r="H40" i="28"/>
  <c r="H56" i="28"/>
  <c r="H67" i="28"/>
  <c r="H81" i="28"/>
  <c r="H103" i="28"/>
  <c r="H78" i="28"/>
  <c r="H85" i="28"/>
  <c r="H99" i="28"/>
  <c r="H4" i="28"/>
  <c r="H13" i="28"/>
  <c r="H15" i="28"/>
  <c r="H17" i="28"/>
  <c r="H19" i="28"/>
  <c r="H11" i="28"/>
  <c r="H41" i="28"/>
  <c r="H57" i="28"/>
  <c r="H71" i="28"/>
  <c r="H82" i="28"/>
  <c r="H104" i="28"/>
  <c r="H54" i="28"/>
  <c r="H61" i="28"/>
  <c r="H108" i="28"/>
  <c r="N108" i="28"/>
  <c r="H291" i="28"/>
  <c r="N291" i="28"/>
  <c r="H450" i="28"/>
  <c r="N450" i="28"/>
  <c r="H194" i="28"/>
  <c r="N194" i="28"/>
  <c r="H337" i="28"/>
  <c r="N337" i="28"/>
  <c r="H512" i="28"/>
  <c r="N512" i="28"/>
  <c r="H256" i="28"/>
  <c r="N256" i="28"/>
  <c r="H431" i="28"/>
  <c r="N431" i="28"/>
  <c r="H175" i="28"/>
  <c r="N175" i="28"/>
  <c r="H342" i="28"/>
  <c r="N342" i="28"/>
  <c r="H509" i="28"/>
  <c r="N509" i="28"/>
  <c r="H253" i="28"/>
  <c r="N253" i="28"/>
  <c r="H420" i="28"/>
  <c r="N420" i="28"/>
  <c r="H164" i="28"/>
  <c r="N164" i="28"/>
  <c r="H283" i="28"/>
  <c r="N283" i="28"/>
  <c r="H442" i="28"/>
  <c r="N442" i="28"/>
  <c r="H186" i="28"/>
  <c r="N186" i="28"/>
  <c r="H329" i="28"/>
  <c r="N329" i="28"/>
  <c r="H504" i="28"/>
  <c r="N504" i="28"/>
  <c r="H248" i="28"/>
  <c r="N248" i="28"/>
  <c r="H423" i="28"/>
  <c r="N423" i="28"/>
  <c r="H167" i="28"/>
  <c r="N167" i="28"/>
  <c r="H334" i="28"/>
  <c r="N334" i="28"/>
  <c r="H501" i="28"/>
  <c r="N501" i="28"/>
  <c r="H245" i="28"/>
  <c r="N245" i="28"/>
  <c r="H412" i="28"/>
  <c r="N412" i="28"/>
  <c r="H156" i="28"/>
  <c r="N156" i="28"/>
  <c r="H275" i="28"/>
  <c r="N275" i="28"/>
  <c r="H434" i="28"/>
  <c r="N434" i="28"/>
  <c r="H178" i="28"/>
  <c r="N178" i="28"/>
  <c r="H321" i="28"/>
  <c r="N321" i="28"/>
  <c r="H496" i="28"/>
  <c r="N496" i="28"/>
  <c r="H240" i="28"/>
  <c r="N240" i="28"/>
  <c r="H415" i="28"/>
  <c r="N415" i="28"/>
  <c r="H159" i="28"/>
  <c r="N159" i="28"/>
  <c r="H326" i="28"/>
  <c r="N326" i="28"/>
  <c r="H493" i="28"/>
  <c r="N493" i="28"/>
  <c r="H237" i="28"/>
  <c r="N237" i="28"/>
  <c r="H404" i="28"/>
  <c r="N404" i="28"/>
  <c r="H148" i="28"/>
  <c r="N148" i="28"/>
  <c r="H331" i="28"/>
  <c r="N331" i="28"/>
  <c r="H490" i="28"/>
  <c r="N490" i="28"/>
  <c r="H234" i="28"/>
  <c r="N234" i="28"/>
  <c r="H377" i="28"/>
  <c r="N377" i="28"/>
  <c r="H121" i="28"/>
  <c r="N121" i="28"/>
  <c r="H296" i="28"/>
  <c r="N296" i="28"/>
  <c r="H471" i="28"/>
  <c r="N471" i="28"/>
  <c r="H215" i="28"/>
  <c r="N215" i="28"/>
  <c r="H382" i="28"/>
  <c r="N382" i="28"/>
  <c r="H126" i="28"/>
  <c r="N126" i="28"/>
  <c r="H293" i="28"/>
  <c r="N293" i="28"/>
  <c r="H460" i="28"/>
  <c r="N460" i="28"/>
  <c r="H204" i="28"/>
  <c r="N204" i="28"/>
  <c r="H51" i="28"/>
  <c r="H84" i="28"/>
  <c r="H97" i="28"/>
  <c r="H107" i="28"/>
  <c r="H22" i="28"/>
  <c r="H24" i="28"/>
  <c r="H26" i="28"/>
  <c r="H28" i="28"/>
  <c r="H30" i="28"/>
  <c r="H12" i="28"/>
  <c r="H42" i="28"/>
  <c r="H58" i="28"/>
  <c r="H72" i="28"/>
  <c r="H83" i="28"/>
  <c r="H105" i="28"/>
  <c r="H94" i="28"/>
  <c r="H101" i="28"/>
  <c r="H37" i="28"/>
  <c r="H76" i="28"/>
  <c r="H92" i="28"/>
  <c r="H20" i="28"/>
  <c r="H43" i="28"/>
  <c r="H59" i="28"/>
  <c r="H73" i="28"/>
  <c r="H87" i="28"/>
  <c r="H3" i="28"/>
  <c r="H70" i="28"/>
  <c r="H77" i="28"/>
  <c r="H483" i="28"/>
  <c r="N483" i="28"/>
  <c r="H227" i="28"/>
  <c r="N227" i="28"/>
  <c r="H386" i="28"/>
  <c r="N386" i="28"/>
  <c r="H130" i="28"/>
  <c r="N130" i="28"/>
  <c r="H273" i="28"/>
  <c r="N273" i="28"/>
  <c r="H448" i="28"/>
  <c r="N448" i="28"/>
  <c r="H192" i="28"/>
  <c r="N192" i="28"/>
  <c r="H367" i="28"/>
  <c r="N367" i="28"/>
  <c r="H111" i="28"/>
  <c r="N111" i="28"/>
  <c r="H278" i="28"/>
  <c r="N278" i="28"/>
  <c r="H445" i="28"/>
  <c r="N445" i="28"/>
  <c r="H189" i="28"/>
  <c r="N189" i="28"/>
  <c r="H356" i="28"/>
  <c r="N356" i="28"/>
  <c r="H68" i="28"/>
  <c r="H7" i="28"/>
  <c r="H9" i="28"/>
  <c r="H32" i="28"/>
  <c r="H47" i="28"/>
  <c r="H63" i="28"/>
  <c r="H74" i="28"/>
  <c r="H89" i="28"/>
  <c r="H6" i="28"/>
  <c r="H46" i="28"/>
  <c r="H53" i="28"/>
  <c r="H60" i="28"/>
  <c r="H88" i="28"/>
  <c r="H100" i="28"/>
  <c r="H5" i="28"/>
  <c r="H14" i="28"/>
  <c r="H16" i="28"/>
  <c r="H18" i="28"/>
  <c r="H33" i="28"/>
  <c r="H48" i="28"/>
  <c r="H64" i="28"/>
  <c r="H75" i="28"/>
  <c r="H90" i="28"/>
  <c r="H2" i="28"/>
  <c r="H86" i="28"/>
  <c r="H93" i="28"/>
  <c r="H49" i="28"/>
  <c r="H419" i="28"/>
  <c r="N419" i="28"/>
  <c r="H163" i="28"/>
  <c r="N163" i="28"/>
  <c r="H322" i="28"/>
  <c r="N322" i="28"/>
  <c r="H465" i="28"/>
  <c r="N465" i="28"/>
  <c r="H209" i="28"/>
  <c r="N209" i="28"/>
  <c r="H384" i="28"/>
  <c r="N384" i="28"/>
  <c r="H320" i="28"/>
  <c r="N320" i="28"/>
  <c r="H239" i="28"/>
  <c r="N239" i="28"/>
  <c r="H150" i="28"/>
  <c r="N150" i="28"/>
  <c r="H484" i="28"/>
  <c r="N484" i="28"/>
  <c r="H378" i="28"/>
  <c r="N378" i="28"/>
  <c r="H393" i="28"/>
  <c r="N393" i="28"/>
  <c r="H376" i="28"/>
  <c r="N376" i="28"/>
  <c r="H487" i="28"/>
  <c r="N487" i="28"/>
  <c r="H526" i="28"/>
  <c r="N526" i="28"/>
  <c r="H206" i="28"/>
  <c r="N206" i="28"/>
  <c r="H309" i="28"/>
  <c r="N309" i="28"/>
  <c r="H348" i="28"/>
  <c r="N348" i="28"/>
  <c r="H403" i="28"/>
  <c r="N403" i="28"/>
  <c r="H498" i="28"/>
  <c r="N498" i="28"/>
  <c r="H114" i="28"/>
  <c r="N114" i="28"/>
  <c r="H193" i="28"/>
  <c r="N193" i="28"/>
  <c r="H304" i="28"/>
  <c r="N304" i="28"/>
  <c r="H351" i="28"/>
  <c r="N351" i="28"/>
  <c r="H454" i="28"/>
  <c r="N454" i="28"/>
  <c r="H134" i="28"/>
  <c r="N134" i="28"/>
  <c r="H173" i="28"/>
  <c r="N173" i="28"/>
  <c r="H276" i="28"/>
  <c r="N276" i="28"/>
  <c r="H395" i="28"/>
  <c r="N395" i="28"/>
  <c r="H426" i="28"/>
  <c r="N426" i="28"/>
  <c r="H521" i="28"/>
  <c r="N521" i="28"/>
  <c r="H185" i="28"/>
  <c r="N185" i="28"/>
  <c r="H232" i="28"/>
  <c r="N232" i="28"/>
  <c r="H343" i="28"/>
  <c r="N343" i="28"/>
  <c r="H446" i="28"/>
  <c r="N446" i="28"/>
  <c r="H485" i="28"/>
  <c r="N485" i="28"/>
  <c r="H165" i="28"/>
  <c r="N165" i="28"/>
  <c r="H268" i="28"/>
  <c r="N268" i="28"/>
  <c r="H387" i="28"/>
  <c r="N387" i="28"/>
  <c r="H482" i="28"/>
  <c r="N482" i="28"/>
  <c r="H305" i="28"/>
  <c r="N305" i="28"/>
  <c r="H160" i="28"/>
  <c r="N160" i="28"/>
  <c r="H438" i="28"/>
  <c r="N438" i="28"/>
  <c r="H118" i="28"/>
  <c r="N118" i="28"/>
  <c r="H388" i="28"/>
  <c r="N388" i="28"/>
  <c r="H251" i="28"/>
  <c r="N251" i="28"/>
  <c r="H410" i="28"/>
  <c r="N410" i="28"/>
  <c r="H154" i="28"/>
  <c r="N154" i="28"/>
  <c r="H297" i="28"/>
  <c r="N297" i="28"/>
  <c r="H472" i="28"/>
  <c r="N472" i="28"/>
  <c r="H216" i="28"/>
  <c r="N216" i="28"/>
  <c r="H391" i="28"/>
  <c r="N391" i="28"/>
  <c r="H135" i="28"/>
  <c r="N135" i="28"/>
  <c r="H302" i="28"/>
  <c r="N302" i="28"/>
  <c r="H469" i="28"/>
  <c r="N469" i="28"/>
  <c r="H213" i="28"/>
  <c r="N213" i="28"/>
  <c r="H380" i="28"/>
  <c r="N380" i="28"/>
  <c r="H124" i="28"/>
  <c r="N124" i="28"/>
  <c r="H307" i="28"/>
  <c r="N307" i="28"/>
  <c r="H466" i="28"/>
  <c r="N466" i="28"/>
  <c r="H210" i="28"/>
  <c r="N210" i="28"/>
  <c r="H353" i="28"/>
  <c r="N353" i="28"/>
  <c r="H528" i="28"/>
  <c r="N528" i="28"/>
  <c r="H355" i="28"/>
  <c r="N355" i="28"/>
  <c r="H347" i="28"/>
  <c r="N347" i="28"/>
  <c r="H314" i="28"/>
  <c r="N314" i="28"/>
  <c r="H323" i="28"/>
  <c r="N323" i="28"/>
  <c r="H162" i="28"/>
  <c r="N162" i="28"/>
  <c r="H416" i="28"/>
  <c r="N416" i="28"/>
  <c r="H271" i="28"/>
  <c r="N271" i="28"/>
  <c r="H374" i="28"/>
  <c r="N374" i="28"/>
  <c r="H221" i="28"/>
  <c r="N221" i="28"/>
  <c r="H507" i="28"/>
  <c r="N507" i="28"/>
  <c r="H219" i="28"/>
  <c r="N219" i="28"/>
  <c r="H250" i="28"/>
  <c r="N250" i="28"/>
  <c r="H201" i="28"/>
  <c r="N201" i="28"/>
  <c r="H259" i="28"/>
  <c r="N259" i="28"/>
  <c r="H513" i="28"/>
  <c r="N513" i="28"/>
  <c r="H352" i="28"/>
  <c r="N352" i="28"/>
  <c r="H463" i="28"/>
  <c r="N463" i="28"/>
  <c r="H310" i="28"/>
  <c r="N310" i="28"/>
  <c r="H157" i="28"/>
  <c r="N157" i="28"/>
  <c r="H443" i="28"/>
  <c r="N443" i="28"/>
  <c r="H514" i="28"/>
  <c r="N514" i="28"/>
  <c r="H495" i="28"/>
  <c r="N495" i="28"/>
  <c r="H406" i="28"/>
  <c r="N406" i="28"/>
  <c r="H317" i="28"/>
  <c r="N317" i="28"/>
  <c r="H228" i="28"/>
  <c r="N228" i="28"/>
  <c r="H155" i="28"/>
  <c r="N155" i="28"/>
  <c r="H184" i="28"/>
  <c r="N184" i="28"/>
  <c r="H295" i="28"/>
  <c r="N295" i="28"/>
  <c r="H398" i="28"/>
  <c r="N398" i="28"/>
  <c r="H437" i="28"/>
  <c r="N437" i="28"/>
  <c r="H117" i="28"/>
  <c r="N117" i="28"/>
  <c r="H220" i="28"/>
  <c r="N220" i="28"/>
  <c r="H211" i="28"/>
  <c r="N211" i="28"/>
  <c r="H306" i="28"/>
  <c r="N306" i="28"/>
  <c r="H385" i="28"/>
  <c r="N385" i="28"/>
  <c r="H432" i="28"/>
  <c r="N432" i="28"/>
  <c r="H112" i="28"/>
  <c r="N112" i="28"/>
  <c r="H223" i="28"/>
  <c r="N223" i="28"/>
  <c r="H262" i="28"/>
  <c r="N262" i="28"/>
  <c r="H365" i="28"/>
  <c r="N365" i="28"/>
  <c r="H468" i="28"/>
  <c r="N468" i="28"/>
  <c r="H523" i="28"/>
  <c r="N523" i="28"/>
  <c r="H203" i="28"/>
  <c r="N203" i="28"/>
  <c r="H298" i="28"/>
  <c r="N298" i="28"/>
  <c r="H313" i="28"/>
  <c r="N313" i="28"/>
  <c r="H424" i="28"/>
  <c r="N424" i="28"/>
  <c r="H497" i="28"/>
  <c r="N497" i="28"/>
  <c r="H151" i="28"/>
  <c r="N151" i="28"/>
  <c r="H254" i="28"/>
  <c r="N254" i="28"/>
  <c r="H357" i="28"/>
  <c r="N357" i="28"/>
  <c r="H396" i="28"/>
  <c r="N396" i="28"/>
  <c r="H515" i="28"/>
  <c r="N515" i="28"/>
  <c r="H354" i="28"/>
  <c r="N354" i="28"/>
  <c r="H177" i="28"/>
  <c r="N177" i="28"/>
  <c r="H288" i="28"/>
  <c r="N288" i="28"/>
  <c r="H143" i="28"/>
  <c r="N143" i="28"/>
  <c r="H413" i="28"/>
  <c r="N413" i="28"/>
  <c r="H260" i="28"/>
  <c r="N260" i="28"/>
  <c r="H145" i="28"/>
  <c r="N145" i="28"/>
  <c r="H122" i="28"/>
  <c r="N122" i="28"/>
  <c r="H137" i="28"/>
  <c r="N137" i="28"/>
  <c r="H195" i="28"/>
  <c r="N195" i="28"/>
  <c r="H433" i="28"/>
  <c r="N433" i="28"/>
  <c r="H113" i="28"/>
  <c r="N113" i="28"/>
  <c r="H399" i="28"/>
  <c r="N399" i="28"/>
  <c r="H246" i="28"/>
  <c r="N246" i="28"/>
  <c r="H516" i="28"/>
  <c r="N516" i="28"/>
  <c r="H196" i="28"/>
  <c r="N196" i="28"/>
  <c r="H158" i="28"/>
  <c r="N158" i="28"/>
  <c r="H119" i="28"/>
  <c r="N119" i="28"/>
  <c r="H520" i="28"/>
  <c r="N520" i="28"/>
  <c r="H473" i="28"/>
  <c r="N473" i="28"/>
  <c r="H522" i="28"/>
  <c r="N522" i="28"/>
  <c r="H491" i="28"/>
  <c r="N491" i="28"/>
  <c r="H461" i="28"/>
  <c r="N461" i="28"/>
  <c r="H422" i="28"/>
  <c r="N422" i="28"/>
  <c r="H447" i="28"/>
  <c r="N447" i="28"/>
  <c r="H400" i="28"/>
  <c r="N400" i="28"/>
  <c r="H481" i="28"/>
  <c r="N481" i="28"/>
  <c r="H179" i="28"/>
  <c r="N179" i="28"/>
  <c r="H252" i="28"/>
  <c r="N252" i="28"/>
  <c r="H341" i="28"/>
  <c r="N341" i="28"/>
  <c r="H430" i="28"/>
  <c r="N430" i="28"/>
  <c r="H519" i="28"/>
  <c r="N519" i="28"/>
  <c r="H169" i="28"/>
  <c r="N169" i="28"/>
  <c r="H282" i="28"/>
  <c r="N282" i="28"/>
  <c r="H379" i="28"/>
  <c r="N379" i="28"/>
  <c r="H285" i="28"/>
  <c r="N285" i="28"/>
  <c r="H207" i="28"/>
  <c r="N207" i="28"/>
  <c r="H131" i="28"/>
  <c r="N131" i="28"/>
  <c r="H524" i="28"/>
  <c r="N524" i="28"/>
  <c r="H510" i="28"/>
  <c r="N510" i="28"/>
  <c r="H267" i="28"/>
  <c r="N267" i="28"/>
  <c r="H301" i="28"/>
  <c r="N301" i="28"/>
  <c r="H449" i="28"/>
  <c r="N449" i="28"/>
  <c r="H467" i="28"/>
  <c r="N467" i="28"/>
  <c r="H312" i="28"/>
  <c r="N312" i="28"/>
  <c r="H506" i="28"/>
  <c r="N506" i="28"/>
  <c r="H401" i="28"/>
  <c r="N401" i="28"/>
  <c r="H492" i="28"/>
  <c r="N492" i="28"/>
  <c r="H345" i="28"/>
  <c r="N345" i="28"/>
  <c r="H255" i="28"/>
  <c r="N255" i="28"/>
  <c r="H499" i="28"/>
  <c r="N499" i="28"/>
  <c r="H505" i="28"/>
  <c r="N505" i="28"/>
  <c r="H224" i="28"/>
  <c r="N224" i="28"/>
  <c r="H362" i="28"/>
  <c r="N362" i="28"/>
  <c r="H300" i="28"/>
  <c r="N300" i="28"/>
  <c r="H197" i="28"/>
  <c r="N197" i="28"/>
  <c r="H183" i="28"/>
  <c r="N183" i="28"/>
  <c r="H136" i="28"/>
  <c r="N136" i="28"/>
  <c r="H153" i="28"/>
  <c r="N153" i="28"/>
  <c r="H138" i="28"/>
  <c r="N138" i="28"/>
  <c r="H116" i="28"/>
  <c r="N116" i="28"/>
  <c r="H500" i="28"/>
  <c r="N500" i="28"/>
  <c r="H525" i="28"/>
  <c r="N525" i="28"/>
  <c r="H486" i="28"/>
  <c r="N486" i="28"/>
  <c r="H464" i="28"/>
  <c r="N464" i="28"/>
  <c r="H146" i="28"/>
  <c r="N146" i="28"/>
  <c r="H243" i="28"/>
  <c r="N243" i="28"/>
  <c r="H316" i="28"/>
  <c r="N316" i="28"/>
  <c r="H405" i="28"/>
  <c r="N405" i="28"/>
  <c r="H494" i="28"/>
  <c r="N494" i="28"/>
  <c r="H152" i="28"/>
  <c r="N152" i="28"/>
  <c r="H233" i="28"/>
  <c r="N233" i="28"/>
  <c r="H346" i="28"/>
  <c r="N346" i="28"/>
  <c r="H349" i="28"/>
  <c r="N349" i="28"/>
  <c r="H335" i="28"/>
  <c r="N335" i="28"/>
  <c r="H241" i="28"/>
  <c r="N241" i="28"/>
  <c r="H279" i="28"/>
  <c r="N279" i="28"/>
  <c r="H249" i="28"/>
  <c r="N249" i="28"/>
  <c r="H429" i="28"/>
  <c r="N429" i="28"/>
  <c r="H479" i="28"/>
  <c r="N479" i="28"/>
  <c r="H284" i="28"/>
  <c r="N284" i="28"/>
  <c r="H270" i="28"/>
  <c r="N270" i="28"/>
  <c r="H440" i="28"/>
  <c r="N440" i="28"/>
  <c r="H214" i="28"/>
  <c r="N214" i="28"/>
  <c r="H258" i="28"/>
  <c r="N258" i="28"/>
  <c r="H389" i="28"/>
  <c r="N389" i="28"/>
  <c r="H330" i="28"/>
  <c r="N330" i="28"/>
  <c r="H402" i="28"/>
  <c r="N402" i="28"/>
  <c r="H408" i="28"/>
  <c r="N408" i="28"/>
  <c r="H190" i="28"/>
  <c r="N190" i="28"/>
  <c r="H340" i="28"/>
  <c r="N340" i="28"/>
  <c r="H128" i="28"/>
  <c r="N128" i="28"/>
  <c r="H261" i="28"/>
  <c r="N261" i="28"/>
  <c r="H222" i="28"/>
  <c r="N222" i="28"/>
  <c r="H247" i="28"/>
  <c r="N247" i="28"/>
  <c r="H200" i="28"/>
  <c r="N200" i="28"/>
  <c r="H202" i="28"/>
  <c r="N202" i="28"/>
  <c r="H171" i="28"/>
  <c r="N171" i="28"/>
  <c r="H180" i="28"/>
  <c r="N180" i="28"/>
  <c r="H141" i="28"/>
  <c r="N141" i="28"/>
  <c r="H127" i="28"/>
  <c r="N127" i="28"/>
  <c r="H511" i="28"/>
  <c r="N511" i="28"/>
  <c r="H132" i="28"/>
  <c r="N132" i="28"/>
  <c r="H477" i="28"/>
  <c r="N477" i="28"/>
  <c r="H229" i="28"/>
  <c r="N229" i="28"/>
  <c r="H441" i="28"/>
  <c r="N441" i="28"/>
  <c r="H459" i="28"/>
  <c r="N459" i="28"/>
  <c r="H176" i="28"/>
  <c r="N176" i="28"/>
  <c r="H242" i="28"/>
  <c r="N242" i="28"/>
  <c r="H462" i="28"/>
  <c r="N462" i="28"/>
  <c r="H411" i="28"/>
  <c r="N411" i="28"/>
  <c r="H470" i="28"/>
  <c r="N470" i="28"/>
  <c r="H414" i="28"/>
  <c r="N414" i="28"/>
  <c r="H363" i="28"/>
  <c r="N363" i="28"/>
  <c r="H272" i="28"/>
  <c r="N272" i="28"/>
  <c r="H238" i="28"/>
  <c r="N238" i="28"/>
  <c r="H140" i="28"/>
  <c r="N140" i="28"/>
  <c r="H457" i="28"/>
  <c r="N457" i="28"/>
  <c r="H364" i="28"/>
  <c r="N364" i="28"/>
  <c r="H325" i="28"/>
  <c r="N325" i="28"/>
  <c r="H286" i="28"/>
  <c r="N286" i="28"/>
  <c r="H264" i="28"/>
  <c r="N264" i="28"/>
  <c r="H217" i="28"/>
  <c r="N217" i="28"/>
  <c r="H266" i="28"/>
  <c r="N266" i="28"/>
  <c r="H235" i="28"/>
  <c r="N235" i="28"/>
  <c r="H205" i="28"/>
  <c r="N205" i="28"/>
  <c r="H166" i="28"/>
  <c r="N166" i="28"/>
  <c r="H191" i="28"/>
  <c r="N191" i="28"/>
  <c r="H144" i="28"/>
  <c r="N144" i="28"/>
  <c r="H161" i="28"/>
  <c r="N161" i="28"/>
  <c r="H274" i="28"/>
  <c r="N274" i="28"/>
  <c r="H371" i="28"/>
  <c r="N371" i="28"/>
  <c r="H444" i="28"/>
  <c r="N444" i="28"/>
  <c r="H110" i="28"/>
  <c r="N110" i="28"/>
  <c r="H199" i="28"/>
  <c r="N199" i="28"/>
  <c r="H280" i="28"/>
  <c r="N280" i="28"/>
  <c r="H361" i="28"/>
  <c r="N361" i="28"/>
  <c r="H474" i="28"/>
  <c r="N474" i="28"/>
  <c r="H182" i="28"/>
  <c r="N182" i="28"/>
  <c r="H527" i="28"/>
  <c r="N527" i="28"/>
  <c r="H369" i="28"/>
  <c r="N369" i="28"/>
  <c r="H421" i="28"/>
  <c r="N421" i="28"/>
  <c r="H407" i="28"/>
  <c r="N407" i="28"/>
  <c r="H212" i="28"/>
  <c r="N212" i="28"/>
  <c r="H198" i="28"/>
  <c r="N198" i="28"/>
  <c r="H370" i="28"/>
  <c r="N370" i="28"/>
  <c r="H476" i="28"/>
  <c r="N476" i="28"/>
  <c r="H265" i="28"/>
  <c r="N265" i="28"/>
  <c r="H475" i="28"/>
  <c r="N475" i="28"/>
</calcChain>
</file>

<file path=xl/sharedStrings.xml><?xml version="1.0" encoding="utf-8"?>
<sst xmlns="http://schemas.openxmlformats.org/spreadsheetml/2006/main" count="12449" uniqueCount="2044">
  <si>
    <t>SubcategoryName</t>
  </si>
  <si>
    <t>SuiteID</t>
  </si>
  <si>
    <t>CategoryID</t>
  </si>
  <si>
    <t>SubcategoryID</t>
  </si>
  <si>
    <t>SuiteCatSubID</t>
  </si>
  <si>
    <t>Catalogs</t>
  </si>
  <si>
    <t>Shopping / Requisitioning</t>
  </si>
  <si>
    <t>Ordering</t>
  </si>
  <si>
    <t>Receiving</t>
  </si>
  <si>
    <t>Supplier Network</t>
  </si>
  <si>
    <t>Configurability</t>
  </si>
  <si>
    <t>Technology</t>
  </si>
  <si>
    <t>General Services</t>
  </si>
  <si>
    <t>Invoicing</t>
  </si>
  <si>
    <t>Payment / Financing</t>
  </si>
  <si>
    <t>Opportunity</t>
  </si>
  <si>
    <t>Project Management</t>
  </si>
  <si>
    <t>Supplier Portal</t>
  </si>
  <si>
    <t>Spend Analysis</t>
  </si>
  <si>
    <t>RFX Auction</t>
  </si>
  <si>
    <t>Optimization</t>
  </si>
  <si>
    <t>Contracts</t>
  </si>
  <si>
    <t>Execution</t>
  </si>
  <si>
    <t>Data Layer</t>
  </si>
  <si>
    <t>Process Support</t>
  </si>
  <si>
    <t>Function Support</t>
  </si>
  <si>
    <t>MDM</t>
  </si>
  <si>
    <t>SIM</t>
  </si>
  <si>
    <t>SXM</t>
  </si>
  <si>
    <t>Portal</t>
  </si>
  <si>
    <t>Contract Information Management</t>
  </si>
  <si>
    <t>Contract Process Management</t>
  </si>
  <si>
    <t>Analytics</t>
  </si>
  <si>
    <t>Services</t>
  </si>
  <si>
    <t>ElementID</t>
  </si>
  <si>
    <t>1.2.5.6.22.35.64.43.34</t>
  </si>
  <si>
    <t>ElementName</t>
  </si>
  <si>
    <t>Subcat?</t>
  </si>
  <si>
    <t xml:space="preserve">Catalog Creation / Onboarding </t>
  </si>
  <si>
    <t>Catalog Data Quality Control</t>
  </si>
  <si>
    <t xml:space="preserve">Catalog Maintenance </t>
  </si>
  <si>
    <t>Catalog Approvals</t>
  </si>
  <si>
    <t xml:space="preserve">Catalog Objects </t>
  </si>
  <si>
    <t>Catalog Mobility</t>
  </si>
  <si>
    <t>Catalog Analytics</t>
  </si>
  <si>
    <t>Catalog Roadmap</t>
  </si>
  <si>
    <t>Catalog Contracts</t>
  </si>
  <si>
    <t>On-Premise Software Option</t>
  </si>
  <si>
    <t>Internet Shopping / Catalog Visibility</t>
  </si>
  <si>
    <t xml:space="preserve">Catalog "Secret Sauce" </t>
  </si>
  <si>
    <t>Y</t>
  </si>
  <si>
    <t>Requisitioning Set Up</t>
  </si>
  <si>
    <t>Marketplace User Interface</t>
  </si>
  <si>
    <t xml:space="preserve">Markeplace Dashboard </t>
  </si>
  <si>
    <t>Profiles</t>
  </si>
  <si>
    <t>Search Engine</t>
  </si>
  <si>
    <t>Third-Party Content</t>
  </si>
  <si>
    <t>Requisitioning Process</t>
  </si>
  <si>
    <t>Systems Integration</t>
  </si>
  <si>
    <t>Non-Catalog / Services Requisitions</t>
  </si>
  <si>
    <t>Preferred Supplier Management</t>
  </si>
  <si>
    <t>Repetitive Requisitions</t>
  </si>
  <si>
    <t xml:space="preserve">Help &amp; Support </t>
  </si>
  <si>
    <t>Shopping Cart / Checkout Process</t>
  </si>
  <si>
    <t>Approval Process / Approval Engine</t>
  </si>
  <si>
    <t xml:space="preserve">Guided Buying </t>
  </si>
  <si>
    <t>Sourcing Integration</t>
  </si>
  <si>
    <t>Requisitioning Budget Checking Process</t>
  </si>
  <si>
    <t>Requisitioning Inventory Checking Process</t>
  </si>
  <si>
    <t>Mobility</t>
  </si>
  <si>
    <t>Multi-Currency / Languages</t>
  </si>
  <si>
    <t>Requisition Roadmap</t>
  </si>
  <si>
    <t xml:space="preserve">Order Setup </t>
  </si>
  <si>
    <t xml:space="preserve">Order Creation </t>
  </si>
  <si>
    <t>Contract Compliance</t>
  </si>
  <si>
    <t>Extensibility</t>
  </si>
  <si>
    <t>Order Processing (buy-side)</t>
  </si>
  <si>
    <t>Order Delivery / Communication</t>
  </si>
  <si>
    <t>Order Collaboration (buyer/supplier)</t>
  </si>
  <si>
    <t>Order Processing (supply-side)</t>
  </si>
  <si>
    <t>Services Procurement Integration</t>
  </si>
  <si>
    <t>International Trade and Logistics</t>
  </si>
  <si>
    <t>PO Mobility</t>
  </si>
  <si>
    <t>PO Analytics</t>
  </si>
  <si>
    <t xml:space="preserve">Multi-languages &amp; currencies </t>
  </si>
  <si>
    <t>PO Roadmap</t>
  </si>
  <si>
    <t xml:space="preserve">Receiving Setup </t>
  </si>
  <si>
    <t xml:space="preserve">Fulfillment </t>
  </si>
  <si>
    <t>Receiving Process</t>
  </si>
  <si>
    <t xml:space="preserve">Receiving Integration </t>
  </si>
  <si>
    <t>Receiving Mobility</t>
  </si>
  <si>
    <t>Receiving Analytics</t>
  </si>
  <si>
    <t>Receiving Roadmap</t>
  </si>
  <si>
    <t>Supplier Onboarding</t>
  </si>
  <si>
    <t>Supplier Information Management</t>
  </si>
  <si>
    <t>Supplier Performance and Risk Management</t>
  </si>
  <si>
    <t>Catalog Management</t>
  </si>
  <si>
    <t>Order Management</t>
  </si>
  <si>
    <t>Other Supplier Network Value-Added Services</t>
  </si>
  <si>
    <t>Ability to Connect to Multiple Supplier/Business Networks</t>
  </si>
  <si>
    <t>Other Capabilities</t>
  </si>
  <si>
    <t>P2P Configuration Set Up</t>
  </si>
  <si>
    <t xml:space="preserve">Multi-Currency </t>
  </si>
  <si>
    <t>Business-User Configuration</t>
  </si>
  <si>
    <t>Technical Configuration</t>
  </si>
  <si>
    <t>Vendor/Consultant Configuration</t>
  </si>
  <si>
    <t>Customizations</t>
  </si>
  <si>
    <t xml:space="preserve">Cloud </t>
  </si>
  <si>
    <t>Robotics / AI / Machine Learning</t>
  </si>
  <si>
    <t>Block chain</t>
  </si>
  <si>
    <t>Internet of Things (IoT)</t>
  </si>
  <si>
    <t>OCR / Scanners</t>
  </si>
  <si>
    <t>Intelligent Apps</t>
  </si>
  <si>
    <t>Conversational Systems</t>
  </si>
  <si>
    <t>Personalization</t>
  </si>
  <si>
    <t>Open Standards</t>
  </si>
  <si>
    <t>Integrations</t>
  </si>
  <si>
    <t>Data Management Services</t>
  </si>
  <si>
    <t>Managed Services / Co-Sourcing / Outsourcing</t>
  </si>
  <si>
    <t>Consulting / Change Management</t>
  </si>
  <si>
    <t xml:space="preserve">Invoicing Setup </t>
  </si>
  <si>
    <t>Invoice Creation / Capturing / submission</t>
  </si>
  <si>
    <t>Services Invoicing &amp; Contract Invoicing</t>
  </si>
  <si>
    <t>Invoice Collaboration</t>
  </si>
  <si>
    <t>Invoice Validation / Approvals</t>
  </si>
  <si>
    <t xml:space="preserve">Invoice Integrations </t>
  </si>
  <si>
    <t>Invoice Compliance</t>
  </si>
  <si>
    <t>Invoice Mobility</t>
  </si>
  <si>
    <t>Invoicing Analytics</t>
  </si>
  <si>
    <t>Invoicing Roadmap</t>
  </si>
  <si>
    <t xml:space="preserve">Payment Methods </t>
  </si>
  <si>
    <t>Payment Processing</t>
  </si>
  <si>
    <t>Payment Cards</t>
  </si>
  <si>
    <t>Financing On-Boarding</t>
  </si>
  <si>
    <t xml:space="preserve">Trade Financing (Receivables and Payables Financing)  </t>
  </si>
  <si>
    <t>Collaboration</t>
  </si>
  <si>
    <t>Financing Analytics</t>
  </si>
  <si>
    <t>Arbitrary Categorization in Spend Analysis</t>
  </si>
  <si>
    <t>Category Benchmarks</t>
  </si>
  <si>
    <t>Trend Analysis and Demand Forecasting</t>
  </si>
  <si>
    <t>Category Sourcing Plans/Templates</t>
  </si>
  <si>
    <t>Benchmarking</t>
  </si>
  <si>
    <t>Tracking / Scorecard Integration</t>
  </si>
  <si>
    <t>Prescriptive Analytics</t>
  </si>
  <si>
    <t>Should-Cost Modelling</t>
  </si>
  <si>
    <t>Basic Should Cost Modelling</t>
  </si>
  <si>
    <t>Market Data Feeds</t>
  </si>
  <si>
    <t>Benchmarks</t>
  </si>
  <si>
    <t>Bill of Material Support</t>
  </si>
  <si>
    <t>Formula Support</t>
  </si>
  <si>
    <t>Templates</t>
  </si>
  <si>
    <t>Sourcing Strategy Definition</t>
  </si>
  <si>
    <t>Task, Timeline, and Milestone Definition</t>
  </si>
  <si>
    <t>Role-Based Team Definition</t>
  </si>
  <si>
    <t>Workflow Integration</t>
  </si>
  <si>
    <t>Approvals and Sign-Offs</t>
  </si>
  <si>
    <t>Budget and Demand Definition</t>
  </si>
  <si>
    <t>Execution Support</t>
  </si>
  <si>
    <t>Single Sign-On</t>
  </si>
  <si>
    <t>Distributed Supplier RFX Response Management</t>
  </si>
  <si>
    <t>Distributed Supplier Auction Management</t>
  </si>
  <si>
    <t>Result/Award Notification</t>
  </si>
  <si>
    <t>Contract Negotiation Management</t>
  </si>
  <si>
    <t>Scorecards</t>
  </si>
  <si>
    <t>Corrective Action Management</t>
  </si>
  <si>
    <t>Invitation Management</t>
  </si>
  <si>
    <t>Self Registration</t>
  </si>
  <si>
    <t>ETL Support</t>
  </si>
  <si>
    <t>ERP Integration</t>
  </si>
  <si>
    <t>P2P/S2P Integration</t>
  </si>
  <si>
    <t>3rd Party Feeds</t>
  </si>
  <si>
    <t>Cleansing</t>
  </si>
  <si>
    <t>Automatic data correction based on known fields</t>
  </si>
  <si>
    <t>Simple rules for automatic correction based on common errors</t>
  </si>
  <si>
    <t>Advanced rules for correction based on industry data</t>
  </si>
  <si>
    <t>Categorization</t>
  </si>
  <si>
    <t>Built in Schemas (UNSPSC, Best in Class, etc.)</t>
  </si>
  <si>
    <t>AI</t>
  </si>
  <si>
    <t>Out-of-the-Box Reports and Analytics</t>
  </si>
  <si>
    <t>Standard Spend Reports</t>
  </si>
  <si>
    <t>Customization Capability</t>
  </si>
  <si>
    <t>Report Builder</t>
  </si>
  <si>
    <t>RFX / Surveys</t>
  </si>
  <si>
    <t>Creation Methodology</t>
  </si>
  <si>
    <t>Components</t>
  </si>
  <si>
    <t>Template Library</t>
  </si>
  <si>
    <t>Category</t>
  </si>
  <si>
    <t>Industry</t>
  </si>
  <si>
    <t>Weighting</t>
  </si>
  <si>
    <t>Formula Based</t>
  </si>
  <si>
    <t>Optimization Backed</t>
  </si>
  <si>
    <t>Multi-Party</t>
  </si>
  <si>
    <t>Advanced Scoring</t>
  </si>
  <si>
    <t>Documentary Support</t>
  </si>
  <si>
    <t>Unlimited Attachments w/ Revision Control</t>
  </si>
  <si>
    <t>Bulk Upload and Association</t>
  </si>
  <si>
    <t>CAD/CAM Visualization Support</t>
  </si>
  <si>
    <t>Real Time Messaging</t>
  </si>
  <si>
    <t>Virtual Whiteboard Integration</t>
  </si>
  <si>
    <t>Other Party View Support</t>
  </si>
  <si>
    <t>Screen Sharing</t>
  </si>
  <si>
    <t>Multi-SKU Mapping</t>
  </si>
  <si>
    <t>Automatic Supplier Identification</t>
  </si>
  <si>
    <t>from SIM</t>
  </si>
  <si>
    <t>from Supplier Network</t>
  </si>
  <si>
    <t>Bidding</t>
  </si>
  <si>
    <t>Open, Blind, or Closed</t>
  </si>
  <si>
    <t>Multiple Offers Per Line</t>
  </si>
  <si>
    <t>Evaluation</t>
  </si>
  <si>
    <t>Multi-Party Support</t>
  </si>
  <si>
    <t>Each Field Single or Multi-User Rank</t>
  </si>
  <si>
    <t>Side-by-Side Comparison</t>
  </si>
  <si>
    <t>Management</t>
  </si>
  <si>
    <t>Pause, Edit, Re-Issue</t>
  </si>
  <si>
    <t>Multi-Round Support</t>
  </si>
  <si>
    <t>Auction</t>
  </si>
  <si>
    <t>Out-of-the-Box Auction Formats</t>
  </si>
  <si>
    <t>Configuration Options</t>
  </si>
  <si>
    <t>Saved Market Baskets</t>
  </si>
  <si>
    <t>RFX Integration</t>
  </si>
  <si>
    <t>Real-Time Control Mechanisms</t>
  </si>
  <si>
    <t>Proxy Support</t>
  </si>
  <si>
    <t>Messaging</t>
  </si>
  <si>
    <t>Real-Time Monitoring</t>
  </si>
  <si>
    <t>Integrated Optimization Capability</t>
  </si>
  <si>
    <t>Automatic Supplier Identification/Invitation</t>
  </si>
  <si>
    <t>Solid Mathematical Foundations</t>
  </si>
  <si>
    <t>True Cost Modelling</t>
  </si>
  <si>
    <t>Capacity</t>
  </si>
  <si>
    <t>Allocation</t>
  </si>
  <si>
    <t>Risk Mitigation</t>
  </si>
  <si>
    <t>Qualitative</t>
  </si>
  <si>
    <t>What If? Capability</t>
  </si>
  <si>
    <t>Out-of-the-Box</t>
  </si>
  <si>
    <t>Constraint Relaxation</t>
  </si>
  <si>
    <t>Scenario Comparison</t>
  </si>
  <si>
    <t>Sensitivity Analysis</t>
  </si>
  <si>
    <t>Hard Constraint Identification</t>
  </si>
  <si>
    <t>Soft Constraint Support</t>
  </si>
  <si>
    <t>Model Templates</t>
  </si>
  <si>
    <t>RFX/Auction Integration</t>
  </si>
  <si>
    <t>Scalability</t>
  </si>
  <si>
    <t>Contract Management</t>
  </si>
  <si>
    <t>Negotiation Management</t>
  </si>
  <si>
    <t>Auditable, Unalterable, Messaging</t>
  </si>
  <si>
    <t>Contract Creation</t>
  </si>
  <si>
    <t>Clauses</t>
  </si>
  <si>
    <t>Attachments</t>
  </si>
  <si>
    <t>Word Integration</t>
  </si>
  <si>
    <t>Version Control</t>
  </si>
  <si>
    <t>e-Signatures</t>
  </si>
  <si>
    <t>Performance Management</t>
  </si>
  <si>
    <t>Performance Tracking</t>
  </si>
  <si>
    <t>ETL for Key Metrics</t>
  </si>
  <si>
    <t>RFX/Survey Integration</t>
  </si>
  <si>
    <t>Out of the Box</t>
  </si>
  <si>
    <t>KPIs</t>
  </si>
  <si>
    <t>Advanced Definition</t>
  </si>
  <si>
    <t>Budget Management</t>
  </si>
  <si>
    <t>Finance Integration</t>
  </si>
  <si>
    <t>Demand Management</t>
  </si>
  <si>
    <t>Risk Management</t>
  </si>
  <si>
    <t>3rd Party Data Integration</t>
  </si>
  <si>
    <t>Scorecard Based Alerts/Notifications</t>
  </si>
  <si>
    <t>Trend Detection</t>
  </si>
  <si>
    <t>Event Monitoring</t>
  </si>
  <si>
    <t>Corrective Management</t>
  </si>
  <si>
    <t>Issue Identification</t>
  </si>
  <si>
    <t>Collaborative Plan Creation</t>
  </si>
  <si>
    <t>Milestone Tracking</t>
  </si>
  <si>
    <t>Core Tech Platform</t>
  </si>
  <si>
    <t>SaaS/Cloud</t>
  </si>
  <si>
    <t>Mobile Support</t>
  </si>
  <si>
    <t>Block Chain Support</t>
  </si>
  <si>
    <t>OCR Support</t>
  </si>
  <si>
    <t>Personalization Technology</t>
  </si>
  <si>
    <t>ERP</t>
  </si>
  <si>
    <t>P2P</t>
  </si>
  <si>
    <t>Other</t>
  </si>
  <si>
    <t>Fine Grained Role/Data/Action Based Security</t>
  </si>
  <si>
    <t>Sourcing Process</t>
  </si>
  <si>
    <t>Workflow</t>
  </si>
  <si>
    <t>Configurable Rules</t>
  </si>
  <si>
    <t>Team Management</t>
  </si>
  <si>
    <t>Project Integration</t>
  </si>
  <si>
    <t>Globalization</t>
  </si>
  <si>
    <t>Multi-Currency</t>
  </si>
  <si>
    <t>Multi-Lingual</t>
  </si>
  <si>
    <t>Business User Configuration</t>
  </si>
  <si>
    <t>Manager Configuration</t>
  </si>
  <si>
    <t>Stakeholder Configuration</t>
  </si>
  <si>
    <t>Category Specific Consulting</t>
  </si>
  <si>
    <t>Spend/Opportunity Analysis</t>
  </si>
  <si>
    <t>Sourcing Events (managed RFX/Auction/Optimization)</t>
  </si>
  <si>
    <t>Risk Identification and Management</t>
  </si>
  <si>
    <t>Managed Services</t>
  </si>
  <si>
    <t>InsideaClass?</t>
  </si>
  <si>
    <t>Class?</t>
  </si>
  <si>
    <t/>
  </si>
  <si>
    <t>Schema Support (general)</t>
  </si>
  <si>
    <t>Schema Support (out-of-the-box)</t>
  </si>
  <si>
    <t>Schema Support (custom)</t>
  </si>
  <si>
    <t>Schema Support (multi)</t>
  </si>
  <si>
    <t>Cube Capability</t>
  </si>
  <si>
    <t>Familying/Normalization</t>
  </si>
  <si>
    <t>Rule/Knowledge Model Editor</t>
  </si>
  <si>
    <t>ETL (Extract / Transform / Load)</t>
  </si>
  <si>
    <t>Out of the box ERP integrations</t>
  </si>
  <si>
    <t>Source-to-Pay Integrations (out-of-the-box )</t>
  </si>
  <si>
    <t>Rules Set</t>
  </si>
  <si>
    <t>Rule Groups (including reg-ex / formula support)</t>
  </si>
  <si>
    <t>Enrich</t>
  </si>
  <si>
    <t xml:space="preserve">3rd Party Data Feed Integrations (out-of-the-box) </t>
  </si>
  <si>
    <t>Multi-Source Cross-Joins</t>
  </si>
  <si>
    <t>Classification / Categorization</t>
  </si>
  <si>
    <t>Manual Support</t>
  </si>
  <si>
    <t>Arbitrary Dimensions in Rules</t>
  </si>
  <si>
    <t>Query Capability</t>
  </si>
  <si>
    <t>Hybrid</t>
  </si>
  <si>
    <t>Data Integrity Analytics</t>
  </si>
  <si>
    <t>Outlier Identification</t>
  </si>
  <si>
    <t>Statistical Analysis / Frequency Mapping</t>
  </si>
  <si>
    <t>Sliding Time-Scale</t>
  </si>
  <si>
    <t>VAR: Visualize, Analyze, Report</t>
  </si>
  <si>
    <t>Filter Support</t>
  </si>
  <si>
    <t>Formula / Derived Dimension Support</t>
  </si>
  <si>
    <t>Extent of Charting / Graphing Capability</t>
  </si>
  <si>
    <t>Extent of Report Definition / Building</t>
  </si>
  <si>
    <t>ETD (extract / transform / dump)</t>
  </si>
  <si>
    <t>Flat File / FTP</t>
  </si>
  <si>
    <t>Real-Time Integration</t>
  </si>
  <si>
    <t>Raw Capability</t>
  </si>
  <si>
    <t>Advanced Analytics</t>
  </si>
  <si>
    <t>Predictive Analytics</t>
  </si>
  <si>
    <t>Permissive Analytics</t>
  </si>
  <si>
    <t>KPI Library</t>
  </si>
  <si>
    <t>Internal</t>
  </si>
  <si>
    <t>External</t>
  </si>
  <si>
    <t>Cost Avoidance / Opportunity Program Management</t>
  </si>
  <si>
    <t>Out-of-the-Box Sourcing Support</t>
  </si>
  <si>
    <t>Out-of-the-Box Procurement Support</t>
  </si>
  <si>
    <t>Out-of-the-Box Travel &amp; Expense Support</t>
  </si>
  <si>
    <t>Out-of-the-Box Finance Support</t>
  </si>
  <si>
    <t>Out-of-the-Box Product (Lifecycle) Support</t>
  </si>
  <si>
    <t>Out-of-the-Box Services Support</t>
  </si>
  <si>
    <t>Out-of-the-Box CWM Support</t>
  </si>
  <si>
    <t>Out-of-the-Box Logistics Support</t>
  </si>
  <si>
    <t>Out-of-the-Box Inventory/MRO Support</t>
  </si>
  <si>
    <t>Out-of-the-Box Supplier Analysis Support</t>
  </si>
  <si>
    <t>Out-of-the-Box Risk Management Support</t>
  </si>
  <si>
    <t>3rd Party BI Integration</t>
  </si>
  <si>
    <t>SaaS / Cloud</t>
  </si>
  <si>
    <t>AI / Machine Learning</t>
  </si>
  <si>
    <t>Big Data</t>
  </si>
  <si>
    <t>Block Chain</t>
  </si>
  <si>
    <t>Mobile</t>
  </si>
  <si>
    <t>Semi-Structured / Unstructured Data</t>
  </si>
  <si>
    <t>OCR</t>
  </si>
  <si>
    <t>Fine-Grained Role/Data/Action Based Security</t>
  </si>
  <si>
    <t>Company/Function/Group Configuration</t>
  </si>
  <si>
    <t>Private vs. Public Workspaces</t>
  </si>
  <si>
    <t>Built in vs. External Visualization</t>
  </si>
  <si>
    <t>Business Rules / Workflow</t>
  </si>
  <si>
    <t>Multi-Language</t>
  </si>
  <si>
    <t>Implementation / Integration / Maintenance Services</t>
  </si>
  <si>
    <t>ETL / Cleansing / Classification / Categorization</t>
  </si>
  <si>
    <t>Analytics / Data Science</t>
  </si>
  <si>
    <t>Category / Project Management</t>
  </si>
  <si>
    <t>Schema Support</t>
  </si>
  <si>
    <t>Supplier Information (industry codes)</t>
  </si>
  <si>
    <t>Product / Service Information (e.g., UNSPSC)</t>
  </si>
  <si>
    <t>Multi-Source Integration</t>
  </si>
  <si>
    <t>Multi-Source Federation Control</t>
  </si>
  <si>
    <t>Fine Grained Access / Permission Control</t>
  </si>
  <si>
    <t>Form Support</t>
  </si>
  <si>
    <t>Data Archival and Auditing</t>
  </si>
  <si>
    <t>Document and Version Management</t>
  </si>
  <si>
    <t>OCR and Automatic (meta-data) Indexing</t>
  </si>
  <si>
    <t>Supplier (Pre) Registration</t>
  </si>
  <si>
    <t>Self-Registration</t>
  </si>
  <si>
    <t>SIC Support</t>
  </si>
  <si>
    <t>Supplier On-Boarding</t>
  </si>
  <si>
    <t>On-Boarding Templates</t>
  </si>
  <si>
    <t>Integrated Off-Line Reach Out (phone, fax)</t>
  </si>
  <si>
    <t>Supplier Network Integration</t>
  </si>
  <si>
    <t>Auto Data Verification</t>
  </si>
  <si>
    <t>Supplier Qualification</t>
  </si>
  <si>
    <t>Data Collection / Branching Workflow</t>
  </si>
  <si>
    <t>Delegation of Control</t>
  </si>
  <si>
    <t>Auto Document Identification &amp; Verification</t>
  </si>
  <si>
    <t>Supplier Data Management</t>
  </si>
  <si>
    <t>Entity Core Data</t>
  </si>
  <si>
    <t>Financial Data / ACH Integration</t>
  </si>
  <si>
    <t>3P Data Integration (scores/audits/etc.)</t>
  </si>
  <si>
    <t>Document Management</t>
  </si>
  <si>
    <t>Certificates / Insurance</t>
  </si>
  <si>
    <t>Product / Catalog Management</t>
  </si>
  <si>
    <t>Ratings, Approvals, &amp; Preferred Suppliers</t>
  </si>
  <si>
    <t>Supplier Collaboration</t>
  </si>
  <si>
    <t>Real-Time Messaging</t>
  </si>
  <si>
    <t>Collaborative Whiteboards</t>
  </si>
  <si>
    <t>Conflict Resolution (Average)</t>
  </si>
  <si>
    <t>SPM (Average)</t>
  </si>
  <si>
    <t>Innovation Magament &amp; NPD (Average)</t>
  </si>
  <si>
    <t>Risk Management (Average)</t>
  </si>
  <si>
    <t>Conflict Resolution CAR/CAM</t>
  </si>
  <si>
    <t>Issue Identification and Tracking</t>
  </si>
  <si>
    <t>Plan Development &amp; Milestone Definition</t>
  </si>
  <si>
    <t>Status Updates</t>
  </si>
  <si>
    <t>Resolution Mechanisms</t>
  </si>
  <si>
    <t>Measurement</t>
  </si>
  <si>
    <t>Survey Integration</t>
  </si>
  <si>
    <t>Formulaic Metric Definition on Raw Data</t>
  </si>
  <si>
    <t>Scorecards w/ Automatic Updates</t>
  </si>
  <si>
    <t>Development &amp; Innovation Management</t>
  </si>
  <si>
    <t>Challenge Definition</t>
  </si>
  <si>
    <t>Unsolicited Idea Management</t>
  </si>
  <si>
    <t>Review and Decision Support</t>
  </si>
  <si>
    <t>Monitoring</t>
  </si>
  <si>
    <t>Automatic Data / Scorecard Updates</t>
  </si>
  <si>
    <t>Alerts &amp; Notification</t>
  </si>
  <si>
    <t>Integration with CAR/CAM</t>
  </si>
  <si>
    <t>Risk Identification</t>
  </si>
  <si>
    <t>Mitigation Plan</t>
  </si>
  <si>
    <t>Trend Monitoring</t>
  </si>
  <si>
    <t>NPD / NPI</t>
  </si>
  <si>
    <t>Product Management</t>
  </si>
  <si>
    <t>BoM Management</t>
  </si>
  <si>
    <t>Innovation Integration</t>
  </si>
  <si>
    <t>Process Management</t>
  </si>
  <si>
    <t>Out-of-the-Box Scorecards</t>
  </si>
  <si>
    <t>Out-of-the-Box Metric Reports</t>
  </si>
  <si>
    <t>Out-of-the-Box Trend Reports</t>
  </si>
  <si>
    <t>Out-of-the-Box Risk Reports</t>
  </si>
  <si>
    <t>Single View &amp; Sign-On</t>
  </si>
  <si>
    <t>Deep Onboarding Support</t>
  </si>
  <si>
    <t>SPM/SRM Data Review</t>
  </si>
  <si>
    <t>360-Degree Scorecards</t>
  </si>
  <si>
    <t>Document Management &amp; Updates</t>
  </si>
  <si>
    <t>VMI</t>
  </si>
  <si>
    <t>PO/Invoice/Payment Support</t>
  </si>
  <si>
    <t>AR/Auto Detection of Missing / Needed / Erroneous Data</t>
  </si>
  <si>
    <t>SIM / SPM / SRM Configurability</t>
  </si>
  <si>
    <t>Network Data Model</t>
  </si>
  <si>
    <t>Multi-Tier</t>
  </si>
  <si>
    <t>Supplier Portal Configurability</t>
  </si>
  <si>
    <t>Data/Document Management Services</t>
  </si>
  <si>
    <t>Supplier Management Services</t>
  </si>
  <si>
    <t>Supplier Development / Innovation Management</t>
  </si>
  <si>
    <t>Enterprise Contracts Support (beyond buy-side)</t>
  </si>
  <si>
    <t>Richness of Contract Level Data Modeled</t>
  </si>
  <si>
    <t>Extended Contract Modeling and Analytics</t>
  </si>
  <si>
    <t>Pricing</t>
  </si>
  <si>
    <t>"Categories"</t>
  </si>
  <si>
    <t>General Risk</t>
  </si>
  <si>
    <t>Commodity Risk</t>
  </si>
  <si>
    <t>Supplier / Partner</t>
  </si>
  <si>
    <t>Regulatory Compliance</t>
  </si>
  <si>
    <t>"Financials"</t>
  </si>
  <si>
    <t>Projects</t>
  </si>
  <si>
    <t>Assets (e.g., software licenses)</t>
  </si>
  <si>
    <t>Performance Specifications and Deliverables</t>
  </si>
  <si>
    <t>Obligations</t>
  </si>
  <si>
    <t>File Attachments</t>
  </si>
  <si>
    <t>Document Linking and Integration</t>
  </si>
  <si>
    <t>Contract Expiry &amp; Renewal Management</t>
  </si>
  <si>
    <t>Contract Action, Renewals</t>
  </si>
  <si>
    <t>Contract Expiration (non-renewal)</t>
  </si>
  <si>
    <t>Contract Creation and Authoring</t>
  </si>
  <si>
    <t>Search / Discovery</t>
  </si>
  <si>
    <t>Legacy Contract Upload / Conversion</t>
  </si>
  <si>
    <t>Survey integration</t>
  </si>
  <si>
    <t>Contract Import from E-Sourcing</t>
  </si>
  <si>
    <t>Ability to Manage Counter-Party Originated Contracts</t>
  </si>
  <si>
    <t>Amendment Creation</t>
  </si>
  <si>
    <t>Contract Collaboration</t>
  </si>
  <si>
    <t>Core Workflow and Approvals</t>
  </si>
  <si>
    <t>Contract Negotiation</t>
  </si>
  <si>
    <t>"Collaboration" Support (which extends across contract lifecycle)</t>
  </si>
  <si>
    <t>Sub-Contracting Support</t>
  </si>
  <si>
    <t>"Guided Contracting" (e.g., user questionnaires)</t>
  </si>
  <si>
    <t>Contract Implementation</t>
  </si>
  <si>
    <t>Contract Performance Management</t>
  </si>
  <si>
    <t>Compliance Management</t>
  </si>
  <si>
    <t>Financial Management</t>
  </si>
  <si>
    <t>Corrective Action &amp; Conflict Resolution</t>
  </si>
  <si>
    <t>Performance Management Analytics</t>
  </si>
  <si>
    <t>Contracting Reports and Analytics</t>
  </si>
  <si>
    <t>Contract / Cmmercial Performance Analysis</t>
  </si>
  <si>
    <t>Knowledge Management and Expertise</t>
  </si>
  <si>
    <t>Knowledge Beyond Technology Applications</t>
  </si>
  <si>
    <t>Community Knowledge</t>
  </si>
  <si>
    <t>Value Creation Methodology and Approach</t>
  </si>
  <si>
    <t xml:space="preserve">General Areas (not integration specific) </t>
  </si>
  <si>
    <t>Core Technology Platform</t>
  </si>
  <si>
    <t>Security</t>
  </si>
  <si>
    <t>Fine Grained Role / Data / Action Based Security</t>
  </si>
  <si>
    <t>User Experience</t>
  </si>
  <si>
    <t>IaaS</t>
  </si>
  <si>
    <t>AR / Auto Detection of Missing / Needed / Erroneous Data</t>
  </si>
  <si>
    <t>Machine Learning</t>
  </si>
  <si>
    <t>"Bots"</t>
  </si>
  <si>
    <t>Approach</t>
  </si>
  <si>
    <t>APIs</t>
  </si>
  <si>
    <t>Opportunity Analysis</t>
  </si>
  <si>
    <t>y</t>
  </si>
  <si>
    <t>Raw</t>
  </si>
  <si>
    <t>Markeplace Dashboard</t>
  </si>
  <si>
    <t>Multi-languages &amp; currencies</t>
  </si>
  <si>
    <t>Order Creation</t>
  </si>
  <si>
    <t>Order Setup</t>
  </si>
  <si>
    <t>Payment Methods</t>
  </si>
  <si>
    <t>Receiving Integration</t>
  </si>
  <si>
    <t>Receiving Setup</t>
  </si>
  <si>
    <t>Trade Financing (Receivables and Payables Financing)</t>
  </si>
  <si>
    <t>3rd Party Data Feed Integrations (out-of-the-box)</t>
  </si>
  <si>
    <t>Catalog "Secret Sauce"</t>
  </si>
  <si>
    <t>Catalog Creation / Onboarding</t>
  </si>
  <si>
    <t>Catalog Maintenance</t>
  </si>
  <si>
    <t>Catalog Objects</t>
  </si>
  <si>
    <t>Clause Extraction, Classification, and Harmonization</t>
  </si>
  <si>
    <t>CLM Configuration</t>
  </si>
  <si>
    <t>Cloud</t>
  </si>
  <si>
    <t>Fulfillment</t>
  </si>
  <si>
    <t>Guided Buying</t>
  </si>
  <si>
    <t>Help &amp; Support</t>
  </si>
  <si>
    <t>Invoice Integrations</t>
  </si>
  <si>
    <t>Invoicing Setup</t>
  </si>
  <si>
    <t>it only appears once and Multi-Lingual appears three times</t>
  </si>
  <si>
    <t>Suite</t>
  </si>
  <si>
    <t>Subcategory</t>
  </si>
  <si>
    <t>scseID</t>
  </si>
  <si>
    <t>Version</t>
  </si>
  <si>
    <t>VariantID</t>
  </si>
  <si>
    <t>ClassID</t>
  </si>
  <si>
    <t>LastVersion</t>
  </si>
  <si>
    <t>UpdateDate</t>
  </si>
  <si>
    <t>Active</t>
  </si>
  <si>
    <t>AppearanceOrder</t>
  </si>
  <si>
    <t>OneSheet</t>
  </si>
  <si>
    <t>Specifications</t>
  </si>
  <si>
    <t>ExampleScoring</t>
  </si>
  <si>
    <t>Specification</t>
  </si>
  <si>
    <t>Subcat</t>
  </si>
  <si>
    <t>Describe mobility features of the requisitioning process including how security capabilities work in a smartphone and tablet environment. Describe any "apps" and other mobile requisitioning access points (Native browser, Apple Watch, etc.)</t>
  </si>
  <si>
    <t>(NOT IN I2P)</t>
  </si>
  <si>
    <t>(NOT IN THE I2P RFI, THOUGH XAVIER SAID IT SHOULD BE INCLUDED IN I2P)</t>
  </si>
  <si>
    <t>In the I2P Customer Survey there is no Spend under Management</t>
  </si>
  <si>
    <t>This is the ability to do category spend analysis within an analytics environment against default, built in, and arbitrary (what-if) categorizations.</t>
  </si>
  <si>
    <t>1 is integrated spend analysis; 2 is integrated spend analysis + a built in taxonomy; 3 is support for what if re-categorizations; 4 is the ability to do all this with data enrichment and multi-taxonomy comparisons; etc.</t>
  </si>
  <si>
    <t>Does the tool contain built in category benchmarks based on real world data, market pricing, real-time updates based on anonymized community events, and/or should-cost models.</t>
  </si>
  <si>
    <t>1 would be the ability to maintain benchmarks ; 2 would be the ability to automatically populate benchmarks with anonymized data from other clients/participants in a buyer network; 3 would be the ability to extend those with industry data; 4 would require innovations in the area beyond these; etc.</t>
  </si>
  <si>
    <t>Does the tool contain the ability to plot historical (benchmark) prices, project future pricing trends, market demands, and company demands?</t>
  </si>
  <si>
    <t>1 would be the ability to plot historical prices and demands and do basic trend analysis; 2 would be the ability to plot this against market data and predict likely market prices; 3 would be the ability to use advanced demand planning models to predict detailed demands over time; 4 would require integrated demand management functionality and guided buying based on prescriptive analytics; etc.</t>
  </si>
  <si>
    <t>Does the tool contain built-in category sourcing plans based on templates built by experts (internal or external to your organization: please specify) and guide a user through the creation and execution of category-based sourcing events?</t>
  </si>
  <si>
    <t>1 would be the ability to define and track such plans; 2 would be a set of template category plans; 3 would be a set of detailed sourcing plans across categories and products with workflow enabled templates integrated into the various modules and functions; 4 would be adaptive sourcing templates that vary the workflow based on market conditions and configurable rules; etc.</t>
  </si>
  <si>
    <t>Does the tool contain the ability for the organization to create and maintain their own benchmarks and (if market benchmarks are included) compare those to market/community benchmarks?</t>
  </si>
  <si>
    <t>1 is the ability to maintain general purpose spending and performance benchmarks; 2 is the ability to define and track advanced KPIs in those benchmarks; 3 is the ability to define and monitor trends based on those benchmarks; 4 would include capability beyond which is previously addressed (but including 1-3)</t>
  </si>
  <si>
    <t>Does the tool contain the ability to create scorecards and track sourcing success against the category plan / opportunity analysis?</t>
  </si>
  <si>
    <t>1 is the ability to define scorecards; 2 is the ability to populate them automatically from KPIs, surveys, and imported data; 3 is the ability define trends and alerts and track changes over time; 4 would include capability beyond which is previously addressed (but including 1-3)</t>
  </si>
  <si>
    <t>Does the tool support prescriptive analytics that can analyze current market conditions, organizational demands, and projected trends and guide the user into the selection of the appropriate sourcing event type and template among multiple built-in options built by industry experts?</t>
  </si>
  <si>
    <t>1 would be the capability of general advice based on general measurements or comparisons; 2 would be the inclusion of more specific advice on a category / project basis; 3 is the ability to adapt the recommendations and workflow based on current market conditions; 4 would be based on, and include, advanced statistical modelling/simulation/optimization models; etc.</t>
  </si>
  <si>
    <t>Does the tool support the creation and maintenance of should cost models?</t>
  </si>
  <si>
    <t>1 is the ability to define a simple should cost model; 2 is the ability to populate from corporate or market data; 3 is the ability to define costs based on advanced formulas; 4 would be the ability to compute future costs based on projected cost trends across raw materials, labor, energy, and overhead costs; etc.</t>
  </si>
  <si>
    <t>Does the tool support the integration of market data to support should-cost model creation?</t>
  </si>
  <si>
    <t>1 would be the ability to import data from flat files; 2 from real-time from data sources; 3 from real-time interpolation using advanced metrics and formulae for more accurate costing; 4 would include capability beyond which is previously addressed (but including 1-3).</t>
  </si>
  <si>
    <t>Does the tool support the integration of benchmarks to support the calculation of overhead / internal production costs not obtainable from market data?</t>
  </si>
  <si>
    <t>1 is support for benchmarks; 2 is integration with benchmarks; 3 is real-time updates based to should cost models based on benchmarks; 4 would include capability beyond which is previously addressed (but including 1-3)</t>
  </si>
  <si>
    <t>Does the tool support the creation of detailed bills of material and can the bill of materials be imported from ERP/MRP solutions?</t>
  </si>
  <si>
    <t>1 is basic support for the definition of a bill of materials; 2 is importation from ERP/MRP; 3 is support for BoM driven cost models; 4 is support for multi-tier dynamic roll-up cost models; etc.</t>
  </si>
  <si>
    <t>Does the tool support the creation of complex formulas (with mathematical functions and not just basic arithmetic operators) in the creation of should-cost models?</t>
  </si>
  <si>
    <t>1 basic arithmetic operators; 2 basic (Excel) functions; 3 advanced trigonometric functions; 4 calculus, etc.</t>
  </si>
  <si>
    <t>Does the tool come with a set of templates for the products and services require by the organization, grouped into the categories supported by the organization?</t>
  </si>
  <si>
    <t>1 a set of high level category templates; 2 detailed category templates with key products / raw materials; 3 adaptive templates based on changing designs / bills of material; 4 would include capability beyond which is previously addressed (but including 1-3)</t>
  </si>
  <si>
    <t>Does the tool support the creation of sourcing strategies based on the sourcing project / category needs that can be documented, archived, and accessed at any time?</t>
  </si>
  <si>
    <t>1 simple, static, sourcing strategy definition; 2 quick links into different modules based on high-level workflow steps; 3 detailed step-by-step strategies with progress tracking and links into specific step workflows within modules; 4 would include capability beyond which is previously addressed (but including 1-3)</t>
  </si>
  <si>
    <t>Does the tool support the definition of detailed tasks, milestones, and timelines that can be used to define the project, walk the team through each step, and allow the senior buyer to track progress at each step of the way?</t>
  </si>
  <si>
    <t>1 timeline, milestone, and task definition; 2 status tracking and automatic status update based on step completion; 3 security controls, approvals, and audits; 4 would include capability beyond which is previously addressed (but including 1-3)</t>
  </si>
  <si>
    <t>Does the tool support role-based team-definition that not only defines a project team but the roles and associated responsibilities and access rights that they will have throughout the sourcing project?</t>
  </si>
  <si>
    <t>1 basic role definition; 2 integration with access controls; 3 support for team members outside the organization; 4 would include capability beyond which is previously addressed (but including 1-3)</t>
  </si>
  <si>
    <t>Does the project management functionality support, and integrate with, a configurable, variable, workflow that integrates with each module and function on the sourcing plan?</t>
  </si>
  <si>
    <t>1 entry point integration; 2 functional integration; 3 rules-based workflow that detects and jumps to the right point in the sourcing workflow; 4 would include capability beyond which is previously addressed (but including 1-3)</t>
  </si>
  <si>
    <t>Does the project management tool support the definition of necessary go/no go breakpoints that require one or more staggered sign offs to continue?</t>
  </si>
  <si>
    <t>1 single approvals; 2 multi-approvals; 3 multi-approvals with override authority in an approval chain; 4 would include capability beyond which is previously addressed (but including 1-3)</t>
  </si>
  <si>
    <t>Does the tool support the definition of budgets and point-in-time demand definition over the course of the project award window?</t>
  </si>
  <si>
    <t>1 budget definition; 2 budget importation from third party tool; 3 budget updates and projections based on demands; 4 automatic updates based on rules and formulas from available spend and demand projection updates</t>
  </si>
  <si>
    <t>Does the tool support the execution of the project through collaboration, document tracking, negotiation, or other non-critical, but beneficial capabilities?</t>
  </si>
  <si>
    <t>1 integrated email; 2 integrated messaging/chat with history; 3 virtual whiteboards or collaborative view creation; 4 would include capability beyond which is previously addressed (but including 1-3)</t>
  </si>
  <si>
    <t>Does the platform support single-sign on for the supplier -- and by this we mean that regardless of how many customers use the supplier, it has one, single, integrated portal to manage all of its customer relationships with one single sign-on for all related activities in the platform</t>
  </si>
  <si>
    <t>1 one login, but each customer view is segregated; 2 one instance of supplier master data, but customer documents/RFXs/purchase orders/etc. in their own portal; 3 all documents/communications integrated; 4 VMI across orders, optimized responses against limited capability, etc.</t>
  </si>
  <si>
    <t>Does the portal integrate with the RFX application and allow distributed or multiple responses that are completely controlled by the supplier, who can add team members with restricted access at will?</t>
  </si>
  <si>
    <t>1 multiple, invited parties can respond; 2 supplier can add parties, but limited control over what they can/cannot respond to; 3 supplier can add parties, restrict roles, and review options; 4 would include capability beyond which is previously addressed (but including 1-3)</t>
  </si>
  <si>
    <t>Does the portal integrate with the auction application and allow for distributed or multiple responses that are completely controlled by the supplier who can add team members and proxies with restricted access down to the item level?</t>
  </si>
  <si>
    <t>1 multiple parties defined by the buyer can respond, typically one per lot; 2 multiple parties, added by the supplier, can respond, typically one per lot; 3 suppliers can add parties and back-up proxies that will automatically be authorized if the primary party does not log in or gets disconnected; 4 would include capability beyond which is previously addressed (but including 1-3)</t>
  </si>
  <si>
    <t>Does the portal allow for the secured and controlled distribution of (optimized) RFX or Auction results with authorized supplier personnel only, allowing for verification of receipt, and secure responses.</t>
  </si>
  <si>
    <t>1 results can be communicated to a single supplier representative through the platform; 2 results can be communicate to all supplier personnel with appropriate access rights; 3 supplier personnel can verify receipt; 4 would include capability beyond which is previously addressed (but including 1-3)</t>
  </si>
  <si>
    <t>Does the portal allow for secure, tracked, and versioned e-negotiation with contract offer and counter offer version control and tracking?</t>
  </si>
  <si>
    <t>1 the buyer can communicate results securely to the supplier and verify access; 2 the supplier can accept, reject, or counter-offer in a secure manner and verify when the buyer has accessed; 3 the platform allows unlimited back and forth, tracking multiple versions of offers and counter offers across multiple documents that will form the complete contract when signed; 4 would include capability beyond which is previously addressed (but including 1-3)</t>
  </si>
  <si>
    <t>Does the portal allow for the collection of all tracked supplier information, controlled updates where new information and documents must be first verified, and communications tracked and archived?</t>
  </si>
  <si>
    <t>1 suppliers can enter basic contact and location information; 2 suppliers can upload and maintain documents; 3 suppliers can maintain complete catalogs and make updates on a regular basis, limited only by contractual rates and changes that must be verified; 4 inclusive of 1-3 + automatic verification of updates that allow suppliers to automatically update data without buyer verification required</t>
  </si>
  <si>
    <t>Does the platform allow for the creation and distribution of 360-degree supplier scorecards?</t>
  </si>
  <si>
    <t>1 scorecards can be created by both parties and distributed manually; 2 scorecards can be automatically updated from KPIs and surveys; 3 scorecard history and performance trends; 4 net promoter scores and advanced relationship metrics</t>
  </si>
  <si>
    <t>Does the platform allow buyers to notify suppliers of issues, create and manage corrective action plans in a collaborative fashion?</t>
  </si>
  <si>
    <t>1 issue identification and tracking; 2 corrective action plan creation and progress tracking; 3 collaborative plan creation, progress updates, and interaction; 4 would include capability beyond which is previously addressed (but including 1-3)</t>
  </si>
  <si>
    <t>Does the platform facilitate the onboarding of new suppliers?</t>
  </si>
  <si>
    <t>1 list creation and invite management; 2 integration with supplier networks and campaign management; 3 integration with (e-)fax and phone campaigns; 4 would include capability beyond which is previously addressed (but including 1-3)</t>
  </si>
  <si>
    <t>Does the platform support invitation management, possibly as part of supplier onboarding campaigns, that allows the buyer to onboard suppliers in a controlled and logical manner?</t>
  </si>
  <si>
    <t>1 timed e-mails; 2 time offline (e-)fax and phone campaigns; 3 integration with supplier self-registration; 4 would include capability beyond which is previously addressed (but including 1-3)</t>
  </si>
  <si>
    <t>Does the platform allow for supplier self-registration, walking the supplier through the process of providing the appropriate information, documentation, and customer/industry references?</t>
  </si>
  <si>
    <t>1 suppliers can sign up for future invitation; 2 suppliers can provide basic information; 3 suppliers can provide extensive category and industry information and be guided through an information collection workflow based on the answers and information provided; 4 would include capability beyond which is previously addressed (but including 1-3)</t>
  </si>
  <si>
    <t>To what extent does the platform support extract, transform and load from other systems?</t>
  </si>
  <si>
    <t>To what extent does the platform support out-of-the-box integration with ERP systems such as Oracle, SAP, JDE, etc?</t>
  </si>
  <si>
    <t>To what extent does the platform support out-of-the-box integration with other P2P/S2P systems that the organization may already have in place for transactional procurement?</t>
  </si>
  <si>
    <t>To what extent does the platform support integration with 3rd party data feeds that are relevant for data enrichment and analysis?</t>
  </si>
  <si>
    <t>To what extent does the platform support the cleansing of data required for analytics?</t>
  </si>
  <si>
    <t>Does the platform support the automatic correction of data pulled from a system with correct data pulled from a master system?</t>
  </si>
  <si>
    <t>Does the platform support the creation of rules for automatic correction of data based on common errors that can easily be encoded in rules by end users?</t>
  </si>
  <si>
    <t>Does the platform support the creation of rules for error correction based on industry data?</t>
  </si>
  <si>
    <t>To what extent does the platform support categorization?</t>
  </si>
  <si>
    <t>Does the platform support (automatic) categorization against one or more built in schemas such as UNSPSC, Best-in-Class schemas created by consultants, or other industry classifications?</t>
  </si>
  <si>
    <t>Does the platform support categorization using one or more AI technologies?</t>
  </si>
  <si>
    <t>To what extent is out-of-the-box reporting supported?</t>
  </si>
  <si>
    <t>To what extent does the platform support standard spend reports? How many are included and to what extent is end-to-end coverage supported?</t>
  </si>
  <si>
    <t>To what extent does the built-in reporting and analytics support end-user customization?</t>
  </si>
  <si>
    <t>Does the tool come with a built-in report builder that allows end-users to create the reports they want on the data they want, regardless of the source of such data?</t>
  </si>
  <si>
    <t>How flexible is the RFP creation methodology and can it be customized to the needs of the buyer?</t>
  </si>
  <si>
    <t>1 the buyer can create the RFP questions that are required; 2 the buyer can modify the process; 3 the buyer can tailor the process to organizational needs; 4 would include capability beyond which is previously addressed (but including 1-3)</t>
  </si>
  <si>
    <t>Does the RFX / Survey tool support all of the standard components including, but not limited to, free form entry, configurable drop-down lists, multi-selects, and other components?</t>
  </si>
  <si>
    <t>1 the tool supports the basic RFX creation from standard components; 2 the tool supports RFX creation from advanced multi-selects and other modern components; 3 the tool supports creation of RFXs from a suite of grouped RFX components that can be reused as needed; 4 would include capability beyond which is previously addressed (but including 1-3)</t>
  </si>
  <si>
    <t>Does the tool support the creation of RFX/Surveys from configurable and customizable templates?</t>
  </si>
  <si>
    <t>1 RFXS can be instantiated from templates; 2 RFXs can be instantiated from a collection of template sections; 3 RFXs can be instantiated from templates can be auto-selected based on industry category or other factors; 4 would include capability beyond which is previously addressed (but including 1-3)</t>
  </si>
  <si>
    <t>To what extent does the solution support a template library?</t>
  </si>
  <si>
    <t>1 a pre-configured template library is supported; 2 the buyer can define his or her own templates; 3 templates can be organized by industry and/or categories and multiple versions based upon different specifications created; 4 would include capability beyond which is previously addressed (but including 1-3)</t>
  </si>
  <si>
    <t>Does the solution support the creation of templates by category and/or come with an extensive library of category templates?</t>
  </si>
  <si>
    <t>1 templates by category are provide; 2 the buyer can create templates by category; 3 the templates can be integrated with should-cost models; 4 would include capability beyond which is previously addressed (but including 1-3)</t>
  </si>
  <si>
    <t>Does the solution support the relation of templates by industry and/or come with an extensive library of category templates?</t>
  </si>
  <si>
    <t>1 templates by industry are provide; 2 the buyer can create templates by industry; 3 the templates are integrated with should-cost models; 4 would include capability beyond which is previously addressed (but including 1-3)</t>
  </si>
  <si>
    <t>To what extent does the RFX tool support weighting?</t>
  </si>
  <si>
    <t>1 a single weight for each factor; 2 group based average weighting for each factor; 3 variable weightings for each response based upon respondent expertise; 4 would include capability beyond which is previously addressed (but including 1-3)</t>
  </si>
  <si>
    <t>Does the RFX support the creation of weighting formulas across elements?</t>
  </si>
  <si>
    <t>1 simple arithmetic formulae; 2 basic statistical/trigonometric spreadsheet formulas; 3 advanced functions; 4 would include capability beyond which is previously addressed (but including 1-3)</t>
  </si>
  <si>
    <t>Does the RFX integrate with an optimization platform or is it optimization backed (that allows for constraints to be taken into account during weightings)?</t>
  </si>
  <si>
    <t>1 simple cost model integration; 2 basic capacity constraint definition and support; 3 full optimization model integration; 4 would include capability beyond which is previously addressed (but including 1-3)</t>
  </si>
  <si>
    <t>Does the RFX support multi-party evaluations with variable rankings?</t>
  </si>
  <si>
    <t>1 multiple parties can weight, but only one response per section; 2 multiple parties can rank all sections; 3 variable rankings on each section across multiple parties; 4 would include capability beyond which is previously addressed (but including 1-3)</t>
  </si>
  <si>
    <t>Does the RFX support advanced scoring evaluation methodologies such as statistical, net promotor, on-target, and other methodologies?</t>
  </si>
  <si>
    <t>1 basic statistical scoring; 2 advanced functions; 3 net promotor; 4 more advanced scoring methodologies</t>
  </si>
  <si>
    <t>To what extent does the RFX tool support document attachments?</t>
  </si>
  <si>
    <t>1 bulk uploads in centralized directory; 2 classification by skype; 3 version management; 4 auto-classification and verification</t>
  </si>
  <si>
    <t>Can the RFX tool support unlimited attachments with detailed meta-data index and version/revision control?</t>
  </si>
  <si>
    <t>1 unlimited attachments with simple meta-data; 2 version control; 3 comparison and auto-difference detection; 4 would include capability beyond which is previously addressed (but including 1-3)</t>
  </si>
  <si>
    <t>Can the RFX tool support bulk upload and automatic association with suppliers, lots and line items using a standard naming convention?</t>
  </si>
  <si>
    <t>1 bulk upload, manual mapping to lots/items; 2 bulk upload, automatic mapping to lots/items based on a naming convention; 3 bulk upload, automatic mapping and automatic verification; 4 would include capability beyond which is previously addressed (but including 1-3)</t>
  </si>
  <si>
    <t>Can the RFX tool support CAD/CAM diagrams and allow them to be visualized within the tool?</t>
  </si>
  <si>
    <t>1 CAD/CAM diagrams detected and associated, displayable in external tools; 2 CAD/CAM diagrams detected and associated, viewable in internal viewer; 3 CAD/CAM diagrams detected, and secured, for safe internal or external viewing; 4 would include capability beyond which is previously addressed (but including 1-3)</t>
  </si>
  <si>
    <t>To what extent does the RFX tool support collaboration?</t>
  </si>
  <si>
    <t>1 email; 2 integrated messaging; 3 collaborative RFX creation/construction; 4 whiteboards and other real-time element creation; 4 would include capability beyond which is previously addressed (but including 1-3)</t>
  </si>
  <si>
    <t>Does the tool support integrated real-time messaging between all parties? And can conversations be stored and associated with associated RFX elements?</t>
  </si>
  <si>
    <t>1 real time chat between two parties; 2 multi-party chat with archival; 3 association with different modules and elements; 4 would include capability beyond which is previously addressed (but including 1-3)</t>
  </si>
  <si>
    <t>Does the tool support integrated virtual whiteboards that allow all parties to collaborate free-form in the creation of RFXs and RFX responses?</t>
  </si>
  <si>
    <t>1 direct links to third party tools with link backs; 2 tightly integrated whiteboards; 3 additional support for mindmaps, flow charts, and other business constructs; 4 would include capability beyond which is previously addressed (but including 1-3)</t>
  </si>
  <si>
    <t>Does the tool allow a buyer to see exactly what a supplier will see and vice versa before sending an RFX or a response?</t>
  </si>
  <si>
    <t>1 yes, but buyer must log in to test portal; 2 yes, with instant view toggle functionality; 3 yes, and RFX can be edited in either view mode; 4 would include capability beyond which is previously addressed (but including 1-3)</t>
  </si>
  <si>
    <t>Does the tool allow multiple parties to see the same screen during collaboration construction of an RFX, a scoring, or a response?</t>
  </si>
  <si>
    <t>1 yes, but only lead buyer can edit; 2 yes, and control can be passed; 3 yes, and multiple buyers can work on multiple sections simultaneously and track what each other are doing; 4 would include capability beyond which is previously addressed (but including 1-3)</t>
  </si>
  <si>
    <t>Does the tool support bill of materials capabilities for direct sourcing?</t>
  </si>
  <si>
    <t>1 "lots" can be called bill of materials; 2 basic bill of material support, where bills of material can be grouped into lots; 3 basic should cost model integration where the bill is a product or assembly and energy, labor, and overhead costs can be broken out; 4 automatic cost population from market data, etc.</t>
  </si>
  <si>
    <t>Does the tool support ERP integration out-of-the-box for populating bill of materials?</t>
  </si>
  <si>
    <t>1 ERP integration for extracting SKUs and links, but BoMs need to be built/verified manually; 2 complete BoMs can be imported, but prices need to be imported/defined separately; 3 complete BoMs with most recent pricing can be pulled in, along with any associated component specification documents; 4 would include capability beyond which is previously addressed (but including 1-3)</t>
  </si>
  <si>
    <t>Does the tool support multi-sku mapping and support the mapping of buyer SKUs to distinct supplier SKUs?</t>
  </si>
  <si>
    <t>1 manual mapping of supplier SKUs to buyer SKUs; 2 automatic mapping and designation of preferred SKUs; 3 support for related and substitute SKUs; 4 would include capability beyond which is previously addressed (but including 1-3)</t>
  </si>
  <si>
    <t>Does the tool support the appropriate identification of appropriate suppliers?</t>
  </si>
  <si>
    <t>1 auto selection of previously invited suppliers; 2 suggestion based on category/product and suppliers in the SIM module; 3 smart network search based on industry, category, and/or product/service; 4 would include capability beyond which is previously addressed (but including 1-3)</t>
  </si>
  <si>
    <t>Does the tool integrate with the organization's SIM solution for the identification of current and potential suppliers based upon the line items / bill of materials?</t>
  </si>
  <si>
    <t>1 yes for selection of current/previous awarded suppliers; 2 yes for suggestion of suppliers offering similar products/services and support for simple searches; 3 yes for suggestion of suppliers with capabilities similar to those required for products/services and support for advanced searches; 4 would include capability beyond which is previously addressed (but including 1-3)</t>
  </si>
  <si>
    <t>Does the tool integrate with one or more external supplier network offerings that can be used to find new potential suppliers based upon the line items and/or bill of materials?</t>
  </si>
  <si>
    <t>1 yes for simple search based on key words; 2 for advanced search based on keywords, SKUs, capabilities; 3 for multi-variate search and ranking based on complete BoM; 4 would include capability beyond which is previously addressed (but including 1-3)</t>
  </si>
  <si>
    <t>To what extent is bidding supported?</t>
  </si>
  <si>
    <t>1 single value bid submission only; 2 simple formula-based bids using arithmetic operators; 3 complex bids using functions and market data (if the supplier relies on 3rd party carriers or buys raw materials at market price); 4 would include capability beyond which is previously addressed (but including 1-3)</t>
  </si>
  <si>
    <t>Does the tool support multiple types of bidding, including open, blind, or closed bids?</t>
  </si>
  <si>
    <t>1 single mode bidding across the entire event; 2 selection of mode by lot, sub-event; 3 multi-modal interactive real-time displays that can compare bids across previous events by bid type; 4 would include capability beyond which is previously addressed (but including 1-3)</t>
  </si>
  <si>
    <t>Does the tool support multiple offers per line item from the same supplier? To what extent?</t>
  </si>
  <si>
    <t>1 one offer, but the supplier can indicate preferred or alternate product; 2 two offers, one preferred, one alternate; 3 multiple offers, one preferred, multiple alternates with a feature comparison matrix; 4 would include capability beyond which is previously addressed (but including 1-3)</t>
  </si>
  <si>
    <t>Sourcing: Evaluation, Management, Sophisticated Constraint Analysis, Performance Tracking, Risk Tracking, Corrective Actions OUT. They are neither element or classes</t>
  </si>
  <si>
    <t>How extensible is the multi-party evaluation -- can it be configured on a section by section basis?</t>
  </si>
  <si>
    <t>1 multi-party supported, but all stakeholders can evaluate all sections and evaluations overwrite; 2 multi-party supported, and each party can be limited to a single section, and evaluations average; 3 parties can be restricted to individual elements, evaluations are weighted by authority, and all responses can be analyzed/plotted (and outliers marked or removed); 4 would include capability beyond which is previously addressed (but including 1-3)</t>
  </si>
  <si>
    <t>Can the weighting algorithms be configured to allow a variable number of users to rank each section and field?</t>
  </si>
  <si>
    <t>1 yes, but each field is equally weighed across participants; 2 yes, and each field can be differently weighted for each participant; 3, yes, and complex scorings (including statistical, net promoter, etc.) can be used; 4 would include capability beyond which is previously addressed (but including 1-3)</t>
  </si>
  <si>
    <t>To what extent are configurable side-by-side comparisons supported in the tool?</t>
  </si>
  <si>
    <t>1 simple tabular; 2 graphical displays; 3 advanced statistical/outlier/constrained analysis; 4 would include capability beyond which is previously addressed (but including 1-3)</t>
  </si>
  <si>
    <t>Can buyers pause, edit, and re-issue RFXs and / or partial RFXs during an event if one or more issues are detected?</t>
  </si>
  <si>
    <t>1 pause / extend only; 2 edit and complete re-issue with notification of changes; 3 edit and partial reissue of changes only; 4 would include capability beyond which is previously addressed (but including 1-3)</t>
  </si>
  <si>
    <t>Does the tool support the easy creation of multiple-round RFXs?</t>
  </si>
  <si>
    <t>1 yes, but a new round is a new RFX; 2 yes, and the new round can be populated with the results of the previous round; 3 yes, and suppliers can be added or not, reasons tracked, and feedback given; 4 would include capability beyond which is previously addressed (but including 1-3)</t>
  </si>
  <si>
    <t>There are a number of types of auctions: Dutch, Yankee, Japanese, etc. How many are supported out of the box?</t>
  </si>
  <si>
    <t>1 just a basic reverse auction; 2 just the big ones - English, Dutch, and Yankee; 3 all of the standard auction types with every associated configuration option; 4 all of the above plus constraints and optimization backing; 5 backed up with quantum computing for super-fast feedback</t>
  </si>
  <si>
    <t>What degree of configuration is available for each auction? Floors, ceiling, minimum increments, blind, ranked, open? Describe in detail.</t>
  </si>
  <si>
    <t>1 just ceilings and floors; 2 increments, visibility, minimum time delay, auto extension; 3 supplier restriction to lots/items, forced proxy definition (in case lead supplier bidder disconnected); 4 would include capability beyond which is previously addressed (but including 1-3)</t>
  </si>
  <si>
    <t>Can auctions be quickly instantiated from saved market baskets of items and lots that are re-sourced on a regular basis?</t>
  </si>
  <si>
    <t>1 previous auctions can be copied; 2 formal basket templates can be created; 3 basket templates can be created and starting bids defined from previous bids, market prices, or formula that takes both into account; 4 would include capability beyond which is previously addressed (but including 1-3)</t>
  </si>
  <si>
    <t>Does the auction integrate with the RFX for initial population?</t>
  </si>
  <si>
    <t>1 yes for the identification of lots and suppliers; 2 yes and all relevant data can be pulled; 3 yes and capacity constraints, restrictions, and other configuration parameters can be auto-set from RFX responses;4 would include capability beyond which is previously addressed (but including 1-3)</t>
  </si>
  <si>
    <t>What degree of control is available once the auction begins? Can it be paused if issues are detected? Can bidding privileges automatically be switched from primary to proxy bidders if a connection is lost? Describe in detail.</t>
  </si>
  <si>
    <t>1 limited, manual pause and restart only; 2 decent, automatic pause if too many bidders drop or don't show up; proxy bidders can take control if primary bidder not logged on or responsive for more than 2 minutes; 3 extensive, control is at the individual lot level, and individual suppliers can be banned in real time (for not following the rules); 4 would include capability beyond which is previously addressed (but including 1-3)</t>
  </si>
  <si>
    <t>How powerful and configurable is the proxy support? Can the suppliers define their own proxies and prevent buyers from changing bids without their express permission?</t>
  </si>
  <si>
    <t>1 limited, buyers can define primary and back-up bidders; 2 decent, suppliers can define primary and back-up bidders; 3 advanced, this can be done on a lot and item basis and can prevent buyers from making any changes through appropriate, highly secure, settings; 4 would include capability beyond which is previously addressed (but including 1-3)</t>
  </si>
  <si>
    <t>To what extent is real-time messaging supported during the auction?</t>
  </si>
  <si>
    <t>1 limited, only push messages from buyers to suppliers; 2 decent, real-time two-way forum communication; 3 advanced forum and direct messaging support with live help guides and alerts to potential issues; 4 would include capability beyond which is previously addressed (but including 1-3); 4 would include capability beyond which is previously addressed (but including 1-3)</t>
  </si>
  <si>
    <t>How powerful is the real-time monitoring? Can it detect when bidders are dropped, when bidders are bidding too fast (and might be represented by prohibited bots), when their might be security issues, alert he buyers, and allow the auction to be paused if necessary?</t>
  </si>
  <si>
    <t>1 limited, can only track logins and last bid time; 2 decent, can detect delays/drops and switch to proxy bidders; 3 advanced and can detect too much activity (which could indicate suppliers using bots or auction hacked), too little activity, abnormal bids (which could indicate a supplier might not understand the process); 4 would include capability beyond which is previously addressed (but including 1-3)</t>
  </si>
  <si>
    <t>Is the auction tool integrated with optimization to allow for real-time constraint based optimization?</t>
  </si>
  <si>
    <t>1 yes but model is limited to unconstrained cost optimization among product providers and carriers; 2 yes and the model can support capacity constraints and award limits; 3 yes and the integration is complete and supports costs, all constraints, and advanced formula in the bid calculations / rankings; 4 would include capability beyond which is previously addressed (but including 1-3)</t>
  </si>
  <si>
    <t>Does the tool integrate with the SIM module and/or supplier networks for the automatic identification of suppliers who should be invited to bid?</t>
  </si>
  <si>
    <t>What is the foundation of the solver? Is it a sound and complete MILP solver that is guaranteed to find an optimal answer if sufficient time is given? Is it an evolutionary algorithm that is likely to find a great answer but not complete? Is it a hybrid approach that can augment branch-and-bound / decomposition MILP with a technique that quickly finds good starting solutions?</t>
  </si>
  <si>
    <t>1 no, evolutionary, monte carlo, tableau, or non (MI) LP solver or home-grown algorithm; sort-of, supports LP with home-grown rounding/hybrid algorithms for allocation of discrete units; 3 true MILP; 4 true MILP with powerful branch and bound that can use parallel processing and other optimization techniques to quickly find starting solutions</t>
  </si>
  <si>
    <t>Does the solution support true cost modelling? In other words, can the buyer define any and all cost components that are part of the lifecycle cost model, and not a fixed set of cost components combined in a pre-defined cost formula?</t>
  </si>
  <si>
    <t>1 the buyer can define as many discrete cost components as she wants but they all roll up into one cost; 2 the buyer can define as many cost components as she wants and they are all treated separately with their own additive or multiplicative formulas that allow their own discounts and constraints; 3 the buyer can define as many cost components as she wants using advanced mathematical functions and non-circular ; interdependencies; 4 would include capability beyond which is previously addressed (but including 1-3)</t>
  </si>
  <si>
    <t>Can it support capacity constraints that define minimums and/or maximums on each product, location, lane, etc. so that all allocation models are feasible (and respectful of hard business constraints)?</t>
  </si>
  <si>
    <t>1 basic, fixed, capacity limit by supplier-product, or supplier-product-location; 2 fixed capacity limits sell side and fixed capacity limits buy-side; 3 configurable capacity limits on any set of relevant model dimensions (supplier, ship from, product, ship to, lane, carrier); 4 would include capability beyond which is previously addressed (but including 1-3)</t>
  </si>
  <si>
    <t>Can it support minimum or maximum allocation requirements that take into account existing contracts or acquisition requirements from strategic suppliers?</t>
  </si>
  <si>
    <t>1 fixed allocation by supplier-product; 2 percentage allocation by supplier, supplier-product, or geographic location; 3 ranged allocations based upon business rules and supplier capacity that can be defined on buyer defined model dimensions; 4 would include capability beyond which is previously addressed (but including 1-3)</t>
  </si>
  <si>
    <t>Can it support risk mitigation constraints which insure that a maximum allocation is given to a certain supplier (set), geography, etc. and that allocations are split in accordance with corporate risk mitigation objectives?</t>
  </si>
  <si>
    <t>1 fixed maximums to predefined supplier sets; 2 percentage based maximums to supplier and ship from / ship to sets using tags to define sets of interest; 3 advanced multi-way splits (20/30/50), ranges, and allocations across multiple requirements; 4 would include capability beyond which is previously addressed (but including 1-3)</t>
  </si>
  <si>
    <t>Can it support qualitative constraints that insure the minimum or average or weighted award meets a certain qualitative requirement (such as defect rate, average lifetime, etc.)?</t>
  </si>
  <si>
    <t>1 basic average limits; 2 weighted or formula-transformed average limits; 3 multi-objective balancing across related qualitative factors; 4 would include capability beyond which is previously addressed (but including 1-3)</t>
  </si>
  <si>
    <t>Can it support the creation of unlimited what-if scenarios?</t>
  </si>
  <si>
    <t>1 yes; 2 yes, instantiated as copies from current; 3 yes, instantiated as modified copies of current using one or more rules (unconstrained, 3 suppliers, etc); 4 would include capability beyond which is previously addressed (but including 1-3)</t>
  </si>
  <si>
    <t>Does it support automatic creation of a suite of basic minimum cost, maximum supplier, minimum geographic risk, and other out of the box scenarios that are automatically created and allocated?</t>
  </si>
  <si>
    <t>1 unconstrained only; 2 a default set of typically evaluated scenarios (3 suppliers, 20/30/50 splits on products, incumbents only, local sourcing); 3 a custom set of defaults defined by the user from organizational defaults that are based on provider templates; 4 would include capability beyond which is previously addressed (but including 1-3)</t>
  </si>
  <si>
    <t>Does it support the creation of what-if scenarios by (automatically) relaxing one or more potentially limiting constraints that prevents a scenario from being solved or that has been determined to be increasing the cost by more than a minimum percentage?</t>
  </si>
  <si>
    <t>1 yes, but only capacity and only randomly; 2 yes, capacity and allocation but only those detected to be prohibiting a solution; 3, yes all constraints that are preventing solution at the present time (even if the removal of a subset might be sufficient); 4, yes, all constraints that are preventing or severely limiting the solution based on those constraints evaluated to be having the maximum impact on the objective function</t>
  </si>
  <si>
    <t>How powerful is the scenario comparison capability?</t>
  </si>
  <si>
    <t>1 simple side-by-side award comparison by line item; 2 comparison cube that allows views by product, supplier, location, or other dimension(s) of interest; 3 difference calculations that indicate constraint relaxations that could yield lower costs with minimal impacts on established goals as well as automatic outlier awards (due to constraints); 4 would include capability beyond which is previously addressed (but including 1-3)</t>
  </si>
  <si>
    <t>Does the optimization engine support sensitivity analysis?</t>
  </si>
  <si>
    <t>1 yes, hard limit/capacity constraint identification only; 2 yes, all hard constraints preventing or limiting a solution can be identified; 3 yes, all hard and soft constraints preventing and limiting a solution can be easily identified; 4 yes, and suggestions as to the constraint relaxations that would have the maximum positive benefit to the objective can be identified; 4 would include capability beyond which is previously addressed (but including 1-3)</t>
  </si>
  <si>
    <t>Can it identify all of the "hard" constraints that are preventing the solver from finding a lower cost solution and the approximate degree or potential range to which they are limiting the solution?</t>
  </si>
  <si>
    <t>1 yes but hard limit constraints preventing only; 2 yes, and all limiting constraints preventing only; 3 yes, and required relaxations to allow solvability computed and presented; 4 strong integration with auto-what-if scenario generation that can auto create different solvable scenario variations for comparative analysis; 4 would include capability beyond which is previously addressed (but including 1-3)</t>
  </si>
  <si>
    <t>Can the tool support the creation of soft constraints that can be relaxed to allow an unsolvable model to otherwise solve and can the constraints be relaxed more if the relaxation would save more than the relaxation would cost?</t>
  </si>
  <si>
    <t>1 yes, but only capacity/allocation constraints can be defined soft; 2 yes, and all constraints can be defined soft; 3 yes, and the negative impact of all soft constraints restricting the solution is analyzed and presented; 4 would include capability beyond which is previously addressed (but including 1-3)</t>
  </si>
  <si>
    <t>Does the optimization capability support the creation of advanced model templates that can be used to instantiate a new optimization event?</t>
  </si>
  <si>
    <t>1 yes, but limited mainly to cost models - constraints have to be defined after the fact; 2 yes, and some high-level constraints can be defined (such as unique supplier limits, buyer warehouse capacities, lane capacity, award splits, etc.); 3 yes, and the user can specify soft constraints with relaxation limits and preferred visualizations upon solution; 4 would include capability beyond which is previously addressed (but including 1-3)</t>
  </si>
  <si>
    <t>Does the optimization engine integrate with RFX and/or Auctions to allow for initial population of the optimization model?</t>
  </si>
  <si>
    <t>1 yes, data can be pulled in and results pushed back; 2 yes, and the optimizer runs behind the scene; 3 yes, and the user can switch between RFX/Auction and back-end optimizer views for sensitivity analysis and constraint relaxation to make the model feasible; 4 would include capability beyond which is previously addressed (but including 1-3)</t>
  </si>
  <si>
    <t>How does the optimization solution scale up? How big can models get before the exponential solver slow down becomes noticeable?</t>
  </si>
  <si>
    <t>1 open source solver, severe performance degradation over a moderate size; 2 low-cost solver, noticeable moderate to high performance degradation as model size increases linearly; 3 best-in-class solver (like Cplex, Xpress, etc.) optimized for the typical model types, and comparable with most leading solutions on the market; 4 custom tailored solver solution built on one or more best-in-class solvers that selects the right solver and settings for each type of model the organization runs, tailoring the settings for maximum performance over time</t>
  </si>
  <si>
    <t>To what extent does the platform support e-Negotiation Management?</t>
  </si>
  <si>
    <t>1 limited - offers can be sent as attachments, responses sent as attachments; 2 integrated - offers can be sent and received in-the platform, with or without attachments; 3 complete basic - integrated versioning and e-Signatures; 4 would include capability beyond which is previously addressed (but including 1-3)</t>
  </si>
  <si>
    <t>Can both parties create secure, unalterable, auditable, persistent messages?</t>
  </si>
  <si>
    <t>1 yes, but limited to offers and counter-offers; 2 yes, all messaging is secure and persistent; 3 yes, and complete audit trails, with e-Signature verifications, can be tracked and reported on at any time; 4 would include capability beyond which is previously addressed (but including 1-3)</t>
  </si>
  <si>
    <t>To what extent does the platform support contract creation?</t>
  </si>
  <si>
    <t>1 award export; 2 award export and standard legal template directory (in Word files); 3 integrated editor that can suck in awards and templates; 4 would include capability beyond which is previously addressed (but including 1-3)</t>
  </si>
  <si>
    <t>Does the platform allow Legal to define templates that can be used for initial contract creation?</t>
  </si>
  <si>
    <t>1 yes, but only one standard template per category/industry; 2 yes, and multiple versions with distinguishable meta-data; 3 yes, and the templates are dynamic and select among clauses based upon geographies, category, dollar value, or other relevant criteria; 4 yes, and there is integration with external GRC/CSR platforms that indicate what regulations need to be adhered to and what clauses the organization should consider including / verifying</t>
  </si>
  <si>
    <t>Does the platform allow Legal to define standard clauses and variations (across geographies, industries, etc.) that can be automatically included in the template used to cut the contract?</t>
  </si>
  <si>
    <t>1 yes, but limited to a pre-defined set of conditions; 2 yes, but limited only to a pre-defined set of categories (geographies, categories, industries, etc); 3 yes, and can associated with any meta-data or workflow rule of interest; 4 would include capability beyond which is previously addressed (but including 1-3)</t>
  </si>
  <si>
    <t>Does the platform allow the buyer to attach as many attachments (NDAs, specs, etc.) as necessary in a secure fashion and allow for supplier verification / e-Signature confirmation of receipt?</t>
  </si>
  <si>
    <t>1 yes, but no version control or e-Signature; 2 yes, with version control and e-Signature; 3 yes, with internal comparison/red-lining functionality, finance/defense level security, and in-line with all regulatory e-Signature requirements; 4 would include capability beyond which is previously addressed (but including 1-3)</t>
  </si>
  <si>
    <t>Does the solution integrate with Microsoft Word to enable both parties to build and edit documents within Microsoft, but with full security and version tracking?</t>
  </si>
  <si>
    <t>1 contracts can be stored in MS Word; 2 basic word integration which allows change history to be pulled out of versions and redlining support; 3 word is "embedded" in the platform and the viewer/editor can switch from Word to the application (and see the status in the Word viewer) and back again and the user can even push data from Word to the platform (clauses, supplier data, updated price lists etc.) during contract creation; 4 would include capability beyond which is previously addressed (but including 1-3)</t>
  </si>
  <si>
    <t>Does the solution have extensive version control capabilities with complete tracking of who did each individual change (if collaborative editing was enabled)?</t>
  </si>
  <si>
    <t>1 basic document level version control; 2 clause level version control; 3 change and audit trails by user and version reporting and analysis; 4 would include capability beyond which is previously addressed (but including 1-3)</t>
  </si>
  <si>
    <t>Does the solution support, and preferably integrate with, an e-Signature solution that can be used to not only sign contracts, but other agreements and even confirm receipt and acceptance of NDAs and other critical documents?</t>
  </si>
  <si>
    <t>1 punch-out to e-Signature solution and import of document; 2 native integration; 3 multi e-Signature solution support and support for all data tracking requirements in each country that recognizes e-Signatures; 4 would include capability beyond which is previously addressed (but including 1-3)</t>
  </si>
  <si>
    <t>Does the tool support the import of key metrics for contract / award performance management from external tools?</t>
  </si>
  <si>
    <t>1 yes, from flat-files; 2 yes, with API integration; 3 yes, with out-of-the-box support for best-of-breed ERP and SRM platforms; 4 would include capability beyond which is previously addressed (but including 1-3)</t>
  </si>
  <si>
    <t>Does the tool integrate RFX/Survey capability with the performance tracking capability that allows for the team to provide feedback on more subjective metrics?</t>
  </si>
  <si>
    <t>1 yes, summary scores can be imported; 2 yes, and surveys can be created within performance tracking or RFX; 3, yes and qualitative responses can be tracked and analyzed with sentiment analysis; 4 would include capability beyond which is previously addressed (but including 1-3)</t>
  </si>
  <si>
    <t>To what extent does the tool support scorecards?</t>
  </si>
  <si>
    <t>1 scorecards can be created and automatically populated from surveys; 2 scorecards can be augmented with imported data; 3 scorecards can be automatically updated on a regular (e.g. quarterly) basis and trends tracked over time (with complete history available); 4 would include capability beyond which is previously addressed (but including 1-3)</t>
  </si>
  <si>
    <t>Are there a number of scorecards that are available out of the box? Preferably built on best-practice, actionable, KPIs?</t>
  </si>
  <si>
    <t>1 basic templates by industry/category are available out of the box; 2 configurable templates that can be automatically populated from survey and imported data are available out of the box; 3 they can be programmed to automatically update over time using formula or KPI modifications more meaningful to the company; 4 would include capability beyond which is previously addressed (but including 1-3)</t>
  </si>
  <si>
    <t>To what extent does the tool support KPIs and can they be defined formulaically?</t>
  </si>
  <si>
    <t>1 built-in KPIs are supported; 2 the buyer may define basic KPIs using basic arithmetic operators and standard statistical functions (sum, average, etc.); 3 advanced KPI definition using multi-level KPI models and a range of mathematical functions is available; 4 would include capability beyond which is previously addressed (but including 1-3)</t>
  </si>
  <si>
    <t>How many KPIs are available out of the box? How extensive do they cover operational needs?</t>
  </si>
  <si>
    <t>1 basic spend KPIs; 2 basic operational KPIs; 3 a complete set of Sourcing and Finance KPIs that cover 95% of most clients needs, all easily modifiable by the client organization; 4 would include capability beyond which is previously addressed (but including 1-3)</t>
  </si>
  <si>
    <t>Does the platform allow the definition of KPIs based on nested measurements, advanced formulas, and rollups?</t>
  </si>
  <si>
    <t>1 just basic arithmetic and statistical functions; 2 advanced formulas; 3 multi-level models aggregating data across storage; 4 would include capability beyond which is previously addressed (but including 1-3)</t>
  </si>
  <si>
    <t>Does the tool support the creation and tracking of budgets and spend against budgets?</t>
  </si>
  <si>
    <t>1 budget definition and projected spend based on sourcing events; 2 budget definition and actual spend from accounting / P2P systems; 3 augmented with projected spend since last update based upon trends; 4 would include capability beyond which is previously addressed (but including 1-3); 4 would include capability beyond which is previously addressed (but including 1-3)</t>
  </si>
  <si>
    <t>Does the tool integrate with one or more Finance platforms for extrication of budget and spend to date?</t>
  </si>
  <si>
    <t>1 flat-file integration; 2 standard AP/ERP integration through APIs; 3 real-time integration with daily update of budget and spend; 4 would include capability beyond which is previously addressed (but including 1-3)</t>
  </si>
  <si>
    <t>Does the platform contain any capability to support demand management?</t>
  </si>
  <si>
    <t>1 weekly/monthly demand projection import; 2 tracking of projection against demand; 3 prescriptive analytics via standard demand control strategies associated with the category; 4 would include capability beyond which is previously addressed (but including 1-3)</t>
  </si>
  <si>
    <t>Does the platform support integration with 3rd party data feeds to track financial, CSR, or supply chain risk?</t>
  </si>
  <si>
    <t>1 yes, but only those we currently support; 2 yes, through our API; 3 yes, and there is also native integration to the Risk Management applications provided by the data providers should the buying organization also have a license to those platforms; 4 would include capability beyond which is previously addressed (but including 1-3)</t>
  </si>
  <si>
    <t>Does the platform allow for the creation of scorecard based alerts and the automatic notification of risk managers if a(n imported) metric drops below a threshold?</t>
  </si>
  <si>
    <t>1 yes, simple thresholds only; 2 yes, thresholds or significant changes; 3 yes, and also on total changes distilled by statistical normalizations, net promoter scores, etc. and the alerts can be resent down a chain if the first alerted does not respond; 4 would include capability beyond which is previously addressed (but including 1-3)</t>
  </si>
  <si>
    <t>Can the platform track (upward or) downward trends that could indicate potential risks?</t>
  </si>
  <si>
    <t>1 yes, but the user has to define the trend magnitudes of interest; 2 yes, and the system can detect trends of interest based on statistical deviations from the norm; 3 yes, and the system can also detect potential issues using external benchmarks and anonymized performance across the providers client base; 4 would include capability beyond which is previously addressed (but including 1-3)</t>
  </si>
  <si>
    <t>Can the platform integrate with one or more semantic technologies that can monitor news sources for events that might be indicative of risks?</t>
  </si>
  <si>
    <t>1 yes, but keywords MUST be defined; 2 yes and the application can define keywords based on the current supply base and categories being sourced; 3 yes and the application can also detect potential risk based upon areas, known upstream requirements in sub-tiers, and so on; 4 would include capability beyond which is previously addressed (but including 1-3)</t>
  </si>
  <si>
    <t>Does the platform allow the buyers to identify and track issues that need to be collected?</t>
  </si>
  <si>
    <t>1 yes, the senior byers may define issues for tracking; 2 yes, and the platform supports issue-based two-way communication and secure archival of all messaging; 3 yes, and full corrective action plans can be defined; 4 would include capability beyond which is previously addressed (but including 1-3); 4 would include capability beyond which is previously addressed (but including 1-3)</t>
  </si>
  <si>
    <t>Does the platform support collaborative, team-based, creation, including supplier representation, of corrective action plans and track acceptance of all parties?</t>
  </si>
  <si>
    <t>1 yes, the team communication message channel can be used to work out a corrective action plan; 2, yes, all parties can contribute to the creation of the plan, milestones, and required performance for resolution; 3 yes, and e-Signature integration allows for acceptance and secure sign-offs; 4 would include capability beyond which is previously addressed (but including 1-3)</t>
  </si>
  <si>
    <t>Does it support the creation of milestones and the tracking, and verification, of progress by both parties?</t>
  </si>
  <si>
    <t>1 milestones can be defined and the buyer can record when they are met; 2 suppliers can submit regular progress updates and indicate when they believe a milestone has been reached, for confirmation by the buyer; 3 integration with project management and/or innovation management to allow for detailed plan creation, control, and progress tracking; 4 would include capability beyond which is previously addressed (but including 1-3)</t>
  </si>
  <si>
    <t>Please describe your core software architecture? Is it a modern MVC architecture? What are the primary languages (C++/Java/Ruby) and technologies used?</t>
  </si>
  <si>
    <t>Please describe your cloud architecture (e.g., single-instance multi-tenant application run on a 'virtualized' and elastic platform).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t>
  </si>
  <si>
    <t>1 ASP in a cloud wrapper; 2 standard one-size fits-all multitenant; 3 customizable multi-tenant where each client can have their own view, restrict data to certain locales, have surge processing power dynamically added or dropped; 4 the architecture supports load-balancing to specific single-use database instances or processing server instances so each client has a virtual single instance; 4 would include capability beyond which is previously addressed (but including 1-3)</t>
  </si>
  <si>
    <t>Explain if there is an option for any part of the application or integration software to run on premise behind the firewall? If you have such on premise / 'private cloud' capabilities, please describe how it works in conjunction with any 'public cloud' application deployment models you support</t>
  </si>
  <si>
    <t>1 "we install, and when you want an update, you call"; 2 standard patch upgrade support (like previous MS non-forced update strategy); 3 dynamic pull from master image on an update server that auto detects version and runs all of the update scripts sequentially with each patch application; 4 would include capability beyond which is previously addressed (but including 1-3)</t>
  </si>
  <si>
    <t>Explain the use of mobile technology within your solutions overall and your roadmap for future mobile adoption. What percentage of system interactions today are driven by mobile clients? 2015? 2016? Forecast 2017?</t>
  </si>
  <si>
    <t>1 limited, email-like approvals and simple request views only for the buyer; 2 decent - event status and data viewing, simple reports, and commenting for the buyer and invitation viewing, issue notification, and bidding for the supplier; 3 extensive - pretty much any data that can be viewed/entered on a mobile device can be viewed/entered; 4 where the vendor has found novel ways to do more with mobile than their peers</t>
  </si>
  <si>
    <t>Explain the use of block chain technology within your solutions or plans to deploy block chain in future releases. Are you working with a customer advisory council in this area, and if so, what is their willingness to support a distributed ledger model?</t>
  </si>
  <si>
    <t>1 we are using our own blockchain; 2 we are using a third party blockchain; 3 we are using a third party that is building a block chain on a distributed open standard; 4 would include capability beyond which is previously addressed (but including 1-3)</t>
  </si>
  <si>
    <t>Explain the use of OCR/Scanning technology within your solutions (if used) and roadmap plans</t>
  </si>
  <si>
    <t>1 basic integration with a third party platform - documents can be submitted in a multitude of image formats and hypertext is returned; 2 inline integration, and side-by-side image and text comparison for corrections; 3 integrated AI to automatically detect and correct OCR errors; 4 would include capability beyond which is previously addressed (but including 1-3)</t>
  </si>
  <si>
    <t>Explain the use of "intelligent apps" within your solutions. Examples include: Siri, Alexa, Google, etc. Do you work with partners in this area?</t>
  </si>
  <si>
    <t>1 we integrate a third party app; 2 we integrate a third party app that we have trained on sourcing and procurement terminology and workflows; 3 we have developed our own Intelligent App infrastructure and trained it on our platform and sourcing workflows; 4 would include capability beyond which is previously addressed (but including 1-3)</t>
  </si>
  <si>
    <t>Describe your ability to customize/tailor terminology to business-specific terminology using data dictionaries or other approaches</t>
  </si>
  <si>
    <t>1 simple phrase mapping file for menu options; 2 replacement rules for menus, workflows, help files, etc.; 3 multi-lingual personalization options for global deployments; 4 would include capability beyond which is previously addressed (but including 1-3)</t>
  </si>
  <si>
    <t>Describe your support for open standards, particularly surrounding document/data standards. How this has been developed / implemented? Are you working with / driving any standards-body initiatives? Do you provide a platform that enables others to develop or co-develop capabilities? Do you provide a platform for supplier to integrate their financial and accounting systems through a standards-driven environment?</t>
  </si>
  <si>
    <t>1 we support XML and EDI; 2 we support a number of standard natively including docx, pdf, and other formats our customer organizations use on a daily basis; 3 we support a whole host of file exchange standards between ERP, Accounting, and other enterprise systems; 4 would include capability beyond which is previously addressed (but including 1-3)</t>
  </si>
  <si>
    <t>Describe typical (and atypical) system integration options. Describe how the platform and service provider handles multiple instances. Describe any integrations not addressed below.</t>
  </si>
  <si>
    <t>1 custom coding; 2 API integration; 3 a plethora of out-of-the-box integrations based on our complete and 100% open API and open vendor APIs; 4 would include capability beyond which is previously addressed (but including 1-3)</t>
  </si>
  <si>
    <t>Describe the out-of-the-box ERP integrations supported, how configurable they are, whether they are real-time, and other relevant factors.</t>
  </si>
  <si>
    <t>1 just Oracle and SAP, through regular flat file uploads; 2 a host of standard ERP through API integration and daily updates; 3 extensive ERP integration with real-time updates, push/pull against data masters; 4 would include capability beyond which is previously addressed (but including 1-3)</t>
  </si>
  <si>
    <t>Describe out-of-the-box P2P and related technology integrations, how configurable they are, whether they are real-time, and other relevant factors.</t>
  </si>
  <si>
    <t>1 just Ariba and Coupa, through regular flat file dumps; 2 a host of standard P2P through API integration and daily updates; 3 extensive P2P integration with real-time updates, push/pull against data masters; 4 would include capability beyond which is previously addressed (but including 1-3)</t>
  </si>
  <si>
    <t>Describe other relevant, best-of-breed, systems that the platform integrates with and the extent of the integration.</t>
  </si>
  <si>
    <t>&gt;&gt; scoring will be relative against other responses &lt;&lt;</t>
  </si>
  <si>
    <t>How fine grained is the role/data/action based security options on the platform and how configurable are they?</t>
  </si>
  <si>
    <t>1 pre-defined roles; 2 pre-defined roles with edit options selectable by roles; 3 role sub-classes which are modifications of basic roles, possibly for a single user; 4 roles can be defined not just by selections, but on data views or particular workflows</t>
  </si>
  <si>
    <t>Describe your approach to customized Sourcing Process configuration as well as both basic and advanced configuration scenarios.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categorizations and/or accounting structures. Describe the process for configuring custom fields/web forms (and what are the limitations/constraints in terms of what can be enabled).</t>
  </si>
  <si>
    <t>1 we have a standard workflow where you can (de)select elements; 2 we have a workflow builder where you can select the functions/modules you want in the order you want; 3 we support advanced configurations that can be based off of category/industry templates, include modifiable event-specific workflows, detailed approval processes, verification and issue escalation rules, and so on; 4 would include capability beyond which is previously addressed (but including 1-3)</t>
  </si>
  <si>
    <t>Describe the extent of workflow configuration across the modules and functionality and any integrated third party applications.</t>
  </si>
  <si>
    <t>1 select or deselect standard modules; 2 can be defined down to the function level with optional inclusion of steps using simple rules; 3 advanced rule support across functions, data, users, and event status/approvals; 4 would include capability beyond which is previously addressed (but including 1-3)</t>
  </si>
  <si>
    <t>Describe the extent of rule creation across the workflow and within the modules and functions.</t>
  </si>
  <si>
    <t>1 on/off based on a threshold; 2 formula/regex based rules on standard data elements; 3 process/time driven rules that underlie the entire workflow and alert/notification system; 4 would include capability beyond which is previously addressed (but including 1-3)</t>
  </si>
  <si>
    <t>Describe the extent of team management across the platform and the integration with fine-grained roles/action based security.</t>
  </si>
  <si>
    <t>1 team members can be defined and system roles assigned; 2 team members can be assigned to specific tasks/modules steps; 3 specific security can be defined on a team-member/task basis; 4 would include capability beyond which is previously addressed (but including 1-3)</t>
  </si>
  <si>
    <t>Describe the integration of each module/function with the overall project management capability of the platform or an integrated platform?</t>
  </si>
  <si>
    <t>1 modules can be associated with milestones; 2 project status auto-updates as key workflow steps complete or supplier submissions accepted; 3 complete integration and project plans can be updated mid-project by users with authority to do so; 4 would include capability beyond which is previously addressed (but including 1-3)</t>
  </si>
  <si>
    <t>Describe the globalization capabilities, paying particular attention to capabilities beyond multi-currency and multi-lingual.</t>
  </si>
  <si>
    <t>1 host in a regional data center at client request; 2 support for specific e-Signature / e-Notification rules of the countries in which customers deploy; 3 support variable workflows that tailor themselves to the locale of execution; 4 would include capability beyond which is previously addressed (but including 1-3)</t>
  </si>
  <si>
    <t>Describe your support for multiple currencies and supporting functionality for conversions, rounding, etc. Describe how external currency tables are used (e.g., automated conversions, manual, third-party only or if internal master tables are supported, etc.)</t>
  </si>
  <si>
    <t>1 a single currency conversion table; 2 integrated currency feed which updates daily; 3 rules-based conversion based on currency and payment type (i.e. 2.5% conversion fee on the P-card, etc.); 4 would include capability beyond which is previously addressed (but including 1-3)</t>
  </si>
  <si>
    <t>Describe your support for multiple languages and for instruction / communication translation. Describe how third parties are used to support translation efforts.</t>
  </si>
  <si>
    <t>1 flat file menu mappings for a small set of languages; 2 dynamic mappings of menu options and help text based on standard translations and regional linguistic variances; 3 override features that allow a buyer to override mappings on documents / menu options being shared with a supplier; 4 would include capability beyond which is previously addressed (but including 1-3)</t>
  </si>
  <si>
    <t>To what extent are (out-of-the-box) configuration options available for business users?</t>
  </si>
  <si>
    <t>N/A</t>
  </si>
  <si>
    <t>To what extent are (out-of-the-box) configuration options available for managers?</t>
  </si>
  <si>
    <t>To what extent are (out-of-the-box) configuration options available for stakeholders?</t>
  </si>
  <si>
    <t>To what extent are (out-of-the-box) configuration options available for vendors/consultant/partners?</t>
  </si>
  <si>
    <t>Describe your ability to natively (or through partners) aggregate, cleanse, classify, enrich, and harmonize existing data to make it timely and accurate to drive sourcing, category management and strategic sourcing efforts. Describe existing abilities to also validate data against external sources (tax authorities, prohibited/denied parties lists, certifying ISO authorities, etc.)</t>
  </si>
  <si>
    <t>Describe your ability to do category / industry specific consulting in various stages of strategic sourcing projects.</t>
  </si>
  <si>
    <t>Describe your ability to do detailed spend / opportunity analysis across categories / industries / geographies, within and outside of the platform you provide.</t>
  </si>
  <si>
    <t>Describe your ability to do managed sourcing events on behalf of your client.</t>
  </si>
  <si>
    <t>Describe your ability to do risk identification, analysis, tracking, and mitigation across the platform.</t>
  </si>
  <si>
    <t>Describe any BPO partner deployments outside of supporting customers that are hosted in your native cloud instance. Describe your ability to support business process related services or information/intelligence services in areas such as risk management, compliance (e.g., supplier audits), market intelligence, etc.</t>
  </si>
  <si>
    <t>Describe the depth of your professional services teams and partner professional services firms to assist in operational/IT strategy, implementation planning, and implementation execution (process re-design, system tailoring/customization, testing, training, post implementation support, etc.) How many internal FTEs are on your team in this area? How many partner FTEs are certified in total (if a certification program exists)? How many partner FTEs are trained (outside of a formal certification program)?</t>
  </si>
  <si>
    <t>How extensive is the schema support? Is it fixed, or can it be customer defined? Are there any limits on size? Can multiple schemas be supported? Simultaneously?</t>
  </si>
  <si>
    <t>What schemas are supported out of the box? How many are standard? How many are built on industry / category expertise? Are they customizable?</t>
  </si>
  <si>
    <t>What is the extent of custom schema creation and how easy is it for the customer to define their own schemas? Is there a suite of templates to start from? Are validation rules supported?</t>
  </si>
  <si>
    <t>To what extent can the solution support multiple schemas simultaneously, supporting multiple views and multiple cubes?</t>
  </si>
  <si>
    <t>How easy is it for the customer organization to define multiple cubes on any and all dimensions of interest, create derived and roll-up dimensions, and share those cubes?</t>
  </si>
  <si>
    <t>To what extent does the solution support familying of suppliers, products, and other entities that need to be familied and related in the solution? To what extent can multiple instances of the same entity be normalized to one?</t>
  </si>
  <si>
    <t>How extensive is the formula support for creating ranged and derived dimensions, creating (roll-up) reports, and creating classification/cleansing rules?</t>
  </si>
  <si>
    <t>How extensible is the rule and/or model editor? Can it be used to create cleansing, classification, and normalization rules as well as schemas, cubes, and reports? Does it support advanced formula for calculations and reg-ex for text-based formulas and cleansing rules?</t>
  </si>
  <si>
    <t>How extensive is the extract-transform-load functionality in the tool?</t>
  </si>
  <si>
    <t>How many S2P integrations are available out-of-the-box? How extensive are these integrations? How easy is it to add more S2Ps through the API?</t>
  </si>
  <si>
    <t>To what extent can rule sets be defined that do automatic cleansing, enrichment, and even classification during load? How powerful are the rules? Can they be ordered (uniquely or in groups) to prevent conflicts? Can conflicts be detected (and reordering suggestions offered to prevent conflicts)?</t>
  </si>
  <si>
    <t>Can these rules be organized into groups? Can the groups be selected as needed? Can alternate groups be created and selected for what-if analysis on temporary/throwaway cubes? Can the rules be ordered and prioritized within the group?</t>
  </si>
  <si>
    <t>How extensive are the enrichment options available out of the box? Does the solution come with a large database of known, clean, and enriched supplier and product records? What about services? What about support for bill of materials?</t>
  </si>
  <si>
    <t>Does the solution integrate with 3rd party data feeds out of the box? Can additional 3rd party data feeds be added easily through an API? How extensible are the rules to make sure the right data is selected for the right records?</t>
  </si>
  <si>
    <t>Does the solutions support multi-source cross-joins to make sure only the needed data is imported and the right data matched based on values from multiple sources, joined on common, cleansed fields? How extensible are these cross-joins?</t>
  </si>
  <si>
    <t>How extensive, and useable, are the classification and categorization capability? Can rules be defined and map data in real-time? Can they be modified quickly and easily? Can their impact be analyzed before they are committed?</t>
  </si>
  <si>
    <t>Describe the depth of support for manual data classification and categorization. How easy is it to accomplish the task manually? Do rules have to be defined in a formula or language? Can they be identified from a user-defined set of data? Can they be modified from templates?</t>
  </si>
  <si>
    <t>Does the mapping functionality support the classification and/or categorization of rules based on arbitrary dimensions? Can the mapping be done by formulas, value sets, regular expressions, or a combination of -- applied to arbitrary dimensions?</t>
  </si>
  <si>
    <t>Can the classification and collaboration be done in a collaborative fashion, or is it limited to one user creating one rule set for the (master) cube? If collaboration classification is supported, can multiple users share the same view, and work on the data on the same time, or are they limited to individual views, and must classify in succession?</t>
  </si>
  <si>
    <t>Can the classification be accomplished using queries that specify subsets of the data as opposed to static, complicated, regex rule sets? How advanced is the query capability that can be supported?</t>
  </si>
  <si>
    <t>Does the solution support AI / AR algorithms and techniques for automated classification and categorization? If so, what types? How advanced? What is the typical accuracy on a first pass before extensive training takes place on the client's data set? How large of a training set is required and how long does it take to get to 90%? 95%? 98%+ for auto classification. How easy is it to do manual overrides and fix mapping errors?</t>
  </si>
  <si>
    <t>Does the solution support hybrid classification where a user can augment auto-classification with manual classification and categorization? Can the user first define domain-specific knowledge models which are used to aid in the auto classification and categorization? Do these models evolve and learn over time as manual classification corrections are made to correct auto-classification? Can the corrections happen in real time?</t>
  </si>
  <si>
    <t>Does the solution support data integrity analytics that can analyze the quality and completeness and likely correctness of the data being loaded?</t>
  </si>
  <si>
    <t>Can the solution automatically detect outlier data and bring it to the attention of the user? Be it a value (dollar amount, unit count, etc.), a time (too far from an expected range), a location, etc. -- anything not consistent with the bulk of the data (and the typical clusters)?</t>
  </si>
  <si>
    <t>What is the degree of built-in statistical analysis that can be applied to the data to get a general sense of completeness, correctness, and categorization accuracy? Is one limited to check-sums or can entire array of statically techniques be applied?</t>
  </si>
  <si>
    <t>Does the solution support a sliding time-scale that allows the data integrity analysis to be restricted to a user-defined range (to zero in on potential issues and correct them)? If so, can the sliding be done in real time or do the windows have to be defined and the cube(s)/view(s) reloaded with every definition / change?</t>
  </si>
  <si>
    <t>What is the extent of the visualization, analysis, and reporting capability in the tool?</t>
  </si>
  <si>
    <t>Do the reports support (real-time) filter definition and application? If so, are the filters limited to a fixed set of dimensions or can they be defined on any dimensions? Do they support ranged / derived dimensions?</t>
  </si>
  <si>
    <t>How extensive is the formula support in the creation of dimensions, filters, and views?</t>
  </si>
  <si>
    <t>How extensive and powerful is the report building and definition capability? Is it limited to just modification of templates or can new templates be built? Are the reports limited to pre-defined dimensions, or can they be defined on any dimensions? Is the full range of formulaic support provided?</t>
  </si>
  <si>
    <t>How extensive is the extract / transform / dump capability for exporting data (and pushing it into other systems)?</t>
  </si>
  <si>
    <t>Does the system support flat-file exports in necessary formats and auto-push to FTP sites where other systems can upload the files from the FTP to import?</t>
  </si>
  <si>
    <t>To what extent does it support integration to third party systems that it needs to push raw / cleansed / summarized data too? Is there a full-featured API? How difficult is it to configure?</t>
  </si>
  <si>
    <t>SA: Out of the Box ERP Integrations: this element is one the mastersheet but NOT IN THE RFI???</t>
  </si>
  <si>
    <t>If you are unsure of the difference between descriptive, predictive, prescriptive, and permissive analytics, see the following posts:</t>
  </si>
  <si>
    <t>Does the platform support predictive analytics? To what extent? Please describe.</t>
  </si>
  <si>
    <t>Does the platform support prescriptive analytics? To what extent? Please describe.</t>
  </si>
  <si>
    <t>Does the platform support permissive analytics? To what extent? Please describe.</t>
  </si>
  <si>
    <t>Does the platform support scorecards? If so, to what extent? Is the creation mechanism as complete and extensible as it is for reports? Is the full range of formula definition supported? Can scorecards be filtered and drilled-down to the same extent as a report dashboard?</t>
  </si>
  <si>
    <t>Does the platform come with a template library of scorecards? If so, how extensive is it?</t>
  </si>
  <si>
    <t>Does the platform support the definition of KPIs that can be used and re-used as needed in the creation of scorecards?</t>
  </si>
  <si>
    <t>Does the platform come with a library of KPIs that can be used in the construction of scorecards?</t>
  </si>
  <si>
    <t>Does the platform support benchmarks? If so, describe the type (industry, category, performance, etc.) and the extent?</t>
  </si>
  <si>
    <t>Describe the extent of internal benchmarks supported by the platform. What is the extent of out of the box support for internal benchmarks? Are they dynamically updated over time?</t>
  </si>
  <si>
    <t>Describe the extent of external benchmarks supported by the platform. What 3rd party feeds are integrated and how often are the external benchmarks updated?</t>
  </si>
  <si>
    <t>Describe the ability of the toolset to create and maintain cost avoidance / opportunity programs and manage those over time.</t>
  </si>
  <si>
    <t>What is the extent of out-of-the-box sourcing support provided in terms of opportunity analysis and bid analysis? Reports? Scorecards? Benchmarks? Predictive/Prescriptive Analytics? Please describe in detail.</t>
  </si>
  <si>
    <t>What is the extent of out-of-the-box procurement support for purchase order, invoice, and similar analysis? Reports? Scorecards? Benchmarks? Outlier/Risk Analytics? Please describe in detail.</t>
  </si>
  <si>
    <t>What is the extent of out-of-the-box T&amp;E support for travel, expense, and p-card analysis? Reports? Scorecards? Benchmarks? Outlier/Risk Analytics? Please describe in detail.</t>
  </si>
  <si>
    <t>What is the extent of out-of-the-box finance support with respect to, but not limited to, payment, working capital, cash-flow, and discount analysis? Scorecards? Reports? Benchmarks? Predictive Analytics? Risk Analytics? Please describe in detail.</t>
  </si>
  <si>
    <t>What is the extent of out-of-the-box support for product lifecycle management, bill of materials management, raw material analysis, etc.? Scorecards? Reports? Benchmarks? Drilldown analytics? Predictive analytics? Risk Analytics? Please describe in detail.</t>
  </si>
  <si>
    <t>What is the extent of out-of-the-box support for services analysis? Scorecards? Reports? Benchmarks? Predictive Analytics? Prescriptive Analytics? Compliance Analytics? Please describe in detail.</t>
  </si>
  <si>
    <t>What is the extent of out-of-the-box support for CWM (Contingent Worker Management) analysis? Scorecards? Reports? Benchmarks? Predictive Analytics? Prescriptive Analytics? Compliance Analytics? Please describe in detail.</t>
  </si>
  <si>
    <t>What is the extent of out-of-the-box logistics analytics? Scorecards? Reports? Benchmarks? Predictive Analytics? Prescriptive Analytics? Please describe in detail.</t>
  </si>
  <si>
    <t>What is the extent of out-of-the-box inventory/MRO analytics? Scorecards? Reports? Benchmarks? Predictive Analytics? Prescriptive Analytics? Please describe in detail.</t>
  </si>
  <si>
    <t>What is the extent of out-of-the-box supplier analytics? Scorecards? Reports? Benchmarks? Predictive Analytics? Prescriptive Analytics? Trend Analysis? Please describe in detail.</t>
  </si>
  <si>
    <t>What is the extent of out-of-the-box risk analysis? Scorecards? Reports? Benchmarks? Predictive Analytics? Prescriptive Analytics? And across what functions can the risk management be applied? Please describe in detail.</t>
  </si>
  <si>
    <t>What is the extent of integration with 3rd Party BI tools? Is there an API? Is there out-of-the-box integration with market leading tools like Tableau or QlikView? Is the integration bi-directional allowing for easy push-and-pull of data?</t>
  </si>
  <si>
    <t>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t>
  </si>
  <si>
    <t>Please describe the degree of AI / Machine Learning with a focus on capabilities outside of cleansing and categorization, predictive, and prescriptive analytics (as this should have been covered in detail in previous tabs). Focus on the ability to integrate with arbitrary data streams and/or other business / supply management applications to apply the AI capabilities to non out-of-the-box functions.</t>
  </si>
  <si>
    <t>To what extent does the platform support "big data"? How scalable is it? How much control over separation and data store mapping does the buyer have?</t>
  </si>
  <si>
    <t>What is the extent of support for semi-structured and unstructured data in the platform, especially from an analytics standpoint? Please describe in detail!</t>
  </si>
  <si>
    <t>Explain the use of OCR/Scanning technology within your solutions (if used) and roadmap plans. Focus on the ability to covert data to semi-structured and structured data that can be normalized, cleansed, categorized, enriched, and used for new types of analytics previously unavailable to the business.</t>
  </si>
  <si>
    <t>Explain the use of "intelligent apps" within your solutions. Examples include: Siri, Alexa, Google, etc. Do you work with partners in this area? By this, we don't mean AI/AR for cleansing / categorization / enrichment or predictive / prescriptive analytics, but AI that can guide a user down a meaningful analytics path, simplify the user experience while enhancing it, or other non-standard applications of AI/AR in spend analysis.</t>
  </si>
  <si>
    <t>Describe your ability to customize/tailor terminology to business-specific terminology using data dictionaries or other approaches.</t>
  </si>
  <si>
    <t>Describe typical (and atypical) system integration options. Describe how the platform and service provider handles multiple instances. Describe any integrations not already addressed.</t>
  </si>
  <si>
    <t>What capabilities are there for configuring the application, and cubes, at multiple levels of views and hierarchies? Can a default view be created at the company level that can then be customized or overridden by department or function and then customized and overridden again by sub-group or user focused on specific functions? Can the user toggle between multiple configurations and views? Can the configuration be done at the user level or is it group / admin level only?</t>
  </si>
  <si>
    <t>What is the capability to create private vs. public read-only vs. public shared workspaces. The key to a successful analysis is being able to go off the rails, follow instincts, build throw-away cubes, views, and reports, and explore the unexplored. This requires private workspaces. Or, if the team is trying to look cross-category to find raw materials it could buy cheaper on behalf of the supply base, collaborative semi-private public workspaces limited to a small group. If great results are found, then you want to flip those workspaces into public read-only to share results and findings as part of a presentation on why you want to change standard procedures, categorizations, or application views. Flexibility here is key.</t>
  </si>
  <si>
    <t>Is the visualization capability native, built on a third party tool (like QlikView or Tableau), or hybrid? If hybrid, what's the split? How does it compare to the standard offerings and typical customer expectations? Any new, innovative, capabilities like 3D terrain maps, solar system plots, etc.?</t>
  </si>
  <si>
    <t>Please describe the ability for users to create rule-driven analytics workflows (as opposed to rule-driven cleansing, classification, enrichment, and report)? I.e., standard processes to follow when importing, analyzing for integrity, checksum balancing, and initially reporting on, and analyzing, a new data set? Processes for creating custom cubes and views? Cost avoidance program creation and maintenance? Etc.</t>
  </si>
  <si>
    <t>To what extent do you offer basic platform implementation / integration / maintenance services?</t>
  </si>
  <si>
    <t>Describe your on-going data management services -- including refresh, regular cleansing and enrichment, ongoing familying and normalization, etc.</t>
  </si>
  <si>
    <t>Describe your analytics and data science services. Do you offer opportunity identification, deep category analytics, risk analytics, performance analytics, etc.? How specialized are you in each area? What are your typical successes. Please attach at least one case study per specialized area.</t>
  </si>
  <si>
    <t>Describe your offer ongoing category project / program management and related sourcing / supplier management services on the category for your clients? How deep? Average cost avoidance / value generation? What categories do you excel at? Typical cost avoidance / value generation related to market average?</t>
  </si>
  <si>
    <t>Describe you general change management / consulting programs centered around analytics and better data management. Include any training you offer and programs designed to advance your clients who want to get going on the do-it-yourself journey.</t>
  </si>
  <si>
    <t>Please describe the depth of supplier information management schema support in the application, including out-of-the-box schemas, schema creation capability, a multitude of data formats, verification rules, etc.</t>
  </si>
  <si>
    <t>Please describe the depth of out-of-the-box support for supplier information management by industry against standard, global, industry codes</t>
  </si>
  <si>
    <t>Please describe the depth of out-of-the-box support for standard product codes including, but not limited to, UNSPSC, H(T)S, etc.</t>
  </si>
  <si>
    <t>Please describe the depth of multi-data-source integration including, but not limited to, ERPs, other MDM systems, other Supply Management systems, etc.</t>
  </si>
  <si>
    <t>Please describe the depth of distributed MDM capabilities. Can the MDM system control other MDM systems for distributed master data management across the systems for each type of data (corporate information, product information, operational information, etc.)</t>
  </si>
  <si>
    <t>Please describe the level of fine-grained access control implemented by the MDM system. Is it table level, record level, or field level - and how many roles can be defined? Can permissions be defined by queries?</t>
  </si>
  <si>
    <t>What level of form, and form construction, support is included in the solution? Can users create any form, and conditional workflow, that they need to capture all of the necessary data?</t>
  </si>
  <si>
    <t>Can the solution maintain the complete edit history of every data element in the system, including who made the change, when, and what their role was at the time?</t>
  </si>
  <si>
    <t>Can the solution also serve as an advanced document management solution and maintain a detailed document and version history with complete and customizable metadata (history)?</t>
  </si>
  <si>
    <t>Does the solution include, or integrate with, an OCR solution to automatically convert scanned and image documents into text for complete in-document searching and indexing?</t>
  </si>
  <si>
    <t>To what degree does the platform support supplier (pre) registration? This is including, but not limited to invitation management, self-registration, and SIC support. For example, can profiles be imported from supplier networks, expressions of interest be submitted to general category calls, and the system pre-loaded with supplier records from other enterprise systems?</t>
  </si>
  <si>
    <t>To what degree is invitation management in particular supported? Can campaigns be set-up for easy supplier response? Can invitations be sent out over multiple channels? Can they be automatically resent as reminders? Can buyers be notified when a supplier has seen or responded?</t>
  </si>
  <si>
    <t>How extensible is the self-registration process? Does it support conditional workflows that lead the supplier down the appropriate paths to capture the relevant information?</t>
  </si>
  <si>
    <t>How exstensible is the support for standard industry codes and the identification and collection of data relevant to those industry codes?</t>
  </si>
  <si>
    <t>To what degree does the platform support full supplier onboarding (once a supplier, already registered, has been selected for participation in an RFX or been given an award)? How far does it go beyond (integrated) reach-out, supplier network integration, and auto data verification?</t>
  </si>
  <si>
    <t>What templates are provided with the application? For example, supplier diversity, anti-corruption, anti-slavery, conflict minerals, etc.</t>
  </si>
  <si>
    <t>Does the platform support reach-out beyond traditional e-mail? Is there social network integration, (e-)fax integration, and/or phone integration?</t>
  </si>
  <si>
    <t>Does the platform integrate with one or more supplier networks, and, if so, to what degree? Simple profile integration? Full profile integration?</t>
  </si>
  <si>
    <t>Does the platform integrate with one or more government/third party data sources that can be used to verify the data being provided by suppliers, including, but not limited to, registry numbers, non-appearance on denied party lists, third party evaluations, etc.?</t>
  </si>
  <si>
    <t>To what degree can the product be used to qualify suppliers for the organization? And what capabilities does it have beyond data collection, delegation of control, and auto document verification?</t>
  </si>
  <si>
    <t>How powerful is the data collection capability? Does the workflow branch based on each data element to allow for the appropriate collection of supplier, product, and/or service information?</t>
  </si>
  <si>
    <t>To what degree does the product support delegation of control? Can the supplier add their own delegates and specify the roles and authorities that each person they authorize on their behalf has, or is user creation and privilege control limited to the lead buyer?</t>
  </si>
  <si>
    <t>To what degree can documents be automatically identified and validated by the platform? For example, can insurance documents be automatically detected, verified for validity, inspected for inclusion of mandatory clauses, etc?</t>
  </si>
  <si>
    <t>To what degree of detail is supplier data supported in the SIM portion of the SXM solution, either out-of-the-box, through schema-extensibility, or through custom definition on the client's part?</t>
  </si>
  <si>
    <t>How extensive is the out-of-the-box support for entity core data -- locations, financial, structure, personnel, industry profiles, category profiles, etc. etc. etc.?</t>
  </si>
  <si>
    <t>How extensive is the support for financial data tracking and is the system capable of integrating with ACH systems to manage payments and transfers?</t>
  </si>
  <si>
    <t>How extensive is the built in support for third party data feed integration for external risk scores, audits, data enrichment, etc?</t>
  </si>
  <si>
    <t>How deep is the document management compared to a best-in-class document management platforms? Is there word integration for collaborative creation, editing, mark-up, and indexing? Is there support for comments and markup? Is there complete version tracking?</t>
  </si>
  <si>
    <t>Is there extra built-in capability for certification and insurance document management, which organizations need to confirm and be on top off to meet risk and regulatory requirements?</t>
  </si>
  <si>
    <t>Is there extensive catalog management? To what degree can the supplier update, and to what degree does the buyer have to update? Can complete price history be maintained? Can similar SKUs be associated? Can product history be maintained?</t>
  </si>
  <si>
    <t>How extensive is the rating and approval system? Can the ratings be defined as group-based weightings? Can approvals be defined as bifurcating workflows with overrides? And what about preferred status -- does it have to be supplier level, or can it be product/service level and can it be limited to certain locales and even production locations?</t>
  </si>
  <si>
    <t>How extensive is the built-in supplier collaboration capability?</t>
  </si>
  <si>
    <t>Does the platform contain real-time (group) messaging capability, with complete archival, audit trails, indexing for association with different data elements?</t>
  </si>
  <si>
    <t>Does the platform contain collaborative white-boards that allow both parties to co-develop plans, work on innovations, and other collaborative projects?</t>
  </si>
  <si>
    <t>How deep is the corrective action management / corrective action resolution capability in the product? How deep is the collaborative dispute resolution functionality?</t>
  </si>
  <si>
    <t>What is the capability provided to identify issues, from whichever view the user is in and associated with whatever data the issues relate to, in the product, track them over time, and use the history and data as the basis for an issue and a corrective action plan?</t>
  </si>
  <si>
    <t>How easy is it to create detailed project plans built around milestones, tasks, and team members? And how powerful is the capability?</t>
  </si>
  <si>
    <t>How easy is it to do status updates, share them, take actions on those updates, and evaluate progress and modify the plan collaboratively based on those updates?</t>
  </si>
  <si>
    <t>What does the platform support in the way of resolution mechanisms? How are these tied to issue tracking, milestones, and statuses, and how effective are they in closing corrective actions?</t>
  </si>
  <si>
    <t>What degree of measurement, and metric, support is included in the platform?</t>
  </si>
  <si>
    <t>Does the platform integrate with, or provide, leading survey functionality that can gather all of the subjective rankings required for complete supplier performance analysis?</t>
  </si>
  <si>
    <t>How advanced is the formulaic support, necessary for KPI calculations for effective 360-degree scorecards? Is it limited to simple algebraic operators, or statistical functions, or advanced mathematical formula defined over multiple levels of data?</t>
  </si>
  <si>
    <t>What is the capability to integrate 3rd party data feeds, preferably as needed, in real time, for updates as often as daily (if available), and how many feeds are integrated out-of-the-box?</t>
  </si>
  <si>
    <t>How deep is the scorecard functionality, how extensive is the KPI functionality, and what is the ability to update the scorecards in real time, compute trends, detect changes, and alert key personnel?</t>
  </si>
  <si>
    <t>How much support for development and innovation management is built into the platform?</t>
  </si>
  <si>
    <t>What kind of support is included for the definition, and management, of innovation challenges? Is it just push a request, pull some responses? A collaborative forum? The ability to break it up and possibly award different steps of a challenge to multiple parties?</t>
  </si>
  <si>
    <t>Can suppliers contribute ideas unsolicited? How are they managed to make sure no good idea slips through the cracks? Can they be turned into challenges if they are the start, but not the end, of a need, possibly as a three-way collaboration project (that could result in a joint award)?</t>
  </si>
  <si>
    <t>What level of review and decision support is included? Are multi-level approvals supported? Can the buying team work collaboratively? Can the suppliers provide feedback at appropriate points?</t>
  </si>
  <si>
    <t>What level of data monitoring is included in the SXM application and how is it integrated with the scorecards and benchmarking?</t>
  </si>
  <si>
    <t>Can the scorecards be automatically updated with relevant data? How often? What level of application and feed integration is supported?</t>
  </si>
  <si>
    <t>Can alerts be defined that notify an individual when scorecards drop below a threshold, trends change, changes happen faster or slower than expected, or other relevant factors that need to be monitored?</t>
  </si>
  <si>
    <t>Does it integrate with the CAR/CAM functionality and allow the buying organization to be notified when statuses change, input is provided, or milestone deadlines are not met?</t>
  </si>
  <si>
    <t>To what extent does the platform support risk identification, management, and monitoring?</t>
  </si>
  <si>
    <t>What is the extent of risk identification? Is it limited to manual identification, definition and data entry or does it come with the capability to identify risks based on key supplier data, scorecards, trends, and/ or an appropriate cross-section of such data?</t>
  </si>
  <si>
    <t>Does the system support the creation of mitigation plans? And are they completely manual, or can they be automatically generated from templates based on key risk identifiers?</t>
  </si>
  <si>
    <t>What is the extent of trend definition and monitoring in the system? Can the trends be mapped to, and monitored against, different distributions? Can advanced forecasting algorithms be applied? Are the included and integrated?</t>
  </si>
  <si>
    <t>What is the extent of event monitoring in the platform? Is it limited to external data feed integration, or does it support semantic monitoring of news sources? What about sentiment analysis and third party evaluations and projections?</t>
  </si>
  <si>
    <t>To what extent does the platform support new product development and/or new product introduction?</t>
  </si>
  <si>
    <t>How extensible is the product management capability? Is it limited to bill of material definition or can it be used to define should cost models, alternative designs, and real-time market data tracking?</t>
  </si>
  <si>
    <t>How extensible is the bill of material capability? Is it a basic component definition or can it support extensive multi-level bill of material definition that includes modelling support at each and every level of a multi-level bill of materials from an engine all the way down to a screw?</t>
  </si>
  <si>
    <t>To what extent is NPD/NPI integrated into innovation management? Is it a basic push/pull or is there extensive integration that allows for innovation to be launched from and spark each stage of NPD/NPI?</t>
  </si>
  <si>
    <t>To what extent is process management supported in the platform? Is it basic task definition or integrated NPD/NPI project management?</t>
  </si>
  <si>
    <t>To what extent is analytics integrated in the platform?</t>
  </si>
  <si>
    <t>Is there an integrated report builder? How extensible is it? Can it work on all data elements?</t>
  </si>
  <si>
    <t>What is the extent of support for out-of-the-box scorecards?</t>
  </si>
  <si>
    <t>What is the extent of support for out-of-the-box operational metric reports?</t>
  </si>
  <si>
    <t>What is the extent of support for out-of-the-box trend reports?</t>
  </si>
  <si>
    <t>What is the extent of support for out-of-the-box risk reports?</t>
  </si>
  <si>
    <t>Does the portal support single view and sign on? Can a supplier manage their data, surveys, RFXs, innovation requests, etc. for all customers through one sign-on? How integrated is the portal? Is data organized by customer, request type, or can the supplier representative filter in to what they want to see when they want to see it?</t>
  </si>
  <si>
    <t>How much on-boarding support is available from the supplier's point of view? Can they define additional users with limited access to complete different data requests?</t>
  </si>
  <si>
    <t>How powerful and customizable are the collaboration features from the supplier's viewpoint?</t>
  </si>
  <si>
    <t>To what extent can the supplier review, and request corrections of, not only data they provide but also data created, and collected, on the supplier by the buyer?</t>
  </si>
  <si>
    <t>To what extent are 360-degree scorecards supported? Is the supplier limited to providing survey responses to populate them? Can they define formulas to summarize data to populate them? Can they pull that data in through imports? Can they collaboratively modify the scorecards?</t>
  </si>
  <si>
    <t>Does the portal contain extensive document management and update capability that will not only allow a supplier to attach documents, but remind them of when updates are required, process documents against minimal acceptance and completion criteria during upload, and auto-extract key meta data on the supplier's behalf?</t>
  </si>
  <si>
    <t>Does the platform include vendor managed inventory functionality that will allow the supplier to manage MRO / other inventory on behalf of the buyer?</t>
  </si>
  <si>
    <t>Does the platform support the distribution and archival of purchase orders on behalf of the buyers and/or invoices on behalf of the suppliers, correlation, or payment support through ACH integration?</t>
  </si>
  <si>
    <t>Please describe your cloud architecture (e.g., single-instance multi-tenant application run on a 'virtualized' and elastic platform).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t>
  </si>
  <si>
    <t>To what extent can the platform support the auto-detection of missing or needed data? Erroneous data? Outlier data that needs to be reviewed? How advanced are the algorithms? Is this capability extensible?</t>
  </si>
  <si>
    <t>Explain the use of OCR/Scanning technology within your solutions (if used) and any future roadmap plans</t>
  </si>
  <si>
    <t>Describe typical (and atypical) system integration options. Describe how the platform and service provider handles multiple instances. Describe any integrations not addressed already</t>
  </si>
  <si>
    <t>Describe your approach to customized SIM/SPM/SRM process configuration as well as both basic and advanced workflow configuration (based upon an evaluation of the strategic nature of the relationship, the dollars involved, the industry, and/or regulatory controls that need to be adhered to)?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categorizations and/or accounting structures. Describe the process for configuring custom fields/web forms (What are the limitations/constraints in terms of what can be enabled?)</t>
  </si>
  <si>
    <t>What (if any) is the network component of the offering? Is their many-to-many profile and data model support? Can a supplier be a buyer in the system under the same profile information?</t>
  </si>
  <si>
    <t>Describe the extent to which the supplier portal is configurable and customizable by the buyer (for initial setup) and the supplier (for efficient and effective use and collaboration)</t>
  </si>
  <si>
    <t>Describe the extent of workflow configuration across the modules and functionality and any integrated third party applications</t>
  </si>
  <si>
    <t>Describe the globalization capabilities, paying particular attention to capabilities beyond multi-currency and multi-lingual</t>
  </si>
  <si>
    <t>Describe your support for multiple languages and for instruction / communication translation. Describe how third parties are used to support translation efforts</t>
  </si>
  <si>
    <t>Describe your ability to support multi-channel supplier onboarding events across categories, industries, and geographies … with or without supplier network support</t>
  </si>
  <si>
    <t>Describe your ability to natively (or through partners) aggregate, cleanse, classify, enrich, and harmonize existing data (and document [metadata]) to make it timely and accurate to drive surveys, innovation management and supplier development efforts. Describe existing abilities to also validate data against external sources (tax authorities, prohibited/denied parties lists, certifying ISO authorities, etc.)</t>
  </si>
  <si>
    <t>Describe your ability to do enable supplier data / profile management and supplier relationship management services on behalf of the buying organization, either natively or through partners</t>
  </si>
  <si>
    <t>Describe your ability to lead and manage supplier development and innovation management projects on behalf of the buying organization, either natively or through partners</t>
  </si>
  <si>
    <t>Please describe the ability to support all enterprise contracts, including not just supplier contracts, but those from customers, employees, partners, and other key stakeholders</t>
  </si>
  <si>
    <t>Ability to model contract information at granular level of detail</t>
  </si>
  <si>
    <t>0 = a contract field in the system, but no contract master. 1 = basic fixed contract level metadata to describe a contract (e.g., ID, supplier name, contract owner; start &amp; expiration/renewal dates) and ability to store a file attachment. 2 = contracts, contract types, addendums (e.g., SOW against MSA), and basic clause structure to handle pricing, payment terms, deliverables, roles, reference-field metadata, etc. 3 = sub-contracting (multi-tier), clause library, clause types, deliverables, obligations/rights, and clause-level metadata (e.g., risk type, rules). 4 = robust/extensible contract level and clause level data models tied into specific domain areas listed below - and ability to link to external knowledge bases and support needs of legal counsel/firms and industry-specific requirements</t>
  </si>
  <si>
    <t>Cross-referencing contracts to spend/supplier categories and also using user-driven contract/clause attributes/metadata to allow for rule-driven workflows/analytics using these attributes</t>
  </si>
  <si>
    <t>1 = partial. 2 = clause level. 3 = "cost of risk" modeling. 4 = sophisticated risk modeling/treatment analytics and knowledge/IP</t>
  </si>
  <si>
    <t>Modeling and management of currency risk, capacity risk, commodity price pegging/capture/audit, hedging, etc.</t>
  </si>
  <si>
    <t>Modeling of counter-party relationships to you; legal entity structure (parent-child); supplier-customer linkages (i.e., value chain structure and outsourced relationship structure)</t>
  </si>
  <si>
    <t>0 = supplier field in contract header (no lookup table). 1 = supplier lookup to basic supplier master (within CLM module or other) data. 2 = partner master model and parent-child. 3 = sub-contracting / tier modeling. 4 = advanced modeling (e.g., supply chain network modeling)</t>
  </si>
  <si>
    <t>Ability to model statutory regulations or NGO requirements (by you and/or counterparty) and the contractual commitments that tie to them.</t>
  </si>
  <si>
    <t>1 = store TCV and payment terms for single named entity in base currency. 2 = ACV modeling and ability to tie to multiple fiscal entities and in multiple currencies (and support INCOTERMS). 3 = termination clauses/probabilities, renewal % estimates, budget linkages; penalty/bonus accruals. 4 = advanced financial modeling not described (please describe)</t>
  </si>
  <si>
    <t>0 = referencing a project as text in a contract. 1 = associating a contract to specific projects. 2 = modeling project work breakdown structures and deliverables within a contract. 3 = incorporating/integrating project budgeting, costing, and risk monitoring within contracts. 4 = advanced functionality beyond this (please describe)</t>
  </si>
  <si>
    <t>Does the platform allow templates that can be used for initial contract creation?</t>
  </si>
  <si>
    <t>Performance specifications are the expected form/fit/function of the contracted deliverables - whether products and/or services. For services, they include tasks to be performed, service levels, and acceptance criteria. To what extent does the CLM system support the ability to model tasks/services, service levels, deliverables, milestones, product/service quality, and other determinants of commercial obligations?</t>
  </si>
  <si>
    <t>1 = basic modeling (e.g., rates vs. deliverables/milestones). 2 = performance/service level modeling (similar or integrated to supplier performance dimensions). 3 = linking performance/specs to particular tasks/roles and how those performance levels will be measured and approved. 4 = functionality beyond 1-3</t>
  </si>
  <si>
    <t>1= obligations (basic TCV or ACV). 2 = ability to model obligation types and monitor the values. 3 = obligation analysis to determine appropriateness/effectiveness of obligations (e.g., risk scoring; bonus/penalty/termination scoring and monitoring). 4 = functionality beyond 1-3</t>
  </si>
  <si>
    <t>1 = yes, but no version control or e-Signature. 2 = yes, with basic version control and e-Signature. 3 = yes, with internal comparison/red-lining functionality, finance/defense level security, and in-line with all regulatory e-Signature requirements. 4 = would include capability beyond which is previously addressed (but including 1-3)</t>
  </si>
  <si>
    <t>Beyond file attachments, to what extend can the contract be linked to related documents that sits in other systems (e.g., superseded contracts in legacy document management system; MSAs in a contingent labor application; ERP and P2P systems; niche systems in Legal Department, etc.) For example, can system detect changes in those related files/systems?</t>
  </si>
  <si>
    <t>Use generic scoring (per the "Menu" tab). Please describe supporting details in 'comments' field</t>
  </si>
  <si>
    <t>CLM Contract Information Management: the three last elements of the RFI don't appear on the master sheet ('Access Control', 'Auditable, Unalterable, Messaging', 'Version Control'</t>
  </si>
  <si>
    <t>1 = visibility by expiry/renewal type and prioritized by contract value. 2 = escalating alerts to kick off an action plan to drive active renewal or re-sourcing/re-contracting. 3 = obligation / risk / performance reporting to drive compliance in remaining contract and plan for renewal/re-negotiation. 4 = advanced functionality beyond 1-3</t>
  </si>
  <si>
    <t>How easy and robust is the capability to manage expiring contracts that must be dispositioned (e.g., flagged for either renewal/amending or for offboarding) and then used to drive appropriate offboarding activities?</t>
  </si>
  <si>
    <t>0 = nothing happens. 1 = system de-activates and archives the contract. 2 = system drives multiple contract offboarding activities including counterparty system access; final approvals; user communications; etc. 3 = linkage to appropriate other integrated systems (e.g., drive supplier offboarding if supplier only had the one contract). 4 = advanced functionality beyond 1-3</t>
  </si>
  <si>
    <t>Ability to find and re-use previous contracts and clauses for 1) new contract/clause creation or 2) contract portfolio assessment and remediation/de-risking/optimization</t>
  </si>
  <si>
    <t>1 = text and keyword search across contracts. 2 = ability to query contract and clause data and metadata (including user defined). 3 = ability to perform 'where used' analysis on contracts using certain clauses; ability to use fuzzy matching to find similar contracts/clauses. 4 = using AI and ontology/concept based capabilities or other advanced features</t>
  </si>
  <si>
    <t>Ability to bulk upload contracts and extract contract-level metadata (please discuss if/how you use partner providers)</t>
  </si>
  <si>
    <t>0 = none (assume paper files are scanned). 1 = batch file uploading and import/mapping. 2 = OCR and rule-based training to metadata. 3 = addition of auto-classification with fuzzy matching or basic machine learning. 4 = advanced machine learning and knowledge bases/models</t>
  </si>
  <si>
    <t>Use of rule based and machine learning based contract analytics to help classify unstructured text into structured clauses and metadata (please indicate if you use a specialized partner provider)</t>
  </si>
  <si>
    <t>1 = award export. 2 = award export and standard legal template directory (in Word files). 3 = integrated editor that can suck in awards and templates. 4 = would include capability beyond which is previously addressed (but including 1-3)</t>
  </si>
  <si>
    <t>What unique capabilities allow you to incorporate counterparty paper into your contracting workflow?</t>
  </si>
  <si>
    <t>To what extent can the system automatically create amendments, term riders, sub-contracts, etc. easily to simplify changes and not revise entire contract</t>
  </si>
  <si>
    <t>Use generic scoring. Please describe supporting details in 'comments' field</t>
  </si>
  <si>
    <t>1 = contracts can be stored in MS Word. 2 = basic word integration which allows change history to be pulled out of versions and redlining support. 3 = word is "embedded" in the platform and the viewer/editor can switch from Word to the application (and see the status in the Word viewer) and back again and the user can even push data from Word to the platform (clauses, supplier data, updated price lists etc.) during contract creation. 4 = would include capability beyond which is previously addressed (but including 1-3)</t>
  </si>
  <si>
    <t>Including process modeling; rule-based branching; use of APIs; delegation; use of user groups and roles; standard approval hierarchies and complex/custom approval logic; incorporation of counter-party in flow. Please describe in detail</t>
  </si>
  <si>
    <t>Please describe (in detail) the system ability to enable broad-based contract negotiation between two or more parties</t>
  </si>
  <si>
    <t>Includes going beyond redlining to support more unstructured collaboration and communications internally and with counter parties. Also includes mobile and social methods for e-mail integration, messaging/alerts, collaboration tools (e.g., Slack), threaded discussions, document collaboration, audio/video calls, etc.</t>
  </si>
  <si>
    <t>Ability to support multi-tier contracts to tier 1 suppliers (e.g., BPO, prime contractor, contract mfr, etc.) who then sub-contract to tier 2 suppliers. This can include "back-to-back" contracts / "flow downs" of certain clauses or potentially even engaging tier 2 sub-contractors on the system itself</t>
  </si>
  <si>
    <t>This allows the system to be designed to guide a user through a set of business questions that in turn invoke the appropriate contract templates (or specific clauses) to use</t>
  </si>
  <si>
    <t>Ability to help automate the implementation of the contract into execution (e.g., into the P2P and supplier management process) and integrate to downstream execution systems</t>
  </si>
  <si>
    <t>To what extent can the system track counter-party compliance to the contract - as well as internal compliance</t>
  </si>
  <si>
    <t>Use generic scoring (per the "Menu" tab). Please describe supporting details in 'comments' field Note any particular innovations that you feel differentiate you here</t>
  </si>
  <si>
    <t>Please provide the reporting areas within your standard reporting and analytics framework (self-score not needed)</t>
  </si>
  <si>
    <t>How do you capture and systemize the collective knowledge from your installed base of customers using your solution?</t>
  </si>
  <si>
    <t>Do you have a unique approach to assessing, delivering, and improving value delivery that we haven't touched upon that you'd like to highlight?</t>
  </si>
  <si>
    <t>How fine grained is the role/data/action based security options on the platform and how configurable are they? How fine grained is the role/data/action based security options on the platform and how configurable are they?</t>
  </si>
  <si>
    <t>1 = pre-defined roles. 2 = pre-defined roles with edit options selectable by roles. 3 = role sub-classes which are modifications of basic roles, possibly for a single user. 4 = roles can be defined not just by selections, but on data views or particular workflows</t>
  </si>
  <si>
    <t>Please describe your user experience (overall) including design approach. Please describe your approach to navigation, menu elements (and ability to hide elements), columns, overall form structure/organization, visual design, product workflow. What other UIs have inspired your design (in the consumer or business world)? When was your overall UI framework last implemented or updated? How many full-time UI designers are on your team?</t>
  </si>
  <si>
    <t>Please describe your cloud architecture (e.g., single-instance multi-tenant application run on a 'virtualized' and elastic platform). Is your SaaS approach only true multi-tenant, or can separate app instances be maintained (e.g., residing with data on servers that can be run in different countries)?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t>
  </si>
  <si>
    <t>1 = ASP in a cloud wrapper. 2 = standard one-size fits-all multitenant. 3 = customizable multi-tenant where each client can have their own view, restrict data to certain locales, have surge processing power dynamically added or dropped. 4 = the architecture supports load-balancing to specific single-use database instances or processing server instances so each client has a virtual single instance (would include other capability beyond which is previously addressed -- but including 1-3)</t>
  </si>
  <si>
    <t>Do you offer an on premise options? If no, what private cloud capabilities do you offer (e.g., to have data reside locally -- and fully encrypted at rest). If offered, is it legacy software that is separate from the SaaS version -- or is cloud version pushed to end user to run locally? 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t>
  </si>
  <si>
    <t>1 "we install, and when you want an update, you call". 2 = standard patch upgrade support (like previous MS non-forced update strategy). 3 = dynamic pull from master image on an update server that auto detects version and runs all of the update scripts sequentially with each patch application. 4 = would include capability beyond which is previously addressed (but including 1-3)</t>
  </si>
  <si>
    <t>Explain the use of block chain technology within your solutions or plans to deploy block chain in future releases. What type of block chain capabilities are you actively researching and/or developing (e.g., "smart contracts")? Are you working with a customer advisory council in this area, and if so, what is their willingness to support a distributed ledger model?</t>
  </si>
  <si>
    <t>Explain the use of mobile technology within your solutions overall and your roadmap for future mobile adoption. Please highlight how you support mobile users (e.g., responsive design to work across all devices or mobile app for basic functionality like approvals). What percentage of system interactions today are driven by mobile clients? 2015? 2016? Forecast 2017?</t>
  </si>
  <si>
    <t>If not already covered elsewhere, please explain how many base currencies do you support? Also please describe multi-currency support such as foreign exchange translations or other capabilities</t>
  </si>
  <si>
    <t>1 = We integrate a third party app. 2 = we integrate a third party app that we have trained on sourcing and procurement terminology and workflows. 3 = we have developed our own intelligent app infrastructure and trained it on our platform and sourcing workflows. 4 = would include capability beyond which is previously addressed (but including 1-3)</t>
  </si>
  <si>
    <t>Do you offer any form of machine learning with your existing production system? If so, please describe what ML approach/algorithms are used to do what functionality</t>
  </si>
  <si>
    <t>Please describe how you support software agents that help improve the capabilities of your system. If you don't have any, please describe what you're evaluating or building</t>
  </si>
  <si>
    <t>1 = simple phrase mapping file for menu options. 2 = replacement rules for menus, workflows, help files, etc. 3 = multi-lingual personalization options for global deployments. 4 = would include capability beyond which is previously addressed (but including 1-3)</t>
  </si>
  <si>
    <t>1 = we support XML and EDI. 2 = we support a number of standard natively including docx, pdf, and other formats our customer organizations use on a daily basis. 3 = we support a whole host of file exchange standards between ERP, Accounting, and other enterprise systems. 4 = would include capability beyond which is previously addressed (but including 1-3)</t>
  </si>
  <si>
    <t>Please describe typical integration points that you typically implement at customers (e.g., master data integration for users/contracts/suppliers; process integration with POs/Invoices; eSignature partner; etc.) Describe typical (and atypical) system integration options. Describe how the platform and service provider handles multiple instances. Describe any integrations not addressed already</t>
  </si>
  <si>
    <t>How many out of the box APIs do you make available (and feel free to describe more about them and/or your approach here)?</t>
  </si>
  <si>
    <t>Describe the out-of-the-box ERP integrations supported, how configurable they are, whether they are real-time, and other relevant factors</t>
  </si>
  <si>
    <t>1 = just Oracle and SAP, through regular flat file uploads. 2 = a host of standard ERP through API integration and daily updates. 3 = extensive ERP integration with real-time updates, push/pull against data masters. 4 = would include capability beyond which is previously addressed (but including 1-3)</t>
  </si>
  <si>
    <t>Describe out-of-the-box P2P and related technology integrations, how configurable they are, whether they are real-time, and other relevant factors</t>
  </si>
  <si>
    <t>1 = just Ariba and Coupa, through regular flat file dumps. 2 = a host of standard P2P through API integration and daily updates. 3 = extensive P2P integration with real-time updates, push/pull against data masters. 4 = would include capability beyond which is previously addressed (but including 1-3)</t>
  </si>
  <si>
    <t>Describe other relevant, best-of-breed, systems that the platform integrates with and the extent of the integration</t>
  </si>
  <si>
    <t>If not already covered, please describe your approach to customized CLM process configuration as well as both basic and advanced workflow configuration (based upon an evaluation of the strategic nature of the contract the dollars involved, the industry, and/or regulatory controls that need to be adhered to)? Approaches could be based on users, departments, commodities, roles, content groups, approval steps, delegated approvals, custom fields/requirements, accounts, etc.</t>
  </si>
  <si>
    <t>If not already covered, please describe the extent of workflow configuration across the modules and functionality and any integrated third party applications</t>
  </si>
  <si>
    <t>If not already covered, please describe the globalization capabilities, paying particular attention to capabilities beyond multi-currency and multi-lingual</t>
  </si>
  <si>
    <t>walnut trick</t>
  </si>
  <si>
    <t>walnat trick</t>
  </si>
  <si>
    <t>OriginalOrder</t>
  </si>
  <si>
    <t>Describe the process and alternatives to create/onboard a catalog in your system. For example, "flipping" a contract into an e-catalog, a traditional catalog loading process that leverages either excel, CSV file formats, EDI, email or a template that suppliers filled and load it by themselves. Explain your capablities to onboard catalogs with different data structures or different granular level of detail (e.g., pictures, "how to" instructions, attachments, detail descriptions, UNSPC codes, manufacturing numbers,etc.). Explain how during daily activities new items (and services) can be added/modified in an existing catalog. Describe direct integration capabilities with suppliers to create/maintain catalogs in real-time. Describe suite-based integrated features such as catalog creation directly from sourcing eventI. If applicable, describe any supplier costs to maintain catalog content (e.g., subscription fees). Describe your Punch-out capabilities, Can a punchout be self-service (i.e., configured by the customer)?</t>
  </si>
  <si>
    <t>Describe the native or partner support process and mechanisms used for catalog clasification, cleansing and enrichment. Describe the mapping and ongoing data synchronization process to the source record. Explain how data quality approaches insure the accurate conversion of unit of measures, currencies and languages for multi-country usage purposes (for example, accounting records, issuance of POs and invoices, side-by-side items comparison, etc.). Explain if there is an AI/machine learning (or other) approach for capability, control and enrichment of catalog and non-catalog content. Explain the capability to maintain real-time price information (internal and external catalogs) .Describe your capability to control data quality by creating and executing rules to automatically validate, enrich &amp; clean catalog content. Describe the levels of exception managemnet/control for error correction to enrich the content</t>
  </si>
  <si>
    <t>Explain the process and mechanisms use to add/change/delete of catalog records across suppliers, buyers, and intermediaries. Explain your integration approaches to source systems like ERP, CAD/PLM, tech pubs, ECM, MDM, etc. Explain your support of (and translation between) multiple standards such as PIDX, RNIF, OCI, cXML, CIF, EDI 832, BMEcat, etc.</t>
  </si>
  <si>
    <t>Describe the approval features and process, are there workflows, business rules involved, is there a collaborative mechanism between buyers and suppliers (feedback, disputes, notes, etc.), a graphical view, email alerts, drag &amp; drop change status capability (evaluating, approved, live, etc.) access base on user profiling -- or related capabilities you would like to highlight</t>
  </si>
  <si>
    <t>Describe all type of objects and mechanism to include planned, non-planned and repetitive purchasing scenarios. Example might include Items, lists, kits, e-forms, smart forms, bundles, an internet spot buy. Explain features such as catalog item taxonomies &amp; attributes, part number cross-referencing, custom price logic, tiered pricing ability, secure links to supporting documents (e.g., drawings, "how to" instructions, buying policies, etc.). Are buying policies configurable to appear in context of the item requested? Can access to catalog content (e.g., based on user /roles) be restricted? Describe all inherent business logic or "AI" inherent to a product or services (workflows, business rules, systems or object calls, etc.). Please describe all type of flags available (for example: contracted, inventory, similar, preferred, etc.) Describe the capability to integrate forms (e.g., eforms/smart forms/webforms) and associated UI components. What percentage of catalog configuration can be done in-house (self-service via a business resource) vs. requiring IT, vendor of consultant resources?</t>
  </si>
  <si>
    <t>Describe mobility features (i.e., what can be enabled via a mobile environment) for catalog management functions. Please describe your security capabilities to enable touch-forms (smartphone and tablets) without sacrificing functionality or creating additional risk factors through the different forms of mobile access -- app and non-app</t>
  </si>
  <si>
    <t>Describe the type of analytics available for catalog management. Please describe standard reports (or attach screen shots). This could include, duplicates, non-used, non-contracted items, etc. Please describe use of guided analytics (e.g., AI/machine learning) underlying components if applicable. Describe the ability to configure a dashboard to to providing catalog "health" or snapshot reporting (e.g., catalog changes, price changes, errors, missing items, fields, images, etc.) What level of search analytics are available to help administrators understand/ explore queries such as: what people are searching for (but not finding) specific items, top searches, lowest search conversion rates, item conversion rate over time, item conversion volumes over time, etc.</t>
  </si>
  <si>
    <t>Describe what new features &amp; functionalities are in your catalog management roadmap in the next 12 months. In addition please mention any feature/functionality that we might have overlooked</t>
  </si>
  <si>
    <t>Do you provide leveraged contracts/pre-negotiated pricing today in pre-loaded catalogs? If so, please describe the program and attach supporting documentation, including uptake/volume, savings, etc.</t>
  </si>
  <si>
    <t>Do you enable the ability to enable users to shop across Internet sites, and pull the item back into the solution for pre-approval (with integration to understand where additional catalog SKUs/content would be used if available)</t>
  </si>
  <si>
    <t>What enables your catalog management capability to stand out from others -- if it does (it's OK if it does not!) but we'd like to understand what you think makes you different and better than others</t>
  </si>
  <si>
    <t>Describe the different requisition set-up options available to users/administrators beyond basic default options. For example: allow quick Item entry, allow several "ship to" addresses, hide change request type, allow multiple account allocations, etc.</t>
  </si>
  <si>
    <t>Describe your capabilities to restrict access based on different criteria (e.g., individual users, groups of users, BU, company, project) to an e-store (we define e-store as the virtualized shopping "store" for users). Describe the ability to personalize the user interface based on the user (e.g., logos, menus, displayed information, etc.) Describe your e-Store default fields/tabs (e.g., recent searches, also viewed, bundle options, statistics, pending tasks, lists of products, eForms, templates, etc.)</t>
  </si>
  <si>
    <t>Describe the type of information that the Marketplace´s front page dashboard can display (top level fields). Describe its configurability, flexibility and why/how it is easy to use (e.g., drag &amp; drop features) in your perspective. Describe drill down capabilities throughout all processes flows (including the display of related document, RFx, contact and other data). Describe the ability to select the results and compare them</t>
  </si>
  <si>
    <t>Describe how the system can enable different profiles to support "mass customization" of the shopping experience (e.g., per user, company, category, contract, project, etc.) Describe the detail of a profile configuration and how profiles are configured</t>
  </si>
  <si>
    <t>Explain the process, features and strengths of the search engine (for example, the ability to search on key words, enable federated search across different source content types simultaneously, parametric/filters such as company attributes, product attributes, categories, suppliers, price, flags). Describe your capability to provide keyword and "type-ahead" suggestions. Describe your ability to provide multiple catalog search filters to refine results. Describe the ability to search based on contracted SKUs, inventory items, like/similar items, preferred items/suppliers, etc.) Describe the underlying capabilities to enable search (e.g., rules-based modeling, description search, punch out (support for level 1, 2 models), transparent punchout (same UI), Internet search, accessibility / integrated into internal workflow, etc. How do you handle a search that produces no results; is the user guided to a next step?</t>
  </si>
  <si>
    <t>Describe content integration to third-party sources (e.g., in the case of non-contracted spend or spot buy SKUs). Capabilities could in clude the ability and interface to select a non-contracted spend item from a third-party site (e.g., eBay, Amazon, etc.) and add that item to the shopping cart. Describe ability to search, refine, compare and add items to shopping cart individually and in comparison to other searched items</t>
  </si>
  <si>
    <t>Describe your process to create requisitions. For example: add one or multiple providers items to a cart (on-behalf or not) from supplier catalogs, buy directly from punchout sites, use a free-form request or form template, purchase with one click from any website, select items with a label scanner, integrate with project management tools, inventory/MRP and travel requests. Describe approval routing (by requisition process type, if restricted), ability to check against budgets by user, BU, account project, etc. (and also against business rules for procurement approval by source, type, category, cost center, value, department, project or any complex or multi-criteria scenario, such as all of the previous factors). Describe the ability to integrate with a sourcing application or to eProcurement application for creating different PO types (one-time, blanket/limit, and/or PO release / "call off"). Describe your ability to create multiple requisitions (from one chart) based on approval and business rules. Explain how you insert special instructions for vendors. Describe your ability to handle tooling requisitions. Describe your ability to handle assets (track asset value/depreciation, track warranties, service schedules, configure asset attributes, etc.) Describe your ability to "block" a requisition or PO process if suppliers are not qualified or if preferred/designated suppliers already exist for a specific item or category. Describe your ability to aggregate multiple requisitions (based on for categories or commodity codes) and create a single requisition (e.g., to take advantage of tiered pricing, rebates, order/shipping consolidation or take advantage of other savings opportunities). Describe contract compliance procesess for tiered pricing. Describe your ability to support pre-configured item lists that can be executed by picking items that are needed, setting par inventory par levels, recording on hand inventory and guiding users to what they will need to buy (automatically) based on these criteria? . Describe how much time it takes (typically) for an end user to create a requisition properly coded to the correct GL code. Please also describe outlier scenarios.Describe how much time it takes to train an end user on how to use the requisitioning system.</t>
  </si>
  <si>
    <t>Describe your integration options with third-party systems such as IMS, WMS, MRP, and travel &amp; expenses to generate requisitions</t>
  </si>
  <si>
    <t>Describe mechanisms to support non-cataloged item requisitions. Examples might include: e-forms / smart forms / e-templates / etc. Explain support for services requests (e.g., "how to" request forms, pre-populated templates, etc.), how services may be requisitioned through your native solution (i.e., contracted as part of an eProcurement product). If you have separate offerings or partner offerings for service procurement outside of capability that is included as a core component, please note and explain (or provide links) to these offerings. Describe how you support temporary labor requests (e.g.,, capture full service requirement profiles, define levels, work locations, expected duration, milestones and deliverables, and rate cards). If applicable, describe VMS integrations and partnerships . Describe how suppliers can create timesheets as part of the core eProcurement offering or via a partner offering. Please be clear on whether this is native to the eProcurement product, a separate module or a partner solution (and additional associated costs with enabling this capability, if applicable)</t>
  </si>
  <si>
    <t>Describe solution capabilities for users (shoppers, approvers, etc.) to search suppliers based on preferred / qualified status before finalizing a requisition and PO</t>
  </si>
  <si>
    <t>Describe the mechanisms to support repetitive requisitions and features supporting features (e.g., lists, kits, bundles, intelligent re-ordering workflow (with the ability to include tolerances / business rules), etc.). Do you handle e-forms? please describe how many are included, and if they are self service configurable by a customer business administrator or need vendor or IT support.</t>
  </si>
  <si>
    <t>Describe the help &amp; support mechanisms accessible during the requisitioning process. These could include: videos, policy documents, contact information, on-line chat, "how-to" instructions documents, FAQ, etc. Do you have an user community to exchange expertise (if so, how many companies are active members and what is the level of activity?)</t>
  </si>
  <si>
    <t>Explain the shopping cart and checkout process options available. For example: draft carts, create on-behalf of, select billing account (modify or split accounting), select shipping address per cart or line item (multiple), ability to add, cancel items, change quantities, add to favorites, upload attachments to a specific line item within the basket, multi-currency conversion to local currency, access to user support (on-line / Q&amp;A), budget checking, alerts/warnings, data segregation by business units, etc. Describe your ability to transfer chart to super buyers (same or different system) to finalize the requisitioning process. Describe your ability to allow shipping based on individual line-items</t>
  </si>
  <si>
    <t>Describe the approval engine features including configurability, approvals (email, application, line level), workflows (business rules: simple / complex- trigger from any object, etc.), graphical view, dynamic updates (requisition modification, delegations, new approvers /observers, auto-escalate), budget checking, rejection flow logic (such as resubmission, alerts, etc.) Explain the ability for line level approval/rejection, to trigger a threaded discussion, clarification or collaboration, etc. Describe ability to reassign approvable roles and extend review periods</t>
  </si>
  <si>
    <t xml:space="preserve">Describe your "guided buying" approach and what type of information is displayed/available during the requisitioning process to support user guidance. How does the application handle the following scenarios or inputs to guided buying individually and collectively? Examples: “how to” buy instructions, requirements/policies, budgets levels, inventory levels, supplier delivery times, supplier TCO, product feature comparisons, historic comparison prices, contracted vs. not contracted, preferred or similar products, minority/diversity vendors, risk/SER, supplier performance, supplier capability profiles, bundle recommendations, on-line promotions, product rating-reviews (internal-user comment) and any other context information that can support better purchasing decisions for the user and the business. Are there any business rules / logic that can display specific content based on the user, project, BU, company profile, supplier risks/ratings, budget constraints, payment terms, savings percentage, etc. Describe your guided buying ability to buy purchase both goods and other categories including non-catalog items, T&amp;E, contingent labor, etc. in a single environment
</t>
  </si>
  <si>
    <t>Describe how the solution enables basic e-sourcing ( e.g., "3 bids in a box") and advanced integration with e- sourcing modules, if applicable, based on organizational sourcing and category compliance and other requirements; Describe the ability for procurement to initiate a sourcing event diretly from a requisition (based on volume, cost, category or other "flaggign") for better pricing</t>
  </si>
  <si>
    <t>Describe your budget creation/integration (with budget systems) and associated processes and integration. Explain your ability to track budget impact throughout the requisitioning and purchasing process. Explain your capabilities to trigger alerts or hard stops when the budget is exceeded at a user, BU, account or project level. Describe any "visual" components that can guide users to make more informed decisions based on budgets. Describe budget checking integration with ERP and other systems</t>
  </si>
  <si>
    <t>Describe your inventory creation/integration (IMS/WMS) process. Explain the ability to track inventory impact throughout the requisitioning and purchasing process. Explain your capabilities to do inventory transfers, inventory adjustments, auto replenishment requisitioning, etc. Do you provide a native inventory solution or direct connectivity into third-party inventory management solutions via partnership? If so, please describe the capabilities of your solution / partner solution.</t>
  </si>
  <si>
    <t>Describe your analytics philosophy. Explain the types of analytics available for requisitioning. Example: leveraging user behavior patterns to improve the user experience, information that is presented contextually, type of dashboards, etc. Describe if there is any embedded analytics/predictive capability. Explain how the application supports “what if” scenario logic</t>
  </si>
  <si>
    <t>Please describe your approach for accurate conversion of units of measures, currencies and languages for multi-country usage purposes</t>
  </si>
  <si>
    <t>Describe your ability to handle multi-currencies and multi-languages for multi-country usage purposes as well as cross-border system integration and reconciliation. List and describe all (please be thorough if applicable).</t>
  </si>
  <si>
    <t>Describe what new features &amp; functionalities are in your e-requisitioning roadmap in the near future. In addition please describe specific capabilities of the key "sub" feature/functionality that are in the roadmap</t>
  </si>
  <si>
    <t>Describe how you configure / set up the ordering process for users and the degree of flexibility in the configuration. For example: order tolerance thresholds, allowing administrative changes for POs, allowing creation of POs from contracts, allowing a "one-time" ship-to address, enforcing single account allocation, enabling punchout commodity specialization, default taxable amounts (e.g., by commodity), requiring that orders containing non-standard Items must be sequenced for approval, disabling the auto-creation of revision for change request, etc.</t>
  </si>
  <si>
    <t xml:space="preserve">Describe your process and ability to create POs (including customizing PO design) from approved requisitions or when no requisition exists. Explain your ability to support multiple POs per requisition, combine multiple requisition lines to into a single PO, support multiple currencies and languages, route for approval based on business scenarios (e.g., automated inventory, contract, budget checking, etc.) Mention all types of POs supported (e.g. one-time, blanket/limit, and/or PO release as well as "call offs"). Explain other capabilities such as automatic PO creation based on business rules, a [reverse] 'flip' of an invoice to a purchase order (based on automated approvals), etc. Describe your ability to validate contract pricing against a PO, reassign a PO to a different vendor, etc. Describe your ability to process a PO created from an external system such as ERP, WMS, Work Management (e.g., field tickets), etc. For inventory orders, please describe how a pick list is created and an order is fulfilled. Describe how your solution provides intra-company purchase order capability. Describe if cXML ordering can be configured by the customer or if it requires a third-party (Is there any additional cost associated with enabling cXML?)
</t>
  </si>
  <si>
    <t>Please describe the mechanisms to insure contract compliance in both standard PO, specialized PO (e.g. blanket) and non-PO requisitioning models.</t>
  </si>
  <si>
    <t>Describe ability to extend PO collaboration through integrated third-party solutions (e.g., tax solution providers, customs/compliance/import solutions) to enable total landed cost and other scenarios</t>
  </si>
  <si>
    <t>Describe your ability to attach supporting documentation (e.g., statement of work, drawings, specifications, etc.) What level of document security is possible in your system for these attachment scenarios? Describe the system's approach to receive order response/acknowledgements, process changes/deletions, manage order status requests/responses via different transactional standards (e.g., EDI / XML) and a portal interface, manage disputes, generate audit trails, etc. Describe your ability to send a PO (including attachments) to an ERP environment</t>
  </si>
  <si>
    <t>Describe your communication process between buyers and suppliers. Explain your transmission methods (e.g., email, fax, cXML, EDI, web form, portal, network) and your ability to manage workflows and integrations to electronically communicate POs to suppliers, receive order response/acknowledgement, process changes/deletions, and manage order status requests/responses. If you take a network approach to PO and other document communication, please explain the approach and include supporting architecture documentation showing one-to-many, many-to-many, multi-tier and other specific connectivity models (or reference in more detail in the "network" tab). Please also describe any value-added services of this offering</t>
  </si>
  <si>
    <t>Describe your ability to capture and handle buyer/supplier interactions, manage workflows and integrations to enable buyer/supplier collaboration (receive orders, send responses/acknowledgements/requests, process changes/deletions, manage order status), manage disputes, audit trails, etc.</t>
  </si>
  <si>
    <t>Describe the supplier's ability to override PO information (e.g., quantities, delivery method, prices, etc.), add/delete items (swapping), communicate responses/acknowledgements/requests, manage disputes, show order status and the ability to approve orders on the line-level</t>
  </si>
  <si>
    <t>Describe your ability to integrate to relevant contingent labor systems (including VMS, VMS/MSP, SOW, freelancer management and specialized category solutions) and services providers for finding, selecting, and managing contingent labor, contractors and services categories (e.g., temporary labor, staffing resources, 1099 contractors, "gig" workers, etc.) Describe your ability to create a services PO compliant that is compliant with policies. Describe your ability to integrate service entry sheets with the ERP environment</t>
  </si>
  <si>
    <t>Explain if you support integrations to third party logistics firms and related third-party tools/providers for shipment documentation (e.g., customs declarations and manifests). Please specify capabilities here as well as partners used. Please also describe tax, tariff, harmonized code and other support considerations and partners (e.g., escrow, inventory finance, etc.)</t>
  </si>
  <si>
    <t>Describe the mobility features of your ordering process including integrated security capabilities for a mobile environment. If mobile is a differentiator for your solution, please explain why and how it stands out from others</t>
  </si>
  <si>
    <t>Describe the type of analytics available for ordering. Examples include: performance benchmarks, KPIs, full audit trail visibility, etc.</t>
  </si>
  <si>
    <t>Describe what new features &amp; functionalities are in your ordering roadmap in the near future. In addition please tell us what you think makes your solution "shine" in the ordering area, standing out from others -- today and tomorrow.</t>
  </si>
  <si>
    <t>Describe the key "set-up" steps for the receiving process and ability to support customized scenarios (e.g., enabling receipt of negative quantities, double-step receiving, validate receipt quantity, requiring a receipt vs. no receipt required, requiring end user receipts, allowing changes to suppliers, enable notification when no receipt exits, etc.)</t>
  </si>
  <si>
    <t>Describe your ability to process/communicate advanced ship notices (ASNs) and bills of lading (BOL) from suppliers (and BOL responses from buyer if needed) as well as other related documentation, if applicable</t>
  </si>
  <si>
    <t>Describe your receiving process. This may include support for configurable receiving functionality including desktop, centralized, hybrid receiving (multi-shipped / partial / bulk / decimals / allowances for open/blanket POs), receiving with inspection capability (returns management), flexible matching rules (and managing required documentation to complete a receipt), supplier barcode / RFID support, and integration, warehouse receipts, and asset receipting. Describe if your solution has the ability to enable both end user receiving and central receiving. Describe your ability to handle assets (e.g., track asset value/depreciation, track warranties, service schedules, configure asset attributes, etc.) Describe your ability to receive receipts by line items on orders. Describe how your solution receives an item into inventory. Does your solution allow for a user to receive via browser, email and mobile specific clients? If so, which ones?</t>
  </si>
  <si>
    <t>Describe your ability to integrate receiving activity to other needed processes such as ERS (where PO-receipt match can auto-generate the invoice), eInvoicing, eProcurement, and hosted inventory management (e.g., SMI/VMI, inventory collaboration, etc.). Please include customer use cases or documentation to show support for advanced scenarios (if applicable)</t>
  </si>
  <si>
    <t>Describe the mobility features of your receiving process including mobile-specific security components</t>
  </si>
  <si>
    <t>Describe the type of analytics available for your receiving process. Example: returns, performance benchmarks, KPIs, full audit trails, etc.</t>
  </si>
  <si>
    <t>Describe what new features &amp; functionalities are in your receiving roadmap in the near future. In addition please mention any feature/functionalities that we may have overlooked</t>
  </si>
  <si>
    <t>Describe your onboarding process for suppliers including the enablement process (e.g., training and approvals) and the maintenance process (updates/new required data). Please describe your methods and capabilities to manage the on-boarding process (e.g., third-party service support/help desk, managed service, web forms, portal templates, requirements and certifications, background checks, regulatory and reporting requirements, localized requirements, requirements for new suppliers in high risk countries, etc.) and to capture suppliers (buyer/supplier invitation, mass-market supplier on-boarding approach, etc.) Please describe your supplier integration capabilities with supplier systems. Please also note your workflow capabilities for supplier on-boarding as well as how you manage parent/child linkages as part of the process. If there is anything we have left out in this question (or this sheet) which makes your supplier onboarding approach different from others, please share these additional considerations and elements of your product or embedded solution/services. Please include typical examples of volumes of suppliers enabled in small, medium and large deployments (Describe typical timelines). Describe how much time it takes a supplier to register on a supplier network (include time required for their legal to review contracts / terms and conditions and, if applicable, associated fees?) . Describe how much time it takes to train a supplier on how to use the network. If you offer additional supplier enablement options, does this preclude the supplier from using the standard supplier network functions?.</t>
  </si>
  <si>
    <t>Describe how you maintain supplier information being current, compliant (and of course accurate!) Explain how you establish data privacy when it comes to storing sensitive individual information (such as tax IDs for sole proprietors), and issues as transparency &amp; auditability. Explain how you manage supplier financial and risk assessments, background checks, regulatory and reporting requirements, localized requirements, requirements for new suppliers in high risk countries, etc. Explain your workflow capabilities for supplier information management and how these are tied into your overall P2P capabilities. Also explain any many-to-many or one-to-many information capture approaches and how data that is managed via the network can be augmented for individual buy-side customers with specific information requirements</t>
  </si>
  <si>
    <t>Describe how you ensure supplier contract compliance and linkages with suite-based and third-party contract management systems. Describe your mechanisms to monitor, evaluate, report and improve supplier performance. How do you monitor supply risks on a continuous basis via the network. Do you integrate with 3rd party solutions to evaluate supplier risk?</t>
  </si>
  <si>
    <t>Describe which catalog management capabilities can be executed from the portal (and which cannot)</t>
  </si>
  <si>
    <t>Describe which order management capabilities can be executed from the portal (and which cannot)</t>
  </si>
  <si>
    <t>Describe which invoicing components can be executed from the portal (and which cannot). If suppliers have multiple customers on the network, can they see all related invoicing (and associated trade documents) through a single log-on?</t>
  </si>
  <si>
    <t>Describe any network-based value-added services. These could include "network-based" transactional intelligence (e.g., the network 'learns' how to convert OCR'd supplier PDFs for small suppliers). Additional capabilities could include member-driven benchmarking, template-development, industry-specific frameworks / standards, supplier search/matching based on RFI/RFP requirements, etc. Do you provide a simplified process for collaboration/document exchange with low-volume or one-off suppliers that captures and manages all relevant information?</t>
  </si>
  <si>
    <t>Describe how your customers have connected to different intermediaries via your network (e.g., third-party EDI hubs, supplier networks, etc.). Which ones? How do you manage standards, data persistence (which standard) and any fee considerations associated with third-party connectivity integrations?. For global deployments, describe how you enable customers to use a single or multiple supplier networks for connectivity. If multiple supplier networks will be used, how will integration between the supplier networks be handled?</t>
  </si>
  <si>
    <t>Do you have to be on the portal to transact and collaborate? . Can suppliers receive an order, add comments, ○ Acknowledge and create a legally compliant invoice via email … with NO Portal Registration. For transmission methods such as EDI, cXML does the vendor have to be on the portal/network, or can they connect directly to the customer P2P instance with no portal connection?.</t>
  </si>
  <si>
    <t xml:space="preserve">Describe your approach to customized P2P configuration as well as both basic and advanced configuration scenarios.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chart of accounts/accounting structure (e.g., SAP, Oracle, Lawson, etc.). Describe the process for configuring custom fields/web forms (What are the limitations/constraints in terms of what can be enabled?)
</t>
  </si>
  <si>
    <t>Describe the elements available to configure business rules. Describe your competitive differentiators based on business rules configurability, visual workflow components, etc. Are the rules/workflow capability native to your platform or licensed (if the latter, which technologies are embedded?)</t>
  </si>
  <si>
    <t>Please describe in detail (self score not needed)</t>
  </si>
  <si>
    <t>Describe your ability to enable self-service configurable by a customer business-level administrator (e.g., no development/coding/pseudo-coding skills required). Describe the extent to which a business-user can configure the system (vs. a system analyst or other technical resource -- or vendor/consulting expert resource)</t>
  </si>
  <si>
    <t>Describe your ability to enable self-service configurable by an in-house technical resource (e.g., limited development/coding/pseudo-coding skills required). Describe the extent to which a technical-user can configure the system without external (vendor or consultant) expertise</t>
  </si>
  <si>
    <t>Is a vendor or trained consultant required for certain or all configurations? if so what are typical turnaround times and costs (hourly FTE) associated with this work?</t>
  </si>
  <si>
    <t>What percentage of your deployments include code-level customization? If applicable, please describe the types of customizations that you have enabled?</t>
  </si>
  <si>
    <t xml:space="preserve">Please describe your cloud architecture (e.g., single-instance multi-tenant application run on a 'virtualized' and elastic platform).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
</t>
  </si>
  <si>
    <t>Explain the use of robotics technology, embedded AI/machine learning capability, etc. What is in your roadmap in these areas? Do you employ data scientists on staff? If so, please describe your team and its credentials</t>
  </si>
  <si>
    <t>Explain the use of big data technology (e.g., business intelligence, customer data integration approaches, real-time "hubs", artificial Intelligence, etc. Please describe the experience and credentials of your analytics team</t>
  </si>
  <si>
    <t>1 = limited, email-like approvals and simple request views only for the buyer. 2 = decent - event status and data viewing, simple reports, and commenting for the buyer and invitation viewing, issue notification, and bidding for the supplier. 3 = extensive (i.e., pretty much any data that can be viewed/entered on a mobile device can be viewed/entered). 4 = where you have found novel ways to do more with mobile than their peers (e.g., full mobile-enabled chat infrastructure that can capture requests and input via chat)</t>
  </si>
  <si>
    <t>Explain the use of IoT technology within your solutions (if used) and your IoT roadmap (if applicable)</t>
  </si>
  <si>
    <t>Explain the use of conversational technology within your solutions in such areas as user-initiated help requests, guided buying, etc. Please describe your roadmap in this area</t>
  </si>
  <si>
    <t>Describe your support for open standards, particularly surrounding document/data standards (e.g. PIDX). How this has been developed / implemented? Are you working with / driving any standards-body initiatives? Do you provide a platform that enables others to develop or co-develop capabilities? Do you provide a platform for supplier to integate their financial and accounting systems through a standards-driven environment?</t>
  </si>
  <si>
    <t>Describe typical (and atypical) system integration options.Describe how the provider handles multiple instances. For example, if an organization has multiple ERPs but wants a shared eProcurement deployment, do you typically deploy a single instance of your software for them, or typically multiple instances? Describe how this works in practice</t>
  </si>
  <si>
    <t>Describe your ability to natively (or through partners) aggregate, cleanse, classify, enrich, and harmonize existing data to make it timely and accurate to drive sourcing, category managment and transactional procurement efforts. Describe existing abilities to also validate data against external sources (tax authorities, prohibited/denied parties lists, certifying ISO authorities, etc.)</t>
  </si>
  <si>
    <t>Describe the key "set-up" components and capability of the invoice receiving process "out-of-the-box" on a configuration basis. These could include: auto-matching method/approach, auto PO closeout capabilities, voucher tolerance, ability to update received quantity upon approval, send notification to requisitioner when invoice is created, enable price tolerance exceptions, enable receipt quantity exceptions, allow line item description edit, enable do not edit payment information, account allocations, enable invoice extract, enable standards as cXML/UBL/PEPPOL -- via administrative interface, supplier portal (configuration), etc.</t>
  </si>
  <si>
    <t>Describe your ability to capture and create invoices (e.g., PO Flip model / Non PO invoice) or generate an automated recurring invoice. Share your capabilities and approach to support the following or related scenarios: using a public or private supplier network (or portal) inclusive of invoice capture capabilities (e.g., PO flip, e-form capturing, file uploading), using a web XML template to capture invoice data, using an EDI model for B2B integration purposes including but not limited to invoice-related documents, OCR approaches to convert paper (or email PDF) into e-invoices with the inclusion of a data validation process as well as manual processes to handle paper invoices (Provide Service Level Agreements and quality commitments). Describe any intelligent data capture approaches for paper invoices and your ability to support an internal or third-party managed mailroom approach (e.g., to manage incoming invoices in cases where paper will still be involved for small suppliers), etc. Describe any unique capabilities of your approach and solution if we have missed any components that you think are important to your differentiation/approach for invoice creation/capture</t>
  </si>
  <si>
    <t>Is your solution capable of handling an invoice created directly from a contract? Describe your capability for matching an invoice against a contract and handling rule(s)-based exceptions. Does your solution provide a collaborative environment to manage services invoicing? Describe your ability to match POs and service-entry-sheets against a service invoice for exceptions and resolution</t>
  </si>
  <si>
    <t>Describe your ability to support collaboration between suppliers and internal stakeholders. These capabilities might include: response to suppliers, add/change/delete communications, invoice status inquiry/response, voucher communications, credit/debit memo communications, exception handling, remittance advice, dispute resolution and related collaboration requests. If there are any specific “tools” involved in collaboration, such as on-line chat capabilities or specific workflow solutions, please explain these components. Describe your ability to add people to a discussion on a specific document</t>
  </si>
  <si>
    <t>Describe your solution's capability to match an invoice (e.g., to a purchase order or a payment plan against specified criteria). These matching elements might include goods receipts and other specified criteria (flexibility to control 2- and 3-way match by supplier or spend type, match invoice lines against purchase order lines, etc.) Describe your ability to perform rules-based invoice validation based on business rules (e.g., tolerances, partial payments, etc.) and other commercial rules (e.g. currency conversions, rounding rules, and multi-authority tax calculations). Explain how you enable STP / touchless processing. Specify any value-added partners (e.g., tax calculation solutions).Describe your ability to capture, share, and store buyer/supplier interactions pertaining to commercial/invoicing disputes (e.g., audited threaded discussions). Describe your approval workflow capabilities (e.g., incorporating existing internal approval limits and organizational hierarchies, providing an escalation process when an invoice approver fails to approve the invoice in a designated time period (etc.) Provide examples of the most complex rules scenarios that you are supporting today</t>
  </si>
  <si>
    <t>Describe your e-invoicing solution integration with your end-to-end P2P and related system processes. Examples might include: eProcurement (center on incorporating the PO with the invoice and enabling a two-way (or three-way) match, as well as simplifying a supplier’s receivables processes); account payables and accounting (e.g., facilitating the invoice payment process and insuring an accurate invoice-payment reconciliation process), a shared service organization (AP proccessing), inventory and warehouse management (e.g., facilitating a three-way (or n-tier) matching processes before payment by incorporating goods receipt and potentially other document types and signals into the mix); master data (e.g., supporting accurate data and avoiding data silos), and business intelligence (to provide real-time insights), etc. Describe your overall integration model approach and options (e.g., published APIs, integration partnerships, PaaS/stack-based, etc.)</t>
  </si>
  <si>
    <t>Describe your ability to ensure compliance with the regulations of the tax authorities of specific countries (e.g., validated invoices, VAT compliance, digital signatures, electronic documentation and fiscal/accounting reporting, correct calculation and recording of taxes, archiving, etc.). Mention your country roadmap in terms of compliance (including which countries you can enable legal archiving). Mention where are your processing centers (Data Privacy/Data Protection) your commitments and SLA (including where you´ve subcontractors) Please focus on describing your support scenarios and capability beyond what Trustweaver offers to all providers in the sector. Describe how you incorporate trade regulations (e.g., import tariffs, harmonized code calculations, etc.) into the solution. Mention your actual certifications (ISAE 3402, ISO27001, NIST, other) if applicable in meeting internal compliance requirements explain your general approach to matching (e.g., 3-way), contract and price compliance, incorporation of related commercial data, updating information in third-party solutions, etc. Also describe your integration approach to drive business reporting in third-party systems in areas of tax, accounting, etc. as well as insuring internal and external auditing requirements (e.g., evidence/traceability, system and processing logs, e-invoice archives, etc.)</t>
  </si>
  <si>
    <t>Describe the mobility features of your invoicing process including support for mobile-specific security. For example: do you offer a mobile-specific solution to view an invoice, provide dynamic reporting based on location and other factors; how do you support mobile collaboration scenarios? Please describe any mobile specific differentiators of your solution that you believe that we may have left out</t>
  </si>
  <si>
    <t>Describe your ability to analyze invoice data (in depth and in real time) to acknowledge data quality issues, support sourcing/event/opportunity identification analytics, identify buying behaviors, enable forecasting, supporting audit trails, driving benchmarks analyses, offering finance options for supplier, etc. How does your analytics approach identify savings opportunities (cost avoidance and tax reporting, including tax recovery), show transaction-based metrics (e.g., cost per invoice processed, invoice growth rate, invoices paid without POs, invoices in dispute or invoices rejected, etc.) Describe your ability to configure an analytic dashboard and ability to take quick action at an invoice level. Please describe if your analytics approach is differentiated in ways we have not discussed. Also please describe if you offer broader spend classification, enrichment and validation capability as well as options for visualization (e.g., native BI, third-party BI) and drill-down (e.g., via a cube-based environment)</t>
  </si>
  <si>
    <t>Describe what new features &amp; functionalities are in your e-invoicing roadmap in the near future. In addition please mention any feature/functionality that we might have overlooked which you believe is material to your solution differentiation today and tomorrow</t>
  </si>
  <si>
    <t>Describe your payment methods/approaches. For example, this could include integration with an accounts payable ERP module (which would take control of the payment process post-approval), integration with p-card/v-card providers and integration with banks or third-party payment solutions</t>
  </si>
  <si>
    <t>Describe how you enable visibility into payment status. This description should include (if applicable) the ability to support cross-border scenarios involving payment in different currencies and the ability to perform payment plans within business rules (e.g., for recurring invoices corresponding to master contracts without a PO involved / a self-billing payment plan without supplier first sending an invoice). Explain your abilitiy to drive touchless processing. Describe your ability to handle advance payments. Describe your ability to manage invoices from suppliers under these circumstances for invoice validation and payment processing</t>
  </si>
  <si>
    <t>Describe how you support payment cards / virtual cards - single use- (and any partnerships, if applicable), including reconciliation, reporting and visibility (pre-integrated into the solution). If there is card integration into a native T&amp;E module which you support, please describe</t>
  </si>
  <si>
    <t>Describe any additional on-boarding support (e.g., KYC or SCF legal frameworks) for trade financing outside of standard network/invoicing on-boarding</t>
  </si>
  <si>
    <t>Describe the different options you offer for supporting balance and non-balance sheet funded trade financing options and whether these are periodic or recurring (supplier "opt-in"). Please attach detailed documentation in support of these capabilities and provide customer examples for different financing options. Supported capability (please provide details on all relevant capabilities and models) may include: invoice discounting/dynamic discounting, dynamic payment terms, reverse factoring (approved trade payables financing / SCF), factoring, inventory finance programs, card-based financing programs, hybrid programs. Please note if your technology supports financing automation (e.g., supplier opt-in per certain requirements/constraints/matches). Please list all third-party technology, finance, trade credit, trade insurance and related partnerships and also support in specific countries (if applicable) outside North America; are financing options tied to a single bank or non-bank financing institution or multiple providers. Please describe your current financing volume levels and committed facilities (by third parties). Please also list committed facility examples in balance sheet funded programs and the number of balance sheet-funded programs in operation with at least $1MM (average) in funding over the past 6 months. Please describe typical APRs offered to suppliers by supplier tier and "uptake" on financing offers to date. Please describe your payment offerings/partnership and number of customers supported via these payment integrations (if applicable) not already described above. Please describe (in the case of third-party funding) any type of rebate mechanism and/or the ability to contribute to funding via a special purpose or other vehicle. What do typical economics of these structures look like?</t>
  </si>
  <si>
    <t>Describe your ability to support collaboration between buyers, suppliers and third-parties (if applicable) for negotiation / remediation purposes in the case of standard discounting or recourse arrangements</t>
  </si>
  <si>
    <t>Describe any financing-specific analytics (for buyers and suppliers). These could include dashboards and analytical environments to support working capital analysis, working capital requirements, available cash (by geography or P&amp;L), rebate structures/visibility, etc.</t>
  </si>
  <si>
    <t>1 PHP code with limited formalized processes, development standards; 2 standard Java / C# stack with generally acceptable MVC separation; 3 fully normalized Java / C# stack with multi-database and multi-view layer support for scalability and back up and for extensive desktop and mobile interface support; 4 would include capability beyond which is previously addressed (but including 1-3)</t>
  </si>
  <si>
    <t>How extensive is the charting and graphing capability? Is it basic pie charts, bar charts, and other standard Excel fare, or does it support treemaps, scheniderman diagrams, extensive, modern, 3D graph capabilities, and so on?</t>
  </si>
  <si>
    <t>Describe the extent of your ETL, cleansing, classification, and categorization data services. Describe the expertise that you have here, the industries you are experienced in, and the categories you specialize in. Describe your average mapping accuracy after a first pass before the first client input and how long (and how many man-hours) it takes to get to 90%, 95%, and 99% accuracy. How do you work in "new industries" or new categories? How should accuracy expectations change with new clients in new markets?</t>
  </si>
  <si>
    <t>If not already covered elsewhere in your submission, please describe your support for multi-tier data gathering and data management. Does the data model natively support multi-tier data gathering and management requirements? If so, is this limited to specific areas (e.g., supplier diversity) or is it broadly extensible?</t>
  </si>
  <si>
    <t>0 = no intent beyond suppliers. 1 = theoretical ability to handle, but no associated customer facing or employee facing functionality or data model. 2 = specific focus on different enterprise contract types and associated functionality (e.g., tying sales contracts into CRM). 3 = ability to model complex scenarios relating different contract types and counterparty roles in the value chain (e.g., tying purchase contracts to related sales contracts). 4 = focus on all contract types, stakeholders (e.g., legal, outsourced staff, partners), and domain specific enterprise CLM functionality</t>
  </si>
  <si>
    <t>Complex pricing. Ability to natively model volume discounts, rebates, penalties, formula-based amounts (e.g., performance based fees), non-price costs, etc.</t>
  </si>
  <si>
    <t>Ability to model risk types/metadata at contract level</t>
  </si>
  <si>
    <t>Modeling of financial status/impact of contracts. (spend analysis tied to contracts is not included here)</t>
  </si>
  <si>
    <t>Large projects can have many contracts. And large contracts can have many projects. Projects and contracts can have sub-projects and sub-contracts respectively. So, CLM software must help align contracts to projects. So, how robust is the project modeling and management from a CLM standpoint?</t>
  </si>
  <si>
    <t>Ability to model and track the assets (and utilization/performance of those assets) that contractually drive pricing. Could be software licenses, fuel surcharges, physical asset uptimes, etc.</t>
  </si>
  <si>
    <t>Obligations are contractual commitments made within provisions set forth in contract clauses. They reflect not just financial obligations, but also who is responsible for what operational commitments. So, how well does the CLM system model, capture, and monitor these obligations (especially financial)?</t>
  </si>
  <si>
    <t>What is the capability provided to be alerted to upcoming renewals, but also be alerted (with escalations) to contract risk/non-compliance events?</t>
  </si>
  <si>
    <t>0 = none. 1 = rule based training. 2 = rule based classification combined with provider specific knowledge base. Also, ability to have rule-based to map different clause taxonomies/language (e.g., in case of M&amp;A / holding companies). 3 = addition of fuzzy logic and basic machine learning to improve accuracy. 4 = provider proprietary knowledge bases/models and more advanced machine learning (e.g., also usable within other contract analytics in the solution)</t>
  </si>
  <si>
    <t>To what extent does the platform support contract creation starting from upstream E-Sourcing (eRFx)?</t>
  </si>
  <si>
    <t>1 = create your own contract and develop addendum to supplier paper (attachment). 2 = use you legacy contract conversion capabilities on a supplier PDF to bring into your system and convert to your paper in CLM app. 3 = convert, but auto-classify and analyze using clause level contract analytics (to lessen effort) and then use e-redlining. 4 = Additional innovations (e.g., provider knowledge based trained on frequently used mega provider contracts such as Microsoft licensing)</t>
  </si>
  <si>
    <t>Use generic scoring. Please describe supporting details in 'comments' field. Note any particular innovations that you feel differentiate you here.</t>
  </si>
  <si>
    <t>0 = none (users need to find closest match template on their own). 1 = form builder and workflow is used to construct workflow that pulls up designated contract template for a certain contract/spend/supplier type. 2 = vanilla functionality is available here to build workflow that builds up contract from clauses (not just template). 3 = use of configurator and even basic machine learning to help design simplest decision tree. 4 = use of AI or other advanced technology to develop a contracting "bot" to guided optimal contracting</t>
  </si>
  <si>
    <t>0 = nothing. 1 = integration capabilities to export into downstream systems. 2 = bi-directional integration and also workflow to ensure that contract has been implemented properly. 3 = functionality and methodology to set in place all downstream contract monitoring processes, roles, alerts, etc. 4 = Advanced functionality beyond 1-3.</t>
  </si>
  <si>
    <t>0 = none. 1 = ability to set dates and alerts for deliverables and against SLAs/targets; query capabilities to match payments to contracts; simple scorecard. 2 = robust integration framework for automated performance collection; stakeholder survey collection &amp; scoring; graphical scorecards. 3 = rules-based and predictive analytics to identify/predict non-compliance; integration into corrective action workflows and projects; integration with supplier/partner scorecards. 4 = advanced functionality beyond 1-3</t>
  </si>
  <si>
    <t>Ability to measure and monitor financial aspects of the contract. To what extent can financial impacts of the contract be modeled beyond just a single contract value field?</t>
  </si>
  <si>
    <t>0 = none. 1 = reporting of TCV, ACV, and expended budget. 2 = tracking discounts, penalties, rebates, claims, budget burn rate, performance to market (e.g., commodity pricing), total cost (e.g., insurance costs associated with contract), etc. 3 = ability to estimate/plan contract financials and actions: CV renewals; CV at risk; "cost of risk" analysis, trend analysis of pending non-compliance (weighted by financial impact), etc. 4 = Advanced functionality beyond 1-3</t>
  </si>
  <si>
    <t>How deep is the corrective action management / corrective action resolution capability in the product? How deep is the collaborative dispute resolution functionality? Please describe the ability to manage the process of mitigating non-compliance, poor performance, and other performance issues if not already covered</t>
  </si>
  <si>
    <t>*Not numerically self-scored. Please list the out-of-the box reporting that you provide for the supported roles in your system with regards to the contracting process. This isn't a list of report names, but rather the types of reporting that you have -- e.g., status (e.g., pending, active, overdue), throughput, cycle time, on-time delivery, pending renewals, rework, etc.</t>
  </si>
  <si>
    <t>*Not numerically self-scored. Please indicate the analytics that you provide to support the performance health and risk of your commercial relationships through the lens of your contract information. This includes risk analytics, compliance analytics, SLA analytics; complexity analysis (e.g., variability of terms); best practices adoption analytics, etc. Feel free to discuss machine learning, but this is also covered in the "Technology" tab as well</t>
  </si>
  <si>
    <t>What content/info/knowledge exists that powers yours solution beyond traditional feature/function? e.g., clause/risk ontology; AI trained knowledge base for contract analytics; automated best practice; etc.</t>
  </si>
  <si>
    <t>1 = PHP code with limited formalized processes, development standards. 2 = standard Java / C# stack with generally acceptable MVC separation. 3 = fully normalized Java / C# stack with multi-database and multi-view layer support for scalability and back up and for extensive desktop and mobile interface support. 4 = would include capability beyond which is previously addressed (but including 1-3)</t>
  </si>
  <si>
    <t>Generally, describe your information security approach. Specifically, are you ISO certified (27001) and do you support encryption (including encryption at rest)?</t>
  </si>
  <si>
    <t>Who hosts your servers and runs your data centers? If third party (assuming so!), who is it? If multiple, can IaaS providers be switched?</t>
  </si>
  <si>
    <t>Please describe any general or targeted support service (included but not limited to implementation, integration, customization, configuraiton, etc.) you provide in support of your CLM technology</t>
  </si>
  <si>
    <t>CateogryID</t>
  </si>
  <si>
    <t>CategoryAcronym</t>
  </si>
  <si>
    <t>CategoryName</t>
  </si>
  <si>
    <t>ePRO</t>
  </si>
  <si>
    <t>I2P</t>
  </si>
  <si>
    <t>Procure to Pay</t>
  </si>
  <si>
    <t>Sourcing</t>
  </si>
  <si>
    <t>SA</t>
  </si>
  <si>
    <t>Supplier Relationship Management</t>
  </si>
  <si>
    <t>CLM</t>
  </si>
  <si>
    <t>SubcatID</t>
  </si>
  <si>
    <t>We have changed Out-Of-the-box (first one in, Sourcing, Execution) for "Out-of-the-Box Scorecards", 4-18-368 because there were two elements with the same name in the same subcategory and it produced the same scse</t>
  </si>
  <si>
    <t>scse</t>
  </si>
  <si>
    <t>NewSpecification</t>
  </si>
  <si>
    <t>New ExampleScoring</t>
  </si>
  <si>
    <t>VendorID</t>
  </si>
  <si>
    <t>VendorName</t>
  </si>
  <si>
    <t>ParentVendorID</t>
  </si>
  <si>
    <t>VendorWeight</t>
  </si>
  <si>
    <t>1. BravoSolution</t>
  </si>
  <si>
    <t>2. Determine</t>
  </si>
  <si>
    <t>3. GEP</t>
  </si>
  <si>
    <t>4. iValua</t>
  </si>
  <si>
    <t>5. Jaggaer</t>
  </si>
  <si>
    <t>6. SAP Ariba</t>
  </si>
  <si>
    <t>7. Sievo</t>
  </si>
  <si>
    <t>8. Spendency</t>
  </si>
  <si>
    <t>9. SpendHQ</t>
  </si>
  <si>
    <t>10. Zycus</t>
  </si>
  <si>
    <t>11. AnyData</t>
  </si>
  <si>
    <t>BravoSolution</t>
  </si>
  <si>
    <t>Determine</t>
  </si>
  <si>
    <t>GEP</t>
  </si>
  <si>
    <t>Jaggaer</t>
  </si>
  <si>
    <t>Sievo</t>
  </si>
  <si>
    <t>Spendency</t>
  </si>
  <si>
    <t>SpendHQ</t>
  </si>
  <si>
    <t>Zycus</t>
  </si>
  <si>
    <t>Jaggaer Group</t>
  </si>
  <si>
    <t>ParentName</t>
  </si>
  <si>
    <t>PersonaID</t>
  </si>
  <si>
    <t>PersonaName</t>
  </si>
  <si>
    <t>PersonaDescription</t>
  </si>
  <si>
    <t>NIMBLE</t>
  </si>
  <si>
    <t>DEEP</t>
  </si>
  <si>
    <t>TURN-KEY</t>
  </si>
  <si>
    <t>CONFIGURATOR</t>
  </si>
  <si>
    <t>CIO-FRIENDLY</t>
  </si>
  <si>
    <t>RFI_ID</t>
  </si>
  <si>
    <t>SuiteCatID</t>
  </si>
  <si>
    <t>Quarter</t>
  </si>
  <si>
    <t>Year</t>
  </si>
  <si>
    <t>InviteDate</t>
  </si>
  <si>
    <t>WhisedScore1</t>
  </si>
  <si>
    <t>Argument1</t>
  </si>
  <si>
    <t>ProvScore</t>
  </si>
  <si>
    <t>Feedback1</t>
  </si>
  <si>
    <t>Analyst1_ID</t>
  </si>
  <si>
    <t>WishedScore2</t>
  </si>
  <si>
    <t>Argument2</t>
  </si>
  <si>
    <t>Feedback2</t>
  </si>
  <si>
    <t>Analyst2_ID</t>
  </si>
  <si>
    <t>Status</t>
  </si>
  <si>
    <t>RFIelement_ID</t>
  </si>
  <si>
    <t>SMscoreID</t>
  </si>
  <si>
    <t>SMscore</t>
  </si>
  <si>
    <t>RFIelementID</t>
  </si>
  <si>
    <t>Persona</t>
  </si>
  <si>
    <t>Weight</t>
  </si>
  <si>
    <t>AnalystID</t>
  </si>
  <si>
    <t>ReasonForChange</t>
  </si>
  <si>
    <t>Opera BIQ</t>
  </si>
  <si>
    <t>Simfoni</t>
  </si>
  <si>
    <t>Completed</t>
  </si>
  <si>
    <t>Smscores table</t>
  </si>
  <si>
    <t>LastVersion should be Not Null</t>
  </si>
  <si>
    <t>Version should disappear and use UpdateDate (in many more tables as well)</t>
  </si>
  <si>
    <t>12. Opera BIQ</t>
  </si>
  <si>
    <t>13. Simfoni</t>
  </si>
  <si>
    <t>14. Synertrade</t>
  </si>
  <si>
    <t>AVG</t>
  </si>
  <si>
    <t>AVERAGE</t>
  </si>
  <si>
    <t>RFI Sourcing Evaluation - Summary</t>
  </si>
  <si>
    <t>Average Score</t>
  </si>
  <si>
    <t>Evaluation Details</t>
  </si>
  <si>
    <t>Average</t>
  </si>
  <si>
    <t>Customer´s Survey</t>
  </si>
  <si>
    <t>5's</t>
  </si>
  <si>
    <t>TOTAL</t>
  </si>
  <si>
    <t>4's</t>
  </si>
  <si>
    <t>3's</t>
  </si>
  <si>
    <t>2's</t>
  </si>
  <si>
    <t>1's</t>
  </si>
  <si>
    <t>0's</t>
  </si>
  <si>
    <t>Recommend this provider</t>
  </si>
  <si>
    <t>Level of value perceived</t>
  </si>
  <si>
    <t>As a technology/solution provider</t>
  </si>
  <si>
    <t>Meet the expectations</t>
  </si>
  <si>
    <t>Pricing / affordability</t>
  </si>
  <si>
    <t>Quick deployment</t>
  </si>
  <si>
    <t>Maximize Savings</t>
  </si>
  <si>
    <t>-</t>
  </si>
  <si>
    <t>Maximize spend under management</t>
  </si>
  <si>
    <t>ROI</t>
  </si>
  <si>
    <t>TCO</t>
  </si>
  <si>
    <t>Business value</t>
  </si>
  <si>
    <t>Supplier network</t>
  </si>
  <si>
    <t>End user experience / ease of use</t>
  </si>
  <si>
    <t>Unique Capabilities</t>
  </si>
  <si>
    <t>Process expertise</t>
  </si>
  <si>
    <t>Compliance expertise</t>
  </si>
  <si>
    <t>Best fit for corss-functional needs (legal, supply chain…)</t>
  </si>
  <si>
    <t>Category depth/support</t>
  </si>
  <si>
    <t>Industry expertise</t>
  </si>
  <si>
    <t>Modular capability/feature/functionality (SPT)</t>
  </si>
  <si>
    <t>Broader suite capability</t>
  </si>
  <si>
    <t>Innovation</t>
  </si>
  <si>
    <t>Ability to handle our unique needs</t>
  </si>
  <si>
    <t>Systems integration</t>
  </si>
  <si>
    <t>Vendor</t>
  </si>
  <si>
    <t>Last version used: 10-5-17 3.00pm</t>
  </si>
  <si>
    <t>0-1 Scale</t>
  </si>
  <si>
    <t>WEIGHTS</t>
  </si>
  <si>
    <t>Weights Summary</t>
  </si>
  <si>
    <t>Customer's Score</t>
  </si>
  <si>
    <t>Weight Details</t>
  </si>
  <si>
    <t>Best fit for cross-functional needs (legal, supply chain…)</t>
  </si>
  <si>
    <t>scseID 444 (Advance Analytics, SA), consult with Michael if this is an element or a class</t>
  </si>
  <si>
    <t>SuiteName</t>
  </si>
  <si>
    <t>SuiteAcronym</t>
  </si>
  <si>
    <t>Strategic Procurement Technologies</t>
  </si>
  <si>
    <t>SPT</t>
  </si>
  <si>
    <t>One-Sheets of SuiteCatSubElem_Version, I put N but it has to be done. Also we have to add One-Sheet to the SuiteCatSub table, since a subcategory (average of it) can also appear in the One-Sheets</t>
  </si>
  <si>
    <t>ClassID needs to be done in SuiteCatSubElem_Version</t>
  </si>
  <si>
    <t>Does the platform facilitate the onboarding of new suppliers? Are multi-channel onboarding events supported across categories, industries, and geographies? Is there any supplier network support?</t>
  </si>
  <si>
    <t>48, 185</t>
  </si>
  <si>
    <t>272. 591</t>
  </si>
  <si>
    <t>Describe the elements, and extent of, workflow configuration across the modules and functionality and any integrated third party applications. Be sure to describe your competitive differentiators including, but not limited to, depth of configurability, breadth of configurability, and visual component manipulation. Is the rules/workflow capability native to your platform or is it a licensed third party capability?</t>
  </si>
  <si>
    <t>Changes made in variantID</t>
  </si>
  <si>
    <t>471, 574, 645</t>
  </si>
  <si>
    <t>Explain the use of mobile technology within your solutions overall and your roadmap for future mobile adoption. Please highlight how you support mobile users (e.g., responsive design to work across all devices or mobile app for basic functionality like approvals). What percentage of system interactions today are driven by mobile clients? What do you forecast for the next 12 months? 24 months?</t>
  </si>
  <si>
    <t>Describe typical (and atypical) system integration options. Describe how the platform and service provider handles multiple instances. For example, if an organization has multiple ERPs but wants a shared Procurement/Sourcing/Analytics/etc. deployment, do you typically deploy a single instance of your software for them, or typically multiple instances? Describe any integrations not addressed below.</t>
  </si>
  <si>
    <t>353, 606</t>
  </si>
  <si>
    <t>Does the tool support prescriptive analytics that can analyze current market conditions, organizational demands, and projected trends and guide the user into the identification of an appropriate category for sourcing and/or the selection of the appropriate sourcing event type and template among multiple built-in options built by industry experts? Can it assist with demand management? Lean Process Improvements? To what extent? Please describe.</t>
  </si>
  <si>
    <t>Does the platform support the calculation and/or integration of benchmarks? Can these benchmarks be used to support the calculation of overhead / internal production costs not easily obtainable from market data? Can they be performance based as well as cost based? If so, describe the type (industry, category, performance, etc.) and the extent?</t>
  </si>
  <si>
    <t>Does the tool support bill of materials capabilities for direct sourcing? And can the bill of materials be imported from ERP/MRP solutions? Is the capability built on "lots" or is it separate from lots?</t>
  </si>
  <si>
    <t>1 a "lot" can be treated as a bill of materials; 2 basic bill of material support, where bills of material can be grouped into lots; 3 basic should cost model integration where the bill is a product or assembly and energy, labor, and overhead costs can be broken out; 4 automatic cost population from market data, etc.</t>
  </si>
  <si>
    <t>To what degree is invitation management, possibly as part of supplier onboarding campaigns, in particular supported? Can campaigns be set-up for easy supplier response? Can invitations be sent out over multiple channels? Can they be automatically resent as reminders? Can buyers be notified when a supplier has seen or responded? Can the buyer controll the onboarding of the suppliers at every distinct, logical, step?</t>
  </si>
  <si>
    <t>Does the platform support, and how extensible is, the supplier self-registration process? Does it support conditional workflows that lead the supplier down the appropriate paths to capture the relevant information, documentation, certifications, and customer/industry references?</t>
  </si>
  <si>
    <t>Does the tool support ERP integration out-of-the-box (with ERP systems such as Oracle, SAP, JDE, etc.) for populating lots and bill of materials?</t>
  </si>
  <si>
    <t>oldvariantID</t>
  </si>
  <si>
    <t>newvariantID</t>
  </si>
  <si>
    <t>Does the tool come with a built-in report builder that allows end-users to create the reports they want on the data they want, regardless of the source of such data? Can it work on all data elements? How extensible is it? Please describe, and focus on any competitive differentiators.</t>
  </si>
  <si>
    <t>Does the tool support integrated real-time (group) messaging between all parties with compete archival, audit trails, and indexing for association with different data elements and platform functionality?</t>
  </si>
  <si>
    <t>What is the extent of event monitoring in the platform? Is it limited to external data feed integration, or does it support semantic monitoring of news sources? What about sentiment analysis and third party evaluations and projections? Are the technologies embedded or integrated 3rd party platforms (through APIs). To what extent, if any, is risk monitoring supported?</t>
  </si>
  <si>
    <t>Explain the use of OCR/Scanning technology within your solutions (if used) and roadmap plans. Focus on the ability to covert data to semi-structured and structured data that can be normalized, cleansed, categorized, enriched, and used for workflow management and/or new types of analytics previously unavailable to the business.</t>
  </si>
  <si>
    <t>Exception that had the same VariantID but different element name</t>
  </si>
  <si>
    <t>The element 'Managed Services' (Sourcing, scseID 407)was deleted, now we will use 'Managed Services / Co-Sourcing / Outsourcing' instead</t>
  </si>
  <si>
    <t>Does the platform support the definition of KPIs that can be used and re-used as needed in the creation of scorecards? Can they be defined formulaically on data elements or are they simply preselected / single value (populated from an external source)?</t>
  </si>
  <si>
    <t>(248 is empty now, and the scseID 364 took it)</t>
  </si>
  <si>
    <t>Conctract Lifecycle Management</t>
  </si>
  <si>
    <t>E-Procurement</t>
  </si>
  <si>
    <t>Invoice-to-Pay</t>
  </si>
  <si>
    <t>Procure-to-Pay</t>
  </si>
  <si>
    <t>Spend Analytics</t>
  </si>
  <si>
    <t>UserID</t>
  </si>
  <si>
    <t>EMail</t>
  </si>
  <si>
    <t>UserTypeID</t>
  </si>
  <si>
    <t>Password</t>
  </si>
  <si>
    <t>arodriguez@metalminer.com</t>
  </si>
  <si>
    <t>hash</t>
  </si>
  <si>
    <t>UserType</t>
  </si>
  <si>
    <t>Privileges</t>
  </si>
  <si>
    <t>TypeDescription</t>
  </si>
  <si>
    <t>ademiguel@spendmatters.com</t>
  </si>
  <si>
    <t>Analyst</t>
  </si>
  <si>
    <t>Admin</t>
  </si>
  <si>
    <t>Admin privileges</t>
  </si>
  <si>
    <t>Analyst privileges</t>
  </si>
  <si>
    <t>Sort #</t>
  </si>
  <si>
    <t>Solution Suite</t>
  </si>
  <si>
    <t>Solution Type</t>
  </si>
  <si>
    <t>Requirement Category</t>
  </si>
  <si>
    <t>Requirement Sub-Category</t>
  </si>
  <si>
    <t>Solution Requirement</t>
  </si>
  <si>
    <t>Requirement Details</t>
  </si>
  <si>
    <t>Procure-to-Pay (P2P)</t>
  </si>
  <si>
    <t>eProcurement</t>
  </si>
  <si>
    <t>Functionality</t>
  </si>
  <si>
    <t>Describe how the solution enables basic e-sourcing ( e.g., "3 bids in a box") and advanced integration with e- sourcing modules, if applicable, based on organizational sourcing and category compliance and other requirements; Describe the ability for procurement to initiate a sourcing event directly from a requisition (based on volume, cost, category or other "flagging") for better pricing</t>
  </si>
  <si>
    <t>Technology Enablement</t>
  </si>
  <si>
    <t>Do you have to be on the portal to transact and collaborate? Can suppliers receive an order, add comments, ○ Acknowledge and create a legally compliant invoice via email … with NO Portal Registration. For transmission methods such as EDI, cXML does the vendor have to be on the portal/network, or can they connect directly to the customer P2P instance with no portal connection?.</t>
  </si>
  <si>
    <r>
      <t>Describe</t>
    </r>
    <r>
      <rPr>
        <sz val="10"/>
        <color rgb="FF000000"/>
        <rFont val="Calibri"/>
        <family val="2"/>
        <scheme val="minor"/>
      </rPr>
      <t xml:space="preserve"> the key "set-up" components and capability of the invoice receiving process "out-of-the-box" on a configuration basis. These could include: auto-matching method/approach, auto PO closeout capabilities, voucher tolerance, ability to update received quantity upon approval, send notification to requisitioner when invoice is created, enable price tolerance exceptions, enable receipt quantity exceptions, allow line item description edit, enable do not edit payment information, account allocations, enable invoice extract, enable standards as cXML/UBL/PEPPOL -- via administrative interface, supplier portal (configuration), etc. </t>
    </r>
  </si>
  <si>
    <r>
      <t>Describe</t>
    </r>
    <r>
      <rPr>
        <sz val="10"/>
        <color rgb="FF000000"/>
        <rFont val="Calibri"/>
        <family val="2"/>
        <scheme val="minor"/>
      </rPr>
      <t xml:space="preserve"> your ability to capture and create invoices (e.g., PO Flip model / Non PO invoice) or generate an automated recurring invoice. </t>
    </r>
    <r>
      <rPr>
        <b/>
        <sz val="10"/>
        <color rgb="FF000000"/>
        <rFont val="Calibri"/>
        <family val="2"/>
        <scheme val="minor"/>
      </rPr>
      <t xml:space="preserve">Share </t>
    </r>
    <r>
      <rPr>
        <sz val="10"/>
        <color rgb="FF000000"/>
        <rFont val="Calibri"/>
        <family val="2"/>
        <scheme val="minor"/>
      </rPr>
      <t xml:space="preserve">your capabilities and approach to support the following or related scenarios: using a public or private supplier network (or portal) inclusive of invoice capture capabilities (e.g., PO flip, e-form capturing, file uploading), using a web XML template to capture invoice data, using an EDI model for B2B integration purposes including but not limited to invoice-related documents, OCR approaches to convert paper (or email PDF) into e-invoices with the inclusion of a data validation process as well as manual processes to handle paper invoices (Provide Service Level Agreements and quality commitments). </t>
    </r>
    <r>
      <rPr>
        <b/>
        <sz val="10"/>
        <color rgb="FF000000"/>
        <rFont val="Calibri"/>
        <family val="2"/>
        <scheme val="minor"/>
      </rPr>
      <t>Describe</t>
    </r>
    <r>
      <rPr>
        <sz val="10"/>
        <color rgb="FF000000"/>
        <rFont val="Calibri"/>
        <family val="2"/>
        <scheme val="minor"/>
      </rPr>
      <t xml:space="preserve"> any intelligent data capture approaches for paper invoices and your ability to support an internal or third-party managed mailroom approach (e.g., to manage incoming invoices in cases where paper will still be involved for small suppliers), etc. </t>
    </r>
    <r>
      <rPr>
        <b/>
        <sz val="10"/>
        <color rgb="FF000000"/>
        <rFont val="Calibri"/>
        <family val="2"/>
        <scheme val="minor"/>
      </rPr>
      <t>Describe</t>
    </r>
    <r>
      <rPr>
        <sz val="10"/>
        <color rgb="FF000000"/>
        <rFont val="Calibri"/>
        <family val="2"/>
        <scheme val="minor"/>
      </rPr>
      <t xml:space="preserve"> any unique capabilities of your approach and solution if we have missed any components that you think are important to your differentiation/approach for invoice creation/capture</t>
    </r>
  </si>
  <si>
    <r>
      <t>Is your solution</t>
    </r>
    <r>
      <rPr>
        <sz val="10"/>
        <color rgb="FF000000"/>
        <rFont val="Calibri"/>
        <family val="2"/>
        <scheme val="minor"/>
      </rPr>
      <t xml:space="preserve"> capable of handling an invoice created directly from a contract? Describe your capability for matching an invoice against a contract and handling rule(s)-based exceptions. Does your solution provide a collaborative environment to manage services invoicing? Describe your ability to match POs and service-entry-sheets against a service invoice for exceptions and resolution</t>
    </r>
  </si>
  <si>
    <r>
      <t>Describe</t>
    </r>
    <r>
      <rPr>
        <sz val="10"/>
        <color rgb="FF000000"/>
        <rFont val="Calibri"/>
        <family val="2"/>
        <scheme val="minor"/>
      </rPr>
      <t xml:space="preserve"> your ability to support collaboration between suppliers and internal stakeholders. </t>
    </r>
    <r>
      <rPr>
        <b/>
        <sz val="10"/>
        <color rgb="FF000000"/>
        <rFont val="Calibri"/>
        <family val="2"/>
        <scheme val="minor"/>
      </rPr>
      <t>These capabilities</t>
    </r>
    <r>
      <rPr>
        <sz val="10"/>
        <color rgb="FF000000"/>
        <rFont val="Calibri"/>
        <family val="2"/>
        <scheme val="minor"/>
      </rPr>
      <t xml:space="preserve"> might include: response to suppliers, add/change/delete communications, invoice status inquiry/response, voucher communications, credit/debit memo communications, exception handling, remittance advice, dispute resolution and related collaboration requests. </t>
    </r>
    <r>
      <rPr>
        <b/>
        <sz val="10"/>
        <color rgb="FF000000"/>
        <rFont val="Calibri"/>
        <family val="2"/>
        <scheme val="minor"/>
      </rPr>
      <t xml:space="preserve">If there are any specific “tools” </t>
    </r>
    <r>
      <rPr>
        <sz val="10"/>
        <color rgb="FF000000"/>
        <rFont val="Calibri"/>
        <family val="2"/>
        <scheme val="minor"/>
      </rPr>
      <t>involved in collaboration, such as on-line chat capabilities or specific workflow solutions, please explain these components. Describe your ability to add people to a discussion on a specific document</t>
    </r>
  </si>
  <si>
    <r>
      <t>Describe</t>
    </r>
    <r>
      <rPr>
        <sz val="10"/>
        <color rgb="FF000000"/>
        <rFont val="Calibri"/>
        <family val="2"/>
        <scheme val="minor"/>
      </rPr>
      <t xml:space="preserve"> your solution's capability to match an invoice (e.g., to a purchase order or a payment plan against specified criteria). </t>
    </r>
    <r>
      <rPr>
        <b/>
        <sz val="10"/>
        <color rgb="FF000000"/>
        <rFont val="Calibri"/>
        <family val="2"/>
        <scheme val="minor"/>
      </rPr>
      <t>These matching</t>
    </r>
    <r>
      <rPr>
        <sz val="10"/>
        <color rgb="FF000000"/>
        <rFont val="Calibri"/>
        <family val="2"/>
        <scheme val="minor"/>
      </rPr>
      <t xml:space="preserve"> elements might include goods receipts and other specified criteria (flexibility to control 2- and 3-way match by supplier or spend type, match invoice lines against purchase order lines, etc.) </t>
    </r>
    <r>
      <rPr>
        <b/>
        <sz val="10"/>
        <color rgb="FF000000"/>
        <rFont val="Calibri"/>
        <family val="2"/>
        <scheme val="minor"/>
      </rPr>
      <t>Describe</t>
    </r>
    <r>
      <rPr>
        <sz val="10"/>
        <color rgb="FF000000"/>
        <rFont val="Calibri"/>
        <family val="2"/>
        <scheme val="minor"/>
      </rPr>
      <t xml:space="preserve"> your ability to perform rules-based invoice validation based on business rules (e.g., tolerances, partial payments, etc.) and other commercial rules (e.g. currency conversions, rounding rules, and multi-authority tax calculations). </t>
    </r>
    <r>
      <rPr>
        <b/>
        <sz val="10"/>
        <color rgb="FF000000"/>
        <rFont val="Calibri"/>
        <family val="2"/>
        <scheme val="minor"/>
      </rPr>
      <t>Explain</t>
    </r>
    <r>
      <rPr>
        <sz val="10"/>
        <color rgb="FF000000"/>
        <rFont val="Calibri"/>
        <family val="2"/>
        <scheme val="minor"/>
      </rPr>
      <t xml:space="preserve"> how you enable STP / touchless processing. </t>
    </r>
    <r>
      <rPr>
        <b/>
        <sz val="10"/>
        <color rgb="FF000000"/>
        <rFont val="Calibri"/>
        <family val="2"/>
        <scheme val="minor"/>
      </rPr>
      <t>Specify any value-added partners</t>
    </r>
    <r>
      <rPr>
        <sz val="10"/>
        <color rgb="FF000000"/>
        <rFont val="Calibri"/>
        <family val="2"/>
        <scheme val="minor"/>
      </rPr>
      <t xml:space="preserve"> (e.g., tax calculation solutions).</t>
    </r>
    <r>
      <rPr>
        <b/>
        <sz val="10"/>
        <color rgb="FF000000"/>
        <rFont val="Calibri"/>
        <family val="2"/>
        <scheme val="minor"/>
      </rPr>
      <t>Describe</t>
    </r>
    <r>
      <rPr>
        <sz val="10"/>
        <color rgb="FF000000"/>
        <rFont val="Calibri"/>
        <family val="2"/>
        <scheme val="minor"/>
      </rPr>
      <t xml:space="preserve"> your ability to capture, share, and store buyer/supplier interactions pertaining to commercial/invoicing disputes (e.g., audited threaded discussions). </t>
    </r>
    <r>
      <rPr>
        <b/>
        <sz val="10"/>
        <color rgb="FF000000"/>
        <rFont val="Calibri"/>
        <family val="2"/>
        <scheme val="minor"/>
      </rPr>
      <t>Describe</t>
    </r>
    <r>
      <rPr>
        <sz val="10"/>
        <color rgb="FF000000"/>
        <rFont val="Calibri"/>
        <family val="2"/>
        <scheme val="minor"/>
      </rPr>
      <t xml:space="preserve"> your approval workflow capabilities (e.g., incorporating existing internal approval limits and organizational hierarchies, providing an escalation process when an invoice approver fails to approve the invoice in a designated time period (etc.) </t>
    </r>
    <r>
      <rPr>
        <b/>
        <sz val="10"/>
        <color rgb="FF000000"/>
        <rFont val="Calibri"/>
        <family val="2"/>
        <scheme val="minor"/>
      </rPr>
      <t xml:space="preserve">Provide </t>
    </r>
    <r>
      <rPr>
        <sz val="10"/>
        <color rgb="FF000000"/>
        <rFont val="Calibri"/>
        <family val="2"/>
        <scheme val="minor"/>
      </rPr>
      <t>examples</t>
    </r>
    <r>
      <rPr>
        <b/>
        <sz val="10"/>
        <color rgb="FF000000"/>
        <rFont val="Calibri"/>
        <family val="2"/>
        <scheme val="minor"/>
      </rPr>
      <t xml:space="preserve"> </t>
    </r>
    <r>
      <rPr>
        <sz val="10"/>
        <color rgb="FF000000"/>
        <rFont val="Calibri"/>
        <family val="2"/>
        <scheme val="minor"/>
      </rPr>
      <t>of the most complex rules scenarios that you are supporting today</t>
    </r>
  </si>
  <si>
    <r>
      <t>Describe</t>
    </r>
    <r>
      <rPr>
        <sz val="10"/>
        <color rgb="FF000000"/>
        <rFont val="Calibri"/>
        <family val="2"/>
        <scheme val="minor"/>
      </rPr>
      <t xml:space="preserve"> your e-invoicing solution integration with your end-to-end P2P and related system processes. </t>
    </r>
    <r>
      <rPr>
        <b/>
        <sz val="10"/>
        <color rgb="FF000000"/>
        <rFont val="Calibri"/>
        <family val="2"/>
        <scheme val="minor"/>
      </rPr>
      <t>Examples might include</t>
    </r>
    <r>
      <rPr>
        <sz val="10"/>
        <color rgb="FF000000"/>
        <rFont val="Calibri"/>
        <family val="2"/>
        <scheme val="minor"/>
      </rPr>
      <t xml:space="preserve">: eProcurement (center on incorporating the PO with the invoice and enabling a two-way (or three-way) match, as well as simplifying a supplier’s receivables processes); account payables and accounting (e.g., facilitating the invoice payment process and insuring an accurate invoice-payment reconciliation process), a shared service organization (AP proccessing), inventory and warehouse management (e.g., facilitating a three-way (or n-tier) matching processes before payment by incorporating goods receipt and potentially other document types and signals into the mix); master data (e.g., supporting accurate data and avoiding data silos), and business intelligence (to provide real-time insights), etc. </t>
    </r>
    <r>
      <rPr>
        <b/>
        <sz val="10"/>
        <color rgb="FF000000"/>
        <rFont val="Calibri"/>
        <family val="2"/>
        <scheme val="minor"/>
      </rPr>
      <t>Describe</t>
    </r>
    <r>
      <rPr>
        <sz val="10"/>
        <color rgb="FF000000"/>
        <rFont val="Calibri"/>
        <family val="2"/>
        <scheme val="minor"/>
      </rPr>
      <t xml:space="preserve"> your overall integration model approach and options (e.g., published APIs, integration partnerships, PaaS/stack-based, etc.) </t>
    </r>
  </si>
  <si>
    <r>
      <t>Describe</t>
    </r>
    <r>
      <rPr>
        <sz val="10"/>
        <color rgb="FF000000"/>
        <rFont val="Calibri"/>
        <family val="2"/>
        <scheme val="minor"/>
      </rPr>
      <t xml:space="preserve"> your ability to ensure compliance with the regulations of the tax authorities of specific countries (e.g., validated invoices, VAT compliance, digital signatures, electronic documentation and fiscal/accounting reporting, correct calculation and recording of taxes, archiving, etc.). </t>
    </r>
    <r>
      <rPr>
        <b/>
        <sz val="10"/>
        <color rgb="FF000000"/>
        <rFont val="Calibri"/>
        <family val="2"/>
        <scheme val="minor"/>
      </rPr>
      <t>Mention</t>
    </r>
    <r>
      <rPr>
        <sz val="10"/>
        <color rgb="FF000000"/>
        <rFont val="Calibri"/>
        <family val="2"/>
        <scheme val="minor"/>
      </rPr>
      <t xml:space="preserve"> your country roadmap in terms of compliance (including which countries you can enable legal archiving). </t>
    </r>
    <r>
      <rPr>
        <b/>
        <sz val="10"/>
        <color rgb="FF000000"/>
        <rFont val="Calibri"/>
        <family val="2"/>
        <scheme val="minor"/>
      </rPr>
      <t xml:space="preserve">Mention </t>
    </r>
    <r>
      <rPr>
        <sz val="10"/>
        <color rgb="FF000000"/>
        <rFont val="Calibri"/>
        <family val="2"/>
        <scheme val="minor"/>
      </rPr>
      <t xml:space="preserve">where are your processing centers (Data Privacy/Data Protection) your commitments and SLA (including where you´ve subcontractors) </t>
    </r>
    <r>
      <rPr>
        <b/>
        <sz val="10"/>
        <color rgb="FF000000"/>
        <rFont val="Calibri"/>
        <family val="2"/>
        <scheme val="minor"/>
      </rPr>
      <t xml:space="preserve">Please focus on describing </t>
    </r>
    <r>
      <rPr>
        <sz val="10"/>
        <color rgb="FF000000"/>
        <rFont val="Calibri"/>
        <family val="2"/>
        <scheme val="minor"/>
      </rPr>
      <t xml:space="preserve">your support scenarios and capability beyond what Trustweaver offers to all providers in the sector. </t>
    </r>
    <r>
      <rPr>
        <b/>
        <sz val="10"/>
        <color rgb="FF000000"/>
        <rFont val="Calibri"/>
        <family val="2"/>
        <scheme val="minor"/>
      </rPr>
      <t>Describe</t>
    </r>
    <r>
      <rPr>
        <sz val="10"/>
        <color rgb="FF000000"/>
        <rFont val="Calibri"/>
        <family val="2"/>
        <scheme val="minor"/>
      </rPr>
      <t xml:space="preserve"> how you incorporate trade regulations (e.g., import tariffs, harmonized code calculations, etc.) into the solution. Mention your actual certifications (ISAE 3402, ISO27001, NIST, other) if applicable in meeting internal compliance requirements explain your general approach to matching (e.g., 3-way), contract and price compliance, incorporation of related commercial data, updating information in third-party solutions, etc. </t>
    </r>
    <r>
      <rPr>
        <b/>
        <sz val="10"/>
        <color rgb="FF000000"/>
        <rFont val="Calibri"/>
        <family val="2"/>
        <scheme val="minor"/>
      </rPr>
      <t>Also describe</t>
    </r>
    <r>
      <rPr>
        <sz val="10"/>
        <color rgb="FF000000"/>
        <rFont val="Calibri"/>
        <family val="2"/>
        <scheme val="minor"/>
      </rPr>
      <t xml:space="preserve"> your integration approach to drive business reporting in third-party systems in areas of tax, accounting, etc. as well as insuring internal and external auditing requirements (e.g., evidence/traceability, system and processing logs, e-invoice archives, etc.) </t>
    </r>
  </si>
  <si>
    <t>The trends in mobile computing in enterprise software, particularly for casual/light use, is clearly going away from native mobile apps and towad HTML5 and flexible UI form-factor design. That is the approach Taulia is using. The Taulia solution is being used on mobile devices. Taulia supports the mobile versions of Safari and Chrome browsers. In addition, we continue to upgrade the UI to optimize the form-factor design flexibility aspect.</t>
  </si>
  <si>
    <r>
      <t>Describe</t>
    </r>
    <r>
      <rPr>
        <sz val="10"/>
        <color rgb="FF000000"/>
        <rFont val="Calibri"/>
        <family val="2"/>
        <scheme val="minor"/>
      </rPr>
      <t xml:space="preserve"> your ability to analyze invoice data (in depth and in real time) to acknowledge data quality issues, support sourcing/event/opportunity identification analytics, identify buying behaviors, enable forecasting, supporting audit trails, driving benchmarks analyses, offering finance options for supplier, etc. </t>
    </r>
    <r>
      <rPr>
        <b/>
        <sz val="10"/>
        <color rgb="FF000000"/>
        <rFont val="Calibri"/>
        <family val="2"/>
        <scheme val="minor"/>
      </rPr>
      <t>How does your analytics approach</t>
    </r>
    <r>
      <rPr>
        <sz val="10"/>
        <color rgb="FF000000"/>
        <rFont val="Calibri"/>
        <family val="2"/>
        <scheme val="minor"/>
      </rPr>
      <t xml:space="preserve"> identify savings opportunities (cost avoidance and tax reporting, including tax recovery), show transaction-based metrics (e.g., cost per invoice processed, invoice growth rate, invoices paid without POs, invoices in dispute or invoices rejected, etc.) </t>
    </r>
    <r>
      <rPr>
        <b/>
        <sz val="10"/>
        <color rgb="FF000000"/>
        <rFont val="Calibri"/>
        <family val="2"/>
        <scheme val="minor"/>
      </rPr>
      <t xml:space="preserve">Describe </t>
    </r>
    <r>
      <rPr>
        <sz val="10"/>
        <color rgb="FF000000"/>
        <rFont val="Calibri"/>
        <family val="2"/>
        <scheme val="minor"/>
      </rPr>
      <t xml:space="preserve">your ability to configure an analytic dashboard and ability to take quick action at an invoice level. </t>
    </r>
    <r>
      <rPr>
        <b/>
        <sz val="10"/>
        <color rgb="FF000000"/>
        <rFont val="Calibri"/>
        <family val="2"/>
        <scheme val="minor"/>
      </rPr>
      <t>Please describe</t>
    </r>
    <r>
      <rPr>
        <sz val="10"/>
        <color rgb="FF000000"/>
        <rFont val="Calibri"/>
        <family val="2"/>
        <scheme val="minor"/>
      </rPr>
      <t xml:space="preserve"> if your analytics approach is differentiated in ways we have not discussed. </t>
    </r>
    <r>
      <rPr>
        <b/>
        <sz val="10"/>
        <color rgb="FF000000"/>
        <rFont val="Calibri"/>
        <family val="2"/>
        <scheme val="minor"/>
      </rPr>
      <t>Also please describe</t>
    </r>
    <r>
      <rPr>
        <sz val="10"/>
        <color rgb="FF000000"/>
        <rFont val="Calibri"/>
        <family val="2"/>
        <scheme val="minor"/>
      </rPr>
      <t xml:space="preserve"> if you offer broader spend classification, enrichment and validation capability as well as options for visualization (e.g., native BI, third-party BI) and drill-down (e.g., via a cube-based environment)</t>
    </r>
  </si>
  <si>
    <r>
      <t>Describe</t>
    </r>
    <r>
      <rPr>
        <sz val="10"/>
        <color rgb="FF000000"/>
        <rFont val="Calibri"/>
        <family val="2"/>
        <scheme val="minor"/>
      </rPr>
      <t xml:space="preserve"> what new features &amp; functionalities are in your e-invoicing roadmap in the near future.</t>
    </r>
    <r>
      <rPr>
        <b/>
        <sz val="10"/>
        <color rgb="FF000000"/>
        <rFont val="Calibri"/>
        <family val="2"/>
        <scheme val="minor"/>
      </rPr>
      <t xml:space="preserve"> In addition please mention</t>
    </r>
    <r>
      <rPr>
        <sz val="10"/>
        <color rgb="FF000000"/>
        <rFont val="Calibri"/>
        <family val="2"/>
        <scheme val="minor"/>
      </rPr>
      <t xml:space="preserve"> any feature/functionality that we might have overlooked which you believe is material to your solution differentiation today and tomorrow</t>
    </r>
  </si>
  <si>
    <r>
      <t>Describe</t>
    </r>
    <r>
      <rPr>
        <sz val="10"/>
        <color rgb="FF000000"/>
        <rFont val="Calibri"/>
        <family val="2"/>
        <scheme val="minor"/>
      </rPr>
      <t xml:space="preserve"> your payment methods/approaches.</t>
    </r>
    <r>
      <rPr>
        <b/>
        <sz val="10"/>
        <color rgb="FF000000"/>
        <rFont val="Calibri"/>
        <family val="2"/>
        <scheme val="minor"/>
      </rPr>
      <t xml:space="preserve"> For example</t>
    </r>
    <r>
      <rPr>
        <sz val="10"/>
        <color rgb="FF000000"/>
        <rFont val="Calibri"/>
        <family val="2"/>
        <scheme val="minor"/>
      </rPr>
      <t>, this could include integration with an accounts payable ERP module (which would take control of the payment process post-approval), integration with p-card/v-card providers and integration with banks or third-party payment solutions</t>
    </r>
  </si>
  <si>
    <r>
      <t>Describe</t>
    </r>
    <r>
      <rPr>
        <sz val="10"/>
        <color rgb="FF000000"/>
        <rFont val="Calibri"/>
        <family val="2"/>
        <scheme val="minor"/>
      </rPr>
      <t xml:space="preserve"> how you enable visibility into payment status. </t>
    </r>
    <r>
      <rPr>
        <b/>
        <sz val="10"/>
        <color rgb="FF000000"/>
        <rFont val="Calibri"/>
        <family val="2"/>
        <scheme val="minor"/>
      </rPr>
      <t>This description should include</t>
    </r>
    <r>
      <rPr>
        <sz val="10"/>
        <color rgb="FF000000"/>
        <rFont val="Calibri"/>
        <family val="2"/>
        <scheme val="minor"/>
      </rPr>
      <t xml:space="preserve"> (if applicable) the ability to support cross-border scenarios involving payment in different currencies and the ability to perform payment plans within business rules (e.g., for recurring invoices corresponding to master contracts without a PO involved / a self-billing payment plan without supplier first sending an invoice). Explain your abilitiy to drive touchless processing. </t>
    </r>
    <r>
      <rPr>
        <b/>
        <sz val="10"/>
        <color rgb="FF000000"/>
        <rFont val="Calibri"/>
        <family val="2"/>
        <scheme val="minor"/>
      </rPr>
      <t>Describe</t>
    </r>
    <r>
      <rPr>
        <sz val="10"/>
        <color rgb="FF000000"/>
        <rFont val="Calibri"/>
        <family val="2"/>
        <scheme val="minor"/>
      </rPr>
      <t xml:space="preserve"> your ability to handle advance payments. </t>
    </r>
    <r>
      <rPr>
        <b/>
        <sz val="10"/>
        <color rgb="FF000000"/>
        <rFont val="Calibri"/>
        <family val="2"/>
        <scheme val="minor"/>
      </rPr>
      <t>Describe</t>
    </r>
    <r>
      <rPr>
        <sz val="10"/>
        <color rgb="FF000000"/>
        <rFont val="Calibri"/>
        <family val="2"/>
        <scheme val="minor"/>
      </rPr>
      <t xml:space="preserve"> your ability to manage invoices from suppliers under these circumstances for invoice validation and payment processing </t>
    </r>
  </si>
  <si>
    <r>
      <t>Describe</t>
    </r>
    <r>
      <rPr>
        <sz val="10"/>
        <color rgb="FF000000"/>
        <rFont val="Calibri"/>
        <family val="2"/>
        <scheme val="minor"/>
      </rPr>
      <t xml:space="preserve"> how you support payment cards / virtual cards - single use- (and any partnerships, if applicable), including reconciliation, reporting and visibility (pre-integrated into the solution). If there is card integration into a native T&amp;E module which you support, please describe</t>
    </r>
  </si>
  <si>
    <r>
      <t>Describe</t>
    </r>
    <r>
      <rPr>
        <sz val="10"/>
        <color rgb="FF000000"/>
        <rFont val="Calibri"/>
        <family val="2"/>
        <scheme val="minor"/>
      </rPr>
      <t xml:space="preserve"> the different options you offer for supporting balance and non-balance sheet funded trade financing options and whether these are periodic or recurring (supplier "opt-in"). </t>
    </r>
    <r>
      <rPr>
        <b/>
        <sz val="10"/>
        <color rgb="FF000000"/>
        <rFont val="Calibri"/>
        <family val="2"/>
        <scheme val="minor"/>
      </rPr>
      <t>Please attach</t>
    </r>
    <r>
      <rPr>
        <sz val="10"/>
        <color rgb="FF000000"/>
        <rFont val="Calibri"/>
        <family val="2"/>
        <scheme val="minor"/>
      </rPr>
      <t xml:space="preserve"> detailed documentation in support of these capabilities and provide customer examples for different financing options. Supported capability (please provide details on all relevant capabilities and models) may include: invoice discounting/dynamic discounting, dynamic payment terms, reverse factoring (approved trade payables financing / SCF), factoring, inventory finance programs, card-based financing programs, hybrid programs. </t>
    </r>
    <r>
      <rPr>
        <b/>
        <sz val="10"/>
        <color rgb="FF000000"/>
        <rFont val="Calibri"/>
        <family val="2"/>
        <scheme val="minor"/>
      </rPr>
      <t>Please note</t>
    </r>
    <r>
      <rPr>
        <sz val="10"/>
        <color rgb="FF000000"/>
        <rFont val="Calibri"/>
        <family val="2"/>
        <scheme val="minor"/>
      </rPr>
      <t xml:space="preserve"> if your technology supports financing automation (e.g., supplier opt-in per certain requirements/constraints/matches). </t>
    </r>
    <r>
      <rPr>
        <b/>
        <sz val="10"/>
        <color rgb="FF000000"/>
        <rFont val="Calibri"/>
        <family val="2"/>
        <scheme val="minor"/>
      </rPr>
      <t xml:space="preserve">Please list </t>
    </r>
    <r>
      <rPr>
        <sz val="10"/>
        <color rgb="FF000000"/>
        <rFont val="Calibri"/>
        <family val="2"/>
        <scheme val="minor"/>
      </rPr>
      <t xml:space="preserve">all third-party technology, finance, trade credit, trade insurance and related partnerships and also support in specific countries (if applicable) outside North America; are financing options tied to a single bank or non-bank financing institution or multiple providers. </t>
    </r>
    <r>
      <rPr>
        <b/>
        <sz val="10"/>
        <color rgb="FF000000"/>
        <rFont val="Calibri"/>
        <family val="2"/>
        <scheme val="minor"/>
      </rPr>
      <t xml:space="preserve">Please describe </t>
    </r>
    <r>
      <rPr>
        <sz val="10"/>
        <color rgb="FF000000"/>
        <rFont val="Calibri"/>
        <family val="2"/>
        <scheme val="minor"/>
      </rPr>
      <t>your current financing volume levels and committed facilities (by third parties).</t>
    </r>
    <r>
      <rPr>
        <b/>
        <sz val="10"/>
        <color rgb="FF000000"/>
        <rFont val="Calibri"/>
        <family val="2"/>
        <scheme val="minor"/>
      </rPr>
      <t xml:space="preserve"> Please also list</t>
    </r>
    <r>
      <rPr>
        <sz val="10"/>
        <color rgb="FF000000"/>
        <rFont val="Calibri"/>
        <family val="2"/>
        <scheme val="minor"/>
      </rPr>
      <t xml:space="preserve"> committed facility examples in balance sheet funded programs and the number of balance sheet-funded programs in operation with at least $1MM (average) in funding over the past 6 months.</t>
    </r>
    <r>
      <rPr>
        <b/>
        <sz val="10"/>
        <color rgb="FF000000"/>
        <rFont val="Calibri"/>
        <family val="2"/>
        <scheme val="minor"/>
      </rPr>
      <t xml:space="preserve"> Please describe</t>
    </r>
    <r>
      <rPr>
        <sz val="10"/>
        <color rgb="FF000000"/>
        <rFont val="Calibri"/>
        <family val="2"/>
        <scheme val="minor"/>
      </rPr>
      <t xml:space="preserve"> typical APRs offered to suppliers by supplier tier and "uptake" on financing offers to date. </t>
    </r>
    <r>
      <rPr>
        <b/>
        <sz val="10"/>
        <color rgb="FF000000"/>
        <rFont val="Calibri"/>
        <family val="2"/>
        <scheme val="minor"/>
      </rPr>
      <t>Please describe</t>
    </r>
    <r>
      <rPr>
        <sz val="10"/>
        <color rgb="FF000000"/>
        <rFont val="Calibri"/>
        <family val="2"/>
        <scheme val="minor"/>
      </rPr>
      <t xml:space="preserve"> your payment offerings/partnership and number of customers supported via these payment integrations (if applicable) not already described above. </t>
    </r>
    <r>
      <rPr>
        <b/>
        <sz val="10"/>
        <color rgb="FF000000"/>
        <rFont val="Calibri"/>
        <family val="2"/>
        <scheme val="minor"/>
      </rPr>
      <t xml:space="preserve">Please </t>
    </r>
    <r>
      <rPr>
        <sz val="10"/>
        <color rgb="FF000000"/>
        <rFont val="Calibri"/>
        <family val="2"/>
        <scheme val="minor"/>
      </rPr>
      <t xml:space="preserve">describe (in the case of third-party funding) any type of rebate mechanism and/or the ability to contribute to funding via a special purpose or other vehicle. </t>
    </r>
    <r>
      <rPr>
        <b/>
        <sz val="10"/>
        <color rgb="FF000000"/>
        <rFont val="Calibri"/>
        <family val="2"/>
        <scheme val="minor"/>
      </rPr>
      <t>What do</t>
    </r>
    <r>
      <rPr>
        <sz val="10"/>
        <color rgb="FF000000"/>
        <rFont val="Calibri"/>
        <family val="2"/>
        <scheme val="minor"/>
      </rPr>
      <t xml:space="preserve"> typical economics of these structures look like? </t>
    </r>
  </si>
  <si>
    <r>
      <t>Describe</t>
    </r>
    <r>
      <rPr>
        <sz val="10"/>
        <color rgb="FF000000"/>
        <rFont val="Calibri"/>
        <family val="2"/>
        <scheme val="minor"/>
      </rPr>
      <t xml:space="preserve"> your ability to support collaboration between buyers, suppliers and third-parties (if applicable) for negotiation / remediation purposes in the case of standard discounting or recourse arrangements</t>
    </r>
  </si>
  <si>
    <r>
      <t>Describe</t>
    </r>
    <r>
      <rPr>
        <sz val="10"/>
        <color rgb="FF000000"/>
        <rFont val="Calibri"/>
        <family val="2"/>
        <scheme val="minor"/>
      </rPr>
      <t xml:space="preserve"> any financing-specific analytics (for buyers </t>
    </r>
    <r>
      <rPr>
        <i/>
        <sz val="10"/>
        <color rgb="FF000000"/>
        <rFont val="Calibri"/>
        <family val="2"/>
        <scheme val="minor"/>
      </rPr>
      <t>and</t>
    </r>
    <r>
      <rPr>
        <sz val="10"/>
        <color rgb="FF000000"/>
        <rFont val="Calibri"/>
        <family val="2"/>
        <scheme val="minor"/>
      </rPr>
      <t xml:space="preserve"> suppliers). These could include dashboards and analytical environments to support working capital analysis, working capital requirements, available cash (by geography or P&amp;L), rebate structures/visibility, etc. </t>
    </r>
  </si>
  <si>
    <t>Customer Score</t>
  </si>
  <si>
    <t>tbd - we should probably categorize - maybe in some buckets like: CustSat; Financial/Value; Product; Provider-level generic Capability; and Provider-level Customer-relevant Capability (i.e., context-specific to process, industry, etc.)</t>
  </si>
  <si>
    <t>populate from cust sat survey text (Carina or I can get)</t>
  </si>
  <si>
    <t>Strategic Procurement Technologies (SPT)</t>
  </si>
  <si>
    <t>Concat</t>
  </si>
  <si>
    <t>4-11-103</t>
  </si>
  <si>
    <t>4-11-104</t>
  </si>
  <si>
    <t>4-11-105</t>
  </si>
  <si>
    <t>4-11-106</t>
  </si>
  <si>
    <t>4-11-107</t>
  </si>
  <si>
    <t>4-11-108</t>
  </si>
  <si>
    <t>4-11-109</t>
  </si>
  <si>
    <t>4-11-110</t>
  </si>
  <si>
    <t>4-11-111</t>
  </si>
  <si>
    <t>4-11-112</t>
  </si>
  <si>
    <t>4-11-113</t>
  </si>
  <si>
    <t>4-11-114</t>
  </si>
  <si>
    <t>4-11-115</t>
  </si>
  <si>
    <t>4-12-116</t>
  </si>
  <si>
    <t>4-12-117</t>
  </si>
  <si>
    <t>4-12-118</t>
  </si>
  <si>
    <t>4-12-119</t>
  </si>
  <si>
    <t>4-12-120</t>
  </si>
  <si>
    <t>4-12-121</t>
  </si>
  <si>
    <t>4-12-122</t>
  </si>
  <si>
    <t>4-13-123</t>
  </si>
  <si>
    <t>4-13-124</t>
  </si>
  <si>
    <t>4-13-125</t>
  </si>
  <si>
    <t>4-13-126</t>
  </si>
  <si>
    <t>4-13-127</t>
  </si>
  <si>
    <t>4-13-56</t>
  </si>
  <si>
    <t>4-13-128</t>
  </si>
  <si>
    <t>4-13-129</t>
  </si>
  <si>
    <t>4-13-55</t>
  </si>
  <si>
    <t>4-13-130</t>
  </si>
  <si>
    <t>4-13-131</t>
  </si>
  <si>
    <t>4-14-132</t>
  </si>
  <si>
    <t>4-14-133</t>
  </si>
  <si>
    <t>4-14-134</t>
  </si>
  <si>
    <t>4-14-135</t>
  </si>
  <si>
    <t>4-14-136</t>
  </si>
  <si>
    <t>4-14-137</t>
  </si>
  <si>
    <t>4-14-138</t>
  </si>
  <si>
    <t>4-14-139</t>
  </si>
  <si>
    <t>4-14-140</t>
  </si>
  <si>
    <t>4-14-141</t>
  </si>
  <si>
    <t>4-14-142</t>
  </si>
  <si>
    <t>4-14-143</t>
  </si>
  <si>
    <t>4-14-144</t>
  </si>
  <si>
    <t>4-14-145</t>
  </si>
  <si>
    <t>4-14-146</t>
  </si>
  <si>
    <t>4-15-147</t>
  </si>
  <si>
    <t>4-15-148</t>
  </si>
  <si>
    <t>4-15-115</t>
  </si>
  <si>
    <t>4-15-149</t>
  </si>
  <si>
    <t>4-15-150</t>
  </si>
  <si>
    <t>4-15-151</t>
  </si>
  <si>
    <t>4-15-152</t>
  </si>
  <si>
    <t>4-15-153</t>
  </si>
  <si>
    <t>4-15-154</t>
  </si>
  <si>
    <t>4-15-155</t>
  </si>
  <si>
    <t>4-15-156</t>
  </si>
  <si>
    <t>4-15-157</t>
  </si>
  <si>
    <t>4-15-158</t>
  </si>
  <si>
    <t>4-15-159</t>
  </si>
  <si>
    <t>4-15-160</t>
  </si>
  <si>
    <t>4-15-101</t>
  </si>
  <si>
    <t>4-15-161</t>
  </si>
  <si>
    <t>4-15-162</t>
  </si>
  <si>
    <t>4-15-163</t>
  </si>
  <si>
    <t>4-15-164</t>
  </si>
  <si>
    <t>4-15-113</t>
  </si>
  <si>
    <t>4-15-133</t>
  </si>
  <si>
    <t>4-15-165</t>
  </si>
  <si>
    <t>4-15-166</t>
  </si>
  <si>
    <t>4-15-167</t>
  </si>
  <si>
    <t>4-15-168</t>
  </si>
  <si>
    <t>4-15-169</t>
  </si>
  <si>
    <t>4-15-170</t>
  </si>
  <si>
    <t>4-15-171</t>
  </si>
  <si>
    <t>4-15-172</t>
  </si>
  <si>
    <t>4-15-173</t>
  </si>
  <si>
    <t>4-15-174</t>
  </si>
  <si>
    <t>4-15-175</t>
  </si>
  <si>
    <t>4-15-176</t>
  </si>
  <si>
    <t>4-15-177</t>
  </si>
  <si>
    <t>4-15-178</t>
  </si>
  <si>
    <t>4-15-179</t>
  </si>
  <si>
    <t>4-15-180</t>
  </si>
  <si>
    <t>4-15-181</t>
  </si>
  <si>
    <t>4-15-182</t>
  </si>
  <si>
    <t>4-15-183</t>
  </si>
  <si>
    <t>4-15-184</t>
  </si>
  <si>
    <t>4-15-185</t>
  </si>
  <si>
    <t>4-15-186</t>
  </si>
  <si>
    <t>4-16-187</t>
  </si>
  <si>
    <t>4-16-188</t>
  </si>
  <si>
    <t>4-16-189</t>
  </si>
  <si>
    <t>4-16-190</t>
  </si>
  <si>
    <t>4-16-191</t>
  </si>
  <si>
    <t>4-16-192</t>
  </si>
  <si>
    <t>4-16-193</t>
  </si>
  <si>
    <t>4-16-194</t>
  </si>
  <si>
    <t>4-16-195</t>
  </si>
  <si>
    <t>4-16-196</t>
  </si>
  <si>
    <t>4-16-197</t>
  </si>
  <si>
    <t>4-16-198</t>
  </si>
  <si>
    <t>4-16-199</t>
  </si>
  <si>
    <t>4-16-200</t>
  </si>
  <si>
    <t>4-16-201</t>
  </si>
  <si>
    <t>4-16-202</t>
  </si>
  <si>
    <t>4-17-203</t>
  </si>
  <si>
    <t>4-17-204</t>
  </si>
  <si>
    <t>4-17-205</t>
  </si>
  <si>
    <t>4-17-115</t>
  </si>
  <si>
    <t>4-17-206</t>
  </si>
  <si>
    <t>4-17-207</t>
  </si>
  <si>
    <t>4-17-208</t>
  </si>
  <si>
    <t>4-17-209</t>
  </si>
  <si>
    <t>4-17-210</t>
  </si>
  <si>
    <t>4-18-211</t>
  </si>
  <si>
    <t>4-18-212</t>
  </si>
  <si>
    <t>4-18-128</t>
  </si>
  <si>
    <t>4-18-367</t>
  </si>
  <si>
    <t>4-18-213</t>
  </si>
  <si>
    <t>4-18-194</t>
  </si>
  <si>
    <t>4-18-214</t>
  </si>
  <si>
    <t>4-18-215</t>
  </si>
  <si>
    <t>4-18-216</t>
  </si>
  <si>
    <t>4-18-217</t>
  </si>
  <si>
    <t>4-18-218</t>
  </si>
  <si>
    <t>4-18-219</t>
  </si>
  <si>
    <t>4-18-220</t>
  </si>
  <si>
    <t>4-18-221</t>
  </si>
  <si>
    <t>4-18-222</t>
  </si>
  <si>
    <t>4-18-223</t>
  </si>
  <si>
    <t>4-18-224</t>
  </si>
  <si>
    <t>4-7-225</t>
  </si>
  <si>
    <t>4-7-226</t>
  </si>
  <si>
    <t>4-7-10</t>
  </si>
  <si>
    <t>4-7-227</t>
  </si>
  <si>
    <t>4-7-228</t>
  </si>
  <si>
    <t>4-7-229</t>
  </si>
  <si>
    <t>4-7-78</t>
  </si>
  <si>
    <t>4-7-230</t>
  </si>
  <si>
    <t>4-7-81</t>
  </si>
  <si>
    <t>4-7-82</t>
  </si>
  <si>
    <t>4-7-231</t>
  </si>
  <si>
    <t>4-7-232</t>
  </si>
  <si>
    <t>4-7-233</t>
  </si>
  <si>
    <t>4-7-234</t>
  </si>
  <si>
    <t>4-6-235</t>
  </si>
  <si>
    <t>4-6-236</t>
  </si>
  <si>
    <t>4-6-237</t>
  </si>
  <si>
    <t>4-6-238</t>
  </si>
  <si>
    <t>4-6-239</t>
  </si>
  <si>
    <t>4-6-240</t>
  </si>
  <si>
    <t>4-6-66</t>
  </si>
  <si>
    <t>4-6-241</t>
  </si>
  <si>
    <t>4-6-67</t>
  </si>
  <si>
    <t>4-6-242</t>
  </si>
  <si>
    <t>4-6-243</t>
  </si>
  <si>
    <t>4-6-69</t>
  </si>
  <si>
    <t>4-8-83</t>
  </si>
  <si>
    <t>4-8-244</t>
  </si>
  <si>
    <t>4-8-245</t>
  </si>
  <si>
    <t>4-8-246</t>
  </si>
  <si>
    <t>4-8-247</t>
  </si>
  <si>
    <t>4-8-84</t>
  </si>
  <si>
    <t>4-8-85</t>
  </si>
  <si>
    <t>5-19-248</t>
  </si>
  <si>
    <t>5-19-249</t>
  </si>
  <si>
    <t>5-19-250</t>
  </si>
  <si>
    <t>5-19-251</t>
  </si>
  <si>
    <t>5-19-252</t>
  </si>
  <si>
    <t>5-19-253</t>
  </si>
  <si>
    <t>5-19-114</t>
  </si>
  <si>
    <t>5-19-254</t>
  </si>
  <si>
    <t>5-20-255</t>
  </si>
  <si>
    <t>5-20-256</t>
  </si>
  <si>
    <t>5-20-257</t>
  </si>
  <si>
    <t>5-20-258</t>
  </si>
  <si>
    <t>5-20-259</t>
  </si>
  <si>
    <t>5-20-260</t>
  </si>
  <si>
    <t>5-20-261</t>
  </si>
  <si>
    <t>5-20-262</t>
  </si>
  <si>
    <t>5-20-263</t>
  </si>
  <si>
    <t>5-20-264</t>
  </si>
  <si>
    <t>5-20-265</t>
  </si>
  <si>
    <t>5-20-101</t>
  </si>
  <si>
    <t>5-20-266</t>
  </si>
  <si>
    <t>5-20-142</t>
  </si>
  <si>
    <t>5-20-267</t>
  </si>
  <si>
    <t>5-20-268</t>
  </si>
  <si>
    <t>5-20-269</t>
  </si>
  <si>
    <t>5-20-270</t>
  </si>
  <si>
    <t>5-20-271</t>
  </si>
  <si>
    <t>5-20-272</t>
  </si>
  <si>
    <t>5-20-273</t>
  </si>
  <si>
    <t>5-20-274</t>
  </si>
  <si>
    <t>5-20-275</t>
  </si>
  <si>
    <t>5-20-276</t>
  </si>
  <si>
    <t>5-20-277</t>
  </si>
  <si>
    <t>5-20-278</t>
  </si>
  <si>
    <t>5-20-279</t>
  </si>
  <si>
    <t>5-21-280</t>
  </si>
  <si>
    <t>5-21-281</t>
  </si>
  <si>
    <t>5-21-109</t>
  </si>
  <si>
    <t>5-21-282</t>
  </si>
  <si>
    <t>5-21-128</t>
  </si>
  <si>
    <t>5-21-149</t>
  </si>
  <si>
    <t>5-21-213</t>
  </si>
  <si>
    <t>5-21-283</t>
  </si>
  <si>
    <t>5-21-112</t>
  </si>
  <si>
    <t>5-21-284</t>
  </si>
  <si>
    <t>5-21-285</t>
  </si>
  <si>
    <t>5-21-286</t>
  </si>
  <si>
    <t>5-21-287</t>
  </si>
  <si>
    <t>5-21-288</t>
  </si>
  <si>
    <t>5-21-289</t>
  </si>
  <si>
    <t>5-21-290</t>
  </si>
  <si>
    <t>5-21-291</t>
  </si>
  <si>
    <t>5-21-292</t>
  </si>
  <si>
    <t>5-21-293</t>
  </si>
  <si>
    <t>5-21-294</t>
  </si>
  <si>
    <t>5-21-295</t>
  </si>
  <si>
    <t>5-21-296</t>
  </si>
  <si>
    <t>5-21-297</t>
  </si>
  <si>
    <t>5-7-298</t>
  </si>
  <si>
    <t>5-7-226</t>
  </si>
  <si>
    <t>5-7-10</t>
  </si>
  <si>
    <t>5-7-299</t>
  </si>
  <si>
    <t>5-7-73</t>
  </si>
  <si>
    <t>5-7-74</t>
  </si>
  <si>
    <t>5-7-75</t>
  </si>
  <si>
    <t>5-7-300</t>
  </si>
  <si>
    <t>5-7-301</t>
  </si>
  <si>
    <t>5-7-78</t>
  </si>
  <si>
    <t>5-7-80</t>
  </si>
  <si>
    <t>5-7-81</t>
  </si>
  <si>
    <t>5-7-82</t>
  </si>
  <si>
    <t>5-7-302</t>
  </si>
  <si>
    <t>5-6-303</t>
  </si>
  <si>
    <t>5-6-304</t>
  </si>
  <si>
    <t>5-6-305</t>
  </si>
  <si>
    <t>5-6-65</t>
  </si>
  <si>
    <t>5-6-240</t>
  </si>
  <si>
    <t>5-6-66</t>
  </si>
  <si>
    <t>5-6-241</t>
  </si>
  <si>
    <t>5-8-306</t>
  </si>
  <si>
    <t>5-8-307</t>
  </si>
  <si>
    <t>5-8-83</t>
  </si>
  <si>
    <t>5-8-308</t>
  </si>
  <si>
    <t>5-8-309</t>
  </si>
  <si>
    <t>5-8-85</t>
  </si>
  <si>
    <t>6-22-310</t>
  </si>
  <si>
    <t>6-22-311</t>
  </si>
  <si>
    <t>6-22-312</t>
  </si>
  <si>
    <t>6-22-313</t>
  </si>
  <si>
    <t>6-22-314</t>
  </si>
  <si>
    <t>6-22-315</t>
  </si>
  <si>
    <t>6-22-316</t>
  </si>
  <si>
    <t>6-22-317</t>
  </si>
  <si>
    <t>6-22-318</t>
  </si>
  <si>
    <t>6-22-319</t>
  </si>
  <si>
    <t>6-23-320</t>
  </si>
  <si>
    <t>6-23-130</t>
  </si>
  <si>
    <t>6-23-131</t>
  </si>
  <si>
    <t>6-23-321</t>
  </si>
  <si>
    <t>6-23-322</t>
  </si>
  <si>
    <t>6-23-323</t>
  </si>
  <si>
    <t>6-23-324</t>
  </si>
  <si>
    <t>6-23-325</t>
  </si>
  <si>
    <t>6-23-326</t>
  </si>
  <si>
    <t>6-23-327</t>
  </si>
  <si>
    <t>6-23-328</t>
  </si>
  <si>
    <t>6-23-329</t>
  </si>
  <si>
    <t>6-23-330</t>
  </si>
  <si>
    <t>6-23-331</t>
  </si>
  <si>
    <t>6-23-332</t>
  </si>
  <si>
    <t>6-23-333</t>
  </si>
  <si>
    <t>6-23-334</t>
  </si>
  <si>
    <t>6-23-335</t>
  </si>
  <si>
    <t>6-23-336</t>
  </si>
  <si>
    <t>6-23-337</t>
  </si>
  <si>
    <t>6-23-338</t>
  </si>
  <si>
    <t>6-23-339</t>
  </si>
  <si>
    <t>6-23-161</t>
  </si>
  <si>
    <t>6-23-340</t>
  </si>
  <si>
    <t>6-24-341</t>
  </si>
  <si>
    <t>6-24-342</t>
  </si>
  <si>
    <t>6-24-343</t>
  </si>
  <si>
    <t>6-24-344</t>
  </si>
  <si>
    <t>6-24-345</t>
  </si>
  <si>
    <t>6-24-346</t>
  </si>
  <si>
    <t>6-24-347</t>
  </si>
  <si>
    <t>6-24-348</t>
  </si>
  <si>
    <t>6-24-218</t>
  </si>
  <si>
    <t>6-24-349</t>
  </si>
  <si>
    <t>6-24-350</t>
  </si>
  <si>
    <t>6-24-351</t>
  </si>
  <si>
    <t>6-24-352</t>
  </si>
  <si>
    <t>6-24-353</t>
  </si>
  <si>
    <t>6-24-354</t>
  </si>
  <si>
    <t>6-24-355</t>
  </si>
  <si>
    <t>6-24-356</t>
  </si>
  <si>
    <t>6-24-357</t>
  </si>
  <si>
    <t>6-24-358</t>
  </si>
  <si>
    <t>6-24-359</t>
  </si>
  <si>
    <t>6-24-360</t>
  </si>
  <si>
    <t>6-24-361</t>
  </si>
  <si>
    <t>6-24-221</t>
  </si>
  <si>
    <t>6-24-362</t>
  </si>
  <si>
    <t>6-24-363</t>
  </si>
  <si>
    <t>6-24-364</t>
  </si>
  <si>
    <t>6-24-365</t>
  </si>
  <si>
    <t>6-24-366</t>
  </si>
  <si>
    <t>6-24-32</t>
  </si>
  <si>
    <t>6-24-146</t>
  </si>
  <si>
    <t>6-24-367</t>
  </si>
  <si>
    <t>6-24-368</t>
  </si>
  <si>
    <t>6-24-369</t>
  </si>
  <si>
    <t>6-24-370</t>
  </si>
  <si>
    <t>6-25-371</t>
  </si>
  <si>
    <t>6-25-372</t>
  </si>
  <si>
    <t>6-25-101</t>
  </si>
  <si>
    <t>6-25-373</t>
  </si>
  <si>
    <t>6-25-374</t>
  </si>
  <si>
    <t>6-25-375</t>
  </si>
  <si>
    <t>6-25-376</t>
  </si>
  <si>
    <t>6-25-377</t>
  </si>
  <si>
    <t>6-7-225</t>
  </si>
  <si>
    <t>6-7-226</t>
  </si>
  <si>
    <t>6-7-10</t>
  </si>
  <si>
    <t>6-7-378</t>
  </si>
  <si>
    <t>6-7-73</t>
  </si>
  <si>
    <t>6-7-74</t>
  </si>
  <si>
    <t>6-7-75</t>
  </si>
  <si>
    <t>6-7-301</t>
  </si>
  <si>
    <t>6-7-78</t>
  </si>
  <si>
    <t>6-7-80</t>
  </si>
  <si>
    <t>6-7-81</t>
  </si>
  <si>
    <t>6-7-82</t>
  </si>
  <si>
    <t>6-7-234</t>
  </si>
  <si>
    <t>6-6-379</t>
  </si>
  <si>
    <t>6-6-380</t>
  </si>
  <si>
    <t>6-6-381</t>
  </si>
  <si>
    <t>6-6-382</t>
  </si>
  <si>
    <t>6-6-65</t>
  </si>
  <si>
    <t>6-6-240</t>
  </si>
  <si>
    <t>6-6-66</t>
  </si>
  <si>
    <t>6-6-241</t>
  </si>
  <si>
    <t>6-8-55</t>
  </si>
  <si>
    <t>6-8-383</t>
  </si>
  <si>
    <t>6-8-384</t>
  </si>
  <si>
    <t>6-8-385</t>
  </si>
  <si>
    <t>7-26-386</t>
  </si>
  <si>
    <t>7-26-387</t>
  </si>
  <si>
    <t>7-26-388</t>
  </si>
  <si>
    <t>7-26-389</t>
  </si>
  <si>
    <t>7-26-390</t>
  </si>
  <si>
    <t>7-26-391</t>
  </si>
  <si>
    <t>7-26-392</t>
  </si>
  <si>
    <t>7-26-393</t>
  </si>
  <si>
    <t>7-26-394</t>
  </si>
  <si>
    <t>7-26-395</t>
  </si>
  <si>
    <t>7-26-396</t>
  </si>
  <si>
    <t>7-26-115</t>
  </si>
  <si>
    <t>7-26-206</t>
  </si>
  <si>
    <t>7-26-397</t>
  </si>
  <si>
    <t>7-26-398</t>
  </si>
  <si>
    <t>7-26-399</t>
  </si>
  <si>
    <t>7-26-400</t>
  </si>
  <si>
    <t>7-27-401</t>
  </si>
  <si>
    <t>7-27-402</t>
  </si>
  <si>
    <t>7-27-344</t>
  </si>
  <si>
    <t>7-27-403</t>
  </si>
  <si>
    <t>7-27-404</t>
  </si>
  <si>
    <t>7-27-405</t>
  </si>
  <si>
    <t>7-27-347</t>
  </si>
  <si>
    <t>7-27-406</t>
  </si>
  <si>
    <t>7-27-407</t>
  </si>
  <si>
    <t>7-27-408</t>
  </si>
  <si>
    <t>7-27-208</t>
  </si>
  <si>
    <t>7-27-409</t>
  </si>
  <si>
    <t>7-27-410</t>
  </si>
  <si>
    <t>7-27-411</t>
  </si>
  <si>
    <t>7-27-412</t>
  </si>
  <si>
    <t>7-27-413</t>
  </si>
  <si>
    <t>7-27-414</t>
  </si>
  <si>
    <t>7-27-415</t>
  </si>
  <si>
    <t>7-27-416</t>
  </si>
  <si>
    <t>7-27-417</t>
  </si>
  <si>
    <t>7-28-418</t>
  </si>
  <si>
    <t>7-28-419</t>
  </si>
  <si>
    <t>7-28-420</t>
  </si>
  <si>
    <t>7-28-421</t>
  </si>
  <si>
    <t>7-28-422</t>
  </si>
  <si>
    <t>7-7-423</t>
  </si>
  <si>
    <t>7-7-424</t>
  </si>
  <si>
    <t>7-7-425</t>
  </si>
  <si>
    <t>7-7-426</t>
  </si>
  <si>
    <t>7-7-226</t>
  </si>
  <si>
    <t>7-7-427</t>
  </si>
  <si>
    <t>7-7-10</t>
  </si>
  <si>
    <t>7-7-428</t>
  </si>
  <si>
    <t>7-7-73</t>
  </si>
  <si>
    <t>7-7-74</t>
  </si>
  <si>
    <t>7-7-75</t>
  </si>
  <si>
    <t>7-7-66</t>
  </si>
  <si>
    <t>7-7-78</t>
  </si>
  <si>
    <t>7-7-429</t>
  </si>
  <si>
    <t>7-7-430</t>
  </si>
  <si>
    <t>7-7-80</t>
  </si>
  <si>
    <t>7-7-81</t>
  </si>
  <si>
    <t>7-7-82</t>
  </si>
  <si>
    <t>7-7-431</t>
  </si>
  <si>
    <t>7-7-432</t>
  </si>
  <si>
    <t>7-7-231</t>
  </si>
  <si>
    <t>7-7-232</t>
  </si>
  <si>
    <t>7-7-233</t>
  </si>
  <si>
    <t>7-6-433</t>
  </si>
  <si>
    <t>7-6-65</t>
  </si>
  <si>
    <t>7-6-240</t>
  </si>
  <si>
    <t>7-6-241</t>
  </si>
  <si>
    <t>7-8-434</t>
  </si>
  <si>
    <t>variantID</t>
  </si>
  <si>
    <t>Duplicated elements: we took yellow ones out for white ones</t>
  </si>
  <si>
    <t>concat</t>
  </si>
  <si>
    <t>3-1-1</t>
  </si>
  <si>
    <t>3-1-2</t>
  </si>
  <si>
    <t>3-1-3</t>
  </si>
  <si>
    <t>3-1-4</t>
  </si>
  <si>
    <t>3-1-5</t>
  </si>
  <si>
    <t>3-1-6</t>
  </si>
  <si>
    <t>3-1-7</t>
  </si>
  <si>
    <t>3-1-8</t>
  </si>
  <si>
    <t>3-1-9</t>
  </si>
  <si>
    <t>3-1-10</t>
  </si>
  <si>
    <t>3-1-11</t>
  </si>
  <si>
    <t>3-1-12</t>
  </si>
  <si>
    <t>3-2-13</t>
  </si>
  <si>
    <t>3-2-14</t>
  </si>
  <si>
    <t>3-2-15</t>
  </si>
  <si>
    <t>3-2-16</t>
  </si>
  <si>
    <t>3-2-17</t>
  </si>
  <si>
    <t>3-2-18</t>
  </si>
  <si>
    <t>3-2-19</t>
  </si>
  <si>
    <t>3-2-20</t>
  </si>
  <si>
    <t>3-2-21</t>
  </si>
  <si>
    <t>3-2-22</t>
  </si>
  <si>
    <t>3-2-23</t>
  </si>
  <si>
    <t>3-2-24</t>
  </si>
  <si>
    <t>3-2-25</t>
  </si>
  <si>
    <t>3-2-26</t>
  </si>
  <si>
    <t>3-2-27</t>
  </si>
  <si>
    <t>3-2-28</t>
  </si>
  <si>
    <t>3-2-29</t>
  </si>
  <si>
    <t>3-2-30</t>
  </si>
  <si>
    <t>3-2-31</t>
  </si>
  <si>
    <t>3-2-32</t>
  </si>
  <si>
    <t>3-2-33</t>
  </si>
  <si>
    <t>3-2-34</t>
  </si>
  <si>
    <t>3-2-10</t>
  </si>
  <si>
    <t>3-3-35</t>
  </si>
  <si>
    <t>3-3-36</t>
  </si>
  <si>
    <t>3-3-37</t>
  </si>
  <si>
    <t>3-3-38</t>
  </si>
  <si>
    <t>3-3-39</t>
  </si>
  <si>
    <t>3-3-40</t>
  </si>
  <si>
    <t>3-3-41</t>
  </si>
  <si>
    <t>3-3-42</t>
  </si>
  <si>
    <t>3-3-43</t>
  </si>
  <si>
    <t>3-3-44</t>
  </si>
  <si>
    <t>3-3-45</t>
  </si>
  <si>
    <t>3-3-46</t>
  </si>
  <si>
    <t>3-3-33</t>
  </si>
  <si>
    <t>3-3-47</t>
  </si>
  <si>
    <t>3-4-48</t>
  </si>
  <si>
    <t>3-4-49</t>
  </si>
  <si>
    <t>3-4-50</t>
  </si>
  <si>
    <t>3-4-51</t>
  </si>
  <si>
    <t>3-4-52</t>
  </si>
  <si>
    <t>3-4-53</t>
  </si>
  <si>
    <t>3-4-54</t>
  </si>
  <si>
    <t>3-4-44</t>
  </si>
  <si>
    <t>3-5-55</t>
  </si>
  <si>
    <t>3-5-56</t>
  </si>
  <si>
    <t>3-5-57</t>
  </si>
  <si>
    <t>3-5-58</t>
  </si>
  <si>
    <t>3-5-59</t>
  </si>
  <si>
    <t>3-5-60</t>
  </si>
  <si>
    <t>3-5-61</t>
  </si>
  <si>
    <t>3-5-62</t>
  </si>
  <si>
    <t>3-5-63</t>
  </si>
  <si>
    <t>3-9-86</t>
  </si>
  <si>
    <t>3-9-87</t>
  </si>
  <si>
    <t>3-9-88</t>
  </si>
  <si>
    <t>3-9-89</t>
  </si>
  <si>
    <t>3-9-90</t>
  </si>
  <si>
    <t>3-9-91</t>
  </si>
  <si>
    <t>3-9-92</t>
  </si>
  <si>
    <t>3-9-93</t>
  </si>
  <si>
    <t>3-9-94</t>
  </si>
  <si>
    <t>3-9-95</t>
  </si>
  <si>
    <t>3-10-96</t>
  </si>
  <si>
    <t>3-10-97</t>
  </si>
  <si>
    <t>3-10-98</t>
  </si>
  <si>
    <t>3-10-99</t>
  </si>
  <si>
    <t>3-10-100</t>
  </si>
  <si>
    <t>3-10-101</t>
  </si>
  <si>
    <t>3-10-102</t>
  </si>
  <si>
    <t>3-6-64</t>
  </si>
  <si>
    <t>3-6-65</t>
  </si>
  <si>
    <t>3-6-66</t>
  </si>
  <si>
    <t>3-6-67</t>
  </si>
  <si>
    <t>3-6-68</t>
  </si>
  <si>
    <t>3-6-69</t>
  </si>
  <si>
    <t>3-6-70</t>
  </si>
  <si>
    <t>3-7-71</t>
  </si>
  <si>
    <t>3-7-10</t>
  </si>
  <si>
    <t>3-7-72</t>
  </si>
  <si>
    <t>3-7-73</t>
  </si>
  <si>
    <t>3-7-74</t>
  </si>
  <si>
    <t>3-7-75</t>
  </si>
  <si>
    <t>3-7-76</t>
  </si>
  <si>
    <t>3-7-77</t>
  </si>
  <si>
    <t>3-7-78</t>
  </si>
  <si>
    <t>3-7-79</t>
  </si>
  <si>
    <t>3-7-80</t>
  </si>
  <si>
    <t>3-7-81</t>
  </si>
  <si>
    <t>3-7-82</t>
  </si>
  <si>
    <t>3-8-83</t>
  </si>
  <si>
    <t>3-8-84</t>
  </si>
  <si>
    <t>3-8-85</t>
  </si>
  <si>
    <t>Pool4Tool</t>
  </si>
  <si>
    <t>State of Flux</t>
  </si>
  <si>
    <t>Last version used: 10-6-17 7.00pm</t>
  </si>
  <si>
    <t>0-5 Scale</t>
  </si>
  <si>
    <t>Jason</t>
  </si>
  <si>
    <t>Michael</t>
  </si>
  <si>
    <t>Pierre</t>
  </si>
  <si>
    <t>Nimble</t>
  </si>
  <si>
    <t>Deep</t>
  </si>
  <si>
    <t>Turn-Key</t>
  </si>
  <si>
    <t>Configurator</t>
  </si>
  <si>
    <t>CIO-Friendly</t>
  </si>
  <si>
    <t>Optimizer</t>
  </si>
  <si>
    <t>How many ERP integrations are available out-of-the-box? How extensive are these integrations? How easy is it to add more ERPs through the API?</t>
  </si>
  <si>
    <t>Access Control</t>
  </si>
  <si>
    <t xml:space="preserve">Core Contract modeling </t>
  </si>
  <si>
    <t>Templates (From Contracts, Sourcing)</t>
  </si>
  <si>
    <t>Clauses (From Contracts, Sourcing)</t>
  </si>
  <si>
    <t>Auditable, Unalterable, Messaging (From Contracts, Sourcing)</t>
  </si>
  <si>
    <t>Version Control (From Contracts, Sourcing)</t>
  </si>
  <si>
    <t>REAL NAME WITHOUT (FROM CONTRACTS)</t>
  </si>
  <si>
    <t>NEW SCSE</t>
  </si>
  <si>
    <t>NEW, REAL NAME WITHOUT (FROM CONTRACTS)</t>
  </si>
  <si>
    <t>IT WAS A SCSE, NOW IT'S A CLASS</t>
  </si>
  <si>
    <t>Integrations (Approach)</t>
  </si>
  <si>
    <t>The contract management application should not only secure signed contracts but also limit add/change/delete access to those documents (and underlying data elements) to authorized personnel</t>
  </si>
  <si>
    <t xml:space="preserve">1 = basic role/user-group based access to documents. 2 = access applied to data element level and view/modify control. 3 = additional data access/action capabilities based on custom rules/roles/environment. 4 = anything beyond 1-3  </t>
  </si>
  <si>
    <t>The system needs to track who changed what, when and the change that was made in a manner that is easily searchable, reportable and unalterable. The complete history of any document, record or field that was changed should be maintained. Can both parties create secure, unalterable, auditable, persistent messages?</t>
  </si>
  <si>
    <t>1 = yes, but limited to offers and counter-offers. 2 = yes, all messaging is secure and persistent. 3 = yes, and complete audit trails, with e-Signature verifications, can be tracked and reported on at any time. 4 = would include capability beyond which is previously addressed (but including 1-3)</t>
  </si>
  <si>
    <t>Once a contract has been signed, it should be impossible for anyone to change the terms and conditions of the contract in any representation in the system. This includes the core document, any attachments, the metadata and any e-signature verifiers provided by a third-party e-signature authority. (This does not mean that the contract cannot be amended, but that the original contract will remain untouched and the amendment will be stored as the current, active, version). Does the solution have extensive version control capabilities with complete tracking of who did each individual change (if collaborative editing was enabled)?</t>
  </si>
  <si>
    <t>1 = basic document level version control. 2 = clause level version control. 3 = change and audit trails by user and version reporting and analysis. 4 = would include capability beyond which is previously addressed (but including 1-3)</t>
  </si>
  <si>
    <t>QY_ID</t>
  </si>
  <si>
    <t>BirchStreet</t>
  </si>
  <si>
    <t>BuyerQuest</t>
  </si>
  <si>
    <t>Claritum</t>
  </si>
  <si>
    <t>Coupa</t>
  </si>
  <si>
    <t>IBX</t>
  </si>
  <si>
    <t>Ivalua</t>
  </si>
  <si>
    <t>Nimbi</t>
  </si>
  <si>
    <t>Jaggaer Direct</t>
  </si>
  <si>
    <t>Prodigo</t>
  </si>
  <si>
    <t>SAP/Ariba</t>
  </si>
  <si>
    <t>Taulia</t>
  </si>
  <si>
    <t>Tradeshift</t>
  </si>
  <si>
    <t>Vroozi</t>
  </si>
  <si>
    <t>Aquiire</t>
  </si>
  <si>
    <t>Basware</t>
  </si>
  <si>
    <t>InstaSupply</t>
  </si>
  <si>
    <t>Prodigo Solutions</t>
  </si>
  <si>
    <t>Jaggaer Advantage</t>
  </si>
  <si>
    <t>Simeno</t>
  </si>
  <si>
    <t>wescale</t>
  </si>
  <si>
    <t>EC Sourcing</t>
  </si>
  <si>
    <t>Jaggaer Indirect</t>
  </si>
  <si>
    <t>Keelvar</t>
  </si>
  <si>
    <t>Market Dojo</t>
  </si>
  <si>
    <t>ScanMarket</t>
  </si>
  <si>
    <t>ScoutRFP</t>
  </si>
  <si>
    <t>AnyData Solutions</t>
  </si>
  <si>
    <t>Lavante</t>
  </si>
  <si>
    <t>Hiperos</t>
  </si>
  <si>
    <t>Exari</t>
  </si>
  <si>
    <t>Icertis</t>
  </si>
  <si>
    <t>Oracle</t>
  </si>
  <si>
    <t>OpusCapita</t>
  </si>
  <si>
    <t>Yooz</t>
  </si>
  <si>
    <t>SynerTrade</t>
  </si>
  <si>
    <t>Aravo</t>
  </si>
  <si>
    <t>ConnXus</t>
  </si>
  <si>
    <t>HICX</t>
  </si>
  <si>
    <t>Agiloft</t>
  </si>
  <si>
    <t>Bonfire</t>
  </si>
  <si>
    <t>Concord</t>
  </si>
  <si>
    <t>Description of Nimble</t>
  </si>
  <si>
    <t>Description of Deep</t>
  </si>
  <si>
    <t>Mega</t>
  </si>
  <si>
    <t>Description of Mega</t>
  </si>
  <si>
    <t>Description of Turn-Key</t>
  </si>
  <si>
    <t>DIY</t>
  </si>
  <si>
    <t>Description of DIY</t>
  </si>
  <si>
    <t>Description of Configurator</t>
  </si>
  <si>
    <t>ERP-Wrapper</t>
  </si>
  <si>
    <t>Description of ERP-Wrapper</t>
  </si>
  <si>
    <t>Description of CIO-Friendly</t>
  </si>
  <si>
    <t>Description of Optimizer</t>
  </si>
  <si>
    <t>Description of Industry</t>
  </si>
  <si>
    <t>2017-04-1 00:00:01</t>
  </si>
  <si>
    <t>2017-10-1 00:00:01</t>
  </si>
  <si>
    <t>2018-01-01 00:00:01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</si>
</sst>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hh:mm:ss"/>
  </numFmts>
  <fonts count="31">
    <font>
      <sz val="12"/>
      <color theme="1"/>
      <name val="Calibri"/>
      <family val="2"/>
      <scheme val="minor"/>
    </font>
    <font>
      <b/>
      <sz val="12"/>
      <color theme="1"/>
      <name val="Calibri"/>
      <family val="2"/>
      <scheme val="minor"/>
    </font>
    <font>
      <b/>
      <sz val="11"/>
      <color theme="1"/>
      <name val="Calibri"/>
      <family val="2"/>
      <scheme val="minor"/>
    </font>
    <font>
      <b/>
      <sz val="12"/>
      <color rgb="FF000000"/>
      <name val="Calibri"/>
      <family val="2"/>
    </font>
    <font>
      <sz val="11"/>
      <color theme="1"/>
      <name val="Calibri"/>
      <family val="2"/>
    </font>
    <font>
      <strike/>
      <sz val="11"/>
      <color rgb="FF000000"/>
      <name val="Calibri"/>
      <family val="2"/>
    </font>
    <font>
      <sz val="12"/>
      <color rgb="FF000000"/>
      <name val="Calibri"/>
      <family val="2"/>
      <scheme val="minor"/>
    </font>
    <font>
      <sz val="12"/>
      <color rgb="FFFF0000"/>
      <name val="Calibri"/>
      <family val="2"/>
      <scheme val="minor"/>
    </font>
    <font>
      <sz val="9"/>
      <color rgb="FF000000"/>
      <name val="Calibri"/>
      <family val="2"/>
    </font>
    <font>
      <b/>
      <sz val="9"/>
      <color rgb="FF000000"/>
      <name val="Calibri"/>
      <family val="2"/>
    </font>
    <font>
      <sz val="9"/>
      <color theme="1"/>
      <name val="Calibri"/>
      <family val="2"/>
      <scheme val="minor"/>
    </font>
    <font>
      <b/>
      <sz val="9"/>
      <color theme="1"/>
      <name val="Calibri"/>
      <family val="2"/>
      <scheme val="minor"/>
    </font>
    <font>
      <sz val="12"/>
      <color theme="1"/>
      <name val="Calibri"/>
      <family val="2"/>
      <scheme val="minor"/>
    </font>
    <font>
      <b/>
      <sz val="12"/>
      <color rgb="FF000000"/>
      <name val="Calibri"/>
      <family val="2"/>
      <scheme val="minor"/>
    </font>
    <font>
      <b/>
      <i/>
      <sz val="11"/>
      <color theme="1"/>
      <name val="Calibri"/>
      <family val="2"/>
      <scheme val="minor"/>
    </font>
    <font>
      <sz val="12"/>
      <name val="Calibri"/>
      <family val="2"/>
    </font>
    <font>
      <b/>
      <sz val="11"/>
      <color rgb="FF000000"/>
      <name val="Calibri"/>
      <family val="2"/>
    </font>
    <font>
      <sz val="11"/>
      <color rgb="FF000000"/>
      <name val="Calibri"/>
      <family val="2"/>
      <scheme val="minor"/>
    </font>
    <font>
      <sz val="9"/>
      <color rgb="FF000000"/>
      <name val="Calibri"/>
      <family val="2"/>
      <scheme val="minor"/>
    </font>
    <font>
      <sz val="9"/>
      <color rgb="FFFF0000"/>
      <name val="Calibri"/>
      <family val="2"/>
      <scheme val="minor"/>
    </font>
    <font>
      <sz val="9"/>
      <color rgb="FFFF0000"/>
      <name val="Calibri (Body)_x0000_"/>
    </font>
    <font>
      <i/>
      <sz val="9"/>
      <color rgb="FF000000"/>
      <name val="Calibri"/>
      <family val="2"/>
    </font>
    <font>
      <u/>
      <sz val="12"/>
      <color theme="10"/>
      <name val="Calibri"/>
      <family val="2"/>
      <scheme val="minor"/>
    </font>
    <font>
      <b/>
      <sz val="8"/>
      <color rgb="FF000000"/>
      <name val="Calibri"/>
      <family val="2"/>
      <scheme val="minor"/>
    </font>
    <font>
      <b/>
      <sz val="10"/>
      <color rgb="FF000000"/>
      <name val="Calibri"/>
      <family val="2"/>
      <scheme val="minor"/>
    </font>
    <font>
      <sz val="10"/>
      <color rgb="FF000000"/>
      <name val="Calibri"/>
      <family val="2"/>
      <scheme val="minor"/>
    </font>
    <font>
      <i/>
      <sz val="10"/>
      <color rgb="FF000000"/>
      <name val="Calibri"/>
      <family val="2"/>
      <scheme val="minor"/>
    </font>
    <font>
      <sz val="11"/>
      <color theme="1"/>
      <name val="Calibri"/>
      <family val="2"/>
      <scheme val="minor"/>
    </font>
    <font>
      <b/>
      <sz val="10"/>
      <color theme="1"/>
      <name val="Calibri"/>
      <family val="2"/>
      <scheme val="minor"/>
    </font>
    <font>
      <b/>
      <sz val="14"/>
      <color theme="1"/>
      <name val="Calibri (Body)_x0000_"/>
    </font>
    <font>
      <b/>
      <sz val="11"/>
      <color theme="1"/>
      <name val="Calibri"/>
      <family val="2"/>
    </font>
  </fonts>
  <fills count="28">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FFFF99"/>
        <bgColor indexed="64"/>
      </patternFill>
    </fill>
    <fill>
      <patternFill patternType="solid">
        <fgColor rgb="FFFFD966"/>
        <bgColor rgb="FFFFD966"/>
      </patternFill>
    </fill>
    <fill>
      <patternFill patternType="solid">
        <fgColor rgb="FFA4C2F4"/>
        <bgColor rgb="FFA4C2F4"/>
      </patternFill>
    </fill>
    <fill>
      <patternFill patternType="solid">
        <fgColor rgb="FFB6D7A8"/>
        <bgColor rgb="FFB6D7A8"/>
      </patternFill>
    </fill>
    <fill>
      <patternFill patternType="solid">
        <fgColor rgb="FFD5A6BD"/>
        <bgColor rgb="FFD5A6BD"/>
      </patternFill>
    </fill>
    <fill>
      <patternFill patternType="solid">
        <fgColor rgb="FFFF0000"/>
        <bgColor rgb="FF000000"/>
      </patternFill>
    </fill>
    <fill>
      <patternFill patternType="solid">
        <fgColor rgb="FFF8CBAD"/>
        <bgColor rgb="FF000000"/>
      </patternFill>
    </fill>
    <fill>
      <patternFill patternType="solid">
        <fgColor rgb="FFC65911"/>
        <bgColor rgb="FF000000"/>
      </patternFill>
    </fill>
    <fill>
      <patternFill patternType="solid">
        <fgColor rgb="FFFF0000"/>
        <bgColor indexed="64"/>
      </patternFill>
    </fill>
    <fill>
      <patternFill patternType="solid">
        <fgColor rgb="FFFFC000"/>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rgb="FF00B050"/>
        <bgColor indexed="64"/>
      </patternFill>
    </fill>
    <fill>
      <patternFill patternType="solid">
        <fgColor rgb="FFFBE4D5"/>
        <bgColor rgb="FFFBE4D5"/>
      </patternFill>
    </fill>
    <fill>
      <patternFill patternType="solid">
        <fgColor rgb="FF00B0F0"/>
        <bgColor indexed="64"/>
      </patternFill>
    </fill>
    <fill>
      <patternFill patternType="solid">
        <fgColor rgb="FF92D050"/>
        <bgColor rgb="FF000000"/>
      </patternFill>
    </fill>
    <fill>
      <patternFill patternType="solid">
        <fgColor rgb="FF92D050"/>
        <bgColor rgb="FF92D050"/>
      </patternFill>
    </fill>
    <fill>
      <patternFill patternType="solid">
        <fgColor rgb="FFFFC000"/>
        <bgColor rgb="FFFFC000"/>
      </patternFill>
    </fill>
    <fill>
      <patternFill patternType="solid">
        <fgColor rgb="FF00B0F0"/>
        <bgColor rgb="FF00B0F0"/>
      </patternFill>
    </fill>
    <fill>
      <patternFill patternType="solid">
        <fgColor rgb="FFFFFF00"/>
        <bgColor rgb="FFFFFF00"/>
      </patternFill>
    </fill>
    <fill>
      <patternFill patternType="solid">
        <fgColor rgb="FFD0CECE"/>
        <bgColor rgb="FFD0CECE"/>
      </patternFill>
    </fill>
    <fill>
      <patternFill patternType="solid">
        <fgColor rgb="FFFFC000"/>
        <bgColor rgb="FFFFE598"/>
      </patternFill>
    </fill>
  </fills>
  <borders count="21">
    <border>
      <left/>
      <right/>
      <top/>
      <bottom/>
      <diagonal/>
    </border>
    <border>
      <left/>
      <right/>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style="thin">
        <color auto="1"/>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medium">
        <color rgb="FF000000"/>
      </left>
      <right style="medium">
        <color rgb="FF000000"/>
      </right>
      <top style="medium">
        <color rgb="FF000000"/>
      </top>
      <bottom/>
      <diagonal/>
    </border>
    <border>
      <left style="thin">
        <color auto="1"/>
      </left>
      <right style="thin">
        <color auto="1"/>
      </right>
      <top/>
      <bottom/>
      <diagonal/>
    </border>
    <border>
      <left style="thin">
        <color auto="1"/>
      </left>
      <right/>
      <top/>
      <bottom/>
      <diagonal/>
    </border>
    <border>
      <left style="thin">
        <color auto="1"/>
      </left>
      <right style="thin">
        <color auto="1"/>
      </right>
      <top style="thin">
        <color auto="1"/>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s>
  <cellStyleXfs count="3">
    <xf numFmtId="0" fontId="0" fillId="0" borderId="0"/>
    <xf numFmtId="9" fontId="12" fillId="0" borderId="0" applyFont="0" applyFill="0" applyBorder="0" applyAlignment="0" applyProtection="0"/>
    <xf numFmtId="0" fontId="22" fillId="0" borderId="0" applyNumberFormat="0" applyFill="0" applyBorder="0" applyAlignment="0" applyProtection="0"/>
  </cellStyleXfs>
  <cellXfs count="175">
    <xf numFmtId="0" fontId="0" fillId="0" borderId="0" xfId="0"/>
    <xf numFmtId="0" fontId="0" fillId="2" borderId="0" xfId="0" applyFill="1"/>
    <xf numFmtId="0" fontId="0" fillId="3" borderId="0" xfId="0" applyFill="1"/>
    <xf numFmtId="0" fontId="0" fillId="3" borderId="1" xfId="0" applyFill="1" applyBorder="1"/>
    <xf numFmtId="0" fontId="0" fillId="0" borderId="1" xfId="0" applyBorder="1"/>
    <xf numFmtId="0" fontId="0" fillId="4" borderId="0" xfId="0" applyFill="1"/>
    <xf numFmtId="0" fontId="0" fillId="4" borderId="1" xfId="0" applyFill="1" applyBorder="1"/>
    <xf numFmtId="0" fontId="0" fillId="0" borderId="0" xfId="0" applyFill="1"/>
    <xf numFmtId="0" fontId="1" fillId="5" borderId="0" xfId="0" applyFont="1" applyFill="1" applyAlignment="1">
      <alignment horizontal="center"/>
    </xf>
    <xf numFmtId="0" fontId="1" fillId="5" borderId="0" xfId="0" applyFont="1" applyFill="1" applyAlignment="1">
      <alignment horizontal="center" vertical="center" wrapText="1"/>
    </xf>
    <xf numFmtId="0" fontId="0" fillId="0" borderId="0" xfId="0" applyFont="1" applyAlignment="1">
      <alignment vertical="center" wrapText="1"/>
    </xf>
    <xf numFmtId="0" fontId="0" fillId="6" borderId="0" xfId="0" applyFont="1" applyFill="1" applyAlignment="1">
      <alignment vertical="center" wrapText="1"/>
    </xf>
    <xf numFmtId="0" fontId="1" fillId="5" borderId="0" xfId="0" applyFont="1" applyFill="1" applyBorder="1" applyAlignment="1">
      <alignment horizontal="center" vertical="center"/>
    </xf>
    <xf numFmtId="0" fontId="0" fillId="0" borderId="0" xfId="0" applyBorder="1" applyAlignment="1">
      <alignment vertical="center"/>
    </xf>
    <xf numFmtId="0" fontId="0" fillId="6" borderId="0" xfId="0" applyFill="1" applyBorder="1" applyAlignment="1">
      <alignment vertical="center"/>
    </xf>
    <xf numFmtId="0" fontId="2" fillId="7" borderId="0" xfId="0" applyFont="1" applyFill="1" applyBorder="1" applyAlignment="1">
      <alignment vertical="center" wrapText="1"/>
    </xf>
    <xf numFmtId="0" fontId="2" fillId="8" borderId="0" xfId="0" applyFont="1" applyFill="1" applyBorder="1" applyAlignment="1">
      <alignment vertical="center" wrapText="1"/>
    </xf>
    <xf numFmtId="0" fontId="2" fillId="9" borderId="0" xfId="0" applyFont="1" applyFill="1" applyBorder="1" applyAlignment="1">
      <alignment vertical="center" wrapText="1"/>
    </xf>
    <xf numFmtId="0" fontId="2" fillId="10" borderId="0" xfId="0" applyFont="1" applyFill="1" applyBorder="1" applyAlignment="1">
      <alignment vertical="center" wrapText="1"/>
    </xf>
    <xf numFmtId="0" fontId="0" fillId="0" borderId="0" xfId="0" applyFont="1" applyBorder="1" applyAlignment="1">
      <alignment vertical="center" wrapText="1"/>
    </xf>
    <xf numFmtId="0" fontId="0" fillId="7" borderId="0" xfId="0" applyFont="1" applyFill="1" applyBorder="1" applyAlignment="1">
      <alignment vertical="center" wrapText="1"/>
    </xf>
    <xf numFmtId="0" fontId="0" fillId="8" borderId="0" xfId="0" applyFont="1" applyFill="1" applyBorder="1" applyAlignment="1">
      <alignment vertical="center" wrapText="1"/>
    </xf>
    <xf numFmtId="0" fontId="0" fillId="9" borderId="0" xfId="0" applyFont="1" applyFill="1" applyBorder="1" applyAlignment="1">
      <alignment vertical="center" wrapText="1"/>
    </xf>
    <xf numFmtId="0" fontId="0" fillId="10" borderId="0" xfId="0" applyFont="1" applyFill="1" applyBorder="1" applyAlignment="1">
      <alignment vertical="center" wrapText="1"/>
    </xf>
    <xf numFmtId="0" fontId="4" fillId="0" borderId="0" xfId="0" applyFont="1" applyFill="1" applyBorder="1"/>
    <xf numFmtId="0" fontId="0" fillId="0" borderId="0" xfId="0" applyNumberFormat="1"/>
    <xf numFmtId="0" fontId="0" fillId="5" borderId="0" xfId="0" applyFill="1"/>
    <xf numFmtId="0" fontId="6" fillId="0" borderId="0" xfId="0" applyFont="1"/>
    <xf numFmtId="0" fontId="4" fillId="0" borderId="2" xfId="0" applyFont="1" applyFill="1" applyBorder="1"/>
    <xf numFmtId="0" fontId="4" fillId="0" borderId="3" xfId="0" applyFont="1" applyFill="1" applyBorder="1"/>
    <xf numFmtId="0" fontId="4" fillId="0" borderId="4" xfId="0" applyFont="1" applyFill="1" applyBorder="1"/>
    <xf numFmtId="0" fontId="4" fillId="0" borderId="0" xfId="0" applyFont="1" applyFill="1" applyBorder="1" applyAlignment="1">
      <alignment vertical="center"/>
    </xf>
    <xf numFmtId="0" fontId="4" fillId="7" borderId="0" xfId="0" applyFont="1" applyFill="1" applyBorder="1" applyAlignment="1">
      <alignment vertical="center" wrapText="1"/>
    </xf>
    <xf numFmtId="0" fontId="4" fillId="8" borderId="0" xfId="0" applyFont="1" applyFill="1" applyBorder="1" applyAlignment="1">
      <alignment vertical="center" wrapText="1"/>
    </xf>
    <xf numFmtId="0" fontId="4" fillId="9" borderId="0" xfId="0" applyFont="1" applyFill="1" applyBorder="1" applyAlignment="1">
      <alignment vertical="center" wrapText="1"/>
    </xf>
    <xf numFmtId="0" fontId="4" fillId="10" borderId="0" xfId="0" applyFont="1" applyFill="1" applyBorder="1" applyAlignment="1">
      <alignment vertical="center" wrapText="1"/>
    </xf>
    <xf numFmtId="0" fontId="4" fillId="0" borderId="3" xfId="0" applyFont="1" applyFill="1" applyBorder="1" applyAlignment="1">
      <alignment horizontal="left"/>
    </xf>
    <xf numFmtId="0" fontId="7" fillId="0" borderId="0" xfId="0" applyFont="1"/>
    <xf numFmtId="0" fontId="8" fillId="0" borderId="6" xfId="0" applyFont="1" applyBorder="1" applyAlignment="1">
      <alignment vertical="center" wrapText="1"/>
    </xf>
    <xf numFmtId="0" fontId="8" fillId="0" borderId="9" xfId="0" applyFont="1" applyBorder="1" applyAlignment="1">
      <alignment vertical="center" wrapText="1"/>
    </xf>
    <xf numFmtId="0" fontId="8" fillId="0" borderId="10" xfId="0" applyFont="1" applyBorder="1" applyAlignment="1">
      <alignment vertical="center" wrapText="1"/>
    </xf>
    <xf numFmtId="0" fontId="4" fillId="14" borderId="3" xfId="0" applyFont="1" applyFill="1" applyBorder="1"/>
    <xf numFmtId="0" fontId="0" fillId="14" borderId="0" xfId="0" applyFill="1"/>
    <xf numFmtId="0" fontId="4" fillId="15" borderId="3" xfId="0" applyFont="1" applyFill="1" applyBorder="1"/>
    <xf numFmtId="0" fontId="0" fillId="15" borderId="0" xfId="0" applyFill="1"/>
    <xf numFmtId="0" fontId="8" fillId="0" borderId="0" xfId="0" applyFont="1" applyBorder="1" applyAlignment="1">
      <alignment vertical="center" wrapText="1"/>
    </xf>
    <xf numFmtId="0" fontId="9" fillId="0" borderId="0" xfId="0" applyFont="1" applyBorder="1" applyAlignment="1">
      <alignment vertical="center" wrapText="1"/>
    </xf>
    <xf numFmtId="0" fontId="0" fillId="0" borderId="0" xfId="0" applyBorder="1"/>
    <xf numFmtId="0" fontId="9" fillId="0" borderId="9" xfId="0" applyFont="1" applyBorder="1" applyAlignment="1">
      <alignment vertical="center" wrapText="1"/>
    </xf>
    <xf numFmtId="0" fontId="8" fillId="0" borderId="9" xfId="0" applyFont="1" applyBorder="1" applyAlignment="1">
      <alignment wrapText="1"/>
    </xf>
    <xf numFmtId="0" fontId="0" fillId="0" borderId="0" xfId="0" applyAlignment="1">
      <alignment vertical="center" wrapText="1"/>
    </xf>
    <xf numFmtId="0" fontId="0" fillId="0" borderId="0" xfId="0" applyAlignment="1">
      <alignment horizontal="center" vertical="center" wrapText="1"/>
    </xf>
    <xf numFmtId="0" fontId="0" fillId="17" borderId="0" xfId="0" applyFill="1" applyAlignment="1">
      <alignment vertical="center" wrapText="1"/>
    </xf>
    <xf numFmtId="0" fontId="0" fillId="18" borderId="11" xfId="0" applyFill="1" applyBorder="1" applyAlignment="1">
      <alignment horizontal="center" vertical="center" wrapText="1"/>
    </xf>
    <xf numFmtId="164" fontId="0" fillId="19" borderId="12" xfId="0" applyNumberFormat="1" applyFont="1" applyFill="1" applyBorder="1" applyAlignment="1">
      <alignment horizontal="center"/>
    </xf>
    <xf numFmtId="0" fontId="0" fillId="0" borderId="0" xfId="0" applyAlignment="1">
      <alignment horizontal="center"/>
    </xf>
    <xf numFmtId="0" fontId="0" fillId="18" borderId="13" xfId="0" applyFill="1" applyBorder="1" applyAlignment="1">
      <alignment horizontal="center" vertical="center" wrapText="1"/>
    </xf>
    <xf numFmtId="0" fontId="0" fillId="20" borderId="13" xfId="0" applyFill="1" applyBorder="1" applyAlignment="1">
      <alignment horizontal="center" vertical="center" wrapText="1"/>
    </xf>
    <xf numFmtId="0" fontId="0" fillId="20" borderId="14" xfId="0" applyFill="1" applyBorder="1" applyAlignment="1">
      <alignment horizontal="center" vertical="center" wrapText="1"/>
    </xf>
    <xf numFmtId="0" fontId="13" fillId="21" borderId="0" xfId="0" applyFont="1" applyFill="1" applyBorder="1" applyAlignment="1">
      <alignment horizontal="left" vertical="center" wrapText="1"/>
    </xf>
    <xf numFmtId="164" fontId="0" fillId="0" borderId="0" xfId="0" applyNumberFormat="1" applyAlignment="1">
      <alignment horizontal="center"/>
    </xf>
    <xf numFmtId="0" fontId="12" fillId="15" borderId="11" xfId="0" applyFont="1" applyFill="1" applyBorder="1" applyAlignment="1">
      <alignment horizontal="left"/>
    </xf>
    <xf numFmtId="164" fontId="2" fillId="0" borderId="0" xfId="0" applyNumberFormat="1" applyFont="1"/>
    <xf numFmtId="9" fontId="0" fillId="0" borderId="0" xfId="1" applyFont="1" applyAlignment="1">
      <alignment horizontal="center"/>
    </xf>
    <xf numFmtId="0" fontId="2" fillId="20" borderId="0" xfId="0" applyFont="1" applyFill="1" applyAlignment="1">
      <alignment horizontal="right"/>
    </xf>
    <xf numFmtId="164" fontId="0" fillId="20" borderId="0" xfId="0" applyNumberFormat="1" applyFill="1" applyAlignment="1">
      <alignment horizontal="center" vertical="center"/>
    </xf>
    <xf numFmtId="0" fontId="14" fillId="20" borderId="0" xfId="0" applyFont="1" applyFill="1" applyAlignment="1">
      <alignment horizontal="right"/>
    </xf>
    <xf numFmtId="164" fontId="14" fillId="20" borderId="0" xfId="0" applyNumberFormat="1" applyFont="1" applyFill="1" applyAlignment="1">
      <alignment horizontal="center"/>
    </xf>
    <xf numFmtId="0" fontId="0" fillId="6" borderId="0" xfId="0" applyFill="1"/>
    <xf numFmtId="164" fontId="0" fillId="6" borderId="0" xfId="0" applyNumberFormat="1" applyFill="1" applyAlignment="1">
      <alignment horizontal="center"/>
    </xf>
    <xf numFmtId="0" fontId="0" fillId="18" borderId="15" xfId="0" applyFill="1" applyBorder="1" applyAlignment="1">
      <alignment horizontal="center" vertical="center" wrapText="1"/>
    </xf>
    <xf numFmtId="164" fontId="0" fillId="0" borderId="0" xfId="0" applyNumberFormat="1" applyBorder="1" applyAlignment="1">
      <alignment horizontal="left" vertical="center"/>
    </xf>
    <xf numFmtId="164" fontId="0" fillId="0" borderId="0" xfId="0" applyNumberFormat="1" applyBorder="1" applyAlignment="1">
      <alignment horizontal="center" vertical="center"/>
    </xf>
    <xf numFmtId="0" fontId="2" fillId="0" borderId="0" xfId="0" applyFont="1"/>
    <xf numFmtId="0" fontId="2" fillId="0" borderId="0" xfId="0" applyFont="1" applyAlignment="1">
      <alignment horizontal="right"/>
    </xf>
    <xf numFmtId="0" fontId="2" fillId="0" borderId="0" xfId="0" applyFont="1" applyAlignment="1">
      <alignment horizontal="center"/>
    </xf>
    <xf numFmtId="0" fontId="0" fillId="0" borderId="0" xfId="0" applyFont="1"/>
    <xf numFmtId="164" fontId="0" fillId="0" borderId="0" xfId="0" applyNumberFormat="1" applyFont="1" applyAlignment="1">
      <alignment horizontal="center"/>
    </xf>
    <xf numFmtId="0" fontId="3" fillId="22" borderId="0" xfId="0" applyFont="1" applyFill="1" applyBorder="1" applyAlignment="1">
      <alignment horizontal="left" vertical="center" wrapText="1"/>
    </xf>
    <xf numFmtId="0" fontId="0" fillId="23" borderId="9" xfId="0" applyFont="1" applyFill="1" applyBorder="1" applyAlignment="1">
      <alignment horizontal="left"/>
    </xf>
    <xf numFmtId="164" fontId="0" fillId="0" borderId="9" xfId="0" applyNumberFormat="1" applyFont="1" applyBorder="1" applyAlignment="1">
      <alignment horizontal="center"/>
    </xf>
    <xf numFmtId="164" fontId="0" fillId="23" borderId="0" xfId="0" applyNumberFormat="1" applyFont="1" applyFill="1" applyBorder="1" applyAlignment="1">
      <alignment horizontal="left"/>
    </xf>
    <xf numFmtId="164" fontId="16" fillId="24" borderId="0" xfId="0" applyNumberFormat="1" applyFont="1" applyFill="1" applyBorder="1" applyAlignment="1">
      <alignment horizontal="right"/>
    </xf>
    <xf numFmtId="164" fontId="0" fillId="24" borderId="9" xfId="0" applyNumberFormat="1" applyFont="1" applyFill="1" applyBorder="1" applyAlignment="1">
      <alignment horizontal="center"/>
    </xf>
    <xf numFmtId="0" fontId="3" fillId="25" borderId="0" xfId="0" applyFont="1" applyFill="1" applyBorder="1" applyAlignment="1">
      <alignment horizontal="center"/>
    </xf>
    <xf numFmtId="164" fontId="0" fillId="0" borderId="0" xfId="0" applyNumberFormat="1" applyFont="1"/>
    <xf numFmtId="0" fontId="17" fillId="0" borderId="0" xfId="0" applyFont="1"/>
    <xf numFmtId="164" fontId="0" fillId="5" borderId="9" xfId="0" applyNumberFormat="1" applyFont="1" applyFill="1" applyBorder="1" applyAlignment="1">
      <alignment horizontal="center"/>
    </xf>
    <xf numFmtId="0" fontId="0" fillId="0" borderId="0" xfId="0" applyFont="1" applyAlignment="1"/>
    <xf numFmtId="164" fontId="0" fillId="0" borderId="16" xfId="0" applyNumberFormat="1" applyFont="1" applyBorder="1" applyAlignment="1"/>
    <xf numFmtId="0" fontId="15" fillId="0" borderId="17" xfId="0" applyFont="1" applyBorder="1" applyAlignment="1"/>
    <xf numFmtId="0" fontId="15" fillId="0" borderId="18" xfId="0" applyFont="1" applyBorder="1" applyAlignment="1"/>
    <xf numFmtId="0" fontId="8" fillId="0" borderId="10" xfId="0" applyFont="1" applyBorder="1" applyAlignment="1">
      <alignment wrapText="1"/>
    </xf>
    <xf numFmtId="0" fontId="10" fillId="0" borderId="11" xfId="0" applyFont="1" applyBorder="1" applyAlignment="1">
      <alignment vertical="center" wrapText="1"/>
    </xf>
    <xf numFmtId="0" fontId="8" fillId="0" borderId="0" xfId="0" applyFont="1" applyBorder="1" applyAlignment="1">
      <alignment wrapText="1"/>
    </xf>
    <xf numFmtId="0" fontId="0" fillId="0" borderId="0" xfId="0" applyAlignment="1">
      <alignment wrapText="1"/>
    </xf>
    <xf numFmtId="0" fontId="10" fillId="0" borderId="0" xfId="0" applyFont="1" applyAlignment="1">
      <alignment wrapText="1"/>
    </xf>
    <xf numFmtId="0" fontId="0" fillId="0" borderId="0" xfId="0" applyBorder="1" applyAlignment="1">
      <alignment wrapText="1"/>
    </xf>
    <xf numFmtId="0" fontId="20" fillId="0" borderId="0" xfId="0" applyFont="1" applyAlignment="1">
      <alignment wrapText="1"/>
    </xf>
    <xf numFmtId="0" fontId="10" fillId="0" borderId="0" xfId="0" applyFont="1" applyBorder="1" applyAlignment="1">
      <alignment wrapText="1"/>
    </xf>
    <xf numFmtId="0" fontId="8" fillId="0" borderId="0" xfId="0" applyFont="1" applyAlignment="1">
      <alignment wrapText="1"/>
    </xf>
    <xf numFmtId="0" fontId="10" fillId="0" borderId="1" xfId="0" applyFont="1" applyBorder="1" applyAlignment="1">
      <alignment wrapText="1"/>
    </xf>
    <xf numFmtId="0" fontId="8" fillId="0" borderId="11" xfId="0" applyFont="1" applyBorder="1" applyAlignment="1">
      <alignment wrapText="1"/>
    </xf>
    <xf numFmtId="0" fontId="21" fillId="0" borderId="0" xfId="0" applyFont="1" applyAlignment="1">
      <alignment wrapText="1"/>
    </xf>
    <xf numFmtId="0" fontId="8" fillId="0" borderId="0" xfId="0" applyFont="1" applyAlignment="1">
      <alignment horizontal="left" wrapText="1"/>
    </xf>
    <xf numFmtId="0" fontId="21" fillId="0" borderId="0" xfId="0" applyFont="1" applyAlignment="1">
      <alignment horizontal="left" wrapText="1"/>
    </xf>
    <xf numFmtId="0" fontId="8" fillId="0" borderId="0" xfId="0" applyFont="1" applyBorder="1" applyAlignment="1">
      <alignment horizontal="left" wrapText="1"/>
    </xf>
    <xf numFmtId="0" fontId="21" fillId="0" borderId="0" xfId="0" applyFont="1" applyBorder="1" applyAlignment="1">
      <alignment horizontal="left" wrapText="1"/>
    </xf>
    <xf numFmtId="0" fontId="19" fillId="0" borderId="0" xfId="0" applyFont="1" applyAlignment="1">
      <alignment wrapText="1"/>
    </xf>
    <xf numFmtId="0" fontId="7" fillId="0" borderId="0" xfId="0" applyFont="1" applyAlignment="1">
      <alignment wrapText="1"/>
    </xf>
    <xf numFmtId="0" fontId="4" fillId="0" borderId="2" xfId="0" applyFont="1" applyFill="1" applyBorder="1" applyAlignment="1">
      <alignment wrapText="1"/>
    </xf>
    <xf numFmtId="0" fontId="4" fillId="0" borderId="3" xfId="0" applyFont="1" applyFill="1" applyBorder="1" applyAlignment="1">
      <alignment wrapText="1"/>
    </xf>
    <xf numFmtId="0" fontId="4" fillId="0" borderId="0" xfId="0" applyFont="1" applyFill="1" applyBorder="1" applyAlignment="1">
      <alignment vertical="center" wrapText="1"/>
    </xf>
    <xf numFmtId="0" fontId="4" fillId="0" borderId="4" xfId="0" applyFont="1" applyFill="1" applyBorder="1" applyAlignment="1">
      <alignment wrapText="1"/>
    </xf>
    <xf numFmtId="0" fontId="4" fillId="0" borderId="5" xfId="0" applyFont="1" applyFill="1" applyBorder="1" applyAlignment="1">
      <alignment wrapText="1"/>
    </xf>
    <xf numFmtId="0" fontId="4" fillId="0" borderId="0" xfId="0" applyFont="1" applyFill="1" applyBorder="1" applyAlignment="1">
      <alignment wrapText="1"/>
    </xf>
    <xf numFmtId="0" fontId="4" fillId="13" borderId="0" xfId="0" applyFont="1" applyFill="1" applyBorder="1" applyAlignment="1">
      <alignment wrapText="1"/>
    </xf>
    <xf numFmtId="0" fontId="4" fillId="12" borderId="0" xfId="0" applyFont="1" applyFill="1" applyBorder="1" applyAlignment="1">
      <alignment wrapText="1"/>
    </xf>
    <xf numFmtId="0" fontId="4" fillId="0" borderId="1" xfId="0" applyFont="1" applyFill="1" applyBorder="1" applyAlignment="1">
      <alignment wrapText="1"/>
    </xf>
    <xf numFmtId="0" fontId="4" fillId="16" borderId="0" xfId="0" applyFont="1" applyFill="1" applyBorder="1" applyAlignment="1">
      <alignment wrapText="1"/>
    </xf>
    <xf numFmtId="0" fontId="4" fillId="0" borderId="1" xfId="0" applyFont="1" applyFill="1" applyBorder="1" applyAlignment="1">
      <alignment vertical="center" wrapText="1"/>
    </xf>
    <xf numFmtId="0" fontId="17" fillId="0" borderId="0" xfId="0" applyFont="1" applyAlignment="1">
      <alignment wrapText="1"/>
    </xf>
    <xf numFmtId="0" fontId="4" fillId="0" borderId="3" xfId="0" applyFont="1" applyFill="1" applyBorder="1" applyAlignment="1">
      <alignment horizontal="left" wrapText="1"/>
    </xf>
    <xf numFmtId="0" fontId="4" fillId="11" borderId="0" xfId="0" applyFont="1" applyFill="1" applyBorder="1" applyAlignment="1">
      <alignment wrapText="1"/>
    </xf>
    <xf numFmtId="0" fontId="4" fillId="15" borderId="3" xfId="0" applyFont="1" applyFill="1" applyBorder="1" applyAlignment="1">
      <alignment wrapText="1"/>
    </xf>
    <xf numFmtId="0" fontId="18" fillId="0" borderId="9" xfId="0" applyFont="1" applyBorder="1" applyAlignment="1">
      <alignment vertical="center" wrapText="1"/>
    </xf>
    <xf numFmtId="0" fontId="0" fillId="0" borderId="0" xfId="0" applyFill="1" applyBorder="1" applyAlignment="1">
      <alignment wrapText="1"/>
    </xf>
    <xf numFmtId="165" fontId="0" fillId="0" borderId="0" xfId="0" applyNumberFormat="1" applyAlignment="1">
      <alignment wrapText="1"/>
    </xf>
    <xf numFmtId="165" fontId="0" fillId="0" borderId="0" xfId="0" applyNumberFormat="1"/>
    <xf numFmtId="0" fontId="22" fillId="0" borderId="0" xfId="2"/>
    <xf numFmtId="0" fontId="4" fillId="13" borderId="1" xfId="0" applyFont="1" applyFill="1" applyBorder="1" applyAlignment="1">
      <alignment wrapText="1"/>
    </xf>
    <xf numFmtId="0" fontId="9" fillId="0" borderId="7" xfId="0" applyFont="1" applyBorder="1" applyAlignment="1">
      <alignment vertical="center" wrapText="1"/>
    </xf>
    <xf numFmtId="0" fontId="10" fillId="0" borderId="9" xfId="0" applyFont="1" applyBorder="1" applyAlignment="1">
      <alignment vertical="center" wrapText="1"/>
    </xf>
    <xf numFmtId="0" fontId="11" fillId="0" borderId="11" xfId="0" applyFont="1" applyBorder="1" applyAlignment="1">
      <alignment vertical="center" wrapText="1"/>
    </xf>
    <xf numFmtId="0" fontId="18" fillId="0" borderId="0" xfId="0" applyFont="1" applyBorder="1" applyAlignment="1">
      <alignment vertical="center" wrapText="1"/>
    </xf>
    <xf numFmtId="0" fontId="9" fillId="0" borderId="10" xfId="0" applyFont="1" applyBorder="1" applyAlignment="1">
      <alignment vertical="center" wrapText="1"/>
    </xf>
    <xf numFmtId="0" fontId="9" fillId="0" borderId="8" xfId="0" applyFont="1" applyBorder="1" applyAlignment="1">
      <alignment vertical="center" wrapText="1"/>
    </xf>
    <xf numFmtId="0" fontId="21" fillId="0" borderId="1" xfId="0" applyFont="1" applyBorder="1" applyAlignment="1">
      <alignment horizontal="left" wrapText="1"/>
    </xf>
    <xf numFmtId="0" fontId="23" fillId="0" borderId="0" xfId="0" applyFont="1" applyAlignment="1">
      <alignment vertical="center" wrapText="1"/>
    </xf>
    <xf numFmtId="0" fontId="24" fillId="0" borderId="0" xfId="0" applyFont="1" applyAlignment="1">
      <alignment vertical="center"/>
    </xf>
    <xf numFmtId="0" fontId="24" fillId="0" borderId="0" xfId="0" applyFont="1" applyAlignment="1">
      <alignment vertical="center" wrapText="1"/>
    </xf>
    <xf numFmtId="0" fontId="13" fillId="0" borderId="0" xfId="0" applyFont="1" applyAlignment="1">
      <alignment vertical="center" wrapText="1"/>
    </xf>
    <xf numFmtId="0" fontId="0" fillId="0" borderId="0" xfId="0" applyAlignment="1">
      <alignment vertical="center"/>
    </xf>
    <xf numFmtId="0" fontId="25" fillId="0" borderId="0" xfId="0" applyFont="1" applyAlignment="1">
      <alignment vertical="center" wrapText="1"/>
    </xf>
    <xf numFmtId="0" fontId="27" fillId="0" borderId="0" xfId="0" applyFont="1" applyAlignment="1">
      <alignment vertical="center" wrapText="1"/>
    </xf>
    <xf numFmtId="0" fontId="28" fillId="0" borderId="0" xfId="0" applyFont="1" applyAlignment="1">
      <alignment vertical="center" wrapText="1"/>
    </xf>
    <xf numFmtId="0" fontId="27" fillId="0" borderId="0" xfId="0" applyFont="1" applyAlignment="1">
      <alignment vertical="center"/>
    </xf>
    <xf numFmtId="0" fontId="27" fillId="5" borderId="0" xfId="0" applyFont="1" applyFill="1" applyAlignment="1">
      <alignment vertical="center" wrapText="1"/>
    </xf>
    <xf numFmtId="49" fontId="23" fillId="0" borderId="0" xfId="0" applyNumberFormat="1" applyFont="1" applyAlignment="1">
      <alignment vertical="center" wrapText="1"/>
    </xf>
    <xf numFmtId="49" fontId="0" fillId="0" borderId="0" xfId="0" applyNumberFormat="1" applyAlignment="1">
      <alignment vertical="center"/>
    </xf>
    <xf numFmtId="49" fontId="27" fillId="0" borderId="0" xfId="0" applyNumberFormat="1" applyFont="1" applyAlignment="1">
      <alignment vertical="center" wrapText="1"/>
    </xf>
    <xf numFmtId="49" fontId="0" fillId="0" borderId="0" xfId="0" applyNumberFormat="1" applyAlignment="1">
      <alignment vertical="center" wrapText="1"/>
    </xf>
    <xf numFmtId="0" fontId="0" fillId="26" borderId="0" xfId="0" applyFont="1" applyFill="1" applyBorder="1"/>
    <xf numFmtId="0" fontId="0" fillId="0" borderId="0" xfId="0" applyFont="1" applyAlignment="1">
      <alignment horizontal="center"/>
    </xf>
    <xf numFmtId="0" fontId="0" fillId="19" borderId="19" xfId="0" applyFont="1" applyFill="1" applyBorder="1" applyAlignment="1">
      <alignment horizontal="center"/>
    </xf>
    <xf numFmtId="0" fontId="0" fillId="19" borderId="20" xfId="0" applyFont="1" applyFill="1" applyBorder="1" applyAlignment="1">
      <alignment horizontal="center"/>
    </xf>
    <xf numFmtId="0" fontId="0" fillId="0" borderId="9" xfId="0" applyFont="1" applyBorder="1" applyAlignment="1">
      <alignment horizontal="center"/>
    </xf>
    <xf numFmtId="0" fontId="0" fillId="0" borderId="11" xfId="0" applyBorder="1" applyAlignment="1">
      <alignment horizontal="center" vertical="center" wrapText="1"/>
    </xf>
    <xf numFmtId="0" fontId="4" fillId="0" borderId="1" xfId="0" applyFont="1" applyFill="1" applyBorder="1" applyAlignment="1">
      <alignment vertical="center"/>
    </xf>
    <xf numFmtId="0" fontId="4" fillId="0" borderId="1" xfId="0" applyFont="1" applyFill="1" applyBorder="1"/>
    <xf numFmtId="0" fontId="4" fillId="0" borderId="5" xfId="0" applyFont="1" applyFill="1" applyBorder="1"/>
    <xf numFmtId="0" fontId="29" fillId="5" borderId="11" xfId="0" applyFont="1" applyFill="1" applyBorder="1" applyAlignment="1">
      <alignment horizontal="center" vertical="center"/>
    </xf>
    <xf numFmtId="0" fontId="30" fillId="0" borderId="0" xfId="0" applyFont="1" applyFill="1" applyBorder="1" applyAlignment="1">
      <alignment vertical="center"/>
    </xf>
    <xf numFmtId="0" fontId="4" fillId="15" borderId="0" xfId="0" applyFont="1" applyFill="1" applyBorder="1" applyAlignment="1">
      <alignment vertical="center"/>
    </xf>
    <xf numFmtId="0" fontId="15" fillId="27" borderId="0" xfId="0" applyFont="1" applyFill="1" applyBorder="1" applyAlignment="1">
      <alignment vertical="center"/>
    </xf>
    <xf numFmtId="0" fontId="5" fillId="0" borderId="0" xfId="0" applyFont="1" applyFill="1" applyBorder="1" applyAlignment="1">
      <alignment vertical="center"/>
    </xf>
    <xf numFmtId="0" fontId="30" fillId="15" borderId="0" xfId="0" applyFont="1" applyFill="1" applyBorder="1" applyAlignment="1">
      <alignment vertical="center"/>
    </xf>
    <xf numFmtId="0" fontId="0" fillId="0" borderId="0" xfId="0" applyAlignment="1"/>
    <xf numFmtId="0" fontId="10" fillId="0" borderId="0" xfId="0" applyFont="1" applyAlignment="1"/>
    <xf numFmtId="164" fontId="0" fillId="0" borderId="16" xfId="0" applyNumberFormat="1" applyFont="1" applyBorder="1" applyAlignment="1">
      <alignment horizontal="center"/>
    </xf>
    <xf numFmtId="0" fontId="15" fillId="0" borderId="17" xfId="0" applyFont="1" applyBorder="1"/>
    <xf numFmtId="0" fontId="15" fillId="0" borderId="18" xfId="0" applyFont="1" applyBorder="1"/>
    <xf numFmtId="0" fontId="0" fillId="0" borderId="16" xfId="0" applyFont="1" applyBorder="1" applyAlignment="1">
      <alignment horizontal="center"/>
    </xf>
    <xf numFmtId="22" fontId="0" fillId="0" borderId="0" xfId="0" applyNumberFormat="1"/>
    <xf numFmtId="49" fontId="6" fillId="0" borderId="0" xfId="0" applyNumberFormat="1" applyFont="1"/>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9.xml.rels><?xml version="1.0" encoding="UTF-8" standalone="yes"?>
<Relationships xmlns="http://schemas.openxmlformats.org/package/2006/relationships"><Relationship Id="rId2" Type="http://schemas.openxmlformats.org/officeDocument/2006/relationships/hyperlink" Target="mailto:ademiguel@spendmatters.com" TargetMode="External"/><Relationship Id="rId1" Type="http://schemas.openxmlformats.org/officeDocument/2006/relationships/hyperlink" Target="mailto:arodriguez@metalminer.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755A8-6C4D-5A44-9886-28F423BE2E19}">
  <sheetPr codeName="Sheet10"/>
  <dimension ref="A1:C3"/>
  <sheetViews>
    <sheetView workbookViewId="0"/>
  </sheetViews>
  <sheetFormatPr baseColWidth="10" defaultRowHeight="16"/>
  <cols>
    <col min="2" max="2" width="31.1640625" bestFit="1" customWidth="1"/>
    <col min="3" max="3" width="12.5" bestFit="1" customWidth="1"/>
  </cols>
  <sheetData>
    <row r="1" spans="1:3">
      <c r="A1" t="s">
        <v>1</v>
      </c>
      <c r="B1" t="s">
        <v>1340</v>
      </c>
      <c r="C1" t="s">
        <v>1341</v>
      </c>
    </row>
    <row r="2" spans="1:3">
      <c r="A2">
        <v>1</v>
      </c>
      <c r="B2" t="s">
        <v>1217</v>
      </c>
      <c r="C2" t="s">
        <v>277</v>
      </c>
    </row>
    <row r="3" spans="1:3">
      <c r="A3">
        <v>2</v>
      </c>
      <c r="B3" t="s">
        <v>1342</v>
      </c>
      <c r="C3" t="s">
        <v>1343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5427B-7A24-1746-8E7F-AC1AEB98F178}">
  <sheetPr codeName="Sheet11"/>
  <dimension ref="A1:C8"/>
  <sheetViews>
    <sheetView workbookViewId="0"/>
  </sheetViews>
  <sheetFormatPr baseColWidth="10" defaultRowHeight="16"/>
  <cols>
    <col min="1" max="1" width="10" bestFit="1" customWidth="1"/>
    <col min="2" max="2" width="15.5" bestFit="1" customWidth="1"/>
  </cols>
  <sheetData>
    <row r="1" spans="1:3">
      <c r="A1" t="s">
        <v>2</v>
      </c>
      <c r="B1" t="s">
        <v>1213</v>
      </c>
      <c r="C1" t="s">
        <v>1214</v>
      </c>
    </row>
    <row r="2" spans="1:3">
      <c r="A2">
        <v>1</v>
      </c>
      <c r="B2" t="s">
        <v>1215</v>
      </c>
      <c r="C2" t="s">
        <v>1373</v>
      </c>
    </row>
    <row r="3" spans="1:3">
      <c r="A3">
        <v>2</v>
      </c>
      <c r="B3" t="s">
        <v>1216</v>
      </c>
      <c r="C3" t="s">
        <v>1374</v>
      </c>
    </row>
    <row r="4" spans="1:3">
      <c r="A4">
        <v>3</v>
      </c>
      <c r="B4" t="s">
        <v>277</v>
      </c>
      <c r="C4" t="s">
        <v>1375</v>
      </c>
    </row>
    <row r="5" spans="1:3">
      <c r="A5">
        <v>4</v>
      </c>
      <c r="B5" t="s">
        <v>1218</v>
      </c>
      <c r="C5" t="s">
        <v>1218</v>
      </c>
    </row>
    <row r="6" spans="1:3">
      <c r="A6">
        <v>5</v>
      </c>
      <c r="B6" t="s">
        <v>1219</v>
      </c>
      <c r="C6" t="s">
        <v>1376</v>
      </c>
    </row>
    <row r="7" spans="1:3">
      <c r="A7">
        <v>6</v>
      </c>
      <c r="B7" t="s">
        <v>28</v>
      </c>
      <c r="C7" t="s">
        <v>1220</v>
      </c>
    </row>
    <row r="8" spans="1:3">
      <c r="A8">
        <v>7</v>
      </c>
      <c r="B8" t="s">
        <v>1221</v>
      </c>
      <c r="C8" t="s">
        <v>1372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365C-54BF-F144-9099-23821E221647}">
  <sheetPr codeName="Sheet12"/>
  <dimension ref="A1:C8"/>
  <sheetViews>
    <sheetView workbookViewId="0"/>
  </sheetViews>
  <sheetFormatPr baseColWidth="10" defaultRowHeight="16"/>
  <sheetData>
    <row r="1" spans="1:3">
      <c r="A1" t="s">
        <v>1</v>
      </c>
      <c r="B1" t="s">
        <v>2</v>
      </c>
      <c r="C1" t="s">
        <v>1261</v>
      </c>
    </row>
    <row r="2" spans="1:3">
      <c r="A2">
        <v>1</v>
      </c>
      <c r="B2">
        <v>1</v>
      </c>
      <c r="C2">
        <v>1</v>
      </c>
    </row>
    <row r="3" spans="1:3">
      <c r="A3">
        <v>1</v>
      </c>
      <c r="B3">
        <v>2</v>
      </c>
      <c r="C3">
        <v>2</v>
      </c>
    </row>
    <row r="4" spans="1:3">
      <c r="A4">
        <v>1</v>
      </c>
      <c r="B4">
        <v>3</v>
      </c>
      <c r="C4">
        <v>3</v>
      </c>
    </row>
    <row r="5" spans="1:3">
      <c r="A5">
        <v>2</v>
      </c>
      <c r="B5">
        <v>4</v>
      </c>
      <c r="C5">
        <v>4</v>
      </c>
    </row>
    <row r="6" spans="1:3">
      <c r="A6">
        <v>2</v>
      </c>
      <c r="B6">
        <v>5</v>
      </c>
      <c r="C6">
        <v>5</v>
      </c>
    </row>
    <row r="7" spans="1:3">
      <c r="A7">
        <v>2</v>
      </c>
      <c r="B7">
        <v>6</v>
      </c>
      <c r="C7">
        <v>6</v>
      </c>
    </row>
    <row r="8" spans="1:3">
      <c r="A8">
        <v>2</v>
      </c>
      <c r="B8">
        <v>7</v>
      </c>
      <c r="C8">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2FD6-9A4F-1A40-A1D0-1C27F59A47BE}">
  <sheetPr codeName="Sheet7"/>
  <dimension ref="A1:R667"/>
  <sheetViews>
    <sheetView workbookViewId="0">
      <pane ySplit="1" topLeftCell="A575" activePane="bottomLeft" state="frozen"/>
      <selection pane="bottomLeft" activeCell="M672" sqref="M672"/>
    </sheetView>
  </sheetViews>
  <sheetFormatPr baseColWidth="10" defaultRowHeight="16"/>
  <cols>
    <col min="1" max="1" width="5.33203125" customWidth="1"/>
    <col min="2" max="2" width="27.5" style="95" customWidth="1"/>
    <col min="3" max="3" width="4.6640625" customWidth="1"/>
    <col min="4" max="4" width="6.33203125" customWidth="1"/>
    <col min="5" max="5" width="6" customWidth="1"/>
    <col min="6" max="6" width="6.33203125" customWidth="1"/>
    <col min="7" max="7" width="11.33203125" customWidth="1"/>
    <col min="8" max="8" width="8" customWidth="1"/>
    <col min="9" max="9" width="6.5" customWidth="1"/>
    <col min="10" max="10" width="9.6640625" customWidth="1"/>
    <col min="11" max="12" width="4.6640625" customWidth="1"/>
    <col min="13" max="13" width="18.1640625" bestFit="1" customWidth="1"/>
    <col min="14" max="14" width="3.5" customWidth="1"/>
    <col min="15" max="15" width="9.5" customWidth="1"/>
    <col min="16" max="16" width="4.5" customWidth="1"/>
    <col min="17" max="17" width="89.5" style="96" customWidth="1"/>
    <col min="18" max="18" width="81.6640625" style="96" customWidth="1"/>
  </cols>
  <sheetData>
    <row r="1" spans="1:18" ht="17" thickBot="1">
      <c r="A1" s="37" t="s">
        <v>1087</v>
      </c>
      <c r="B1" s="109" t="s">
        <v>36</v>
      </c>
      <c r="C1" s="37" t="s">
        <v>34</v>
      </c>
      <c r="D1" s="37" t="s">
        <v>2</v>
      </c>
      <c r="E1" s="37" t="s">
        <v>186</v>
      </c>
      <c r="F1" s="37" t="s">
        <v>1222</v>
      </c>
      <c r="G1" s="37" t="s">
        <v>543</v>
      </c>
      <c r="H1" s="37" t="s">
        <v>1086</v>
      </c>
      <c r="I1" t="s">
        <v>531</v>
      </c>
      <c r="J1" t="s">
        <v>533</v>
      </c>
      <c r="K1" t="s">
        <v>534</v>
      </c>
      <c r="L1" t="s">
        <v>535</v>
      </c>
      <c r="M1" t="s">
        <v>536</v>
      </c>
      <c r="N1" t="s">
        <v>537</v>
      </c>
      <c r="O1" t="s">
        <v>538</v>
      </c>
      <c r="P1" t="s">
        <v>539</v>
      </c>
      <c r="Q1" s="108"/>
      <c r="R1" s="98"/>
    </row>
    <row r="2" spans="1:18">
      <c r="A2">
        <v>1</v>
      </c>
      <c r="B2" s="110" t="s">
        <v>517</v>
      </c>
      <c r="C2" s="24">
        <f>VLOOKUP(B2,Elements!$A$2:$B$435,2,0)</f>
        <v>1</v>
      </c>
      <c r="D2">
        <v>1</v>
      </c>
      <c r="E2" t="str">
        <f>VLOOKUP(D2,Categories!$A$2:$B$8,2,0)</f>
        <v>ePRO</v>
      </c>
      <c r="F2">
        <v>1</v>
      </c>
      <c r="G2" t="str">
        <f>VLOOKUP(F2,Subcategories!$A$2:$B$29,2,0)</f>
        <v>Catalogs</v>
      </c>
      <c r="H2" t="str">
        <f t="shared" ref="H2:H65" si="0">_xlfn.CONCAT(D2,"-",F2,"-",C2)</f>
        <v>1-1-1</v>
      </c>
      <c r="I2">
        <f>VLOOKUP(H2,SuiteCatSubElem!$F$2:$G$667,2,0)</f>
        <v>1</v>
      </c>
      <c r="J2">
        <v>1</v>
      </c>
      <c r="L2">
        <v>1</v>
      </c>
      <c r="M2" s="127">
        <v>42826.000011574077</v>
      </c>
      <c r="Q2" s="38"/>
    </row>
    <row r="3" spans="1:18">
      <c r="A3">
        <v>2</v>
      </c>
      <c r="B3" s="111" t="s">
        <v>39</v>
      </c>
      <c r="C3" s="24">
        <f>VLOOKUP(B3,Elements!$A$2:$B$435,2,0)</f>
        <v>2</v>
      </c>
      <c r="D3">
        <v>1</v>
      </c>
      <c r="E3" t="str">
        <f>VLOOKUP(D3,Categories!$A$2:$B$8,2,0)</f>
        <v>ePRO</v>
      </c>
      <c r="F3">
        <v>1</v>
      </c>
      <c r="G3" t="str">
        <f>VLOOKUP(F3,Subcategories!$A$2:$B$29,2,0)</f>
        <v>Catalogs</v>
      </c>
      <c r="H3" t="str">
        <f t="shared" si="0"/>
        <v>1-1-2</v>
      </c>
      <c r="I3">
        <f>VLOOKUP(H3,SuiteCatSubElem!$F$2:$G$667,2,0)</f>
        <v>2</v>
      </c>
      <c r="J3">
        <v>2</v>
      </c>
      <c r="L3">
        <v>1</v>
      </c>
      <c r="M3" s="127">
        <v>42826.000011574077</v>
      </c>
      <c r="Q3" s="38"/>
    </row>
    <row r="4" spans="1:18">
      <c r="A4">
        <v>3</v>
      </c>
      <c r="B4" s="111" t="s">
        <v>518</v>
      </c>
      <c r="C4" s="24">
        <f>VLOOKUP(B4,Elements!$A$2:$B$435,2,0)</f>
        <v>3</v>
      </c>
      <c r="D4">
        <v>1</v>
      </c>
      <c r="E4" t="str">
        <f>VLOOKUP(D4,Categories!$A$2:$B$8,2,0)</f>
        <v>ePRO</v>
      </c>
      <c r="F4">
        <v>1</v>
      </c>
      <c r="G4" t="str">
        <f>VLOOKUP(F4,Subcategories!$A$2:$B$29,2,0)</f>
        <v>Catalogs</v>
      </c>
      <c r="H4" t="str">
        <f t="shared" si="0"/>
        <v>1-1-3</v>
      </c>
      <c r="I4">
        <f>VLOOKUP(H4,SuiteCatSubElem!$F$2:$G$667,2,0)</f>
        <v>3</v>
      </c>
      <c r="J4">
        <v>3</v>
      </c>
      <c r="L4">
        <v>1</v>
      </c>
      <c r="M4" s="127">
        <v>42826.000011574077</v>
      </c>
      <c r="Q4" s="38"/>
    </row>
    <row r="5" spans="1:18">
      <c r="A5">
        <v>4</v>
      </c>
      <c r="B5" s="111" t="s">
        <v>41</v>
      </c>
      <c r="C5" s="24">
        <f>VLOOKUP(B5,Elements!$A$2:$B$435,2,0)</f>
        <v>4</v>
      </c>
      <c r="D5">
        <v>1</v>
      </c>
      <c r="E5" t="str">
        <f>VLOOKUP(D5,Categories!$A$2:$B$8,2,0)</f>
        <v>ePRO</v>
      </c>
      <c r="F5">
        <v>1</v>
      </c>
      <c r="G5" t="str">
        <f>VLOOKUP(F5,Subcategories!$A$2:$B$29,2,0)</f>
        <v>Catalogs</v>
      </c>
      <c r="H5" t="str">
        <f t="shared" si="0"/>
        <v>1-1-4</v>
      </c>
      <c r="I5">
        <f>VLOOKUP(H5,SuiteCatSubElem!$F$2:$G$667,2,0)</f>
        <v>4</v>
      </c>
      <c r="J5">
        <v>4</v>
      </c>
      <c r="L5">
        <v>1</v>
      </c>
      <c r="M5" s="127">
        <v>42826.000011574077</v>
      </c>
      <c r="Q5" s="38"/>
    </row>
    <row r="6" spans="1:18">
      <c r="A6">
        <v>5</v>
      </c>
      <c r="B6" s="111" t="s">
        <v>519</v>
      </c>
      <c r="C6" s="24">
        <f>VLOOKUP(B6,Elements!$A$2:$B$435,2,0)</f>
        <v>5</v>
      </c>
      <c r="D6">
        <v>1</v>
      </c>
      <c r="E6" t="str">
        <f>VLOOKUP(D6,Categories!$A$2:$B$8,2,0)</f>
        <v>ePRO</v>
      </c>
      <c r="F6">
        <v>1</v>
      </c>
      <c r="G6" t="str">
        <f>VLOOKUP(F6,Subcategories!$A$2:$B$29,2,0)</f>
        <v>Catalogs</v>
      </c>
      <c r="H6" t="str">
        <f t="shared" si="0"/>
        <v>1-1-5</v>
      </c>
      <c r="I6">
        <f>VLOOKUP(H6,SuiteCatSubElem!$F$2:$G$667,2,0)</f>
        <v>5</v>
      </c>
      <c r="J6">
        <v>5</v>
      </c>
      <c r="L6">
        <v>1</v>
      </c>
      <c r="M6" s="127">
        <v>42826.000011574077</v>
      </c>
      <c r="Q6" s="38"/>
    </row>
    <row r="7" spans="1:18">
      <c r="A7">
        <v>6</v>
      </c>
      <c r="B7" s="111" t="s">
        <v>43</v>
      </c>
      <c r="C7" s="24">
        <f>VLOOKUP(B7,Elements!$A$2:$B$435,2,0)</f>
        <v>6</v>
      </c>
      <c r="D7">
        <v>1</v>
      </c>
      <c r="E7" t="str">
        <f>VLOOKUP(D7,Categories!$A$2:$B$8,2,0)</f>
        <v>ePRO</v>
      </c>
      <c r="F7">
        <v>1</v>
      </c>
      <c r="G7" t="str">
        <f>VLOOKUP(F7,Subcategories!$A$2:$B$29,2,0)</f>
        <v>Catalogs</v>
      </c>
      <c r="H7" t="str">
        <f t="shared" si="0"/>
        <v>1-1-6</v>
      </c>
      <c r="I7">
        <f>VLOOKUP(H7,SuiteCatSubElem!$F$2:$G$667,2,0)</f>
        <v>6</v>
      </c>
      <c r="J7">
        <v>6</v>
      </c>
      <c r="L7">
        <v>1</v>
      </c>
      <c r="M7" s="127">
        <v>42826.000011574077</v>
      </c>
      <c r="Q7" s="38"/>
    </row>
    <row r="8" spans="1:18">
      <c r="A8">
        <v>7</v>
      </c>
      <c r="B8" s="111" t="s">
        <v>44</v>
      </c>
      <c r="C8" s="24">
        <f>VLOOKUP(B8,Elements!$A$2:$B$435,2,0)</f>
        <v>7</v>
      </c>
      <c r="D8" s="47">
        <v>1</v>
      </c>
      <c r="E8" t="str">
        <f>VLOOKUP(D8,Categories!$A$2:$B$8,2,0)</f>
        <v>ePRO</v>
      </c>
      <c r="F8">
        <v>1</v>
      </c>
      <c r="G8" t="str">
        <f>VLOOKUP(F8,Subcategories!$A$2:$B$29,2,0)</f>
        <v>Catalogs</v>
      </c>
      <c r="H8" t="str">
        <f t="shared" si="0"/>
        <v>1-1-7</v>
      </c>
      <c r="I8">
        <f>VLOOKUP(H8,SuiteCatSubElem!$F$2:$G$667,2,0)</f>
        <v>7</v>
      </c>
      <c r="J8">
        <v>7</v>
      </c>
      <c r="K8" s="47"/>
      <c r="L8">
        <v>1</v>
      </c>
      <c r="M8" s="127">
        <v>42826.000011574077</v>
      </c>
      <c r="Q8" s="38"/>
      <c r="R8" s="99"/>
    </row>
    <row r="9" spans="1:18">
      <c r="A9">
        <v>8</v>
      </c>
      <c r="B9" s="111" t="s">
        <v>45</v>
      </c>
      <c r="C9" s="24">
        <f>VLOOKUP(B9,Elements!$A$2:$B$435,2,0)</f>
        <v>8</v>
      </c>
      <c r="D9">
        <v>1</v>
      </c>
      <c r="E9" t="str">
        <f>VLOOKUP(D9,Categories!$A$2:$B$8,2,0)</f>
        <v>ePRO</v>
      </c>
      <c r="F9">
        <v>1</v>
      </c>
      <c r="G9" t="str">
        <f>VLOOKUP(F9,Subcategories!$A$2:$B$29,2,0)</f>
        <v>Catalogs</v>
      </c>
      <c r="H9" t="str">
        <f t="shared" si="0"/>
        <v>1-1-8</v>
      </c>
      <c r="I9">
        <f>VLOOKUP(H9,SuiteCatSubElem!$F$2:$G$667,2,0)</f>
        <v>8</v>
      </c>
      <c r="J9">
        <v>8</v>
      </c>
      <c r="L9">
        <v>1</v>
      </c>
      <c r="M9" s="127">
        <v>42826.000011574077</v>
      </c>
      <c r="Q9" s="38"/>
    </row>
    <row r="10" spans="1:18">
      <c r="A10">
        <v>9</v>
      </c>
      <c r="B10" s="111" t="s">
        <v>46</v>
      </c>
      <c r="C10" s="24">
        <f>VLOOKUP(B10,Elements!$A$2:$B$435,2,0)</f>
        <v>9</v>
      </c>
      <c r="D10">
        <v>1</v>
      </c>
      <c r="E10" t="str">
        <f>VLOOKUP(D10,Categories!$A$2:$B$8,2,0)</f>
        <v>ePRO</v>
      </c>
      <c r="F10">
        <v>1</v>
      </c>
      <c r="G10" t="str">
        <f>VLOOKUP(F10,Subcategories!$A$2:$B$29,2,0)</f>
        <v>Catalogs</v>
      </c>
      <c r="H10" t="str">
        <f t="shared" si="0"/>
        <v>1-1-9</v>
      </c>
      <c r="I10">
        <f>VLOOKUP(H10,SuiteCatSubElem!$F$2:$G$667,2,0)</f>
        <v>9</v>
      </c>
      <c r="J10">
        <v>9</v>
      </c>
      <c r="L10">
        <v>1</v>
      </c>
      <c r="M10" s="127">
        <v>42826.000011574077</v>
      </c>
      <c r="Q10" s="131"/>
    </row>
    <row r="11" spans="1:18">
      <c r="A11">
        <v>10</v>
      </c>
      <c r="B11" s="111" t="s">
        <v>47</v>
      </c>
      <c r="C11" s="24">
        <f>VLOOKUP(B11,Elements!$A$2:$B$435,2,0)</f>
        <v>10</v>
      </c>
      <c r="D11">
        <v>1</v>
      </c>
      <c r="E11" t="str">
        <f>VLOOKUP(D11,Categories!$A$2:$B$8,2,0)</f>
        <v>ePRO</v>
      </c>
      <c r="F11">
        <v>1</v>
      </c>
      <c r="G11" t="str">
        <f>VLOOKUP(F11,Subcategories!$A$2:$B$29,2,0)</f>
        <v>Catalogs</v>
      </c>
      <c r="H11" t="str">
        <f t="shared" si="0"/>
        <v>1-1-10</v>
      </c>
      <c r="I11">
        <f>VLOOKUP(H11,SuiteCatSubElem!$F$2:$G$667,2,0)</f>
        <v>10</v>
      </c>
      <c r="J11">
        <v>10</v>
      </c>
      <c r="L11">
        <v>1</v>
      </c>
      <c r="M11" s="127">
        <v>42826.000011574077</v>
      </c>
      <c r="Q11" s="136"/>
      <c r="R11" s="100"/>
    </row>
    <row r="12" spans="1:18" ht="30">
      <c r="A12">
        <v>11</v>
      </c>
      <c r="B12" s="111" t="s">
        <v>48</v>
      </c>
      <c r="C12" s="24">
        <f>VLOOKUP(B12,Elements!$A$2:$B$435,2,0)</f>
        <v>11</v>
      </c>
      <c r="D12">
        <v>1</v>
      </c>
      <c r="E12" t="str">
        <f>VLOOKUP(D12,Categories!$A$2:$B$8,2,0)</f>
        <v>ePRO</v>
      </c>
      <c r="F12">
        <v>1</v>
      </c>
      <c r="G12" t="str">
        <f>VLOOKUP(F12,Subcategories!$A$2:$B$29,2,0)</f>
        <v>Catalogs</v>
      </c>
      <c r="H12" t="str">
        <f t="shared" si="0"/>
        <v>1-1-11</v>
      </c>
      <c r="I12">
        <f>VLOOKUP(H12,SuiteCatSubElem!$F$2:$G$667,2,0)</f>
        <v>11</v>
      </c>
      <c r="J12">
        <v>11</v>
      </c>
      <c r="L12">
        <v>1</v>
      </c>
      <c r="M12" s="127">
        <v>42826.000011574077</v>
      </c>
      <c r="Q12" s="94"/>
    </row>
    <row r="13" spans="1:18" ht="17" thickBot="1">
      <c r="A13">
        <v>12</v>
      </c>
      <c r="B13" s="113" t="s">
        <v>516</v>
      </c>
      <c r="C13" s="24">
        <f>VLOOKUP(B13,Elements!$A$2:$B$435,2,0)</f>
        <v>12</v>
      </c>
      <c r="D13">
        <v>1</v>
      </c>
      <c r="E13" t="str">
        <f>VLOOKUP(D13,Categories!$A$2:$B$8,2,0)</f>
        <v>ePRO</v>
      </c>
      <c r="F13">
        <v>1</v>
      </c>
      <c r="G13" t="str">
        <f>VLOOKUP(F13,Subcategories!$A$2:$B$29,2,0)</f>
        <v>Catalogs</v>
      </c>
      <c r="H13" t="str">
        <f t="shared" si="0"/>
        <v>1-1-12</v>
      </c>
      <c r="I13">
        <f>VLOOKUP(H13,SuiteCatSubElem!$F$2:$G$667,2,0)</f>
        <v>12</v>
      </c>
      <c r="J13">
        <v>12</v>
      </c>
      <c r="L13">
        <v>1</v>
      </c>
      <c r="M13" s="127">
        <v>42826.000011574077</v>
      </c>
      <c r="Q13" s="136"/>
    </row>
    <row r="14" spans="1:18">
      <c r="A14">
        <v>13</v>
      </c>
      <c r="B14" s="111" t="s">
        <v>51</v>
      </c>
      <c r="C14" s="24">
        <f>VLOOKUP(B14,Elements!$A$2:$B$435,2,0)</f>
        <v>13</v>
      </c>
      <c r="D14">
        <v>1</v>
      </c>
      <c r="E14" t="str">
        <f>VLOOKUP(D14,Categories!$A$2:$B$8,2,0)</f>
        <v>ePRO</v>
      </c>
      <c r="F14">
        <v>2</v>
      </c>
      <c r="G14" t="str">
        <f>VLOOKUP(F14,Subcategories!$A$2:$B$29,2,0)</f>
        <v>Shopping / Requisitioning</v>
      </c>
      <c r="H14" t="str">
        <f t="shared" si="0"/>
        <v>1-2-13</v>
      </c>
      <c r="I14">
        <f>VLOOKUP(H14,SuiteCatSubElem!$F$2:$G$667,2,0)</f>
        <v>13</v>
      </c>
      <c r="J14">
        <v>13</v>
      </c>
      <c r="L14">
        <v>1</v>
      </c>
      <c r="M14" s="127">
        <v>42826.000011574077</v>
      </c>
      <c r="Q14" s="39"/>
    </row>
    <row r="15" spans="1:18">
      <c r="A15">
        <v>14</v>
      </c>
      <c r="B15" s="111" t="s">
        <v>52</v>
      </c>
      <c r="C15" s="24">
        <f>VLOOKUP(B15,Elements!$A$2:$B$435,2,0)</f>
        <v>14</v>
      </c>
      <c r="D15">
        <v>1</v>
      </c>
      <c r="E15" t="str">
        <f>VLOOKUP(D15,Categories!$A$2:$B$8,2,0)</f>
        <v>ePRO</v>
      </c>
      <c r="F15">
        <v>2</v>
      </c>
      <c r="G15" t="str">
        <f>VLOOKUP(F15,Subcategories!$A$2:$B$29,2,0)</f>
        <v>Shopping / Requisitioning</v>
      </c>
      <c r="H15" t="str">
        <f t="shared" si="0"/>
        <v>1-2-14</v>
      </c>
      <c r="I15">
        <f>VLOOKUP(H15,SuiteCatSubElem!$F$2:$G$667,2,0)</f>
        <v>14</v>
      </c>
      <c r="J15">
        <v>14</v>
      </c>
      <c r="L15">
        <v>1</v>
      </c>
      <c r="M15" s="127">
        <v>42826.000011574077</v>
      </c>
      <c r="Q15" s="39"/>
    </row>
    <row r="16" spans="1:18">
      <c r="A16">
        <v>15</v>
      </c>
      <c r="B16" s="111" t="s">
        <v>507</v>
      </c>
      <c r="C16" s="24">
        <f>VLOOKUP(B16,Elements!$A$2:$B$435,2,0)</f>
        <v>15</v>
      </c>
      <c r="D16">
        <v>1</v>
      </c>
      <c r="E16" t="str">
        <f>VLOOKUP(D16,Categories!$A$2:$B$8,2,0)</f>
        <v>ePRO</v>
      </c>
      <c r="F16">
        <v>2</v>
      </c>
      <c r="G16" t="str">
        <f>VLOOKUP(F16,Subcategories!$A$2:$B$29,2,0)</f>
        <v>Shopping / Requisitioning</v>
      </c>
      <c r="H16" t="str">
        <f t="shared" si="0"/>
        <v>1-2-15</v>
      </c>
      <c r="I16">
        <f>VLOOKUP(H16,SuiteCatSubElem!$F$2:$G$667,2,0)</f>
        <v>15</v>
      </c>
      <c r="J16">
        <v>15</v>
      </c>
      <c r="L16">
        <v>1</v>
      </c>
      <c r="M16" s="127">
        <v>42826.000011574077</v>
      </c>
      <c r="Q16" s="39"/>
    </row>
    <row r="17" spans="1:18">
      <c r="A17">
        <v>16</v>
      </c>
      <c r="B17" s="111" t="s">
        <v>54</v>
      </c>
      <c r="C17" s="24">
        <f>VLOOKUP(B17,Elements!$A$2:$B$435,2,0)</f>
        <v>16</v>
      </c>
      <c r="D17">
        <v>1</v>
      </c>
      <c r="E17" t="str">
        <f>VLOOKUP(D17,Categories!$A$2:$B$8,2,0)</f>
        <v>ePRO</v>
      </c>
      <c r="F17">
        <v>2</v>
      </c>
      <c r="G17" t="str">
        <f>VLOOKUP(F17,Subcategories!$A$2:$B$29,2,0)</f>
        <v>Shopping / Requisitioning</v>
      </c>
      <c r="H17" t="str">
        <f t="shared" si="0"/>
        <v>1-2-16</v>
      </c>
      <c r="I17">
        <f>VLOOKUP(H17,SuiteCatSubElem!$F$2:$G$667,2,0)</f>
        <v>16</v>
      </c>
      <c r="J17">
        <v>16</v>
      </c>
      <c r="L17">
        <v>1</v>
      </c>
      <c r="M17" s="127">
        <v>42826.000011574077</v>
      </c>
      <c r="Q17" s="39"/>
    </row>
    <row r="18" spans="1:18">
      <c r="A18">
        <v>17</v>
      </c>
      <c r="B18" s="111" t="s">
        <v>55</v>
      </c>
      <c r="C18" s="24">
        <f>VLOOKUP(B18,Elements!$A$2:$B$435,2,0)</f>
        <v>17</v>
      </c>
      <c r="D18">
        <v>1</v>
      </c>
      <c r="E18" t="str">
        <f>VLOOKUP(D18,Categories!$A$2:$B$8,2,0)</f>
        <v>ePRO</v>
      </c>
      <c r="F18">
        <v>2</v>
      </c>
      <c r="G18" t="str">
        <f>VLOOKUP(F18,Subcategories!$A$2:$B$29,2,0)</f>
        <v>Shopping / Requisitioning</v>
      </c>
      <c r="H18" t="str">
        <f t="shared" si="0"/>
        <v>1-2-17</v>
      </c>
      <c r="I18">
        <f>VLOOKUP(H18,SuiteCatSubElem!$F$2:$G$667,2,0)</f>
        <v>17</v>
      </c>
      <c r="J18">
        <v>17</v>
      </c>
      <c r="L18">
        <v>1</v>
      </c>
      <c r="M18" s="127">
        <v>42826.000011574077</v>
      </c>
      <c r="Q18" s="39"/>
    </row>
    <row r="19" spans="1:18">
      <c r="A19">
        <v>18</v>
      </c>
      <c r="B19" s="111" t="s">
        <v>56</v>
      </c>
      <c r="C19" s="24">
        <f>VLOOKUP(B19,Elements!$A$2:$B$435,2,0)</f>
        <v>18</v>
      </c>
      <c r="D19">
        <v>1</v>
      </c>
      <c r="E19" t="str">
        <f>VLOOKUP(D19,Categories!$A$2:$B$8,2,0)</f>
        <v>ePRO</v>
      </c>
      <c r="F19">
        <v>2</v>
      </c>
      <c r="G19" t="str">
        <f>VLOOKUP(F19,Subcategories!$A$2:$B$29,2,0)</f>
        <v>Shopping / Requisitioning</v>
      </c>
      <c r="H19" t="str">
        <f t="shared" si="0"/>
        <v>1-2-18</v>
      </c>
      <c r="I19">
        <f>VLOOKUP(H19,SuiteCatSubElem!$F$2:$G$667,2,0)</f>
        <v>18</v>
      </c>
      <c r="J19">
        <v>18</v>
      </c>
      <c r="L19">
        <v>1</v>
      </c>
      <c r="M19" s="127">
        <v>42826.000011574077</v>
      </c>
      <c r="Q19" s="39"/>
    </row>
    <row r="20" spans="1:18">
      <c r="A20">
        <v>19</v>
      </c>
      <c r="B20" s="111" t="s">
        <v>57</v>
      </c>
      <c r="C20" s="24">
        <f>VLOOKUP(B20,Elements!$A$2:$B$435,2,0)</f>
        <v>19</v>
      </c>
      <c r="D20">
        <v>1</v>
      </c>
      <c r="E20" t="str">
        <f>VLOOKUP(D20,Categories!$A$2:$B$8,2,0)</f>
        <v>ePRO</v>
      </c>
      <c r="F20">
        <v>2</v>
      </c>
      <c r="G20" t="str">
        <f>VLOOKUP(F20,Subcategories!$A$2:$B$29,2,0)</f>
        <v>Shopping / Requisitioning</v>
      </c>
      <c r="H20" t="str">
        <f t="shared" si="0"/>
        <v>1-2-19</v>
      </c>
      <c r="I20">
        <f>VLOOKUP(H20,SuiteCatSubElem!$F$2:$G$667,2,0)</f>
        <v>19</v>
      </c>
      <c r="J20">
        <v>19</v>
      </c>
      <c r="L20">
        <v>1</v>
      </c>
      <c r="M20" s="127">
        <v>42826.000011574077</v>
      </c>
      <c r="Q20" s="39"/>
    </row>
    <row r="21" spans="1:18">
      <c r="A21">
        <v>20</v>
      </c>
      <c r="B21" s="111" t="s">
        <v>58</v>
      </c>
      <c r="C21" s="24">
        <f>VLOOKUP(B21,Elements!$A$2:$B$435,2,0)</f>
        <v>20</v>
      </c>
      <c r="D21">
        <v>1</v>
      </c>
      <c r="E21" t="str">
        <f>VLOOKUP(D21,Categories!$A$2:$B$8,2,0)</f>
        <v>ePRO</v>
      </c>
      <c r="F21">
        <v>2</v>
      </c>
      <c r="G21" t="str">
        <f>VLOOKUP(F21,Subcategories!$A$2:$B$29,2,0)</f>
        <v>Shopping / Requisitioning</v>
      </c>
      <c r="H21" t="str">
        <f t="shared" si="0"/>
        <v>1-2-20</v>
      </c>
      <c r="I21">
        <f>VLOOKUP(H21,SuiteCatSubElem!$F$2:$G$667,2,0)</f>
        <v>20</v>
      </c>
      <c r="J21">
        <v>20</v>
      </c>
      <c r="L21">
        <v>1</v>
      </c>
      <c r="M21" s="127">
        <v>42826.000011574077</v>
      </c>
      <c r="Q21" s="39"/>
    </row>
    <row r="22" spans="1:18" ht="30">
      <c r="A22">
        <v>21</v>
      </c>
      <c r="B22" s="111" t="s">
        <v>59</v>
      </c>
      <c r="C22" s="24">
        <f>VLOOKUP(B22,Elements!$A$2:$B$435,2,0)</f>
        <v>21</v>
      </c>
      <c r="D22">
        <v>1</v>
      </c>
      <c r="E22" t="str">
        <f>VLOOKUP(D22,Categories!$A$2:$B$8,2,0)</f>
        <v>ePRO</v>
      </c>
      <c r="F22">
        <v>2</v>
      </c>
      <c r="G22" t="str">
        <f>VLOOKUP(F22,Subcategories!$A$2:$B$29,2,0)</f>
        <v>Shopping / Requisitioning</v>
      </c>
      <c r="H22" t="str">
        <f t="shared" si="0"/>
        <v>1-2-21</v>
      </c>
      <c r="I22">
        <f>VLOOKUP(H22,SuiteCatSubElem!$F$2:$G$667,2,0)</f>
        <v>21</v>
      </c>
      <c r="J22">
        <v>21</v>
      </c>
      <c r="L22">
        <v>1</v>
      </c>
      <c r="M22" s="127">
        <v>42826.000011574077</v>
      </c>
      <c r="Q22" s="39"/>
    </row>
    <row r="23" spans="1:18">
      <c r="A23">
        <v>22</v>
      </c>
      <c r="B23" s="111" t="s">
        <v>60</v>
      </c>
      <c r="C23" s="24">
        <f>VLOOKUP(B23,Elements!$A$2:$B$435,2,0)</f>
        <v>22</v>
      </c>
      <c r="D23">
        <v>1</v>
      </c>
      <c r="E23" t="str">
        <f>VLOOKUP(D23,Categories!$A$2:$B$8,2,0)</f>
        <v>ePRO</v>
      </c>
      <c r="F23">
        <v>2</v>
      </c>
      <c r="G23" t="str">
        <f>VLOOKUP(F23,Subcategories!$A$2:$B$29,2,0)</f>
        <v>Shopping / Requisitioning</v>
      </c>
      <c r="H23" t="str">
        <f t="shared" si="0"/>
        <v>1-2-22</v>
      </c>
      <c r="I23">
        <f>VLOOKUP(H23,SuiteCatSubElem!$F$2:$G$667,2,0)</f>
        <v>22</v>
      </c>
      <c r="J23">
        <v>22</v>
      </c>
      <c r="L23">
        <v>1</v>
      </c>
      <c r="M23" s="127">
        <v>42826.000011574077</v>
      </c>
      <c r="Q23" s="48"/>
    </row>
    <row r="24" spans="1:18">
      <c r="A24">
        <v>23</v>
      </c>
      <c r="B24" s="111" t="s">
        <v>61</v>
      </c>
      <c r="C24" s="24">
        <f>VLOOKUP(B24,Elements!$A$2:$B$435,2,0)</f>
        <v>23</v>
      </c>
      <c r="D24">
        <v>1</v>
      </c>
      <c r="E24" t="str">
        <f>VLOOKUP(D24,Categories!$A$2:$B$8,2,0)</f>
        <v>ePRO</v>
      </c>
      <c r="F24">
        <v>2</v>
      </c>
      <c r="G24" t="str">
        <f>VLOOKUP(F24,Subcategories!$A$2:$B$29,2,0)</f>
        <v>Shopping / Requisitioning</v>
      </c>
      <c r="H24" t="str">
        <f t="shared" si="0"/>
        <v>1-2-23</v>
      </c>
      <c r="I24">
        <f>VLOOKUP(H24,SuiteCatSubElem!$F$2:$G$667,2,0)</f>
        <v>23</v>
      </c>
      <c r="J24">
        <v>23</v>
      </c>
      <c r="L24">
        <v>1</v>
      </c>
      <c r="M24" s="127">
        <v>42826.000011574077</v>
      </c>
      <c r="Q24" s="39"/>
    </row>
    <row r="25" spans="1:18">
      <c r="A25">
        <v>24</v>
      </c>
      <c r="B25" s="111" t="s">
        <v>525</v>
      </c>
      <c r="C25" s="24">
        <f>VLOOKUP(B25,Elements!$A$2:$B$435,2,0)</f>
        <v>24</v>
      </c>
      <c r="D25">
        <v>1</v>
      </c>
      <c r="E25" t="str">
        <f>VLOOKUP(D25,Categories!$A$2:$B$8,2,0)</f>
        <v>ePRO</v>
      </c>
      <c r="F25">
        <v>2</v>
      </c>
      <c r="G25" t="str">
        <f>VLOOKUP(F25,Subcategories!$A$2:$B$29,2,0)</f>
        <v>Shopping / Requisitioning</v>
      </c>
      <c r="H25" t="str">
        <f t="shared" si="0"/>
        <v>1-2-24</v>
      </c>
      <c r="I25">
        <f>VLOOKUP(H25,SuiteCatSubElem!$F$2:$G$667,2,0)</f>
        <v>24</v>
      </c>
      <c r="J25">
        <v>24</v>
      </c>
      <c r="L25">
        <v>1</v>
      </c>
      <c r="M25" s="127">
        <v>42826.000011574077</v>
      </c>
      <c r="Q25" s="39"/>
    </row>
    <row r="26" spans="1:18">
      <c r="A26">
        <v>25</v>
      </c>
      <c r="B26" s="111" t="s">
        <v>63</v>
      </c>
      <c r="C26" s="24">
        <f>VLOOKUP(B26,Elements!$A$2:$B$435,2,0)</f>
        <v>25</v>
      </c>
      <c r="D26">
        <v>1</v>
      </c>
      <c r="E26" t="str">
        <f>VLOOKUP(D26,Categories!$A$2:$B$8,2,0)</f>
        <v>ePRO</v>
      </c>
      <c r="F26">
        <v>2</v>
      </c>
      <c r="G26" t="str">
        <f>VLOOKUP(F26,Subcategories!$A$2:$B$29,2,0)</f>
        <v>Shopping / Requisitioning</v>
      </c>
      <c r="H26" t="str">
        <f t="shared" si="0"/>
        <v>1-2-25</v>
      </c>
      <c r="I26">
        <f>VLOOKUP(H26,SuiteCatSubElem!$F$2:$G$667,2,0)</f>
        <v>25</v>
      </c>
      <c r="J26">
        <v>25</v>
      </c>
      <c r="L26">
        <v>1</v>
      </c>
      <c r="M26" s="127">
        <v>42826.000011574077</v>
      </c>
      <c r="Q26" s="39"/>
    </row>
    <row r="27" spans="1:18" ht="30">
      <c r="A27">
        <v>26</v>
      </c>
      <c r="B27" s="111" t="s">
        <v>64</v>
      </c>
      <c r="C27" s="24">
        <f>VLOOKUP(B27,Elements!$A$2:$B$435,2,0)</f>
        <v>26</v>
      </c>
      <c r="D27">
        <v>1</v>
      </c>
      <c r="E27" t="str">
        <f>VLOOKUP(D27,Categories!$A$2:$B$8,2,0)</f>
        <v>ePRO</v>
      </c>
      <c r="F27">
        <v>2</v>
      </c>
      <c r="G27" t="str">
        <f>VLOOKUP(F27,Subcategories!$A$2:$B$29,2,0)</f>
        <v>Shopping / Requisitioning</v>
      </c>
      <c r="H27" t="str">
        <f t="shared" si="0"/>
        <v>1-2-26</v>
      </c>
      <c r="I27">
        <f>VLOOKUP(H27,SuiteCatSubElem!$F$2:$G$667,2,0)</f>
        <v>26</v>
      </c>
      <c r="J27">
        <v>26</v>
      </c>
      <c r="L27">
        <v>1</v>
      </c>
      <c r="M27" s="127">
        <v>42826.000011574077</v>
      </c>
      <c r="Q27" s="39"/>
    </row>
    <row r="28" spans="1:18">
      <c r="A28">
        <v>27</v>
      </c>
      <c r="B28" s="111" t="s">
        <v>524</v>
      </c>
      <c r="C28" s="24">
        <f>VLOOKUP(B28,Elements!$A$2:$B$435,2,0)</f>
        <v>27</v>
      </c>
      <c r="D28">
        <v>1</v>
      </c>
      <c r="E28" t="str">
        <f>VLOOKUP(D28,Categories!$A$2:$B$8,2,0)</f>
        <v>ePRO</v>
      </c>
      <c r="F28">
        <v>2</v>
      </c>
      <c r="G28" t="str">
        <f>VLOOKUP(F28,Subcategories!$A$2:$B$29,2,0)</f>
        <v>Shopping / Requisitioning</v>
      </c>
      <c r="H28" t="str">
        <f t="shared" si="0"/>
        <v>1-2-27</v>
      </c>
      <c r="I28">
        <f>VLOOKUP(H28,SuiteCatSubElem!$F$2:$G$667,2,0)</f>
        <v>27</v>
      </c>
      <c r="J28">
        <v>27</v>
      </c>
      <c r="L28">
        <v>1</v>
      </c>
      <c r="M28" s="127">
        <v>42826.000011574077</v>
      </c>
      <c r="Q28" s="39"/>
    </row>
    <row r="29" spans="1:18">
      <c r="A29">
        <v>28</v>
      </c>
      <c r="B29" s="111" t="s">
        <v>66</v>
      </c>
      <c r="C29" s="24">
        <f>VLOOKUP(B29,Elements!$A$2:$B$435,2,0)</f>
        <v>28</v>
      </c>
      <c r="D29">
        <v>1</v>
      </c>
      <c r="E29" t="str">
        <f>VLOOKUP(D29,Categories!$A$2:$B$8,2,0)</f>
        <v>ePRO</v>
      </c>
      <c r="F29">
        <v>2</v>
      </c>
      <c r="G29" t="str">
        <f>VLOOKUP(F29,Subcategories!$A$2:$B$29,2,0)</f>
        <v>Shopping / Requisitioning</v>
      </c>
      <c r="H29" t="str">
        <f t="shared" si="0"/>
        <v>1-2-28</v>
      </c>
      <c r="I29">
        <f>VLOOKUP(H29,SuiteCatSubElem!$F$2:$G$667,2,0)</f>
        <v>28</v>
      </c>
      <c r="J29">
        <v>28</v>
      </c>
      <c r="L29">
        <v>1</v>
      </c>
      <c r="M29" s="127">
        <v>42826.000011574077</v>
      </c>
      <c r="Q29" s="49"/>
    </row>
    <row r="30" spans="1:18" ht="30">
      <c r="A30">
        <v>29</v>
      </c>
      <c r="B30" s="111" t="s">
        <v>67</v>
      </c>
      <c r="C30" s="24">
        <f>VLOOKUP(B30,Elements!$A$2:$B$435,2,0)</f>
        <v>29</v>
      </c>
      <c r="D30" s="47">
        <v>1</v>
      </c>
      <c r="E30" t="str">
        <f>VLOOKUP(D30,Categories!$A$2:$B$8,2,0)</f>
        <v>ePRO</v>
      </c>
      <c r="F30">
        <v>2</v>
      </c>
      <c r="G30" t="str">
        <f>VLOOKUP(F30,Subcategories!$A$2:$B$29,2,0)</f>
        <v>Shopping / Requisitioning</v>
      </c>
      <c r="H30" t="str">
        <f t="shared" si="0"/>
        <v>1-2-29</v>
      </c>
      <c r="I30">
        <f>VLOOKUP(H30,SuiteCatSubElem!$F$2:$G$667,2,0)</f>
        <v>29</v>
      </c>
      <c r="J30">
        <v>29</v>
      </c>
      <c r="K30" s="47"/>
      <c r="L30">
        <v>1</v>
      </c>
      <c r="M30" s="127">
        <v>42826.000011574077</v>
      </c>
      <c r="Q30" s="39"/>
      <c r="R30" s="99"/>
    </row>
    <row r="31" spans="1:18" ht="30">
      <c r="A31">
        <v>30</v>
      </c>
      <c r="B31" s="111" t="s">
        <v>68</v>
      </c>
      <c r="C31" s="24">
        <f>VLOOKUP(B31,Elements!$A$2:$B$435,2,0)</f>
        <v>30</v>
      </c>
      <c r="D31">
        <v>1</v>
      </c>
      <c r="E31" t="str">
        <f>VLOOKUP(D31,Categories!$A$2:$B$8,2,0)</f>
        <v>ePRO</v>
      </c>
      <c r="F31">
        <v>2</v>
      </c>
      <c r="G31" t="str">
        <f>VLOOKUP(F31,Subcategories!$A$2:$B$29,2,0)</f>
        <v>Shopping / Requisitioning</v>
      </c>
      <c r="H31" t="str">
        <f t="shared" si="0"/>
        <v>1-2-30</v>
      </c>
      <c r="I31">
        <f>VLOOKUP(H31,SuiteCatSubElem!$F$2:$G$667,2,0)</f>
        <v>30</v>
      </c>
      <c r="J31">
        <v>30</v>
      </c>
      <c r="L31">
        <v>1</v>
      </c>
      <c r="M31" s="127">
        <v>42826.000011574077</v>
      </c>
      <c r="Q31" s="39"/>
    </row>
    <row r="32" spans="1:18">
      <c r="A32">
        <v>31</v>
      </c>
      <c r="B32" s="111" t="s">
        <v>69</v>
      </c>
      <c r="C32" s="24">
        <f>VLOOKUP(B32,Elements!$A$2:$B$435,2,0)</f>
        <v>31</v>
      </c>
      <c r="D32">
        <v>1</v>
      </c>
      <c r="E32" t="str">
        <f>VLOOKUP(D32,Categories!$A$2:$B$8,2,0)</f>
        <v>ePRO</v>
      </c>
      <c r="F32">
        <v>2</v>
      </c>
      <c r="G32" t="str">
        <f>VLOOKUP(F32,Subcategories!$A$2:$B$29,2,0)</f>
        <v>Shopping / Requisitioning</v>
      </c>
      <c r="H32" t="str">
        <f t="shared" si="0"/>
        <v>1-2-31</v>
      </c>
      <c r="I32">
        <f>VLOOKUP(H32,SuiteCatSubElem!$F$2:$G$667,2,0)</f>
        <v>31</v>
      </c>
      <c r="J32">
        <v>31</v>
      </c>
      <c r="L32">
        <v>1</v>
      </c>
      <c r="M32" s="127">
        <v>42826.000011574077</v>
      </c>
      <c r="Q32" s="39"/>
    </row>
    <row r="33" spans="1:18">
      <c r="A33">
        <v>32</v>
      </c>
      <c r="B33" s="111" t="s">
        <v>32</v>
      </c>
      <c r="C33" s="24">
        <f>VLOOKUP(B33,Elements!$A$2:$B$435,2,0)</f>
        <v>32</v>
      </c>
      <c r="D33">
        <v>1</v>
      </c>
      <c r="E33" t="str">
        <f>VLOOKUP(D33,Categories!$A$2:$B$8,2,0)</f>
        <v>ePRO</v>
      </c>
      <c r="F33">
        <v>2</v>
      </c>
      <c r="G33" t="str">
        <f>VLOOKUP(F33,Subcategories!$A$2:$B$29,2,0)</f>
        <v>Shopping / Requisitioning</v>
      </c>
      <c r="H33" t="str">
        <f t="shared" si="0"/>
        <v>1-2-32</v>
      </c>
      <c r="I33">
        <f>VLOOKUP(H33,SuiteCatSubElem!$F$2:$G$667,2,0)</f>
        <v>32</v>
      </c>
      <c r="J33">
        <v>32</v>
      </c>
      <c r="L33">
        <v>1</v>
      </c>
      <c r="M33" s="127">
        <v>42826.000011574077</v>
      </c>
      <c r="Q33" s="39"/>
    </row>
    <row r="34" spans="1:18">
      <c r="A34">
        <v>33</v>
      </c>
      <c r="B34" s="111" t="s">
        <v>70</v>
      </c>
      <c r="C34" s="24">
        <f>VLOOKUP(B34,Elements!$A$2:$B$435,2,0)</f>
        <v>33</v>
      </c>
      <c r="D34">
        <v>1</v>
      </c>
      <c r="E34" t="str">
        <f>VLOOKUP(D34,Categories!$A$2:$B$8,2,0)</f>
        <v>ePRO</v>
      </c>
      <c r="F34">
        <v>2</v>
      </c>
      <c r="G34" t="str">
        <f>VLOOKUP(F34,Subcategories!$A$2:$B$29,2,0)</f>
        <v>Shopping / Requisitioning</v>
      </c>
      <c r="H34" t="str">
        <f t="shared" si="0"/>
        <v>1-2-33</v>
      </c>
      <c r="I34">
        <f>VLOOKUP(H34,SuiteCatSubElem!$F$2:$G$667,2,0)</f>
        <v>33</v>
      </c>
      <c r="J34">
        <v>33</v>
      </c>
      <c r="L34">
        <v>1</v>
      </c>
      <c r="M34" s="127">
        <v>42826.000011574077</v>
      </c>
      <c r="Q34" s="39"/>
    </row>
    <row r="35" spans="1:18">
      <c r="A35">
        <v>34</v>
      </c>
      <c r="B35" s="111" t="s">
        <v>71</v>
      </c>
      <c r="C35" s="24">
        <f>VLOOKUP(B35,Elements!$A$2:$B$435,2,0)</f>
        <v>34</v>
      </c>
      <c r="D35">
        <v>1</v>
      </c>
      <c r="E35" t="str">
        <f>VLOOKUP(D35,Categories!$A$2:$B$8,2,0)</f>
        <v>ePRO</v>
      </c>
      <c r="F35">
        <v>2</v>
      </c>
      <c r="G35" t="str">
        <f>VLOOKUP(F35,Subcategories!$A$2:$B$29,2,0)</f>
        <v>Shopping / Requisitioning</v>
      </c>
      <c r="H35" t="str">
        <f t="shared" si="0"/>
        <v>1-2-34</v>
      </c>
      <c r="I35">
        <f>VLOOKUP(H35,SuiteCatSubElem!$F$2:$G$667,2,0)</f>
        <v>34</v>
      </c>
      <c r="J35">
        <v>34</v>
      </c>
      <c r="L35">
        <v>1</v>
      </c>
      <c r="M35" s="127">
        <v>42826.000011574077</v>
      </c>
      <c r="Q35" s="39"/>
    </row>
    <row r="36" spans="1:18">
      <c r="A36">
        <v>35</v>
      </c>
      <c r="B36" s="111" t="s">
        <v>47</v>
      </c>
      <c r="C36" s="24">
        <f>VLOOKUP(B36,Elements!$A$2:$B$435,2,0)</f>
        <v>10</v>
      </c>
      <c r="D36">
        <v>1</v>
      </c>
      <c r="E36" t="str">
        <f>VLOOKUP(D36,Categories!$A$2:$B$8,2,0)</f>
        <v>ePRO</v>
      </c>
      <c r="F36">
        <v>2</v>
      </c>
      <c r="G36" t="str">
        <f>VLOOKUP(F36,Subcategories!$A$2:$B$29,2,0)</f>
        <v>Shopping / Requisitioning</v>
      </c>
      <c r="H36" t="str">
        <f t="shared" si="0"/>
        <v>1-2-10</v>
      </c>
      <c r="I36">
        <f>VLOOKUP(H36,SuiteCatSubElem!$F$2:$G$667,2,0)</f>
        <v>35</v>
      </c>
      <c r="J36">
        <v>10</v>
      </c>
      <c r="L36">
        <v>1</v>
      </c>
      <c r="M36" s="127">
        <v>42826.000011574077</v>
      </c>
      <c r="Q36" s="48"/>
      <c r="R36" s="100"/>
    </row>
    <row r="37" spans="1:18">
      <c r="A37">
        <v>36</v>
      </c>
      <c r="B37" s="111" t="s">
        <v>510</v>
      </c>
      <c r="C37" s="24">
        <f>VLOOKUP(B37,Elements!$A$2:$B$435,2,0)</f>
        <v>35</v>
      </c>
      <c r="D37">
        <v>1</v>
      </c>
      <c r="E37" t="str">
        <f>VLOOKUP(D37,Categories!$A$2:$B$8,2,0)</f>
        <v>ePRO</v>
      </c>
      <c r="F37">
        <v>3</v>
      </c>
      <c r="G37" t="str">
        <f>VLOOKUP(F37,Subcategories!$A$2:$B$29,2,0)</f>
        <v>Ordering</v>
      </c>
      <c r="H37" t="str">
        <f t="shared" si="0"/>
        <v>1-3-35</v>
      </c>
      <c r="I37">
        <f>VLOOKUP(H37,SuiteCatSubElem!$F$2:$G$667,2,0)</f>
        <v>36</v>
      </c>
      <c r="J37">
        <v>35</v>
      </c>
      <c r="L37">
        <v>1</v>
      </c>
      <c r="M37" s="127">
        <v>42826.000011574077</v>
      </c>
      <c r="Q37" s="39"/>
    </row>
    <row r="38" spans="1:18">
      <c r="A38">
        <v>37</v>
      </c>
      <c r="B38" s="111" t="s">
        <v>509</v>
      </c>
      <c r="C38" s="24">
        <f>VLOOKUP(B38,Elements!$A$2:$B$435,2,0)</f>
        <v>36</v>
      </c>
      <c r="D38">
        <v>1</v>
      </c>
      <c r="E38" t="str">
        <f>VLOOKUP(D38,Categories!$A$2:$B$8,2,0)</f>
        <v>ePRO</v>
      </c>
      <c r="F38">
        <v>3</v>
      </c>
      <c r="G38" t="str">
        <f>VLOOKUP(F38,Subcategories!$A$2:$B$29,2,0)</f>
        <v>Ordering</v>
      </c>
      <c r="H38" t="str">
        <f t="shared" si="0"/>
        <v>1-3-36</v>
      </c>
      <c r="I38">
        <f>VLOOKUP(H38,SuiteCatSubElem!$F$2:$G$667,2,0)</f>
        <v>37</v>
      </c>
      <c r="J38">
        <v>36</v>
      </c>
      <c r="L38">
        <v>1</v>
      </c>
      <c r="M38" s="127">
        <v>42826.000011574077</v>
      </c>
      <c r="Q38" s="39"/>
    </row>
    <row r="39" spans="1:18">
      <c r="A39">
        <v>38</v>
      </c>
      <c r="B39" s="111" t="s">
        <v>74</v>
      </c>
      <c r="C39" s="24">
        <f>VLOOKUP(B39,Elements!$A$2:$B$435,2,0)</f>
        <v>37</v>
      </c>
      <c r="D39">
        <v>1</v>
      </c>
      <c r="E39" t="str">
        <f>VLOOKUP(D39,Categories!$A$2:$B$8,2,0)</f>
        <v>ePRO</v>
      </c>
      <c r="F39">
        <v>3</v>
      </c>
      <c r="G39" t="str">
        <f>VLOOKUP(F39,Subcategories!$A$2:$B$29,2,0)</f>
        <v>Ordering</v>
      </c>
      <c r="H39" t="str">
        <f t="shared" si="0"/>
        <v>1-3-37</v>
      </c>
      <c r="I39">
        <f>VLOOKUP(H39,SuiteCatSubElem!$F$2:$G$667,2,0)</f>
        <v>38</v>
      </c>
      <c r="J39">
        <v>37</v>
      </c>
      <c r="L39">
        <v>1</v>
      </c>
      <c r="M39" s="127">
        <v>42826.000011574077</v>
      </c>
      <c r="Q39" s="40"/>
    </row>
    <row r="40" spans="1:18">
      <c r="A40">
        <v>39</v>
      </c>
      <c r="B40" s="111" t="s">
        <v>75</v>
      </c>
      <c r="C40" s="24">
        <f>VLOOKUP(B40,Elements!$A$2:$B$435,2,0)</f>
        <v>38</v>
      </c>
      <c r="D40">
        <v>1</v>
      </c>
      <c r="E40" t="str">
        <f>VLOOKUP(D40,Categories!$A$2:$B$8,2,0)</f>
        <v>ePRO</v>
      </c>
      <c r="F40">
        <v>3</v>
      </c>
      <c r="G40" t="str">
        <f>VLOOKUP(F40,Subcategories!$A$2:$B$29,2,0)</f>
        <v>Ordering</v>
      </c>
      <c r="H40" t="str">
        <f t="shared" si="0"/>
        <v>1-3-38</v>
      </c>
      <c r="I40">
        <f>VLOOKUP(H40,SuiteCatSubElem!$F$2:$G$667,2,0)</f>
        <v>39</v>
      </c>
      <c r="J40">
        <v>38</v>
      </c>
      <c r="L40">
        <v>1</v>
      </c>
      <c r="M40" s="127">
        <v>42826.000011574077</v>
      </c>
      <c r="Q40" s="92"/>
    </row>
    <row r="41" spans="1:18">
      <c r="A41">
        <v>40</v>
      </c>
      <c r="B41" s="111" t="s">
        <v>76</v>
      </c>
      <c r="C41" s="24">
        <f>VLOOKUP(B41,Elements!$A$2:$B$435,2,0)</f>
        <v>39</v>
      </c>
      <c r="D41" s="47">
        <v>1</v>
      </c>
      <c r="E41" t="str">
        <f>VLOOKUP(D41,Categories!$A$2:$B$8,2,0)</f>
        <v>ePRO</v>
      </c>
      <c r="F41">
        <v>3</v>
      </c>
      <c r="G41" t="str">
        <f>VLOOKUP(F41,Subcategories!$A$2:$B$29,2,0)</f>
        <v>Ordering</v>
      </c>
      <c r="H41" t="str">
        <f t="shared" si="0"/>
        <v>1-3-39</v>
      </c>
      <c r="I41">
        <f>VLOOKUP(H41,SuiteCatSubElem!$F$2:$G$667,2,0)</f>
        <v>40</v>
      </c>
      <c r="J41">
        <v>39</v>
      </c>
      <c r="K41" s="47"/>
      <c r="L41">
        <v>1</v>
      </c>
      <c r="M41" s="127">
        <v>42826.000011574077</v>
      </c>
      <c r="Q41" s="39"/>
      <c r="R41" s="99"/>
    </row>
    <row r="42" spans="1:18">
      <c r="A42">
        <v>41</v>
      </c>
      <c r="B42" s="111" t="s">
        <v>77</v>
      </c>
      <c r="C42" s="24">
        <f>VLOOKUP(B42,Elements!$A$2:$B$435,2,0)</f>
        <v>40</v>
      </c>
      <c r="D42">
        <v>1</v>
      </c>
      <c r="E42" t="str">
        <f>VLOOKUP(D42,Categories!$A$2:$B$8,2,0)</f>
        <v>ePRO</v>
      </c>
      <c r="F42">
        <v>3</v>
      </c>
      <c r="G42" t="str">
        <f>VLOOKUP(F42,Subcategories!$A$2:$B$29,2,0)</f>
        <v>Ordering</v>
      </c>
      <c r="H42" t="str">
        <f t="shared" si="0"/>
        <v>1-3-40</v>
      </c>
      <c r="I42">
        <f>VLOOKUP(H42,SuiteCatSubElem!$F$2:$G$667,2,0)</f>
        <v>41</v>
      </c>
      <c r="J42">
        <v>40</v>
      </c>
      <c r="L42">
        <v>1</v>
      </c>
      <c r="M42" s="127">
        <v>42826.000011574077</v>
      </c>
      <c r="Q42" s="39"/>
    </row>
    <row r="43" spans="1:18" ht="30">
      <c r="A43">
        <v>42</v>
      </c>
      <c r="B43" s="111" t="s">
        <v>78</v>
      </c>
      <c r="C43" s="24">
        <f>VLOOKUP(B43,Elements!$A$2:$B$435,2,0)</f>
        <v>41</v>
      </c>
      <c r="D43" s="47">
        <v>1</v>
      </c>
      <c r="E43" t="str">
        <f>VLOOKUP(D43,Categories!$A$2:$B$8,2,0)</f>
        <v>ePRO</v>
      </c>
      <c r="F43">
        <v>3</v>
      </c>
      <c r="G43" t="str">
        <f>VLOOKUP(F43,Subcategories!$A$2:$B$29,2,0)</f>
        <v>Ordering</v>
      </c>
      <c r="H43" t="str">
        <f t="shared" si="0"/>
        <v>1-3-41</v>
      </c>
      <c r="I43">
        <f>VLOOKUP(H43,SuiteCatSubElem!$F$2:$G$667,2,0)</f>
        <v>42</v>
      </c>
      <c r="J43">
        <v>41</v>
      </c>
      <c r="K43" s="47"/>
      <c r="L43">
        <v>1</v>
      </c>
      <c r="M43" s="127">
        <v>42826.000011574077</v>
      </c>
      <c r="Q43" s="39"/>
      <c r="R43" s="99"/>
    </row>
    <row r="44" spans="1:18">
      <c r="A44">
        <v>43</v>
      </c>
      <c r="B44" s="111" t="s">
        <v>79</v>
      </c>
      <c r="C44" s="24">
        <f>VLOOKUP(B44,Elements!$A$2:$B$435,2,0)</f>
        <v>42</v>
      </c>
      <c r="D44">
        <v>1</v>
      </c>
      <c r="E44" t="str">
        <f>VLOOKUP(D44,Categories!$A$2:$B$8,2,0)</f>
        <v>ePRO</v>
      </c>
      <c r="F44">
        <v>3</v>
      </c>
      <c r="G44" t="str">
        <f>VLOOKUP(F44,Subcategories!$A$2:$B$29,2,0)</f>
        <v>Ordering</v>
      </c>
      <c r="H44" t="str">
        <f t="shared" si="0"/>
        <v>1-3-42</v>
      </c>
      <c r="I44">
        <f>VLOOKUP(H44,SuiteCatSubElem!$F$2:$G$667,2,0)</f>
        <v>43</v>
      </c>
      <c r="J44">
        <v>42</v>
      </c>
      <c r="L44">
        <v>1</v>
      </c>
      <c r="M44" s="127">
        <v>42826.000011574077</v>
      </c>
      <c r="Q44" s="39"/>
    </row>
    <row r="45" spans="1:18">
      <c r="A45">
        <v>44</v>
      </c>
      <c r="B45" s="111" t="s">
        <v>80</v>
      </c>
      <c r="C45" s="24">
        <f>VLOOKUP(B45,Elements!$A$2:$B$435,2,0)</f>
        <v>43</v>
      </c>
      <c r="D45">
        <v>1</v>
      </c>
      <c r="E45" t="str">
        <f>VLOOKUP(D45,Categories!$A$2:$B$8,2,0)</f>
        <v>ePRO</v>
      </c>
      <c r="F45">
        <v>3</v>
      </c>
      <c r="G45" t="str">
        <f>VLOOKUP(F45,Subcategories!$A$2:$B$29,2,0)</f>
        <v>Ordering</v>
      </c>
      <c r="H45" t="str">
        <f t="shared" si="0"/>
        <v>1-3-43</v>
      </c>
      <c r="I45">
        <f>VLOOKUP(H45,SuiteCatSubElem!$F$2:$G$667,2,0)</f>
        <v>44</v>
      </c>
      <c r="J45">
        <v>43</v>
      </c>
      <c r="L45">
        <v>1</v>
      </c>
      <c r="M45" s="127">
        <v>42826.000011574077</v>
      </c>
      <c r="Q45" s="39"/>
    </row>
    <row r="46" spans="1:18">
      <c r="A46">
        <v>45</v>
      </c>
      <c r="B46" s="111" t="s">
        <v>81</v>
      </c>
      <c r="C46" s="24">
        <f>VLOOKUP(B46,Elements!$A$2:$B$435,2,0)</f>
        <v>44</v>
      </c>
      <c r="D46">
        <v>1</v>
      </c>
      <c r="E46" t="str">
        <f>VLOOKUP(D46,Categories!$A$2:$B$8,2,0)</f>
        <v>ePRO</v>
      </c>
      <c r="F46">
        <v>3</v>
      </c>
      <c r="G46" t="str">
        <f>VLOOKUP(F46,Subcategories!$A$2:$B$29,2,0)</f>
        <v>Ordering</v>
      </c>
      <c r="H46" t="str">
        <f t="shared" si="0"/>
        <v>1-3-44</v>
      </c>
      <c r="I46">
        <f>VLOOKUP(H46,SuiteCatSubElem!$F$2:$G$667,2,0)</f>
        <v>45</v>
      </c>
      <c r="J46">
        <v>44</v>
      </c>
      <c r="L46">
        <v>1</v>
      </c>
      <c r="M46" s="127">
        <v>42826.000011574077</v>
      </c>
      <c r="Q46" s="39"/>
    </row>
    <row r="47" spans="1:18">
      <c r="A47">
        <v>46</v>
      </c>
      <c r="B47" s="111" t="s">
        <v>82</v>
      </c>
      <c r="C47" s="24">
        <f>VLOOKUP(B47,Elements!$A$2:$B$435,2,0)</f>
        <v>45</v>
      </c>
      <c r="D47">
        <v>1</v>
      </c>
      <c r="E47" t="str">
        <f>VLOOKUP(D47,Categories!$A$2:$B$8,2,0)</f>
        <v>ePRO</v>
      </c>
      <c r="F47">
        <v>3</v>
      </c>
      <c r="G47" t="str">
        <f>VLOOKUP(F47,Subcategories!$A$2:$B$29,2,0)</f>
        <v>Ordering</v>
      </c>
      <c r="H47" t="str">
        <f t="shared" si="0"/>
        <v>1-3-45</v>
      </c>
      <c r="I47">
        <f>VLOOKUP(H47,SuiteCatSubElem!$F$2:$G$667,2,0)</f>
        <v>46</v>
      </c>
      <c r="J47">
        <v>45</v>
      </c>
      <c r="L47">
        <v>1</v>
      </c>
      <c r="M47" s="127">
        <v>42826.000011574077</v>
      </c>
      <c r="Q47" s="39"/>
    </row>
    <row r="48" spans="1:18">
      <c r="A48">
        <v>47</v>
      </c>
      <c r="B48" s="111" t="s">
        <v>83</v>
      </c>
      <c r="C48" s="24">
        <f>VLOOKUP(B48,Elements!$A$2:$B$435,2,0)</f>
        <v>46</v>
      </c>
      <c r="D48">
        <v>1</v>
      </c>
      <c r="E48" t="str">
        <f>VLOOKUP(D48,Categories!$A$2:$B$8,2,0)</f>
        <v>ePRO</v>
      </c>
      <c r="F48">
        <v>3</v>
      </c>
      <c r="G48" t="str">
        <f>VLOOKUP(F48,Subcategories!$A$2:$B$29,2,0)</f>
        <v>Ordering</v>
      </c>
      <c r="H48" t="str">
        <f t="shared" si="0"/>
        <v>1-3-46</v>
      </c>
      <c r="I48">
        <f>VLOOKUP(H48,SuiteCatSubElem!$F$2:$G$667,2,0)</f>
        <v>47</v>
      </c>
      <c r="J48">
        <v>46</v>
      </c>
      <c r="L48">
        <v>1</v>
      </c>
      <c r="M48" s="127">
        <v>42826.000011574077</v>
      </c>
      <c r="Q48" s="39"/>
    </row>
    <row r="49" spans="1:18">
      <c r="A49">
        <v>48</v>
      </c>
      <c r="B49" s="97" t="s">
        <v>70</v>
      </c>
      <c r="C49" s="24">
        <f>VLOOKUP(B49,Elements!$A$2:$B$435,2,0)</f>
        <v>33</v>
      </c>
      <c r="D49">
        <v>1</v>
      </c>
      <c r="E49" t="str">
        <f>VLOOKUP(D49,Categories!$A$2:$B$8,2,0)</f>
        <v>ePRO</v>
      </c>
      <c r="F49">
        <v>3</v>
      </c>
      <c r="G49" t="str">
        <f>VLOOKUP(F49,Subcategories!$A$2:$B$29,2,0)</f>
        <v>Ordering</v>
      </c>
      <c r="H49" t="str">
        <f t="shared" si="0"/>
        <v>1-3-33</v>
      </c>
      <c r="I49">
        <f>VLOOKUP(H49,SuiteCatSubElem!$F$2:$G$667,2,0)</f>
        <v>48</v>
      </c>
      <c r="J49">
        <v>438</v>
      </c>
      <c r="L49">
        <v>1</v>
      </c>
      <c r="M49" s="127">
        <v>42826.000011574077</v>
      </c>
      <c r="Q49" s="39"/>
    </row>
    <row r="50" spans="1:18">
      <c r="A50">
        <v>49</v>
      </c>
      <c r="B50" s="111" t="s">
        <v>85</v>
      </c>
      <c r="C50" s="24">
        <f>VLOOKUP(B50,Elements!$A$2:$B$435,2,0)</f>
        <v>47</v>
      </c>
      <c r="D50">
        <v>1</v>
      </c>
      <c r="E50" t="str">
        <f>VLOOKUP(D50,Categories!$A$2:$B$8,2,0)</f>
        <v>ePRO</v>
      </c>
      <c r="F50">
        <v>3</v>
      </c>
      <c r="G50" t="str">
        <f>VLOOKUP(F50,Subcategories!$A$2:$B$29,2,0)</f>
        <v>Ordering</v>
      </c>
      <c r="H50" t="str">
        <f t="shared" si="0"/>
        <v>1-3-47</v>
      </c>
      <c r="I50">
        <f>VLOOKUP(H50,SuiteCatSubElem!$F$2:$G$667,2,0)</f>
        <v>49</v>
      </c>
      <c r="J50">
        <v>47</v>
      </c>
      <c r="L50">
        <v>1</v>
      </c>
      <c r="M50" s="127">
        <v>42826.000011574077</v>
      </c>
      <c r="Q50" s="39"/>
    </row>
    <row r="51" spans="1:18">
      <c r="A51">
        <v>50</v>
      </c>
      <c r="B51" s="111" t="s">
        <v>513</v>
      </c>
      <c r="C51" s="24">
        <f>VLOOKUP(B51,Elements!$A$2:$B$435,2,0)</f>
        <v>48</v>
      </c>
      <c r="D51">
        <v>1</v>
      </c>
      <c r="E51" t="str">
        <f>VLOOKUP(D51,Categories!$A$2:$B$8,2,0)</f>
        <v>ePRO</v>
      </c>
      <c r="F51">
        <v>4</v>
      </c>
      <c r="G51" t="str">
        <f>VLOOKUP(F51,Subcategories!$A$2:$B$29,2,0)</f>
        <v>Receiving</v>
      </c>
      <c r="H51" t="str">
        <f t="shared" si="0"/>
        <v>1-4-48</v>
      </c>
      <c r="I51">
        <f>VLOOKUP(H51,SuiteCatSubElem!$F$2:$G$667,2,0)</f>
        <v>50</v>
      </c>
      <c r="J51">
        <v>48</v>
      </c>
      <c r="L51">
        <v>1</v>
      </c>
      <c r="M51" s="127">
        <v>42826.000011574077</v>
      </c>
      <c r="Q51" s="39"/>
    </row>
    <row r="52" spans="1:18">
      <c r="A52">
        <v>51</v>
      </c>
      <c r="B52" s="111" t="s">
        <v>523</v>
      </c>
      <c r="C52" s="24">
        <f>VLOOKUP(B52,Elements!$A$2:$B$435,2,0)</f>
        <v>49</v>
      </c>
      <c r="D52">
        <v>1</v>
      </c>
      <c r="E52" t="str">
        <f>VLOOKUP(D52,Categories!$A$2:$B$8,2,0)</f>
        <v>ePRO</v>
      </c>
      <c r="F52">
        <v>4</v>
      </c>
      <c r="G52" t="str">
        <f>VLOOKUP(F52,Subcategories!$A$2:$B$29,2,0)</f>
        <v>Receiving</v>
      </c>
      <c r="H52" t="str">
        <f t="shared" si="0"/>
        <v>1-4-49</v>
      </c>
      <c r="I52">
        <f>VLOOKUP(H52,SuiteCatSubElem!$F$2:$G$667,2,0)</f>
        <v>51</v>
      </c>
      <c r="J52">
        <v>49</v>
      </c>
      <c r="L52">
        <v>1</v>
      </c>
      <c r="M52" s="127">
        <v>42826.000011574077</v>
      </c>
      <c r="Q52" s="39"/>
    </row>
    <row r="53" spans="1:18">
      <c r="A53">
        <v>52</v>
      </c>
      <c r="B53" s="122" t="s">
        <v>88</v>
      </c>
      <c r="C53" s="24">
        <f>VLOOKUP(B53,Elements!$A$2:$B$435,2,0)</f>
        <v>50</v>
      </c>
      <c r="D53">
        <v>1</v>
      </c>
      <c r="E53" t="str">
        <f>VLOOKUP(D53,Categories!$A$2:$B$8,2,0)</f>
        <v>ePRO</v>
      </c>
      <c r="F53">
        <v>4</v>
      </c>
      <c r="G53" t="str">
        <f>VLOOKUP(F53,Subcategories!$A$2:$B$29,2,0)</f>
        <v>Receiving</v>
      </c>
      <c r="H53" t="str">
        <f t="shared" si="0"/>
        <v>1-4-50</v>
      </c>
      <c r="I53">
        <f>VLOOKUP(H53,SuiteCatSubElem!$F$2:$G$667,2,0)</f>
        <v>52</v>
      </c>
      <c r="J53">
        <v>50</v>
      </c>
      <c r="L53">
        <v>1</v>
      </c>
      <c r="M53" s="127">
        <v>42826.000011574077</v>
      </c>
      <c r="Q53" s="39"/>
    </row>
    <row r="54" spans="1:18">
      <c r="A54">
        <v>53</v>
      </c>
      <c r="B54" s="111" t="s">
        <v>512</v>
      </c>
      <c r="C54" s="24">
        <f>VLOOKUP(B54,Elements!$A$2:$B$435,2,0)</f>
        <v>51</v>
      </c>
      <c r="D54">
        <v>1</v>
      </c>
      <c r="E54" t="str">
        <f>VLOOKUP(D54,Categories!$A$2:$B$8,2,0)</f>
        <v>ePRO</v>
      </c>
      <c r="F54">
        <v>4</v>
      </c>
      <c r="G54" t="str">
        <f>VLOOKUP(F54,Subcategories!$A$2:$B$29,2,0)</f>
        <v>Receiving</v>
      </c>
      <c r="H54" t="str">
        <f t="shared" si="0"/>
        <v>1-4-51</v>
      </c>
      <c r="I54">
        <f>VLOOKUP(H54,SuiteCatSubElem!$F$2:$G$667,2,0)</f>
        <v>53</v>
      </c>
      <c r="J54">
        <v>51</v>
      </c>
      <c r="L54">
        <v>1</v>
      </c>
      <c r="M54" s="127">
        <v>42826.000011574077</v>
      </c>
      <c r="Q54" s="39"/>
    </row>
    <row r="55" spans="1:18">
      <c r="A55">
        <v>54</v>
      </c>
      <c r="B55" s="111" t="s">
        <v>90</v>
      </c>
      <c r="C55" s="24">
        <f>VLOOKUP(B55,Elements!$A$2:$B$435,2,0)</f>
        <v>52</v>
      </c>
      <c r="D55">
        <v>1</v>
      </c>
      <c r="E55" t="str">
        <f>VLOOKUP(D55,Categories!$A$2:$B$8,2,0)</f>
        <v>ePRO</v>
      </c>
      <c r="F55">
        <v>4</v>
      </c>
      <c r="G55" t="str">
        <f>VLOOKUP(F55,Subcategories!$A$2:$B$29,2,0)</f>
        <v>Receiving</v>
      </c>
      <c r="H55" t="str">
        <f t="shared" si="0"/>
        <v>1-4-52</v>
      </c>
      <c r="I55">
        <f>VLOOKUP(H55,SuiteCatSubElem!$F$2:$G$667,2,0)</f>
        <v>54</v>
      </c>
      <c r="J55">
        <v>52</v>
      </c>
      <c r="L55">
        <v>1</v>
      </c>
      <c r="M55" s="127">
        <v>42826.000011574077</v>
      </c>
      <c r="Q55" s="39"/>
    </row>
    <row r="56" spans="1:18">
      <c r="A56">
        <v>55</v>
      </c>
      <c r="B56" s="111" t="s">
        <v>91</v>
      </c>
      <c r="C56" s="24">
        <f>VLOOKUP(B56,Elements!$A$2:$B$435,2,0)</f>
        <v>53</v>
      </c>
      <c r="D56">
        <v>1</v>
      </c>
      <c r="E56" t="str">
        <f>VLOOKUP(D56,Categories!$A$2:$B$8,2,0)</f>
        <v>ePRO</v>
      </c>
      <c r="F56">
        <v>4</v>
      </c>
      <c r="G56" t="str">
        <f>VLOOKUP(F56,Subcategories!$A$2:$B$29,2,0)</f>
        <v>Receiving</v>
      </c>
      <c r="H56" t="str">
        <f t="shared" si="0"/>
        <v>1-4-53</v>
      </c>
      <c r="I56">
        <f>VLOOKUP(H56,SuiteCatSubElem!$F$2:$G$667,2,0)</f>
        <v>55</v>
      </c>
      <c r="J56">
        <v>53</v>
      </c>
      <c r="L56">
        <v>1</v>
      </c>
      <c r="M56" s="127">
        <v>42826.000011574077</v>
      </c>
      <c r="Q56" s="39"/>
    </row>
    <row r="57" spans="1:18">
      <c r="A57">
        <v>56</v>
      </c>
      <c r="B57" s="111" t="s">
        <v>92</v>
      </c>
      <c r="C57" s="24">
        <f>VLOOKUP(B57,Elements!$A$2:$B$435,2,0)</f>
        <v>54</v>
      </c>
      <c r="D57">
        <v>1</v>
      </c>
      <c r="E57" t="str">
        <f>VLOOKUP(D57,Categories!$A$2:$B$8,2,0)</f>
        <v>ePRO</v>
      </c>
      <c r="F57">
        <v>4</v>
      </c>
      <c r="G57" t="str">
        <f>VLOOKUP(F57,Subcategories!$A$2:$B$29,2,0)</f>
        <v>Receiving</v>
      </c>
      <c r="H57" t="str">
        <f t="shared" si="0"/>
        <v>1-4-54</v>
      </c>
      <c r="I57">
        <f>VLOOKUP(H57,SuiteCatSubElem!$F$2:$G$667,2,0)</f>
        <v>56</v>
      </c>
      <c r="J57">
        <v>54</v>
      </c>
      <c r="L57">
        <v>1</v>
      </c>
      <c r="M57" s="127">
        <v>42826.000011574077</v>
      </c>
      <c r="Q57" s="39"/>
    </row>
    <row r="58" spans="1:18">
      <c r="A58">
        <v>57</v>
      </c>
      <c r="B58" s="111" t="s">
        <v>81</v>
      </c>
      <c r="C58" s="24">
        <f>VLOOKUP(B58,Elements!$A$2:$B$435,2,0)</f>
        <v>44</v>
      </c>
      <c r="D58">
        <v>1</v>
      </c>
      <c r="E58" t="str">
        <f>VLOOKUP(D58,Categories!$A$2:$B$8,2,0)</f>
        <v>ePRO</v>
      </c>
      <c r="F58">
        <v>4</v>
      </c>
      <c r="G58" t="str">
        <f>VLOOKUP(F58,Subcategories!$A$2:$B$29,2,0)</f>
        <v>Receiving</v>
      </c>
      <c r="H58" t="str">
        <f t="shared" si="0"/>
        <v>1-4-44</v>
      </c>
      <c r="I58">
        <f>VLOOKUP(H58,SuiteCatSubElem!$F$2:$G$667,2,0)</f>
        <v>57</v>
      </c>
      <c r="J58">
        <v>44</v>
      </c>
      <c r="L58">
        <v>1</v>
      </c>
      <c r="M58" s="127">
        <v>42826.000011574077</v>
      </c>
      <c r="Q58" s="39"/>
    </row>
    <row r="59" spans="1:18">
      <c r="A59">
        <v>58</v>
      </c>
      <c r="B59" s="111" t="s">
        <v>93</v>
      </c>
      <c r="C59" s="24">
        <f>VLOOKUP(B59,Elements!$A$2:$B$435,2,0)</f>
        <v>55</v>
      </c>
      <c r="D59">
        <v>1</v>
      </c>
      <c r="E59" t="str">
        <f>VLOOKUP(D59,Categories!$A$2:$B$8,2,0)</f>
        <v>ePRO</v>
      </c>
      <c r="F59">
        <v>5</v>
      </c>
      <c r="G59" t="str">
        <f>VLOOKUP(F59,Subcategories!$A$2:$B$29,2,0)</f>
        <v>Supplier Network</v>
      </c>
      <c r="H59" t="str">
        <f t="shared" si="0"/>
        <v>1-5-55</v>
      </c>
      <c r="I59">
        <f>VLOOKUP(H59,SuiteCatSubElem!$F$2:$G$667,2,0)</f>
        <v>58</v>
      </c>
      <c r="J59">
        <v>55</v>
      </c>
      <c r="L59">
        <v>1</v>
      </c>
      <c r="M59" s="127">
        <v>42826.000011574077</v>
      </c>
      <c r="Q59" s="39"/>
    </row>
    <row r="60" spans="1:18" ht="30">
      <c r="A60">
        <v>59</v>
      </c>
      <c r="B60" s="111" t="s">
        <v>94</v>
      </c>
      <c r="C60" s="24">
        <f>VLOOKUP(B60,Elements!$A$2:$B$435,2,0)</f>
        <v>56</v>
      </c>
      <c r="D60">
        <v>1</v>
      </c>
      <c r="E60" t="str">
        <f>VLOOKUP(D60,Categories!$A$2:$B$8,2,0)</f>
        <v>ePRO</v>
      </c>
      <c r="F60">
        <v>5</v>
      </c>
      <c r="G60" t="str">
        <f>VLOOKUP(F60,Subcategories!$A$2:$B$29,2,0)</f>
        <v>Supplier Network</v>
      </c>
      <c r="H60" t="str">
        <f t="shared" si="0"/>
        <v>1-5-56</v>
      </c>
      <c r="I60">
        <f>VLOOKUP(H60,SuiteCatSubElem!$F$2:$G$667,2,0)</f>
        <v>59</v>
      </c>
      <c r="J60">
        <v>56</v>
      </c>
      <c r="L60">
        <v>1</v>
      </c>
      <c r="M60" s="127">
        <v>42826.000011574077</v>
      </c>
      <c r="Q60" s="39"/>
    </row>
    <row r="61" spans="1:18" ht="30">
      <c r="A61">
        <v>60</v>
      </c>
      <c r="B61" s="111" t="s">
        <v>95</v>
      </c>
      <c r="C61" s="24">
        <f>VLOOKUP(B61,Elements!$A$2:$B$435,2,0)</f>
        <v>57</v>
      </c>
      <c r="D61">
        <v>1</v>
      </c>
      <c r="E61" t="str">
        <f>VLOOKUP(D61,Categories!$A$2:$B$8,2,0)</f>
        <v>ePRO</v>
      </c>
      <c r="F61">
        <v>5</v>
      </c>
      <c r="G61" t="str">
        <f>VLOOKUP(F61,Subcategories!$A$2:$B$29,2,0)</f>
        <v>Supplier Network</v>
      </c>
      <c r="H61" t="str">
        <f t="shared" si="0"/>
        <v>1-5-57</v>
      </c>
      <c r="I61">
        <f>VLOOKUP(H61,SuiteCatSubElem!$F$2:$G$667,2,0)</f>
        <v>60</v>
      </c>
      <c r="J61">
        <v>57</v>
      </c>
      <c r="L61">
        <v>1</v>
      </c>
      <c r="M61" s="127">
        <v>42826.000011574077</v>
      </c>
      <c r="Q61" s="39"/>
    </row>
    <row r="62" spans="1:18">
      <c r="A62">
        <v>61</v>
      </c>
      <c r="B62" s="111" t="s">
        <v>96</v>
      </c>
      <c r="C62" s="24">
        <f>VLOOKUP(B62,Elements!$A$2:$B$435,2,0)</f>
        <v>58</v>
      </c>
      <c r="D62">
        <v>1</v>
      </c>
      <c r="E62" t="str">
        <f>VLOOKUP(D62,Categories!$A$2:$B$8,2,0)</f>
        <v>ePRO</v>
      </c>
      <c r="F62">
        <v>5</v>
      </c>
      <c r="G62" t="str">
        <f>VLOOKUP(F62,Subcategories!$A$2:$B$29,2,0)</f>
        <v>Supplier Network</v>
      </c>
      <c r="H62" t="str">
        <f t="shared" si="0"/>
        <v>1-5-58</v>
      </c>
      <c r="I62">
        <f>VLOOKUP(H62,SuiteCatSubElem!$F$2:$G$667,2,0)</f>
        <v>61</v>
      </c>
      <c r="J62">
        <v>58</v>
      </c>
      <c r="L62">
        <v>1</v>
      </c>
      <c r="M62" s="127">
        <v>42826.000011574077</v>
      </c>
      <c r="Q62" s="39"/>
    </row>
    <row r="63" spans="1:18">
      <c r="A63">
        <v>62</v>
      </c>
      <c r="B63" s="111" t="s">
        <v>97</v>
      </c>
      <c r="C63" s="24">
        <f>VLOOKUP(B63,Elements!$A$2:$B$435,2,0)</f>
        <v>59</v>
      </c>
      <c r="D63" s="47">
        <v>1</v>
      </c>
      <c r="E63" t="str">
        <f>VLOOKUP(D63,Categories!$A$2:$B$8,2,0)</f>
        <v>ePRO</v>
      </c>
      <c r="F63">
        <v>5</v>
      </c>
      <c r="G63" t="str">
        <f>VLOOKUP(F63,Subcategories!$A$2:$B$29,2,0)</f>
        <v>Supplier Network</v>
      </c>
      <c r="H63" t="str">
        <f t="shared" si="0"/>
        <v>1-5-59</v>
      </c>
      <c r="I63">
        <f>VLOOKUP(H63,SuiteCatSubElem!$F$2:$G$667,2,0)</f>
        <v>62</v>
      </c>
      <c r="J63">
        <v>59</v>
      </c>
      <c r="K63" s="47"/>
      <c r="L63">
        <v>1</v>
      </c>
      <c r="M63" s="127">
        <v>42826.000011574077</v>
      </c>
      <c r="Q63" s="39"/>
      <c r="R63" s="99"/>
    </row>
    <row r="64" spans="1:18">
      <c r="A64">
        <v>63</v>
      </c>
      <c r="B64" s="111" t="s">
        <v>13</v>
      </c>
      <c r="C64" s="24">
        <f>VLOOKUP(B64,Elements!$A$2:$B$435,2,0)</f>
        <v>60</v>
      </c>
      <c r="D64">
        <v>1</v>
      </c>
      <c r="E64" t="str">
        <f>VLOOKUP(D64,Categories!$A$2:$B$8,2,0)</f>
        <v>ePRO</v>
      </c>
      <c r="F64">
        <v>5</v>
      </c>
      <c r="G64" t="str">
        <f>VLOOKUP(F64,Subcategories!$A$2:$B$29,2,0)</f>
        <v>Supplier Network</v>
      </c>
      <c r="H64" t="str">
        <f t="shared" si="0"/>
        <v>1-5-60</v>
      </c>
      <c r="I64">
        <f>VLOOKUP(H64,SuiteCatSubElem!$F$2:$G$667,2,0)</f>
        <v>63</v>
      </c>
      <c r="J64">
        <v>60</v>
      </c>
      <c r="L64">
        <v>1</v>
      </c>
      <c r="M64" s="127">
        <v>42826.000011574077</v>
      </c>
      <c r="Q64" s="39"/>
    </row>
    <row r="65" spans="1:18" ht="30">
      <c r="A65">
        <v>64</v>
      </c>
      <c r="B65" s="111" t="s">
        <v>98</v>
      </c>
      <c r="C65" s="24">
        <f>VLOOKUP(B65,Elements!$A$2:$B$435,2,0)</f>
        <v>61</v>
      </c>
      <c r="D65">
        <v>1</v>
      </c>
      <c r="E65" t="str">
        <f>VLOOKUP(D65,Categories!$A$2:$B$8,2,0)</f>
        <v>ePRO</v>
      </c>
      <c r="F65">
        <v>5</v>
      </c>
      <c r="G65" t="str">
        <f>VLOOKUP(F65,Subcategories!$A$2:$B$29,2,0)</f>
        <v>Supplier Network</v>
      </c>
      <c r="H65" t="str">
        <f t="shared" si="0"/>
        <v>1-5-61</v>
      </c>
      <c r="I65">
        <f>VLOOKUP(H65,SuiteCatSubElem!$F$2:$G$667,2,0)</f>
        <v>64</v>
      </c>
      <c r="J65">
        <v>61</v>
      </c>
      <c r="L65">
        <v>1</v>
      </c>
      <c r="M65" s="127">
        <v>42826.000011574077</v>
      </c>
      <c r="Q65" s="39"/>
    </row>
    <row r="66" spans="1:18" ht="30">
      <c r="A66">
        <v>65</v>
      </c>
      <c r="B66" s="111" t="s">
        <v>99</v>
      </c>
      <c r="C66" s="24">
        <f>VLOOKUP(B66,Elements!$A$2:$B$435,2,0)</f>
        <v>62</v>
      </c>
      <c r="D66">
        <v>1</v>
      </c>
      <c r="E66" t="str">
        <f>VLOOKUP(D66,Categories!$A$2:$B$8,2,0)</f>
        <v>ePRO</v>
      </c>
      <c r="F66">
        <v>5</v>
      </c>
      <c r="G66" t="str">
        <f>VLOOKUP(F66,Subcategories!$A$2:$B$29,2,0)</f>
        <v>Supplier Network</v>
      </c>
      <c r="H66" t="str">
        <f t="shared" ref="H66:H129" si="1">_xlfn.CONCAT(D66,"-",F66,"-",C66)</f>
        <v>1-5-62</v>
      </c>
      <c r="I66">
        <f>VLOOKUP(H66,SuiteCatSubElem!$F$2:$G$667,2,0)</f>
        <v>65</v>
      </c>
      <c r="J66">
        <v>62</v>
      </c>
      <c r="L66">
        <v>1</v>
      </c>
      <c r="M66" s="127">
        <v>42826.000011574077</v>
      </c>
      <c r="Q66" s="39"/>
    </row>
    <row r="67" spans="1:18">
      <c r="A67">
        <v>66</v>
      </c>
      <c r="B67" s="111" t="s">
        <v>100</v>
      </c>
      <c r="C67" s="24">
        <f>VLOOKUP(B67,Elements!$A$2:$B$435,2,0)</f>
        <v>63</v>
      </c>
      <c r="D67">
        <v>1</v>
      </c>
      <c r="E67" t="str">
        <f>VLOOKUP(D67,Categories!$A$2:$B$8,2,0)</f>
        <v>ePRO</v>
      </c>
      <c r="F67">
        <v>5</v>
      </c>
      <c r="G67" t="str">
        <f>VLOOKUP(F67,Subcategories!$A$2:$B$29,2,0)</f>
        <v>Supplier Network</v>
      </c>
      <c r="H67" t="str">
        <f t="shared" si="1"/>
        <v>1-5-63</v>
      </c>
      <c r="I67">
        <f>VLOOKUP(H67,SuiteCatSubElem!$F$2:$G$667,2,0)</f>
        <v>66</v>
      </c>
      <c r="J67">
        <v>63</v>
      </c>
      <c r="L67">
        <v>1</v>
      </c>
      <c r="M67" s="127">
        <v>42826.000011574077</v>
      </c>
      <c r="Q67" s="39"/>
    </row>
    <row r="68" spans="1:18">
      <c r="A68">
        <v>67</v>
      </c>
      <c r="B68" s="111" t="s">
        <v>101</v>
      </c>
      <c r="C68" s="24">
        <f>VLOOKUP(B68,Elements!$A$2:$B$435,2,0)</f>
        <v>64</v>
      </c>
      <c r="D68">
        <v>1</v>
      </c>
      <c r="E68" t="str">
        <f>VLOOKUP(D68,Categories!$A$2:$B$8,2,0)</f>
        <v>ePRO</v>
      </c>
      <c r="F68">
        <v>6</v>
      </c>
      <c r="G68" t="str">
        <f>VLOOKUP(F68,Subcategories!$A$2:$B$29,2,0)</f>
        <v>Configurability</v>
      </c>
      <c r="H68" t="str">
        <f t="shared" si="1"/>
        <v>1-6-64</v>
      </c>
      <c r="I68">
        <f>VLOOKUP(H68,SuiteCatSubElem!$F$2:$G$667,2,0)</f>
        <v>67</v>
      </c>
      <c r="J68">
        <v>64</v>
      </c>
      <c r="L68">
        <v>1</v>
      </c>
      <c r="M68" s="127">
        <v>42826.000011574077</v>
      </c>
      <c r="Q68" s="39"/>
    </row>
    <row r="69" spans="1:18">
      <c r="A69">
        <v>68</v>
      </c>
      <c r="B69" s="111" t="s">
        <v>362</v>
      </c>
      <c r="C69" s="24">
        <f>VLOOKUP(B69,Elements!$A$2:$B$435,2,0)</f>
        <v>65</v>
      </c>
      <c r="D69">
        <v>1</v>
      </c>
      <c r="E69" t="str">
        <f>VLOOKUP(D69,Categories!$A$2:$B$8,2,0)</f>
        <v>ePRO</v>
      </c>
      <c r="F69">
        <v>6</v>
      </c>
      <c r="G69" t="str">
        <f>VLOOKUP(F69,Subcategories!$A$2:$B$29,2,0)</f>
        <v>Configurability</v>
      </c>
      <c r="H69" t="str">
        <f t="shared" si="1"/>
        <v>1-6-65</v>
      </c>
      <c r="I69">
        <f>VLOOKUP(H69,SuiteCatSubElem!$F$2:$G$667,2,0)</f>
        <v>68</v>
      </c>
      <c r="J69">
        <v>65</v>
      </c>
      <c r="L69">
        <v>1</v>
      </c>
      <c r="M69" s="127">
        <v>42826.000011574077</v>
      </c>
      <c r="Q69" s="39"/>
    </row>
    <row r="70" spans="1:18">
      <c r="A70">
        <v>69</v>
      </c>
      <c r="B70" s="111" t="s">
        <v>286</v>
      </c>
      <c r="C70" s="24">
        <f>VLOOKUP(B70,Elements!$A$2:$B$435,2,0)</f>
        <v>66</v>
      </c>
      <c r="D70">
        <v>1</v>
      </c>
      <c r="E70" t="str">
        <f>VLOOKUP(D70,Categories!$A$2:$B$8,2,0)</f>
        <v>ePRO</v>
      </c>
      <c r="F70">
        <v>6</v>
      </c>
      <c r="G70" t="str">
        <f>VLOOKUP(F70,Subcategories!$A$2:$B$29,2,0)</f>
        <v>Configurability</v>
      </c>
      <c r="H70" t="str">
        <f t="shared" si="1"/>
        <v>1-6-66</v>
      </c>
      <c r="I70">
        <f>VLOOKUP(H70,SuiteCatSubElem!$F$2:$G$667,2,0)</f>
        <v>69</v>
      </c>
      <c r="J70">
        <v>66</v>
      </c>
      <c r="L70">
        <v>1</v>
      </c>
      <c r="M70" s="127">
        <v>42826.000011574077</v>
      </c>
      <c r="Q70" s="39"/>
    </row>
    <row r="71" spans="1:18">
      <c r="A71">
        <v>70</v>
      </c>
      <c r="B71" s="97" t="s">
        <v>288</v>
      </c>
      <c r="C71" s="24">
        <f>VLOOKUP(B71,Elements!$A$2:$B$435,2,0)</f>
        <v>67</v>
      </c>
      <c r="D71">
        <v>1</v>
      </c>
      <c r="E71" t="str">
        <f>VLOOKUP(D71,Categories!$A$2:$B$8,2,0)</f>
        <v>ePRO</v>
      </c>
      <c r="F71">
        <v>6</v>
      </c>
      <c r="G71" t="str">
        <f>VLOOKUP(F71,Subcategories!$A$2:$B$29,2,0)</f>
        <v>Configurability</v>
      </c>
      <c r="H71" t="str">
        <f t="shared" si="1"/>
        <v>1-6-67</v>
      </c>
      <c r="I71">
        <f>VLOOKUP(H71,SuiteCatSubElem!$F$2:$G$667,2,0)</f>
        <v>70</v>
      </c>
      <c r="J71">
        <v>67</v>
      </c>
      <c r="L71">
        <v>1</v>
      </c>
      <c r="M71" s="127">
        <v>42826.000011574077</v>
      </c>
      <c r="Q71" s="39"/>
    </row>
    <row r="72" spans="1:18">
      <c r="A72">
        <v>71</v>
      </c>
      <c r="B72" s="111" t="s">
        <v>104</v>
      </c>
      <c r="C72" s="24">
        <f>VLOOKUP(B72,Elements!$A$2:$B$435,2,0)</f>
        <v>68</v>
      </c>
      <c r="D72">
        <v>1</v>
      </c>
      <c r="E72" t="str">
        <f>VLOOKUP(D72,Categories!$A$2:$B$8,2,0)</f>
        <v>ePRO</v>
      </c>
      <c r="F72">
        <v>6</v>
      </c>
      <c r="G72" t="str">
        <f>VLOOKUP(F72,Subcategories!$A$2:$B$29,2,0)</f>
        <v>Configurability</v>
      </c>
      <c r="H72" t="str">
        <f t="shared" si="1"/>
        <v>1-6-68</v>
      </c>
      <c r="I72">
        <f>VLOOKUP(H72,SuiteCatSubElem!$F$2:$G$667,2,0)</f>
        <v>71</v>
      </c>
      <c r="J72">
        <v>68</v>
      </c>
      <c r="L72">
        <v>1</v>
      </c>
      <c r="M72" s="127">
        <v>42826.000011574077</v>
      </c>
      <c r="Q72" s="39"/>
    </row>
    <row r="73" spans="1:18">
      <c r="A73">
        <v>72</v>
      </c>
      <c r="B73" s="111" t="s">
        <v>105</v>
      </c>
      <c r="C73" s="24">
        <f>VLOOKUP(B73,Elements!$A$2:$B$435,2,0)</f>
        <v>69</v>
      </c>
      <c r="D73" s="47">
        <v>1</v>
      </c>
      <c r="E73" t="str">
        <f>VLOOKUP(D73,Categories!$A$2:$B$8,2,0)</f>
        <v>ePRO</v>
      </c>
      <c r="F73">
        <v>6</v>
      </c>
      <c r="G73" t="str">
        <f>VLOOKUP(F73,Subcategories!$A$2:$B$29,2,0)</f>
        <v>Configurability</v>
      </c>
      <c r="H73" t="str">
        <f t="shared" si="1"/>
        <v>1-6-69</v>
      </c>
      <c r="I73">
        <f>VLOOKUP(H73,SuiteCatSubElem!$F$2:$G$667,2,0)</f>
        <v>72</v>
      </c>
      <c r="J73">
        <v>69</v>
      </c>
      <c r="K73" s="47"/>
      <c r="L73">
        <v>1</v>
      </c>
      <c r="M73" s="127">
        <v>42826.000011574077</v>
      </c>
      <c r="Q73" s="39"/>
      <c r="R73" s="99"/>
    </row>
    <row r="74" spans="1:18">
      <c r="A74">
        <v>73</v>
      </c>
      <c r="B74" s="111" t="s">
        <v>106</v>
      </c>
      <c r="C74" s="24">
        <f>VLOOKUP(B74,Elements!$A$2:$B$435,2,0)</f>
        <v>70</v>
      </c>
      <c r="D74">
        <v>1</v>
      </c>
      <c r="E74" t="str">
        <f>VLOOKUP(D74,Categories!$A$2:$B$8,2,0)</f>
        <v>ePRO</v>
      </c>
      <c r="F74">
        <v>6</v>
      </c>
      <c r="G74" t="str">
        <f>VLOOKUP(F74,Subcategories!$A$2:$B$29,2,0)</f>
        <v>Configurability</v>
      </c>
      <c r="H74" t="str">
        <f t="shared" si="1"/>
        <v>1-6-70</v>
      </c>
      <c r="I74">
        <f>VLOOKUP(H74,SuiteCatSubElem!$F$2:$G$667,2,0)</f>
        <v>73</v>
      </c>
      <c r="J74">
        <v>70</v>
      </c>
      <c r="L74">
        <v>1</v>
      </c>
      <c r="M74" s="127">
        <v>42826.000011574077</v>
      </c>
      <c r="Q74" s="39"/>
    </row>
    <row r="75" spans="1:18">
      <c r="A75">
        <v>74</v>
      </c>
      <c r="B75" s="111" t="s">
        <v>522</v>
      </c>
      <c r="C75" s="24">
        <f>VLOOKUP(B75,Elements!$A$2:$B$435,2,0)</f>
        <v>71</v>
      </c>
      <c r="D75">
        <v>1</v>
      </c>
      <c r="E75" t="str">
        <f>VLOOKUP(D75,Categories!$A$2:$B$8,2,0)</f>
        <v>ePRO</v>
      </c>
      <c r="F75">
        <v>7</v>
      </c>
      <c r="G75" t="str">
        <f>VLOOKUP(F75,Subcategories!$A$2:$B$29,2,0)</f>
        <v>Technology</v>
      </c>
      <c r="H75" t="str">
        <f t="shared" si="1"/>
        <v>1-7-71</v>
      </c>
      <c r="I75">
        <f>VLOOKUP(H75,SuiteCatSubElem!$F$2:$G$667,2,0)</f>
        <v>74</v>
      </c>
      <c r="J75">
        <v>71</v>
      </c>
      <c r="L75">
        <v>1</v>
      </c>
      <c r="M75" s="127">
        <v>42826.000011574077</v>
      </c>
      <c r="Q75" s="39"/>
    </row>
    <row r="76" spans="1:18">
      <c r="A76">
        <v>75</v>
      </c>
      <c r="B76" s="111" t="s">
        <v>47</v>
      </c>
      <c r="C76" s="24">
        <f>VLOOKUP(B76,Elements!$A$2:$B$435,2,0)</f>
        <v>10</v>
      </c>
      <c r="D76">
        <v>1</v>
      </c>
      <c r="E76" t="str">
        <f>VLOOKUP(D76,Categories!$A$2:$B$8,2,0)</f>
        <v>ePRO</v>
      </c>
      <c r="F76">
        <v>7</v>
      </c>
      <c r="G76" t="str">
        <f>VLOOKUP(F76,Subcategories!$A$2:$B$29,2,0)</f>
        <v>Technology</v>
      </c>
      <c r="H76" t="str">
        <f t="shared" si="1"/>
        <v>1-7-10</v>
      </c>
      <c r="I76">
        <f>VLOOKUP(H76,SuiteCatSubElem!$F$2:$G$667,2,0)</f>
        <v>75</v>
      </c>
      <c r="J76">
        <v>10</v>
      </c>
      <c r="L76">
        <v>1</v>
      </c>
      <c r="M76" s="127">
        <v>42826.000011574077</v>
      </c>
      <c r="Q76" s="135"/>
      <c r="R76" s="100"/>
    </row>
    <row r="77" spans="1:18">
      <c r="A77">
        <v>76</v>
      </c>
      <c r="B77" s="111" t="s">
        <v>108</v>
      </c>
      <c r="C77" s="24">
        <f>VLOOKUP(B77,Elements!$A$2:$B$435,2,0)</f>
        <v>72</v>
      </c>
      <c r="D77">
        <v>1</v>
      </c>
      <c r="E77" t="str">
        <f>VLOOKUP(D77,Categories!$A$2:$B$8,2,0)</f>
        <v>ePRO</v>
      </c>
      <c r="F77">
        <v>7</v>
      </c>
      <c r="G77" t="str">
        <f>VLOOKUP(F77,Subcategories!$A$2:$B$29,2,0)</f>
        <v>Technology</v>
      </c>
      <c r="H77" t="str">
        <f t="shared" si="1"/>
        <v>1-7-72</v>
      </c>
      <c r="I77">
        <f>VLOOKUP(H77,SuiteCatSubElem!$F$2:$G$667,2,0)</f>
        <v>76</v>
      </c>
      <c r="J77">
        <v>72</v>
      </c>
      <c r="L77">
        <v>1</v>
      </c>
      <c r="M77" s="127">
        <v>42826.000011574077</v>
      </c>
      <c r="Q77" s="39"/>
    </row>
    <row r="78" spans="1:18">
      <c r="A78">
        <v>77</v>
      </c>
      <c r="B78" s="111" t="s">
        <v>353</v>
      </c>
      <c r="C78" s="24">
        <f>VLOOKUP(B78,Elements!$A$2:$B$435,2,0)</f>
        <v>73</v>
      </c>
      <c r="D78">
        <v>1</v>
      </c>
      <c r="E78" t="str">
        <f>VLOOKUP(D78,Categories!$A$2:$B$8,2,0)</f>
        <v>ePRO</v>
      </c>
      <c r="F78">
        <v>7</v>
      </c>
      <c r="G78" t="str">
        <f>VLOOKUP(F78,Subcategories!$A$2:$B$29,2,0)</f>
        <v>Technology</v>
      </c>
      <c r="H78" t="str">
        <f t="shared" si="1"/>
        <v>1-7-73</v>
      </c>
      <c r="I78">
        <f>VLOOKUP(H78,SuiteCatSubElem!$F$2:$G$667,2,0)</f>
        <v>77</v>
      </c>
      <c r="J78">
        <v>73</v>
      </c>
      <c r="L78">
        <v>1</v>
      </c>
      <c r="M78" s="127">
        <v>42826.000011574077</v>
      </c>
      <c r="Q78" s="39"/>
    </row>
    <row r="79" spans="1:18">
      <c r="A79">
        <v>78</v>
      </c>
      <c r="B79" s="111" t="s">
        <v>109</v>
      </c>
      <c r="C79" s="24">
        <f>VLOOKUP(B79,Elements!$A$2:$B$435,2,0)</f>
        <v>74</v>
      </c>
      <c r="D79">
        <v>1</v>
      </c>
      <c r="E79" t="str">
        <f>VLOOKUP(D79,Categories!$A$2:$B$8,2,0)</f>
        <v>ePRO</v>
      </c>
      <c r="F79">
        <v>7</v>
      </c>
      <c r="G79" t="str">
        <f>VLOOKUP(F79,Subcategories!$A$2:$B$29,2,0)</f>
        <v>Technology</v>
      </c>
      <c r="H79" t="str">
        <f t="shared" si="1"/>
        <v>1-7-74</v>
      </c>
      <c r="I79">
        <f>VLOOKUP(H79,SuiteCatSubElem!$F$2:$G$667,2,0)</f>
        <v>78</v>
      </c>
      <c r="J79">
        <v>74</v>
      </c>
      <c r="L79">
        <v>1</v>
      </c>
      <c r="M79" s="127">
        <v>42826.000011574077</v>
      </c>
      <c r="Q79" s="39"/>
    </row>
    <row r="80" spans="1:18">
      <c r="A80">
        <v>79</v>
      </c>
      <c r="B80" s="111" t="s">
        <v>355</v>
      </c>
      <c r="C80" s="24">
        <f>VLOOKUP(B80,Elements!$A$2:$B$435,2,0)</f>
        <v>75</v>
      </c>
      <c r="D80">
        <v>1</v>
      </c>
      <c r="E80" t="str">
        <f>VLOOKUP(D80,Categories!$A$2:$B$8,2,0)</f>
        <v>ePRO</v>
      </c>
      <c r="F80">
        <v>7</v>
      </c>
      <c r="G80" t="str">
        <f>VLOOKUP(F80,Subcategories!$A$2:$B$29,2,0)</f>
        <v>Technology</v>
      </c>
      <c r="H80" t="str">
        <f t="shared" si="1"/>
        <v>1-7-75</v>
      </c>
      <c r="I80">
        <f>VLOOKUP(H80,SuiteCatSubElem!$F$2:$G$667,2,0)</f>
        <v>79</v>
      </c>
      <c r="J80">
        <v>75</v>
      </c>
      <c r="L80">
        <v>1</v>
      </c>
      <c r="M80" s="127">
        <v>42826.000011574077</v>
      </c>
      <c r="Q80" s="39"/>
    </row>
    <row r="81" spans="1:18">
      <c r="A81">
        <v>80</v>
      </c>
      <c r="B81" s="111" t="s">
        <v>110</v>
      </c>
      <c r="C81" s="24">
        <f>VLOOKUP(B81,Elements!$A$2:$B$435,2,0)</f>
        <v>76</v>
      </c>
      <c r="D81">
        <v>1</v>
      </c>
      <c r="E81" t="str">
        <f>VLOOKUP(D81,Categories!$A$2:$B$8,2,0)</f>
        <v>ePRO</v>
      </c>
      <c r="F81">
        <v>7</v>
      </c>
      <c r="G81" t="str">
        <f>VLOOKUP(F81,Subcategories!$A$2:$B$29,2,0)</f>
        <v>Technology</v>
      </c>
      <c r="H81" t="str">
        <f t="shared" si="1"/>
        <v>1-7-76</v>
      </c>
      <c r="I81">
        <f>VLOOKUP(H81,SuiteCatSubElem!$F$2:$G$667,2,0)</f>
        <v>80</v>
      </c>
      <c r="J81">
        <v>76</v>
      </c>
      <c r="L81">
        <v>1</v>
      </c>
      <c r="M81" s="127">
        <v>42826.000011574077</v>
      </c>
      <c r="Q81" s="39"/>
    </row>
    <row r="82" spans="1:18">
      <c r="A82">
        <v>81</v>
      </c>
      <c r="B82" s="111" t="s">
        <v>111</v>
      </c>
      <c r="C82" s="24">
        <f>VLOOKUP(B82,Elements!$A$2:$B$435,2,0)</f>
        <v>77</v>
      </c>
      <c r="D82">
        <v>1</v>
      </c>
      <c r="E82" t="str">
        <f>VLOOKUP(D82,Categories!$A$2:$B$8,2,0)</f>
        <v>ePRO</v>
      </c>
      <c r="F82">
        <v>7</v>
      </c>
      <c r="G82" t="str">
        <f>VLOOKUP(F82,Subcategories!$A$2:$B$29,2,0)</f>
        <v>Technology</v>
      </c>
      <c r="H82" t="str">
        <f t="shared" si="1"/>
        <v>1-7-77</v>
      </c>
      <c r="I82">
        <f>VLOOKUP(H82,SuiteCatSubElem!$F$2:$G$667,2,0)</f>
        <v>81</v>
      </c>
      <c r="J82">
        <v>77</v>
      </c>
      <c r="L82">
        <v>1</v>
      </c>
      <c r="M82" s="127">
        <v>42826.000011574077</v>
      </c>
      <c r="Q82" s="39"/>
    </row>
    <row r="83" spans="1:18">
      <c r="A83">
        <v>82</v>
      </c>
      <c r="B83" s="111" t="s">
        <v>112</v>
      </c>
      <c r="C83" s="24">
        <f>VLOOKUP(B83,Elements!$A$2:$B$435,2,0)</f>
        <v>78</v>
      </c>
      <c r="D83">
        <v>1</v>
      </c>
      <c r="E83" t="str">
        <f>VLOOKUP(D83,Categories!$A$2:$B$8,2,0)</f>
        <v>ePRO</v>
      </c>
      <c r="F83">
        <v>7</v>
      </c>
      <c r="G83" t="str">
        <f>VLOOKUP(F83,Subcategories!$A$2:$B$29,2,0)</f>
        <v>Technology</v>
      </c>
      <c r="H83" t="str">
        <f t="shared" si="1"/>
        <v>1-7-78</v>
      </c>
      <c r="I83">
        <f>VLOOKUP(H83,SuiteCatSubElem!$F$2:$G$667,2,0)</f>
        <v>82</v>
      </c>
      <c r="J83">
        <v>78</v>
      </c>
      <c r="L83">
        <v>1</v>
      </c>
      <c r="M83" s="127">
        <v>42826.000011574077</v>
      </c>
      <c r="Q83" s="39"/>
    </row>
    <row r="84" spans="1:18">
      <c r="A84">
        <v>83</v>
      </c>
      <c r="B84" s="111" t="s">
        <v>113</v>
      </c>
      <c r="C84" s="24">
        <f>VLOOKUP(B84,Elements!$A$2:$B$435,2,0)</f>
        <v>79</v>
      </c>
      <c r="D84">
        <v>1</v>
      </c>
      <c r="E84" t="str">
        <f>VLOOKUP(D84,Categories!$A$2:$B$8,2,0)</f>
        <v>ePRO</v>
      </c>
      <c r="F84">
        <v>7</v>
      </c>
      <c r="G84" t="str">
        <f>VLOOKUP(F84,Subcategories!$A$2:$B$29,2,0)</f>
        <v>Technology</v>
      </c>
      <c r="H84" t="str">
        <f t="shared" si="1"/>
        <v>1-7-79</v>
      </c>
      <c r="I84">
        <f>VLOOKUP(H84,SuiteCatSubElem!$F$2:$G$667,2,0)</f>
        <v>83</v>
      </c>
      <c r="J84">
        <v>79</v>
      </c>
      <c r="L84">
        <v>1</v>
      </c>
      <c r="M84" s="127">
        <v>42826.000011574077</v>
      </c>
      <c r="Q84" s="39"/>
    </row>
    <row r="85" spans="1:18">
      <c r="A85">
        <v>84</v>
      </c>
      <c r="B85" s="111" t="s">
        <v>114</v>
      </c>
      <c r="C85" s="24">
        <f>VLOOKUP(B85,Elements!$A$2:$B$435,2,0)</f>
        <v>80</v>
      </c>
      <c r="D85">
        <v>1</v>
      </c>
      <c r="E85" t="str">
        <f>VLOOKUP(D85,Categories!$A$2:$B$8,2,0)</f>
        <v>ePRO</v>
      </c>
      <c r="F85">
        <v>7</v>
      </c>
      <c r="G85" t="str">
        <f>VLOOKUP(F85,Subcategories!$A$2:$B$29,2,0)</f>
        <v>Technology</v>
      </c>
      <c r="H85" t="str">
        <f t="shared" si="1"/>
        <v>1-7-80</v>
      </c>
      <c r="I85">
        <f>VLOOKUP(H85,SuiteCatSubElem!$F$2:$G$667,2,0)</f>
        <v>84</v>
      </c>
      <c r="J85">
        <v>80</v>
      </c>
      <c r="L85">
        <v>1</v>
      </c>
      <c r="M85" s="127">
        <v>42826.000011574077</v>
      </c>
      <c r="Q85" s="39"/>
    </row>
    <row r="86" spans="1:18">
      <c r="A86">
        <v>85</v>
      </c>
      <c r="B86" s="111" t="s">
        <v>115</v>
      </c>
      <c r="C86" s="24">
        <f>VLOOKUP(B86,Elements!$A$2:$B$435,2,0)</f>
        <v>81</v>
      </c>
      <c r="D86">
        <v>1</v>
      </c>
      <c r="E86" t="str">
        <f>VLOOKUP(D86,Categories!$A$2:$B$8,2,0)</f>
        <v>ePRO</v>
      </c>
      <c r="F86">
        <v>7</v>
      </c>
      <c r="G86" t="str">
        <f>VLOOKUP(F86,Subcategories!$A$2:$B$29,2,0)</f>
        <v>Technology</v>
      </c>
      <c r="H86" t="str">
        <f t="shared" si="1"/>
        <v>1-7-81</v>
      </c>
      <c r="I86">
        <f>VLOOKUP(H86,SuiteCatSubElem!$F$2:$G$667,2,0)</f>
        <v>85</v>
      </c>
      <c r="J86">
        <v>81</v>
      </c>
      <c r="L86">
        <v>1</v>
      </c>
      <c r="M86" s="127">
        <v>42826.000011574077</v>
      </c>
      <c r="Q86" s="125"/>
    </row>
    <row r="87" spans="1:18">
      <c r="A87">
        <v>86</v>
      </c>
      <c r="B87" s="111" t="s">
        <v>116</v>
      </c>
      <c r="C87" s="24">
        <f>VLOOKUP(B87,Elements!$A$2:$B$435,2,0)</f>
        <v>82</v>
      </c>
      <c r="D87">
        <v>1</v>
      </c>
      <c r="E87" t="str">
        <f>VLOOKUP(D87,Categories!$A$2:$B$8,2,0)</f>
        <v>ePRO</v>
      </c>
      <c r="F87">
        <v>7</v>
      </c>
      <c r="G87" t="str">
        <f>VLOOKUP(F87,Subcategories!$A$2:$B$29,2,0)</f>
        <v>Technology</v>
      </c>
      <c r="H87" t="str">
        <f t="shared" si="1"/>
        <v>1-7-82</v>
      </c>
      <c r="I87">
        <f>VLOOKUP(H87,SuiteCatSubElem!$F$2:$G$667,2,0)</f>
        <v>86</v>
      </c>
      <c r="J87">
        <v>82</v>
      </c>
      <c r="L87">
        <v>1</v>
      </c>
      <c r="M87" s="127">
        <v>42826.000011574077</v>
      </c>
      <c r="Q87" s="39"/>
    </row>
    <row r="88" spans="1:18">
      <c r="A88">
        <v>87</v>
      </c>
      <c r="B88" s="111" t="s">
        <v>117</v>
      </c>
      <c r="C88" s="24">
        <f>VLOOKUP(B88,Elements!$A$2:$B$435,2,0)</f>
        <v>83</v>
      </c>
      <c r="D88">
        <v>1</v>
      </c>
      <c r="E88" t="str">
        <f>VLOOKUP(D88,Categories!$A$2:$B$8,2,0)</f>
        <v>ePRO</v>
      </c>
      <c r="F88">
        <v>8</v>
      </c>
      <c r="G88" t="str">
        <f>VLOOKUP(F88,Subcategories!$A$2:$B$29,2,0)</f>
        <v>General Services</v>
      </c>
      <c r="H88" t="str">
        <f t="shared" si="1"/>
        <v>1-8-83</v>
      </c>
      <c r="I88">
        <f>VLOOKUP(H88,SuiteCatSubElem!$F$2:$G$667,2,0)</f>
        <v>87</v>
      </c>
      <c r="J88">
        <v>83</v>
      </c>
      <c r="L88">
        <v>1</v>
      </c>
      <c r="M88" s="127">
        <v>42826.000011574077</v>
      </c>
      <c r="Q88" s="39"/>
    </row>
    <row r="89" spans="1:18" ht="30">
      <c r="A89">
        <v>88</v>
      </c>
      <c r="B89" s="111" t="s">
        <v>118</v>
      </c>
      <c r="C89" s="24">
        <f>VLOOKUP(B89,Elements!$A$2:$B$435,2,0)</f>
        <v>84</v>
      </c>
      <c r="D89">
        <v>1</v>
      </c>
      <c r="E89" t="str">
        <f>VLOOKUP(D89,Categories!$A$2:$B$8,2,0)</f>
        <v>ePRO</v>
      </c>
      <c r="F89">
        <v>8</v>
      </c>
      <c r="G89" t="str">
        <f>VLOOKUP(F89,Subcategories!$A$2:$B$29,2,0)</f>
        <v>General Services</v>
      </c>
      <c r="H89" t="str">
        <f t="shared" si="1"/>
        <v>1-8-84</v>
      </c>
      <c r="I89">
        <f>VLOOKUP(H89,SuiteCatSubElem!$F$2:$G$667,2,0)</f>
        <v>88</v>
      </c>
      <c r="J89">
        <v>84</v>
      </c>
      <c r="L89">
        <v>1</v>
      </c>
      <c r="M89" s="127">
        <v>42826.000011574077</v>
      </c>
      <c r="Q89" s="39"/>
    </row>
    <row r="90" spans="1:18" s="4" customFormat="1" ht="17" thickBot="1">
      <c r="A90">
        <v>89</v>
      </c>
      <c r="B90" s="113" t="s">
        <v>119</v>
      </c>
      <c r="C90" s="24">
        <f>VLOOKUP(B90,Elements!$A$2:$B$435,2,0)</f>
        <v>85</v>
      </c>
      <c r="D90" s="4">
        <v>1</v>
      </c>
      <c r="E90" t="str">
        <f>VLOOKUP(D90,Categories!$A$2:$B$8,2,0)</f>
        <v>ePRO</v>
      </c>
      <c r="F90">
        <v>8</v>
      </c>
      <c r="G90" t="str">
        <f>VLOOKUP(F90,Subcategories!$A$2:$B$29,2,0)</f>
        <v>General Services</v>
      </c>
      <c r="H90" t="str">
        <f t="shared" si="1"/>
        <v>1-8-85</v>
      </c>
      <c r="I90">
        <f>VLOOKUP(H90,SuiteCatSubElem!$F$2:$G$667,2,0)</f>
        <v>89</v>
      </c>
      <c r="J90">
        <v>85</v>
      </c>
      <c r="L90">
        <v>1</v>
      </c>
      <c r="M90" s="127">
        <v>42826.000011574077</v>
      </c>
      <c r="N90"/>
      <c r="O90"/>
      <c r="P90"/>
      <c r="Q90" s="39"/>
      <c r="R90" s="101"/>
    </row>
    <row r="91" spans="1:18">
      <c r="A91">
        <v>90</v>
      </c>
      <c r="B91" s="114" t="s">
        <v>93</v>
      </c>
      <c r="C91" s="24">
        <f>VLOOKUP(B91,Elements!$A$2:$B$435,2,0)</f>
        <v>55</v>
      </c>
      <c r="D91">
        <v>2</v>
      </c>
      <c r="E91" t="str">
        <f>VLOOKUP(D91,Categories!$A$2:$B$8,2,0)</f>
        <v>I2P</v>
      </c>
      <c r="F91">
        <v>5</v>
      </c>
      <c r="G91" t="str">
        <f>VLOOKUP(F91,Subcategories!$A$2:$B$29,2,0)</f>
        <v>Supplier Network</v>
      </c>
      <c r="H91" t="str">
        <f t="shared" si="1"/>
        <v>2-5-55</v>
      </c>
      <c r="I91">
        <f>VLOOKUP(H91,SuiteCatSubElem!$F$2:$G$667,2,0)</f>
        <v>90</v>
      </c>
      <c r="J91">
        <v>55</v>
      </c>
      <c r="L91">
        <v>1</v>
      </c>
      <c r="M91" s="127">
        <v>42826.000011574077</v>
      </c>
      <c r="Q91" s="39"/>
    </row>
    <row r="92" spans="1:18" ht="30">
      <c r="A92">
        <v>91</v>
      </c>
      <c r="B92" s="111" t="s">
        <v>94</v>
      </c>
      <c r="C92" s="24">
        <f>VLOOKUP(B92,Elements!$A$2:$B$435,2,0)</f>
        <v>56</v>
      </c>
      <c r="D92">
        <v>2</v>
      </c>
      <c r="E92" t="str">
        <f>VLOOKUP(D92,Categories!$A$2:$B$8,2,0)</f>
        <v>I2P</v>
      </c>
      <c r="F92">
        <v>5</v>
      </c>
      <c r="G92" t="str">
        <f>VLOOKUP(F92,Subcategories!$A$2:$B$29,2,0)</f>
        <v>Supplier Network</v>
      </c>
      <c r="H92" t="str">
        <f t="shared" si="1"/>
        <v>2-5-56</v>
      </c>
      <c r="I92">
        <f>VLOOKUP(H92,SuiteCatSubElem!$F$2:$G$667,2,0)</f>
        <v>91</v>
      </c>
      <c r="J92">
        <v>56</v>
      </c>
      <c r="L92">
        <v>1</v>
      </c>
      <c r="M92" s="127">
        <v>42826.000011574077</v>
      </c>
      <c r="Q92" s="39"/>
    </row>
    <row r="93" spans="1:18" ht="30">
      <c r="A93">
        <v>92</v>
      </c>
      <c r="B93" s="111" t="s">
        <v>95</v>
      </c>
      <c r="C93" s="24">
        <f>VLOOKUP(B93,Elements!$A$2:$B$435,2,0)</f>
        <v>57</v>
      </c>
      <c r="D93">
        <v>2</v>
      </c>
      <c r="E93" t="str">
        <f>VLOOKUP(D93,Categories!$A$2:$B$8,2,0)</f>
        <v>I2P</v>
      </c>
      <c r="F93">
        <v>5</v>
      </c>
      <c r="G93" t="str">
        <f>VLOOKUP(F93,Subcategories!$A$2:$B$29,2,0)</f>
        <v>Supplier Network</v>
      </c>
      <c r="H93" t="str">
        <f t="shared" si="1"/>
        <v>2-5-57</v>
      </c>
      <c r="I93">
        <f>VLOOKUP(H93,SuiteCatSubElem!$F$2:$G$667,2,0)</f>
        <v>92</v>
      </c>
      <c r="J93">
        <v>57</v>
      </c>
      <c r="L93">
        <v>1</v>
      </c>
      <c r="M93" s="127">
        <v>42826.000011574077</v>
      </c>
      <c r="Q93" s="39"/>
    </row>
    <row r="94" spans="1:18">
      <c r="A94">
        <v>94</v>
      </c>
      <c r="B94" s="111" t="s">
        <v>97</v>
      </c>
      <c r="C94" s="24">
        <f>VLOOKUP(B94,Elements!$A$2:$B$435,2,0)</f>
        <v>59</v>
      </c>
      <c r="D94">
        <v>2</v>
      </c>
      <c r="E94" t="str">
        <f>VLOOKUP(D94,Categories!$A$2:$B$8,2,0)</f>
        <v>I2P</v>
      </c>
      <c r="F94">
        <v>5</v>
      </c>
      <c r="G94" t="str">
        <f>VLOOKUP(F94,Subcategories!$A$2:$B$29,2,0)</f>
        <v>Supplier Network</v>
      </c>
      <c r="H94" t="str">
        <f t="shared" si="1"/>
        <v>2-5-59</v>
      </c>
      <c r="I94">
        <f>VLOOKUP(H94,SuiteCatSubElem!$F$2:$G$667,2,0)</f>
        <v>93</v>
      </c>
      <c r="J94">
        <v>59</v>
      </c>
      <c r="L94">
        <v>1</v>
      </c>
      <c r="M94" s="127">
        <v>42826.000011574077</v>
      </c>
      <c r="Q94" s="39"/>
    </row>
    <row r="95" spans="1:18">
      <c r="A95">
        <v>95</v>
      </c>
      <c r="B95" s="111" t="s">
        <v>13</v>
      </c>
      <c r="C95" s="24">
        <f>VLOOKUP(B95,Elements!$A$2:$B$435,2,0)</f>
        <v>60</v>
      </c>
      <c r="D95">
        <v>2</v>
      </c>
      <c r="E95" t="str">
        <f>VLOOKUP(D95,Categories!$A$2:$B$8,2,0)</f>
        <v>I2P</v>
      </c>
      <c r="F95">
        <v>5</v>
      </c>
      <c r="G95" t="str">
        <f>VLOOKUP(F95,Subcategories!$A$2:$B$29,2,0)</f>
        <v>Supplier Network</v>
      </c>
      <c r="H95" t="str">
        <f t="shared" si="1"/>
        <v>2-5-60</v>
      </c>
      <c r="I95">
        <f>VLOOKUP(H95,SuiteCatSubElem!$F$2:$G$667,2,0)</f>
        <v>94</v>
      </c>
      <c r="J95">
        <v>60</v>
      </c>
      <c r="L95">
        <v>1</v>
      </c>
      <c r="M95" s="127">
        <v>42826.000011574077</v>
      </c>
      <c r="Q95" s="39"/>
    </row>
    <row r="96" spans="1:18" ht="30">
      <c r="A96">
        <v>96</v>
      </c>
      <c r="B96" s="111" t="s">
        <v>98</v>
      </c>
      <c r="C96" s="24">
        <f>VLOOKUP(B96,Elements!$A$2:$B$435,2,0)</f>
        <v>61</v>
      </c>
      <c r="D96" s="47">
        <v>2</v>
      </c>
      <c r="E96" t="str">
        <f>VLOOKUP(D96,Categories!$A$2:$B$8,2,0)</f>
        <v>I2P</v>
      </c>
      <c r="F96">
        <v>5</v>
      </c>
      <c r="G96" t="str">
        <f>VLOOKUP(F96,Subcategories!$A$2:$B$29,2,0)</f>
        <v>Supplier Network</v>
      </c>
      <c r="H96" t="str">
        <f t="shared" si="1"/>
        <v>2-5-61</v>
      </c>
      <c r="I96">
        <f>VLOOKUP(H96,SuiteCatSubElem!$F$2:$G$667,2,0)</f>
        <v>95</v>
      </c>
      <c r="J96">
        <v>61</v>
      </c>
      <c r="K96" s="47"/>
      <c r="L96">
        <v>1</v>
      </c>
      <c r="M96" s="127">
        <v>42826.000011574077</v>
      </c>
      <c r="Q96" s="39"/>
      <c r="R96" s="99"/>
    </row>
    <row r="97" spans="1:18" ht="30">
      <c r="A97">
        <v>97</v>
      </c>
      <c r="B97" s="111" t="s">
        <v>99</v>
      </c>
      <c r="C97" s="24">
        <f>VLOOKUP(B97,Elements!$A$2:$B$435,2,0)</f>
        <v>62</v>
      </c>
      <c r="D97">
        <v>2</v>
      </c>
      <c r="E97" t="str">
        <f>VLOOKUP(D97,Categories!$A$2:$B$8,2,0)</f>
        <v>I2P</v>
      </c>
      <c r="F97">
        <v>5</v>
      </c>
      <c r="G97" t="str">
        <f>VLOOKUP(F97,Subcategories!$A$2:$B$29,2,0)</f>
        <v>Supplier Network</v>
      </c>
      <c r="H97" t="str">
        <f t="shared" si="1"/>
        <v>2-5-62</v>
      </c>
      <c r="I97">
        <f>VLOOKUP(H97,SuiteCatSubElem!$F$2:$G$667,2,0)</f>
        <v>96</v>
      </c>
      <c r="J97">
        <v>62</v>
      </c>
      <c r="L97">
        <v>1</v>
      </c>
      <c r="M97" s="127">
        <v>42826.000011574077</v>
      </c>
      <c r="Q97" s="39"/>
    </row>
    <row r="98" spans="1:18">
      <c r="A98">
        <v>98</v>
      </c>
      <c r="B98" s="124" t="s">
        <v>100</v>
      </c>
      <c r="C98" s="24">
        <f>VLOOKUP(B98,Elements!$A$2:$B$435,2,0)</f>
        <v>63</v>
      </c>
      <c r="D98">
        <v>2</v>
      </c>
      <c r="E98" t="str">
        <f>VLOOKUP(D98,Categories!$A$2:$B$8,2,0)</f>
        <v>I2P</v>
      </c>
      <c r="F98">
        <v>5</v>
      </c>
      <c r="G98" t="str">
        <f>VLOOKUP(F98,Subcategories!$A$2:$B$29,2,0)</f>
        <v>Supplier Network</v>
      </c>
      <c r="H98" t="str">
        <f t="shared" si="1"/>
        <v>2-5-63</v>
      </c>
      <c r="I98">
        <f>VLOOKUP(H98,SuiteCatSubElem!$F$2:$G$667,2,0)</f>
        <v>97</v>
      </c>
      <c r="J98">
        <v>63</v>
      </c>
      <c r="L98">
        <v>1</v>
      </c>
      <c r="M98" s="127">
        <v>42826.000011574077</v>
      </c>
      <c r="Q98" s="39"/>
    </row>
    <row r="99" spans="1:18">
      <c r="A99">
        <v>99</v>
      </c>
      <c r="B99" s="111" t="s">
        <v>101</v>
      </c>
      <c r="C99" s="24">
        <f>VLOOKUP(B99,Elements!$A$2:$B$435,2,0)</f>
        <v>64</v>
      </c>
      <c r="D99">
        <v>2</v>
      </c>
      <c r="E99" t="str">
        <f>VLOOKUP(D99,Categories!$A$2:$B$8,2,0)</f>
        <v>I2P</v>
      </c>
      <c r="F99">
        <v>6</v>
      </c>
      <c r="G99" t="str">
        <f>VLOOKUP(F99,Subcategories!$A$2:$B$29,2,0)</f>
        <v>Configurability</v>
      </c>
      <c r="H99" t="str">
        <f t="shared" si="1"/>
        <v>2-6-64</v>
      </c>
      <c r="I99">
        <f>VLOOKUP(H99,SuiteCatSubElem!$F$2:$G$667,2,0)</f>
        <v>98</v>
      </c>
      <c r="J99">
        <v>64</v>
      </c>
      <c r="L99">
        <v>1</v>
      </c>
      <c r="M99" s="127">
        <v>42826.000011574077</v>
      </c>
      <c r="Q99" s="39"/>
    </row>
    <row r="100" spans="1:18">
      <c r="A100">
        <v>100</v>
      </c>
      <c r="B100" s="111" t="s">
        <v>362</v>
      </c>
      <c r="C100" s="24">
        <f>VLOOKUP(B100,Elements!$A$2:$B$435,2,0)</f>
        <v>65</v>
      </c>
      <c r="D100">
        <v>2</v>
      </c>
      <c r="E100" t="str">
        <f>VLOOKUP(D100,Categories!$A$2:$B$8,2,0)</f>
        <v>I2P</v>
      </c>
      <c r="F100">
        <v>6</v>
      </c>
      <c r="G100" t="str">
        <f>VLOOKUP(F100,Subcategories!$A$2:$B$29,2,0)</f>
        <v>Configurability</v>
      </c>
      <c r="H100" t="str">
        <f t="shared" si="1"/>
        <v>2-6-65</v>
      </c>
      <c r="I100">
        <f>VLOOKUP(H100,SuiteCatSubElem!$F$2:$G$667,2,0)</f>
        <v>99</v>
      </c>
      <c r="J100">
        <v>65</v>
      </c>
      <c r="L100">
        <v>1</v>
      </c>
      <c r="M100" s="127">
        <v>42826.000011574077</v>
      </c>
      <c r="Q100" s="39"/>
    </row>
    <row r="101" spans="1:18">
      <c r="A101">
        <v>101</v>
      </c>
      <c r="B101" s="111" t="s">
        <v>286</v>
      </c>
      <c r="C101" s="24">
        <f>VLOOKUP(B101,Elements!$A$2:$B$435,2,0)</f>
        <v>66</v>
      </c>
      <c r="D101">
        <v>2</v>
      </c>
      <c r="E101" t="str">
        <f>VLOOKUP(D101,Categories!$A$2:$B$8,2,0)</f>
        <v>I2P</v>
      </c>
      <c r="F101">
        <v>6</v>
      </c>
      <c r="G101" t="str">
        <f>VLOOKUP(F101,Subcategories!$A$2:$B$29,2,0)</f>
        <v>Configurability</v>
      </c>
      <c r="H101" t="str">
        <f t="shared" si="1"/>
        <v>2-6-66</v>
      </c>
      <c r="I101">
        <f>VLOOKUP(H101,SuiteCatSubElem!$F$2:$G$667,2,0)</f>
        <v>100</v>
      </c>
      <c r="J101">
        <v>66</v>
      </c>
      <c r="L101">
        <v>1</v>
      </c>
      <c r="M101" s="127">
        <v>42826.000011574077</v>
      </c>
      <c r="Q101" s="39"/>
    </row>
    <row r="102" spans="1:18">
      <c r="A102">
        <v>102</v>
      </c>
      <c r="B102" s="97" t="s">
        <v>288</v>
      </c>
      <c r="C102" s="24">
        <f>VLOOKUP(B102,Elements!$A$2:$B$435,2,0)</f>
        <v>67</v>
      </c>
      <c r="D102">
        <v>2</v>
      </c>
      <c r="E102" t="str">
        <f>VLOOKUP(D102,Categories!$A$2:$B$8,2,0)</f>
        <v>I2P</v>
      </c>
      <c r="F102">
        <v>6</v>
      </c>
      <c r="G102" t="str">
        <f>VLOOKUP(F102,Subcategories!$A$2:$B$29,2,0)</f>
        <v>Configurability</v>
      </c>
      <c r="H102" t="str">
        <f t="shared" si="1"/>
        <v>2-6-67</v>
      </c>
      <c r="I102">
        <f>VLOOKUP(H102,SuiteCatSubElem!$F$2:$G$667,2,0)</f>
        <v>101</v>
      </c>
      <c r="J102">
        <v>67</v>
      </c>
      <c r="L102">
        <v>1</v>
      </c>
      <c r="M102" s="127">
        <v>42826.000011574077</v>
      </c>
      <c r="Q102" s="39"/>
    </row>
    <row r="103" spans="1:18">
      <c r="A103">
        <v>103</v>
      </c>
      <c r="B103" s="111" t="s">
        <v>104</v>
      </c>
      <c r="C103" s="24">
        <f>VLOOKUP(B103,Elements!$A$2:$B$435,2,0)</f>
        <v>68</v>
      </c>
      <c r="D103">
        <v>2</v>
      </c>
      <c r="E103" t="str">
        <f>VLOOKUP(D103,Categories!$A$2:$B$8,2,0)</f>
        <v>I2P</v>
      </c>
      <c r="F103">
        <v>6</v>
      </c>
      <c r="G103" t="str">
        <f>VLOOKUP(F103,Subcategories!$A$2:$B$29,2,0)</f>
        <v>Configurability</v>
      </c>
      <c r="H103" t="str">
        <f t="shared" si="1"/>
        <v>2-6-68</v>
      </c>
      <c r="I103">
        <f>VLOOKUP(H103,SuiteCatSubElem!$F$2:$G$667,2,0)</f>
        <v>102</v>
      </c>
      <c r="J103">
        <v>68</v>
      </c>
      <c r="L103">
        <v>1</v>
      </c>
      <c r="M103" s="127">
        <v>42826.000011574077</v>
      </c>
      <c r="Q103" s="39"/>
    </row>
    <row r="104" spans="1:18">
      <c r="A104">
        <v>104</v>
      </c>
      <c r="B104" s="111" t="s">
        <v>105</v>
      </c>
      <c r="C104" s="24">
        <f>VLOOKUP(B104,Elements!$A$2:$B$435,2,0)</f>
        <v>69</v>
      </c>
      <c r="D104">
        <v>2</v>
      </c>
      <c r="E104" t="str">
        <f>VLOOKUP(D104,Categories!$A$2:$B$8,2,0)</f>
        <v>I2P</v>
      </c>
      <c r="F104">
        <v>6</v>
      </c>
      <c r="G104" t="str">
        <f>VLOOKUP(F104,Subcategories!$A$2:$B$29,2,0)</f>
        <v>Configurability</v>
      </c>
      <c r="H104" t="str">
        <f t="shared" si="1"/>
        <v>2-6-69</v>
      </c>
      <c r="I104">
        <f>VLOOKUP(H104,SuiteCatSubElem!$F$2:$G$667,2,0)</f>
        <v>103</v>
      </c>
      <c r="J104">
        <v>69</v>
      </c>
      <c r="L104">
        <v>1</v>
      </c>
      <c r="M104" s="127">
        <v>42826.000011574077</v>
      </c>
      <c r="Q104" s="39"/>
    </row>
    <row r="105" spans="1:18">
      <c r="A105">
        <v>105</v>
      </c>
      <c r="B105" s="111" t="s">
        <v>106</v>
      </c>
      <c r="C105" s="24">
        <f>VLOOKUP(B105,Elements!$A$2:$B$435,2,0)</f>
        <v>70</v>
      </c>
      <c r="D105">
        <v>2</v>
      </c>
      <c r="E105" t="str">
        <f>VLOOKUP(D105,Categories!$A$2:$B$8,2,0)</f>
        <v>I2P</v>
      </c>
      <c r="F105">
        <v>6</v>
      </c>
      <c r="G105" t="str">
        <f>VLOOKUP(F105,Subcategories!$A$2:$B$29,2,0)</f>
        <v>Configurability</v>
      </c>
      <c r="H105" t="str">
        <f t="shared" si="1"/>
        <v>2-6-70</v>
      </c>
      <c r="I105">
        <f>VLOOKUP(H105,SuiteCatSubElem!$F$2:$G$667,2,0)</f>
        <v>104</v>
      </c>
      <c r="J105">
        <v>70</v>
      </c>
      <c r="L105">
        <v>1</v>
      </c>
      <c r="M105" s="127">
        <v>42826.000011574077</v>
      </c>
      <c r="Q105" s="39"/>
    </row>
    <row r="106" spans="1:18">
      <c r="A106">
        <v>106</v>
      </c>
      <c r="B106" s="111" t="s">
        <v>522</v>
      </c>
      <c r="C106" s="24">
        <f>VLOOKUP(B106,Elements!$A$2:$B$435,2,0)</f>
        <v>71</v>
      </c>
      <c r="D106">
        <v>2</v>
      </c>
      <c r="E106" t="str">
        <f>VLOOKUP(D106,Categories!$A$2:$B$8,2,0)</f>
        <v>I2P</v>
      </c>
      <c r="F106">
        <v>7</v>
      </c>
      <c r="G106" t="str">
        <f>VLOOKUP(F106,Subcategories!$A$2:$B$29,2,0)</f>
        <v>Technology</v>
      </c>
      <c r="H106" t="str">
        <f t="shared" si="1"/>
        <v>2-7-71</v>
      </c>
      <c r="I106">
        <f>VLOOKUP(H106,SuiteCatSubElem!$F$2:$G$667,2,0)</f>
        <v>105</v>
      </c>
      <c r="J106">
        <v>71</v>
      </c>
      <c r="L106">
        <v>1</v>
      </c>
      <c r="M106" s="127">
        <v>42826.000011574077</v>
      </c>
      <c r="Q106" s="39"/>
    </row>
    <row r="107" spans="1:18">
      <c r="A107">
        <v>107</v>
      </c>
      <c r="B107" s="111" t="s">
        <v>47</v>
      </c>
      <c r="C107" s="24">
        <f>VLOOKUP(B107,Elements!$A$2:$B$435,2,0)</f>
        <v>10</v>
      </c>
      <c r="D107">
        <v>2</v>
      </c>
      <c r="E107" t="str">
        <f>VLOOKUP(D107,Categories!$A$2:$B$8,2,0)</f>
        <v>I2P</v>
      </c>
      <c r="F107">
        <v>7</v>
      </c>
      <c r="G107" t="str">
        <f>VLOOKUP(F107,Subcategories!$A$2:$B$29,2,0)</f>
        <v>Technology</v>
      </c>
      <c r="H107" t="str">
        <f t="shared" si="1"/>
        <v>2-7-10</v>
      </c>
      <c r="I107">
        <f>VLOOKUP(H107,SuiteCatSubElem!$F$2:$G$667,2,0)</f>
        <v>106</v>
      </c>
      <c r="J107">
        <v>10</v>
      </c>
      <c r="L107">
        <v>1</v>
      </c>
      <c r="M107" s="127">
        <v>42826.000011574077</v>
      </c>
      <c r="Q107" s="135"/>
      <c r="R107" s="100"/>
    </row>
    <row r="108" spans="1:18">
      <c r="A108">
        <v>108</v>
      </c>
      <c r="B108" s="111" t="s">
        <v>108</v>
      </c>
      <c r="C108" s="24">
        <f>VLOOKUP(B108,Elements!$A$2:$B$435,2,0)</f>
        <v>72</v>
      </c>
      <c r="D108">
        <v>2</v>
      </c>
      <c r="E108" t="str">
        <f>VLOOKUP(D108,Categories!$A$2:$B$8,2,0)</f>
        <v>I2P</v>
      </c>
      <c r="F108">
        <v>7</v>
      </c>
      <c r="G108" t="str">
        <f>VLOOKUP(F108,Subcategories!$A$2:$B$29,2,0)</f>
        <v>Technology</v>
      </c>
      <c r="H108" t="str">
        <f t="shared" si="1"/>
        <v>2-7-72</v>
      </c>
      <c r="I108">
        <f>VLOOKUP(H108,SuiteCatSubElem!$F$2:$G$667,2,0)</f>
        <v>107</v>
      </c>
      <c r="J108">
        <v>72</v>
      </c>
      <c r="L108">
        <v>1</v>
      </c>
      <c r="M108" s="127">
        <v>42826.000011574077</v>
      </c>
      <c r="Q108" s="39"/>
    </row>
    <row r="109" spans="1:18">
      <c r="A109">
        <v>109</v>
      </c>
      <c r="B109" s="111" t="s">
        <v>353</v>
      </c>
      <c r="C109" s="24">
        <f>VLOOKUP(B109,Elements!$A$2:$B$435,2,0)</f>
        <v>73</v>
      </c>
      <c r="D109">
        <v>2</v>
      </c>
      <c r="E109" t="str">
        <f>VLOOKUP(D109,Categories!$A$2:$B$8,2,0)</f>
        <v>I2P</v>
      </c>
      <c r="F109">
        <v>7</v>
      </c>
      <c r="G109" t="str">
        <f>VLOOKUP(F109,Subcategories!$A$2:$B$29,2,0)</f>
        <v>Technology</v>
      </c>
      <c r="H109" t="str">
        <f t="shared" si="1"/>
        <v>2-7-73</v>
      </c>
      <c r="I109">
        <f>VLOOKUP(H109,SuiteCatSubElem!$F$2:$G$667,2,0)</f>
        <v>108</v>
      </c>
      <c r="J109">
        <v>73</v>
      </c>
      <c r="L109">
        <v>1</v>
      </c>
      <c r="M109" s="127">
        <v>42826.000011574077</v>
      </c>
      <c r="Q109" s="39"/>
    </row>
    <row r="110" spans="1:18">
      <c r="A110">
        <v>110</v>
      </c>
      <c r="B110" s="111" t="s">
        <v>109</v>
      </c>
      <c r="C110" s="24">
        <f>VLOOKUP(B110,Elements!$A$2:$B$435,2,0)</f>
        <v>74</v>
      </c>
      <c r="D110">
        <v>2</v>
      </c>
      <c r="E110" t="str">
        <f>VLOOKUP(D110,Categories!$A$2:$B$8,2,0)</f>
        <v>I2P</v>
      </c>
      <c r="F110">
        <v>7</v>
      </c>
      <c r="G110" t="str">
        <f>VLOOKUP(F110,Subcategories!$A$2:$B$29,2,0)</f>
        <v>Technology</v>
      </c>
      <c r="H110" t="str">
        <f t="shared" si="1"/>
        <v>2-7-74</v>
      </c>
      <c r="I110">
        <f>VLOOKUP(H110,SuiteCatSubElem!$F$2:$G$667,2,0)</f>
        <v>109</v>
      </c>
      <c r="J110">
        <v>74</v>
      </c>
      <c r="L110">
        <v>1</v>
      </c>
      <c r="M110" s="127">
        <v>42826.000011574077</v>
      </c>
      <c r="Q110" s="39"/>
    </row>
    <row r="111" spans="1:18">
      <c r="A111">
        <v>111</v>
      </c>
      <c r="B111" s="111" t="s">
        <v>355</v>
      </c>
      <c r="C111" s="24">
        <f>VLOOKUP(B111,Elements!$A$2:$B$435,2,0)</f>
        <v>75</v>
      </c>
      <c r="D111">
        <v>2</v>
      </c>
      <c r="E111" t="str">
        <f>VLOOKUP(D111,Categories!$A$2:$B$8,2,0)</f>
        <v>I2P</v>
      </c>
      <c r="F111">
        <v>7</v>
      </c>
      <c r="G111" t="str">
        <f>VLOOKUP(F111,Subcategories!$A$2:$B$29,2,0)</f>
        <v>Technology</v>
      </c>
      <c r="H111" t="str">
        <f t="shared" si="1"/>
        <v>2-7-75</v>
      </c>
      <c r="I111">
        <f>VLOOKUP(H111,SuiteCatSubElem!$F$2:$G$667,2,0)</f>
        <v>110</v>
      </c>
      <c r="J111">
        <v>75</v>
      </c>
      <c r="L111">
        <v>1</v>
      </c>
      <c r="M111" s="127">
        <v>42826.000011574077</v>
      </c>
      <c r="Q111" s="39"/>
    </row>
    <row r="112" spans="1:18">
      <c r="A112">
        <v>112</v>
      </c>
      <c r="B112" s="111" t="s">
        <v>110</v>
      </c>
      <c r="C112" s="24">
        <f>VLOOKUP(B112,Elements!$A$2:$B$435,2,0)</f>
        <v>76</v>
      </c>
      <c r="D112">
        <v>2</v>
      </c>
      <c r="E112" t="str">
        <f>VLOOKUP(D112,Categories!$A$2:$B$8,2,0)</f>
        <v>I2P</v>
      </c>
      <c r="F112">
        <v>7</v>
      </c>
      <c r="G112" t="str">
        <f>VLOOKUP(F112,Subcategories!$A$2:$B$29,2,0)</f>
        <v>Technology</v>
      </c>
      <c r="H112" t="str">
        <f t="shared" si="1"/>
        <v>2-7-76</v>
      </c>
      <c r="I112">
        <f>VLOOKUP(H112,SuiteCatSubElem!$F$2:$G$667,2,0)</f>
        <v>111</v>
      </c>
      <c r="J112">
        <v>76</v>
      </c>
      <c r="L112">
        <v>1</v>
      </c>
      <c r="M112" s="127">
        <v>42826.000011574077</v>
      </c>
      <c r="Q112" s="39"/>
    </row>
    <row r="113" spans="1:18">
      <c r="A113">
        <v>113</v>
      </c>
      <c r="B113" s="111" t="s">
        <v>111</v>
      </c>
      <c r="C113" s="24">
        <f>VLOOKUP(B113,Elements!$A$2:$B$435,2,0)</f>
        <v>77</v>
      </c>
      <c r="D113">
        <v>2</v>
      </c>
      <c r="E113" t="str">
        <f>VLOOKUP(D113,Categories!$A$2:$B$8,2,0)</f>
        <v>I2P</v>
      </c>
      <c r="F113">
        <v>7</v>
      </c>
      <c r="G113" t="str">
        <f>VLOOKUP(F113,Subcategories!$A$2:$B$29,2,0)</f>
        <v>Technology</v>
      </c>
      <c r="H113" t="str">
        <f t="shared" si="1"/>
        <v>2-7-77</v>
      </c>
      <c r="I113">
        <f>VLOOKUP(H113,SuiteCatSubElem!$F$2:$G$667,2,0)</f>
        <v>112</v>
      </c>
      <c r="J113">
        <v>77</v>
      </c>
      <c r="L113">
        <v>1</v>
      </c>
      <c r="M113" s="127">
        <v>42826.000011574077</v>
      </c>
      <c r="Q113" s="39"/>
    </row>
    <row r="114" spans="1:18">
      <c r="A114">
        <v>114</v>
      </c>
      <c r="B114" s="111" t="s">
        <v>112</v>
      </c>
      <c r="C114" s="24">
        <f>VLOOKUP(B114,Elements!$A$2:$B$435,2,0)</f>
        <v>78</v>
      </c>
      <c r="D114">
        <v>2</v>
      </c>
      <c r="E114" t="str">
        <f>VLOOKUP(D114,Categories!$A$2:$B$8,2,0)</f>
        <v>I2P</v>
      </c>
      <c r="F114">
        <v>7</v>
      </c>
      <c r="G114" t="str">
        <f>VLOOKUP(F114,Subcategories!$A$2:$B$29,2,0)</f>
        <v>Technology</v>
      </c>
      <c r="H114" t="str">
        <f t="shared" si="1"/>
        <v>2-7-78</v>
      </c>
      <c r="I114">
        <f>VLOOKUP(H114,SuiteCatSubElem!$F$2:$G$667,2,0)</f>
        <v>113</v>
      </c>
      <c r="J114">
        <v>78</v>
      </c>
      <c r="L114">
        <v>1</v>
      </c>
      <c r="M114" s="127">
        <v>42826.000011574077</v>
      </c>
      <c r="Q114" s="39"/>
    </row>
    <row r="115" spans="1:18">
      <c r="A115">
        <v>115</v>
      </c>
      <c r="B115" s="111" t="s">
        <v>113</v>
      </c>
      <c r="C115" s="24">
        <f>VLOOKUP(B115,Elements!$A$2:$B$435,2,0)</f>
        <v>79</v>
      </c>
      <c r="D115">
        <v>2</v>
      </c>
      <c r="E115" t="str">
        <f>VLOOKUP(D115,Categories!$A$2:$B$8,2,0)</f>
        <v>I2P</v>
      </c>
      <c r="F115">
        <v>7</v>
      </c>
      <c r="G115" t="str">
        <f>VLOOKUP(F115,Subcategories!$A$2:$B$29,2,0)</f>
        <v>Technology</v>
      </c>
      <c r="H115" t="str">
        <f t="shared" si="1"/>
        <v>2-7-79</v>
      </c>
      <c r="I115">
        <f>VLOOKUP(H115,SuiteCatSubElem!$F$2:$G$667,2,0)</f>
        <v>114</v>
      </c>
      <c r="J115">
        <v>79</v>
      </c>
      <c r="L115">
        <v>1</v>
      </c>
      <c r="M115" s="127">
        <v>42826.000011574077</v>
      </c>
      <c r="Q115" s="39"/>
    </row>
    <row r="116" spans="1:18">
      <c r="A116">
        <v>116</v>
      </c>
      <c r="B116" s="111" t="s">
        <v>114</v>
      </c>
      <c r="C116" s="24">
        <f>VLOOKUP(B116,Elements!$A$2:$B$435,2,0)</f>
        <v>80</v>
      </c>
      <c r="D116">
        <v>2</v>
      </c>
      <c r="E116" t="str">
        <f>VLOOKUP(D116,Categories!$A$2:$B$8,2,0)</f>
        <v>I2P</v>
      </c>
      <c r="F116">
        <v>7</v>
      </c>
      <c r="G116" t="str">
        <f>VLOOKUP(F116,Subcategories!$A$2:$B$29,2,0)</f>
        <v>Technology</v>
      </c>
      <c r="H116" t="str">
        <f t="shared" si="1"/>
        <v>2-7-80</v>
      </c>
      <c r="I116">
        <f>VLOOKUP(H116,SuiteCatSubElem!$F$2:$G$667,2,0)</f>
        <v>115</v>
      </c>
      <c r="J116">
        <v>80</v>
      </c>
      <c r="L116">
        <v>1</v>
      </c>
      <c r="M116" s="127">
        <v>42826.000011574077</v>
      </c>
      <c r="Q116" s="39"/>
    </row>
    <row r="117" spans="1:18">
      <c r="A117">
        <v>117</v>
      </c>
      <c r="B117" s="111" t="s">
        <v>115</v>
      </c>
      <c r="C117" s="24">
        <f>VLOOKUP(B117,Elements!$A$2:$B$435,2,0)</f>
        <v>81</v>
      </c>
      <c r="D117">
        <v>2</v>
      </c>
      <c r="E117" t="str">
        <f>VLOOKUP(D117,Categories!$A$2:$B$8,2,0)</f>
        <v>I2P</v>
      </c>
      <c r="F117">
        <v>7</v>
      </c>
      <c r="G117" t="str">
        <f>VLOOKUP(F117,Subcategories!$A$2:$B$29,2,0)</f>
        <v>Technology</v>
      </c>
      <c r="H117" t="str">
        <f t="shared" si="1"/>
        <v>2-7-81</v>
      </c>
      <c r="I117">
        <f>VLOOKUP(H117,SuiteCatSubElem!$F$2:$G$667,2,0)</f>
        <v>116</v>
      </c>
      <c r="J117">
        <v>81</v>
      </c>
      <c r="L117">
        <v>1</v>
      </c>
      <c r="M117" s="127">
        <v>42826.000011574077</v>
      </c>
      <c r="Q117" s="125"/>
    </row>
    <row r="118" spans="1:18">
      <c r="A118">
        <v>118</v>
      </c>
      <c r="B118" s="111" t="s">
        <v>116</v>
      </c>
      <c r="C118" s="24">
        <f>VLOOKUP(B118,Elements!$A$2:$B$435,2,0)</f>
        <v>82</v>
      </c>
      <c r="D118">
        <v>2</v>
      </c>
      <c r="E118" t="str">
        <f>VLOOKUP(D118,Categories!$A$2:$B$8,2,0)</f>
        <v>I2P</v>
      </c>
      <c r="F118">
        <v>7</v>
      </c>
      <c r="G118" t="str">
        <f>VLOOKUP(F118,Subcategories!$A$2:$B$29,2,0)</f>
        <v>Technology</v>
      </c>
      <c r="H118" t="str">
        <f t="shared" si="1"/>
        <v>2-7-82</v>
      </c>
      <c r="I118">
        <f>VLOOKUP(H118,SuiteCatSubElem!$F$2:$G$667,2,0)</f>
        <v>117</v>
      </c>
      <c r="J118">
        <v>82</v>
      </c>
      <c r="L118">
        <v>1</v>
      </c>
      <c r="M118" s="127">
        <v>42826.000011574077</v>
      </c>
      <c r="Q118" s="39"/>
    </row>
    <row r="119" spans="1:18">
      <c r="A119">
        <v>119</v>
      </c>
      <c r="B119" s="111" t="s">
        <v>117</v>
      </c>
      <c r="C119" s="24">
        <f>VLOOKUP(B119,Elements!$A$2:$B$435,2,0)</f>
        <v>83</v>
      </c>
      <c r="D119" s="47">
        <v>2</v>
      </c>
      <c r="E119" t="str">
        <f>VLOOKUP(D119,Categories!$A$2:$B$8,2,0)</f>
        <v>I2P</v>
      </c>
      <c r="F119">
        <v>8</v>
      </c>
      <c r="G119" t="str">
        <f>VLOOKUP(F119,Subcategories!$A$2:$B$29,2,0)</f>
        <v>General Services</v>
      </c>
      <c r="H119" t="str">
        <f t="shared" si="1"/>
        <v>2-8-83</v>
      </c>
      <c r="I119">
        <f>VLOOKUP(H119,SuiteCatSubElem!$F$2:$G$667,2,0)</f>
        <v>118</v>
      </c>
      <c r="J119">
        <v>83</v>
      </c>
      <c r="K119" s="47"/>
      <c r="L119">
        <v>1</v>
      </c>
      <c r="M119" s="127">
        <v>42826.000011574077</v>
      </c>
      <c r="Q119" s="39"/>
      <c r="R119" s="99"/>
    </row>
    <row r="120" spans="1:18" ht="30">
      <c r="A120">
        <v>120</v>
      </c>
      <c r="B120" s="111" t="s">
        <v>118</v>
      </c>
      <c r="C120" s="24">
        <f>VLOOKUP(B120,Elements!$A$2:$B$435,2,0)</f>
        <v>84</v>
      </c>
      <c r="D120">
        <v>2</v>
      </c>
      <c r="E120" t="str">
        <f>VLOOKUP(D120,Categories!$A$2:$B$8,2,0)</f>
        <v>I2P</v>
      </c>
      <c r="F120">
        <v>8</v>
      </c>
      <c r="G120" t="str">
        <f>VLOOKUP(F120,Subcategories!$A$2:$B$29,2,0)</f>
        <v>General Services</v>
      </c>
      <c r="H120" t="str">
        <f t="shared" si="1"/>
        <v>2-8-84</v>
      </c>
      <c r="I120">
        <f>VLOOKUP(H120,SuiteCatSubElem!$F$2:$G$667,2,0)</f>
        <v>119</v>
      </c>
      <c r="J120">
        <v>84</v>
      </c>
      <c r="L120">
        <v>1</v>
      </c>
      <c r="M120" s="127">
        <v>42826.000011574077</v>
      </c>
      <c r="Q120" s="39"/>
    </row>
    <row r="121" spans="1:18">
      <c r="A121">
        <v>121</v>
      </c>
      <c r="B121" s="111" t="s">
        <v>119</v>
      </c>
      <c r="C121" s="24">
        <f>VLOOKUP(B121,Elements!$A$2:$B$435,2,0)</f>
        <v>85</v>
      </c>
      <c r="D121">
        <v>2</v>
      </c>
      <c r="E121" t="str">
        <f>VLOOKUP(D121,Categories!$A$2:$B$8,2,0)</f>
        <v>I2P</v>
      </c>
      <c r="F121">
        <v>8</v>
      </c>
      <c r="G121" t="str">
        <f>VLOOKUP(F121,Subcategories!$A$2:$B$29,2,0)</f>
        <v>General Services</v>
      </c>
      <c r="H121" t="str">
        <f t="shared" si="1"/>
        <v>2-8-85</v>
      </c>
      <c r="I121">
        <f>VLOOKUP(H121,SuiteCatSubElem!$F$2:$G$667,2,0)</f>
        <v>120</v>
      </c>
      <c r="J121">
        <v>85</v>
      </c>
      <c r="L121">
        <v>1</v>
      </c>
      <c r="M121" s="127">
        <v>42826.000011574077</v>
      </c>
      <c r="Q121" s="39"/>
    </row>
    <row r="122" spans="1:18">
      <c r="A122">
        <v>122</v>
      </c>
      <c r="B122" s="111" t="s">
        <v>527</v>
      </c>
      <c r="C122" s="24">
        <f>VLOOKUP(B122,Elements!$A$2:$B$435,2,0)</f>
        <v>86</v>
      </c>
      <c r="D122">
        <v>2</v>
      </c>
      <c r="E122" t="str">
        <f>VLOOKUP(D122,Categories!$A$2:$B$8,2,0)</f>
        <v>I2P</v>
      </c>
      <c r="F122">
        <v>9</v>
      </c>
      <c r="G122" t="str">
        <f>VLOOKUP(F122,Subcategories!$A$2:$B$29,2,0)</f>
        <v>Invoicing</v>
      </c>
      <c r="H122" t="str">
        <f t="shared" si="1"/>
        <v>2-9-86</v>
      </c>
      <c r="I122">
        <f>VLOOKUP(H122,SuiteCatSubElem!$F$2:$G$667,2,0)</f>
        <v>121</v>
      </c>
      <c r="J122">
        <v>86</v>
      </c>
      <c r="L122">
        <v>1</v>
      </c>
      <c r="M122" s="127">
        <v>42826.000011574077</v>
      </c>
      <c r="Q122" s="93"/>
    </row>
    <row r="123" spans="1:18" ht="30">
      <c r="A123">
        <v>123</v>
      </c>
      <c r="B123" s="111" t="s">
        <v>121</v>
      </c>
      <c r="C123" s="24">
        <f>VLOOKUP(B123,Elements!$A$2:$B$435,2,0)</f>
        <v>87</v>
      </c>
      <c r="D123">
        <v>2</v>
      </c>
      <c r="E123" t="str">
        <f>VLOOKUP(D123,Categories!$A$2:$B$8,2,0)</f>
        <v>I2P</v>
      </c>
      <c r="F123">
        <v>9</v>
      </c>
      <c r="G123" t="str">
        <f>VLOOKUP(F123,Subcategories!$A$2:$B$29,2,0)</f>
        <v>Invoicing</v>
      </c>
      <c r="H123" t="str">
        <f t="shared" si="1"/>
        <v>2-9-87</v>
      </c>
      <c r="I123">
        <f>VLOOKUP(H123,SuiteCatSubElem!$F$2:$G$667,2,0)</f>
        <v>122</v>
      </c>
      <c r="J123">
        <v>87</v>
      </c>
      <c r="L123">
        <v>1</v>
      </c>
      <c r="M123" s="127">
        <v>42826.000011574077</v>
      </c>
      <c r="Q123" s="93"/>
    </row>
    <row r="124" spans="1:18" ht="30">
      <c r="A124">
        <v>124</v>
      </c>
      <c r="B124" s="111" t="s">
        <v>122</v>
      </c>
      <c r="C124" s="24">
        <f>VLOOKUP(B124,Elements!$A$2:$B$435,2,0)</f>
        <v>88</v>
      </c>
      <c r="D124">
        <v>2</v>
      </c>
      <c r="E124" t="str">
        <f>VLOOKUP(D124,Categories!$A$2:$B$8,2,0)</f>
        <v>I2P</v>
      </c>
      <c r="F124">
        <v>9</v>
      </c>
      <c r="G124" t="str">
        <f>VLOOKUP(F124,Subcategories!$A$2:$B$29,2,0)</f>
        <v>Invoicing</v>
      </c>
      <c r="H124" t="str">
        <f t="shared" si="1"/>
        <v>2-9-88</v>
      </c>
      <c r="I124">
        <f>VLOOKUP(H124,SuiteCatSubElem!$F$2:$G$667,2,0)</f>
        <v>123</v>
      </c>
      <c r="J124">
        <v>88</v>
      </c>
      <c r="L124">
        <v>1</v>
      </c>
      <c r="M124" s="127">
        <v>42826.000011574077</v>
      </c>
      <c r="Q124" s="93"/>
    </row>
    <row r="125" spans="1:18">
      <c r="A125">
        <v>125</v>
      </c>
      <c r="B125" s="111" t="s">
        <v>123</v>
      </c>
      <c r="C125" s="24">
        <f>VLOOKUP(B125,Elements!$A$2:$B$435,2,0)</f>
        <v>89</v>
      </c>
      <c r="D125">
        <v>2</v>
      </c>
      <c r="E125" t="str">
        <f>VLOOKUP(D125,Categories!$A$2:$B$8,2,0)</f>
        <v>I2P</v>
      </c>
      <c r="F125">
        <v>9</v>
      </c>
      <c r="G125" t="str">
        <f>VLOOKUP(F125,Subcategories!$A$2:$B$29,2,0)</f>
        <v>Invoicing</v>
      </c>
      <c r="H125" t="str">
        <f t="shared" si="1"/>
        <v>2-9-89</v>
      </c>
      <c r="I125">
        <f>VLOOKUP(H125,SuiteCatSubElem!$F$2:$G$667,2,0)</f>
        <v>124</v>
      </c>
      <c r="J125">
        <v>89</v>
      </c>
      <c r="L125">
        <v>1</v>
      </c>
      <c r="M125" s="127">
        <v>42826.000011574077</v>
      </c>
      <c r="Q125" s="93"/>
    </row>
    <row r="126" spans="1:18">
      <c r="A126">
        <v>126</v>
      </c>
      <c r="B126" s="111" t="s">
        <v>124</v>
      </c>
      <c r="C126" s="24">
        <f>VLOOKUP(B126,Elements!$A$2:$B$435,2,0)</f>
        <v>90</v>
      </c>
      <c r="D126">
        <v>2</v>
      </c>
      <c r="E126" t="str">
        <f>VLOOKUP(D126,Categories!$A$2:$B$8,2,0)</f>
        <v>I2P</v>
      </c>
      <c r="F126">
        <v>9</v>
      </c>
      <c r="G126" t="str">
        <f>VLOOKUP(F126,Subcategories!$A$2:$B$29,2,0)</f>
        <v>Invoicing</v>
      </c>
      <c r="H126" t="str">
        <f t="shared" si="1"/>
        <v>2-9-90</v>
      </c>
      <c r="I126">
        <f>VLOOKUP(H126,SuiteCatSubElem!$F$2:$G$667,2,0)</f>
        <v>125</v>
      </c>
      <c r="J126">
        <v>90</v>
      </c>
      <c r="L126">
        <v>1</v>
      </c>
      <c r="M126" s="127">
        <v>42826.000011574077</v>
      </c>
      <c r="Q126" s="93"/>
    </row>
    <row r="127" spans="1:18">
      <c r="A127">
        <v>127</v>
      </c>
      <c r="B127" s="111" t="s">
        <v>526</v>
      </c>
      <c r="C127" s="24">
        <f>VLOOKUP(B127,Elements!$A$2:$B$435,2,0)</f>
        <v>91</v>
      </c>
      <c r="D127">
        <v>2</v>
      </c>
      <c r="E127" t="str">
        <f>VLOOKUP(D127,Categories!$A$2:$B$8,2,0)</f>
        <v>I2P</v>
      </c>
      <c r="F127">
        <v>9</v>
      </c>
      <c r="G127" t="str">
        <f>VLOOKUP(F127,Subcategories!$A$2:$B$29,2,0)</f>
        <v>Invoicing</v>
      </c>
      <c r="H127" t="str">
        <f t="shared" si="1"/>
        <v>2-9-91</v>
      </c>
      <c r="I127">
        <f>VLOOKUP(H127,SuiteCatSubElem!$F$2:$G$667,2,0)</f>
        <v>126</v>
      </c>
      <c r="J127">
        <v>91</v>
      </c>
      <c r="L127">
        <v>1</v>
      </c>
      <c r="M127" s="127">
        <v>42826.000011574077</v>
      </c>
      <c r="Q127" s="93"/>
    </row>
    <row r="128" spans="1:18">
      <c r="A128">
        <v>128</v>
      </c>
      <c r="B128" s="111" t="s">
        <v>126</v>
      </c>
      <c r="C128" s="24">
        <f>VLOOKUP(B128,Elements!$A$2:$B$435,2,0)</f>
        <v>92</v>
      </c>
      <c r="D128">
        <v>2</v>
      </c>
      <c r="E128" t="str">
        <f>VLOOKUP(D128,Categories!$A$2:$B$8,2,0)</f>
        <v>I2P</v>
      </c>
      <c r="F128">
        <v>9</v>
      </c>
      <c r="G128" t="str">
        <f>VLOOKUP(F128,Subcategories!$A$2:$B$29,2,0)</f>
        <v>Invoicing</v>
      </c>
      <c r="H128" t="str">
        <f t="shared" si="1"/>
        <v>2-9-92</v>
      </c>
      <c r="I128">
        <f>VLOOKUP(H128,SuiteCatSubElem!$F$2:$G$667,2,0)</f>
        <v>127</v>
      </c>
      <c r="J128">
        <v>92</v>
      </c>
      <c r="L128">
        <v>1</v>
      </c>
      <c r="M128" s="127">
        <v>42826.000011574077</v>
      </c>
      <c r="Q128" s="93"/>
    </row>
    <row r="129" spans="1:18">
      <c r="A129">
        <v>129</v>
      </c>
      <c r="B129" s="111" t="s">
        <v>127</v>
      </c>
      <c r="C129" s="24">
        <f>VLOOKUP(B129,Elements!$A$2:$B$435,2,0)</f>
        <v>93</v>
      </c>
      <c r="D129">
        <v>2</v>
      </c>
      <c r="E129" t="str">
        <f>VLOOKUP(D129,Categories!$A$2:$B$8,2,0)</f>
        <v>I2P</v>
      </c>
      <c r="F129">
        <v>9</v>
      </c>
      <c r="G129" t="str">
        <f>VLOOKUP(F129,Subcategories!$A$2:$B$29,2,0)</f>
        <v>Invoicing</v>
      </c>
      <c r="H129" t="str">
        <f t="shared" si="1"/>
        <v>2-9-93</v>
      </c>
      <c r="I129">
        <f>VLOOKUP(H129,SuiteCatSubElem!$F$2:$G$667,2,0)</f>
        <v>128</v>
      </c>
      <c r="J129">
        <v>93</v>
      </c>
      <c r="L129">
        <v>1</v>
      </c>
      <c r="M129" s="127">
        <v>42826.000011574077</v>
      </c>
      <c r="Q129" s="93"/>
    </row>
    <row r="130" spans="1:18">
      <c r="A130">
        <v>130</v>
      </c>
      <c r="B130" s="111" t="s">
        <v>128</v>
      </c>
      <c r="C130" s="24">
        <f>VLOOKUP(B130,Elements!$A$2:$B$435,2,0)</f>
        <v>94</v>
      </c>
      <c r="D130">
        <v>2</v>
      </c>
      <c r="E130" t="str">
        <f>VLOOKUP(D130,Categories!$A$2:$B$8,2,0)</f>
        <v>I2P</v>
      </c>
      <c r="F130">
        <v>9</v>
      </c>
      <c r="G130" t="str">
        <f>VLOOKUP(F130,Subcategories!$A$2:$B$29,2,0)</f>
        <v>Invoicing</v>
      </c>
      <c r="H130" t="str">
        <f t="shared" ref="H130:H193" si="2">_xlfn.CONCAT(D130,"-",F130,"-",C130)</f>
        <v>2-9-94</v>
      </c>
      <c r="I130">
        <f>VLOOKUP(H130,SuiteCatSubElem!$F$2:$G$667,2,0)</f>
        <v>129</v>
      </c>
      <c r="J130">
        <v>94</v>
      </c>
      <c r="L130">
        <v>1</v>
      </c>
      <c r="M130" s="127">
        <v>42826.000011574077</v>
      </c>
      <c r="Q130" s="93"/>
    </row>
    <row r="131" spans="1:18">
      <c r="A131">
        <v>131</v>
      </c>
      <c r="B131" s="111" t="s">
        <v>129</v>
      </c>
      <c r="C131" s="24">
        <f>VLOOKUP(B131,Elements!$A$2:$B$435,2,0)</f>
        <v>95</v>
      </c>
      <c r="D131">
        <v>2</v>
      </c>
      <c r="E131" t="str">
        <f>VLOOKUP(D131,Categories!$A$2:$B$8,2,0)</f>
        <v>I2P</v>
      </c>
      <c r="F131">
        <v>9</v>
      </c>
      <c r="G131" t="str">
        <f>VLOOKUP(F131,Subcategories!$A$2:$B$29,2,0)</f>
        <v>Invoicing</v>
      </c>
      <c r="H131" t="str">
        <f t="shared" si="2"/>
        <v>2-9-95</v>
      </c>
      <c r="I131">
        <f>VLOOKUP(H131,SuiteCatSubElem!$F$2:$G$667,2,0)</f>
        <v>130</v>
      </c>
      <c r="J131">
        <v>95</v>
      </c>
      <c r="L131">
        <v>1</v>
      </c>
      <c r="M131" s="127">
        <v>42826.000011574077</v>
      </c>
      <c r="Q131" s="93"/>
    </row>
    <row r="132" spans="1:18">
      <c r="A132">
        <v>132</v>
      </c>
      <c r="B132" s="111" t="s">
        <v>511</v>
      </c>
      <c r="C132" s="24">
        <f>VLOOKUP(B132,Elements!$A$2:$B$435,2,0)</f>
        <v>96</v>
      </c>
      <c r="D132">
        <v>2</v>
      </c>
      <c r="E132" t="str">
        <f>VLOOKUP(D132,Categories!$A$2:$B$8,2,0)</f>
        <v>I2P</v>
      </c>
      <c r="F132">
        <v>10</v>
      </c>
      <c r="G132" t="str">
        <f>VLOOKUP(F132,Subcategories!$A$2:$B$29,2,0)</f>
        <v>Payment / Financing</v>
      </c>
      <c r="H132" t="str">
        <f t="shared" si="2"/>
        <v>2-10-96</v>
      </c>
      <c r="I132">
        <f>VLOOKUP(H132,SuiteCatSubElem!$F$2:$G$667,2,0)</f>
        <v>131</v>
      </c>
      <c r="J132">
        <v>96</v>
      </c>
      <c r="L132">
        <v>1</v>
      </c>
      <c r="M132" s="127">
        <v>42826.000011574077</v>
      </c>
      <c r="Q132" s="93"/>
    </row>
    <row r="133" spans="1:18">
      <c r="A133">
        <v>133</v>
      </c>
      <c r="B133" s="111" t="s">
        <v>131</v>
      </c>
      <c r="C133" s="24">
        <f>VLOOKUP(B133,Elements!$A$2:$B$435,2,0)</f>
        <v>97</v>
      </c>
      <c r="D133">
        <v>2</v>
      </c>
      <c r="E133" t="str">
        <f>VLOOKUP(D133,Categories!$A$2:$B$8,2,0)</f>
        <v>I2P</v>
      </c>
      <c r="F133">
        <v>10</v>
      </c>
      <c r="G133" t="str">
        <f>VLOOKUP(F133,Subcategories!$A$2:$B$29,2,0)</f>
        <v>Payment / Financing</v>
      </c>
      <c r="H133" t="str">
        <f t="shared" si="2"/>
        <v>2-10-97</v>
      </c>
      <c r="I133">
        <f>VLOOKUP(H133,SuiteCatSubElem!$F$2:$G$667,2,0)</f>
        <v>132</v>
      </c>
      <c r="J133">
        <v>97</v>
      </c>
      <c r="L133">
        <v>1</v>
      </c>
      <c r="M133" s="127">
        <v>42826.000011574077</v>
      </c>
      <c r="Q133" s="93"/>
    </row>
    <row r="134" spans="1:18">
      <c r="A134">
        <v>134</v>
      </c>
      <c r="B134" s="111" t="s">
        <v>132</v>
      </c>
      <c r="C134" s="24">
        <f>VLOOKUP(B134,Elements!$A$2:$B$435,2,0)</f>
        <v>98</v>
      </c>
      <c r="D134">
        <v>2</v>
      </c>
      <c r="E134" t="str">
        <f>VLOOKUP(D134,Categories!$A$2:$B$8,2,0)</f>
        <v>I2P</v>
      </c>
      <c r="F134">
        <v>10</v>
      </c>
      <c r="G134" t="str">
        <f>VLOOKUP(F134,Subcategories!$A$2:$B$29,2,0)</f>
        <v>Payment / Financing</v>
      </c>
      <c r="H134" t="str">
        <f t="shared" si="2"/>
        <v>2-10-98</v>
      </c>
      <c r="I134">
        <f>VLOOKUP(H134,SuiteCatSubElem!$F$2:$G$667,2,0)</f>
        <v>133</v>
      </c>
      <c r="J134">
        <v>98</v>
      </c>
      <c r="L134">
        <v>1</v>
      </c>
      <c r="M134" s="127">
        <v>42826.000011574077</v>
      </c>
      <c r="Q134" s="93"/>
    </row>
    <row r="135" spans="1:18">
      <c r="A135">
        <v>135</v>
      </c>
      <c r="B135" s="111" t="s">
        <v>133</v>
      </c>
      <c r="C135" s="24">
        <f>VLOOKUP(B135,Elements!$A$2:$B$435,2,0)</f>
        <v>99</v>
      </c>
      <c r="D135">
        <v>2</v>
      </c>
      <c r="E135" t="str">
        <f>VLOOKUP(D135,Categories!$A$2:$B$8,2,0)</f>
        <v>I2P</v>
      </c>
      <c r="F135">
        <v>10</v>
      </c>
      <c r="G135" t="str">
        <f>VLOOKUP(F135,Subcategories!$A$2:$B$29,2,0)</f>
        <v>Payment / Financing</v>
      </c>
      <c r="H135" t="str">
        <f t="shared" si="2"/>
        <v>2-10-99</v>
      </c>
      <c r="I135">
        <f>VLOOKUP(H135,SuiteCatSubElem!$F$2:$G$667,2,0)</f>
        <v>134</v>
      </c>
      <c r="J135">
        <v>99</v>
      </c>
      <c r="L135">
        <v>1</v>
      </c>
      <c r="M135" s="127">
        <v>42826.000011574077</v>
      </c>
      <c r="Q135" s="133"/>
    </row>
    <row r="136" spans="1:18" ht="30">
      <c r="A136">
        <v>136</v>
      </c>
      <c r="B136" s="111" t="s">
        <v>514</v>
      </c>
      <c r="C136" s="24">
        <f>VLOOKUP(B136,Elements!$A$2:$B$435,2,0)</f>
        <v>100</v>
      </c>
      <c r="D136">
        <v>2</v>
      </c>
      <c r="E136" t="str">
        <f>VLOOKUP(D136,Categories!$A$2:$B$8,2,0)</f>
        <v>I2P</v>
      </c>
      <c r="F136">
        <v>10</v>
      </c>
      <c r="G136" t="str">
        <f>VLOOKUP(F136,Subcategories!$A$2:$B$29,2,0)</f>
        <v>Payment / Financing</v>
      </c>
      <c r="H136" t="str">
        <f t="shared" si="2"/>
        <v>2-10-100</v>
      </c>
      <c r="I136">
        <f>VLOOKUP(H136,SuiteCatSubElem!$F$2:$G$667,2,0)</f>
        <v>135</v>
      </c>
      <c r="J136">
        <v>100</v>
      </c>
      <c r="L136">
        <v>1</v>
      </c>
      <c r="M136" s="127">
        <v>42826.000011574077</v>
      </c>
      <c r="Q136" s="93"/>
    </row>
    <row r="137" spans="1:18">
      <c r="A137">
        <v>137</v>
      </c>
      <c r="B137" s="111" t="s">
        <v>135</v>
      </c>
      <c r="C137" s="24">
        <f>VLOOKUP(B137,Elements!$A$2:$B$435,2,0)</f>
        <v>101</v>
      </c>
      <c r="D137">
        <v>2</v>
      </c>
      <c r="E137" t="str">
        <f>VLOOKUP(D137,Categories!$A$2:$B$8,2,0)</f>
        <v>I2P</v>
      </c>
      <c r="F137">
        <v>10</v>
      </c>
      <c r="G137" t="str">
        <f>VLOOKUP(F137,Subcategories!$A$2:$B$29,2,0)</f>
        <v>Payment / Financing</v>
      </c>
      <c r="H137" t="str">
        <f t="shared" si="2"/>
        <v>2-10-101</v>
      </c>
      <c r="I137">
        <f>VLOOKUP(H137,SuiteCatSubElem!$F$2:$G$667,2,0)</f>
        <v>136</v>
      </c>
      <c r="J137">
        <v>101</v>
      </c>
      <c r="L137">
        <v>1</v>
      </c>
      <c r="M137" s="127">
        <v>42826.000011574077</v>
      </c>
      <c r="Q137" s="93"/>
    </row>
    <row r="138" spans="1:18" s="4" customFormat="1" ht="17" thickBot="1">
      <c r="A138">
        <v>138</v>
      </c>
      <c r="B138" s="113" t="s">
        <v>136</v>
      </c>
      <c r="C138" s="24">
        <f>VLOOKUP(B138,Elements!$A$2:$B$435,2,0)</f>
        <v>102</v>
      </c>
      <c r="D138" s="4">
        <v>2</v>
      </c>
      <c r="E138" t="str">
        <f>VLOOKUP(D138,Categories!$A$2:$B$8,2,0)</f>
        <v>I2P</v>
      </c>
      <c r="F138">
        <v>10</v>
      </c>
      <c r="G138" t="str">
        <f>VLOOKUP(F138,Subcategories!$A$2:$B$29,2,0)</f>
        <v>Payment / Financing</v>
      </c>
      <c r="H138" t="str">
        <f t="shared" si="2"/>
        <v>2-10-102</v>
      </c>
      <c r="I138">
        <f>VLOOKUP(H138,SuiteCatSubElem!$F$2:$G$667,2,0)</f>
        <v>137</v>
      </c>
      <c r="J138">
        <v>102</v>
      </c>
      <c r="L138">
        <v>1</v>
      </c>
      <c r="M138" s="127">
        <v>42826.000011574077</v>
      </c>
      <c r="N138"/>
      <c r="O138"/>
      <c r="P138"/>
      <c r="Q138" s="93"/>
      <c r="R138" s="101"/>
    </row>
    <row r="139" spans="1:18">
      <c r="A139">
        <v>139</v>
      </c>
      <c r="B139" s="114" t="s">
        <v>517</v>
      </c>
      <c r="C139" s="24">
        <f>VLOOKUP(B139,Elements!$A$2:$B$435,2,0)</f>
        <v>1</v>
      </c>
      <c r="D139">
        <v>3</v>
      </c>
      <c r="E139" t="str">
        <f>VLOOKUP(D139,Categories!$A$2:$B$8,2,0)</f>
        <v>P2P</v>
      </c>
      <c r="F139">
        <v>1</v>
      </c>
      <c r="G139" t="str">
        <f>VLOOKUP(F139,Subcategories!$A$2:$B$29,2,0)</f>
        <v>Catalogs</v>
      </c>
      <c r="H139" t="str">
        <f t="shared" si="2"/>
        <v>3-1-1</v>
      </c>
      <c r="I139">
        <f>VLOOKUP(H139,SuiteCatSubElem!$F$2:$G$667,2,0)</f>
        <v>138</v>
      </c>
      <c r="J139">
        <v>1</v>
      </c>
      <c r="L139">
        <v>1</v>
      </c>
      <c r="M139" s="127">
        <v>42826.000011574077</v>
      </c>
      <c r="Q139" s="38"/>
    </row>
    <row r="140" spans="1:18">
      <c r="A140">
        <v>140</v>
      </c>
      <c r="B140" s="111" t="s">
        <v>39</v>
      </c>
      <c r="C140" s="24">
        <f>VLOOKUP(B140,Elements!$A$2:$B$435,2,0)</f>
        <v>2</v>
      </c>
      <c r="D140">
        <v>3</v>
      </c>
      <c r="E140" t="str">
        <f>VLOOKUP(D140,Categories!$A$2:$B$8,2,0)</f>
        <v>P2P</v>
      </c>
      <c r="F140">
        <v>1</v>
      </c>
      <c r="G140" t="str">
        <f>VLOOKUP(F140,Subcategories!$A$2:$B$29,2,0)</f>
        <v>Catalogs</v>
      </c>
      <c r="H140" t="str">
        <f t="shared" si="2"/>
        <v>3-1-2</v>
      </c>
      <c r="I140">
        <f>VLOOKUP(H140,SuiteCatSubElem!$F$2:$G$667,2,0)</f>
        <v>139</v>
      </c>
      <c r="J140">
        <v>2</v>
      </c>
      <c r="L140">
        <v>1</v>
      </c>
      <c r="M140" s="127">
        <v>42826.000011574077</v>
      </c>
      <c r="Q140" s="38"/>
    </row>
    <row r="141" spans="1:18">
      <c r="A141">
        <v>141</v>
      </c>
      <c r="B141" s="111" t="s">
        <v>518</v>
      </c>
      <c r="C141" s="24">
        <f>VLOOKUP(B141,Elements!$A$2:$B$435,2,0)</f>
        <v>3</v>
      </c>
      <c r="D141">
        <v>3</v>
      </c>
      <c r="E141" t="str">
        <f>VLOOKUP(D141,Categories!$A$2:$B$8,2,0)</f>
        <v>P2P</v>
      </c>
      <c r="F141">
        <v>1</v>
      </c>
      <c r="G141" t="str">
        <f>VLOOKUP(F141,Subcategories!$A$2:$B$29,2,0)</f>
        <v>Catalogs</v>
      </c>
      <c r="H141" t="str">
        <f t="shared" si="2"/>
        <v>3-1-3</v>
      </c>
      <c r="I141">
        <f>VLOOKUP(H141,SuiteCatSubElem!$F$2:$G$667,2,0)</f>
        <v>140</v>
      </c>
      <c r="J141">
        <v>3</v>
      </c>
      <c r="L141">
        <v>1</v>
      </c>
      <c r="M141" s="127">
        <v>42826.000011574077</v>
      </c>
      <c r="Q141" s="38"/>
    </row>
    <row r="142" spans="1:18">
      <c r="A142">
        <v>142</v>
      </c>
      <c r="B142" s="111" t="s">
        <v>41</v>
      </c>
      <c r="C142" s="24">
        <f>VLOOKUP(B142,Elements!$A$2:$B$435,2,0)</f>
        <v>4</v>
      </c>
      <c r="D142">
        <v>3</v>
      </c>
      <c r="E142" t="str">
        <f>VLOOKUP(D142,Categories!$A$2:$B$8,2,0)</f>
        <v>P2P</v>
      </c>
      <c r="F142">
        <v>1</v>
      </c>
      <c r="G142" t="str">
        <f>VLOOKUP(F142,Subcategories!$A$2:$B$29,2,0)</f>
        <v>Catalogs</v>
      </c>
      <c r="H142" t="str">
        <f t="shared" si="2"/>
        <v>3-1-4</v>
      </c>
      <c r="I142">
        <f>VLOOKUP(H142,SuiteCatSubElem!$F$2:$G$667,2,0)</f>
        <v>141</v>
      </c>
      <c r="J142">
        <v>4</v>
      </c>
      <c r="L142">
        <v>1</v>
      </c>
      <c r="M142" s="127">
        <v>42826.000011574077</v>
      </c>
      <c r="Q142" s="38"/>
    </row>
    <row r="143" spans="1:18">
      <c r="A143">
        <v>143</v>
      </c>
      <c r="B143" s="111" t="s">
        <v>519</v>
      </c>
      <c r="C143" s="24">
        <f>VLOOKUP(B143,Elements!$A$2:$B$435,2,0)</f>
        <v>5</v>
      </c>
      <c r="D143">
        <v>3</v>
      </c>
      <c r="E143" t="str">
        <f>VLOOKUP(D143,Categories!$A$2:$B$8,2,0)</f>
        <v>P2P</v>
      </c>
      <c r="F143">
        <v>1</v>
      </c>
      <c r="G143" t="str">
        <f>VLOOKUP(F143,Subcategories!$A$2:$B$29,2,0)</f>
        <v>Catalogs</v>
      </c>
      <c r="H143" t="str">
        <f t="shared" si="2"/>
        <v>3-1-5</v>
      </c>
      <c r="I143">
        <f>VLOOKUP(H143,SuiteCatSubElem!$F$2:$G$667,2,0)</f>
        <v>142</v>
      </c>
      <c r="J143">
        <v>5</v>
      </c>
      <c r="L143">
        <v>1</v>
      </c>
      <c r="M143" s="127">
        <v>42826.000011574077</v>
      </c>
      <c r="Q143" s="38"/>
    </row>
    <row r="144" spans="1:18">
      <c r="A144">
        <v>144</v>
      </c>
      <c r="B144" s="111" t="s">
        <v>43</v>
      </c>
      <c r="C144" s="24">
        <f>VLOOKUP(B144,Elements!$A$2:$B$435,2,0)</f>
        <v>6</v>
      </c>
      <c r="D144">
        <v>3</v>
      </c>
      <c r="E144" t="str">
        <f>VLOOKUP(D144,Categories!$A$2:$B$8,2,0)</f>
        <v>P2P</v>
      </c>
      <c r="F144">
        <v>1</v>
      </c>
      <c r="G144" t="str">
        <f>VLOOKUP(F144,Subcategories!$A$2:$B$29,2,0)</f>
        <v>Catalogs</v>
      </c>
      <c r="H144" t="str">
        <f t="shared" si="2"/>
        <v>3-1-6</v>
      </c>
      <c r="I144">
        <f>VLOOKUP(H144,SuiteCatSubElem!$F$2:$G$667,2,0)</f>
        <v>143</v>
      </c>
      <c r="J144">
        <v>6</v>
      </c>
      <c r="L144">
        <v>1</v>
      </c>
      <c r="M144" s="127">
        <v>42826.000011574077</v>
      </c>
      <c r="Q144" s="38"/>
    </row>
    <row r="145" spans="1:18">
      <c r="A145">
        <v>145</v>
      </c>
      <c r="B145" s="111" t="s">
        <v>44</v>
      </c>
      <c r="C145" s="24">
        <f>VLOOKUP(B145,Elements!$A$2:$B$435,2,0)</f>
        <v>7</v>
      </c>
      <c r="D145">
        <v>3</v>
      </c>
      <c r="E145" t="str">
        <f>VLOOKUP(D145,Categories!$A$2:$B$8,2,0)</f>
        <v>P2P</v>
      </c>
      <c r="F145">
        <v>1</v>
      </c>
      <c r="G145" t="str">
        <f>VLOOKUP(F145,Subcategories!$A$2:$B$29,2,0)</f>
        <v>Catalogs</v>
      </c>
      <c r="H145" t="str">
        <f t="shared" si="2"/>
        <v>3-1-7</v>
      </c>
      <c r="I145">
        <f>VLOOKUP(H145,SuiteCatSubElem!$F$2:$G$667,2,0)</f>
        <v>144</v>
      </c>
      <c r="J145">
        <v>7</v>
      </c>
      <c r="L145">
        <v>1</v>
      </c>
      <c r="M145" s="127">
        <v>42826.000011574077</v>
      </c>
      <c r="Q145" s="38"/>
    </row>
    <row r="146" spans="1:18">
      <c r="A146">
        <v>146</v>
      </c>
      <c r="B146" s="111" t="s">
        <v>45</v>
      </c>
      <c r="C146" s="24">
        <f>VLOOKUP(B146,Elements!$A$2:$B$435,2,0)</f>
        <v>8</v>
      </c>
      <c r="D146">
        <v>3</v>
      </c>
      <c r="E146" t="str">
        <f>VLOOKUP(D146,Categories!$A$2:$B$8,2,0)</f>
        <v>P2P</v>
      </c>
      <c r="F146">
        <v>1</v>
      </c>
      <c r="G146" t="str">
        <f>VLOOKUP(F146,Subcategories!$A$2:$B$29,2,0)</f>
        <v>Catalogs</v>
      </c>
      <c r="H146" t="str">
        <f t="shared" si="2"/>
        <v>3-1-8</v>
      </c>
      <c r="I146">
        <f>VLOOKUP(H146,SuiteCatSubElem!$F$2:$G$667,2,0)</f>
        <v>145</v>
      </c>
      <c r="J146">
        <v>8</v>
      </c>
      <c r="L146">
        <v>1</v>
      </c>
      <c r="M146" s="127">
        <v>42826.000011574077</v>
      </c>
      <c r="Q146" s="38"/>
    </row>
    <row r="147" spans="1:18">
      <c r="A147">
        <v>147</v>
      </c>
      <c r="B147" s="111" t="s">
        <v>46</v>
      </c>
      <c r="C147" s="24">
        <f>VLOOKUP(B147,Elements!$A$2:$B$435,2,0)</f>
        <v>9</v>
      </c>
      <c r="D147">
        <v>3</v>
      </c>
      <c r="E147" t="str">
        <f>VLOOKUP(D147,Categories!$A$2:$B$8,2,0)</f>
        <v>P2P</v>
      </c>
      <c r="F147">
        <v>1</v>
      </c>
      <c r="G147" t="str">
        <f>VLOOKUP(F147,Subcategories!$A$2:$B$29,2,0)</f>
        <v>Catalogs</v>
      </c>
      <c r="H147" t="str">
        <f t="shared" si="2"/>
        <v>3-1-9</v>
      </c>
      <c r="I147">
        <f>VLOOKUP(H147,SuiteCatSubElem!$F$2:$G$667,2,0)</f>
        <v>146</v>
      </c>
      <c r="J147">
        <v>9</v>
      </c>
      <c r="L147">
        <v>1</v>
      </c>
      <c r="M147" s="127">
        <v>42826.000011574077</v>
      </c>
      <c r="Q147" s="131"/>
    </row>
    <row r="148" spans="1:18">
      <c r="A148">
        <v>148</v>
      </c>
      <c r="B148" s="111" t="s">
        <v>47</v>
      </c>
      <c r="C148" s="24">
        <f>VLOOKUP(B148,Elements!$A$2:$B$435,2,0)</f>
        <v>10</v>
      </c>
      <c r="D148">
        <v>3</v>
      </c>
      <c r="E148" t="str">
        <f>VLOOKUP(D148,Categories!$A$2:$B$8,2,0)</f>
        <v>P2P</v>
      </c>
      <c r="F148">
        <v>1</v>
      </c>
      <c r="G148" t="str">
        <f>VLOOKUP(F148,Subcategories!$A$2:$B$29,2,0)</f>
        <v>Catalogs</v>
      </c>
      <c r="H148" t="str">
        <f t="shared" si="2"/>
        <v>3-1-10</v>
      </c>
      <c r="I148">
        <f>VLOOKUP(H148,SuiteCatSubElem!$F$2:$G$667,2,0)</f>
        <v>147</v>
      </c>
      <c r="J148">
        <v>10</v>
      </c>
      <c r="L148">
        <v>1</v>
      </c>
      <c r="M148" s="127">
        <v>42826.000011574077</v>
      </c>
      <c r="Q148" s="136"/>
      <c r="R148" s="100"/>
    </row>
    <row r="149" spans="1:18" ht="30">
      <c r="A149">
        <v>149</v>
      </c>
      <c r="B149" s="111" t="s">
        <v>48</v>
      </c>
      <c r="C149" s="24">
        <f>VLOOKUP(B149,Elements!$A$2:$B$435,2,0)</f>
        <v>11</v>
      </c>
      <c r="D149">
        <v>3</v>
      </c>
      <c r="E149" t="str">
        <f>VLOOKUP(D149,Categories!$A$2:$B$8,2,0)</f>
        <v>P2P</v>
      </c>
      <c r="F149">
        <v>1</v>
      </c>
      <c r="G149" t="str">
        <f>VLOOKUP(F149,Subcategories!$A$2:$B$29,2,0)</f>
        <v>Catalogs</v>
      </c>
      <c r="H149" t="str">
        <f t="shared" si="2"/>
        <v>3-1-11</v>
      </c>
      <c r="I149">
        <f>VLOOKUP(H149,SuiteCatSubElem!$F$2:$G$667,2,0)</f>
        <v>148</v>
      </c>
      <c r="J149">
        <v>11</v>
      </c>
      <c r="L149">
        <v>1</v>
      </c>
      <c r="M149" s="127">
        <v>42826.000011574077</v>
      </c>
      <c r="Q149" s="94"/>
    </row>
    <row r="150" spans="1:18" ht="17" thickBot="1">
      <c r="A150">
        <v>150</v>
      </c>
      <c r="B150" s="113" t="s">
        <v>516</v>
      </c>
      <c r="C150" s="24">
        <f>VLOOKUP(B150,Elements!$A$2:$B$435,2,0)</f>
        <v>12</v>
      </c>
      <c r="D150">
        <v>3</v>
      </c>
      <c r="E150" t="str">
        <f>VLOOKUP(D150,Categories!$A$2:$B$8,2,0)</f>
        <v>P2P</v>
      </c>
      <c r="F150">
        <v>1</v>
      </c>
      <c r="G150" t="str">
        <f>VLOOKUP(F150,Subcategories!$A$2:$B$29,2,0)</f>
        <v>Catalogs</v>
      </c>
      <c r="H150" t="str">
        <f t="shared" si="2"/>
        <v>3-1-12</v>
      </c>
      <c r="I150">
        <f>VLOOKUP(H150,SuiteCatSubElem!$F$2:$G$667,2,0)</f>
        <v>149</v>
      </c>
      <c r="J150">
        <v>12</v>
      </c>
      <c r="L150">
        <v>1</v>
      </c>
      <c r="M150" s="127">
        <v>42826.000011574077</v>
      </c>
      <c r="Q150" s="136"/>
    </row>
    <row r="151" spans="1:18">
      <c r="A151">
        <v>151</v>
      </c>
      <c r="B151" s="111" t="s">
        <v>51</v>
      </c>
      <c r="C151" s="24">
        <f>VLOOKUP(B151,Elements!$A$2:$B$435,2,0)</f>
        <v>13</v>
      </c>
      <c r="D151">
        <v>3</v>
      </c>
      <c r="E151" t="str">
        <f>VLOOKUP(D151,Categories!$A$2:$B$8,2,0)</f>
        <v>P2P</v>
      </c>
      <c r="F151">
        <v>2</v>
      </c>
      <c r="G151" t="str">
        <f>VLOOKUP(F151,Subcategories!$A$2:$B$29,2,0)</f>
        <v>Shopping / Requisitioning</v>
      </c>
      <c r="H151" t="str">
        <f t="shared" si="2"/>
        <v>3-2-13</v>
      </c>
      <c r="I151">
        <f>VLOOKUP(H151,SuiteCatSubElem!$F$2:$G$667,2,0)</f>
        <v>150</v>
      </c>
      <c r="J151">
        <v>13</v>
      </c>
      <c r="L151">
        <v>1</v>
      </c>
      <c r="M151" s="127">
        <v>42826.000011574077</v>
      </c>
      <c r="Q151" s="39"/>
    </row>
    <row r="152" spans="1:18">
      <c r="A152">
        <v>152</v>
      </c>
      <c r="B152" s="111" t="s">
        <v>52</v>
      </c>
      <c r="C152" s="24">
        <f>VLOOKUP(B152,Elements!$A$2:$B$435,2,0)</f>
        <v>14</v>
      </c>
      <c r="D152">
        <v>3</v>
      </c>
      <c r="E152" t="str">
        <f>VLOOKUP(D152,Categories!$A$2:$B$8,2,0)</f>
        <v>P2P</v>
      </c>
      <c r="F152">
        <v>2</v>
      </c>
      <c r="G152" t="str">
        <f>VLOOKUP(F152,Subcategories!$A$2:$B$29,2,0)</f>
        <v>Shopping / Requisitioning</v>
      </c>
      <c r="H152" t="str">
        <f t="shared" si="2"/>
        <v>3-2-14</v>
      </c>
      <c r="I152">
        <f>VLOOKUP(H152,SuiteCatSubElem!$F$2:$G$667,2,0)</f>
        <v>151</v>
      </c>
      <c r="J152">
        <v>14</v>
      </c>
      <c r="L152">
        <v>1</v>
      </c>
      <c r="M152" s="127">
        <v>42826.000011574077</v>
      </c>
      <c r="Q152" s="39"/>
    </row>
    <row r="153" spans="1:18">
      <c r="A153">
        <v>153</v>
      </c>
      <c r="B153" s="111" t="s">
        <v>507</v>
      </c>
      <c r="C153" s="24">
        <f>VLOOKUP(B153,Elements!$A$2:$B$435,2,0)</f>
        <v>15</v>
      </c>
      <c r="D153">
        <v>3</v>
      </c>
      <c r="E153" t="str">
        <f>VLOOKUP(D153,Categories!$A$2:$B$8,2,0)</f>
        <v>P2P</v>
      </c>
      <c r="F153">
        <v>2</v>
      </c>
      <c r="G153" t="str">
        <f>VLOOKUP(F153,Subcategories!$A$2:$B$29,2,0)</f>
        <v>Shopping / Requisitioning</v>
      </c>
      <c r="H153" t="str">
        <f t="shared" si="2"/>
        <v>3-2-15</v>
      </c>
      <c r="I153">
        <f>VLOOKUP(H153,SuiteCatSubElem!$F$2:$G$667,2,0)</f>
        <v>152</v>
      </c>
      <c r="J153">
        <v>15</v>
      </c>
      <c r="L153">
        <v>1</v>
      </c>
      <c r="M153" s="127">
        <v>42826.000011574077</v>
      </c>
      <c r="Q153" s="39"/>
    </row>
    <row r="154" spans="1:18">
      <c r="A154">
        <v>154</v>
      </c>
      <c r="B154" s="111" t="s">
        <v>54</v>
      </c>
      <c r="C154" s="24">
        <f>VLOOKUP(B154,Elements!$A$2:$B$435,2,0)</f>
        <v>16</v>
      </c>
      <c r="D154">
        <v>3</v>
      </c>
      <c r="E154" t="str">
        <f>VLOOKUP(D154,Categories!$A$2:$B$8,2,0)</f>
        <v>P2P</v>
      </c>
      <c r="F154">
        <v>2</v>
      </c>
      <c r="G154" t="str">
        <f>VLOOKUP(F154,Subcategories!$A$2:$B$29,2,0)</f>
        <v>Shopping / Requisitioning</v>
      </c>
      <c r="H154" t="str">
        <f t="shared" si="2"/>
        <v>3-2-16</v>
      </c>
      <c r="I154">
        <f>VLOOKUP(H154,SuiteCatSubElem!$F$2:$G$667,2,0)</f>
        <v>153</v>
      </c>
      <c r="J154">
        <v>16</v>
      </c>
      <c r="L154">
        <v>1</v>
      </c>
      <c r="M154" s="127">
        <v>42826.000011574077</v>
      </c>
      <c r="Q154" s="39"/>
    </row>
    <row r="155" spans="1:18">
      <c r="A155">
        <v>155</v>
      </c>
      <c r="B155" s="111" t="s">
        <v>55</v>
      </c>
      <c r="C155" s="24">
        <f>VLOOKUP(B155,Elements!$A$2:$B$435,2,0)</f>
        <v>17</v>
      </c>
      <c r="D155">
        <v>3</v>
      </c>
      <c r="E155" t="str">
        <f>VLOOKUP(D155,Categories!$A$2:$B$8,2,0)</f>
        <v>P2P</v>
      </c>
      <c r="F155">
        <v>2</v>
      </c>
      <c r="G155" t="str">
        <f>VLOOKUP(F155,Subcategories!$A$2:$B$29,2,0)</f>
        <v>Shopping / Requisitioning</v>
      </c>
      <c r="H155" t="str">
        <f t="shared" si="2"/>
        <v>3-2-17</v>
      </c>
      <c r="I155">
        <f>VLOOKUP(H155,SuiteCatSubElem!$F$2:$G$667,2,0)</f>
        <v>154</v>
      </c>
      <c r="J155">
        <v>17</v>
      </c>
      <c r="L155">
        <v>1</v>
      </c>
      <c r="M155" s="127">
        <v>42826.000011574077</v>
      </c>
      <c r="Q155" s="39"/>
    </row>
    <row r="156" spans="1:18">
      <c r="A156">
        <v>156</v>
      </c>
      <c r="B156" s="111" t="s">
        <v>56</v>
      </c>
      <c r="C156" s="24">
        <f>VLOOKUP(B156,Elements!$A$2:$B$435,2,0)</f>
        <v>18</v>
      </c>
      <c r="D156">
        <v>3</v>
      </c>
      <c r="E156" t="str">
        <f>VLOOKUP(D156,Categories!$A$2:$B$8,2,0)</f>
        <v>P2P</v>
      </c>
      <c r="F156">
        <v>2</v>
      </c>
      <c r="G156" t="str">
        <f>VLOOKUP(F156,Subcategories!$A$2:$B$29,2,0)</f>
        <v>Shopping / Requisitioning</v>
      </c>
      <c r="H156" t="str">
        <f t="shared" si="2"/>
        <v>3-2-18</v>
      </c>
      <c r="I156">
        <f>VLOOKUP(H156,SuiteCatSubElem!$F$2:$G$667,2,0)</f>
        <v>155</v>
      </c>
      <c r="J156">
        <v>18</v>
      </c>
      <c r="L156">
        <v>1</v>
      </c>
      <c r="M156" s="127">
        <v>42826.000011574077</v>
      </c>
      <c r="Q156" s="39"/>
    </row>
    <row r="157" spans="1:18">
      <c r="A157">
        <v>157</v>
      </c>
      <c r="B157" s="111" t="s">
        <v>57</v>
      </c>
      <c r="C157" s="24">
        <f>VLOOKUP(B157,Elements!$A$2:$B$435,2,0)</f>
        <v>19</v>
      </c>
      <c r="D157">
        <v>3</v>
      </c>
      <c r="E157" t="str">
        <f>VLOOKUP(D157,Categories!$A$2:$B$8,2,0)</f>
        <v>P2P</v>
      </c>
      <c r="F157">
        <v>2</v>
      </c>
      <c r="G157" t="str">
        <f>VLOOKUP(F157,Subcategories!$A$2:$B$29,2,0)</f>
        <v>Shopping / Requisitioning</v>
      </c>
      <c r="H157" t="str">
        <f t="shared" si="2"/>
        <v>3-2-19</v>
      </c>
      <c r="I157">
        <f>VLOOKUP(H157,SuiteCatSubElem!$F$2:$G$667,2,0)</f>
        <v>156</v>
      </c>
      <c r="J157">
        <v>19</v>
      </c>
      <c r="L157">
        <v>1</v>
      </c>
      <c r="M157" s="127">
        <v>42826.000011574077</v>
      </c>
      <c r="Q157" s="39"/>
    </row>
    <row r="158" spans="1:18">
      <c r="A158">
        <v>158</v>
      </c>
      <c r="B158" s="111" t="s">
        <v>58</v>
      </c>
      <c r="C158" s="24">
        <f>VLOOKUP(B158,Elements!$A$2:$B$435,2,0)</f>
        <v>20</v>
      </c>
      <c r="D158">
        <v>3</v>
      </c>
      <c r="E158" t="str">
        <f>VLOOKUP(D158,Categories!$A$2:$B$8,2,0)</f>
        <v>P2P</v>
      </c>
      <c r="F158">
        <v>2</v>
      </c>
      <c r="G158" t="str">
        <f>VLOOKUP(F158,Subcategories!$A$2:$B$29,2,0)</f>
        <v>Shopping / Requisitioning</v>
      </c>
      <c r="H158" t="str">
        <f t="shared" si="2"/>
        <v>3-2-20</v>
      </c>
      <c r="I158">
        <f>VLOOKUP(H158,SuiteCatSubElem!$F$2:$G$667,2,0)</f>
        <v>157</v>
      </c>
      <c r="J158">
        <v>20</v>
      </c>
      <c r="L158">
        <v>1</v>
      </c>
      <c r="M158" s="127">
        <v>42826.000011574077</v>
      </c>
      <c r="Q158" s="39"/>
    </row>
    <row r="159" spans="1:18" ht="30">
      <c r="A159">
        <v>159</v>
      </c>
      <c r="B159" s="111" t="s">
        <v>59</v>
      </c>
      <c r="C159" s="24">
        <f>VLOOKUP(B159,Elements!$A$2:$B$435,2,0)</f>
        <v>21</v>
      </c>
      <c r="D159">
        <v>3</v>
      </c>
      <c r="E159" t="str">
        <f>VLOOKUP(D159,Categories!$A$2:$B$8,2,0)</f>
        <v>P2P</v>
      </c>
      <c r="F159">
        <v>2</v>
      </c>
      <c r="G159" t="str">
        <f>VLOOKUP(F159,Subcategories!$A$2:$B$29,2,0)</f>
        <v>Shopping / Requisitioning</v>
      </c>
      <c r="H159" t="str">
        <f t="shared" si="2"/>
        <v>3-2-21</v>
      </c>
      <c r="I159">
        <f>VLOOKUP(H159,SuiteCatSubElem!$F$2:$G$667,2,0)</f>
        <v>158</v>
      </c>
      <c r="J159">
        <v>21</v>
      </c>
      <c r="L159">
        <v>1</v>
      </c>
      <c r="M159" s="127">
        <v>42826.000011574077</v>
      </c>
      <c r="Q159" s="39"/>
    </row>
    <row r="160" spans="1:18">
      <c r="A160">
        <v>160</v>
      </c>
      <c r="B160" s="111" t="s">
        <v>60</v>
      </c>
      <c r="C160" s="24">
        <f>VLOOKUP(B160,Elements!$A$2:$B$435,2,0)</f>
        <v>22</v>
      </c>
      <c r="D160">
        <v>3</v>
      </c>
      <c r="E160" t="str">
        <f>VLOOKUP(D160,Categories!$A$2:$B$8,2,0)</f>
        <v>P2P</v>
      </c>
      <c r="F160">
        <v>2</v>
      </c>
      <c r="G160" t="str">
        <f>VLOOKUP(F160,Subcategories!$A$2:$B$29,2,0)</f>
        <v>Shopping / Requisitioning</v>
      </c>
      <c r="H160" t="str">
        <f t="shared" si="2"/>
        <v>3-2-22</v>
      </c>
      <c r="I160">
        <f>VLOOKUP(H160,SuiteCatSubElem!$F$2:$G$667,2,0)</f>
        <v>159</v>
      </c>
      <c r="J160">
        <v>22</v>
      </c>
      <c r="L160">
        <v>1</v>
      </c>
      <c r="M160" s="127">
        <v>42826.000011574077</v>
      </c>
      <c r="Q160" s="48"/>
    </row>
    <row r="161" spans="1:18">
      <c r="A161">
        <v>161</v>
      </c>
      <c r="B161" s="111" t="s">
        <v>61</v>
      </c>
      <c r="C161" s="24">
        <f>VLOOKUP(B161,Elements!$A$2:$B$435,2,0)</f>
        <v>23</v>
      </c>
      <c r="D161">
        <v>3</v>
      </c>
      <c r="E161" t="str">
        <f>VLOOKUP(D161,Categories!$A$2:$B$8,2,0)</f>
        <v>P2P</v>
      </c>
      <c r="F161">
        <v>2</v>
      </c>
      <c r="G161" t="str">
        <f>VLOOKUP(F161,Subcategories!$A$2:$B$29,2,0)</f>
        <v>Shopping / Requisitioning</v>
      </c>
      <c r="H161" t="str">
        <f t="shared" si="2"/>
        <v>3-2-23</v>
      </c>
      <c r="I161">
        <f>VLOOKUP(H161,SuiteCatSubElem!$F$2:$G$667,2,0)</f>
        <v>160</v>
      </c>
      <c r="J161">
        <v>23</v>
      </c>
      <c r="L161">
        <v>1</v>
      </c>
      <c r="M161" s="127">
        <v>42826.000011574077</v>
      </c>
      <c r="Q161" s="39"/>
    </row>
    <row r="162" spans="1:18">
      <c r="A162">
        <v>162</v>
      </c>
      <c r="B162" s="111" t="s">
        <v>525</v>
      </c>
      <c r="C162" s="24">
        <f>VLOOKUP(B162,Elements!$A$2:$B$435,2,0)</f>
        <v>24</v>
      </c>
      <c r="D162">
        <v>3</v>
      </c>
      <c r="E162" t="str">
        <f>VLOOKUP(D162,Categories!$A$2:$B$8,2,0)</f>
        <v>P2P</v>
      </c>
      <c r="F162">
        <v>2</v>
      </c>
      <c r="G162" t="str">
        <f>VLOOKUP(F162,Subcategories!$A$2:$B$29,2,0)</f>
        <v>Shopping / Requisitioning</v>
      </c>
      <c r="H162" t="str">
        <f t="shared" si="2"/>
        <v>3-2-24</v>
      </c>
      <c r="I162">
        <f>VLOOKUP(H162,SuiteCatSubElem!$F$2:$G$667,2,0)</f>
        <v>161</v>
      </c>
      <c r="J162">
        <v>24</v>
      </c>
      <c r="L162">
        <v>1</v>
      </c>
      <c r="M162" s="127">
        <v>42826.000011574077</v>
      </c>
      <c r="Q162" s="39"/>
    </row>
    <row r="163" spans="1:18">
      <c r="A163">
        <v>163</v>
      </c>
      <c r="B163" s="111" t="s">
        <v>63</v>
      </c>
      <c r="C163" s="24">
        <f>VLOOKUP(B163,Elements!$A$2:$B$435,2,0)</f>
        <v>25</v>
      </c>
      <c r="D163">
        <v>3</v>
      </c>
      <c r="E163" t="str">
        <f>VLOOKUP(D163,Categories!$A$2:$B$8,2,0)</f>
        <v>P2P</v>
      </c>
      <c r="F163">
        <v>2</v>
      </c>
      <c r="G163" t="str">
        <f>VLOOKUP(F163,Subcategories!$A$2:$B$29,2,0)</f>
        <v>Shopping / Requisitioning</v>
      </c>
      <c r="H163" t="str">
        <f t="shared" si="2"/>
        <v>3-2-25</v>
      </c>
      <c r="I163">
        <f>VLOOKUP(H163,SuiteCatSubElem!$F$2:$G$667,2,0)</f>
        <v>162</v>
      </c>
      <c r="J163">
        <v>25</v>
      </c>
      <c r="L163">
        <v>1</v>
      </c>
      <c r="M163" s="127">
        <v>42826.000011574077</v>
      </c>
      <c r="Q163" s="39"/>
    </row>
    <row r="164" spans="1:18" ht="30">
      <c r="A164">
        <v>164</v>
      </c>
      <c r="B164" s="111" t="s">
        <v>64</v>
      </c>
      <c r="C164" s="24">
        <f>VLOOKUP(B164,Elements!$A$2:$B$435,2,0)</f>
        <v>26</v>
      </c>
      <c r="D164">
        <v>3</v>
      </c>
      <c r="E164" t="str">
        <f>VLOOKUP(D164,Categories!$A$2:$B$8,2,0)</f>
        <v>P2P</v>
      </c>
      <c r="F164">
        <v>2</v>
      </c>
      <c r="G164" t="str">
        <f>VLOOKUP(F164,Subcategories!$A$2:$B$29,2,0)</f>
        <v>Shopping / Requisitioning</v>
      </c>
      <c r="H164" t="str">
        <f t="shared" si="2"/>
        <v>3-2-26</v>
      </c>
      <c r="I164">
        <f>VLOOKUP(H164,SuiteCatSubElem!$F$2:$G$667,2,0)</f>
        <v>163</v>
      </c>
      <c r="J164">
        <v>26</v>
      </c>
      <c r="L164">
        <v>1</v>
      </c>
      <c r="M164" s="127">
        <v>42826.000011574077</v>
      </c>
      <c r="Q164" s="39"/>
    </row>
    <row r="165" spans="1:18">
      <c r="A165">
        <v>165</v>
      </c>
      <c r="B165" s="111" t="s">
        <v>524</v>
      </c>
      <c r="C165" s="24">
        <f>VLOOKUP(B165,Elements!$A$2:$B$435,2,0)</f>
        <v>27</v>
      </c>
      <c r="D165">
        <v>3</v>
      </c>
      <c r="E165" t="str">
        <f>VLOOKUP(D165,Categories!$A$2:$B$8,2,0)</f>
        <v>P2P</v>
      </c>
      <c r="F165">
        <v>2</v>
      </c>
      <c r="G165" t="str">
        <f>VLOOKUP(F165,Subcategories!$A$2:$B$29,2,0)</f>
        <v>Shopping / Requisitioning</v>
      </c>
      <c r="H165" t="str">
        <f t="shared" si="2"/>
        <v>3-2-27</v>
      </c>
      <c r="I165">
        <f>VLOOKUP(H165,SuiteCatSubElem!$F$2:$G$667,2,0)</f>
        <v>164</v>
      </c>
      <c r="J165">
        <v>27</v>
      </c>
      <c r="L165">
        <v>1</v>
      </c>
      <c r="M165" s="127">
        <v>42826.000011574077</v>
      </c>
      <c r="Q165" s="39"/>
    </row>
    <row r="166" spans="1:18">
      <c r="A166">
        <v>166</v>
      </c>
      <c r="B166" s="111" t="s">
        <v>66</v>
      </c>
      <c r="C166" s="24">
        <f>VLOOKUP(B166,Elements!$A$2:$B$435,2,0)</f>
        <v>28</v>
      </c>
      <c r="D166">
        <v>3</v>
      </c>
      <c r="E166" t="str">
        <f>VLOOKUP(D166,Categories!$A$2:$B$8,2,0)</f>
        <v>P2P</v>
      </c>
      <c r="F166">
        <v>2</v>
      </c>
      <c r="G166" t="str">
        <f>VLOOKUP(F166,Subcategories!$A$2:$B$29,2,0)</f>
        <v>Shopping / Requisitioning</v>
      </c>
      <c r="H166" t="str">
        <f t="shared" si="2"/>
        <v>3-2-28</v>
      </c>
      <c r="I166">
        <f>VLOOKUP(H166,SuiteCatSubElem!$F$2:$G$667,2,0)</f>
        <v>165</v>
      </c>
      <c r="J166">
        <v>28</v>
      </c>
      <c r="L166">
        <v>1</v>
      </c>
      <c r="M166" s="127">
        <v>42826.000011574077</v>
      </c>
      <c r="Q166" s="49"/>
    </row>
    <row r="167" spans="1:18" ht="30">
      <c r="A167">
        <v>167</v>
      </c>
      <c r="B167" s="111" t="s">
        <v>67</v>
      </c>
      <c r="C167" s="24">
        <f>VLOOKUP(B167,Elements!$A$2:$B$435,2,0)</f>
        <v>29</v>
      </c>
      <c r="D167">
        <v>3</v>
      </c>
      <c r="E167" t="str">
        <f>VLOOKUP(D167,Categories!$A$2:$B$8,2,0)</f>
        <v>P2P</v>
      </c>
      <c r="F167">
        <v>2</v>
      </c>
      <c r="G167" t="str">
        <f>VLOOKUP(F167,Subcategories!$A$2:$B$29,2,0)</f>
        <v>Shopping / Requisitioning</v>
      </c>
      <c r="H167" t="str">
        <f t="shared" si="2"/>
        <v>3-2-29</v>
      </c>
      <c r="I167">
        <f>VLOOKUP(H167,SuiteCatSubElem!$F$2:$G$667,2,0)</f>
        <v>166</v>
      </c>
      <c r="J167">
        <v>29</v>
      </c>
      <c r="L167">
        <v>1</v>
      </c>
      <c r="M167" s="127">
        <v>42826.000011574077</v>
      </c>
      <c r="Q167" s="39"/>
    </row>
    <row r="168" spans="1:18" ht="30">
      <c r="A168">
        <v>168</v>
      </c>
      <c r="B168" s="111" t="s">
        <v>68</v>
      </c>
      <c r="C168" s="24">
        <f>VLOOKUP(B168,Elements!$A$2:$B$435,2,0)</f>
        <v>30</v>
      </c>
      <c r="D168">
        <v>3</v>
      </c>
      <c r="E168" t="str">
        <f>VLOOKUP(D168,Categories!$A$2:$B$8,2,0)</f>
        <v>P2P</v>
      </c>
      <c r="F168">
        <v>2</v>
      </c>
      <c r="G168" t="str">
        <f>VLOOKUP(F168,Subcategories!$A$2:$B$29,2,0)</f>
        <v>Shopping / Requisitioning</v>
      </c>
      <c r="H168" t="str">
        <f t="shared" si="2"/>
        <v>3-2-30</v>
      </c>
      <c r="I168">
        <f>VLOOKUP(H168,SuiteCatSubElem!$F$2:$G$667,2,0)</f>
        <v>167</v>
      </c>
      <c r="J168">
        <v>30</v>
      </c>
      <c r="L168">
        <v>1</v>
      </c>
      <c r="M168" s="127">
        <v>42826.000011574077</v>
      </c>
      <c r="Q168" s="39"/>
    </row>
    <row r="169" spans="1:18">
      <c r="A169">
        <v>169</v>
      </c>
      <c r="B169" s="111" t="s">
        <v>69</v>
      </c>
      <c r="C169" s="24">
        <f>VLOOKUP(B169,Elements!$A$2:$B$435,2,0)</f>
        <v>31</v>
      </c>
      <c r="D169">
        <v>3</v>
      </c>
      <c r="E169" t="str">
        <f>VLOOKUP(D169,Categories!$A$2:$B$8,2,0)</f>
        <v>P2P</v>
      </c>
      <c r="F169">
        <v>2</v>
      </c>
      <c r="G169" t="str">
        <f>VLOOKUP(F169,Subcategories!$A$2:$B$29,2,0)</f>
        <v>Shopping / Requisitioning</v>
      </c>
      <c r="H169" t="str">
        <f t="shared" si="2"/>
        <v>3-2-31</v>
      </c>
      <c r="I169">
        <f>VLOOKUP(H169,SuiteCatSubElem!$F$2:$G$667,2,0)</f>
        <v>168</v>
      </c>
      <c r="J169">
        <v>31</v>
      </c>
      <c r="L169">
        <v>1</v>
      </c>
      <c r="M169" s="127">
        <v>42826.000011574077</v>
      </c>
      <c r="Q169" s="39"/>
    </row>
    <row r="170" spans="1:18">
      <c r="A170">
        <v>170</v>
      </c>
      <c r="B170" s="111" t="s">
        <v>32</v>
      </c>
      <c r="C170" s="24">
        <f>VLOOKUP(B170,Elements!$A$2:$B$435,2,0)</f>
        <v>32</v>
      </c>
      <c r="D170">
        <v>3</v>
      </c>
      <c r="E170" t="str">
        <f>VLOOKUP(D170,Categories!$A$2:$B$8,2,0)</f>
        <v>P2P</v>
      </c>
      <c r="F170">
        <v>2</v>
      </c>
      <c r="G170" t="str">
        <f>VLOOKUP(F170,Subcategories!$A$2:$B$29,2,0)</f>
        <v>Shopping / Requisitioning</v>
      </c>
      <c r="H170" t="str">
        <f t="shared" si="2"/>
        <v>3-2-32</v>
      </c>
      <c r="I170">
        <f>VLOOKUP(H170,SuiteCatSubElem!$F$2:$G$667,2,0)</f>
        <v>169</v>
      </c>
      <c r="J170">
        <v>32</v>
      </c>
      <c r="L170">
        <v>1</v>
      </c>
      <c r="M170" s="127">
        <v>42826.000011574077</v>
      </c>
      <c r="Q170" s="39"/>
    </row>
    <row r="171" spans="1:18">
      <c r="A171">
        <v>171</v>
      </c>
      <c r="B171" s="111" t="s">
        <v>70</v>
      </c>
      <c r="C171" s="24">
        <f>VLOOKUP(B171,Elements!$A$2:$B$435,2,0)</f>
        <v>33</v>
      </c>
      <c r="D171">
        <v>3</v>
      </c>
      <c r="E171" t="str">
        <f>VLOOKUP(D171,Categories!$A$2:$B$8,2,0)</f>
        <v>P2P</v>
      </c>
      <c r="F171">
        <v>2</v>
      </c>
      <c r="G171" t="str">
        <f>VLOOKUP(F171,Subcategories!$A$2:$B$29,2,0)</f>
        <v>Shopping / Requisitioning</v>
      </c>
      <c r="H171" t="str">
        <f t="shared" si="2"/>
        <v>3-2-33</v>
      </c>
      <c r="I171">
        <f>VLOOKUP(H171,SuiteCatSubElem!$F$2:$G$667,2,0)</f>
        <v>170</v>
      </c>
      <c r="J171">
        <v>33</v>
      </c>
      <c r="L171">
        <v>1</v>
      </c>
      <c r="M171" s="127">
        <v>42826.000011574077</v>
      </c>
      <c r="Q171" s="39"/>
    </row>
    <row r="172" spans="1:18">
      <c r="A172">
        <v>172</v>
      </c>
      <c r="B172" s="111" t="s">
        <v>71</v>
      </c>
      <c r="C172" s="24">
        <f>VLOOKUP(B172,Elements!$A$2:$B$435,2,0)</f>
        <v>34</v>
      </c>
      <c r="D172">
        <v>3</v>
      </c>
      <c r="E172" t="str">
        <f>VLOOKUP(D172,Categories!$A$2:$B$8,2,0)</f>
        <v>P2P</v>
      </c>
      <c r="F172">
        <v>2</v>
      </c>
      <c r="G172" t="str">
        <f>VLOOKUP(F172,Subcategories!$A$2:$B$29,2,0)</f>
        <v>Shopping / Requisitioning</v>
      </c>
      <c r="H172" t="str">
        <f t="shared" si="2"/>
        <v>3-2-34</v>
      </c>
      <c r="I172">
        <f>VLOOKUP(H172,SuiteCatSubElem!$F$2:$G$667,2,0)</f>
        <v>171</v>
      </c>
      <c r="J172">
        <v>34</v>
      </c>
      <c r="L172">
        <v>1</v>
      </c>
      <c r="M172" s="127">
        <v>42826.000011574077</v>
      </c>
      <c r="Q172" s="39"/>
    </row>
    <row r="173" spans="1:18">
      <c r="A173">
        <v>173</v>
      </c>
      <c r="B173" s="111" t="s">
        <v>47</v>
      </c>
      <c r="C173" s="24">
        <f>VLOOKUP(B173,Elements!$A$2:$B$435,2,0)</f>
        <v>10</v>
      </c>
      <c r="D173">
        <v>3</v>
      </c>
      <c r="E173" t="str">
        <f>VLOOKUP(D173,Categories!$A$2:$B$8,2,0)</f>
        <v>P2P</v>
      </c>
      <c r="F173">
        <v>2</v>
      </c>
      <c r="G173" t="str">
        <f>VLOOKUP(F173,Subcategories!$A$2:$B$29,2,0)</f>
        <v>Shopping / Requisitioning</v>
      </c>
      <c r="H173" t="str">
        <f t="shared" si="2"/>
        <v>3-2-10</v>
      </c>
      <c r="I173">
        <f>VLOOKUP(H173,SuiteCatSubElem!$F$2:$G$667,2,0)</f>
        <v>172</v>
      </c>
      <c r="J173">
        <v>10</v>
      </c>
      <c r="L173">
        <v>1</v>
      </c>
      <c r="M173" s="127">
        <v>42826.000011574077</v>
      </c>
      <c r="Q173" s="48"/>
      <c r="R173" s="100"/>
    </row>
    <row r="174" spans="1:18">
      <c r="A174">
        <v>174</v>
      </c>
      <c r="B174" s="111" t="s">
        <v>510</v>
      </c>
      <c r="C174" s="24">
        <f>VLOOKUP(B174,Elements!$A$2:$B$435,2,0)</f>
        <v>35</v>
      </c>
      <c r="D174">
        <v>3</v>
      </c>
      <c r="E174" t="str">
        <f>VLOOKUP(D174,Categories!$A$2:$B$8,2,0)</f>
        <v>P2P</v>
      </c>
      <c r="F174">
        <v>3</v>
      </c>
      <c r="G174" t="str">
        <f>VLOOKUP(F174,Subcategories!$A$2:$B$29,2,0)</f>
        <v>Ordering</v>
      </c>
      <c r="H174" t="str">
        <f t="shared" si="2"/>
        <v>3-3-35</v>
      </c>
      <c r="I174">
        <f>VLOOKUP(H174,SuiteCatSubElem!$F$2:$G$667,2,0)</f>
        <v>173</v>
      </c>
      <c r="J174">
        <v>35</v>
      </c>
      <c r="L174">
        <v>1</v>
      </c>
      <c r="M174" s="127">
        <v>42826.000011574077</v>
      </c>
      <c r="Q174" s="39"/>
    </row>
    <row r="175" spans="1:18">
      <c r="A175">
        <v>175</v>
      </c>
      <c r="B175" s="111" t="s">
        <v>509</v>
      </c>
      <c r="C175" s="24">
        <f>VLOOKUP(B175,Elements!$A$2:$B$435,2,0)</f>
        <v>36</v>
      </c>
      <c r="D175">
        <v>3</v>
      </c>
      <c r="E175" t="str">
        <f>VLOOKUP(D175,Categories!$A$2:$B$8,2,0)</f>
        <v>P2P</v>
      </c>
      <c r="F175">
        <v>3</v>
      </c>
      <c r="G175" t="str">
        <f>VLOOKUP(F175,Subcategories!$A$2:$B$29,2,0)</f>
        <v>Ordering</v>
      </c>
      <c r="H175" t="str">
        <f t="shared" si="2"/>
        <v>3-3-36</v>
      </c>
      <c r="I175">
        <f>VLOOKUP(H175,SuiteCatSubElem!$F$2:$G$667,2,0)</f>
        <v>174</v>
      </c>
      <c r="J175">
        <v>36</v>
      </c>
      <c r="L175">
        <v>1</v>
      </c>
      <c r="M175" s="127">
        <v>42826.000011574077</v>
      </c>
      <c r="Q175" s="39"/>
    </row>
    <row r="176" spans="1:18">
      <c r="A176">
        <v>176</v>
      </c>
      <c r="B176" s="111" t="s">
        <v>74</v>
      </c>
      <c r="C176" s="24">
        <f>VLOOKUP(B176,Elements!$A$2:$B$435,2,0)</f>
        <v>37</v>
      </c>
      <c r="D176">
        <v>3</v>
      </c>
      <c r="E176" t="str">
        <f>VLOOKUP(D176,Categories!$A$2:$B$8,2,0)</f>
        <v>P2P</v>
      </c>
      <c r="F176">
        <v>3</v>
      </c>
      <c r="G176" t="str">
        <f>VLOOKUP(F176,Subcategories!$A$2:$B$29,2,0)</f>
        <v>Ordering</v>
      </c>
      <c r="H176" t="str">
        <f t="shared" si="2"/>
        <v>3-3-37</v>
      </c>
      <c r="I176">
        <f>VLOOKUP(H176,SuiteCatSubElem!$F$2:$G$667,2,0)</f>
        <v>175</v>
      </c>
      <c r="J176">
        <v>37</v>
      </c>
      <c r="L176">
        <v>1</v>
      </c>
      <c r="M176" s="127">
        <v>42826.000011574077</v>
      </c>
      <c r="Q176" s="40"/>
    </row>
    <row r="177" spans="1:18">
      <c r="A177">
        <v>177</v>
      </c>
      <c r="B177" s="111" t="s">
        <v>75</v>
      </c>
      <c r="C177" s="24">
        <f>VLOOKUP(B177,Elements!$A$2:$B$435,2,0)</f>
        <v>38</v>
      </c>
      <c r="D177">
        <v>3</v>
      </c>
      <c r="E177" t="str">
        <f>VLOOKUP(D177,Categories!$A$2:$B$8,2,0)</f>
        <v>P2P</v>
      </c>
      <c r="F177">
        <v>3</v>
      </c>
      <c r="G177" t="str">
        <f>VLOOKUP(F177,Subcategories!$A$2:$B$29,2,0)</f>
        <v>Ordering</v>
      </c>
      <c r="H177" t="str">
        <f t="shared" si="2"/>
        <v>3-3-38</v>
      </c>
      <c r="I177">
        <f>VLOOKUP(H177,SuiteCatSubElem!$F$2:$G$667,2,0)</f>
        <v>176</v>
      </c>
      <c r="J177">
        <v>38</v>
      </c>
      <c r="L177">
        <v>1</v>
      </c>
      <c r="M177" s="127">
        <v>42826.000011574077</v>
      </c>
      <c r="Q177" s="92"/>
    </row>
    <row r="178" spans="1:18">
      <c r="A178">
        <v>178</v>
      </c>
      <c r="B178" s="111" t="s">
        <v>76</v>
      </c>
      <c r="C178" s="24">
        <f>VLOOKUP(B178,Elements!$A$2:$B$435,2,0)</f>
        <v>39</v>
      </c>
      <c r="D178">
        <v>3</v>
      </c>
      <c r="E178" t="str">
        <f>VLOOKUP(D178,Categories!$A$2:$B$8,2,0)</f>
        <v>P2P</v>
      </c>
      <c r="F178">
        <v>3</v>
      </c>
      <c r="G178" t="str">
        <f>VLOOKUP(F178,Subcategories!$A$2:$B$29,2,0)</f>
        <v>Ordering</v>
      </c>
      <c r="H178" t="str">
        <f t="shared" si="2"/>
        <v>3-3-39</v>
      </c>
      <c r="I178">
        <f>VLOOKUP(H178,SuiteCatSubElem!$F$2:$G$667,2,0)</f>
        <v>177</v>
      </c>
      <c r="J178">
        <v>39</v>
      </c>
      <c r="L178">
        <v>1</v>
      </c>
      <c r="M178" s="127">
        <v>42826.000011574077</v>
      </c>
      <c r="Q178" s="39"/>
    </row>
    <row r="179" spans="1:18">
      <c r="A179">
        <v>179</v>
      </c>
      <c r="B179" s="111" t="s">
        <v>77</v>
      </c>
      <c r="C179" s="24">
        <f>VLOOKUP(B179,Elements!$A$2:$B$435,2,0)</f>
        <v>40</v>
      </c>
      <c r="D179">
        <v>3</v>
      </c>
      <c r="E179" t="str">
        <f>VLOOKUP(D179,Categories!$A$2:$B$8,2,0)</f>
        <v>P2P</v>
      </c>
      <c r="F179">
        <v>3</v>
      </c>
      <c r="G179" t="str">
        <f>VLOOKUP(F179,Subcategories!$A$2:$B$29,2,0)</f>
        <v>Ordering</v>
      </c>
      <c r="H179" t="str">
        <f t="shared" si="2"/>
        <v>3-3-40</v>
      </c>
      <c r="I179">
        <f>VLOOKUP(H179,SuiteCatSubElem!$F$2:$G$667,2,0)</f>
        <v>178</v>
      </c>
      <c r="J179">
        <v>40</v>
      </c>
      <c r="L179">
        <v>1</v>
      </c>
      <c r="M179" s="127">
        <v>42826.000011574077</v>
      </c>
      <c r="Q179" s="39"/>
    </row>
    <row r="180" spans="1:18" ht="30">
      <c r="A180">
        <v>180</v>
      </c>
      <c r="B180" s="111" t="s">
        <v>78</v>
      </c>
      <c r="C180" s="24">
        <f>VLOOKUP(B180,Elements!$A$2:$B$435,2,0)</f>
        <v>41</v>
      </c>
      <c r="D180">
        <v>3</v>
      </c>
      <c r="E180" t="str">
        <f>VLOOKUP(D180,Categories!$A$2:$B$8,2,0)</f>
        <v>P2P</v>
      </c>
      <c r="F180">
        <v>3</v>
      </c>
      <c r="G180" t="str">
        <f>VLOOKUP(F180,Subcategories!$A$2:$B$29,2,0)</f>
        <v>Ordering</v>
      </c>
      <c r="H180" t="str">
        <f t="shared" si="2"/>
        <v>3-3-41</v>
      </c>
      <c r="I180">
        <f>VLOOKUP(H180,SuiteCatSubElem!$F$2:$G$667,2,0)</f>
        <v>179</v>
      </c>
      <c r="J180">
        <v>41</v>
      </c>
      <c r="L180">
        <v>1</v>
      </c>
      <c r="M180" s="127">
        <v>42826.000011574077</v>
      </c>
      <c r="Q180" s="39"/>
    </row>
    <row r="181" spans="1:18">
      <c r="A181">
        <v>181</v>
      </c>
      <c r="B181" s="111" t="s">
        <v>79</v>
      </c>
      <c r="C181" s="24">
        <f>VLOOKUP(B181,Elements!$A$2:$B$435,2,0)</f>
        <v>42</v>
      </c>
      <c r="D181">
        <v>3</v>
      </c>
      <c r="E181" t="str">
        <f>VLOOKUP(D181,Categories!$A$2:$B$8,2,0)</f>
        <v>P2P</v>
      </c>
      <c r="F181">
        <v>3</v>
      </c>
      <c r="G181" t="str">
        <f>VLOOKUP(F181,Subcategories!$A$2:$B$29,2,0)</f>
        <v>Ordering</v>
      </c>
      <c r="H181" t="str">
        <f t="shared" si="2"/>
        <v>3-3-42</v>
      </c>
      <c r="I181">
        <f>VLOOKUP(H181,SuiteCatSubElem!$F$2:$G$667,2,0)</f>
        <v>180</v>
      </c>
      <c r="J181">
        <v>42</v>
      </c>
      <c r="L181">
        <v>1</v>
      </c>
      <c r="M181" s="127">
        <v>42826.000011574077</v>
      </c>
      <c r="Q181" s="39"/>
    </row>
    <row r="182" spans="1:18">
      <c r="A182">
        <v>182</v>
      </c>
      <c r="B182" s="111" t="s">
        <v>80</v>
      </c>
      <c r="C182" s="24">
        <f>VLOOKUP(B182,Elements!$A$2:$B$435,2,0)</f>
        <v>43</v>
      </c>
      <c r="D182">
        <v>3</v>
      </c>
      <c r="E182" t="str">
        <f>VLOOKUP(D182,Categories!$A$2:$B$8,2,0)</f>
        <v>P2P</v>
      </c>
      <c r="F182">
        <v>3</v>
      </c>
      <c r="G182" t="str">
        <f>VLOOKUP(F182,Subcategories!$A$2:$B$29,2,0)</f>
        <v>Ordering</v>
      </c>
      <c r="H182" t="str">
        <f t="shared" si="2"/>
        <v>3-3-43</v>
      </c>
      <c r="I182">
        <f>VLOOKUP(H182,SuiteCatSubElem!$F$2:$G$667,2,0)</f>
        <v>181</v>
      </c>
      <c r="J182">
        <v>43</v>
      </c>
      <c r="L182">
        <v>1</v>
      </c>
      <c r="M182" s="127">
        <v>42826.000011574077</v>
      </c>
      <c r="Q182" s="39"/>
    </row>
    <row r="183" spans="1:18">
      <c r="A183">
        <v>183</v>
      </c>
      <c r="B183" s="111" t="s">
        <v>81</v>
      </c>
      <c r="C183" s="24">
        <f>VLOOKUP(B183,Elements!$A$2:$B$435,2,0)</f>
        <v>44</v>
      </c>
      <c r="D183">
        <v>3</v>
      </c>
      <c r="E183" t="str">
        <f>VLOOKUP(D183,Categories!$A$2:$B$8,2,0)</f>
        <v>P2P</v>
      </c>
      <c r="F183">
        <v>3</v>
      </c>
      <c r="G183" t="str">
        <f>VLOOKUP(F183,Subcategories!$A$2:$B$29,2,0)</f>
        <v>Ordering</v>
      </c>
      <c r="H183" t="str">
        <f t="shared" si="2"/>
        <v>3-3-44</v>
      </c>
      <c r="I183">
        <f>VLOOKUP(H183,SuiteCatSubElem!$F$2:$G$667,2,0)</f>
        <v>182</v>
      </c>
      <c r="J183">
        <v>44</v>
      </c>
      <c r="L183">
        <v>1</v>
      </c>
      <c r="M183" s="127">
        <v>42826.000011574077</v>
      </c>
      <c r="Q183" s="39"/>
    </row>
    <row r="184" spans="1:18">
      <c r="A184">
        <v>184</v>
      </c>
      <c r="B184" s="111" t="s">
        <v>82</v>
      </c>
      <c r="C184" s="24">
        <f>VLOOKUP(B184,Elements!$A$2:$B$435,2,0)</f>
        <v>45</v>
      </c>
      <c r="D184">
        <v>3</v>
      </c>
      <c r="E184" t="str">
        <f>VLOOKUP(D184,Categories!$A$2:$B$8,2,0)</f>
        <v>P2P</v>
      </c>
      <c r="F184">
        <v>3</v>
      </c>
      <c r="G184" t="str">
        <f>VLOOKUP(F184,Subcategories!$A$2:$B$29,2,0)</f>
        <v>Ordering</v>
      </c>
      <c r="H184" t="str">
        <f t="shared" si="2"/>
        <v>3-3-45</v>
      </c>
      <c r="I184">
        <f>VLOOKUP(H184,SuiteCatSubElem!$F$2:$G$667,2,0)</f>
        <v>183</v>
      </c>
      <c r="J184">
        <v>45</v>
      </c>
      <c r="L184">
        <v>1</v>
      </c>
      <c r="M184" s="127">
        <v>42826.000011574077</v>
      </c>
      <c r="Q184" s="39"/>
    </row>
    <row r="185" spans="1:18">
      <c r="A185">
        <v>185</v>
      </c>
      <c r="B185" s="111" t="s">
        <v>83</v>
      </c>
      <c r="C185" s="24">
        <f>VLOOKUP(B185,Elements!$A$2:$B$435,2,0)</f>
        <v>46</v>
      </c>
      <c r="D185">
        <v>3</v>
      </c>
      <c r="E185" t="str">
        <f>VLOOKUP(D185,Categories!$A$2:$B$8,2,0)</f>
        <v>P2P</v>
      </c>
      <c r="F185">
        <v>3</v>
      </c>
      <c r="G185" t="str">
        <f>VLOOKUP(F185,Subcategories!$A$2:$B$29,2,0)</f>
        <v>Ordering</v>
      </c>
      <c r="H185" t="str">
        <f t="shared" si="2"/>
        <v>3-3-46</v>
      </c>
      <c r="I185">
        <f>VLOOKUP(H185,SuiteCatSubElem!$F$2:$G$667,2,0)</f>
        <v>184</v>
      </c>
      <c r="J185">
        <v>46</v>
      </c>
      <c r="L185">
        <v>1</v>
      </c>
      <c r="M185" s="127">
        <v>42826.000011574077</v>
      </c>
      <c r="Q185" s="39"/>
    </row>
    <row r="186" spans="1:18">
      <c r="A186">
        <v>186</v>
      </c>
      <c r="B186" s="111" t="s">
        <v>70</v>
      </c>
      <c r="C186" s="24">
        <f>VLOOKUP(B186,Elements!$A$2:$B$435,2,0)</f>
        <v>33</v>
      </c>
      <c r="D186">
        <v>3</v>
      </c>
      <c r="E186" t="str">
        <f>VLOOKUP(D186,Categories!$A$2:$B$8,2,0)</f>
        <v>P2P</v>
      </c>
      <c r="F186">
        <v>3</v>
      </c>
      <c r="G186" t="str">
        <f>VLOOKUP(F186,Subcategories!$A$2:$B$29,2,0)</f>
        <v>Ordering</v>
      </c>
      <c r="H186" t="str">
        <f t="shared" si="2"/>
        <v>3-3-33</v>
      </c>
      <c r="I186">
        <f>VLOOKUP(H186,SuiteCatSubElem!$F$2:$G$667,2,0)</f>
        <v>185</v>
      </c>
      <c r="J186">
        <v>438</v>
      </c>
      <c r="L186">
        <v>1</v>
      </c>
      <c r="M186" s="127">
        <v>42826.000011574077</v>
      </c>
      <c r="Q186" s="39"/>
    </row>
    <row r="187" spans="1:18">
      <c r="A187">
        <v>187</v>
      </c>
      <c r="B187" s="111" t="s">
        <v>85</v>
      </c>
      <c r="C187" s="24">
        <f>VLOOKUP(B187,Elements!$A$2:$B$435,2,0)</f>
        <v>47</v>
      </c>
      <c r="D187">
        <v>3</v>
      </c>
      <c r="E187" t="str">
        <f>VLOOKUP(D187,Categories!$A$2:$B$8,2,0)</f>
        <v>P2P</v>
      </c>
      <c r="F187">
        <v>3</v>
      </c>
      <c r="G187" t="str">
        <f>VLOOKUP(F187,Subcategories!$A$2:$B$29,2,0)</f>
        <v>Ordering</v>
      </c>
      <c r="H187" t="str">
        <f t="shared" si="2"/>
        <v>3-3-47</v>
      </c>
      <c r="I187">
        <f>VLOOKUP(H187,SuiteCatSubElem!$F$2:$G$667,2,0)</f>
        <v>186</v>
      </c>
      <c r="J187">
        <v>47</v>
      </c>
      <c r="L187">
        <v>1</v>
      </c>
      <c r="M187" s="127">
        <v>42826.000011574077</v>
      </c>
      <c r="Q187" s="39"/>
    </row>
    <row r="188" spans="1:18">
      <c r="A188">
        <v>188</v>
      </c>
      <c r="B188" s="111" t="s">
        <v>513</v>
      </c>
      <c r="C188" s="24">
        <f>VLOOKUP(B188,Elements!$A$2:$B$435,2,0)</f>
        <v>48</v>
      </c>
      <c r="D188">
        <v>3</v>
      </c>
      <c r="E188" t="str">
        <f>VLOOKUP(D188,Categories!$A$2:$B$8,2,0)</f>
        <v>P2P</v>
      </c>
      <c r="F188">
        <v>4</v>
      </c>
      <c r="G188" t="str">
        <f>VLOOKUP(F188,Subcategories!$A$2:$B$29,2,0)</f>
        <v>Receiving</v>
      </c>
      <c r="H188" t="str">
        <f t="shared" si="2"/>
        <v>3-4-48</v>
      </c>
      <c r="I188">
        <f>VLOOKUP(H188,SuiteCatSubElem!$F$2:$G$667,2,0)</f>
        <v>187</v>
      </c>
      <c r="J188">
        <v>48</v>
      </c>
      <c r="L188">
        <v>1</v>
      </c>
      <c r="M188" s="127">
        <v>42826.000011574077</v>
      </c>
      <c r="Q188" s="39"/>
    </row>
    <row r="189" spans="1:18">
      <c r="A189">
        <v>189</v>
      </c>
      <c r="B189" s="111" t="s">
        <v>523</v>
      </c>
      <c r="C189" s="24">
        <f>VLOOKUP(B189,Elements!$A$2:$B$435,2,0)</f>
        <v>49</v>
      </c>
      <c r="D189" s="47">
        <v>3</v>
      </c>
      <c r="E189" t="str">
        <f>VLOOKUP(D189,Categories!$A$2:$B$8,2,0)</f>
        <v>P2P</v>
      </c>
      <c r="F189">
        <v>4</v>
      </c>
      <c r="G189" t="str">
        <f>VLOOKUP(F189,Subcategories!$A$2:$B$29,2,0)</f>
        <v>Receiving</v>
      </c>
      <c r="H189" t="str">
        <f t="shared" si="2"/>
        <v>3-4-49</v>
      </c>
      <c r="I189">
        <f>VLOOKUP(H189,SuiteCatSubElem!$F$2:$G$667,2,0)</f>
        <v>188</v>
      </c>
      <c r="J189">
        <v>49</v>
      </c>
      <c r="K189" s="47"/>
      <c r="L189">
        <v>1</v>
      </c>
      <c r="M189" s="127">
        <v>42826.000011574077</v>
      </c>
      <c r="Q189" s="39"/>
      <c r="R189" s="99"/>
    </row>
    <row r="190" spans="1:18">
      <c r="A190">
        <v>190</v>
      </c>
      <c r="B190" s="111" t="s">
        <v>88</v>
      </c>
      <c r="C190" s="24">
        <f>VLOOKUP(B190,Elements!$A$2:$B$435,2,0)</f>
        <v>50</v>
      </c>
      <c r="D190">
        <v>3</v>
      </c>
      <c r="E190" t="str">
        <f>VLOOKUP(D190,Categories!$A$2:$B$8,2,0)</f>
        <v>P2P</v>
      </c>
      <c r="F190">
        <v>4</v>
      </c>
      <c r="G190" t="str">
        <f>VLOOKUP(F190,Subcategories!$A$2:$B$29,2,0)</f>
        <v>Receiving</v>
      </c>
      <c r="H190" t="str">
        <f t="shared" si="2"/>
        <v>3-4-50</v>
      </c>
      <c r="I190">
        <f>VLOOKUP(H190,SuiteCatSubElem!$F$2:$G$667,2,0)</f>
        <v>189</v>
      </c>
      <c r="J190">
        <v>50</v>
      </c>
      <c r="L190">
        <v>1</v>
      </c>
      <c r="M190" s="127">
        <v>42826.000011574077</v>
      </c>
      <c r="Q190" s="39"/>
    </row>
    <row r="191" spans="1:18">
      <c r="A191">
        <v>191</v>
      </c>
      <c r="B191" s="111" t="s">
        <v>512</v>
      </c>
      <c r="C191" s="24">
        <f>VLOOKUP(B191,Elements!$A$2:$B$435,2,0)</f>
        <v>51</v>
      </c>
      <c r="D191">
        <v>3</v>
      </c>
      <c r="E191" t="str">
        <f>VLOOKUP(D191,Categories!$A$2:$B$8,2,0)</f>
        <v>P2P</v>
      </c>
      <c r="F191">
        <v>4</v>
      </c>
      <c r="G191" t="str">
        <f>VLOOKUP(F191,Subcategories!$A$2:$B$29,2,0)</f>
        <v>Receiving</v>
      </c>
      <c r="H191" t="str">
        <f t="shared" si="2"/>
        <v>3-4-51</v>
      </c>
      <c r="I191">
        <f>VLOOKUP(H191,SuiteCatSubElem!$F$2:$G$667,2,0)</f>
        <v>190</v>
      </c>
      <c r="J191">
        <v>51</v>
      </c>
      <c r="L191">
        <v>1</v>
      </c>
      <c r="M191" s="127">
        <v>42826.000011574077</v>
      </c>
      <c r="Q191" s="39"/>
    </row>
    <row r="192" spans="1:18">
      <c r="A192">
        <v>192</v>
      </c>
      <c r="B192" s="111" t="s">
        <v>90</v>
      </c>
      <c r="C192" s="24">
        <f>VLOOKUP(B192,Elements!$A$2:$B$435,2,0)</f>
        <v>52</v>
      </c>
      <c r="D192">
        <v>3</v>
      </c>
      <c r="E192" t="str">
        <f>VLOOKUP(D192,Categories!$A$2:$B$8,2,0)</f>
        <v>P2P</v>
      </c>
      <c r="F192">
        <v>4</v>
      </c>
      <c r="G192" t="str">
        <f>VLOOKUP(F192,Subcategories!$A$2:$B$29,2,0)</f>
        <v>Receiving</v>
      </c>
      <c r="H192" t="str">
        <f t="shared" si="2"/>
        <v>3-4-52</v>
      </c>
      <c r="I192">
        <f>VLOOKUP(H192,SuiteCatSubElem!$F$2:$G$667,2,0)</f>
        <v>191</v>
      </c>
      <c r="J192">
        <v>52</v>
      </c>
      <c r="L192">
        <v>1</v>
      </c>
      <c r="M192" s="127">
        <v>42826.000011574077</v>
      </c>
      <c r="Q192" s="39"/>
    </row>
    <row r="193" spans="1:18">
      <c r="A193">
        <v>193</v>
      </c>
      <c r="B193" s="111" t="s">
        <v>91</v>
      </c>
      <c r="C193" s="24">
        <f>VLOOKUP(B193,Elements!$A$2:$B$435,2,0)</f>
        <v>53</v>
      </c>
      <c r="D193">
        <v>3</v>
      </c>
      <c r="E193" t="str">
        <f>VLOOKUP(D193,Categories!$A$2:$B$8,2,0)</f>
        <v>P2P</v>
      </c>
      <c r="F193">
        <v>4</v>
      </c>
      <c r="G193" t="str">
        <f>VLOOKUP(F193,Subcategories!$A$2:$B$29,2,0)</f>
        <v>Receiving</v>
      </c>
      <c r="H193" t="str">
        <f t="shared" si="2"/>
        <v>3-4-53</v>
      </c>
      <c r="I193">
        <f>VLOOKUP(H193,SuiteCatSubElem!$F$2:$G$667,2,0)</f>
        <v>192</v>
      </c>
      <c r="J193">
        <v>53</v>
      </c>
      <c r="L193">
        <v>1</v>
      </c>
      <c r="M193" s="127">
        <v>42826.000011574077</v>
      </c>
      <c r="Q193" s="39"/>
    </row>
    <row r="194" spans="1:18">
      <c r="A194">
        <v>194</v>
      </c>
      <c r="B194" s="111" t="s">
        <v>92</v>
      </c>
      <c r="C194" s="24">
        <f>VLOOKUP(B194,Elements!$A$2:$B$435,2,0)</f>
        <v>54</v>
      </c>
      <c r="D194">
        <v>3</v>
      </c>
      <c r="E194" t="str">
        <f>VLOOKUP(D194,Categories!$A$2:$B$8,2,0)</f>
        <v>P2P</v>
      </c>
      <c r="F194">
        <v>4</v>
      </c>
      <c r="G194" t="str">
        <f>VLOOKUP(F194,Subcategories!$A$2:$B$29,2,0)</f>
        <v>Receiving</v>
      </c>
      <c r="H194" t="str">
        <f t="shared" ref="H194:H257" si="3">_xlfn.CONCAT(D194,"-",F194,"-",C194)</f>
        <v>3-4-54</v>
      </c>
      <c r="I194">
        <f>VLOOKUP(H194,SuiteCatSubElem!$F$2:$G$667,2,0)</f>
        <v>193</v>
      </c>
      <c r="J194">
        <v>54</v>
      </c>
      <c r="L194">
        <v>1</v>
      </c>
      <c r="M194" s="127">
        <v>42826.000011574077</v>
      </c>
      <c r="Q194" s="39"/>
    </row>
    <row r="195" spans="1:18">
      <c r="A195">
        <v>195</v>
      </c>
      <c r="B195" s="111" t="s">
        <v>81</v>
      </c>
      <c r="C195" s="24">
        <f>VLOOKUP(B195,Elements!$A$2:$B$435,2,0)</f>
        <v>44</v>
      </c>
      <c r="D195">
        <v>3</v>
      </c>
      <c r="E195" t="str">
        <f>VLOOKUP(D195,Categories!$A$2:$B$8,2,0)</f>
        <v>P2P</v>
      </c>
      <c r="F195">
        <v>4</v>
      </c>
      <c r="G195" t="str">
        <f>VLOOKUP(F195,Subcategories!$A$2:$B$29,2,0)</f>
        <v>Receiving</v>
      </c>
      <c r="H195" t="str">
        <f t="shared" si="3"/>
        <v>3-4-44</v>
      </c>
      <c r="I195">
        <f>VLOOKUP(H195,SuiteCatSubElem!$F$2:$G$667,2,0)</f>
        <v>194</v>
      </c>
      <c r="J195">
        <v>44</v>
      </c>
      <c r="L195">
        <v>1</v>
      </c>
      <c r="M195" s="127">
        <v>42826.000011574077</v>
      </c>
      <c r="Q195" s="39"/>
    </row>
    <row r="196" spans="1:18">
      <c r="A196">
        <v>196</v>
      </c>
      <c r="B196" s="111" t="s">
        <v>93</v>
      </c>
      <c r="C196" s="24">
        <f>VLOOKUP(B196,Elements!$A$2:$B$435,2,0)</f>
        <v>55</v>
      </c>
      <c r="D196">
        <v>3</v>
      </c>
      <c r="E196" t="str">
        <f>VLOOKUP(D196,Categories!$A$2:$B$8,2,0)</f>
        <v>P2P</v>
      </c>
      <c r="F196">
        <v>5</v>
      </c>
      <c r="G196" t="str">
        <f>VLOOKUP(F196,Subcategories!$A$2:$B$29,2,0)</f>
        <v>Supplier Network</v>
      </c>
      <c r="H196" t="str">
        <f t="shared" si="3"/>
        <v>3-5-55</v>
      </c>
      <c r="I196">
        <f>VLOOKUP(H196,SuiteCatSubElem!$F$2:$G$667,2,0)</f>
        <v>195</v>
      </c>
      <c r="J196">
        <v>55</v>
      </c>
      <c r="L196">
        <v>1</v>
      </c>
      <c r="M196" s="127">
        <v>42826.000011574077</v>
      </c>
      <c r="Q196" s="39"/>
    </row>
    <row r="197" spans="1:18" ht="30">
      <c r="A197">
        <v>197</v>
      </c>
      <c r="B197" s="111" t="s">
        <v>94</v>
      </c>
      <c r="C197" s="24">
        <f>VLOOKUP(B197,Elements!$A$2:$B$435,2,0)</f>
        <v>56</v>
      </c>
      <c r="D197">
        <v>3</v>
      </c>
      <c r="E197" t="str">
        <f>VLOOKUP(D197,Categories!$A$2:$B$8,2,0)</f>
        <v>P2P</v>
      </c>
      <c r="F197">
        <v>5</v>
      </c>
      <c r="G197" t="str">
        <f>VLOOKUP(F197,Subcategories!$A$2:$B$29,2,0)</f>
        <v>Supplier Network</v>
      </c>
      <c r="H197" t="str">
        <f t="shared" si="3"/>
        <v>3-5-56</v>
      </c>
      <c r="I197">
        <f>VLOOKUP(H197,SuiteCatSubElem!$F$2:$G$667,2,0)</f>
        <v>196</v>
      </c>
      <c r="J197">
        <v>56</v>
      </c>
      <c r="L197">
        <v>1</v>
      </c>
      <c r="M197" s="127">
        <v>42826.000011574077</v>
      </c>
      <c r="Q197" s="39"/>
    </row>
    <row r="198" spans="1:18" ht="30">
      <c r="A198">
        <v>198</v>
      </c>
      <c r="B198" s="111" t="s">
        <v>95</v>
      </c>
      <c r="C198" s="24">
        <f>VLOOKUP(B198,Elements!$A$2:$B$435,2,0)</f>
        <v>57</v>
      </c>
      <c r="D198">
        <v>3</v>
      </c>
      <c r="E198" t="str">
        <f>VLOOKUP(D198,Categories!$A$2:$B$8,2,0)</f>
        <v>P2P</v>
      </c>
      <c r="F198">
        <v>5</v>
      </c>
      <c r="G198" t="str">
        <f>VLOOKUP(F198,Subcategories!$A$2:$B$29,2,0)</f>
        <v>Supplier Network</v>
      </c>
      <c r="H198" t="str">
        <f t="shared" si="3"/>
        <v>3-5-57</v>
      </c>
      <c r="I198">
        <f>VLOOKUP(H198,SuiteCatSubElem!$F$2:$G$667,2,0)</f>
        <v>197</v>
      </c>
      <c r="J198">
        <v>57</v>
      </c>
      <c r="L198">
        <v>1</v>
      </c>
      <c r="M198" s="127">
        <v>42826.000011574077</v>
      </c>
      <c r="Q198" s="39"/>
    </row>
    <row r="199" spans="1:18">
      <c r="A199">
        <v>199</v>
      </c>
      <c r="B199" s="111" t="s">
        <v>96</v>
      </c>
      <c r="C199" s="24">
        <f>VLOOKUP(B199,Elements!$A$2:$B$435,2,0)</f>
        <v>58</v>
      </c>
      <c r="D199">
        <v>3</v>
      </c>
      <c r="E199" t="str">
        <f>VLOOKUP(D199,Categories!$A$2:$B$8,2,0)</f>
        <v>P2P</v>
      </c>
      <c r="F199">
        <v>5</v>
      </c>
      <c r="G199" t="str">
        <f>VLOOKUP(F199,Subcategories!$A$2:$B$29,2,0)</f>
        <v>Supplier Network</v>
      </c>
      <c r="H199" t="str">
        <f t="shared" si="3"/>
        <v>3-5-58</v>
      </c>
      <c r="I199">
        <f>VLOOKUP(H199,SuiteCatSubElem!$F$2:$G$667,2,0)</f>
        <v>198</v>
      </c>
      <c r="J199">
        <v>58</v>
      </c>
      <c r="L199">
        <v>1</v>
      </c>
      <c r="M199" s="127">
        <v>42826.000011574077</v>
      </c>
      <c r="Q199" s="39"/>
    </row>
    <row r="200" spans="1:18">
      <c r="A200">
        <v>200</v>
      </c>
      <c r="B200" s="111" t="s">
        <v>97</v>
      </c>
      <c r="C200" s="24">
        <f>VLOOKUP(B200,Elements!$A$2:$B$435,2,0)</f>
        <v>59</v>
      </c>
      <c r="D200" s="47">
        <v>3</v>
      </c>
      <c r="E200" t="str">
        <f>VLOOKUP(D200,Categories!$A$2:$B$8,2,0)</f>
        <v>P2P</v>
      </c>
      <c r="F200">
        <v>5</v>
      </c>
      <c r="G200" t="str">
        <f>VLOOKUP(F200,Subcategories!$A$2:$B$29,2,0)</f>
        <v>Supplier Network</v>
      </c>
      <c r="H200" t="str">
        <f t="shared" si="3"/>
        <v>3-5-59</v>
      </c>
      <c r="I200">
        <f>VLOOKUP(H200,SuiteCatSubElem!$F$2:$G$667,2,0)</f>
        <v>199</v>
      </c>
      <c r="J200">
        <v>59</v>
      </c>
      <c r="K200" s="47"/>
      <c r="L200">
        <v>1</v>
      </c>
      <c r="M200" s="127">
        <v>42826.000011574077</v>
      </c>
      <c r="Q200" s="39"/>
      <c r="R200" s="99"/>
    </row>
    <row r="201" spans="1:18">
      <c r="A201">
        <v>201</v>
      </c>
      <c r="B201" s="111" t="s">
        <v>13</v>
      </c>
      <c r="C201" s="24">
        <f>VLOOKUP(B201,Elements!$A$2:$B$435,2,0)</f>
        <v>60</v>
      </c>
      <c r="D201">
        <v>3</v>
      </c>
      <c r="E201" t="str">
        <f>VLOOKUP(D201,Categories!$A$2:$B$8,2,0)</f>
        <v>P2P</v>
      </c>
      <c r="F201">
        <v>5</v>
      </c>
      <c r="G201" t="str">
        <f>VLOOKUP(F201,Subcategories!$A$2:$B$29,2,0)</f>
        <v>Supplier Network</v>
      </c>
      <c r="H201" t="str">
        <f t="shared" si="3"/>
        <v>3-5-60</v>
      </c>
      <c r="I201">
        <f>VLOOKUP(H201,SuiteCatSubElem!$F$2:$G$667,2,0)</f>
        <v>200</v>
      </c>
      <c r="J201">
        <v>60</v>
      </c>
      <c r="L201">
        <v>1</v>
      </c>
      <c r="M201" s="127">
        <v>42826.000011574077</v>
      </c>
      <c r="Q201" s="39"/>
    </row>
    <row r="202" spans="1:18" ht="30">
      <c r="A202">
        <v>202</v>
      </c>
      <c r="B202" s="111" t="s">
        <v>98</v>
      </c>
      <c r="C202" s="24">
        <f>VLOOKUP(B202,Elements!$A$2:$B$435,2,0)</f>
        <v>61</v>
      </c>
      <c r="D202">
        <v>3</v>
      </c>
      <c r="E202" t="str">
        <f>VLOOKUP(D202,Categories!$A$2:$B$8,2,0)</f>
        <v>P2P</v>
      </c>
      <c r="F202">
        <v>5</v>
      </c>
      <c r="G202" t="str">
        <f>VLOOKUP(F202,Subcategories!$A$2:$B$29,2,0)</f>
        <v>Supplier Network</v>
      </c>
      <c r="H202" t="str">
        <f t="shared" si="3"/>
        <v>3-5-61</v>
      </c>
      <c r="I202">
        <f>VLOOKUP(H202,SuiteCatSubElem!$F$2:$G$667,2,0)</f>
        <v>201</v>
      </c>
      <c r="J202">
        <v>61</v>
      </c>
      <c r="L202">
        <v>1</v>
      </c>
      <c r="M202" s="127">
        <v>42826.000011574077</v>
      </c>
      <c r="Q202" s="39"/>
    </row>
    <row r="203" spans="1:18" ht="30">
      <c r="A203">
        <v>203</v>
      </c>
      <c r="B203" s="111" t="s">
        <v>99</v>
      </c>
      <c r="C203" s="24">
        <f>VLOOKUP(B203,Elements!$A$2:$B$435,2,0)</f>
        <v>62</v>
      </c>
      <c r="D203">
        <v>3</v>
      </c>
      <c r="E203" t="str">
        <f>VLOOKUP(D203,Categories!$A$2:$B$8,2,0)</f>
        <v>P2P</v>
      </c>
      <c r="F203">
        <v>5</v>
      </c>
      <c r="G203" t="str">
        <f>VLOOKUP(F203,Subcategories!$A$2:$B$29,2,0)</f>
        <v>Supplier Network</v>
      </c>
      <c r="H203" t="str">
        <f t="shared" si="3"/>
        <v>3-5-62</v>
      </c>
      <c r="I203">
        <f>VLOOKUP(H203,SuiteCatSubElem!$F$2:$G$667,2,0)</f>
        <v>202</v>
      </c>
      <c r="J203">
        <v>62</v>
      </c>
      <c r="L203">
        <v>1</v>
      </c>
      <c r="M203" s="127">
        <v>42826.000011574077</v>
      </c>
      <c r="Q203" s="39"/>
    </row>
    <row r="204" spans="1:18">
      <c r="A204">
        <v>204</v>
      </c>
      <c r="B204" s="111" t="s">
        <v>100</v>
      </c>
      <c r="C204" s="24">
        <f>VLOOKUP(B204,Elements!$A$2:$B$435,2,0)</f>
        <v>63</v>
      </c>
      <c r="D204">
        <v>3</v>
      </c>
      <c r="E204" t="str">
        <f>VLOOKUP(D204,Categories!$A$2:$B$8,2,0)</f>
        <v>P2P</v>
      </c>
      <c r="F204">
        <v>5</v>
      </c>
      <c r="G204" t="str">
        <f>VLOOKUP(F204,Subcategories!$A$2:$B$29,2,0)</f>
        <v>Supplier Network</v>
      </c>
      <c r="H204" t="str">
        <f t="shared" si="3"/>
        <v>3-5-63</v>
      </c>
      <c r="I204">
        <f>VLOOKUP(H204,SuiteCatSubElem!$F$2:$G$667,2,0)</f>
        <v>203</v>
      </c>
      <c r="J204">
        <v>63</v>
      </c>
      <c r="L204">
        <v>1</v>
      </c>
      <c r="M204" s="127">
        <v>42826.000011574077</v>
      </c>
      <c r="Q204" s="39"/>
    </row>
    <row r="205" spans="1:18">
      <c r="A205">
        <v>205</v>
      </c>
      <c r="B205" s="111" t="s">
        <v>101</v>
      </c>
      <c r="C205" s="24">
        <f>VLOOKUP(B205,Elements!$A$2:$B$435,2,0)</f>
        <v>64</v>
      </c>
      <c r="D205">
        <v>3</v>
      </c>
      <c r="E205" t="str">
        <f>VLOOKUP(D205,Categories!$A$2:$B$8,2,0)</f>
        <v>P2P</v>
      </c>
      <c r="F205">
        <v>6</v>
      </c>
      <c r="G205" t="str">
        <f>VLOOKUP(F205,Subcategories!$A$2:$B$29,2,0)</f>
        <v>Configurability</v>
      </c>
      <c r="H205" t="str">
        <f t="shared" si="3"/>
        <v>3-6-64</v>
      </c>
      <c r="I205">
        <f>VLOOKUP(H205,SuiteCatSubElem!$F$2:$G$667,2,0)</f>
        <v>204</v>
      </c>
      <c r="J205">
        <v>64</v>
      </c>
      <c r="L205">
        <v>1</v>
      </c>
      <c r="M205" s="127">
        <v>42826.000011574077</v>
      </c>
      <c r="Q205" s="39"/>
    </row>
    <row r="206" spans="1:18">
      <c r="A206">
        <v>206</v>
      </c>
      <c r="B206" s="111" t="s">
        <v>362</v>
      </c>
      <c r="C206" s="24">
        <f>VLOOKUP(B206,Elements!$A$2:$B$435,2,0)</f>
        <v>65</v>
      </c>
      <c r="D206">
        <v>3</v>
      </c>
      <c r="E206" t="str">
        <f>VLOOKUP(D206,Categories!$A$2:$B$8,2,0)</f>
        <v>P2P</v>
      </c>
      <c r="F206">
        <v>6</v>
      </c>
      <c r="G206" t="str">
        <f>VLOOKUP(F206,Subcategories!$A$2:$B$29,2,0)</f>
        <v>Configurability</v>
      </c>
      <c r="H206" t="str">
        <f t="shared" si="3"/>
        <v>3-6-65</v>
      </c>
      <c r="I206">
        <f>VLOOKUP(H206,SuiteCatSubElem!$F$2:$G$667,2,0)</f>
        <v>205</v>
      </c>
      <c r="J206">
        <v>65</v>
      </c>
      <c r="L206">
        <v>1</v>
      </c>
      <c r="M206" s="127">
        <v>42826.000011574077</v>
      </c>
      <c r="Q206" s="39"/>
    </row>
    <row r="207" spans="1:18">
      <c r="A207">
        <v>207</v>
      </c>
      <c r="B207" s="111" t="s">
        <v>286</v>
      </c>
      <c r="C207" s="24">
        <f>VLOOKUP(B207,Elements!$A$2:$B$435,2,0)</f>
        <v>66</v>
      </c>
      <c r="D207">
        <v>3</v>
      </c>
      <c r="E207" t="str">
        <f>VLOOKUP(D207,Categories!$A$2:$B$8,2,0)</f>
        <v>P2P</v>
      </c>
      <c r="F207">
        <v>6</v>
      </c>
      <c r="G207" t="str">
        <f>VLOOKUP(F207,Subcategories!$A$2:$B$29,2,0)</f>
        <v>Configurability</v>
      </c>
      <c r="H207" t="str">
        <f t="shared" si="3"/>
        <v>3-6-66</v>
      </c>
      <c r="I207">
        <f>VLOOKUP(H207,SuiteCatSubElem!$F$2:$G$667,2,0)</f>
        <v>206</v>
      </c>
      <c r="J207">
        <v>66</v>
      </c>
      <c r="L207">
        <v>1</v>
      </c>
      <c r="M207" s="127">
        <v>42826.000011574077</v>
      </c>
      <c r="Q207" s="39"/>
    </row>
    <row r="208" spans="1:18">
      <c r="A208">
        <v>208</v>
      </c>
      <c r="B208" s="97" t="s">
        <v>288</v>
      </c>
      <c r="C208" s="24">
        <f>VLOOKUP(B208,Elements!$A$2:$B$435,2,0)</f>
        <v>67</v>
      </c>
      <c r="D208">
        <v>3</v>
      </c>
      <c r="E208" t="str">
        <f>VLOOKUP(D208,Categories!$A$2:$B$8,2,0)</f>
        <v>P2P</v>
      </c>
      <c r="F208">
        <v>6</v>
      </c>
      <c r="G208" t="str">
        <f>VLOOKUP(F208,Subcategories!$A$2:$B$29,2,0)</f>
        <v>Configurability</v>
      </c>
      <c r="H208" t="str">
        <f t="shared" si="3"/>
        <v>3-6-67</v>
      </c>
      <c r="I208">
        <f>VLOOKUP(H208,SuiteCatSubElem!$F$2:$G$667,2,0)</f>
        <v>207</v>
      </c>
      <c r="J208">
        <v>67</v>
      </c>
      <c r="L208">
        <v>1</v>
      </c>
      <c r="M208" s="127">
        <v>42826.000011574077</v>
      </c>
      <c r="Q208" s="39"/>
    </row>
    <row r="209" spans="1:18">
      <c r="A209">
        <v>209</v>
      </c>
      <c r="B209" s="111" t="s">
        <v>104</v>
      </c>
      <c r="C209" s="24">
        <f>VLOOKUP(B209,Elements!$A$2:$B$435,2,0)</f>
        <v>68</v>
      </c>
      <c r="D209">
        <v>3</v>
      </c>
      <c r="E209" t="str">
        <f>VLOOKUP(D209,Categories!$A$2:$B$8,2,0)</f>
        <v>P2P</v>
      </c>
      <c r="F209">
        <v>6</v>
      </c>
      <c r="G209" t="str">
        <f>VLOOKUP(F209,Subcategories!$A$2:$B$29,2,0)</f>
        <v>Configurability</v>
      </c>
      <c r="H209" t="str">
        <f t="shared" si="3"/>
        <v>3-6-68</v>
      </c>
      <c r="I209">
        <f>VLOOKUP(H209,SuiteCatSubElem!$F$2:$G$667,2,0)</f>
        <v>208</v>
      </c>
      <c r="J209">
        <v>68</v>
      </c>
      <c r="L209">
        <v>1</v>
      </c>
      <c r="M209" s="127">
        <v>42826.000011574077</v>
      </c>
      <c r="Q209" s="39"/>
    </row>
    <row r="210" spans="1:18">
      <c r="A210">
        <v>210</v>
      </c>
      <c r="B210" s="111" t="s">
        <v>105</v>
      </c>
      <c r="C210" s="24">
        <f>VLOOKUP(B210,Elements!$A$2:$B$435,2,0)</f>
        <v>69</v>
      </c>
      <c r="D210">
        <v>3</v>
      </c>
      <c r="E210" t="str">
        <f>VLOOKUP(D210,Categories!$A$2:$B$8,2,0)</f>
        <v>P2P</v>
      </c>
      <c r="F210">
        <v>6</v>
      </c>
      <c r="G210" t="str">
        <f>VLOOKUP(F210,Subcategories!$A$2:$B$29,2,0)</f>
        <v>Configurability</v>
      </c>
      <c r="H210" t="str">
        <f t="shared" si="3"/>
        <v>3-6-69</v>
      </c>
      <c r="I210">
        <f>VLOOKUP(H210,SuiteCatSubElem!$F$2:$G$667,2,0)</f>
        <v>209</v>
      </c>
      <c r="J210">
        <v>69</v>
      </c>
      <c r="L210">
        <v>1</v>
      </c>
      <c r="M210" s="127">
        <v>42826.000011574077</v>
      </c>
      <c r="Q210" s="39"/>
    </row>
    <row r="211" spans="1:18">
      <c r="A211">
        <v>211</v>
      </c>
      <c r="B211" s="111" t="s">
        <v>106</v>
      </c>
      <c r="C211" s="24">
        <f>VLOOKUP(B211,Elements!$A$2:$B$435,2,0)</f>
        <v>70</v>
      </c>
      <c r="D211">
        <v>3</v>
      </c>
      <c r="E211" t="str">
        <f>VLOOKUP(D211,Categories!$A$2:$B$8,2,0)</f>
        <v>P2P</v>
      </c>
      <c r="F211">
        <v>6</v>
      </c>
      <c r="G211" t="str">
        <f>VLOOKUP(F211,Subcategories!$A$2:$B$29,2,0)</f>
        <v>Configurability</v>
      </c>
      <c r="H211" t="str">
        <f t="shared" si="3"/>
        <v>3-6-70</v>
      </c>
      <c r="I211">
        <f>VLOOKUP(H211,SuiteCatSubElem!$F$2:$G$667,2,0)</f>
        <v>210</v>
      </c>
      <c r="J211">
        <v>70</v>
      </c>
      <c r="L211">
        <v>1</v>
      </c>
      <c r="M211" s="127">
        <v>42826.000011574077</v>
      </c>
      <c r="Q211" s="39"/>
    </row>
    <row r="212" spans="1:18">
      <c r="A212">
        <v>212</v>
      </c>
      <c r="B212" s="111" t="s">
        <v>522</v>
      </c>
      <c r="C212" s="24">
        <f>VLOOKUP(B212,Elements!$A$2:$B$435,2,0)</f>
        <v>71</v>
      </c>
      <c r="D212">
        <v>3</v>
      </c>
      <c r="E212" t="str">
        <f>VLOOKUP(D212,Categories!$A$2:$B$8,2,0)</f>
        <v>P2P</v>
      </c>
      <c r="F212">
        <v>7</v>
      </c>
      <c r="G212" t="str">
        <f>VLOOKUP(F212,Subcategories!$A$2:$B$29,2,0)</f>
        <v>Technology</v>
      </c>
      <c r="H212" t="str">
        <f t="shared" si="3"/>
        <v>3-7-71</v>
      </c>
      <c r="I212">
        <f>VLOOKUP(H212,SuiteCatSubElem!$F$2:$G$667,2,0)</f>
        <v>211</v>
      </c>
      <c r="J212">
        <v>71</v>
      </c>
      <c r="L212">
        <v>1</v>
      </c>
      <c r="M212" s="127">
        <v>42826.000011574077</v>
      </c>
      <c r="Q212" s="39"/>
    </row>
    <row r="213" spans="1:18">
      <c r="A213">
        <v>213</v>
      </c>
      <c r="B213" s="111" t="s">
        <v>47</v>
      </c>
      <c r="C213" s="24">
        <f>VLOOKUP(B213,Elements!$A$2:$B$435,2,0)</f>
        <v>10</v>
      </c>
      <c r="D213">
        <v>3</v>
      </c>
      <c r="E213" t="str">
        <f>VLOOKUP(D213,Categories!$A$2:$B$8,2,0)</f>
        <v>P2P</v>
      </c>
      <c r="F213">
        <v>7</v>
      </c>
      <c r="G213" t="str">
        <f>VLOOKUP(F213,Subcategories!$A$2:$B$29,2,0)</f>
        <v>Technology</v>
      </c>
      <c r="H213" t="str">
        <f t="shared" si="3"/>
        <v>3-7-10</v>
      </c>
      <c r="I213">
        <f>VLOOKUP(H213,SuiteCatSubElem!$F$2:$G$667,2,0)</f>
        <v>212</v>
      </c>
      <c r="J213">
        <v>10</v>
      </c>
      <c r="L213">
        <v>1</v>
      </c>
      <c r="M213" s="127">
        <v>42826.000011574077</v>
      </c>
      <c r="Q213" s="135"/>
      <c r="R213" s="100"/>
    </row>
    <row r="214" spans="1:18">
      <c r="A214">
        <v>214</v>
      </c>
      <c r="B214" s="111" t="s">
        <v>108</v>
      </c>
      <c r="C214" s="24">
        <f>VLOOKUP(B214,Elements!$A$2:$B$435,2,0)</f>
        <v>72</v>
      </c>
      <c r="D214">
        <v>3</v>
      </c>
      <c r="E214" t="str">
        <f>VLOOKUP(D214,Categories!$A$2:$B$8,2,0)</f>
        <v>P2P</v>
      </c>
      <c r="F214">
        <v>7</v>
      </c>
      <c r="G214" t="str">
        <f>VLOOKUP(F214,Subcategories!$A$2:$B$29,2,0)</f>
        <v>Technology</v>
      </c>
      <c r="H214" t="str">
        <f t="shared" si="3"/>
        <v>3-7-72</v>
      </c>
      <c r="I214">
        <f>VLOOKUP(H214,SuiteCatSubElem!$F$2:$G$667,2,0)</f>
        <v>213</v>
      </c>
      <c r="J214">
        <v>72</v>
      </c>
      <c r="L214">
        <v>1</v>
      </c>
      <c r="M214" s="127">
        <v>42826.000011574077</v>
      </c>
      <c r="Q214" s="40"/>
    </row>
    <row r="215" spans="1:18">
      <c r="A215">
        <v>215</v>
      </c>
      <c r="B215" s="111" t="s">
        <v>353</v>
      </c>
      <c r="C215" s="24">
        <f>VLOOKUP(B215,Elements!$A$2:$B$435,2,0)</f>
        <v>73</v>
      </c>
      <c r="D215">
        <v>3</v>
      </c>
      <c r="E215" t="str">
        <f>VLOOKUP(D215,Categories!$A$2:$B$8,2,0)</f>
        <v>P2P</v>
      </c>
      <c r="F215">
        <v>7</v>
      </c>
      <c r="G215" t="str">
        <f>VLOOKUP(F215,Subcategories!$A$2:$B$29,2,0)</f>
        <v>Technology</v>
      </c>
      <c r="H215" t="str">
        <f t="shared" si="3"/>
        <v>3-7-73</v>
      </c>
      <c r="I215">
        <f>VLOOKUP(H215,SuiteCatSubElem!$F$2:$G$667,2,0)</f>
        <v>214</v>
      </c>
      <c r="J215">
        <v>73</v>
      </c>
      <c r="L215">
        <v>1</v>
      </c>
      <c r="M215" s="127">
        <v>42826.000011574077</v>
      </c>
      <c r="Q215" s="40"/>
    </row>
    <row r="216" spans="1:18">
      <c r="A216">
        <v>216</v>
      </c>
      <c r="B216" s="111" t="s">
        <v>109</v>
      </c>
      <c r="C216" s="24">
        <f>VLOOKUP(B216,Elements!$A$2:$B$435,2,0)</f>
        <v>74</v>
      </c>
      <c r="D216">
        <v>3</v>
      </c>
      <c r="E216" t="str">
        <f>VLOOKUP(D216,Categories!$A$2:$B$8,2,0)</f>
        <v>P2P</v>
      </c>
      <c r="F216">
        <v>7</v>
      </c>
      <c r="G216" t="str">
        <f>VLOOKUP(F216,Subcategories!$A$2:$B$29,2,0)</f>
        <v>Technology</v>
      </c>
      <c r="H216" t="str">
        <f t="shared" si="3"/>
        <v>3-7-74</v>
      </c>
      <c r="I216">
        <f>VLOOKUP(H216,SuiteCatSubElem!$F$2:$G$667,2,0)</f>
        <v>215</v>
      </c>
      <c r="J216">
        <v>74</v>
      </c>
      <c r="L216">
        <v>1</v>
      </c>
      <c r="M216" s="127">
        <v>42826.000011574077</v>
      </c>
      <c r="Q216" s="40"/>
    </row>
    <row r="217" spans="1:18">
      <c r="A217">
        <v>217</v>
      </c>
      <c r="B217" s="111" t="s">
        <v>355</v>
      </c>
      <c r="C217" s="24">
        <f>VLOOKUP(B217,Elements!$A$2:$B$435,2,0)</f>
        <v>75</v>
      </c>
      <c r="D217">
        <v>3</v>
      </c>
      <c r="E217" t="str">
        <f>VLOOKUP(D217,Categories!$A$2:$B$8,2,0)</f>
        <v>P2P</v>
      </c>
      <c r="F217">
        <v>7</v>
      </c>
      <c r="G217" t="str">
        <f>VLOOKUP(F217,Subcategories!$A$2:$B$29,2,0)</f>
        <v>Technology</v>
      </c>
      <c r="H217" t="str">
        <f t="shared" si="3"/>
        <v>3-7-75</v>
      </c>
      <c r="I217">
        <f>VLOOKUP(H217,SuiteCatSubElem!$F$2:$G$667,2,0)</f>
        <v>216</v>
      </c>
      <c r="J217">
        <v>75</v>
      </c>
      <c r="L217">
        <v>1</v>
      </c>
      <c r="M217" s="127">
        <v>42826.000011574077</v>
      </c>
      <c r="Q217" s="39"/>
    </row>
    <row r="218" spans="1:18">
      <c r="A218">
        <v>218</v>
      </c>
      <c r="B218" s="111" t="s">
        <v>110</v>
      </c>
      <c r="C218" s="24">
        <f>VLOOKUP(B218,Elements!$A$2:$B$435,2,0)</f>
        <v>76</v>
      </c>
      <c r="D218">
        <v>3</v>
      </c>
      <c r="E218" t="str">
        <f>VLOOKUP(D218,Categories!$A$2:$B$8,2,0)</f>
        <v>P2P</v>
      </c>
      <c r="F218">
        <v>7</v>
      </c>
      <c r="G218" t="str">
        <f>VLOOKUP(F218,Subcategories!$A$2:$B$29,2,0)</f>
        <v>Technology</v>
      </c>
      <c r="H218" t="str">
        <f t="shared" si="3"/>
        <v>3-7-76</v>
      </c>
      <c r="I218">
        <f>VLOOKUP(H218,SuiteCatSubElem!$F$2:$G$667,2,0)</f>
        <v>217</v>
      </c>
      <c r="J218">
        <v>76</v>
      </c>
      <c r="L218">
        <v>1</v>
      </c>
      <c r="M218" s="127">
        <v>42826.000011574077</v>
      </c>
      <c r="Q218" s="40"/>
    </row>
    <row r="219" spans="1:18">
      <c r="A219">
        <v>219</v>
      </c>
      <c r="B219" s="111" t="s">
        <v>111</v>
      </c>
      <c r="C219" s="24">
        <f>VLOOKUP(B219,Elements!$A$2:$B$435,2,0)</f>
        <v>77</v>
      </c>
      <c r="D219">
        <v>3</v>
      </c>
      <c r="E219" t="str">
        <f>VLOOKUP(D219,Categories!$A$2:$B$8,2,0)</f>
        <v>P2P</v>
      </c>
      <c r="F219">
        <v>7</v>
      </c>
      <c r="G219" t="str">
        <f>VLOOKUP(F219,Subcategories!$A$2:$B$29,2,0)</f>
        <v>Technology</v>
      </c>
      <c r="H219" t="str">
        <f t="shared" si="3"/>
        <v>3-7-77</v>
      </c>
      <c r="I219">
        <f>VLOOKUP(H219,SuiteCatSubElem!$F$2:$G$667,2,0)</f>
        <v>218</v>
      </c>
      <c r="J219">
        <v>77</v>
      </c>
      <c r="L219">
        <v>1</v>
      </c>
      <c r="M219" s="127">
        <v>42826.000011574077</v>
      </c>
      <c r="Q219" s="40"/>
    </row>
    <row r="220" spans="1:18">
      <c r="A220">
        <v>220</v>
      </c>
      <c r="B220" s="111" t="s">
        <v>112</v>
      </c>
      <c r="C220" s="24">
        <f>VLOOKUP(B220,Elements!$A$2:$B$435,2,0)</f>
        <v>78</v>
      </c>
      <c r="D220">
        <v>3</v>
      </c>
      <c r="E220" t="str">
        <f>VLOOKUP(D220,Categories!$A$2:$B$8,2,0)</f>
        <v>P2P</v>
      </c>
      <c r="F220">
        <v>7</v>
      </c>
      <c r="G220" t="str">
        <f>VLOOKUP(F220,Subcategories!$A$2:$B$29,2,0)</f>
        <v>Technology</v>
      </c>
      <c r="H220" t="str">
        <f t="shared" si="3"/>
        <v>3-7-78</v>
      </c>
      <c r="I220">
        <f>VLOOKUP(H220,SuiteCatSubElem!$F$2:$G$667,2,0)</f>
        <v>219</v>
      </c>
      <c r="J220">
        <v>78</v>
      </c>
      <c r="L220">
        <v>1</v>
      </c>
      <c r="M220" s="127">
        <v>42826.000011574077</v>
      </c>
      <c r="Q220" s="39"/>
    </row>
    <row r="221" spans="1:18">
      <c r="A221">
        <v>221</v>
      </c>
      <c r="B221" s="111" t="s">
        <v>113</v>
      </c>
      <c r="C221" s="24">
        <f>VLOOKUP(B221,Elements!$A$2:$B$435,2,0)</f>
        <v>79</v>
      </c>
      <c r="D221">
        <v>3</v>
      </c>
      <c r="E221" t="str">
        <f>VLOOKUP(D221,Categories!$A$2:$B$8,2,0)</f>
        <v>P2P</v>
      </c>
      <c r="F221">
        <v>7</v>
      </c>
      <c r="G221" t="str">
        <f>VLOOKUP(F221,Subcategories!$A$2:$B$29,2,0)</f>
        <v>Technology</v>
      </c>
      <c r="H221" t="str">
        <f t="shared" si="3"/>
        <v>3-7-79</v>
      </c>
      <c r="I221">
        <f>VLOOKUP(H221,SuiteCatSubElem!$F$2:$G$667,2,0)</f>
        <v>220</v>
      </c>
      <c r="J221">
        <v>79</v>
      </c>
      <c r="L221">
        <v>1</v>
      </c>
      <c r="M221" s="127">
        <v>42826.000011574077</v>
      </c>
      <c r="Q221" s="39"/>
    </row>
    <row r="222" spans="1:18">
      <c r="A222">
        <v>222</v>
      </c>
      <c r="B222" s="111" t="s">
        <v>114</v>
      </c>
      <c r="C222" s="24">
        <f>VLOOKUP(B222,Elements!$A$2:$B$435,2,0)</f>
        <v>80</v>
      </c>
      <c r="D222">
        <v>3</v>
      </c>
      <c r="E222" t="str">
        <f>VLOOKUP(D222,Categories!$A$2:$B$8,2,0)</f>
        <v>P2P</v>
      </c>
      <c r="F222">
        <v>7</v>
      </c>
      <c r="G222" t="str">
        <f>VLOOKUP(F222,Subcategories!$A$2:$B$29,2,0)</f>
        <v>Technology</v>
      </c>
      <c r="H222" t="str">
        <f t="shared" si="3"/>
        <v>3-7-80</v>
      </c>
      <c r="I222">
        <f>VLOOKUP(H222,SuiteCatSubElem!$F$2:$G$667,2,0)</f>
        <v>221</v>
      </c>
      <c r="J222">
        <v>80</v>
      </c>
      <c r="L222">
        <v>1</v>
      </c>
      <c r="M222" s="127">
        <v>42826.000011574077</v>
      </c>
      <c r="Q222" s="39"/>
    </row>
    <row r="223" spans="1:18">
      <c r="A223">
        <v>223</v>
      </c>
      <c r="B223" s="111" t="s">
        <v>115</v>
      </c>
      <c r="C223" s="24">
        <f>VLOOKUP(B223,Elements!$A$2:$B$435,2,0)</f>
        <v>81</v>
      </c>
      <c r="D223">
        <v>3</v>
      </c>
      <c r="E223" t="str">
        <f>VLOOKUP(D223,Categories!$A$2:$B$8,2,0)</f>
        <v>P2P</v>
      </c>
      <c r="F223">
        <v>7</v>
      </c>
      <c r="G223" t="str">
        <f>VLOOKUP(F223,Subcategories!$A$2:$B$29,2,0)</f>
        <v>Technology</v>
      </c>
      <c r="H223" t="str">
        <f t="shared" si="3"/>
        <v>3-7-81</v>
      </c>
      <c r="I223">
        <f>VLOOKUP(H223,SuiteCatSubElem!$F$2:$G$667,2,0)</f>
        <v>222</v>
      </c>
      <c r="J223">
        <v>81</v>
      </c>
      <c r="L223">
        <v>1</v>
      </c>
      <c r="M223" s="127">
        <v>42826.000011574077</v>
      </c>
      <c r="Q223" s="125"/>
    </row>
    <row r="224" spans="1:18">
      <c r="A224">
        <v>224</v>
      </c>
      <c r="B224" s="111" t="s">
        <v>116</v>
      </c>
      <c r="C224" s="24">
        <f>VLOOKUP(B224,Elements!$A$2:$B$435,2,0)</f>
        <v>82</v>
      </c>
      <c r="D224">
        <v>3</v>
      </c>
      <c r="E224" t="str">
        <f>VLOOKUP(D224,Categories!$A$2:$B$8,2,0)</f>
        <v>P2P</v>
      </c>
      <c r="F224">
        <v>7</v>
      </c>
      <c r="G224" t="str">
        <f>VLOOKUP(F224,Subcategories!$A$2:$B$29,2,0)</f>
        <v>Technology</v>
      </c>
      <c r="H224" t="str">
        <f t="shared" si="3"/>
        <v>3-7-82</v>
      </c>
      <c r="I224">
        <f>VLOOKUP(H224,SuiteCatSubElem!$F$2:$G$667,2,0)</f>
        <v>223</v>
      </c>
      <c r="J224">
        <v>82</v>
      </c>
      <c r="L224">
        <v>1</v>
      </c>
      <c r="M224" s="127">
        <v>42826.000011574077</v>
      </c>
      <c r="Q224" s="39"/>
    </row>
    <row r="225" spans="1:18">
      <c r="A225">
        <v>225</v>
      </c>
      <c r="B225" s="111" t="s">
        <v>117</v>
      </c>
      <c r="C225" s="24">
        <f>VLOOKUP(B225,Elements!$A$2:$B$435,2,0)</f>
        <v>83</v>
      </c>
      <c r="D225">
        <v>3</v>
      </c>
      <c r="E225" t="str">
        <f>VLOOKUP(D225,Categories!$A$2:$B$8,2,0)</f>
        <v>P2P</v>
      </c>
      <c r="F225">
        <v>8</v>
      </c>
      <c r="G225" t="str">
        <f>VLOOKUP(F225,Subcategories!$A$2:$B$29,2,0)</f>
        <v>General Services</v>
      </c>
      <c r="H225" t="str">
        <f t="shared" si="3"/>
        <v>3-8-83</v>
      </c>
      <c r="I225">
        <f>VLOOKUP(H225,SuiteCatSubElem!$F$2:$G$667,2,0)</f>
        <v>224</v>
      </c>
      <c r="J225">
        <v>83</v>
      </c>
      <c r="L225">
        <v>1</v>
      </c>
      <c r="M225" s="127">
        <v>42826.000011574077</v>
      </c>
      <c r="Q225" s="39"/>
    </row>
    <row r="226" spans="1:18" ht="30">
      <c r="A226">
        <v>226</v>
      </c>
      <c r="B226" s="111" t="s">
        <v>118</v>
      </c>
      <c r="C226" s="24">
        <f>VLOOKUP(B226,Elements!$A$2:$B$435,2,0)</f>
        <v>84</v>
      </c>
      <c r="D226">
        <v>3</v>
      </c>
      <c r="E226" t="str">
        <f>VLOOKUP(D226,Categories!$A$2:$B$8,2,0)</f>
        <v>P2P</v>
      </c>
      <c r="F226">
        <v>8</v>
      </c>
      <c r="G226" t="str">
        <f>VLOOKUP(F226,Subcategories!$A$2:$B$29,2,0)</f>
        <v>General Services</v>
      </c>
      <c r="H226" t="str">
        <f t="shared" si="3"/>
        <v>3-8-84</v>
      </c>
      <c r="I226">
        <f>VLOOKUP(H226,SuiteCatSubElem!$F$2:$G$667,2,0)</f>
        <v>225</v>
      </c>
      <c r="J226">
        <v>84</v>
      </c>
      <c r="L226">
        <v>1</v>
      </c>
      <c r="M226" s="127">
        <v>42826.000011574077</v>
      </c>
      <c r="Q226" s="39"/>
    </row>
    <row r="227" spans="1:18">
      <c r="A227">
        <v>227</v>
      </c>
      <c r="B227" s="111" t="s">
        <v>119</v>
      </c>
      <c r="C227" s="24">
        <f>VLOOKUP(B227,Elements!$A$2:$B$435,2,0)</f>
        <v>85</v>
      </c>
      <c r="D227">
        <v>3</v>
      </c>
      <c r="E227" t="str">
        <f>VLOOKUP(D227,Categories!$A$2:$B$8,2,0)</f>
        <v>P2P</v>
      </c>
      <c r="F227">
        <v>8</v>
      </c>
      <c r="G227" t="str">
        <f>VLOOKUP(F227,Subcategories!$A$2:$B$29,2,0)</f>
        <v>General Services</v>
      </c>
      <c r="H227" t="str">
        <f t="shared" si="3"/>
        <v>3-8-85</v>
      </c>
      <c r="I227">
        <f>VLOOKUP(H227,SuiteCatSubElem!$F$2:$G$667,2,0)</f>
        <v>226</v>
      </c>
      <c r="J227">
        <v>85</v>
      </c>
      <c r="L227">
        <v>1</v>
      </c>
      <c r="M227" s="127">
        <v>42826.000011574077</v>
      </c>
      <c r="Q227" s="39"/>
    </row>
    <row r="228" spans="1:18">
      <c r="A228">
        <v>228</v>
      </c>
      <c r="B228" s="111" t="s">
        <v>527</v>
      </c>
      <c r="C228" s="24">
        <f>VLOOKUP(B228,Elements!$A$2:$B$435,2,0)</f>
        <v>86</v>
      </c>
      <c r="D228">
        <v>3</v>
      </c>
      <c r="E228" t="str">
        <f>VLOOKUP(D228,Categories!$A$2:$B$8,2,0)</f>
        <v>P2P</v>
      </c>
      <c r="F228">
        <v>9</v>
      </c>
      <c r="G228" t="str">
        <f>VLOOKUP(F228,Subcategories!$A$2:$B$29,2,0)</f>
        <v>Invoicing</v>
      </c>
      <c r="H228" t="str">
        <f t="shared" si="3"/>
        <v>3-9-86</v>
      </c>
      <c r="I228">
        <f>VLOOKUP(H228,SuiteCatSubElem!$F$2:$G$667,2,0)</f>
        <v>227</v>
      </c>
      <c r="J228">
        <v>86</v>
      </c>
      <c r="L228">
        <v>1</v>
      </c>
      <c r="M228" s="127">
        <v>42826.000011574077</v>
      </c>
      <c r="Q228" s="132"/>
    </row>
    <row r="229" spans="1:18" ht="30">
      <c r="A229">
        <v>229</v>
      </c>
      <c r="B229" s="111" t="s">
        <v>121</v>
      </c>
      <c r="C229" s="24">
        <f>VLOOKUP(B229,Elements!$A$2:$B$435,2,0)</f>
        <v>87</v>
      </c>
      <c r="D229" s="47">
        <v>3</v>
      </c>
      <c r="E229" t="str">
        <f>VLOOKUP(D229,Categories!$A$2:$B$8,2,0)</f>
        <v>P2P</v>
      </c>
      <c r="F229">
        <v>9</v>
      </c>
      <c r="G229" t="str">
        <f>VLOOKUP(F229,Subcategories!$A$2:$B$29,2,0)</f>
        <v>Invoicing</v>
      </c>
      <c r="H229" t="str">
        <f t="shared" si="3"/>
        <v>3-9-87</v>
      </c>
      <c r="I229">
        <f>VLOOKUP(H229,SuiteCatSubElem!$F$2:$G$667,2,0)</f>
        <v>228</v>
      </c>
      <c r="J229">
        <v>87</v>
      </c>
      <c r="K229" s="47"/>
      <c r="L229">
        <v>1</v>
      </c>
      <c r="M229" s="127">
        <v>42826.000011574077</v>
      </c>
      <c r="Q229" s="93"/>
      <c r="R229" s="99"/>
    </row>
    <row r="230" spans="1:18" ht="30">
      <c r="A230">
        <v>230</v>
      </c>
      <c r="B230" s="111" t="s">
        <v>122</v>
      </c>
      <c r="C230" s="24">
        <f>VLOOKUP(B230,Elements!$A$2:$B$435,2,0)</f>
        <v>88</v>
      </c>
      <c r="D230">
        <v>3</v>
      </c>
      <c r="E230" t="str">
        <f>VLOOKUP(D230,Categories!$A$2:$B$8,2,0)</f>
        <v>P2P</v>
      </c>
      <c r="F230">
        <v>9</v>
      </c>
      <c r="G230" t="str">
        <f>VLOOKUP(F230,Subcategories!$A$2:$B$29,2,0)</f>
        <v>Invoicing</v>
      </c>
      <c r="H230" t="str">
        <f t="shared" si="3"/>
        <v>3-9-88</v>
      </c>
      <c r="I230">
        <f>VLOOKUP(H230,SuiteCatSubElem!$F$2:$G$667,2,0)</f>
        <v>229</v>
      </c>
      <c r="J230">
        <v>88</v>
      </c>
      <c r="L230">
        <v>1</v>
      </c>
      <c r="M230" s="127">
        <v>42826.000011574077</v>
      </c>
      <c r="Q230" s="93"/>
    </row>
    <row r="231" spans="1:18">
      <c r="A231">
        <v>231</v>
      </c>
      <c r="B231" s="111" t="s">
        <v>123</v>
      </c>
      <c r="C231" s="24">
        <f>VLOOKUP(B231,Elements!$A$2:$B$435,2,0)</f>
        <v>89</v>
      </c>
      <c r="D231">
        <v>3</v>
      </c>
      <c r="E231" t="str">
        <f>VLOOKUP(D231,Categories!$A$2:$B$8,2,0)</f>
        <v>P2P</v>
      </c>
      <c r="F231">
        <v>9</v>
      </c>
      <c r="G231" t="str">
        <f>VLOOKUP(F231,Subcategories!$A$2:$B$29,2,0)</f>
        <v>Invoicing</v>
      </c>
      <c r="H231" t="str">
        <f t="shared" si="3"/>
        <v>3-9-89</v>
      </c>
      <c r="I231">
        <f>VLOOKUP(H231,SuiteCatSubElem!$F$2:$G$667,2,0)</f>
        <v>230</v>
      </c>
      <c r="J231">
        <v>89</v>
      </c>
      <c r="L231">
        <v>1</v>
      </c>
      <c r="M231" s="127">
        <v>42826.000011574077</v>
      </c>
      <c r="Q231" s="93"/>
    </row>
    <row r="232" spans="1:18">
      <c r="A232">
        <v>232</v>
      </c>
      <c r="B232" s="111" t="s">
        <v>124</v>
      </c>
      <c r="C232" s="24">
        <f>VLOOKUP(B232,Elements!$A$2:$B$435,2,0)</f>
        <v>90</v>
      </c>
      <c r="D232">
        <v>3</v>
      </c>
      <c r="E232" t="str">
        <f>VLOOKUP(D232,Categories!$A$2:$B$8,2,0)</f>
        <v>P2P</v>
      </c>
      <c r="F232">
        <v>9</v>
      </c>
      <c r="G232" t="str">
        <f>VLOOKUP(F232,Subcategories!$A$2:$B$29,2,0)</f>
        <v>Invoicing</v>
      </c>
      <c r="H232" t="str">
        <f t="shared" si="3"/>
        <v>3-9-90</v>
      </c>
      <c r="I232">
        <f>VLOOKUP(H232,SuiteCatSubElem!$F$2:$G$667,2,0)</f>
        <v>231</v>
      </c>
      <c r="J232">
        <v>90</v>
      </c>
      <c r="L232">
        <v>1</v>
      </c>
      <c r="M232" s="127">
        <v>42826.000011574077</v>
      </c>
      <c r="Q232" s="93"/>
    </row>
    <row r="233" spans="1:18">
      <c r="A233">
        <v>233</v>
      </c>
      <c r="B233" s="111" t="s">
        <v>526</v>
      </c>
      <c r="C233" s="24">
        <f>VLOOKUP(B233,Elements!$A$2:$B$435,2,0)</f>
        <v>91</v>
      </c>
      <c r="D233">
        <v>3</v>
      </c>
      <c r="E233" t="str">
        <f>VLOOKUP(D233,Categories!$A$2:$B$8,2,0)</f>
        <v>P2P</v>
      </c>
      <c r="F233">
        <v>9</v>
      </c>
      <c r="G233" t="str">
        <f>VLOOKUP(F233,Subcategories!$A$2:$B$29,2,0)</f>
        <v>Invoicing</v>
      </c>
      <c r="H233" t="str">
        <f t="shared" si="3"/>
        <v>3-9-91</v>
      </c>
      <c r="I233">
        <f>VLOOKUP(H233,SuiteCatSubElem!$F$2:$G$667,2,0)</f>
        <v>232</v>
      </c>
      <c r="J233">
        <v>91</v>
      </c>
      <c r="L233">
        <v>1</v>
      </c>
      <c r="M233" s="127">
        <v>42826.000011574077</v>
      </c>
      <c r="Q233" s="93"/>
    </row>
    <row r="234" spans="1:18">
      <c r="A234">
        <v>234</v>
      </c>
      <c r="B234" s="111" t="s">
        <v>126</v>
      </c>
      <c r="C234" s="24">
        <f>VLOOKUP(B234,Elements!$A$2:$B$435,2,0)</f>
        <v>92</v>
      </c>
      <c r="D234" s="47">
        <v>3</v>
      </c>
      <c r="E234" t="str">
        <f>VLOOKUP(D234,Categories!$A$2:$B$8,2,0)</f>
        <v>P2P</v>
      </c>
      <c r="F234">
        <v>9</v>
      </c>
      <c r="G234" t="str">
        <f>VLOOKUP(F234,Subcategories!$A$2:$B$29,2,0)</f>
        <v>Invoicing</v>
      </c>
      <c r="H234" t="str">
        <f t="shared" si="3"/>
        <v>3-9-92</v>
      </c>
      <c r="I234">
        <f>VLOOKUP(H234,SuiteCatSubElem!$F$2:$G$667,2,0)</f>
        <v>233</v>
      </c>
      <c r="J234">
        <v>92</v>
      </c>
      <c r="K234" s="47"/>
      <c r="L234">
        <v>1</v>
      </c>
      <c r="M234" s="127">
        <v>42826.000011574077</v>
      </c>
      <c r="Q234" s="93"/>
      <c r="R234" s="99"/>
    </row>
    <row r="235" spans="1:18">
      <c r="A235">
        <v>235</v>
      </c>
      <c r="B235" s="111" t="s">
        <v>127</v>
      </c>
      <c r="C235" s="24">
        <f>VLOOKUP(B235,Elements!$A$2:$B$435,2,0)</f>
        <v>93</v>
      </c>
      <c r="D235">
        <v>3</v>
      </c>
      <c r="E235" t="str">
        <f>VLOOKUP(D235,Categories!$A$2:$B$8,2,0)</f>
        <v>P2P</v>
      </c>
      <c r="F235">
        <v>9</v>
      </c>
      <c r="G235" t="str">
        <f>VLOOKUP(F235,Subcategories!$A$2:$B$29,2,0)</f>
        <v>Invoicing</v>
      </c>
      <c r="H235" t="str">
        <f t="shared" si="3"/>
        <v>3-9-93</v>
      </c>
      <c r="I235">
        <f>VLOOKUP(H235,SuiteCatSubElem!$F$2:$G$667,2,0)</f>
        <v>234</v>
      </c>
      <c r="J235">
        <v>93</v>
      </c>
      <c r="L235">
        <v>1</v>
      </c>
      <c r="M235" s="127">
        <v>42826.000011574077</v>
      </c>
      <c r="Q235" s="93"/>
    </row>
    <row r="236" spans="1:18">
      <c r="A236">
        <v>236</v>
      </c>
      <c r="B236" s="111" t="s">
        <v>128</v>
      </c>
      <c r="C236" s="24">
        <f>VLOOKUP(B236,Elements!$A$2:$B$435,2,0)</f>
        <v>94</v>
      </c>
      <c r="D236">
        <v>3</v>
      </c>
      <c r="E236" t="str">
        <f>VLOOKUP(D236,Categories!$A$2:$B$8,2,0)</f>
        <v>P2P</v>
      </c>
      <c r="F236">
        <v>9</v>
      </c>
      <c r="G236" t="str">
        <f>VLOOKUP(F236,Subcategories!$A$2:$B$29,2,0)</f>
        <v>Invoicing</v>
      </c>
      <c r="H236" t="str">
        <f t="shared" si="3"/>
        <v>3-9-94</v>
      </c>
      <c r="I236">
        <f>VLOOKUP(H236,SuiteCatSubElem!$F$2:$G$667,2,0)</f>
        <v>235</v>
      </c>
      <c r="J236">
        <v>94</v>
      </c>
      <c r="L236">
        <v>1</v>
      </c>
      <c r="M236" s="127">
        <v>42826.000011574077</v>
      </c>
      <c r="Q236" s="93"/>
    </row>
    <row r="237" spans="1:18">
      <c r="A237">
        <v>237</v>
      </c>
      <c r="B237" s="111" t="s">
        <v>129</v>
      </c>
      <c r="C237" s="24">
        <f>VLOOKUP(B237,Elements!$A$2:$B$435,2,0)</f>
        <v>95</v>
      </c>
      <c r="D237">
        <v>3</v>
      </c>
      <c r="E237" t="str">
        <f>VLOOKUP(D237,Categories!$A$2:$B$8,2,0)</f>
        <v>P2P</v>
      </c>
      <c r="F237">
        <v>9</v>
      </c>
      <c r="G237" t="str">
        <f>VLOOKUP(F237,Subcategories!$A$2:$B$29,2,0)</f>
        <v>Invoicing</v>
      </c>
      <c r="H237" t="str">
        <f t="shared" si="3"/>
        <v>3-9-95</v>
      </c>
      <c r="I237">
        <f>VLOOKUP(H237,SuiteCatSubElem!$F$2:$G$667,2,0)</f>
        <v>236</v>
      </c>
      <c r="J237">
        <v>95</v>
      </c>
      <c r="L237">
        <v>1</v>
      </c>
      <c r="M237" s="127">
        <v>42826.000011574077</v>
      </c>
      <c r="Q237" s="93"/>
    </row>
    <row r="238" spans="1:18">
      <c r="A238">
        <v>238</v>
      </c>
      <c r="B238" s="111" t="s">
        <v>511</v>
      </c>
      <c r="C238" s="24">
        <f>VLOOKUP(B238,Elements!$A$2:$B$435,2,0)</f>
        <v>96</v>
      </c>
      <c r="D238">
        <v>3</v>
      </c>
      <c r="E238" t="str">
        <f>VLOOKUP(D238,Categories!$A$2:$B$8,2,0)</f>
        <v>P2P</v>
      </c>
      <c r="F238">
        <v>10</v>
      </c>
      <c r="G238" t="str">
        <f>VLOOKUP(F238,Subcategories!$A$2:$B$29,2,0)</f>
        <v>Payment / Financing</v>
      </c>
      <c r="H238" t="str">
        <f t="shared" si="3"/>
        <v>3-10-96</v>
      </c>
      <c r="I238">
        <f>VLOOKUP(H238,SuiteCatSubElem!$F$2:$G$667,2,0)</f>
        <v>237</v>
      </c>
      <c r="J238">
        <v>96</v>
      </c>
      <c r="L238">
        <v>1</v>
      </c>
      <c r="M238" s="127">
        <v>42826.000011574077</v>
      </c>
      <c r="Q238" s="93"/>
    </row>
    <row r="239" spans="1:18">
      <c r="A239">
        <v>239</v>
      </c>
      <c r="B239" s="111" t="s">
        <v>131</v>
      </c>
      <c r="C239" s="24">
        <f>VLOOKUP(B239,Elements!$A$2:$B$435,2,0)</f>
        <v>97</v>
      </c>
      <c r="D239">
        <v>3</v>
      </c>
      <c r="E239" t="str">
        <f>VLOOKUP(D239,Categories!$A$2:$B$8,2,0)</f>
        <v>P2P</v>
      </c>
      <c r="F239">
        <v>10</v>
      </c>
      <c r="G239" t="str">
        <f>VLOOKUP(F239,Subcategories!$A$2:$B$29,2,0)</f>
        <v>Payment / Financing</v>
      </c>
      <c r="H239" t="str">
        <f t="shared" si="3"/>
        <v>3-10-97</v>
      </c>
      <c r="I239">
        <f>VLOOKUP(H239,SuiteCatSubElem!$F$2:$G$667,2,0)</f>
        <v>238</v>
      </c>
      <c r="J239">
        <v>97</v>
      </c>
      <c r="L239">
        <v>1</v>
      </c>
      <c r="M239" s="127">
        <v>42826.000011574077</v>
      </c>
      <c r="Q239" s="93"/>
    </row>
    <row r="240" spans="1:18">
      <c r="A240">
        <v>240</v>
      </c>
      <c r="B240" s="111" t="s">
        <v>132</v>
      </c>
      <c r="C240" s="24">
        <f>VLOOKUP(B240,Elements!$A$2:$B$435,2,0)</f>
        <v>98</v>
      </c>
      <c r="D240">
        <v>3</v>
      </c>
      <c r="E240" t="str">
        <f>VLOOKUP(D240,Categories!$A$2:$B$8,2,0)</f>
        <v>P2P</v>
      </c>
      <c r="F240">
        <v>10</v>
      </c>
      <c r="G240" t="str">
        <f>VLOOKUP(F240,Subcategories!$A$2:$B$29,2,0)</f>
        <v>Payment / Financing</v>
      </c>
      <c r="H240" t="str">
        <f t="shared" si="3"/>
        <v>3-10-98</v>
      </c>
      <c r="I240">
        <f>VLOOKUP(H240,SuiteCatSubElem!$F$2:$G$667,2,0)</f>
        <v>239</v>
      </c>
      <c r="J240">
        <v>98</v>
      </c>
      <c r="L240">
        <v>1</v>
      </c>
      <c r="M240" s="127">
        <v>42826.000011574077</v>
      </c>
      <c r="Q240" s="93"/>
    </row>
    <row r="241" spans="1:18">
      <c r="A241">
        <v>241</v>
      </c>
      <c r="B241" s="111" t="s">
        <v>133</v>
      </c>
      <c r="C241" s="24">
        <f>VLOOKUP(B241,Elements!$A$2:$B$435,2,0)</f>
        <v>99</v>
      </c>
      <c r="D241">
        <v>3</v>
      </c>
      <c r="E241" t="str">
        <f>VLOOKUP(D241,Categories!$A$2:$B$8,2,0)</f>
        <v>P2P</v>
      </c>
      <c r="F241">
        <v>10</v>
      </c>
      <c r="G241" t="str">
        <f>VLOOKUP(F241,Subcategories!$A$2:$B$29,2,0)</f>
        <v>Payment / Financing</v>
      </c>
      <c r="H241" t="str">
        <f t="shared" si="3"/>
        <v>3-10-99</v>
      </c>
      <c r="I241">
        <f>VLOOKUP(H241,SuiteCatSubElem!$F$2:$G$667,2,0)</f>
        <v>240</v>
      </c>
      <c r="J241">
        <v>99</v>
      </c>
      <c r="L241">
        <v>1</v>
      </c>
      <c r="M241" s="127">
        <v>42826.000011574077</v>
      </c>
      <c r="Q241" s="133"/>
    </row>
    <row r="242" spans="1:18" ht="30">
      <c r="A242">
        <v>242</v>
      </c>
      <c r="B242" s="111" t="s">
        <v>514</v>
      </c>
      <c r="C242" s="24">
        <f>VLOOKUP(B242,Elements!$A$2:$B$435,2,0)</f>
        <v>100</v>
      </c>
      <c r="D242">
        <v>3</v>
      </c>
      <c r="E242" t="str">
        <f>VLOOKUP(D242,Categories!$A$2:$B$8,2,0)</f>
        <v>P2P</v>
      </c>
      <c r="F242">
        <v>10</v>
      </c>
      <c r="G242" t="str">
        <f>VLOOKUP(F242,Subcategories!$A$2:$B$29,2,0)</f>
        <v>Payment / Financing</v>
      </c>
      <c r="H242" t="str">
        <f t="shared" si="3"/>
        <v>3-10-100</v>
      </c>
      <c r="I242">
        <f>VLOOKUP(H242,SuiteCatSubElem!$F$2:$G$667,2,0)</f>
        <v>241</v>
      </c>
      <c r="J242">
        <v>100</v>
      </c>
      <c r="L242">
        <v>1</v>
      </c>
      <c r="M242" s="127">
        <v>42826.000011574077</v>
      </c>
      <c r="Q242" s="93"/>
    </row>
    <row r="243" spans="1:18">
      <c r="A243">
        <v>243</v>
      </c>
      <c r="B243" s="111" t="s">
        <v>135</v>
      </c>
      <c r="C243" s="24">
        <f>VLOOKUP(B243,Elements!$A$2:$B$435,2,0)</f>
        <v>101</v>
      </c>
      <c r="D243">
        <v>3</v>
      </c>
      <c r="E243" t="str">
        <f>VLOOKUP(D243,Categories!$A$2:$B$8,2,0)</f>
        <v>P2P</v>
      </c>
      <c r="F243">
        <v>10</v>
      </c>
      <c r="G243" t="str">
        <f>VLOOKUP(F243,Subcategories!$A$2:$B$29,2,0)</f>
        <v>Payment / Financing</v>
      </c>
      <c r="H243" t="str">
        <f t="shared" si="3"/>
        <v>3-10-101</v>
      </c>
      <c r="I243">
        <f>VLOOKUP(H243,SuiteCatSubElem!$F$2:$G$667,2,0)</f>
        <v>242</v>
      </c>
      <c r="J243">
        <v>101</v>
      </c>
      <c r="L243">
        <v>1</v>
      </c>
      <c r="M243" s="127">
        <v>42826.000011574077</v>
      </c>
      <c r="Q243" s="93"/>
    </row>
    <row r="244" spans="1:18" s="4" customFormat="1" ht="17" thickBot="1">
      <c r="A244">
        <v>244</v>
      </c>
      <c r="B244" s="113" t="s">
        <v>136</v>
      </c>
      <c r="C244" s="24">
        <f>VLOOKUP(B244,Elements!$A$2:$B$435,2,0)</f>
        <v>102</v>
      </c>
      <c r="D244" s="4">
        <v>3</v>
      </c>
      <c r="E244" t="str">
        <f>VLOOKUP(D244,Categories!$A$2:$B$8,2,0)</f>
        <v>P2P</v>
      </c>
      <c r="F244">
        <v>10</v>
      </c>
      <c r="G244" t="str">
        <f>VLOOKUP(F244,Subcategories!$A$2:$B$29,2,0)</f>
        <v>Payment / Financing</v>
      </c>
      <c r="H244" t="str">
        <f t="shared" si="3"/>
        <v>3-10-102</v>
      </c>
      <c r="I244">
        <f>VLOOKUP(H244,SuiteCatSubElem!$F$2:$G$667,2,0)</f>
        <v>243</v>
      </c>
      <c r="J244">
        <v>102</v>
      </c>
      <c r="L244">
        <v>1</v>
      </c>
      <c r="M244" s="127">
        <v>42826.000011574077</v>
      </c>
      <c r="N244"/>
      <c r="O244"/>
      <c r="P244"/>
      <c r="Q244" s="93"/>
      <c r="R244" s="101"/>
    </row>
    <row r="245" spans="1:18" ht="30">
      <c r="A245">
        <v>245</v>
      </c>
      <c r="B245" s="112" t="s">
        <v>137</v>
      </c>
      <c r="C245" s="24">
        <f>VLOOKUP(B245,Elements!$A$2:$B$435,2,0)</f>
        <v>103</v>
      </c>
      <c r="D245">
        <v>4</v>
      </c>
      <c r="E245" t="str">
        <f>VLOOKUP(D245,Categories!$A$2:$B$8,2,0)</f>
        <v>Sourcing</v>
      </c>
      <c r="F245">
        <v>11</v>
      </c>
      <c r="G245" t="str">
        <f>VLOOKUP(F245,Subcategories!$A$2:$B$29,2,0)</f>
        <v>Opportunity</v>
      </c>
      <c r="H245" t="str">
        <f t="shared" si="3"/>
        <v>4-11-103</v>
      </c>
      <c r="I245">
        <f>VLOOKUP(H245,SuiteCatSubElem!$F$2:$G$667,2,0)</f>
        <v>244</v>
      </c>
      <c r="J245">
        <v>103</v>
      </c>
      <c r="L245">
        <v>1</v>
      </c>
      <c r="M245" s="127">
        <v>43009.000011574077</v>
      </c>
      <c r="Q245" s="102"/>
      <c r="R245" s="100"/>
    </row>
    <row r="246" spans="1:18">
      <c r="A246">
        <v>246</v>
      </c>
      <c r="B246" s="112" t="s">
        <v>138</v>
      </c>
      <c r="C246" s="24">
        <f>VLOOKUP(B246,Elements!$A$2:$B$435,2,0)</f>
        <v>104</v>
      </c>
      <c r="D246">
        <v>4</v>
      </c>
      <c r="E246" t="str">
        <f>VLOOKUP(D246,Categories!$A$2:$B$8,2,0)</f>
        <v>Sourcing</v>
      </c>
      <c r="F246">
        <v>11</v>
      </c>
      <c r="G246" t="str">
        <f>VLOOKUP(F246,Subcategories!$A$2:$B$29,2,0)</f>
        <v>Opportunity</v>
      </c>
      <c r="H246" t="str">
        <f t="shared" si="3"/>
        <v>4-11-104</v>
      </c>
      <c r="I246">
        <f>VLOOKUP(H246,SuiteCatSubElem!$F$2:$G$667,2,0)</f>
        <v>245</v>
      </c>
      <c r="J246">
        <v>104</v>
      </c>
      <c r="L246">
        <v>1</v>
      </c>
      <c r="M246" s="127">
        <v>43009.000011574077</v>
      </c>
      <c r="Q246" s="102"/>
      <c r="R246" s="100"/>
    </row>
    <row r="247" spans="1:18" ht="30">
      <c r="A247">
        <v>247</v>
      </c>
      <c r="B247" s="112" t="s">
        <v>139</v>
      </c>
      <c r="C247" s="24">
        <f>VLOOKUP(B247,Elements!$A$2:$B$435,2,0)</f>
        <v>105</v>
      </c>
      <c r="D247">
        <v>4</v>
      </c>
      <c r="E247" t="str">
        <f>VLOOKUP(D247,Categories!$A$2:$B$8,2,0)</f>
        <v>Sourcing</v>
      </c>
      <c r="F247">
        <v>11</v>
      </c>
      <c r="G247" t="str">
        <f>VLOOKUP(F247,Subcategories!$A$2:$B$29,2,0)</f>
        <v>Opportunity</v>
      </c>
      <c r="H247" t="str">
        <f t="shared" si="3"/>
        <v>4-11-105</v>
      </c>
      <c r="I247">
        <f>VLOOKUP(H247,SuiteCatSubElem!$F$2:$G$667,2,0)</f>
        <v>246</v>
      </c>
      <c r="J247">
        <v>105</v>
      </c>
      <c r="L247">
        <v>1</v>
      </c>
      <c r="M247" s="127">
        <v>43009.000011574077</v>
      </c>
      <c r="Q247" s="100"/>
      <c r="R247" s="100"/>
    </row>
    <row r="248" spans="1:18" ht="30">
      <c r="A248">
        <v>248</v>
      </c>
      <c r="B248" s="112" t="s">
        <v>140</v>
      </c>
      <c r="C248" s="24">
        <f>VLOOKUP(B248,Elements!$A$2:$B$435,2,0)</f>
        <v>106</v>
      </c>
      <c r="D248">
        <v>4</v>
      </c>
      <c r="E248" t="str">
        <f>VLOOKUP(D248,Categories!$A$2:$B$8,2,0)</f>
        <v>Sourcing</v>
      </c>
      <c r="F248">
        <v>11</v>
      </c>
      <c r="G248" t="str">
        <f>VLOOKUP(F248,Subcategories!$A$2:$B$29,2,0)</f>
        <v>Opportunity</v>
      </c>
      <c r="H248" t="str">
        <f t="shared" si="3"/>
        <v>4-11-106</v>
      </c>
      <c r="I248">
        <f>VLOOKUP(H248,SuiteCatSubElem!$F$2:$G$667,2,0)</f>
        <v>247</v>
      </c>
      <c r="J248">
        <v>106</v>
      </c>
      <c r="L248">
        <v>1</v>
      </c>
      <c r="M248" s="127">
        <v>43009.000011574077</v>
      </c>
      <c r="Q248" s="94"/>
      <c r="R248" s="100"/>
    </row>
    <row r="249" spans="1:18">
      <c r="A249">
        <v>249</v>
      </c>
      <c r="B249" s="112" t="s">
        <v>141</v>
      </c>
      <c r="C249" s="24">
        <f>VLOOKUP(B249,Elements!$A$2:$B$435,2,0)</f>
        <v>107</v>
      </c>
      <c r="D249">
        <v>4</v>
      </c>
      <c r="E249" t="str">
        <f>VLOOKUP(D249,Categories!$A$2:$B$8,2,0)</f>
        <v>Sourcing</v>
      </c>
      <c r="F249">
        <v>11</v>
      </c>
      <c r="G249" t="str">
        <f>VLOOKUP(F249,Subcategories!$A$2:$B$29,2,0)</f>
        <v>Opportunity</v>
      </c>
      <c r="H249" t="str">
        <f t="shared" si="3"/>
        <v>4-11-107</v>
      </c>
      <c r="I249">
        <f>VLOOKUP(H249,SuiteCatSubElem!$F$2:$G$667,2,0)</f>
        <v>248</v>
      </c>
      <c r="J249">
        <v>107</v>
      </c>
      <c r="L249">
        <v>1</v>
      </c>
      <c r="M249" s="127">
        <v>43009.000011574077</v>
      </c>
      <c r="Q249" s="94"/>
      <c r="R249" s="100"/>
    </row>
    <row r="250" spans="1:18">
      <c r="A250">
        <v>250</v>
      </c>
      <c r="B250" s="112" t="s">
        <v>142</v>
      </c>
      <c r="C250" s="24">
        <f>VLOOKUP(B250,Elements!$A$2:$B$435,2,0)</f>
        <v>108</v>
      </c>
      <c r="D250">
        <v>4</v>
      </c>
      <c r="E250" t="str">
        <f>VLOOKUP(D250,Categories!$A$2:$B$8,2,0)</f>
        <v>Sourcing</v>
      </c>
      <c r="F250">
        <v>11</v>
      </c>
      <c r="G250" t="str">
        <f>VLOOKUP(F250,Subcategories!$A$2:$B$29,2,0)</f>
        <v>Opportunity</v>
      </c>
      <c r="H250" t="str">
        <f t="shared" si="3"/>
        <v>4-11-108</v>
      </c>
      <c r="I250">
        <f>VLOOKUP(H250,SuiteCatSubElem!$F$2:$G$667,2,0)</f>
        <v>249</v>
      </c>
      <c r="J250">
        <v>108</v>
      </c>
      <c r="L250">
        <v>1</v>
      </c>
      <c r="M250" s="127">
        <v>43009.000011574077</v>
      </c>
      <c r="Q250" s="100"/>
      <c r="R250" s="100"/>
    </row>
    <row r="251" spans="1:18">
      <c r="A251">
        <v>251</v>
      </c>
      <c r="B251" s="112" t="s">
        <v>143</v>
      </c>
      <c r="C251" s="24">
        <f>VLOOKUP(B251,Elements!$A$2:$B$435,2,0)</f>
        <v>109</v>
      </c>
      <c r="D251">
        <v>4</v>
      </c>
      <c r="E251" t="str">
        <f>VLOOKUP(D251,Categories!$A$2:$B$8,2,0)</f>
        <v>Sourcing</v>
      </c>
      <c r="F251">
        <v>11</v>
      </c>
      <c r="G251" t="str">
        <f>VLOOKUP(F251,Subcategories!$A$2:$B$29,2,0)</f>
        <v>Opportunity</v>
      </c>
      <c r="H251" t="str">
        <f t="shared" si="3"/>
        <v>4-11-109</v>
      </c>
      <c r="I251">
        <f>VLOOKUP(H251,SuiteCatSubElem!$F$2:$G$667,2,0)</f>
        <v>250</v>
      </c>
      <c r="J251">
        <v>109</v>
      </c>
      <c r="L251">
        <v>1</v>
      </c>
      <c r="M251" s="127">
        <v>43009.000011574077</v>
      </c>
      <c r="Q251" s="100"/>
      <c r="R251" s="100"/>
    </row>
    <row r="252" spans="1:18">
      <c r="A252">
        <v>252</v>
      </c>
      <c r="B252" s="112" t="s">
        <v>145</v>
      </c>
      <c r="C252" s="24">
        <f>VLOOKUP(B252,Elements!$A$2:$B$435,2,0)</f>
        <v>110</v>
      </c>
      <c r="D252">
        <v>4</v>
      </c>
      <c r="E252" t="str">
        <f>VLOOKUP(D252,Categories!$A$2:$B$8,2,0)</f>
        <v>Sourcing</v>
      </c>
      <c r="F252">
        <v>11</v>
      </c>
      <c r="G252" t="str">
        <f>VLOOKUP(F252,Subcategories!$A$2:$B$29,2,0)</f>
        <v>Opportunity</v>
      </c>
      <c r="H252" t="str">
        <f t="shared" si="3"/>
        <v>4-11-110</v>
      </c>
      <c r="I252">
        <f>VLOOKUP(H252,SuiteCatSubElem!$F$2:$G$667,2,0)</f>
        <v>251</v>
      </c>
      <c r="J252">
        <v>110</v>
      </c>
      <c r="L252">
        <v>1</v>
      </c>
      <c r="M252" s="127">
        <v>43009.000011574077</v>
      </c>
      <c r="Q252" s="94"/>
      <c r="R252" s="100"/>
    </row>
    <row r="253" spans="1:18">
      <c r="A253">
        <v>253</v>
      </c>
      <c r="B253" s="112" t="s">
        <v>146</v>
      </c>
      <c r="C253" s="24">
        <f>VLOOKUP(B253,Elements!$A$2:$B$435,2,0)</f>
        <v>111</v>
      </c>
      <c r="D253">
        <v>4</v>
      </c>
      <c r="E253" t="str">
        <f>VLOOKUP(D253,Categories!$A$2:$B$8,2,0)</f>
        <v>Sourcing</v>
      </c>
      <c r="F253">
        <v>11</v>
      </c>
      <c r="G253" t="str">
        <f>VLOOKUP(F253,Subcategories!$A$2:$B$29,2,0)</f>
        <v>Opportunity</v>
      </c>
      <c r="H253" t="str">
        <f t="shared" si="3"/>
        <v>4-11-111</v>
      </c>
      <c r="I253">
        <f>VLOOKUP(H253,SuiteCatSubElem!$F$2:$G$667,2,0)</f>
        <v>252</v>
      </c>
      <c r="J253">
        <v>111</v>
      </c>
      <c r="L253">
        <v>1</v>
      </c>
      <c r="M253" s="127">
        <v>43009.000011574077</v>
      </c>
      <c r="Q253" s="100"/>
      <c r="R253" s="100"/>
    </row>
    <row r="254" spans="1:18">
      <c r="A254">
        <v>254</v>
      </c>
      <c r="B254" s="112" t="s">
        <v>147</v>
      </c>
      <c r="C254" s="24">
        <f>VLOOKUP(B254,Elements!$A$2:$B$435,2,0)</f>
        <v>112</v>
      </c>
      <c r="D254">
        <v>4</v>
      </c>
      <c r="E254" t="str">
        <f>VLOOKUP(D254,Categories!$A$2:$B$8,2,0)</f>
        <v>Sourcing</v>
      </c>
      <c r="F254">
        <v>11</v>
      </c>
      <c r="G254" t="str">
        <f>VLOOKUP(F254,Subcategories!$A$2:$B$29,2,0)</f>
        <v>Opportunity</v>
      </c>
      <c r="H254" t="str">
        <f t="shared" si="3"/>
        <v>4-11-112</v>
      </c>
      <c r="I254">
        <f>VLOOKUP(H254,SuiteCatSubElem!$F$2:$G$667,2,0)</f>
        <v>253</v>
      </c>
      <c r="J254">
        <v>112</v>
      </c>
      <c r="L254">
        <v>1</v>
      </c>
      <c r="M254" s="127">
        <v>43009.000011574077</v>
      </c>
      <c r="Q254" s="94"/>
      <c r="R254" s="100"/>
    </row>
    <row r="255" spans="1:18">
      <c r="A255">
        <v>255</v>
      </c>
      <c r="B255" s="112" t="s">
        <v>148</v>
      </c>
      <c r="C255" s="24">
        <f>VLOOKUP(B255,Elements!$A$2:$B$435,2,0)</f>
        <v>113</v>
      </c>
      <c r="D255">
        <v>4</v>
      </c>
      <c r="E255" t="str">
        <f>VLOOKUP(D255,Categories!$A$2:$B$8,2,0)</f>
        <v>Sourcing</v>
      </c>
      <c r="F255">
        <v>11</v>
      </c>
      <c r="G255" t="str">
        <f>VLOOKUP(F255,Subcategories!$A$2:$B$29,2,0)</f>
        <v>Opportunity</v>
      </c>
      <c r="H255" t="str">
        <f t="shared" si="3"/>
        <v>4-11-113</v>
      </c>
      <c r="I255">
        <f>VLOOKUP(H255,SuiteCatSubElem!$F$2:$G$667,2,0)</f>
        <v>254</v>
      </c>
      <c r="J255">
        <v>113</v>
      </c>
      <c r="L255">
        <v>1</v>
      </c>
      <c r="M255" s="127">
        <v>43009.000011574077</v>
      </c>
      <c r="Q255" s="94"/>
      <c r="R255" s="100"/>
    </row>
    <row r="256" spans="1:18">
      <c r="A256">
        <v>256</v>
      </c>
      <c r="B256" s="112" t="s">
        <v>149</v>
      </c>
      <c r="C256" s="24">
        <f>VLOOKUP(B256,Elements!$A$2:$B$435,2,0)</f>
        <v>114</v>
      </c>
      <c r="D256">
        <v>4</v>
      </c>
      <c r="E256" t="str">
        <f>VLOOKUP(D256,Categories!$A$2:$B$8,2,0)</f>
        <v>Sourcing</v>
      </c>
      <c r="F256">
        <v>11</v>
      </c>
      <c r="G256" t="str">
        <f>VLOOKUP(F256,Subcategories!$A$2:$B$29,2,0)</f>
        <v>Opportunity</v>
      </c>
      <c r="H256" t="str">
        <f t="shared" si="3"/>
        <v>4-11-114</v>
      </c>
      <c r="I256">
        <f>VLOOKUP(H256,SuiteCatSubElem!$F$2:$G$667,2,0)</f>
        <v>255</v>
      </c>
      <c r="J256">
        <v>114</v>
      </c>
      <c r="L256">
        <v>1</v>
      </c>
      <c r="M256" s="127">
        <v>43009.000011574077</v>
      </c>
      <c r="Q256" s="94"/>
      <c r="R256" s="100"/>
    </row>
    <row r="257" spans="1:18">
      <c r="A257">
        <v>257</v>
      </c>
      <c r="B257" s="112" t="s">
        <v>150</v>
      </c>
      <c r="C257" s="24">
        <f>VLOOKUP(B257,Elements!$A$2:$B$435,2,0)</f>
        <v>115</v>
      </c>
      <c r="D257">
        <v>4</v>
      </c>
      <c r="E257" t="str">
        <f>VLOOKUP(D257,Categories!$A$2:$B$8,2,0)</f>
        <v>Sourcing</v>
      </c>
      <c r="F257">
        <v>11</v>
      </c>
      <c r="G257" t="str">
        <f>VLOOKUP(F257,Subcategories!$A$2:$B$29,2,0)</f>
        <v>Opportunity</v>
      </c>
      <c r="H257" t="str">
        <f t="shared" si="3"/>
        <v>4-11-115</v>
      </c>
      <c r="I257">
        <f>VLOOKUP(H257,SuiteCatSubElem!$F$2:$G$667,2,0)</f>
        <v>256</v>
      </c>
      <c r="J257">
        <v>115</v>
      </c>
      <c r="L257">
        <v>1</v>
      </c>
      <c r="M257" s="127">
        <v>43009.000011574077</v>
      </c>
      <c r="Q257" s="100"/>
      <c r="R257" s="100"/>
    </row>
    <row r="258" spans="1:18">
      <c r="A258">
        <v>258</v>
      </c>
      <c r="B258" s="112" t="s">
        <v>151</v>
      </c>
      <c r="C258" s="24">
        <f>VLOOKUP(B258,Elements!$A$2:$B$435,2,0)</f>
        <v>116</v>
      </c>
      <c r="D258" s="47">
        <v>4</v>
      </c>
      <c r="E258" t="str">
        <f>VLOOKUP(D258,Categories!$A$2:$B$8,2,0)</f>
        <v>Sourcing</v>
      </c>
      <c r="F258">
        <v>12</v>
      </c>
      <c r="G258" t="str">
        <f>VLOOKUP(F258,Subcategories!$A$2:$B$29,2,0)</f>
        <v>Project Management</v>
      </c>
      <c r="H258" t="str">
        <f t="shared" ref="H258:H321" si="4">_xlfn.CONCAT(D258,"-",F258,"-",C258)</f>
        <v>4-12-116</v>
      </c>
      <c r="I258">
        <f>VLOOKUP(H258,SuiteCatSubElem!$F$2:$G$667,2,0)</f>
        <v>257</v>
      </c>
      <c r="J258">
        <v>116</v>
      </c>
      <c r="K258" s="47"/>
      <c r="L258">
        <v>1</v>
      </c>
      <c r="M258" s="127">
        <v>43009.000011574077</v>
      </c>
      <c r="Q258" s="100"/>
      <c r="R258" s="94"/>
    </row>
    <row r="259" spans="1:18" ht="30">
      <c r="A259">
        <v>259</v>
      </c>
      <c r="B259" s="112" t="s">
        <v>152</v>
      </c>
      <c r="C259" s="24">
        <f>VLOOKUP(B259,Elements!$A$2:$B$435,2,0)</f>
        <v>117</v>
      </c>
      <c r="D259">
        <v>4</v>
      </c>
      <c r="E259" t="str">
        <f>VLOOKUP(D259,Categories!$A$2:$B$8,2,0)</f>
        <v>Sourcing</v>
      </c>
      <c r="F259">
        <v>12</v>
      </c>
      <c r="G259" t="str">
        <f>VLOOKUP(F259,Subcategories!$A$2:$B$29,2,0)</f>
        <v>Project Management</v>
      </c>
      <c r="H259" t="str">
        <f t="shared" si="4"/>
        <v>4-12-117</v>
      </c>
      <c r="I259">
        <f>VLOOKUP(H259,SuiteCatSubElem!$F$2:$G$667,2,0)</f>
        <v>258</v>
      </c>
      <c r="J259">
        <v>117</v>
      </c>
      <c r="L259">
        <v>1</v>
      </c>
      <c r="M259" s="127">
        <v>43009.000011574077</v>
      </c>
      <c r="Q259" s="100"/>
      <c r="R259" s="100"/>
    </row>
    <row r="260" spans="1:18">
      <c r="A260">
        <v>260</v>
      </c>
      <c r="B260" s="112" t="s">
        <v>153</v>
      </c>
      <c r="C260" s="24">
        <f>VLOOKUP(B260,Elements!$A$2:$B$435,2,0)</f>
        <v>118</v>
      </c>
      <c r="D260">
        <v>4</v>
      </c>
      <c r="E260" t="str">
        <f>VLOOKUP(D260,Categories!$A$2:$B$8,2,0)</f>
        <v>Sourcing</v>
      </c>
      <c r="F260">
        <v>12</v>
      </c>
      <c r="G260" t="str">
        <f>VLOOKUP(F260,Subcategories!$A$2:$B$29,2,0)</f>
        <v>Project Management</v>
      </c>
      <c r="H260" t="str">
        <f t="shared" si="4"/>
        <v>4-12-118</v>
      </c>
      <c r="I260">
        <f>VLOOKUP(H260,SuiteCatSubElem!$F$2:$G$667,2,0)</f>
        <v>259</v>
      </c>
      <c r="J260">
        <v>118</v>
      </c>
      <c r="L260">
        <v>1</v>
      </c>
      <c r="M260" s="127">
        <v>43009.000011574077</v>
      </c>
      <c r="Q260" s="100"/>
      <c r="R260" s="100"/>
    </row>
    <row r="261" spans="1:18">
      <c r="A261">
        <v>261</v>
      </c>
      <c r="B261" s="112" t="s">
        <v>154</v>
      </c>
      <c r="C261" s="24">
        <f>VLOOKUP(B261,Elements!$A$2:$B$435,2,0)</f>
        <v>119</v>
      </c>
      <c r="D261">
        <v>4</v>
      </c>
      <c r="E261" t="str">
        <f>VLOOKUP(D261,Categories!$A$2:$B$8,2,0)</f>
        <v>Sourcing</v>
      </c>
      <c r="F261">
        <v>12</v>
      </c>
      <c r="G261" t="str">
        <f>VLOOKUP(F261,Subcategories!$A$2:$B$29,2,0)</f>
        <v>Project Management</v>
      </c>
      <c r="H261" t="str">
        <f t="shared" si="4"/>
        <v>4-12-119</v>
      </c>
      <c r="I261">
        <f>VLOOKUP(H261,SuiteCatSubElem!$F$2:$G$667,2,0)</f>
        <v>260</v>
      </c>
      <c r="J261">
        <v>119</v>
      </c>
      <c r="L261">
        <v>1</v>
      </c>
      <c r="M261" s="127">
        <v>43009.000011574077</v>
      </c>
      <c r="Q261" s="100"/>
      <c r="R261" s="100"/>
    </row>
    <row r="262" spans="1:18">
      <c r="A262">
        <v>262</v>
      </c>
      <c r="B262" s="112" t="s">
        <v>155</v>
      </c>
      <c r="C262" s="24">
        <f>VLOOKUP(B262,Elements!$A$2:$B$435,2,0)</f>
        <v>120</v>
      </c>
      <c r="D262">
        <v>4</v>
      </c>
      <c r="E262" t="str">
        <f>VLOOKUP(D262,Categories!$A$2:$B$8,2,0)</f>
        <v>Sourcing</v>
      </c>
      <c r="F262">
        <v>12</v>
      </c>
      <c r="G262" t="str">
        <f>VLOOKUP(F262,Subcategories!$A$2:$B$29,2,0)</f>
        <v>Project Management</v>
      </c>
      <c r="H262" t="str">
        <f t="shared" si="4"/>
        <v>4-12-120</v>
      </c>
      <c r="I262">
        <f>VLOOKUP(H262,SuiteCatSubElem!$F$2:$G$667,2,0)</f>
        <v>261</v>
      </c>
      <c r="J262">
        <v>120</v>
      </c>
      <c r="L262">
        <v>1</v>
      </c>
      <c r="M262" s="127">
        <v>43009.000011574077</v>
      </c>
      <c r="Q262" s="94"/>
      <c r="R262" s="100"/>
    </row>
    <row r="263" spans="1:18">
      <c r="A263">
        <v>263</v>
      </c>
      <c r="B263" s="112" t="s">
        <v>156</v>
      </c>
      <c r="C263" s="24">
        <f>VLOOKUP(B263,Elements!$A$2:$B$435,2,0)</f>
        <v>121</v>
      </c>
      <c r="D263">
        <v>4</v>
      </c>
      <c r="E263" t="str">
        <f>VLOOKUP(D263,Categories!$A$2:$B$8,2,0)</f>
        <v>Sourcing</v>
      </c>
      <c r="F263">
        <v>12</v>
      </c>
      <c r="G263" t="str">
        <f>VLOOKUP(F263,Subcategories!$A$2:$B$29,2,0)</f>
        <v>Project Management</v>
      </c>
      <c r="H263" t="str">
        <f t="shared" si="4"/>
        <v>4-12-121</v>
      </c>
      <c r="I263">
        <f>VLOOKUP(H263,SuiteCatSubElem!$F$2:$G$667,2,0)</f>
        <v>262</v>
      </c>
      <c r="J263">
        <v>121</v>
      </c>
      <c r="L263">
        <v>1</v>
      </c>
      <c r="M263" s="127">
        <v>43009.000011574077</v>
      </c>
      <c r="Q263" s="94"/>
      <c r="R263" s="100"/>
    </row>
    <row r="264" spans="1:18">
      <c r="A264">
        <v>264</v>
      </c>
      <c r="B264" s="112" t="s">
        <v>157</v>
      </c>
      <c r="C264" s="24">
        <f>VLOOKUP(B264,Elements!$A$2:$B$435,2,0)</f>
        <v>122</v>
      </c>
      <c r="D264">
        <v>4</v>
      </c>
      <c r="E264" t="str">
        <f>VLOOKUP(D264,Categories!$A$2:$B$8,2,0)</f>
        <v>Sourcing</v>
      </c>
      <c r="F264">
        <v>12</v>
      </c>
      <c r="G264" t="str">
        <f>VLOOKUP(F264,Subcategories!$A$2:$B$29,2,0)</f>
        <v>Project Management</v>
      </c>
      <c r="H264" t="str">
        <f t="shared" si="4"/>
        <v>4-12-122</v>
      </c>
      <c r="I264">
        <f>VLOOKUP(H264,SuiteCatSubElem!$F$2:$G$667,2,0)</f>
        <v>263</v>
      </c>
      <c r="J264">
        <v>122</v>
      </c>
      <c r="L264">
        <v>1</v>
      </c>
      <c r="M264" s="127">
        <v>43009.000011574077</v>
      </c>
      <c r="Q264" s="94"/>
      <c r="R264" s="100"/>
    </row>
    <row r="265" spans="1:18">
      <c r="A265">
        <v>265</v>
      </c>
      <c r="B265" s="112" t="s">
        <v>158</v>
      </c>
      <c r="C265" s="24">
        <f>VLOOKUP(B265,Elements!$A$2:$B$435,2,0)</f>
        <v>123</v>
      </c>
      <c r="D265">
        <v>4</v>
      </c>
      <c r="E265" t="str">
        <f>VLOOKUP(D265,Categories!$A$2:$B$8,2,0)</f>
        <v>Sourcing</v>
      </c>
      <c r="F265">
        <v>13</v>
      </c>
      <c r="G265" t="str">
        <f>VLOOKUP(F265,Subcategories!$A$2:$B$29,2,0)</f>
        <v>Supplier Portal</v>
      </c>
      <c r="H265" t="str">
        <f t="shared" si="4"/>
        <v>4-13-123</v>
      </c>
      <c r="I265">
        <f>VLOOKUP(H265,SuiteCatSubElem!$F$2:$G$667,2,0)</f>
        <v>264</v>
      </c>
      <c r="J265">
        <v>123</v>
      </c>
      <c r="L265">
        <v>1</v>
      </c>
      <c r="M265" s="127">
        <v>43009.000011574077</v>
      </c>
      <c r="Q265" s="100"/>
      <c r="R265" s="100"/>
    </row>
    <row r="266" spans="1:18" ht="30">
      <c r="A266">
        <v>266</v>
      </c>
      <c r="B266" s="112" t="s">
        <v>159</v>
      </c>
      <c r="C266" s="24">
        <f>VLOOKUP(B266,Elements!$A$2:$B$435,2,0)</f>
        <v>124</v>
      </c>
      <c r="D266">
        <v>4</v>
      </c>
      <c r="E266" t="str">
        <f>VLOOKUP(D266,Categories!$A$2:$B$8,2,0)</f>
        <v>Sourcing</v>
      </c>
      <c r="F266">
        <v>13</v>
      </c>
      <c r="G266" t="str">
        <f>VLOOKUP(F266,Subcategories!$A$2:$B$29,2,0)</f>
        <v>Supplier Portal</v>
      </c>
      <c r="H266" t="str">
        <f t="shared" si="4"/>
        <v>4-13-124</v>
      </c>
      <c r="I266">
        <f>VLOOKUP(H266,SuiteCatSubElem!$F$2:$G$667,2,0)</f>
        <v>265</v>
      </c>
      <c r="J266">
        <v>124</v>
      </c>
      <c r="L266">
        <v>1</v>
      </c>
      <c r="M266" s="127">
        <v>43009.000011574077</v>
      </c>
      <c r="Q266" s="94"/>
      <c r="R266" s="100"/>
    </row>
    <row r="267" spans="1:18" ht="30">
      <c r="A267">
        <v>267</v>
      </c>
      <c r="B267" s="112" t="s">
        <v>160</v>
      </c>
      <c r="C267" s="24">
        <f>VLOOKUP(B267,Elements!$A$2:$B$435,2,0)</f>
        <v>125</v>
      </c>
      <c r="D267">
        <v>4</v>
      </c>
      <c r="E267" t="str">
        <f>VLOOKUP(D267,Categories!$A$2:$B$8,2,0)</f>
        <v>Sourcing</v>
      </c>
      <c r="F267">
        <v>13</v>
      </c>
      <c r="G267" t="str">
        <f>VLOOKUP(F267,Subcategories!$A$2:$B$29,2,0)</f>
        <v>Supplier Portal</v>
      </c>
      <c r="H267" t="str">
        <f t="shared" si="4"/>
        <v>4-13-125</v>
      </c>
      <c r="I267">
        <f>VLOOKUP(H267,SuiteCatSubElem!$F$2:$G$667,2,0)</f>
        <v>266</v>
      </c>
      <c r="J267">
        <v>125</v>
      </c>
      <c r="L267">
        <v>1</v>
      </c>
      <c r="M267" s="127">
        <v>43009.000011574077</v>
      </c>
      <c r="Q267" s="94"/>
      <c r="R267" s="100"/>
    </row>
    <row r="268" spans="1:18">
      <c r="A268">
        <v>268</v>
      </c>
      <c r="B268" s="112" t="s">
        <v>161</v>
      </c>
      <c r="C268" s="24">
        <f>VLOOKUP(B268,Elements!$A$2:$B$435,2,0)</f>
        <v>126</v>
      </c>
      <c r="D268">
        <v>4</v>
      </c>
      <c r="E268" t="str">
        <f>VLOOKUP(D268,Categories!$A$2:$B$8,2,0)</f>
        <v>Sourcing</v>
      </c>
      <c r="F268">
        <v>13</v>
      </c>
      <c r="G268" t="str">
        <f>VLOOKUP(F268,Subcategories!$A$2:$B$29,2,0)</f>
        <v>Supplier Portal</v>
      </c>
      <c r="H268" t="str">
        <f t="shared" si="4"/>
        <v>4-13-126</v>
      </c>
      <c r="I268">
        <f>VLOOKUP(H268,SuiteCatSubElem!$F$2:$G$667,2,0)</f>
        <v>267</v>
      </c>
      <c r="J268">
        <v>126</v>
      </c>
      <c r="L268">
        <v>1</v>
      </c>
      <c r="M268" s="127">
        <v>43009.000011574077</v>
      </c>
      <c r="Q268" s="100"/>
      <c r="R268" s="100"/>
    </row>
    <row r="269" spans="1:18" ht="30">
      <c r="A269">
        <v>269</v>
      </c>
      <c r="B269" s="112" t="s">
        <v>162</v>
      </c>
      <c r="C269" s="24">
        <f>VLOOKUP(B269,Elements!$A$2:$B$435,2,0)</f>
        <v>127</v>
      </c>
      <c r="D269">
        <v>4</v>
      </c>
      <c r="E269" t="str">
        <f>VLOOKUP(D269,Categories!$A$2:$B$8,2,0)</f>
        <v>Sourcing</v>
      </c>
      <c r="F269">
        <v>13</v>
      </c>
      <c r="G269" t="str">
        <f>VLOOKUP(F269,Subcategories!$A$2:$B$29,2,0)</f>
        <v>Supplier Portal</v>
      </c>
      <c r="H269" t="str">
        <f t="shared" si="4"/>
        <v>4-13-127</v>
      </c>
      <c r="I269">
        <f>VLOOKUP(H269,SuiteCatSubElem!$F$2:$G$667,2,0)</f>
        <v>268</v>
      </c>
      <c r="J269">
        <v>127</v>
      </c>
      <c r="L269">
        <v>1</v>
      </c>
      <c r="M269" s="127">
        <v>43009.000011574077</v>
      </c>
      <c r="Q269" s="94"/>
      <c r="R269" s="100"/>
    </row>
    <row r="270" spans="1:18" ht="30">
      <c r="A270">
        <v>270</v>
      </c>
      <c r="B270" s="112" t="s">
        <v>94</v>
      </c>
      <c r="C270" s="24">
        <f>VLOOKUP(B270,Elements!$A$2:$B$435,2,0)</f>
        <v>56</v>
      </c>
      <c r="D270">
        <v>4</v>
      </c>
      <c r="E270" t="str">
        <f>VLOOKUP(D270,Categories!$A$2:$B$8,2,0)</f>
        <v>Sourcing</v>
      </c>
      <c r="F270">
        <v>13</v>
      </c>
      <c r="G270" t="str">
        <f>VLOOKUP(F270,Subcategories!$A$2:$B$29,2,0)</f>
        <v>Supplier Portal</v>
      </c>
      <c r="H270" t="str">
        <f t="shared" si="4"/>
        <v>4-13-56</v>
      </c>
      <c r="I270">
        <f>VLOOKUP(H270,SuiteCatSubElem!$F$2:$G$667,2,0)</f>
        <v>269</v>
      </c>
      <c r="J270">
        <v>440</v>
      </c>
      <c r="L270">
        <v>1</v>
      </c>
      <c r="M270" s="127">
        <v>43009.000011574077</v>
      </c>
      <c r="Q270" s="94"/>
      <c r="R270" s="100"/>
    </row>
    <row r="271" spans="1:18">
      <c r="A271">
        <v>271</v>
      </c>
      <c r="B271" s="112" t="s">
        <v>163</v>
      </c>
      <c r="C271" s="24">
        <f>VLOOKUP(B271,Elements!$A$2:$B$435,2,0)</f>
        <v>128</v>
      </c>
      <c r="D271">
        <v>4</v>
      </c>
      <c r="E271" t="str">
        <f>VLOOKUP(D271,Categories!$A$2:$B$8,2,0)</f>
        <v>Sourcing</v>
      </c>
      <c r="F271">
        <v>13</v>
      </c>
      <c r="G271" t="str">
        <f>VLOOKUP(F271,Subcategories!$A$2:$B$29,2,0)</f>
        <v>Supplier Portal</v>
      </c>
      <c r="H271" t="str">
        <f t="shared" si="4"/>
        <v>4-13-128</v>
      </c>
      <c r="I271">
        <f>VLOOKUP(H271,SuiteCatSubElem!$F$2:$G$667,2,0)</f>
        <v>270</v>
      </c>
      <c r="J271">
        <v>128</v>
      </c>
      <c r="L271">
        <v>1</v>
      </c>
      <c r="M271" s="127">
        <v>43009.000011574077</v>
      </c>
      <c r="Q271" s="100"/>
      <c r="R271" s="100"/>
    </row>
    <row r="272" spans="1:18">
      <c r="A272">
        <v>272</v>
      </c>
      <c r="B272" s="112" t="s">
        <v>164</v>
      </c>
      <c r="C272" s="24">
        <f>VLOOKUP(B272,Elements!$A$2:$B$435,2,0)</f>
        <v>129</v>
      </c>
      <c r="D272">
        <v>4</v>
      </c>
      <c r="E272" t="str">
        <f>VLOOKUP(D272,Categories!$A$2:$B$8,2,0)</f>
        <v>Sourcing</v>
      </c>
      <c r="F272">
        <v>13</v>
      </c>
      <c r="G272" t="str">
        <f>VLOOKUP(F272,Subcategories!$A$2:$B$29,2,0)</f>
        <v>Supplier Portal</v>
      </c>
      <c r="H272" t="str">
        <f t="shared" si="4"/>
        <v>4-13-129</v>
      </c>
      <c r="I272">
        <f>VLOOKUP(H272,SuiteCatSubElem!$F$2:$G$667,2,0)</f>
        <v>271</v>
      </c>
      <c r="J272">
        <v>129</v>
      </c>
      <c r="L272">
        <v>1</v>
      </c>
      <c r="M272" s="127">
        <v>43009.000011574077</v>
      </c>
      <c r="Q272" s="94"/>
      <c r="R272" s="100"/>
    </row>
    <row r="273" spans="1:18">
      <c r="A273">
        <v>273</v>
      </c>
      <c r="B273" s="112" t="s">
        <v>93</v>
      </c>
      <c r="C273" s="24">
        <f>VLOOKUP(B273,Elements!$A$2:$B$435,2,0)</f>
        <v>55</v>
      </c>
      <c r="D273">
        <v>4</v>
      </c>
      <c r="E273" t="str">
        <f>VLOOKUP(D273,Categories!$A$2:$B$8,2,0)</f>
        <v>Sourcing</v>
      </c>
      <c r="F273">
        <v>13</v>
      </c>
      <c r="G273" t="str">
        <f>VLOOKUP(F273,Subcategories!$A$2:$B$29,2,0)</f>
        <v>Supplier Portal</v>
      </c>
      <c r="H273" t="str">
        <f t="shared" si="4"/>
        <v>4-13-55</v>
      </c>
      <c r="I273">
        <f>VLOOKUP(H273,SuiteCatSubElem!$F$2:$G$667,2,0)</f>
        <v>272</v>
      </c>
      <c r="J273">
        <v>439</v>
      </c>
      <c r="L273">
        <v>1</v>
      </c>
      <c r="M273" s="127">
        <v>43009.000011574077</v>
      </c>
      <c r="Q273" s="94"/>
      <c r="R273" s="100"/>
    </row>
    <row r="274" spans="1:18">
      <c r="A274">
        <v>274</v>
      </c>
      <c r="B274" s="112" t="s">
        <v>165</v>
      </c>
      <c r="C274" s="24">
        <f>VLOOKUP(B274,Elements!$A$2:$B$435,2,0)</f>
        <v>130</v>
      </c>
      <c r="D274">
        <v>4</v>
      </c>
      <c r="E274" t="str">
        <f>VLOOKUP(D274,Categories!$A$2:$B$8,2,0)</f>
        <v>Sourcing</v>
      </c>
      <c r="F274">
        <v>13</v>
      </c>
      <c r="G274" t="str">
        <f>VLOOKUP(F274,Subcategories!$A$2:$B$29,2,0)</f>
        <v>Supplier Portal</v>
      </c>
      <c r="H274" t="str">
        <f t="shared" si="4"/>
        <v>4-13-130</v>
      </c>
      <c r="I274">
        <f>VLOOKUP(H274,SuiteCatSubElem!$F$2:$G$667,2,0)</f>
        <v>273</v>
      </c>
      <c r="J274">
        <v>130</v>
      </c>
      <c r="L274">
        <v>1</v>
      </c>
      <c r="M274" s="127">
        <v>43009.000011574077</v>
      </c>
      <c r="Q274" s="100"/>
      <c r="R274" s="100"/>
    </row>
    <row r="275" spans="1:18">
      <c r="A275">
        <v>275</v>
      </c>
      <c r="B275" s="95" t="s">
        <v>379</v>
      </c>
      <c r="C275" s="24">
        <f>VLOOKUP(B275,Elements!$A$2:$B$435,2,0)</f>
        <v>131</v>
      </c>
      <c r="D275">
        <v>4</v>
      </c>
      <c r="E275" t="str">
        <f>VLOOKUP(D275,Categories!$A$2:$B$8,2,0)</f>
        <v>Sourcing</v>
      </c>
      <c r="F275">
        <v>13</v>
      </c>
      <c r="G275" t="str">
        <f>VLOOKUP(F275,Subcategories!$A$2:$B$29,2,0)</f>
        <v>Supplier Portal</v>
      </c>
      <c r="H275" t="str">
        <f t="shared" si="4"/>
        <v>4-13-131</v>
      </c>
      <c r="I275">
        <f>VLOOKUP(H275,SuiteCatSubElem!$F$2:$G$667,2,0)</f>
        <v>274</v>
      </c>
      <c r="J275">
        <v>131</v>
      </c>
      <c r="L275">
        <v>1</v>
      </c>
      <c r="M275" s="127">
        <v>43009.000011574077</v>
      </c>
      <c r="Q275" s="100"/>
      <c r="R275" s="100"/>
    </row>
    <row r="276" spans="1:18">
      <c r="A276">
        <v>276</v>
      </c>
      <c r="B276" s="112" t="s">
        <v>167</v>
      </c>
      <c r="C276" s="24">
        <f>VLOOKUP(B276,Elements!$A$2:$B$435,2,0)</f>
        <v>132</v>
      </c>
      <c r="D276">
        <v>4</v>
      </c>
      <c r="E276" t="str">
        <f>VLOOKUP(D276,Categories!$A$2:$B$8,2,0)</f>
        <v>Sourcing</v>
      </c>
      <c r="F276">
        <v>14</v>
      </c>
      <c r="G276" t="str">
        <f>VLOOKUP(F276,Subcategories!$A$2:$B$29,2,0)</f>
        <v>Spend Analysis</v>
      </c>
      <c r="H276" t="str">
        <f t="shared" si="4"/>
        <v>4-14-132</v>
      </c>
      <c r="I276">
        <f>VLOOKUP(H276,SuiteCatSubElem!$F$2:$G$667,2,0)</f>
        <v>275</v>
      </c>
      <c r="J276">
        <v>132</v>
      </c>
      <c r="L276">
        <v>1</v>
      </c>
      <c r="M276" s="127">
        <v>43009.000011574077</v>
      </c>
      <c r="Q276" s="94"/>
    </row>
    <row r="277" spans="1:18">
      <c r="A277">
        <v>277</v>
      </c>
      <c r="B277" s="112" t="s">
        <v>168</v>
      </c>
      <c r="C277" s="24">
        <f>VLOOKUP(B277,Elements!$A$2:$B$435,2,0)</f>
        <v>133</v>
      </c>
      <c r="D277">
        <v>4</v>
      </c>
      <c r="E277" t="str">
        <f>VLOOKUP(D277,Categories!$A$2:$B$8,2,0)</f>
        <v>Sourcing</v>
      </c>
      <c r="F277">
        <v>14</v>
      </c>
      <c r="G277" t="str">
        <f>VLOOKUP(F277,Subcategories!$A$2:$B$29,2,0)</f>
        <v>Spend Analysis</v>
      </c>
      <c r="H277" t="str">
        <f t="shared" si="4"/>
        <v>4-14-133</v>
      </c>
      <c r="I277">
        <f>VLOOKUP(H277,SuiteCatSubElem!$F$2:$G$667,2,0)</f>
        <v>276</v>
      </c>
      <c r="J277">
        <v>133</v>
      </c>
      <c r="L277">
        <v>1</v>
      </c>
      <c r="M277" s="127">
        <v>43009.000011574077</v>
      </c>
      <c r="Q277" s="94"/>
    </row>
    <row r="278" spans="1:18">
      <c r="A278">
        <v>278</v>
      </c>
      <c r="B278" s="112" t="s">
        <v>169</v>
      </c>
      <c r="C278" s="24">
        <f>VLOOKUP(B278,Elements!$A$2:$B$435,2,0)</f>
        <v>134</v>
      </c>
      <c r="D278">
        <v>4</v>
      </c>
      <c r="E278" t="str">
        <f>VLOOKUP(D278,Categories!$A$2:$B$8,2,0)</f>
        <v>Sourcing</v>
      </c>
      <c r="F278">
        <v>14</v>
      </c>
      <c r="G278" t="str">
        <f>VLOOKUP(F278,Subcategories!$A$2:$B$29,2,0)</f>
        <v>Spend Analysis</v>
      </c>
      <c r="H278" t="str">
        <f t="shared" si="4"/>
        <v>4-14-134</v>
      </c>
      <c r="I278">
        <f>VLOOKUP(H278,SuiteCatSubElem!$F$2:$G$667,2,0)</f>
        <v>277</v>
      </c>
      <c r="J278">
        <v>134</v>
      </c>
      <c r="L278">
        <v>1</v>
      </c>
      <c r="M278" s="127">
        <v>43009.000011574077</v>
      </c>
      <c r="Q278" s="100"/>
    </row>
    <row r="279" spans="1:18">
      <c r="A279">
        <v>279</v>
      </c>
      <c r="B279" s="112" t="s">
        <v>170</v>
      </c>
      <c r="C279" s="24">
        <f>VLOOKUP(B279,Elements!$A$2:$B$435,2,0)</f>
        <v>135</v>
      </c>
      <c r="D279">
        <v>4</v>
      </c>
      <c r="E279" t="str">
        <f>VLOOKUP(D279,Categories!$A$2:$B$8,2,0)</f>
        <v>Sourcing</v>
      </c>
      <c r="F279">
        <v>14</v>
      </c>
      <c r="G279" t="str">
        <f>VLOOKUP(F279,Subcategories!$A$2:$B$29,2,0)</f>
        <v>Spend Analysis</v>
      </c>
      <c r="H279" t="str">
        <f t="shared" si="4"/>
        <v>4-14-135</v>
      </c>
      <c r="I279">
        <f>VLOOKUP(H279,SuiteCatSubElem!$F$2:$G$667,2,0)</f>
        <v>278</v>
      </c>
      <c r="J279">
        <v>135</v>
      </c>
      <c r="L279">
        <v>1</v>
      </c>
      <c r="M279" s="127">
        <v>43009.000011574077</v>
      </c>
      <c r="Q279" s="94"/>
    </row>
    <row r="280" spans="1:18">
      <c r="A280">
        <v>280</v>
      </c>
      <c r="B280" s="112" t="s">
        <v>171</v>
      </c>
      <c r="C280" s="24">
        <f>VLOOKUP(B280,Elements!$A$2:$B$435,2,0)</f>
        <v>136</v>
      </c>
      <c r="D280">
        <v>4</v>
      </c>
      <c r="E280" t="str">
        <f>VLOOKUP(D280,Categories!$A$2:$B$8,2,0)</f>
        <v>Sourcing</v>
      </c>
      <c r="F280">
        <v>14</v>
      </c>
      <c r="G280" t="str">
        <f>VLOOKUP(F280,Subcategories!$A$2:$B$29,2,0)</f>
        <v>Spend Analysis</v>
      </c>
      <c r="H280" t="str">
        <f t="shared" si="4"/>
        <v>4-14-136</v>
      </c>
      <c r="I280">
        <f>VLOOKUP(H280,SuiteCatSubElem!$F$2:$G$667,2,0)</f>
        <v>279</v>
      </c>
      <c r="J280">
        <v>136</v>
      </c>
      <c r="L280">
        <v>1</v>
      </c>
      <c r="M280" s="127">
        <v>43009.000011574077</v>
      </c>
      <c r="Q280" s="94"/>
    </row>
    <row r="281" spans="1:18" ht="30">
      <c r="A281">
        <v>281</v>
      </c>
      <c r="B281" s="112" t="s">
        <v>172</v>
      </c>
      <c r="C281" s="24">
        <f>VLOOKUP(B281,Elements!$A$2:$B$435,2,0)</f>
        <v>137</v>
      </c>
      <c r="D281">
        <v>4</v>
      </c>
      <c r="E281" t="str">
        <f>VLOOKUP(D281,Categories!$A$2:$B$8,2,0)</f>
        <v>Sourcing</v>
      </c>
      <c r="F281">
        <v>14</v>
      </c>
      <c r="G281" t="str">
        <f>VLOOKUP(F281,Subcategories!$A$2:$B$29,2,0)</f>
        <v>Spend Analysis</v>
      </c>
      <c r="H281" t="str">
        <f t="shared" si="4"/>
        <v>4-14-137</v>
      </c>
      <c r="I281">
        <f>VLOOKUP(H281,SuiteCatSubElem!$F$2:$G$667,2,0)</f>
        <v>280</v>
      </c>
      <c r="J281">
        <v>137</v>
      </c>
      <c r="L281">
        <v>1</v>
      </c>
      <c r="M281" s="127">
        <v>43009.000011574077</v>
      </c>
      <c r="Q281" s="94"/>
    </row>
    <row r="282" spans="1:18" ht="45">
      <c r="A282">
        <v>282</v>
      </c>
      <c r="B282" s="112" t="s">
        <v>173</v>
      </c>
      <c r="C282" s="24">
        <f>VLOOKUP(B282,Elements!$A$2:$B$435,2,0)</f>
        <v>138</v>
      </c>
      <c r="D282">
        <v>4</v>
      </c>
      <c r="E282" t="str">
        <f>VLOOKUP(D282,Categories!$A$2:$B$8,2,0)</f>
        <v>Sourcing</v>
      </c>
      <c r="F282">
        <v>14</v>
      </c>
      <c r="G282" t="str">
        <f>VLOOKUP(F282,Subcategories!$A$2:$B$29,2,0)</f>
        <v>Spend Analysis</v>
      </c>
      <c r="H282" t="str">
        <f t="shared" si="4"/>
        <v>4-14-138</v>
      </c>
      <c r="I282">
        <f>VLOOKUP(H282,SuiteCatSubElem!$F$2:$G$667,2,0)</f>
        <v>281</v>
      </c>
      <c r="J282">
        <v>138</v>
      </c>
      <c r="L282">
        <v>1</v>
      </c>
      <c r="M282" s="127">
        <v>43009.000011574077</v>
      </c>
      <c r="Q282" s="100"/>
    </row>
    <row r="283" spans="1:18" ht="30">
      <c r="A283">
        <v>283</v>
      </c>
      <c r="B283" s="112" t="s">
        <v>174</v>
      </c>
      <c r="C283" s="24">
        <f>VLOOKUP(B283,Elements!$A$2:$B$435,2,0)</f>
        <v>139</v>
      </c>
      <c r="D283">
        <v>4</v>
      </c>
      <c r="E283" t="str">
        <f>VLOOKUP(D283,Categories!$A$2:$B$8,2,0)</f>
        <v>Sourcing</v>
      </c>
      <c r="F283">
        <v>14</v>
      </c>
      <c r="G283" t="str">
        <f>VLOOKUP(F283,Subcategories!$A$2:$B$29,2,0)</f>
        <v>Spend Analysis</v>
      </c>
      <c r="H283" t="str">
        <f t="shared" si="4"/>
        <v>4-14-139</v>
      </c>
      <c r="I283">
        <f>VLOOKUP(H283,SuiteCatSubElem!$F$2:$G$667,2,0)</f>
        <v>282</v>
      </c>
      <c r="J283">
        <v>139</v>
      </c>
      <c r="L283">
        <v>1</v>
      </c>
      <c r="M283" s="127">
        <v>43009.000011574077</v>
      </c>
      <c r="Q283" s="94"/>
    </row>
    <row r="284" spans="1:18">
      <c r="A284">
        <v>284</v>
      </c>
      <c r="B284" s="112" t="s">
        <v>175</v>
      </c>
      <c r="C284" s="24">
        <f>VLOOKUP(B284,Elements!$A$2:$B$435,2,0)</f>
        <v>140</v>
      </c>
      <c r="D284">
        <v>4</v>
      </c>
      <c r="E284" t="str">
        <f>VLOOKUP(D284,Categories!$A$2:$B$8,2,0)</f>
        <v>Sourcing</v>
      </c>
      <c r="F284">
        <v>14</v>
      </c>
      <c r="G284" t="str">
        <f>VLOOKUP(F284,Subcategories!$A$2:$B$29,2,0)</f>
        <v>Spend Analysis</v>
      </c>
      <c r="H284" t="str">
        <f t="shared" si="4"/>
        <v>4-14-140</v>
      </c>
      <c r="I284">
        <f>VLOOKUP(H284,SuiteCatSubElem!$F$2:$G$667,2,0)</f>
        <v>283</v>
      </c>
      <c r="J284">
        <v>140</v>
      </c>
      <c r="L284">
        <v>1</v>
      </c>
      <c r="M284" s="127">
        <v>43009.000011574077</v>
      </c>
      <c r="Q284" s="94"/>
    </row>
    <row r="285" spans="1:18" ht="30">
      <c r="A285">
        <v>285</v>
      </c>
      <c r="B285" s="112" t="s">
        <v>176</v>
      </c>
      <c r="C285" s="24">
        <f>VLOOKUP(B285,Elements!$A$2:$B$435,2,0)</f>
        <v>141</v>
      </c>
      <c r="D285">
        <v>4</v>
      </c>
      <c r="E285" t="str">
        <f>VLOOKUP(D285,Categories!$A$2:$B$8,2,0)</f>
        <v>Sourcing</v>
      </c>
      <c r="F285">
        <v>14</v>
      </c>
      <c r="G285" t="str">
        <f>VLOOKUP(F285,Subcategories!$A$2:$B$29,2,0)</f>
        <v>Spend Analysis</v>
      </c>
      <c r="H285" t="str">
        <f t="shared" si="4"/>
        <v>4-14-141</v>
      </c>
      <c r="I285">
        <f>VLOOKUP(H285,SuiteCatSubElem!$F$2:$G$667,2,0)</f>
        <v>284</v>
      </c>
      <c r="J285">
        <v>141</v>
      </c>
      <c r="L285">
        <v>1</v>
      </c>
      <c r="M285" s="127">
        <v>43009.000011574077</v>
      </c>
      <c r="Q285" s="94"/>
    </row>
    <row r="286" spans="1:18">
      <c r="A286">
        <v>286</v>
      </c>
      <c r="B286" s="112" t="s">
        <v>177</v>
      </c>
      <c r="C286" s="24">
        <f>VLOOKUP(B286,Elements!$A$2:$B$435,2,0)</f>
        <v>142</v>
      </c>
      <c r="D286">
        <v>4</v>
      </c>
      <c r="E286" t="str">
        <f>VLOOKUP(D286,Categories!$A$2:$B$8,2,0)</f>
        <v>Sourcing</v>
      </c>
      <c r="F286">
        <v>14</v>
      </c>
      <c r="G286" t="str">
        <f>VLOOKUP(F286,Subcategories!$A$2:$B$29,2,0)</f>
        <v>Spend Analysis</v>
      </c>
      <c r="H286" t="str">
        <f t="shared" si="4"/>
        <v>4-14-142</v>
      </c>
      <c r="I286">
        <f>VLOOKUP(H286,SuiteCatSubElem!$F$2:$G$667,2,0)</f>
        <v>285</v>
      </c>
      <c r="J286">
        <v>142</v>
      </c>
      <c r="L286">
        <v>1</v>
      </c>
      <c r="M286" s="127">
        <v>43009.000011574077</v>
      </c>
      <c r="Q286" s="94"/>
    </row>
    <row r="287" spans="1:18" ht="30">
      <c r="A287">
        <v>287</v>
      </c>
      <c r="B287" s="112" t="s">
        <v>178</v>
      </c>
      <c r="C287" s="24">
        <f>VLOOKUP(B287,Elements!$A$2:$B$435,2,0)</f>
        <v>143</v>
      </c>
      <c r="D287">
        <v>4</v>
      </c>
      <c r="E287" t="str">
        <f>VLOOKUP(D287,Categories!$A$2:$B$8,2,0)</f>
        <v>Sourcing</v>
      </c>
      <c r="F287">
        <v>14</v>
      </c>
      <c r="G287" t="str">
        <f>VLOOKUP(F287,Subcategories!$A$2:$B$29,2,0)</f>
        <v>Spend Analysis</v>
      </c>
      <c r="H287" t="str">
        <f t="shared" si="4"/>
        <v>4-14-143</v>
      </c>
      <c r="I287">
        <f>VLOOKUP(H287,SuiteCatSubElem!$F$2:$G$667,2,0)</f>
        <v>286</v>
      </c>
      <c r="J287">
        <v>143</v>
      </c>
      <c r="L287">
        <v>1</v>
      </c>
      <c r="M287" s="127">
        <v>43009.000011574077</v>
      </c>
      <c r="Q287" s="100"/>
    </row>
    <row r="288" spans="1:18">
      <c r="A288">
        <v>288</v>
      </c>
      <c r="B288" s="112" t="s">
        <v>179</v>
      </c>
      <c r="C288" s="24">
        <f>VLOOKUP(B288,Elements!$A$2:$B$435,2,0)</f>
        <v>144</v>
      </c>
      <c r="D288">
        <v>4</v>
      </c>
      <c r="E288" t="str">
        <f>VLOOKUP(D288,Categories!$A$2:$B$8,2,0)</f>
        <v>Sourcing</v>
      </c>
      <c r="F288">
        <v>14</v>
      </c>
      <c r="G288" t="str">
        <f>VLOOKUP(F288,Subcategories!$A$2:$B$29,2,0)</f>
        <v>Spend Analysis</v>
      </c>
      <c r="H288" t="str">
        <f t="shared" si="4"/>
        <v>4-14-144</v>
      </c>
      <c r="I288">
        <f>VLOOKUP(H288,SuiteCatSubElem!$F$2:$G$667,2,0)</f>
        <v>287</v>
      </c>
      <c r="J288">
        <v>144</v>
      </c>
      <c r="L288">
        <v>1</v>
      </c>
      <c r="M288" s="127">
        <v>43009.000011574077</v>
      </c>
      <c r="Q288" s="100"/>
    </row>
    <row r="289" spans="1:18">
      <c r="A289">
        <v>289</v>
      </c>
      <c r="B289" s="112" t="s">
        <v>180</v>
      </c>
      <c r="C289" s="24">
        <f>VLOOKUP(B289,Elements!$A$2:$B$435,2,0)</f>
        <v>145</v>
      </c>
      <c r="D289">
        <v>4</v>
      </c>
      <c r="E289" t="str">
        <f>VLOOKUP(D289,Categories!$A$2:$B$8,2,0)</f>
        <v>Sourcing</v>
      </c>
      <c r="F289">
        <v>14</v>
      </c>
      <c r="G289" t="str">
        <f>VLOOKUP(F289,Subcategories!$A$2:$B$29,2,0)</f>
        <v>Spend Analysis</v>
      </c>
      <c r="H289" t="str">
        <f t="shared" si="4"/>
        <v>4-14-145</v>
      </c>
      <c r="I289">
        <f>VLOOKUP(H289,SuiteCatSubElem!$F$2:$G$667,2,0)</f>
        <v>288</v>
      </c>
      <c r="J289">
        <v>145</v>
      </c>
      <c r="L289">
        <v>1</v>
      </c>
      <c r="M289" s="127">
        <v>43009.000011574077</v>
      </c>
      <c r="Q289" s="94"/>
    </row>
    <row r="290" spans="1:18">
      <c r="A290">
        <v>290</v>
      </c>
      <c r="B290" s="112" t="s">
        <v>181</v>
      </c>
      <c r="C290" s="24">
        <f>VLOOKUP(B290,Elements!$A$2:$B$435,2,0)</f>
        <v>146</v>
      </c>
      <c r="D290">
        <v>4</v>
      </c>
      <c r="E290" t="str">
        <f>VLOOKUP(D290,Categories!$A$2:$B$8,2,0)</f>
        <v>Sourcing</v>
      </c>
      <c r="F290">
        <v>14</v>
      </c>
      <c r="G290" t="str">
        <f>VLOOKUP(F290,Subcategories!$A$2:$B$29,2,0)</f>
        <v>Spend Analysis</v>
      </c>
      <c r="H290" t="str">
        <f t="shared" si="4"/>
        <v>4-14-146</v>
      </c>
      <c r="I290">
        <f>VLOOKUP(H290,SuiteCatSubElem!$F$2:$G$667,2,0)</f>
        <v>289</v>
      </c>
      <c r="J290">
        <v>146</v>
      </c>
      <c r="L290">
        <v>1</v>
      </c>
      <c r="M290" s="127">
        <v>43009.000011574077</v>
      </c>
      <c r="Q290" s="100"/>
    </row>
    <row r="291" spans="1:18">
      <c r="A291">
        <v>291</v>
      </c>
      <c r="B291" s="112" t="s">
        <v>183</v>
      </c>
      <c r="C291" s="24">
        <f>VLOOKUP(B291,Elements!$A$2:$B$435,2,0)</f>
        <v>147</v>
      </c>
      <c r="D291">
        <v>4</v>
      </c>
      <c r="E291" t="str">
        <f>VLOOKUP(D291,Categories!$A$2:$B$8,2,0)</f>
        <v>Sourcing</v>
      </c>
      <c r="F291">
        <v>15</v>
      </c>
      <c r="G291" t="str">
        <f>VLOOKUP(F291,Subcategories!$A$2:$B$29,2,0)</f>
        <v>RFX Auction</v>
      </c>
      <c r="H291" t="str">
        <f t="shared" si="4"/>
        <v>4-15-147</v>
      </c>
      <c r="I291">
        <f>VLOOKUP(H291,SuiteCatSubElem!$F$2:$G$667,2,0)</f>
        <v>290</v>
      </c>
      <c r="J291">
        <v>147</v>
      </c>
      <c r="L291">
        <v>1</v>
      </c>
      <c r="M291" s="127">
        <v>43009.000011574077</v>
      </c>
      <c r="Q291" s="94"/>
      <c r="R291" s="100"/>
    </row>
    <row r="292" spans="1:18">
      <c r="A292">
        <v>292</v>
      </c>
      <c r="B292" s="112" t="s">
        <v>184</v>
      </c>
      <c r="C292" s="24">
        <f>VLOOKUP(B292,Elements!$A$2:$B$435,2,0)</f>
        <v>148</v>
      </c>
      <c r="D292" s="47">
        <v>4</v>
      </c>
      <c r="E292" t="str">
        <f>VLOOKUP(D292,Categories!$A$2:$B$8,2,0)</f>
        <v>Sourcing</v>
      </c>
      <c r="F292">
        <v>15</v>
      </c>
      <c r="G292" t="str">
        <f>VLOOKUP(F292,Subcategories!$A$2:$B$29,2,0)</f>
        <v>RFX Auction</v>
      </c>
      <c r="H292" t="str">
        <f t="shared" si="4"/>
        <v>4-15-148</v>
      </c>
      <c r="I292">
        <f>VLOOKUP(H292,SuiteCatSubElem!$F$2:$G$667,2,0)</f>
        <v>291</v>
      </c>
      <c r="J292">
        <v>148</v>
      </c>
      <c r="K292" s="47"/>
      <c r="L292">
        <v>1</v>
      </c>
      <c r="M292" s="127">
        <v>43009.000011574077</v>
      </c>
      <c r="Q292" s="94"/>
      <c r="R292" s="94"/>
    </row>
    <row r="293" spans="1:18">
      <c r="A293">
        <v>293</v>
      </c>
      <c r="B293" s="112" t="s">
        <v>150</v>
      </c>
      <c r="C293" s="24">
        <f>VLOOKUP(B293,Elements!$A$2:$B$435,2,0)</f>
        <v>115</v>
      </c>
      <c r="D293">
        <v>4</v>
      </c>
      <c r="E293" t="str">
        <f>VLOOKUP(D293,Categories!$A$2:$B$8,2,0)</f>
        <v>Sourcing</v>
      </c>
      <c r="F293">
        <v>15</v>
      </c>
      <c r="G293" t="str">
        <f>VLOOKUP(F293,Subcategories!$A$2:$B$29,2,0)</f>
        <v>RFX Auction</v>
      </c>
      <c r="H293" t="str">
        <f t="shared" si="4"/>
        <v>4-15-115</v>
      </c>
      <c r="I293">
        <f>VLOOKUP(H293,SuiteCatSubElem!$F$2:$G$667,2,0)</f>
        <v>292</v>
      </c>
      <c r="J293">
        <v>453</v>
      </c>
      <c r="L293">
        <v>1</v>
      </c>
      <c r="M293" s="127">
        <v>43009.000011574077</v>
      </c>
      <c r="Q293" s="94"/>
      <c r="R293" s="100"/>
    </row>
    <row r="294" spans="1:18">
      <c r="A294">
        <v>294</v>
      </c>
      <c r="B294" s="112" t="s">
        <v>185</v>
      </c>
      <c r="C294" s="24">
        <f>VLOOKUP(B294,Elements!$A$2:$B$435,2,0)</f>
        <v>149</v>
      </c>
      <c r="D294">
        <v>4</v>
      </c>
      <c r="E294" t="str">
        <f>VLOOKUP(D294,Categories!$A$2:$B$8,2,0)</f>
        <v>Sourcing</v>
      </c>
      <c r="F294">
        <v>15</v>
      </c>
      <c r="G294" t="str">
        <f>VLOOKUP(F294,Subcategories!$A$2:$B$29,2,0)</f>
        <v>RFX Auction</v>
      </c>
      <c r="H294" t="str">
        <f t="shared" si="4"/>
        <v>4-15-149</v>
      </c>
      <c r="I294">
        <f>VLOOKUP(H294,SuiteCatSubElem!$F$2:$G$667,2,0)</f>
        <v>293</v>
      </c>
      <c r="J294">
        <v>149</v>
      </c>
      <c r="L294">
        <v>1</v>
      </c>
      <c r="M294" s="127">
        <v>43009.000011574077</v>
      </c>
      <c r="Q294" s="100"/>
      <c r="R294" s="100"/>
    </row>
    <row r="295" spans="1:18">
      <c r="A295">
        <v>295</v>
      </c>
      <c r="B295" s="112" t="s">
        <v>186</v>
      </c>
      <c r="C295" s="24">
        <f>VLOOKUP(B295,Elements!$A$2:$B$435,2,0)</f>
        <v>150</v>
      </c>
      <c r="D295">
        <v>4</v>
      </c>
      <c r="E295" t="str">
        <f>VLOOKUP(D295,Categories!$A$2:$B$8,2,0)</f>
        <v>Sourcing</v>
      </c>
      <c r="F295">
        <v>15</v>
      </c>
      <c r="G295" t="str">
        <f>VLOOKUP(F295,Subcategories!$A$2:$B$29,2,0)</f>
        <v>RFX Auction</v>
      </c>
      <c r="H295" t="str">
        <f t="shared" si="4"/>
        <v>4-15-150</v>
      </c>
      <c r="I295">
        <f>VLOOKUP(H295,SuiteCatSubElem!$F$2:$G$667,2,0)</f>
        <v>294</v>
      </c>
      <c r="J295">
        <v>150</v>
      </c>
      <c r="L295">
        <v>1</v>
      </c>
      <c r="M295" s="127">
        <v>43009.000011574077</v>
      </c>
      <c r="Q295" s="94"/>
      <c r="R295" s="100"/>
    </row>
    <row r="296" spans="1:18">
      <c r="A296">
        <v>296</v>
      </c>
      <c r="B296" s="112" t="s">
        <v>187</v>
      </c>
      <c r="C296" s="24">
        <f>VLOOKUP(B296,Elements!$A$2:$B$435,2,0)</f>
        <v>151</v>
      </c>
      <c r="D296">
        <v>4</v>
      </c>
      <c r="E296" t="str">
        <f>VLOOKUP(D296,Categories!$A$2:$B$8,2,0)</f>
        <v>Sourcing</v>
      </c>
      <c r="F296">
        <v>15</v>
      </c>
      <c r="G296" t="str">
        <f>VLOOKUP(F296,Subcategories!$A$2:$B$29,2,0)</f>
        <v>RFX Auction</v>
      </c>
      <c r="H296" t="str">
        <f t="shared" si="4"/>
        <v>4-15-151</v>
      </c>
      <c r="I296">
        <f>VLOOKUP(H296,SuiteCatSubElem!$F$2:$G$667,2,0)</f>
        <v>295</v>
      </c>
      <c r="J296">
        <v>151</v>
      </c>
      <c r="L296">
        <v>1</v>
      </c>
      <c r="M296" s="127">
        <v>43009.000011574077</v>
      </c>
      <c r="Q296" s="100"/>
      <c r="R296" s="100"/>
    </row>
    <row r="297" spans="1:18">
      <c r="A297">
        <v>297</v>
      </c>
      <c r="B297" s="112" t="s">
        <v>188</v>
      </c>
      <c r="C297" s="24">
        <f>VLOOKUP(B297,Elements!$A$2:$B$435,2,0)</f>
        <v>152</v>
      </c>
      <c r="D297">
        <v>4</v>
      </c>
      <c r="E297" t="str">
        <f>VLOOKUP(D297,Categories!$A$2:$B$8,2,0)</f>
        <v>Sourcing</v>
      </c>
      <c r="F297">
        <v>15</v>
      </c>
      <c r="G297" t="str">
        <f>VLOOKUP(F297,Subcategories!$A$2:$B$29,2,0)</f>
        <v>RFX Auction</v>
      </c>
      <c r="H297" t="str">
        <f t="shared" si="4"/>
        <v>4-15-152</v>
      </c>
      <c r="I297">
        <f>VLOOKUP(H297,SuiteCatSubElem!$F$2:$G$667,2,0)</f>
        <v>296</v>
      </c>
      <c r="J297">
        <v>152</v>
      </c>
      <c r="L297">
        <v>1</v>
      </c>
      <c r="M297" s="127">
        <v>43009.000011574077</v>
      </c>
      <c r="Q297" s="100"/>
      <c r="R297" s="100"/>
    </row>
    <row r="298" spans="1:18">
      <c r="A298">
        <v>298</v>
      </c>
      <c r="B298" s="112" t="s">
        <v>189</v>
      </c>
      <c r="C298" s="24">
        <f>VLOOKUP(B298,Elements!$A$2:$B$435,2,0)</f>
        <v>153</v>
      </c>
      <c r="D298">
        <v>4</v>
      </c>
      <c r="E298" t="str">
        <f>VLOOKUP(D298,Categories!$A$2:$B$8,2,0)</f>
        <v>Sourcing</v>
      </c>
      <c r="F298">
        <v>15</v>
      </c>
      <c r="G298" t="str">
        <f>VLOOKUP(F298,Subcategories!$A$2:$B$29,2,0)</f>
        <v>RFX Auction</v>
      </c>
      <c r="H298" t="str">
        <f t="shared" si="4"/>
        <v>4-15-153</v>
      </c>
      <c r="I298">
        <f>VLOOKUP(H298,SuiteCatSubElem!$F$2:$G$667,2,0)</f>
        <v>297</v>
      </c>
      <c r="J298">
        <v>153</v>
      </c>
      <c r="L298">
        <v>1</v>
      </c>
      <c r="M298" s="127">
        <v>43009.000011574077</v>
      </c>
      <c r="Q298" s="94"/>
      <c r="R298" s="100"/>
    </row>
    <row r="299" spans="1:18">
      <c r="A299">
        <v>299</v>
      </c>
      <c r="B299" s="112" t="s">
        <v>190</v>
      </c>
      <c r="C299" s="24">
        <f>VLOOKUP(B299,Elements!$A$2:$B$435,2,0)</f>
        <v>154</v>
      </c>
      <c r="D299">
        <v>4</v>
      </c>
      <c r="E299" t="str">
        <f>VLOOKUP(D299,Categories!$A$2:$B$8,2,0)</f>
        <v>Sourcing</v>
      </c>
      <c r="F299">
        <v>15</v>
      </c>
      <c r="G299" t="str">
        <f>VLOOKUP(F299,Subcategories!$A$2:$B$29,2,0)</f>
        <v>RFX Auction</v>
      </c>
      <c r="H299" t="str">
        <f t="shared" si="4"/>
        <v>4-15-154</v>
      </c>
      <c r="I299">
        <f>VLOOKUP(H299,SuiteCatSubElem!$F$2:$G$667,2,0)</f>
        <v>298</v>
      </c>
      <c r="J299">
        <v>154</v>
      </c>
      <c r="L299">
        <v>1</v>
      </c>
      <c r="M299" s="127">
        <v>43009.000011574077</v>
      </c>
      <c r="Q299" s="100"/>
      <c r="R299" s="100"/>
    </row>
    <row r="300" spans="1:18">
      <c r="A300">
        <v>300</v>
      </c>
      <c r="B300" s="112" t="s">
        <v>191</v>
      </c>
      <c r="C300" s="24">
        <f>VLOOKUP(B300,Elements!$A$2:$B$435,2,0)</f>
        <v>155</v>
      </c>
      <c r="D300">
        <v>4</v>
      </c>
      <c r="E300" t="str">
        <f>VLOOKUP(D300,Categories!$A$2:$B$8,2,0)</f>
        <v>Sourcing</v>
      </c>
      <c r="F300">
        <v>15</v>
      </c>
      <c r="G300" t="str">
        <f>VLOOKUP(F300,Subcategories!$A$2:$B$29,2,0)</f>
        <v>RFX Auction</v>
      </c>
      <c r="H300" t="str">
        <f t="shared" si="4"/>
        <v>4-15-155</v>
      </c>
      <c r="I300">
        <f>VLOOKUP(H300,SuiteCatSubElem!$F$2:$G$667,2,0)</f>
        <v>299</v>
      </c>
      <c r="J300">
        <v>155</v>
      </c>
      <c r="L300">
        <v>1</v>
      </c>
      <c r="M300" s="127">
        <v>43009.000011574077</v>
      </c>
      <c r="Q300" s="100"/>
      <c r="R300" s="100"/>
    </row>
    <row r="301" spans="1:18">
      <c r="A301">
        <v>301</v>
      </c>
      <c r="B301" s="112" t="s">
        <v>192</v>
      </c>
      <c r="C301" s="24">
        <f>VLOOKUP(B301,Elements!$A$2:$B$435,2,0)</f>
        <v>156</v>
      </c>
      <c r="D301">
        <v>4</v>
      </c>
      <c r="E301" t="str">
        <f>VLOOKUP(D301,Categories!$A$2:$B$8,2,0)</f>
        <v>Sourcing</v>
      </c>
      <c r="F301">
        <v>15</v>
      </c>
      <c r="G301" t="str">
        <f>VLOOKUP(F301,Subcategories!$A$2:$B$29,2,0)</f>
        <v>RFX Auction</v>
      </c>
      <c r="H301" t="str">
        <f t="shared" si="4"/>
        <v>4-15-156</v>
      </c>
      <c r="I301">
        <f>VLOOKUP(H301,SuiteCatSubElem!$F$2:$G$667,2,0)</f>
        <v>300</v>
      </c>
      <c r="J301">
        <v>156</v>
      </c>
      <c r="L301">
        <v>1</v>
      </c>
      <c r="M301" s="127">
        <v>43009.000011574077</v>
      </c>
      <c r="Q301" s="94"/>
      <c r="R301" s="100"/>
    </row>
    <row r="302" spans="1:18">
      <c r="A302">
        <v>302</v>
      </c>
      <c r="B302" s="112" t="s">
        <v>193</v>
      </c>
      <c r="C302" s="24">
        <f>VLOOKUP(B302,Elements!$A$2:$B$435,2,0)</f>
        <v>157</v>
      </c>
      <c r="D302">
        <v>4</v>
      </c>
      <c r="E302" t="str">
        <f>VLOOKUP(D302,Categories!$A$2:$B$8,2,0)</f>
        <v>Sourcing</v>
      </c>
      <c r="F302">
        <v>15</v>
      </c>
      <c r="G302" t="str">
        <f>VLOOKUP(F302,Subcategories!$A$2:$B$29,2,0)</f>
        <v>RFX Auction</v>
      </c>
      <c r="H302" t="str">
        <f t="shared" si="4"/>
        <v>4-15-157</v>
      </c>
      <c r="I302">
        <f>VLOOKUP(H302,SuiteCatSubElem!$F$2:$G$667,2,0)</f>
        <v>301</v>
      </c>
      <c r="J302">
        <v>157</v>
      </c>
      <c r="L302">
        <v>1</v>
      </c>
      <c r="M302" s="127">
        <v>43009.000011574077</v>
      </c>
      <c r="Q302" s="94"/>
      <c r="R302" s="100"/>
    </row>
    <row r="303" spans="1:18" ht="30">
      <c r="A303">
        <v>303</v>
      </c>
      <c r="B303" s="112" t="s">
        <v>194</v>
      </c>
      <c r="C303" s="24">
        <f>VLOOKUP(B303,Elements!$A$2:$B$435,2,0)</f>
        <v>158</v>
      </c>
      <c r="D303">
        <v>4</v>
      </c>
      <c r="E303" t="str">
        <f>VLOOKUP(D303,Categories!$A$2:$B$8,2,0)</f>
        <v>Sourcing</v>
      </c>
      <c r="F303">
        <v>15</v>
      </c>
      <c r="G303" t="str">
        <f>VLOOKUP(F303,Subcategories!$A$2:$B$29,2,0)</f>
        <v>RFX Auction</v>
      </c>
      <c r="H303" t="str">
        <f t="shared" si="4"/>
        <v>4-15-158</v>
      </c>
      <c r="I303">
        <f>VLOOKUP(H303,SuiteCatSubElem!$F$2:$G$667,2,0)</f>
        <v>302</v>
      </c>
      <c r="J303">
        <v>158</v>
      </c>
      <c r="L303">
        <v>1</v>
      </c>
      <c r="M303" s="127">
        <v>43009.000011574077</v>
      </c>
      <c r="Q303" s="100"/>
      <c r="R303" s="100"/>
    </row>
    <row r="304" spans="1:18">
      <c r="A304">
        <v>304</v>
      </c>
      <c r="B304" s="112" t="s">
        <v>195</v>
      </c>
      <c r="C304" s="24">
        <f>VLOOKUP(B304,Elements!$A$2:$B$435,2,0)</f>
        <v>159</v>
      </c>
      <c r="D304">
        <v>4</v>
      </c>
      <c r="E304" t="str">
        <f>VLOOKUP(D304,Categories!$A$2:$B$8,2,0)</f>
        <v>Sourcing</v>
      </c>
      <c r="F304">
        <v>15</v>
      </c>
      <c r="G304" t="str">
        <f>VLOOKUP(F304,Subcategories!$A$2:$B$29,2,0)</f>
        <v>RFX Auction</v>
      </c>
      <c r="H304" t="str">
        <f t="shared" si="4"/>
        <v>4-15-159</v>
      </c>
      <c r="I304">
        <f>VLOOKUP(H304,SuiteCatSubElem!$F$2:$G$667,2,0)</f>
        <v>303</v>
      </c>
      <c r="J304">
        <v>159</v>
      </c>
      <c r="L304">
        <v>1</v>
      </c>
      <c r="M304" s="127">
        <v>43009.000011574077</v>
      </c>
      <c r="Q304" s="94"/>
      <c r="R304" s="100"/>
    </row>
    <row r="305" spans="1:18">
      <c r="A305">
        <v>305</v>
      </c>
      <c r="B305" s="112" t="s">
        <v>196</v>
      </c>
      <c r="C305" s="24">
        <f>VLOOKUP(B305,Elements!$A$2:$B$435,2,0)</f>
        <v>160</v>
      </c>
      <c r="D305">
        <v>4</v>
      </c>
      <c r="E305" t="str">
        <f>VLOOKUP(D305,Categories!$A$2:$B$8,2,0)</f>
        <v>Sourcing</v>
      </c>
      <c r="F305">
        <v>15</v>
      </c>
      <c r="G305" t="str">
        <f>VLOOKUP(F305,Subcategories!$A$2:$B$29,2,0)</f>
        <v>RFX Auction</v>
      </c>
      <c r="H305" t="str">
        <f t="shared" si="4"/>
        <v>4-15-160</v>
      </c>
      <c r="I305">
        <f>VLOOKUP(H305,SuiteCatSubElem!$F$2:$G$667,2,0)</f>
        <v>304</v>
      </c>
      <c r="J305">
        <v>160</v>
      </c>
      <c r="L305">
        <v>1</v>
      </c>
      <c r="M305" s="127">
        <v>43009.000011574077</v>
      </c>
      <c r="Q305" s="94"/>
      <c r="R305" s="100"/>
    </row>
    <row r="306" spans="1:18">
      <c r="A306">
        <v>306</v>
      </c>
      <c r="B306" s="112" t="s">
        <v>135</v>
      </c>
      <c r="C306" s="24">
        <f>VLOOKUP(B306,Elements!$A$2:$B$435,2,0)</f>
        <v>101</v>
      </c>
      <c r="D306">
        <v>4</v>
      </c>
      <c r="E306" t="str">
        <f>VLOOKUP(D306,Categories!$A$2:$B$8,2,0)</f>
        <v>Sourcing</v>
      </c>
      <c r="F306">
        <v>15</v>
      </c>
      <c r="G306" t="str">
        <f>VLOOKUP(F306,Subcategories!$A$2:$B$29,2,0)</f>
        <v>RFX Auction</v>
      </c>
      <c r="H306" t="str">
        <f t="shared" si="4"/>
        <v>4-15-101</v>
      </c>
      <c r="I306">
        <f>VLOOKUP(H306,SuiteCatSubElem!$F$2:$G$667,2,0)</f>
        <v>305</v>
      </c>
      <c r="J306">
        <v>448</v>
      </c>
      <c r="L306">
        <v>1</v>
      </c>
      <c r="M306" s="127">
        <v>43009.000011574077</v>
      </c>
      <c r="Q306" s="94"/>
      <c r="R306" s="100"/>
    </row>
    <row r="307" spans="1:18">
      <c r="A307">
        <v>307</v>
      </c>
      <c r="B307" s="95" t="s">
        <v>399</v>
      </c>
      <c r="C307" s="24">
        <f>VLOOKUP(B307,Elements!$A$2:$B$435,2,0)</f>
        <v>161</v>
      </c>
      <c r="D307">
        <v>4</v>
      </c>
      <c r="E307" t="str">
        <f>VLOOKUP(D307,Categories!$A$2:$B$8,2,0)</f>
        <v>Sourcing</v>
      </c>
      <c r="F307">
        <v>15</v>
      </c>
      <c r="G307" t="str">
        <f>VLOOKUP(F307,Subcategories!$A$2:$B$29,2,0)</f>
        <v>RFX Auction</v>
      </c>
      <c r="H307" t="str">
        <f t="shared" si="4"/>
        <v>4-15-161</v>
      </c>
      <c r="I307">
        <f>VLOOKUP(H307,SuiteCatSubElem!$F$2:$G$667,2,0)</f>
        <v>306</v>
      </c>
      <c r="J307">
        <v>161</v>
      </c>
      <c r="L307">
        <v>1</v>
      </c>
      <c r="M307" s="127">
        <v>43009.000011574077</v>
      </c>
      <c r="Q307" s="100"/>
      <c r="R307" s="100"/>
    </row>
    <row r="308" spans="1:18">
      <c r="A308">
        <v>308</v>
      </c>
      <c r="B308" s="112" t="s">
        <v>198</v>
      </c>
      <c r="C308" s="24">
        <f>VLOOKUP(B308,Elements!$A$2:$B$435,2,0)</f>
        <v>162</v>
      </c>
      <c r="D308">
        <v>4</v>
      </c>
      <c r="E308" t="str">
        <f>VLOOKUP(D308,Categories!$A$2:$B$8,2,0)</f>
        <v>Sourcing</v>
      </c>
      <c r="F308">
        <v>15</v>
      </c>
      <c r="G308" t="str">
        <f>VLOOKUP(F308,Subcategories!$A$2:$B$29,2,0)</f>
        <v>RFX Auction</v>
      </c>
      <c r="H308" t="str">
        <f t="shared" si="4"/>
        <v>4-15-162</v>
      </c>
      <c r="I308">
        <f>VLOOKUP(H308,SuiteCatSubElem!$F$2:$G$667,2,0)</f>
        <v>307</v>
      </c>
      <c r="J308">
        <v>162</v>
      </c>
      <c r="L308">
        <v>1</v>
      </c>
      <c r="M308" s="127">
        <v>43009.000011574077</v>
      </c>
      <c r="Q308" s="100"/>
      <c r="R308" s="100"/>
    </row>
    <row r="309" spans="1:18">
      <c r="A309">
        <v>309</v>
      </c>
      <c r="B309" s="112" t="s">
        <v>199</v>
      </c>
      <c r="C309" s="24">
        <f>VLOOKUP(B309,Elements!$A$2:$B$435,2,0)</f>
        <v>163</v>
      </c>
      <c r="D309">
        <v>4</v>
      </c>
      <c r="E309" t="str">
        <f>VLOOKUP(D309,Categories!$A$2:$B$8,2,0)</f>
        <v>Sourcing</v>
      </c>
      <c r="F309">
        <v>15</v>
      </c>
      <c r="G309" t="str">
        <f>VLOOKUP(F309,Subcategories!$A$2:$B$29,2,0)</f>
        <v>RFX Auction</v>
      </c>
      <c r="H309" t="str">
        <f t="shared" si="4"/>
        <v>4-15-163</v>
      </c>
      <c r="I309">
        <f>VLOOKUP(H309,SuiteCatSubElem!$F$2:$G$667,2,0)</f>
        <v>308</v>
      </c>
      <c r="J309">
        <v>163</v>
      </c>
      <c r="L309">
        <v>1</v>
      </c>
      <c r="M309" s="127">
        <v>43009.000011574077</v>
      </c>
      <c r="Q309" s="100"/>
      <c r="R309" s="100"/>
    </row>
    <row r="310" spans="1:18">
      <c r="A310">
        <v>310</v>
      </c>
      <c r="B310" s="112" t="s">
        <v>200</v>
      </c>
      <c r="C310" s="24">
        <f>VLOOKUP(B310,Elements!$A$2:$B$435,2,0)</f>
        <v>164</v>
      </c>
      <c r="D310">
        <v>4</v>
      </c>
      <c r="E310" t="str">
        <f>VLOOKUP(D310,Categories!$A$2:$B$8,2,0)</f>
        <v>Sourcing</v>
      </c>
      <c r="F310">
        <v>15</v>
      </c>
      <c r="G310" t="str">
        <f>VLOOKUP(F310,Subcategories!$A$2:$B$29,2,0)</f>
        <v>RFX Auction</v>
      </c>
      <c r="H310" t="str">
        <f t="shared" si="4"/>
        <v>4-15-164</v>
      </c>
      <c r="I310">
        <f>VLOOKUP(H310,SuiteCatSubElem!$F$2:$G$667,2,0)</f>
        <v>309</v>
      </c>
      <c r="J310">
        <v>164</v>
      </c>
      <c r="L310">
        <v>1</v>
      </c>
      <c r="M310" s="127">
        <v>43009.000011574077</v>
      </c>
      <c r="Q310" s="100"/>
      <c r="R310" s="100"/>
    </row>
    <row r="311" spans="1:18">
      <c r="A311">
        <v>311</v>
      </c>
      <c r="B311" s="112" t="s">
        <v>148</v>
      </c>
      <c r="C311" s="24">
        <f>VLOOKUP(B311,Elements!$A$2:$B$435,2,0)</f>
        <v>113</v>
      </c>
      <c r="D311">
        <v>4</v>
      </c>
      <c r="E311" t="str">
        <f>VLOOKUP(D311,Categories!$A$2:$B$8,2,0)</f>
        <v>Sourcing</v>
      </c>
      <c r="F311">
        <v>15</v>
      </c>
      <c r="G311" t="str">
        <f>VLOOKUP(F311,Subcategories!$A$2:$B$29,2,0)</f>
        <v>RFX Auction</v>
      </c>
      <c r="H311" t="str">
        <f t="shared" si="4"/>
        <v>4-15-113</v>
      </c>
      <c r="I311">
        <f>VLOOKUP(H311,SuiteCatSubElem!$F$2:$G$667,2,0)</f>
        <v>310</v>
      </c>
      <c r="J311">
        <v>451</v>
      </c>
      <c r="L311">
        <v>1</v>
      </c>
      <c r="M311" s="127">
        <v>43009.000011574077</v>
      </c>
      <c r="Q311" s="94"/>
      <c r="R311" s="100"/>
    </row>
    <row r="312" spans="1:18">
      <c r="A312">
        <v>312</v>
      </c>
      <c r="B312" s="112" t="s">
        <v>168</v>
      </c>
      <c r="C312" s="24">
        <f>VLOOKUP(B312,Elements!$A$2:$B$435,2,0)</f>
        <v>133</v>
      </c>
      <c r="D312">
        <v>4</v>
      </c>
      <c r="E312" t="str">
        <f>VLOOKUP(D312,Categories!$A$2:$B$8,2,0)</f>
        <v>Sourcing</v>
      </c>
      <c r="F312">
        <v>15</v>
      </c>
      <c r="G312" t="str">
        <f>VLOOKUP(F312,Subcategories!$A$2:$B$29,2,0)</f>
        <v>RFX Auction</v>
      </c>
      <c r="H312" t="str">
        <f t="shared" si="4"/>
        <v>4-15-133</v>
      </c>
      <c r="I312">
        <f>VLOOKUP(H312,SuiteCatSubElem!$F$2:$G$667,2,0)</f>
        <v>311</v>
      </c>
      <c r="J312">
        <v>133</v>
      </c>
      <c r="L312">
        <v>1</v>
      </c>
      <c r="M312" s="127">
        <v>43009.000011574077</v>
      </c>
      <c r="Q312" s="94"/>
    </row>
    <row r="313" spans="1:18">
      <c r="A313">
        <v>313</v>
      </c>
      <c r="B313" s="112" t="s">
        <v>201</v>
      </c>
      <c r="C313" s="24">
        <f>VLOOKUP(B313,Elements!$A$2:$B$435,2,0)</f>
        <v>165</v>
      </c>
      <c r="D313">
        <v>4</v>
      </c>
      <c r="E313" t="str">
        <f>VLOOKUP(D313,Categories!$A$2:$B$8,2,0)</f>
        <v>Sourcing</v>
      </c>
      <c r="F313">
        <v>15</v>
      </c>
      <c r="G313" t="str">
        <f>VLOOKUP(F313,Subcategories!$A$2:$B$29,2,0)</f>
        <v>RFX Auction</v>
      </c>
      <c r="H313" t="str">
        <f t="shared" si="4"/>
        <v>4-15-165</v>
      </c>
      <c r="I313">
        <f>VLOOKUP(H313,SuiteCatSubElem!$F$2:$G$667,2,0)</f>
        <v>312</v>
      </c>
      <c r="J313">
        <v>165</v>
      </c>
      <c r="L313">
        <v>1</v>
      </c>
      <c r="M313" s="127">
        <v>43009.000011574077</v>
      </c>
      <c r="Q313" s="100"/>
      <c r="R313" s="100"/>
    </row>
    <row r="314" spans="1:18">
      <c r="A314">
        <v>314</v>
      </c>
      <c r="B314" s="112" t="s">
        <v>202</v>
      </c>
      <c r="C314" s="24">
        <f>VLOOKUP(B314,Elements!$A$2:$B$435,2,0)</f>
        <v>166</v>
      </c>
      <c r="D314">
        <v>4</v>
      </c>
      <c r="E314" t="str">
        <f>VLOOKUP(D314,Categories!$A$2:$B$8,2,0)</f>
        <v>Sourcing</v>
      </c>
      <c r="F314">
        <v>15</v>
      </c>
      <c r="G314" t="str">
        <f>VLOOKUP(F314,Subcategories!$A$2:$B$29,2,0)</f>
        <v>RFX Auction</v>
      </c>
      <c r="H314" t="str">
        <f t="shared" si="4"/>
        <v>4-15-166</v>
      </c>
      <c r="I314">
        <f>VLOOKUP(H314,SuiteCatSubElem!$F$2:$G$667,2,0)</f>
        <v>313</v>
      </c>
      <c r="J314">
        <v>166</v>
      </c>
      <c r="L314">
        <v>1</v>
      </c>
      <c r="M314" s="127">
        <v>43009.000011574077</v>
      </c>
      <c r="Q314" s="94"/>
      <c r="R314" s="100"/>
    </row>
    <row r="315" spans="1:18">
      <c r="A315">
        <v>315</v>
      </c>
      <c r="B315" s="112" t="s">
        <v>203</v>
      </c>
      <c r="C315" s="24">
        <f>VLOOKUP(B315,Elements!$A$2:$B$435,2,0)</f>
        <v>167</v>
      </c>
      <c r="D315">
        <v>4</v>
      </c>
      <c r="E315" t="str">
        <f>VLOOKUP(D315,Categories!$A$2:$B$8,2,0)</f>
        <v>Sourcing</v>
      </c>
      <c r="F315">
        <v>15</v>
      </c>
      <c r="G315" t="str">
        <f>VLOOKUP(F315,Subcategories!$A$2:$B$29,2,0)</f>
        <v>RFX Auction</v>
      </c>
      <c r="H315" t="str">
        <f t="shared" si="4"/>
        <v>4-15-167</v>
      </c>
      <c r="I315">
        <f>VLOOKUP(H315,SuiteCatSubElem!$F$2:$G$667,2,0)</f>
        <v>314</v>
      </c>
      <c r="J315">
        <v>167</v>
      </c>
      <c r="L315">
        <v>1</v>
      </c>
      <c r="M315" s="127">
        <v>43009.000011574077</v>
      </c>
      <c r="Q315" s="94"/>
      <c r="R315" s="100"/>
    </row>
    <row r="316" spans="1:18">
      <c r="A316">
        <v>316</v>
      </c>
      <c r="B316" s="112" t="s">
        <v>204</v>
      </c>
      <c r="C316" s="24">
        <f>VLOOKUP(B316,Elements!$A$2:$B$435,2,0)</f>
        <v>168</v>
      </c>
      <c r="D316">
        <v>4</v>
      </c>
      <c r="E316" t="str">
        <f>VLOOKUP(D316,Categories!$A$2:$B$8,2,0)</f>
        <v>Sourcing</v>
      </c>
      <c r="F316">
        <v>15</v>
      </c>
      <c r="G316" t="str">
        <f>VLOOKUP(F316,Subcategories!$A$2:$B$29,2,0)</f>
        <v>RFX Auction</v>
      </c>
      <c r="H316" t="str">
        <f t="shared" si="4"/>
        <v>4-15-168</v>
      </c>
      <c r="I316">
        <f>VLOOKUP(H316,SuiteCatSubElem!$F$2:$G$667,2,0)</f>
        <v>315</v>
      </c>
      <c r="J316">
        <v>168</v>
      </c>
      <c r="L316">
        <v>1</v>
      </c>
      <c r="M316" s="127">
        <v>43009.000011574077</v>
      </c>
      <c r="Q316" s="94"/>
      <c r="R316" s="100"/>
    </row>
    <row r="317" spans="1:18">
      <c r="A317">
        <v>317</v>
      </c>
      <c r="B317" s="112" t="s">
        <v>205</v>
      </c>
      <c r="C317" s="24">
        <f>VLOOKUP(B317,Elements!$A$2:$B$435,2,0)</f>
        <v>169</v>
      </c>
      <c r="D317">
        <v>4</v>
      </c>
      <c r="E317" t="str">
        <f>VLOOKUP(D317,Categories!$A$2:$B$8,2,0)</f>
        <v>Sourcing</v>
      </c>
      <c r="F317">
        <v>15</v>
      </c>
      <c r="G317" t="str">
        <f>VLOOKUP(F317,Subcategories!$A$2:$B$29,2,0)</f>
        <v>RFX Auction</v>
      </c>
      <c r="H317" t="str">
        <f t="shared" si="4"/>
        <v>4-15-169</v>
      </c>
      <c r="I317">
        <f>VLOOKUP(H317,SuiteCatSubElem!$F$2:$G$667,2,0)</f>
        <v>316</v>
      </c>
      <c r="J317">
        <v>169</v>
      </c>
      <c r="L317">
        <v>1</v>
      </c>
      <c r="M317" s="127">
        <v>43009.000011574077</v>
      </c>
      <c r="Q317" s="94"/>
      <c r="R317" s="100"/>
    </row>
    <row r="318" spans="1:18">
      <c r="A318">
        <v>318</v>
      </c>
      <c r="B318" s="112" t="s">
        <v>206</v>
      </c>
      <c r="C318" s="24">
        <f>VLOOKUP(B318,Elements!$A$2:$B$435,2,0)</f>
        <v>170</v>
      </c>
      <c r="D318">
        <v>4</v>
      </c>
      <c r="E318" t="str">
        <f>VLOOKUP(D318,Categories!$A$2:$B$8,2,0)</f>
        <v>Sourcing</v>
      </c>
      <c r="F318">
        <v>15</v>
      </c>
      <c r="G318" t="str">
        <f>VLOOKUP(F318,Subcategories!$A$2:$B$29,2,0)</f>
        <v>RFX Auction</v>
      </c>
      <c r="H318" t="str">
        <f t="shared" si="4"/>
        <v>4-15-170</v>
      </c>
      <c r="I318">
        <f>VLOOKUP(H318,SuiteCatSubElem!$F$2:$G$667,2,0)</f>
        <v>317</v>
      </c>
      <c r="J318">
        <v>170</v>
      </c>
      <c r="L318">
        <v>1</v>
      </c>
      <c r="M318" s="127">
        <v>43009.000011574077</v>
      </c>
      <c r="Q318" s="100"/>
      <c r="R318" s="100"/>
    </row>
    <row r="319" spans="1:18">
      <c r="A319">
        <v>319</v>
      </c>
      <c r="B319" s="112" t="s">
        <v>207</v>
      </c>
      <c r="C319" s="24">
        <f>VLOOKUP(B319,Elements!$A$2:$B$435,2,0)</f>
        <v>171</v>
      </c>
      <c r="D319">
        <v>4</v>
      </c>
      <c r="E319" t="str">
        <f>VLOOKUP(D319,Categories!$A$2:$B$8,2,0)</f>
        <v>Sourcing</v>
      </c>
      <c r="F319">
        <v>15</v>
      </c>
      <c r="G319" t="str">
        <f>VLOOKUP(F319,Subcategories!$A$2:$B$29,2,0)</f>
        <v>RFX Auction</v>
      </c>
      <c r="H319" t="str">
        <f t="shared" si="4"/>
        <v>4-15-171</v>
      </c>
      <c r="I319">
        <f>VLOOKUP(H319,SuiteCatSubElem!$F$2:$G$667,2,0)</f>
        <v>318</v>
      </c>
      <c r="J319">
        <v>171</v>
      </c>
      <c r="L319">
        <v>1</v>
      </c>
      <c r="M319" s="127">
        <v>43009.000011574077</v>
      </c>
      <c r="Q319" s="100"/>
      <c r="R319" s="100"/>
    </row>
    <row r="320" spans="1:18">
      <c r="A320">
        <v>321</v>
      </c>
      <c r="B320" s="112" t="s">
        <v>209</v>
      </c>
      <c r="C320" s="24">
        <f>VLOOKUP(B320,Elements!$A$2:$B$435,2,0)</f>
        <v>172</v>
      </c>
      <c r="D320">
        <v>4</v>
      </c>
      <c r="E320" t="str">
        <f>VLOOKUP(D320,Categories!$A$2:$B$8,2,0)</f>
        <v>Sourcing</v>
      </c>
      <c r="F320">
        <v>15</v>
      </c>
      <c r="G320" t="str">
        <f>VLOOKUP(F320,Subcategories!$A$2:$B$29,2,0)</f>
        <v>RFX Auction</v>
      </c>
      <c r="H320" t="str">
        <f t="shared" si="4"/>
        <v>4-15-172</v>
      </c>
      <c r="I320">
        <f>VLOOKUP(H320,SuiteCatSubElem!$F$2:$G$667,2,0)</f>
        <v>319</v>
      </c>
      <c r="J320">
        <v>172</v>
      </c>
      <c r="L320">
        <v>1</v>
      </c>
      <c r="M320" s="127">
        <v>43009.000011574077</v>
      </c>
      <c r="Q320" s="100"/>
      <c r="R320" s="100"/>
    </row>
    <row r="321" spans="1:18" ht="30">
      <c r="A321">
        <v>322</v>
      </c>
      <c r="B321" s="112" t="s">
        <v>210</v>
      </c>
      <c r="C321" s="24">
        <f>VLOOKUP(B321,Elements!$A$2:$B$435,2,0)</f>
        <v>173</v>
      </c>
      <c r="D321">
        <v>4</v>
      </c>
      <c r="E321" t="str">
        <f>VLOOKUP(D321,Categories!$A$2:$B$8,2,0)</f>
        <v>Sourcing</v>
      </c>
      <c r="F321">
        <v>15</v>
      </c>
      <c r="G321" t="str">
        <f>VLOOKUP(F321,Subcategories!$A$2:$B$29,2,0)</f>
        <v>RFX Auction</v>
      </c>
      <c r="H321" t="str">
        <f t="shared" si="4"/>
        <v>4-15-173</v>
      </c>
      <c r="I321">
        <f>VLOOKUP(H321,SuiteCatSubElem!$F$2:$G$667,2,0)</f>
        <v>320</v>
      </c>
      <c r="J321">
        <v>173</v>
      </c>
      <c r="L321">
        <v>1</v>
      </c>
      <c r="M321" s="127">
        <v>43009.000011574077</v>
      </c>
      <c r="Q321" s="94"/>
      <c r="R321" s="100"/>
    </row>
    <row r="322" spans="1:18">
      <c r="A322">
        <v>323</v>
      </c>
      <c r="B322" s="112" t="s">
        <v>211</v>
      </c>
      <c r="C322" s="24">
        <f>VLOOKUP(B322,Elements!$A$2:$B$435,2,0)</f>
        <v>174</v>
      </c>
      <c r="D322">
        <v>4</v>
      </c>
      <c r="E322" t="str">
        <f>VLOOKUP(D322,Categories!$A$2:$B$8,2,0)</f>
        <v>Sourcing</v>
      </c>
      <c r="F322">
        <v>15</v>
      </c>
      <c r="G322" t="str">
        <f>VLOOKUP(F322,Subcategories!$A$2:$B$29,2,0)</f>
        <v>RFX Auction</v>
      </c>
      <c r="H322" t="str">
        <f t="shared" ref="H322:H385" si="5">_xlfn.CONCAT(D322,"-",F322,"-",C322)</f>
        <v>4-15-174</v>
      </c>
      <c r="I322">
        <f>VLOOKUP(H322,SuiteCatSubElem!$F$2:$G$667,2,0)</f>
        <v>321</v>
      </c>
      <c r="J322">
        <v>174</v>
      </c>
      <c r="L322">
        <v>1</v>
      </c>
      <c r="M322" s="127">
        <v>43009.000011574077</v>
      </c>
      <c r="Q322" s="100"/>
      <c r="R322" s="100"/>
    </row>
    <row r="323" spans="1:18">
      <c r="A323">
        <v>325</v>
      </c>
      <c r="B323" s="112" t="s">
        <v>213</v>
      </c>
      <c r="C323" s="24">
        <f>VLOOKUP(B323,Elements!$A$2:$B$435,2,0)</f>
        <v>175</v>
      </c>
      <c r="D323">
        <v>4</v>
      </c>
      <c r="E323" t="str">
        <f>VLOOKUP(D323,Categories!$A$2:$B$8,2,0)</f>
        <v>Sourcing</v>
      </c>
      <c r="F323">
        <v>15</v>
      </c>
      <c r="G323" t="str">
        <f>VLOOKUP(F323,Subcategories!$A$2:$B$29,2,0)</f>
        <v>RFX Auction</v>
      </c>
      <c r="H323" t="str">
        <f t="shared" si="5"/>
        <v>4-15-175</v>
      </c>
      <c r="I323">
        <f>VLOOKUP(H323,SuiteCatSubElem!$F$2:$G$667,2,0)</f>
        <v>322</v>
      </c>
      <c r="J323">
        <v>175</v>
      </c>
      <c r="L323">
        <v>1</v>
      </c>
      <c r="M323" s="127">
        <v>43009.000011574077</v>
      </c>
      <c r="Q323" s="100"/>
      <c r="R323" s="100"/>
    </row>
    <row r="324" spans="1:18">
      <c r="A324">
        <v>326</v>
      </c>
      <c r="B324" s="112" t="s">
        <v>214</v>
      </c>
      <c r="C324" s="24">
        <f>VLOOKUP(B324,Elements!$A$2:$B$435,2,0)</f>
        <v>176</v>
      </c>
      <c r="D324">
        <v>4</v>
      </c>
      <c r="E324" t="str">
        <f>VLOOKUP(D324,Categories!$A$2:$B$8,2,0)</f>
        <v>Sourcing</v>
      </c>
      <c r="F324">
        <v>15</v>
      </c>
      <c r="G324" t="str">
        <f>VLOOKUP(F324,Subcategories!$A$2:$B$29,2,0)</f>
        <v>RFX Auction</v>
      </c>
      <c r="H324" t="str">
        <f t="shared" si="5"/>
        <v>4-15-176</v>
      </c>
      <c r="I324">
        <f>VLOOKUP(H324,SuiteCatSubElem!$F$2:$G$667,2,0)</f>
        <v>323</v>
      </c>
      <c r="J324">
        <v>176</v>
      </c>
      <c r="L324">
        <v>1</v>
      </c>
      <c r="M324" s="127">
        <v>43009.000011574077</v>
      </c>
      <c r="Q324" s="100"/>
      <c r="R324" s="100"/>
    </row>
    <row r="325" spans="1:18">
      <c r="A325">
        <v>327</v>
      </c>
      <c r="B325" s="112" t="s">
        <v>216</v>
      </c>
      <c r="C325" s="24">
        <f>VLOOKUP(B325,Elements!$A$2:$B$435,2,0)</f>
        <v>177</v>
      </c>
      <c r="D325">
        <v>4</v>
      </c>
      <c r="E325" t="str">
        <f>VLOOKUP(D325,Categories!$A$2:$B$8,2,0)</f>
        <v>Sourcing</v>
      </c>
      <c r="F325">
        <v>15</v>
      </c>
      <c r="G325" t="str">
        <f>VLOOKUP(F325,Subcategories!$A$2:$B$29,2,0)</f>
        <v>RFX Auction</v>
      </c>
      <c r="H325" t="str">
        <f t="shared" si="5"/>
        <v>4-15-177</v>
      </c>
      <c r="I325">
        <f>VLOOKUP(H325,SuiteCatSubElem!$F$2:$G$667,2,0)</f>
        <v>324</v>
      </c>
      <c r="J325">
        <v>177</v>
      </c>
      <c r="L325">
        <v>1</v>
      </c>
      <c r="M325" s="127">
        <v>43009.000011574077</v>
      </c>
      <c r="Q325" s="100"/>
      <c r="R325" s="100"/>
    </row>
    <row r="326" spans="1:18">
      <c r="A326">
        <v>328</v>
      </c>
      <c r="B326" s="112" t="s">
        <v>217</v>
      </c>
      <c r="C326" s="24">
        <f>VLOOKUP(B326,Elements!$A$2:$B$435,2,0)</f>
        <v>178</v>
      </c>
      <c r="D326">
        <v>4</v>
      </c>
      <c r="E326" t="str">
        <f>VLOOKUP(D326,Categories!$A$2:$B$8,2,0)</f>
        <v>Sourcing</v>
      </c>
      <c r="F326">
        <v>15</v>
      </c>
      <c r="G326" t="str">
        <f>VLOOKUP(F326,Subcategories!$A$2:$B$29,2,0)</f>
        <v>RFX Auction</v>
      </c>
      <c r="H326" t="str">
        <f t="shared" si="5"/>
        <v>4-15-178</v>
      </c>
      <c r="I326">
        <f>VLOOKUP(H326,SuiteCatSubElem!$F$2:$G$667,2,0)</f>
        <v>325</v>
      </c>
      <c r="J326">
        <v>178</v>
      </c>
      <c r="L326">
        <v>1</v>
      </c>
      <c r="M326" s="127">
        <v>43009.000011574077</v>
      </c>
      <c r="Q326" s="94"/>
      <c r="R326" s="100"/>
    </row>
    <row r="327" spans="1:18">
      <c r="A327">
        <v>329</v>
      </c>
      <c r="B327" s="112" t="s">
        <v>218</v>
      </c>
      <c r="C327" s="24">
        <f>VLOOKUP(B327,Elements!$A$2:$B$435,2,0)</f>
        <v>179</v>
      </c>
      <c r="D327">
        <v>4</v>
      </c>
      <c r="E327" t="str">
        <f>VLOOKUP(D327,Categories!$A$2:$B$8,2,0)</f>
        <v>Sourcing</v>
      </c>
      <c r="F327">
        <v>15</v>
      </c>
      <c r="G327" t="str">
        <f>VLOOKUP(F327,Subcategories!$A$2:$B$29,2,0)</f>
        <v>RFX Auction</v>
      </c>
      <c r="H327" t="str">
        <f t="shared" si="5"/>
        <v>4-15-179</v>
      </c>
      <c r="I327">
        <f>VLOOKUP(H327,SuiteCatSubElem!$F$2:$G$667,2,0)</f>
        <v>326</v>
      </c>
      <c r="J327">
        <v>179</v>
      </c>
      <c r="L327">
        <v>1</v>
      </c>
      <c r="M327" s="127">
        <v>43009.000011574077</v>
      </c>
      <c r="Q327" s="100"/>
      <c r="R327" s="100"/>
    </row>
    <row r="328" spans="1:18">
      <c r="A328">
        <v>330</v>
      </c>
      <c r="B328" s="112" t="s">
        <v>219</v>
      </c>
      <c r="C328" s="24">
        <f>VLOOKUP(B328,Elements!$A$2:$B$435,2,0)</f>
        <v>180</v>
      </c>
      <c r="D328">
        <v>4</v>
      </c>
      <c r="E328" t="str">
        <f>VLOOKUP(D328,Categories!$A$2:$B$8,2,0)</f>
        <v>Sourcing</v>
      </c>
      <c r="F328">
        <v>15</v>
      </c>
      <c r="G328" t="str">
        <f>VLOOKUP(F328,Subcategories!$A$2:$B$29,2,0)</f>
        <v>RFX Auction</v>
      </c>
      <c r="H328" t="str">
        <f t="shared" si="5"/>
        <v>4-15-180</v>
      </c>
      <c r="I328">
        <f>VLOOKUP(H328,SuiteCatSubElem!$F$2:$G$667,2,0)</f>
        <v>327</v>
      </c>
      <c r="J328">
        <v>180</v>
      </c>
      <c r="L328">
        <v>1</v>
      </c>
      <c r="M328" s="127">
        <v>43009.000011574077</v>
      </c>
      <c r="Q328" s="100"/>
      <c r="R328" s="100"/>
    </row>
    <row r="329" spans="1:18">
      <c r="A329">
        <v>331</v>
      </c>
      <c r="B329" s="112" t="s">
        <v>220</v>
      </c>
      <c r="C329" s="24">
        <f>VLOOKUP(B329,Elements!$A$2:$B$435,2,0)</f>
        <v>181</v>
      </c>
      <c r="D329">
        <v>4</v>
      </c>
      <c r="E329" t="str">
        <f>VLOOKUP(D329,Categories!$A$2:$B$8,2,0)</f>
        <v>Sourcing</v>
      </c>
      <c r="F329">
        <v>15</v>
      </c>
      <c r="G329" t="str">
        <f>VLOOKUP(F329,Subcategories!$A$2:$B$29,2,0)</f>
        <v>RFX Auction</v>
      </c>
      <c r="H329" t="str">
        <f t="shared" si="5"/>
        <v>4-15-181</v>
      </c>
      <c r="I329">
        <f>VLOOKUP(H329,SuiteCatSubElem!$F$2:$G$667,2,0)</f>
        <v>328</v>
      </c>
      <c r="J329">
        <v>181</v>
      </c>
      <c r="L329">
        <v>1</v>
      </c>
      <c r="M329" s="127">
        <v>43009.000011574077</v>
      </c>
      <c r="Q329" s="100"/>
      <c r="R329" s="100"/>
    </row>
    <row r="330" spans="1:18">
      <c r="A330">
        <v>332</v>
      </c>
      <c r="B330" s="112" t="s">
        <v>221</v>
      </c>
      <c r="C330" s="24">
        <f>VLOOKUP(B330,Elements!$A$2:$B$435,2,0)</f>
        <v>182</v>
      </c>
      <c r="D330">
        <v>4</v>
      </c>
      <c r="E330" t="str">
        <f>VLOOKUP(D330,Categories!$A$2:$B$8,2,0)</f>
        <v>Sourcing</v>
      </c>
      <c r="F330">
        <v>15</v>
      </c>
      <c r="G330" t="str">
        <f>VLOOKUP(F330,Subcategories!$A$2:$B$29,2,0)</f>
        <v>RFX Auction</v>
      </c>
      <c r="H330" t="str">
        <f t="shared" si="5"/>
        <v>4-15-182</v>
      </c>
      <c r="I330">
        <f>VLOOKUP(H330,SuiteCatSubElem!$F$2:$G$667,2,0)</f>
        <v>329</v>
      </c>
      <c r="J330">
        <v>182</v>
      </c>
      <c r="L330">
        <v>1</v>
      </c>
      <c r="M330" s="127">
        <v>43009.000011574077</v>
      </c>
      <c r="Q330" s="100"/>
      <c r="R330" s="100"/>
    </row>
    <row r="331" spans="1:18">
      <c r="A331">
        <v>333</v>
      </c>
      <c r="B331" s="112" t="s">
        <v>222</v>
      </c>
      <c r="C331" s="24">
        <f>VLOOKUP(B331,Elements!$A$2:$B$435,2,0)</f>
        <v>183</v>
      </c>
      <c r="D331">
        <v>4</v>
      </c>
      <c r="E331" t="str">
        <f>VLOOKUP(D331,Categories!$A$2:$B$8,2,0)</f>
        <v>Sourcing</v>
      </c>
      <c r="F331">
        <v>15</v>
      </c>
      <c r="G331" t="str">
        <f>VLOOKUP(F331,Subcategories!$A$2:$B$29,2,0)</f>
        <v>RFX Auction</v>
      </c>
      <c r="H331" t="str">
        <f t="shared" si="5"/>
        <v>4-15-183</v>
      </c>
      <c r="I331">
        <f>VLOOKUP(H331,SuiteCatSubElem!$F$2:$G$667,2,0)</f>
        <v>330</v>
      </c>
      <c r="J331">
        <v>183</v>
      </c>
      <c r="L331">
        <v>1</v>
      </c>
      <c r="M331" s="127">
        <v>43009.000011574077</v>
      </c>
      <c r="Q331" s="100"/>
      <c r="R331" s="100"/>
    </row>
    <row r="332" spans="1:18">
      <c r="A332">
        <v>334</v>
      </c>
      <c r="B332" s="112" t="s">
        <v>223</v>
      </c>
      <c r="C332" s="24">
        <f>VLOOKUP(B332,Elements!$A$2:$B$435,2,0)</f>
        <v>184</v>
      </c>
      <c r="D332">
        <v>4</v>
      </c>
      <c r="E332" t="str">
        <f>VLOOKUP(D332,Categories!$A$2:$B$8,2,0)</f>
        <v>Sourcing</v>
      </c>
      <c r="F332">
        <v>15</v>
      </c>
      <c r="G332" t="str">
        <f>VLOOKUP(F332,Subcategories!$A$2:$B$29,2,0)</f>
        <v>RFX Auction</v>
      </c>
      <c r="H332" t="str">
        <f t="shared" si="5"/>
        <v>4-15-184</v>
      </c>
      <c r="I332">
        <f>VLOOKUP(H332,SuiteCatSubElem!$F$2:$G$667,2,0)</f>
        <v>331</v>
      </c>
      <c r="J332">
        <v>184</v>
      </c>
      <c r="L332">
        <v>1</v>
      </c>
      <c r="M332" s="127">
        <v>43009.000011574077</v>
      </c>
      <c r="Q332" s="100"/>
      <c r="R332" s="100"/>
    </row>
    <row r="333" spans="1:18" ht="30">
      <c r="A333">
        <v>335</v>
      </c>
      <c r="B333" s="112" t="s">
        <v>224</v>
      </c>
      <c r="C333" s="24">
        <f>VLOOKUP(B333,Elements!$A$2:$B$435,2,0)</f>
        <v>185</v>
      </c>
      <c r="D333">
        <v>4</v>
      </c>
      <c r="E333" t="str">
        <f>VLOOKUP(D333,Categories!$A$2:$B$8,2,0)</f>
        <v>Sourcing</v>
      </c>
      <c r="F333">
        <v>15</v>
      </c>
      <c r="G333" t="str">
        <f>VLOOKUP(F333,Subcategories!$A$2:$B$29,2,0)</f>
        <v>RFX Auction</v>
      </c>
      <c r="H333" t="str">
        <f t="shared" si="5"/>
        <v>4-15-185</v>
      </c>
      <c r="I333">
        <f>VLOOKUP(H333,SuiteCatSubElem!$F$2:$G$667,2,0)</f>
        <v>332</v>
      </c>
      <c r="J333">
        <v>185</v>
      </c>
      <c r="L333">
        <v>1</v>
      </c>
      <c r="M333" s="127">
        <v>43009.000011574077</v>
      </c>
      <c r="Q333" s="100"/>
      <c r="R333" s="100"/>
    </row>
    <row r="334" spans="1:18" ht="30">
      <c r="A334">
        <v>336</v>
      </c>
      <c r="B334" s="112" t="s">
        <v>225</v>
      </c>
      <c r="C334" s="24">
        <f>VLOOKUP(B334,Elements!$A$2:$B$435,2,0)</f>
        <v>186</v>
      </c>
      <c r="D334">
        <v>4</v>
      </c>
      <c r="E334" t="str">
        <f>VLOOKUP(D334,Categories!$A$2:$B$8,2,0)</f>
        <v>Sourcing</v>
      </c>
      <c r="F334">
        <v>15</v>
      </c>
      <c r="G334" t="str">
        <f>VLOOKUP(F334,Subcategories!$A$2:$B$29,2,0)</f>
        <v>RFX Auction</v>
      </c>
      <c r="H334" t="str">
        <f t="shared" si="5"/>
        <v>4-15-186</v>
      </c>
      <c r="I334">
        <f>VLOOKUP(H334,SuiteCatSubElem!$F$2:$G$667,2,0)</f>
        <v>333</v>
      </c>
      <c r="J334">
        <v>186</v>
      </c>
      <c r="L334">
        <v>1</v>
      </c>
      <c r="M334" s="127">
        <v>43009.000011574077</v>
      </c>
      <c r="Q334" s="94"/>
      <c r="R334" s="100"/>
    </row>
    <row r="335" spans="1:18">
      <c r="A335">
        <v>337</v>
      </c>
      <c r="B335" s="112" t="s">
        <v>226</v>
      </c>
      <c r="C335" s="24">
        <f>VLOOKUP(B335,Elements!$A$2:$B$435,2,0)</f>
        <v>187</v>
      </c>
      <c r="D335">
        <v>4</v>
      </c>
      <c r="E335" t="str">
        <f>VLOOKUP(D335,Categories!$A$2:$B$8,2,0)</f>
        <v>Sourcing</v>
      </c>
      <c r="F335">
        <v>16</v>
      </c>
      <c r="G335" t="str">
        <f>VLOOKUP(F335,Subcategories!$A$2:$B$29,2,0)</f>
        <v>Optimization</v>
      </c>
      <c r="H335" t="str">
        <f t="shared" si="5"/>
        <v>4-16-187</v>
      </c>
      <c r="I335">
        <f>VLOOKUP(H335,SuiteCatSubElem!$F$2:$G$667,2,0)</f>
        <v>334</v>
      </c>
      <c r="J335">
        <v>187</v>
      </c>
      <c r="L335">
        <v>1</v>
      </c>
      <c r="M335" s="127">
        <v>43009.000011574077</v>
      </c>
      <c r="Q335" s="100"/>
      <c r="R335" s="100"/>
    </row>
    <row r="336" spans="1:18">
      <c r="A336">
        <v>338</v>
      </c>
      <c r="B336" s="112" t="s">
        <v>227</v>
      </c>
      <c r="C336" s="24">
        <f>VLOOKUP(B336,Elements!$A$2:$B$435,2,0)</f>
        <v>188</v>
      </c>
      <c r="D336">
        <v>4</v>
      </c>
      <c r="E336" t="str">
        <f>VLOOKUP(D336,Categories!$A$2:$B$8,2,0)</f>
        <v>Sourcing</v>
      </c>
      <c r="F336">
        <v>16</v>
      </c>
      <c r="G336" t="str">
        <f>VLOOKUP(F336,Subcategories!$A$2:$B$29,2,0)</f>
        <v>Optimization</v>
      </c>
      <c r="H336" t="str">
        <f t="shared" si="5"/>
        <v>4-16-188</v>
      </c>
      <c r="I336">
        <f>VLOOKUP(H336,SuiteCatSubElem!$F$2:$G$667,2,0)</f>
        <v>335</v>
      </c>
      <c r="J336">
        <v>188</v>
      </c>
      <c r="L336">
        <v>1</v>
      </c>
      <c r="M336" s="127">
        <v>43009.000011574077</v>
      </c>
      <c r="Q336" s="100"/>
      <c r="R336" s="100"/>
    </row>
    <row r="337" spans="1:18">
      <c r="A337">
        <v>340</v>
      </c>
      <c r="B337" s="112" t="s">
        <v>228</v>
      </c>
      <c r="C337" s="24">
        <f>VLOOKUP(B337,Elements!$A$2:$B$435,2,0)</f>
        <v>189</v>
      </c>
      <c r="D337">
        <v>4</v>
      </c>
      <c r="E337" t="str">
        <f>VLOOKUP(D337,Categories!$A$2:$B$8,2,0)</f>
        <v>Sourcing</v>
      </c>
      <c r="F337">
        <v>16</v>
      </c>
      <c r="G337" t="str">
        <f>VLOOKUP(F337,Subcategories!$A$2:$B$29,2,0)</f>
        <v>Optimization</v>
      </c>
      <c r="H337" t="str">
        <f t="shared" si="5"/>
        <v>4-16-189</v>
      </c>
      <c r="I337">
        <f>VLOOKUP(H337,SuiteCatSubElem!$F$2:$G$667,2,0)</f>
        <v>336</v>
      </c>
      <c r="J337">
        <v>189</v>
      </c>
      <c r="L337">
        <v>1</v>
      </c>
      <c r="M337" s="127">
        <v>43009.000011574077</v>
      </c>
      <c r="Q337" s="94"/>
      <c r="R337" s="100"/>
    </row>
    <row r="338" spans="1:18">
      <c r="A338">
        <v>341</v>
      </c>
      <c r="B338" s="112" t="s">
        <v>229</v>
      </c>
      <c r="C338" s="24">
        <f>VLOOKUP(B338,Elements!$A$2:$B$435,2,0)</f>
        <v>190</v>
      </c>
      <c r="D338">
        <v>4</v>
      </c>
      <c r="E338" t="str">
        <f>VLOOKUP(D338,Categories!$A$2:$B$8,2,0)</f>
        <v>Sourcing</v>
      </c>
      <c r="F338">
        <v>16</v>
      </c>
      <c r="G338" t="str">
        <f>VLOOKUP(F338,Subcategories!$A$2:$B$29,2,0)</f>
        <v>Optimization</v>
      </c>
      <c r="H338" t="str">
        <f t="shared" si="5"/>
        <v>4-16-190</v>
      </c>
      <c r="I338">
        <f>VLOOKUP(H338,SuiteCatSubElem!$F$2:$G$667,2,0)</f>
        <v>337</v>
      </c>
      <c r="J338">
        <v>190</v>
      </c>
      <c r="L338">
        <v>1</v>
      </c>
      <c r="M338" s="127">
        <v>43009.000011574077</v>
      </c>
      <c r="Q338" s="94"/>
      <c r="R338" s="100"/>
    </row>
    <row r="339" spans="1:18">
      <c r="A339">
        <v>342</v>
      </c>
      <c r="B339" s="112" t="s">
        <v>230</v>
      </c>
      <c r="C339" s="24">
        <f>VLOOKUP(B339,Elements!$A$2:$B$435,2,0)</f>
        <v>191</v>
      </c>
      <c r="D339">
        <v>4</v>
      </c>
      <c r="E339" t="str">
        <f>VLOOKUP(D339,Categories!$A$2:$B$8,2,0)</f>
        <v>Sourcing</v>
      </c>
      <c r="F339">
        <v>16</v>
      </c>
      <c r="G339" t="str">
        <f>VLOOKUP(F339,Subcategories!$A$2:$B$29,2,0)</f>
        <v>Optimization</v>
      </c>
      <c r="H339" t="str">
        <f t="shared" si="5"/>
        <v>4-16-191</v>
      </c>
      <c r="I339">
        <f>VLOOKUP(H339,SuiteCatSubElem!$F$2:$G$667,2,0)</f>
        <v>338</v>
      </c>
      <c r="J339">
        <v>191</v>
      </c>
      <c r="L339">
        <v>1</v>
      </c>
      <c r="M339" s="127">
        <v>43009.000011574077</v>
      </c>
      <c r="Q339" s="100"/>
      <c r="R339" s="100"/>
    </row>
    <row r="340" spans="1:18">
      <c r="A340">
        <v>343</v>
      </c>
      <c r="B340" s="112" t="s">
        <v>231</v>
      </c>
      <c r="C340" s="24">
        <f>VLOOKUP(B340,Elements!$A$2:$B$435,2,0)</f>
        <v>192</v>
      </c>
      <c r="D340" s="47">
        <v>4</v>
      </c>
      <c r="E340" t="str">
        <f>VLOOKUP(D340,Categories!$A$2:$B$8,2,0)</f>
        <v>Sourcing</v>
      </c>
      <c r="F340">
        <v>16</v>
      </c>
      <c r="G340" t="str">
        <f>VLOOKUP(F340,Subcategories!$A$2:$B$29,2,0)</f>
        <v>Optimization</v>
      </c>
      <c r="H340" t="str">
        <f t="shared" si="5"/>
        <v>4-16-192</v>
      </c>
      <c r="I340">
        <f>VLOOKUP(H340,SuiteCatSubElem!$F$2:$G$667,2,0)</f>
        <v>339</v>
      </c>
      <c r="J340">
        <v>192</v>
      </c>
      <c r="K340" s="47"/>
      <c r="L340">
        <v>1</v>
      </c>
      <c r="M340" s="127">
        <v>43009.000011574077</v>
      </c>
      <c r="Q340" s="100"/>
      <c r="R340" s="94"/>
    </row>
    <row r="341" spans="1:18">
      <c r="A341">
        <v>344</v>
      </c>
      <c r="B341" s="112" t="s">
        <v>232</v>
      </c>
      <c r="C341" s="24">
        <f>VLOOKUP(B341,Elements!$A$2:$B$435,2,0)</f>
        <v>193</v>
      </c>
      <c r="D341">
        <v>4</v>
      </c>
      <c r="E341" t="str">
        <f>VLOOKUP(D341,Categories!$A$2:$B$8,2,0)</f>
        <v>Sourcing</v>
      </c>
      <c r="F341">
        <v>16</v>
      </c>
      <c r="G341" t="str">
        <f>VLOOKUP(F341,Subcategories!$A$2:$B$29,2,0)</f>
        <v>Optimization</v>
      </c>
      <c r="H341" t="str">
        <f t="shared" si="5"/>
        <v>4-16-193</v>
      </c>
      <c r="I341">
        <f>VLOOKUP(H341,SuiteCatSubElem!$F$2:$G$667,2,0)</f>
        <v>340</v>
      </c>
      <c r="J341">
        <v>193</v>
      </c>
      <c r="L341">
        <v>1</v>
      </c>
      <c r="M341" s="127">
        <v>43009.000011574077</v>
      </c>
      <c r="Q341" s="100"/>
      <c r="R341" s="100"/>
    </row>
    <row r="342" spans="1:18">
      <c r="A342">
        <v>345</v>
      </c>
      <c r="B342" s="112" t="s">
        <v>233</v>
      </c>
      <c r="C342" s="24">
        <f>VLOOKUP(B342,Elements!$A$2:$B$435,2,0)</f>
        <v>194</v>
      </c>
      <c r="D342">
        <v>4</v>
      </c>
      <c r="E342" t="str">
        <f>VLOOKUP(D342,Categories!$A$2:$B$8,2,0)</f>
        <v>Sourcing</v>
      </c>
      <c r="F342">
        <v>16</v>
      </c>
      <c r="G342" t="str">
        <f>VLOOKUP(F342,Subcategories!$A$2:$B$29,2,0)</f>
        <v>Optimization</v>
      </c>
      <c r="H342" t="str">
        <f t="shared" si="5"/>
        <v>4-16-194</v>
      </c>
      <c r="I342">
        <f>VLOOKUP(H342,SuiteCatSubElem!$F$2:$G$667,2,0)</f>
        <v>341</v>
      </c>
      <c r="J342">
        <v>194</v>
      </c>
      <c r="L342">
        <v>1</v>
      </c>
      <c r="M342" s="127">
        <v>43009.000011574077</v>
      </c>
      <c r="Q342" s="100"/>
      <c r="R342" s="100"/>
    </row>
    <row r="343" spans="1:18">
      <c r="A343">
        <v>346</v>
      </c>
      <c r="B343" s="112" t="s">
        <v>234</v>
      </c>
      <c r="C343" s="24">
        <f>VLOOKUP(B343,Elements!$A$2:$B$435,2,0)</f>
        <v>195</v>
      </c>
      <c r="D343">
        <v>4</v>
      </c>
      <c r="E343" t="str">
        <f>VLOOKUP(D343,Categories!$A$2:$B$8,2,0)</f>
        <v>Sourcing</v>
      </c>
      <c r="F343">
        <v>16</v>
      </c>
      <c r="G343" t="str">
        <f>VLOOKUP(F343,Subcategories!$A$2:$B$29,2,0)</f>
        <v>Optimization</v>
      </c>
      <c r="H343" t="str">
        <f t="shared" si="5"/>
        <v>4-16-195</v>
      </c>
      <c r="I343">
        <f>VLOOKUP(H343,SuiteCatSubElem!$F$2:$G$667,2,0)</f>
        <v>342</v>
      </c>
      <c r="J343">
        <v>195</v>
      </c>
      <c r="L343">
        <v>1</v>
      </c>
      <c r="M343" s="127">
        <v>43009.000011574077</v>
      </c>
      <c r="Q343" s="94"/>
      <c r="R343" s="100"/>
    </row>
    <row r="344" spans="1:18">
      <c r="A344">
        <v>347</v>
      </c>
      <c r="B344" s="112" t="s">
        <v>235</v>
      </c>
      <c r="C344" s="24">
        <f>VLOOKUP(B344,Elements!$A$2:$B$435,2,0)</f>
        <v>196</v>
      </c>
      <c r="D344">
        <v>4</v>
      </c>
      <c r="E344" t="str">
        <f>VLOOKUP(D344,Categories!$A$2:$B$8,2,0)</f>
        <v>Sourcing</v>
      </c>
      <c r="F344">
        <v>16</v>
      </c>
      <c r="G344" t="str">
        <f>VLOOKUP(F344,Subcategories!$A$2:$B$29,2,0)</f>
        <v>Optimization</v>
      </c>
      <c r="H344" t="str">
        <f t="shared" si="5"/>
        <v>4-16-196</v>
      </c>
      <c r="I344">
        <f>VLOOKUP(H344,SuiteCatSubElem!$F$2:$G$667,2,0)</f>
        <v>343</v>
      </c>
      <c r="J344">
        <v>196</v>
      </c>
      <c r="L344">
        <v>1</v>
      </c>
      <c r="M344" s="127">
        <v>43009.000011574077</v>
      </c>
      <c r="Q344" s="100"/>
      <c r="R344" s="100"/>
    </row>
    <row r="345" spans="1:18">
      <c r="A345">
        <v>348</v>
      </c>
      <c r="B345" s="112" t="s">
        <v>236</v>
      </c>
      <c r="C345" s="24">
        <f>VLOOKUP(B345,Elements!$A$2:$B$435,2,0)</f>
        <v>197</v>
      </c>
      <c r="D345">
        <v>4</v>
      </c>
      <c r="E345" t="str">
        <f>VLOOKUP(D345,Categories!$A$2:$B$8,2,0)</f>
        <v>Sourcing</v>
      </c>
      <c r="F345">
        <v>16</v>
      </c>
      <c r="G345" t="str">
        <f>VLOOKUP(F345,Subcategories!$A$2:$B$29,2,0)</f>
        <v>Optimization</v>
      </c>
      <c r="H345" t="str">
        <f t="shared" si="5"/>
        <v>4-16-197</v>
      </c>
      <c r="I345">
        <f>VLOOKUP(H345,SuiteCatSubElem!$F$2:$G$667,2,0)</f>
        <v>344</v>
      </c>
      <c r="J345">
        <v>197</v>
      </c>
      <c r="L345">
        <v>1</v>
      </c>
      <c r="M345" s="127">
        <v>43009.000011574077</v>
      </c>
      <c r="Q345" s="94"/>
      <c r="R345" s="100"/>
    </row>
    <row r="346" spans="1:18">
      <c r="A346">
        <v>349</v>
      </c>
      <c r="B346" s="112" t="s">
        <v>237</v>
      </c>
      <c r="C346" s="24">
        <f>VLOOKUP(B346,Elements!$A$2:$B$435,2,0)</f>
        <v>198</v>
      </c>
      <c r="D346">
        <v>4</v>
      </c>
      <c r="E346" t="str">
        <f>VLOOKUP(D346,Categories!$A$2:$B$8,2,0)</f>
        <v>Sourcing</v>
      </c>
      <c r="F346">
        <v>16</v>
      </c>
      <c r="G346" t="str">
        <f>VLOOKUP(F346,Subcategories!$A$2:$B$29,2,0)</f>
        <v>Optimization</v>
      </c>
      <c r="H346" t="str">
        <f t="shared" si="5"/>
        <v>4-16-198</v>
      </c>
      <c r="I346">
        <f>VLOOKUP(H346,SuiteCatSubElem!$F$2:$G$667,2,0)</f>
        <v>345</v>
      </c>
      <c r="J346">
        <v>198</v>
      </c>
      <c r="L346">
        <v>1</v>
      </c>
      <c r="M346" s="127">
        <v>43009.000011574077</v>
      </c>
      <c r="Q346" s="100"/>
      <c r="R346" s="100"/>
    </row>
    <row r="347" spans="1:18">
      <c r="A347">
        <v>350</v>
      </c>
      <c r="B347" s="112" t="s">
        <v>238</v>
      </c>
      <c r="C347" s="24">
        <f>VLOOKUP(B347,Elements!$A$2:$B$435,2,0)</f>
        <v>199</v>
      </c>
      <c r="D347">
        <v>4</v>
      </c>
      <c r="E347" t="str">
        <f>VLOOKUP(D347,Categories!$A$2:$B$8,2,0)</f>
        <v>Sourcing</v>
      </c>
      <c r="F347">
        <v>16</v>
      </c>
      <c r="G347" t="str">
        <f>VLOOKUP(F347,Subcategories!$A$2:$B$29,2,0)</f>
        <v>Optimization</v>
      </c>
      <c r="H347" t="str">
        <f t="shared" si="5"/>
        <v>4-16-199</v>
      </c>
      <c r="I347">
        <f>VLOOKUP(H347,SuiteCatSubElem!$F$2:$G$667,2,0)</f>
        <v>346</v>
      </c>
      <c r="J347">
        <v>199</v>
      </c>
      <c r="L347">
        <v>1</v>
      </c>
      <c r="M347" s="127">
        <v>43009.000011574077</v>
      </c>
      <c r="Q347" s="100"/>
      <c r="R347" s="100"/>
    </row>
    <row r="348" spans="1:18">
      <c r="A348">
        <v>351</v>
      </c>
      <c r="B348" s="112" t="s">
        <v>239</v>
      </c>
      <c r="C348" s="24">
        <f>VLOOKUP(B348,Elements!$A$2:$B$435,2,0)</f>
        <v>200</v>
      </c>
      <c r="D348">
        <v>4</v>
      </c>
      <c r="E348" t="str">
        <f>VLOOKUP(D348,Categories!$A$2:$B$8,2,0)</f>
        <v>Sourcing</v>
      </c>
      <c r="F348">
        <v>16</v>
      </c>
      <c r="G348" t="str">
        <f>VLOOKUP(F348,Subcategories!$A$2:$B$29,2,0)</f>
        <v>Optimization</v>
      </c>
      <c r="H348" t="str">
        <f t="shared" si="5"/>
        <v>4-16-200</v>
      </c>
      <c r="I348">
        <f>VLOOKUP(H348,SuiteCatSubElem!$F$2:$G$667,2,0)</f>
        <v>347</v>
      </c>
      <c r="J348">
        <v>200</v>
      </c>
      <c r="L348">
        <v>1</v>
      </c>
      <c r="M348" s="127">
        <v>43009.000011574077</v>
      </c>
      <c r="Q348" s="100"/>
      <c r="R348" s="100"/>
    </row>
    <row r="349" spans="1:18">
      <c r="A349">
        <v>352</v>
      </c>
      <c r="B349" s="112" t="s">
        <v>240</v>
      </c>
      <c r="C349" s="24">
        <f>VLOOKUP(B349,Elements!$A$2:$B$435,2,0)</f>
        <v>201</v>
      </c>
      <c r="D349">
        <v>4</v>
      </c>
      <c r="E349" t="str">
        <f>VLOOKUP(D349,Categories!$A$2:$B$8,2,0)</f>
        <v>Sourcing</v>
      </c>
      <c r="F349">
        <v>16</v>
      </c>
      <c r="G349" t="str">
        <f>VLOOKUP(F349,Subcategories!$A$2:$B$29,2,0)</f>
        <v>Optimization</v>
      </c>
      <c r="H349" t="str">
        <f t="shared" si="5"/>
        <v>4-16-201</v>
      </c>
      <c r="I349">
        <f>VLOOKUP(H349,SuiteCatSubElem!$F$2:$G$667,2,0)</f>
        <v>348</v>
      </c>
      <c r="J349">
        <v>201</v>
      </c>
      <c r="L349">
        <v>1</v>
      </c>
      <c r="M349" s="127">
        <v>43009.000011574077</v>
      </c>
      <c r="Q349" s="100"/>
      <c r="R349" s="100"/>
    </row>
    <row r="350" spans="1:18">
      <c r="A350">
        <v>353</v>
      </c>
      <c r="B350" s="112" t="s">
        <v>241</v>
      </c>
      <c r="C350" s="24">
        <f>VLOOKUP(B350,Elements!$A$2:$B$435,2,0)</f>
        <v>202</v>
      </c>
      <c r="D350">
        <v>4</v>
      </c>
      <c r="E350" t="str">
        <f>VLOOKUP(D350,Categories!$A$2:$B$8,2,0)</f>
        <v>Sourcing</v>
      </c>
      <c r="F350">
        <v>16</v>
      </c>
      <c r="G350" t="str">
        <f>VLOOKUP(F350,Subcategories!$A$2:$B$29,2,0)</f>
        <v>Optimization</v>
      </c>
      <c r="H350" t="str">
        <f t="shared" si="5"/>
        <v>4-16-202</v>
      </c>
      <c r="I350">
        <f>VLOOKUP(H350,SuiteCatSubElem!$F$2:$G$667,2,0)</f>
        <v>349</v>
      </c>
      <c r="J350">
        <v>202</v>
      </c>
      <c r="L350">
        <v>1</v>
      </c>
      <c r="M350" s="127">
        <v>43009.000011574077</v>
      </c>
      <c r="Q350" s="100"/>
      <c r="R350" s="100"/>
    </row>
    <row r="351" spans="1:18">
      <c r="A351">
        <v>354</v>
      </c>
      <c r="B351" s="112" t="s">
        <v>243</v>
      </c>
      <c r="C351" s="24">
        <f>VLOOKUP(B351,Elements!$A$2:$B$435,2,0)</f>
        <v>203</v>
      </c>
      <c r="D351">
        <v>4</v>
      </c>
      <c r="E351" t="str">
        <f>VLOOKUP(D351,Categories!$A$2:$B$8,2,0)</f>
        <v>Sourcing</v>
      </c>
      <c r="F351">
        <v>17</v>
      </c>
      <c r="G351" t="str">
        <f>VLOOKUP(F351,Subcategories!$A$2:$B$29,2,0)</f>
        <v>Contracts</v>
      </c>
      <c r="H351" t="str">
        <f t="shared" si="5"/>
        <v>4-17-203</v>
      </c>
      <c r="I351">
        <f>VLOOKUP(H351,SuiteCatSubElem!$F$2:$G$667,2,0)</f>
        <v>350</v>
      </c>
      <c r="J351">
        <v>203</v>
      </c>
      <c r="L351">
        <v>1</v>
      </c>
      <c r="M351" s="127">
        <v>43009.000011574077</v>
      </c>
      <c r="Q351" s="100"/>
      <c r="R351" s="100"/>
    </row>
    <row r="352" spans="1:18">
      <c r="A352">
        <v>355</v>
      </c>
      <c r="B352" s="112" t="s">
        <v>244</v>
      </c>
      <c r="C352" s="24">
        <f>VLOOKUP(B352,Elements!$A$2:$B$435,2,0)</f>
        <v>204</v>
      </c>
      <c r="D352">
        <v>4</v>
      </c>
      <c r="E352" t="str">
        <f>VLOOKUP(D352,Categories!$A$2:$B$8,2,0)</f>
        <v>Sourcing</v>
      </c>
      <c r="F352">
        <v>17</v>
      </c>
      <c r="G352" t="str">
        <f>VLOOKUP(F352,Subcategories!$A$2:$B$29,2,0)</f>
        <v>Contracts</v>
      </c>
      <c r="H352" t="str">
        <f t="shared" si="5"/>
        <v>4-17-204</v>
      </c>
      <c r="I352">
        <f>VLOOKUP(H352,SuiteCatSubElem!$F$2:$G$667,2,0)</f>
        <v>351</v>
      </c>
      <c r="J352">
        <v>204</v>
      </c>
      <c r="L352">
        <v>1</v>
      </c>
      <c r="M352" s="127">
        <v>43009.000011574077</v>
      </c>
      <c r="Q352" s="94"/>
      <c r="R352" s="100"/>
    </row>
    <row r="353" spans="1:18">
      <c r="A353">
        <v>356</v>
      </c>
      <c r="B353" s="112" t="s">
        <v>245</v>
      </c>
      <c r="C353" s="24">
        <f>VLOOKUP(B353,Elements!$A$2:$B$435,2,0)</f>
        <v>205</v>
      </c>
      <c r="D353">
        <v>4</v>
      </c>
      <c r="E353" t="str">
        <f>VLOOKUP(D353,Categories!$A$2:$B$8,2,0)</f>
        <v>Sourcing</v>
      </c>
      <c r="F353">
        <v>17</v>
      </c>
      <c r="G353" t="str">
        <f>VLOOKUP(F353,Subcategories!$A$2:$B$29,2,0)</f>
        <v>Contracts</v>
      </c>
      <c r="H353" t="str">
        <f t="shared" si="5"/>
        <v>4-17-205</v>
      </c>
      <c r="I353">
        <f>VLOOKUP(H353,SuiteCatSubElem!$F$2:$G$667,2,0)</f>
        <v>352</v>
      </c>
      <c r="J353">
        <v>205</v>
      </c>
      <c r="L353">
        <v>1</v>
      </c>
      <c r="M353" s="127">
        <v>43009.000011574077</v>
      </c>
      <c r="Q353" s="94"/>
      <c r="R353" s="100"/>
    </row>
    <row r="354" spans="1:18">
      <c r="A354">
        <v>357</v>
      </c>
      <c r="B354" s="112" t="s">
        <v>150</v>
      </c>
      <c r="C354" s="24">
        <f>VLOOKUP(B354,Elements!$A$2:$B$435,2,0)</f>
        <v>115</v>
      </c>
      <c r="D354">
        <v>4</v>
      </c>
      <c r="E354" t="str">
        <f>VLOOKUP(D354,Categories!$A$2:$B$8,2,0)</f>
        <v>Sourcing</v>
      </c>
      <c r="F354">
        <v>17</v>
      </c>
      <c r="G354" t="str">
        <f>VLOOKUP(F354,Subcategories!$A$2:$B$29,2,0)</f>
        <v>Contracts</v>
      </c>
      <c r="H354" t="str">
        <f t="shared" si="5"/>
        <v>4-17-115</v>
      </c>
      <c r="I354">
        <f>VLOOKUP(H354,SuiteCatSubElem!$F$2:$G$667,2,0)</f>
        <v>353</v>
      </c>
      <c r="J354">
        <v>454</v>
      </c>
      <c r="L354">
        <v>1</v>
      </c>
      <c r="M354" s="127">
        <v>43009.000011574077</v>
      </c>
      <c r="Q354" s="94"/>
      <c r="R354" s="100"/>
    </row>
    <row r="355" spans="1:18">
      <c r="A355">
        <v>358</v>
      </c>
      <c r="B355" s="112" t="s">
        <v>246</v>
      </c>
      <c r="C355" s="24">
        <f>VLOOKUP(B355,Elements!$A$2:$B$435,2,0)</f>
        <v>206</v>
      </c>
      <c r="D355" s="47">
        <v>4</v>
      </c>
      <c r="E355" t="str">
        <f>VLOOKUP(D355,Categories!$A$2:$B$8,2,0)</f>
        <v>Sourcing</v>
      </c>
      <c r="F355">
        <v>17</v>
      </c>
      <c r="G355" t="str">
        <f>VLOOKUP(F355,Subcategories!$A$2:$B$29,2,0)</f>
        <v>Contracts</v>
      </c>
      <c r="H355" t="str">
        <f t="shared" si="5"/>
        <v>4-17-206</v>
      </c>
      <c r="I355">
        <f>VLOOKUP(H355,SuiteCatSubElem!$F$2:$G$667,2,0)</f>
        <v>354</v>
      </c>
      <c r="J355">
        <v>206</v>
      </c>
      <c r="K355" s="47"/>
      <c r="L355">
        <v>1</v>
      </c>
      <c r="M355" s="127">
        <v>43009.000011574077</v>
      </c>
      <c r="Q355" s="94"/>
      <c r="R355" s="94"/>
    </row>
    <row r="356" spans="1:18">
      <c r="A356">
        <v>359</v>
      </c>
      <c r="B356" s="112" t="s">
        <v>247</v>
      </c>
      <c r="C356" s="24">
        <f>VLOOKUP(B356,Elements!$A$2:$B$435,2,0)</f>
        <v>207</v>
      </c>
      <c r="D356">
        <v>4</v>
      </c>
      <c r="E356" t="str">
        <f>VLOOKUP(D356,Categories!$A$2:$B$8,2,0)</f>
        <v>Sourcing</v>
      </c>
      <c r="F356">
        <v>17</v>
      </c>
      <c r="G356" t="str">
        <f>VLOOKUP(F356,Subcategories!$A$2:$B$29,2,0)</f>
        <v>Contracts</v>
      </c>
      <c r="H356" t="str">
        <f t="shared" si="5"/>
        <v>4-17-207</v>
      </c>
      <c r="I356">
        <f>VLOOKUP(H356,SuiteCatSubElem!$F$2:$G$667,2,0)</f>
        <v>355</v>
      </c>
      <c r="J356">
        <v>207</v>
      </c>
      <c r="L356">
        <v>1</v>
      </c>
      <c r="M356" s="127">
        <v>43009.000011574077</v>
      </c>
      <c r="Q356" s="94"/>
      <c r="R356" s="100"/>
    </row>
    <row r="357" spans="1:18">
      <c r="A357">
        <v>360</v>
      </c>
      <c r="B357" s="112" t="s">
        <v>248</v>
      </c>
      <c r="C357" s="24">
        <f>VLOOKUP(B357,Elements!$A$2:$B$435,2,0)</f>
        <v>208</v>
      </c>
      <c r="D357">
        <v>4</v>
      </c>
      <c r="E357" t="str">
        <f>VLOOKUP(D357,Categories!$A$2:$B$8,2,0)</f>
        <v>Sourcing</v>
      </c>
      <c r="F357">
        <v>17</v>
      </c>
      <c r="G357" t="str">
        <f>VLOOKUP(F357,Subcategories!$A$2:$B$29,2,0)</f>
        <v>Contracts</v>
      </c>
      <c r="H357" t="str">
        <f t="shared" si="5"/>
        <v>4-17-208</v>
      </c>
      <c r="I357">
        <f>VLOOKUP(H357,SuiteCatSubElem!$F$2:$G$667,2,0)</f>
        <v>356</v>
      </c>
      <c r="J357">
        <v>208</v>
      </c>
      <c r="L357">
        <v>1</v>
      </c>
      <c r="M357" s="127">
        <v>43009.000011574077</v>
      </c>
      <c r="Q357" s="100"/>
      <c r="R357" s="100"/>
    </row>
    <row r="358" spans="1:18">
      <c r="A358">
        <v>361</v>
      </c>
      <c r="B358" s="112" t="s">
        <v>249</v>
      </c>
      <c r="C358" s="24">
        <f>VLOOKUP(B358,Elements!$A$2:$B$435,2,0)</f>
        <v>209</v>
      </c>
      <c r="D358">
        <v>4</v>
      </c>
      <c r="E358" t="str">
        <f>VLOOKUP(D358,Categories!$A$2:$B$8,2,0)</f>
        <v>Sourcing</v>
      </c>
      <c r="F358">
        <v>17</v>
      </c>
      <c r="G358" t="str">
        <f>VLOOKUP(F358,Subcategories!$A$2:$B$29,2,0)</f>
        <v>Contracts</v>
      </c>
      <c r="H358" t="str">
        <f t="shared" si="5"/>
        <v>4-17-209</v>
      </c>
      <c r="I358">
        <f>VLOOKUP(H358,SuiteCatSubElem!$F$2:$G$667,2,0)</f>
        <v>357</v>
      </c>
      <c r="J358">
        <v>209</v>
      </c>
      <c r="L358">
        <v>1</v>
      </c>
      <c r="M358" s="127">
        <v>43009.000011574077</v>
      </c>
      <c r="Q358" s="100"/>
      <c r="R358" s="100"/>
    </row>
    <row r="359" spans="1:18">
      <c r="A359">
        <v>362</v>
      </c>
      <c r="B359" s="112" t="s">
        <v>250</v>
      </c>
      <c r="C359" s="24">
        <f>VLOOKUP(B359,Elements!$A$2:$B$435,2,0)</f>
        <v>210</v>
      </c>
      <c r="D359">
        <v>4</v>
      </c>
      <c r="E359" t="str">
        <f>VLOOKUP(D359,Categories!$A$2:$B$8,2,0)</f>
        <v>Sourcing</v>
      </c>
      <c r="F359">
        <v>17</v>
      </c>
      <c r="G359" t="str">
        <f>VLOOKUP(F359,Subcategories!$A$2:$B$29,2,0)</f>
        <v>Contracts</v>
      </c>
      <c r="H359" t="str">
        <f t="shared" si="5"/>
        <v>4-17-210</v>
      </c>
      <c r="I359">
        <f>VLOOKUP(H359,SuiteCatSubElem!$F$2:$G$667,2,0)</f>
        <v>358</v>
      </c>
      <c r="J359">
        <v>210</v>
      </c>
      <c r="L359">
        <v>1</v>
      </c>
      <c r="M359" s="127">
        <v>43009.000011574077</v>
      </c>
      <c r="Q359" s="94"/>
      <c r="R359" s="100"/>
    </row>
    <row r="360" spans="1:18">
      <c r="A360">
        <v>363</v>
      </c>
      <c r="B360" s="112" t="s">
        <v>253</v>
      </c>
      <c r="C360" s="24">
        <f>VLOOKUP(B360,Elements!$A$2:$B$435,2,0)</f>
        <v>211</v>
      </c>
      <c r="D360">
        <v>4</v>
      </c>
      <c r="E360" t="str">
        <f>VLOOKUP(D360,Categories!$A$2:$B$8,2,0)</f>
        <v>Sourcing</v>
      </c>
      <c r="F360">
        <v>18</v>
      </c>
      <c r="G360" t="str">
        <f>VLOOKUP(F360,Subcategories!$A$2:$B$29,2,0)</f>
        <v>Execution</v>
      </c>
      <c r="H360" t="str">
        <f t="shared" si="5"/>
        <v>4-18-211</v>
      </c>
      <c r="I360">
        <f>VLOOKUP(H360,SuiteCatSubElem!$F$2:$G$667,2,0)</f>
        <v>359</v>
      </c>
      <c r="J360">
        <v>211</v>
      </c>
      <c r="L360">
        <v>1</v>
      </c>
      <c r="M360" s="127">
        <v>43009.000011574077</v>
      </c>
      <c r="Q360" s="94"/>
      <c r="R360" s="100"/>
    </row>
    <row r="361" spans="1:18">
      <c r="A361">
        <v>364</v>
      </c>
      <c r="B361" s="112" t="s">
        <v>254</v>
      </c>
      <c r="C361" s="24">
        <f>VLOOKUP(B361,Elements!$A$2:$B$435,2,0)</f>
        <v>212</v>
      </c>
      <c r="D361">
        <v>4</v>
      </c>
      <c r="E361" t="str">
        <f>VLOOKUP(D361,Categories!$A$2:$B$8,2,0)</f>
        <v>Sourcing</v>
      </c>
      <c r="F361">
        <v>18</v>
      </c>
      <c r="G361" t="str">
        <f>VLOOKUP(F361,Subcategories!$A$2:$B$29,2,0)</f>
        <v>Execution</v>
      </c>
      <c r="H361" t="str">
        <f t="shared" si="5"/>
        <v>4-18-212</v>
      </c>
      <c r="I361">
        <f>VLOOKUP(H361,SuiteCatSubElem!$F$2:$G$667,2,0)</f>
        <v>360</v>
      </c>
      <c r="J361">
        <v>212</v>
      </c>
      <c r="L361">
        <v>1</v>
      </c>
      <c r="M361" s="127">
        <v>43009.000011574077</v>
      </c>
      <c r="Q361" s="100"/>
      <c r="R361" s="100"/>
    </row>
    <row r="362" spans="1:18">
      <c r="A362">
        <v>365</v>
      </c>
      <c r="B362" s="112" t="s">
        <v>163</v>
      </c>
      <c r="C362" s="24">
        <f>VLOOKUP(B362,Elements!$A$2:$B$435,2,0)</f>
        <v>128</v>
      </c>
      <c r="D362">
        <v>4</v>
      </c>
      <c r="E362" t="str">
        <f>VLOOKUP(D362,Categories!$A$2:$B$8,2,0)</f>
        <v>Sourcing</v>
      </c>
      <c r="F362">
        <v>18</v>
      </c>
      <c r="G362" t="str">
        <f>VLOOKUP(F362,Subcategories!$A$2:$B$29,2,0)</f>
        <v>Execution</v>
      </c>
      <c r="H362" t="str">
        <f t="shared" si="5"/>
        <v>4-18-128</v>
      </c>
      <c r="I362">
        <f>VLOOKUP(H362,SuiteCatSubElem!$F$2:$G$667,2,0)</f>
        <v>361</v>
      </c>
      <c r="J362">
        <v>455</v>
      </c>
      <c r="L362">
        <v>1</v>
      </c>
      <c r="M362" s="127">
        <v>43009.000011574077</v>
      </c>
      <c r="Q362" s="94"/>
      <c r="R362" s="100"/>
    </row>
    <row r="363" spans="1:18">
      <c r="A363">
        <v>366</v>
      </c>
      <c r="B363" s="97" t="s">
        <v>430</v>
      </c>
      <c r="C363" s="24">
        <f>VLOOKUP(B363,Elements!$A$2:$B$435,2,0)</f>
        <v>367</v>
      </c>
      <c r="D363">
        <v>4</v>
      </c>
      <c r="E363" t="str">
        <f>VLOOKUP(D363,Categories!$A$2:$B$8,2,0)</f>
        <v>Sourcing</v>
      </c>
      <c r="F363">
        <v>18</v>
      </c>
      <c r="G363" t="str">
        <f>VLOOKUP(F363,Subcategories!$A$2:$B$29,2,0)</f>
        <v>Execution</v>
      </c>
      <c r="H363" t="str">
        <f t="shared" si="5"/>
        <v>4-18-367</v>
      </c>
      <c r="I363">
        <f>VLOOKUP(H363,SuiteCatSubElem!$F$2:$G$667,2,0)</f>
        <v>362</v>
      </c>
      <c r="J363">
        <v>368</v>
      </c>
      <c r="L363">
        <v>1</v>
      </c>
      <c r="M363" s="127">
        <v>43009.000011574077</v>
      </c>
      <c r="Q363" s="94"/>
      <c r="R363" s="100"/>
    </row>
    <row r="364" spans="1:18">
      <c r="A364">
        <v>367</v>
      </c>
      <c r="B364" s="112" t="s">
        <v>256</v>
      </c>
      <c r="C364" s="24">
        <f>VLOOKUP(B364,Elements!$A$2:$B$435,2,0)</f>
        <v>213</v>
      </c>
      <c r="D364">
        <v>4</v>
      </c>
      <c r="E364" t="str">
        <f>VLOOKUP(D364,Categories!$A$2:$B$8,2,0)</f>
        <v>Sourcing</v>
      </c>
      <c r="F364">
        <v>18</v>
      </c>
      <c r="G364" t="str">
        <f>VLOOKUP(F364,Subcategories!$A$2:$B$29,2,0)</f>
        <v>Execution</v>
      </c>
      <c r="H364" t="str">
        <f t="shared" si="5"/>
        <v>4-18-213</v>
      </c>
      <c r="I364">
        <f>VLOOKUP(H364,SuiteCatSubElem!$F$2:$G$667,2,0)</f>
        <v>363</v>
      </c>
      <c r="J364">
        <v>213</v>
      </c>
      <c r="L364">
        <v>1</v>
      </c>
      <c r="M364" s="127">
        <v>43009.000011574077</v>
      </c>
      <c r="Q364" s="100"/>
      <c r="R364" s="100"/>
    </row>
    <row r="365" spans="1:18">
      <c r="A365">
        <v>368</v>
      </c>
      <c r="B365" s="97" t="s">
        <v>233</v>
      </c>
      <c r="C365" s="24">
        <f>VLOOKUP(B365,Elements!$A$2:$B$435,2,0)</f>
        <v>194</v>
      </c>
      <c r="D365">
        <v>4</v>
      </c>
      <c r="E365" t="str">
        <f>VLOOKUP(D365,Categories!$A$2:$B$8,2,0)</f>
        <v>Sourcing</v>
      </c>
      <c r="F365">
        <v>18</v>
      </c>
      <c r="G365" t="str">
        <f>VLOOKUP(F365,Subcategories!$A$2:$B$29,2,0)</f>
        <v>Execution</v>
      </c>
      <c r="H365" t="str">
        <f t="shared" si="5"/>
        <v>4-18-194</v>
      </c>
      <c r="I365">
        <f>VLOOKUP(H365,SuiteCatSubElem!$F$2:$G$667,2,0)</f>
        <v>364</v>
      </c>
      <c r="J365">
        <v>248</v>
      </c>
      <c r="L365">
        <v>1</v>
      </c>
      <c r="M365" s="127">
        <v>43009.000011574077</v>
      </c>
      <c r="Q365" s="94"/>
      <c r="R365" s="100"/>
    </row>
    <row r="366" spans="1:18">
      <c r="A366">
        <v>369</v>
      </c>
      <c r="B366" s="112" t="s">
        <v>257</v>
      </c>
      <c r="C366" s="24">
        <f>VLOOKUP(B366,Elements!$A$2:$B$435,2,0)</f>
        <v>214</v>
      </c>
      <c r="D366">
        <v>4</v>
      </c>
      <c r="E366" t="str">
        <f>VLOOKUP(D366,Categories!$A$2:$B$8,2,0)</f>
        <v>Sourcing</v>
      </c>
      <c r="F366">
        <v>18</v>
      </c>
      <c r="G366" t="str">
        <f>VLOOKUP(F366,Subcategories!$A$2:$B$29,2,0)</f>
        <v>Execution</v>
      </c>
      <c r="H366" t="str">
        <f t="shared" si="5"/>
        <v>4-18-214</v>
      </c>
      <c r="I366">
        <f>VLOOKUP(H366,SuiteCatSubElem!$F$2:$G$667,2,0)</f>
        <v>365</v>
      </c>
      <c r="J366">
        <v>214</v>
      </c>
      <c r="L366">
        <v>1</v>
      </c>
      <c r="M366" s="127">
        <v>43009.000011574077</v>
      </c>
      <c r="Q366" s="94"/>
      <c r="R366" s="100"/>
    </row>
    <row r="367" spans="1:18">
      <c r="A367">
        <v>370</v>
      </c>
      <c r="B367" s="112" t="s">
        <v>258</v>
      </c>
      <c r="C367" s="24">
        <f>VLOOKUP(B367,Elements!$A$2:$B$435,2,0)</f>
        <v>215</v>
      </c>
      <c r="D367">
        <v>4</v>
      </c>
      <c r="E367" t="str">
        <f>VLOOKUP(D367,Categories!$A$2:$B$8,2,0)</f>
        <v>Sourcing</v>
      </c>
      <c r="F367">
        <v>18</v>
      </c>
      <c r="G367" t="str">
        <f>VLOOKUP(F367,Subcategories!$A$2:$B$29,2,0)</f>
        <v>Execution</v>
      </c>
      <c r="H367" t="str">
        <f t="shared" si="5"/>
        <v>4-18-215</v>
      </c>
      <c r="I367">
        <f>VLOOKUP(H367,SuiteCatSubElem!$F$2:$G$667,2,0)</f>
        <v>366</v>
      </c>
      <c r="J367">
        <v>215</v>
      </c>
      <c r="L367">
        <v>1</v>
      </c>
      <c r="M367" s="127">
        <v>43009.000011574077</v>
      </c>
      <c r="Q367" s="94"/>
      <c r="R367" s="100"/>
    </row>
    <row r="368" spans="1:18">
      <c r="A368">
        <v>371</v>
      </c>
      <c r="B368" s="112" t="s">
        <v>259</v>
      </c>
      <c r="C368" s="24">
        <f>VLOOKUP(B368,Elements!$A$2:$B$435,2,0)</f>
        <v>216</v>
      </c>
      <c r="D368">
        <v>4</v>
      </c>
      <c r="E368" t="str">
        <f>VLOOKUP(D368,Categories!$A$2:$B$8,2,0)</f>
        <v>Sourcing</v>
      </c>
      <c r="F368">
        <v>18</v>
      </c>
      <c r="G368" t="str">
        <f>VLOOKUP(F368,Subcategories!$A$2:$B$29,2,0)</f>
        <v>Execution</v>
      </c>
      <c r="H368" t="str">
        <f t="shared" si="5"/>
        <v>4-18-216</v>
      </c>
      <c r="I368">
        <f>VLOOKUP(H368,SuiteCatSubElem!$F$2:$G$667,2,0)</f>
        <v>367</v>
      </c>
      <c r="J368">
        <v>216</v>
      </c>
      <c r="L368">
        <v>1</v>
      </c>
      <c r="M368" s="127">
        <v>43009.000011574077</v>
      </c>
      <c r="Q368" s="94"/>
      <c r="R368" s="100"/>
    </row>
    <row r="369" spans="1:18">
      <c r="A369">
        <v>372</v>
      </c>
      <c r="B369" s="112" t="s">
        <v>260</v>
      </c>
      <c r="C369" s="24">
        <f>VLOOKUP(B369,Elements!$A$2:$B$435,2,0)</f>
        <v>217</v>
      </c>
      <c r="D369">
        <v>4</v>
      </c>
      <c r="E369" t="str">
        <f>VLOOKUP(D369,Categories!$A$2:$B$8,2,0)</f>
        <v>Sourcing</v>
      </c>
      <c r="F369">
        <v>18</v>
      </c>
      <c r="G369" t="str">
        <f>VLOOKUP(F369,Subcategories!$A$2:$B$29,2,0)</f>
        <v>Execution</v>
      </c>
      <c r="H369" t="str">
        <f t="shared" si="5"/>
        <v>4-18-217</v>
      </c>
      <c r="I369">
        <f>VLOOKUP(H369,SuiteCatSubElem!$F$2:$G$667,2,0)</f>
        <v>368</v>
      </c>
      <c r="J369">
        <v>217</v>
      </c>
      <c r="L369">
        <v>1</v>
      </c>
      <c r="M369" s="127">
        <v>43009.000011574077</v>
      </c>
      <c r="Q369" s="94"/>
      <c r="R369" s="100"/>
    </row>
    <row r="370" spans="1:18">
      <c r="A370">
        <v>374</v>
      </c>
      <c r="B370" s="112" t="s">
        <v>262</v>
      </c>
      <c r="C370" s="24">
        <f>VLOOKUP(B370,Elements!$A$2:$B$435,2,0)</f>
        <v>218</v>
      </c>
      <c r="D370">
        <v>4</v>
      </c>
      <c r="E370" t="str">
        <f>VLOOKUP(D370,Categories!$A$2:$B$8,2,0)</f>
        <v>Sourcing</v>
      </c>
      <c r="F370">
        <v>18</v>
      </c>
      <c r="G370" t="str">
        <f>VLOOKUP(F370,Subcategories!$A$2:$B$29,2,0)</f>
        <v>Execution</v>
      </c>
      <c r="H370" t="str">
        <f t="shared" si="5"/>
        <v>4-18-218</v>
      </c>
      <c r="I370">
        <f>VLOOKUP(H370,SuiteCatSubElem!$F$2:$G$667,2,0)</f>
        <v>369</v>
      </c>
      <c r="J370">
        <v>218</v>
      </c>
      <c r="L370">
        <v>1</v>
      </c>
      <c r="M370" s="127">
        <v>43009.000011574077</v>
      </c>
      <c r="Q370" s="94"/>
      <c r="R370" s="100"/>
    </row>
    <row r="371" spans="1:18" ht="30">
      <c r="A371">
        <v>375</v>
      </c>
      <c r="B371" s="112" t="s">
        <v>263</v>
      </c>
      <c r="C371" s="24">
        <f>VLOOKUP(B371,Elements!$A$2:$B$435,2,0)</f>
        <v>219</v>
      </c>
      <c r="D371">
        <v>4</v>
      </c>
      <c r="E371" t="str">
        <f>VLOOKUP(D371,Categories!$A$2:$B$8,2,0)</f>
        <v>Sourcing</v>
      </c>
      <c r="F371">
        <v>18</v>
      </c>
      <c r="G371" t="str">
        <f>VLOOKUP(F371,Subcategories!$A$2:$B$29,2,0)</f>
        <v>Execution</v>
      </c>
      <c r="H371" t="str">
        <f t="shared" si="5"/>
        <v>4-18-219</v>
      </c>
      <c r="I371">
        <f>VLOOKUP(H371,SuiteCatSubElem!$F$2:$G$667,2,0)</f>
        <v>370</v>
      </c>
      <c r="J371">
        <v>219</v>
      </c>
      <c r="L371">
        <v>1</v>
      </c>
      <c r="M371" s="127">
        <v>43009.000011574077</v>
      </c>
      <c r="Q371" s="100"/>
      <c r="R371" s="100"/>
    </row>
    <row r="372" spans="1:18">
      <c r="A372">
        <v>376</v>
      </c>
      <c r="B372" s="112" t="s">
        <v>264</v>
      </c>
      <c r="C372" s="24">
        <f>VLOOKUP(B372,Elements!$A$2:$B$435,2,0)</f>
        <v>220</v>
      </c>
      <c r="D372">
        <v>4</v>
      </c>
      <c r="E372" t="str">
        <f>VLOOKUP(D372,Categories!$A$2:$B$8,2,0)</f>
        <v>Sourcing</v>
      </c>
      <c r="F372">
        <v>18</v>
      </c>
      <c r="G372" t="str">
        <f>VLOOKUP(F372,Subcategories!$A$2:$B$29,2,0)</f>
        <v>Execution</v>
      </c>
      <c r="H372" t="str">
        <f t="shared" si="5"/>
        <v>4-18-220</v>
      </c>
      <c r="I372">
        <f>VLOOKUP(H372,SuiteCatSubElem!$F$2:$G$667,2,0)</f>
        <v>371</v>
      </c>
      <c r="J372">
        <v>220</v>
      </c>
      <c r="L372">
        <v>1</v>
      </c>
      <c r="M372" s="127">
        <v>43009.000011574077</v>
      </c>
      <c r="Q372" s="100"/>
      <c r="R372" s="100"/>
    </row>
    <row r="373" spans="1:18">
      <c r="A373">
        <v>377</v>
      </c>
      <c r="B373" s="112" t="s">
        <v>265</v>
      </c>
      <c r="C373" s="24">
        <f>VLOOKUP(B373,Elements!$A$2:$B$435,2,0)</f>
        <v>221</v>
      </c>
      <c r="D373">
        <v>4</v>
      </c>
      <c r="E373" t="str">
        <f>VLOOKUP(D373,Categories!$A$2:$B$8,2,0)</f>
        <v>Sourcing</v>
      </c>
      <c r="F373">
        <v>18</v>
      </c>
      <c r="G373" t="str">
        <f>VLOOKUP(F373,Subcategories!$A$2:$B$29,2,0)</f>
        <v>Execution</v>
      </c>
      <c r="H373" t="str">
        <f t="shared" si="5"/>
        <v>4-18-221</v>
      </c>
      <c r="I373">
        <f>VLOOKUP(H373,SuiteCatSubElem!$F$2:$G$667,2,0)</f>
        <v>372</v>
      </c>
      <c r="J373">
        <v>221</v>
      </c>
      <c r="L373">
        <v>1</v>
      </c>
      <c r="M373" s="127">
        <v>43009.000011574077</v>
      </c>
      <c r="Q373" s="94"/>
      <c r="R373" s="100"/>
    </row>
    <row r="374" spans="1:18">
      <c r="A374">
        <v>379</v>
      </c>
      <c r="B374" s="112" t="s">
        <v>267</v>
      </c>
      <c r="C374" s="24">
        <f>VLOOKUP(B374,Elements!$A$2:$B$435,2,0)</f>
        <v>222</v>
      </c>
      <c r="D374">
        <v>4</v>
      </c>
      <c r="E374" t="str">
        <f>VLOOKUP(D374,Categories!$A$2:$B$8,2,0)</f>
        <v>Sourcing</v>
      </c>
      <c r="F374">
        <v>18</v>
      </c>
      <c r="G374" t="str">
        <f>VLOOKUP(F374,Subcategories!$A$2:$B$29,2,0)</f>
        <v>Execution</v>
      </c>
      <c r="H374" t="str">
        <f t="shared" si="5"/>
        <v>4-18-222</v>
      </c>
      <c r="I374">
        <f>VLOOKUP(H374,SuiteCatSubElem!$F$2:$G$667,2,0)</f>
        <v>373</v>
      </c>
      <c r="J374">
        <v>222</v>
      </c>
      <c r="L374">
        <v>1</v>
      </c>
      <c r="M374" s="127">
        <v>43009.000011574077</v>
      </c>
      <c r="Q374" s="100"/>
      <c r="R374" s="100"/>
    </row>
    <row r="375" spans="1:18">
      <c r="A375">
        <v>380</v>
      </c>
      <c r="B375" s="112" t="s">
        <v>268</v>
      </c>
      <c r="C375" s="24">
        <f>VLOOKUP(B375,Elements!$A$2:$B$435,2,0)</f>
        <v>223</v>
      </c>
      <c r="D375">
        <v>4</v>
      </c>
      <c r="E375" t="str">
        <f>VLOOKUP(D375,Categories!$A$2:$B$8,2,0)</f>
        <v>Sourcing</v>
      </c>
      <c r="F375">
        <v>18</v>
      </c>
      <c r="G375" t="str">
        <f>VLOOKUP(F375,Subcategories!$A$2:$B$29,2,0)</f>
        <v>Execution</v>
      </c>
      <c r="H375" t="str">
        <f t="shared" si="5"/>
        <v>4-18-223</v>
      </c>
      <c r="I375">
        <f>VLOOKUP(H375,SuiteCatSubElem!$F$2:$G$667,2,0)</f>
        <v>374</v>
      </c>
      <c r="J375">
        <v>223</v>
      </c>
      <c r="L375">
        <v>1</v>
      </c>
      <c r="M375" s="127">
        <v>43009.000011574077</v>
      </c>
      <c r="Q375" s="94"/>
      <c r="R375" s="100"/>
    </row>
    <row r="376" spans="1:18">
      <c r="A376">
        <v>381</v>
      </c>
      <c r="B376" s="112" t="s">
        <v>269</v>
      </c>
      <c r="C376" s="24">
        <f>VLOOKUP(B376,Elements!$A$2:$B$435,2,0)</f>
        <v>224</v>
      </c>
      <c r="D376">
        <v>4</v>
      </c>
      <c r="E376" t="str">
        <f>VLOOKUP(D376,Categories!$A$2:$B$8,2,0)</f>
        <v>Sourcing</v>
      </c>
      <c r="F376">
        <v>18</v>
      </c>
      <c r="G376" t="str">
        <f>VLOOKUP(F376,Subcategories!$A$2:$B$29,2,0)</f>
        <v>Execution</v>
      </c>
      <c r="H376" t="str">
        <f t="shared" si="5"/>
        <v>4-18-224</v>
      </c>
      <c r="I376">
        <f>VLOOKUP(H376,SuiteCatSubElem!$F$2:$G$667,2,0)</f>
        <v>375</v>
      </c>
      <c r="J376">
        <v>224</v>
      </c>
      <c r="L376">
        <v>1</v>
      </c>
      <c r="M376" s="127">
        <v>43009.000011574077</v>
      </c>
      <c r="Q376" s="100"/>
      <c r="R376" s="100"/>
    </row>
    <row r="377" spans="1:18">
      <c r="A377">
        <v>382</v>
      </c>
      <c r="B377" s="112" t="s">
        <v>270</v>
      </c>
      <c r="C377" s="24">
        <f>VLOOKUP(B377,Elements!$A$2:$B$435,2,0)</f>
        <v>225</v>
      </c>
      <c r="D377">
        <v>4</v>
      </c>
      <c r="E377" t="str">
        <f>VLOOKUP(D377,Categories!$A$2:$B$8,2,0)</f>
        <v>Sourcing</v>
      </c>
      <c r="F377">
        <v>7</v>
      </c>
      <c r="G377" t="str">
        <f>VLOOKUP(F377,Subcategories!$A$2:$B$29,2,0)</f>
        <v>Technology</v>
      </c>
      <c r="H377" t="str">
        <f t="shared" si="5"/>
        <v>4-7-225</v>
      </c>
      <c r="I377">
        <f>VLOOKUP(H377,SuiteCatSubElem!$F$2:$G$667,2,0)</f>
        <v>376</v>
      </c>
      <c r="J377">
        <v>225</v>
      </c>
      <c r="L377">
        <v>1</v>
      </c>
      <c r="M377" s="127">
        <v>43009.000011574077</v>
      </c>
      <c r="Q377" s="94"/>
      <c r="R377" s="100"/>
    </row>
    <row r="378" spans="1:18">
      <c r="A378">
        <v>383</v>
      </c>
      <c r="B378" s="95" t="s">
        <v>351</v>
      </c>
      <c r="C378" s="24">
        <f>VLOOKUP(B378,Elements!$A$2:$B$435,2,0)</f>
        <v>226</v>
      </c>
      <c r="D378">
        <v>4</v>
      </c>
      <c r="E378" t="str">
        <f>VLOOKUP(D378,Categories!$A$2:$B$8,2,0)</f>
        <v>Sourcing</v>
      </c>
      <c r="F378">
        <v>7</v>
      </c>
      <c r="G378" t="str">
        <f>VLOOKUP(F378,Subcategories!$A$2:$B$29,2,0)</f>
        <v>Technology</v>
      </c>
      <c r="H378" t="str">
        <f t="shared" si="5"/>
        <v>4-7-226</v>
      </c>
      <c r="I378">
        <f>VLOOKUP(H378,SuiteCatSubElem!$F$2:$G$667,2,0)</f>
        <v>377</v>
      </c>
      <c r="J378">
        <v>226</v>
      </c>
      <c r="L378">
        <v>1</v>
      </c>
      <c r="M378" s="127">
        <v>43009.000011574077</v>
      </c>
      <c r="Q378" s="100"/>
      <c r="R378" s="100"/>
    </row>
    <row r="379" spans="1:18">
      <c r="A379">
        <v>384</v>
      </c>
      <c r="B379" s="112" t="s">
        <v>47</v>
      </c>
      <c r="C379" s="24">
        <f>VLOOKUP(B379,Elements!$A$2:$B$435,2,0)</f>
        <v>10</v>
      </c>
      <c r="D379">
        <v>4</v>
      </c>
      <c r="E379" t="str">
        <f>VLOOKUP(D379,Categories!$A$2:$B$8,2,0)</f>
        <v>Sourcing</v>
      </c>
      <c r="F379">
        <v>7</v>
      </c>
      <c r="G379" t="str">
        <f>VLOOKUP(F379,Subcategories!$A$2:$B$29,2,0)</f>
        <v>Technology</v>
      </c>
      <c r="H379" t="str">
        <f t="shared" si="5"/>
        <v>4-7-10</v>
      </c>
      <c r="I379">
        <f>VLOOKUP(H379,SuiteCatSubElem!$F$2:$G$667,2,0)</f>
        <v>378</v>
      </c>
      <c r="J379">
        <v>10</v>
      </c>
      <c r="L379">
        <v>1</v>
      </c>
      <c r="M379" s="127">
        <v>43009.000011574077</v>
      </c>
      <c r="Q379" s="46"/>
      <c r="R379" s="100"/>
    </row>
    <row r="380" spans="1:18">
      <c r="A380">
        <v>385</v>
      </c>
      <c r="B380" s="112" t="s">
        <v>272</v>
      </c>
      <c r="C380" s="24">
        <f>VLOOKUP(B380,Elements!$A$2:$B$435,2,0)</f>
        <v>227</v>
      </c>
      <c r="D380" s="47">
        <v>4</v>
      </c>
      <c r="E380" t="str">
        <f>VLOOKUP(D380,Categories!$A$2:$B$8,2,0)</f>
        <v>Sourcing</v>
      </c>
      <c r="F380">
        <v>7</v>
      </c>
      <c r="G380" t="str">
        <f>VLOOKUP(F380,Subcategories!$A$2:$B$29,2,0)</f>
        <v>Technology</v>
      </c>
      <c r="H380" t="str">
        <f t="shared" si="5"/>
        <v>4-7-227</v>
      </c>
      <c r="I380">
        <f>VLOOKUP(H380,SuiteCatSubElem!$F$2:$G$667,2,0)</f>
        <v>379</v>
      </c>
      <c r="J380">
        <v>227</v>
      </c>
      <c r="K380" s="47"/>
      <c r="L380">
        <v>1</v>
      </c>
      <c r="M380" s="127">
        <v>43009.000011574077</v>
      </c>
      <c r="Q380" s="100"/>
      <c r="R380" s="94"/>
    </row>
    <row r="381" spans="1:18">
      <c r="A381">
        <v>386</v>
      </c>
      <c r="B381" s="112" t="s">
        <v>273</v>
      </c>
      <c r="C381" s="24">
        <f>VLOOKUP(B381,Elements!$A$2:$B$435,2,0)</f>
        <v>228</v>
      </c>
      <c r="D381">
        <v>4</v>
      </c>
      <c r="E381" t="str">
        <f>VLOOKUP(D381,Categories!$A$2:$B$8,2,0)</f>
        <v>Sourcing</v>
      </c>
      <c r="F381">
        <v>7</v>
      </c>
      <c r="G381" t="str">
        <f>VLOOKUP(F381,Subcategories!$A$2:$B$29,2,0)</f>
        <v>Technology</v>
      </c>
      <c r="H381" t="str">
        <f t="shared" si="5"/>
        <v>4-7-228</v>
      </c>
      <c r="I381">
        <f>VLOOKUP(H381,SuiteCatSubElem!$F$2:$G$667,2,0)</f>
        <v>380</v>
      </c>
      <c r="J381">
        <v>228</v>
      </c>
      <c r="L381">
        <v>1</v>
      </c>
      <c r="M381" s="127">
        <v>43009.000011574077</v>
      </c>
      <c r="Q381" s="94"/>
      <c r="R381" s="100"/>
    </row>
    <row r="382" spans="1:18">
      <c r="A382">
        <v>387</v>
      </c>
      <c r="B382" s="112" t="s">
        <v>274</v>
      </c>
      <c r="C382" s="24">
        <f>VLOOKUP(B382,Elements!$A$2:$B$435,2,0)</f>
        <v>229</v>
      </c>
      <c r="D382">
        <v>4</v>
      </c>
      <c r="E382" t="str">
        <f>VLOOKUP(D382,Categories!$A$2:$B$8,2,0)</f>
        <v>Sourcing</v>
      </c>
      <c r="F382">
        <v>7</v>
      </c>
      <c r="G382" t="str">
        <f>VLOOKUP(F382,Subcategories!$A$2:$B$29,2,0)</f>
        <v>Technology</v>
      </c>
      <c r="H382" t="str">
        <f t="shared" si="5"/>
        <v>4-7-229</v>
      </c>
      <c r="I382">
        <f>VLOOKUP(H382,SuiteCatSubElem!$F$2:$G$667,2,0)</f>
        <v>381</v>
      </c>
      <c r="J382">
        <v>229</v>
      </c>
      <c r="L382">
        <v>1</v>
      </c>
      <c r="M382" s="127">
        <v>43009.000011574077</v>
      </c>
      <c r="Q382" s="94"/>
      <c r="R382" s="100"/>
    </row>
    <row r="383" spans="1:18">
      <c r="A383">
        <v>388</v>
      </c>
      <c r="B383" s="112" t="s">
        <v>112</v>
      </c>
      <c r="C383" s="24">
        <f>VLOOKUP(B383,Elements!$A$2:$B$435,2,0)</f>
        <v>78</v>
      </c>
      <c r="D383">
        <v>4</v>
      </c>
      <c r="E383" t="str">
        <f>VLOOKUP(D383,Categories!$A$2:$B$8,2,0)</f>
        <v>Sourcing</v>
      </c>
      <c r="F383">
        <v>7</v>
      </c>
      <c r="G383" t="str">
        <f>VLOOKUP(F383,Subcategories!$A$2:$B$29,2,0)</f>
        <v>Technology</v>
      </c>
      <c r="H383" t="str">
        <f t="shared" si="5"/>
        <v>4-7-78</v>
      </c>
      <c r="I383">
        <f>VLOOKUP(H383,SuiteCatSubElem!$F$2:$G$667,2,0)</f>
        <v>382</v>
      </c>
      <c r="J383">
        <v>78</v>
      </c>
      <c r="L383">
        <v>1</v>
      </c>
      <c r="M383" s="127">
        <v>43009.000011574077</v>
      </c>
      <c r="Q383" s="45"/>
    </row>
    <row r="384" spans="1:18">
      <c r="A384">
        <v>389</v>
      </c>
      <c r="B384" s="112" t="s">
        <v>275</v>
      </c>
      <c r="C384" s="24">
        <f>VLOOKUP(B384,Elements!$A$2:$B$435,2,0)</f>
        <v>230</v>
      </c>
      <c r="D384">
        <v>4</v>
      </c>
      <c r="E384" t="str">
        <f>VLOOKUP(D384,Categories!$A$2:$B$8,2,0)</f>
        <v>Sourcing</v>
      </c>
      <c r="F384">
        <v>7</v>
      </c>
      <c r="G384" t="str">
        <f>VLOOKUP(F384,Subcategories!$A$2:$B$29,2,0)</f>
        <v>Technology</v>
      </c>
      <c r="H384" t="str">
        <f t="shared" si="5"/>
        <v>4-7-230</v>
      </c>
      <c r="I384">
        <f>VLOOKUP(H384,SuiteCatSubElem!$F$2:$G$667,2,0)</f>
        <v>383</v>
      </c>
      <c r="J384">
        <v>230</v>
      </c>
      <c r="L384">
        <v>1</v>
      </c>
      <c r="M384" s="127">
        <v>43009.000011574077</v>
      </c>
      <c r="Q384" s="92"/>
      <c r="R384" s="100"/>
    </row>
    <row r="385" spans="1:18">
      <c r="A385">
        <v>390</v>
      </c>
      <c r="B385" s="112" t="s">
        <v>115</v>
      </c>
      <c r="C385" s="24">
        <f>VLOOKUP(B385,Elements!$A$2:$B$435,2,0)</f>
        <v>81</v>
      </c>
      <c r="D385">
        <v>4</v>
      </c>
      <c r="E385" t="str">
        <f>VLOOKUP(D385,Categories!$A$2:$B$8,2,0)</f>
        <v>Sourcing</v>
      </c>
      <c r="F385">
        <v>7</v>
      </c>
      <c r="G385" t="str">
        <f>VLOOKUP(F385,Subcategories!$A$2:$B$29,2,0)</f>
        <v>Technology</v>
      </c>
      <c r="H385" t="str">
        <f t="shared" si="5"/>
        <v>4-7-81</v>
      </c>
      <c r="I385">
        <f>VLOOKUP(H385,SuiteCatSubElem!$F$2:$G$667,2,0)</f>
        <v>384</v>
      </c>
      <c r="J385">
        <v>81</v>
      </c>
      <c r="L385">
        <v>1</v>
      </c>
      <c r="M385" s="127">
        <v>43009.000011574077</v>
      </c>
      <c r="Q385" s="134"/>
    </row>
    <row r="386" spans="1:18">
      <c r="A386">
        <v>391</v>
      </c>
      <c r="B386" s="112" t="s">
        <v>116</v>
      </c>
      <c r="C386" s="24">
        <f>VLOOKUP(B386,Elements!$A$2:$B$435,2,0)</f>
        <v>82</v>
      </c>
      <c r="D386">
        <v>4</v>
      </c>
      <c r="E386" t="str">
        <f>VLOOKUP(D386,Categories!$A$2:$B$8,2,0)</f>
        <v>Sourcing</v>
      </c>
      <c r="F386">
        <v>7</v>
      </c>
      <c r="G386" t="str">
        <f>VLOOKUP(F386,Subcategories!$A$2:$B$29,2,0)</f>
        <v>Technology</v>
      </c>
      <c r="H386" t="str">
        <f t="shared" ref="H386:H449" si="6">_xlfn.CONCAT(D386,"-",F386,"-",C386)</f>
        <v>4-7-82</v>
      </c>
      <c r="I386">
        <f>VLOOKUP(H386,SuiteCatSubElem!$F$2:$G$667,2,0)</f>
        <v>385</v>
      </c>
      <c r="J386">
        <v>82</v>
      </c>
      <c r="L386">
        <v>1</v>
      </c>
      <c r="M386" s="127">
        <v>43009.000011574077</v>
      </c>
      <c r="Q386" s="45"/>
    </row>
    <row r="387" spans="1:18">
      <c r="A387">
        <v>392</v>
      </c>
      <c r="B387" s="112" t="s">
        <v>276</v>
      </c>
      <c r="C387" s="24">
        <f>VLOOKUP(B387,Elements!$A$2:$B$435,2,0)</f>
        <v>231</v>
      </c>
      <c r="D387">
        <v>4</v>
      </c>
      <c r="E387" t="str">
        <f>VLOOKUP(D387,Categories!$A$2:$B$8,2,0)</f>
        <v>Sourcing</v>
      </c>
      <c r="F387">
        <v>7</v>
      </c>
      <c r="G387" t="str">
        <f>VLOOKUP(F387,Subcategories!$A$2:$B$29,2,0)</f>
        <v>Technology</v>
      </c>
      <c r="H387" t="str">
        <f t="shared" si="6"/>
        <v>4-7-231</v>
      </c>
      <c r="I387">
        <f>VLOOKUP(H387,SuiteCatSubElem!$F$2:$G$667,2,0)</f>
        <v>386</v>
      </c>
      <c r="J387">
        <v>231</v>
      </c>
      <c r="L387">
        <v>1</v>
      </c>
      <c r="M387" s="127">
        <v>43009.000011574077</v>
      </c>
      <c r="Q387" s="94"/>
      <c r="R387" s="100"/>
    </row>
    <row r="388" spans="1:18">
      <c r="A388">
        <v>393</v>
      </c>
      <c r="B388" s="112" t="s">
        <v>277</v>
      </c>
      <c r="C388" s="24">
        <f>VLOOKUP(B388,Elements!$A$2:$B$435,2,0)</f>
        <v>232</v>
      </c>
      <c r="D388">
        <v>4</v>
      </c>
      <c r="E388" t="str">
        <f>VLOOKUP(D388,Categories!$A$2:$B$8,2,0)</f>
        <v>Sourcing</v>
      </c>
      <c r="F388">
        <v>7</v>
      </c>
      <c r="G388" t="str">
        <f>VLOOKUP(F388,Subcategories!$A$2:$B$29,2,0)</f>
        <v>Technology</v>
      </c>
      <c r="H388" t="str">
        <f t="shared" si="6"/>
        <v>4-7-232</v>
      </c>
      <c r="I388">
        <f>VLOOKUP(H388,SuiteCatSubElem!$F$2:$G$667,2,0)</f>
        <v>387</v>
      </c>
      <c r="J388">
        <v>232</v>
      </c>
      <c r="L388">
        <v>1</v>
      </c>
      <c r="M388" s="127">
        <v>43009.000011574077</v>
      </c>
      <c r="Q388" s="94"/>
      <c r="R388" s="100"/>
    </row>
    <row r="389" spans="1:18">
      <c r="A389">
        <v>394</v>
      </c>
      <c r="B389" s="112" t="s">
        <v>278</v>
      </c>
      <c r="C389" s="24">
        <f>VLOOKUP(B389,Elements!$A$2:$B$435,2,0)</f>
        <v>233</v>
      </c>
      <c r="D389" s="47">
        <v>4</v>
      </c>
      <c r="E389" t="str">
        <f>VLOOKUP(D389,Categories!$A$2:$B$8,2,0)</f>
        <v>Sourcing</v>
      </c>
      <c r="F389">
        <v>7</v>
      </c>
      <c r="G389" t="str">
        <f>VLOOKUP(F389,Subcategories!$A$2:$B$29,2,0)</f>
        <v>Technology</v>
      </c>
      <c r="H389" t="str">
        <f t="shared" si="6"/>
        <v>4-7-233</v>
      </c>
      <c r="I389">
        <f>VLOOKUP(H389,SuiteCatSubElem!$F$2:$G$667,2,0)</f>
        <v>388</v>
      </c>
      <c r="J389">
        <v>233</v>
      </c>
      <c r="K389" s="47"/>
      <c r="L389">
        <v>1</v>
      </c>
      <c r="M389" s="127">
        <v>43009.000011574077</v>
      </c>
      <c r="Q389" s="94"/>
      <c r="R389" s="94"/>
    </row>
    <row r="390" spans="1:18" ht="30">
      <c r="A390">
        <v>395</v>
      </c>
      <c r="B390" s="112" t="s">
        <v>279</v>
      </c>
      <c r="C390" s="24">
        <f>VLOOKUP(B390,Elements!$A$2:$B$435,2,0)</f>
        <v>234</v>
      </c>
      <c r="D390">
        <v>4</v>
      </c>
      <c r="E390" t="str">
        <f>VLOOKUP(D390,Categories!$A$2:$B$8,2,0)</f>
        <v>Sourcing</v>
      </c>
      <c r="F390">
        <v>7</v>
      </c>
      <c r="G390" t="str">
        <f>VLOOKUP(F390,Subcategories!$A$2:$B$29,2,0)</f>
        <v>Technology</v>
      </c>
      <c r="H390" t="str">
        <f t="shared" si="6"/>
        <v>4-7-234</v>
      </c>
      <c r="I390">
        <f>VLOOKUP(H390,SuiteCatSubElem!$F$2:$G$667,2,0)</f>
        <v>389</v>
      </c>
      <c r="J390">
        <v>234</v>
      </c>
      <c r="L390">
        <v>1</v>
      </c>
      <c r="M390" s="127">
        <v>43009.000011574077</v>
      </c>
      <c r="Q390" s="94"/>
      <c r="R390" s="100"/>
    </row>
    <row r="391" spans="1:18">
      <c r="A391">
        <v>396</v>
      </c>
      <c r="B391" s="112" t="s">
        <v>280</v>
      </c>
      <c r="C391" s="24">
        <f>VLOOKUP(B391,Elements!$A$2:$B$435,2,0)</f>
        <v>235</v>
      </c>
      <c r="D391">
        <v>4</v>
      </c>
      <c r="E391" t="str">
        <f>VLOOKUP(D391,Categories!$A$2:$B$8,2,0)</f>
        <v>Sourcing</v>
      </c>
      <c r="F391">
        <v>6</v>
      </c>
      <c r="G391" t="str">
        <f>VLOOKUP(F391,Subcategories!$A$2:$B$29,2,0)</f>
        <v>Configurability</v>
      </c>
      <c r="H391" t="str">
        <f t="shared" si="6"/>
        <v>4-6-235</v>
      </c>
      <c r="I391">
        <f>VLOOKUP(H391,SuiteCatSubElem!$F$2:$G$667,2,0)</f>
        <v>390</v>
      </c>
      <c r="J391">
        <v>235</v>
      </c>
      <c r="L391">
        <v>1</v>
      </c>
      <c r="M391" s="127">
        <v>43009.000011574077</v>
      </c>
      <c r="Q391" s="94"/>
      <c r="R391" s="100"/>
    </row>
    <row r="392" spans="1:18">
      <c r="A392">
        <v>397</v>
      </c>
      <c r="B392" s="112" t="s">
        <v>281</v>
      </c>
      <c r="C392" s="24">
        <f>VLOOKUP(B392,Elements!$A$2:$B$435,2,0)</f>
        <v>236</v>
      </c>
      <c r="D392">
        <v>4</v>
      </c>
      <c r="E392" t="str">
        <f>VLOOKUP(D392,Categories!$A$2:$B$8,2,0)</f>
        <v>Sourcing</v>
      </c>
      <c r="F392">
        <v>6</v>
      </c>
      <c r="G392" t="str">
        <f>VLOOKUP(F392,Subcategories!$A$2:$B$29,2,0)</f>
        <v>Configurability</v>
      </c>
      <c r="H392" t="str">
        <f t="shared" si="6"/>
        <v>4-6-236</v>
      </c>
      <c r="I392">
        <f>VLOOKUP(H392,SuiteCatSubElem!$F$2:$G$667,2,0)</f>
        <v>391</v>
      </c>
      <c r="J392">
        <v>236</v>
      </c>
      <c r="L392">
        <v>1</v>
      </c>
      <c r="M392" s="127">
        <v>43009.000011574077</v>
      </c>
      <c r="Q392" s="94"/>
      <c r="R392" s="100"/>
    </row>
    <row r="393" spans="1:18">
      <c r="A393">
        <v>398</v>
      </c>
      <c r="B393" s="112" t="s">
        <v>282</v>
      </c>
      <c r="C393" s="24">
        <f>VLOOKUP(B393,Elements!$A$2:$B$435,2,0)</f>
        <v>237</v>
      </c>
      <c r="D393">
        <v>4</v>
      </c>
      <c r="E393" t="str">
        <f>VLOOKUP(D393,Categories!$A$2:$B$8,2,0)</f>
        <v>Sourcing</v>
      </c>
      <c r="F393">
        <v>6</v>
      </c>
      <c r="G393" t="str">
        <f>VLOOKUP(F393,Subcategories!$A$2:$B$29,2,0)</f>
        <v>Configurability</v>
      </c>
      <c r="H393" t="str">
        <f t="shared" si="6"/>
        <v>4-6-237</v>
      </c>
      <c r="I393">
        <f>VLOOKUP(H393,SuiteCatSubElem!$F$2:$G$667,2,0)</f>
        <v>392</v>
      </c>
      <c r="J393">
        <v>237</v>
      </c>
      <c r="L393">
        <v>1</v>
      </c>
      <c r="M393" s="127">
        <v>43009.000011574077</v>
      </c>
      <c r="Q393" s="94"/>
      <c r="R393" s="100"/>
    </row>
    <row r="394" spans="1:18">
      <c r="A394">
        <v>399</v>
      </c>
      <c r="B394" s="112" t="s">
        <v>283</v>
      </c>
      <c r="C394" s="24">
        <f>VLOOKUP(B394,Elements!$A$2:$B$435,2,0)</f>
        <v>238</v>
      </c>
      <c r="D394">
        <v>4</v>
      </c>
      <c r="E394" t="str">
        <f>VLOOKUP(D394,Categories!$A$2:$B$8,2,0)</f>
        <v>Sourcing</v>
      </c>
      <c r="F394">
        <v>6</v>
      </c>
      <c r="G394" t="str">
        <f>VLOOKUP(F394,Subcategories!$A$2:$B$29,2,0)</f>
        <v>Configurability</v>
      </c>
      <c r="H394" t="str">
        <f t="shared" si="6"/>
        <v>4-6-238</v>
      </c>
      <c r="I394">
        <f>VLOOKUP(H394,SuiteCatSubElem!$F$2:$G$667,2,0)</f>
        <v>393</v>
      </c>
      <c r="J394">
        <v>238</v>
      </c>
      <c r="L394">
        <v>1</v>
      </c>
      <c r="M394" s="127">
        <v>43009.000011574077</v>
      </c>
      <c r="Q394" s="94"/>
      <c r="R394" s="100"/>
    </row>
    <row r="395" spans="1:18">
      <c r="A395">
        <v>400</v>
      </c>
      <c r="B395" s="112" t="s">
        <v>284</v>
      </c>
      <c r="C395" s="24">
        <f>VLOOKUP(B395,Elements!$A$2:$B$435,2,0)</f>
        <v>239</v>
      </c>
      <c r="D395">
        <v>4</v>
      </c>
      <c r="E395" t="str">
        <f>VLOOKUP(D395,Categories!$A$2:$B$8,2,0)</f>
        <v>Sourcing</v>
      </c>
      <c r="F395">
        <v>6</v>
      </c>
      <c r="G395" t="str">
        <f>VLOOKUP(F395,Subcategories!$A$2:$B$29,2,0)</f>
        <v>Configurability</v>
      </c>
      <c r="H395" t="str">
        <f t="shared" si="6"/>
        <v>4-6-239</v>
      </c>
      <c r="I395">
        <f>VLOOKUP(H395,SuiteCatSubElem!$F$2:$G$667,2,0)</f>
        <v>394</v>
      </c>
      <c r="J395">
        <v>239</v>
      </c>
      <c r="L395">
        <v>1</v>
      </c>
      <c r="M395" s="127">
        <v>43009.000011574077</v>
      </c>
      <c r="Q395" s="94"/>
      <c r="R395" s="100"/>
    </row>
    <row r="396" spans="1:18">
      <c r="A396">
        <v>401</v>
      </c>
      <c r="B396" s="112" t="s">
        <v>285</v>
      </c>
      <c r="C396" s="24">
        <f>VLOOKUP(B396,Elements!$A$2:$B$435,2,0)</f>
        <v>240</v>
      </c>
      <c r="D396">
        <v>4</v>
      </c>
      <c r="E396" t="str">
        <f>VLOOKUP(D396,Categories!$A$2:$B$8,2,0)</f>
        <v>Sourcing</v>
      </c>
      <c r="F396">
        <v>6</v>
      </c>
      <c r="G396" t="str">
        <f>VLOOKUP(F396,Subcategories!$A$2:$B$29,2,0)</f>
        <v>Configurability</v>
      </c>
      <c r="H396" t="str">
        <f t="shared" si="6"/>
        <v>4-6-240</v>
      </c>
      <c r="I396">
        <f>VLOOKUP(H396,SuiteCatSubElem!$F$2:$G$667,2,0)</f>
        <v>395</v>
      </c>
      <c r="J396">
        <v>240</v>
      </c>
      <c r="L396">
        <v>1</v>
      </c>
      <c r="M396" s="127">
        <v>43009.000011574077</v>
      </c>
      <c r="Q396" s="94"/>
      <c r="R396" s="100"/>
    </row>
    <row r="397" spans="1:18">
      <c r="A397">
        <v>402</v>
      </c>
      <c r="B397" s="112" t="s">
        <v>286</v>
      </c>
      <c r="C397" s="24">
        <f>VLOOKUP(B397,Elements!$A$2:$B$435,2,0)</f>
        <v>66</v>
      </c>
      <c r="D397">
        <v>4</v>
      </c>
      <c r="E397" t="str">
        <f>VLOOKUP(D397,Categories!$A$2:$B$8,2,0)</f>
        <v>Sourcing</v>
      </c>
      <c r="F397">
        <v>6</v>
      </c>
      <c r="G397" t="str">
        <f>VLOOKUP(F397,Subcategories!$A$2:$B$29,2,0)</f>
        <v>Configurability</v>
      </c>
      <c r="H397" t="str">
        <f t="shared" si="6"/>
        <v>4-6-66</v>
      </c>
      <c r="I397">
        <f>VLOOKUP(H397,SuiteCatSubElem!$F$2:$G$667,2,0)</f>
        <v>396</v>
      </c>
      <c r="J397">
        <v>66</v>
      </c>
      <c r="L397">
        <v>1</v>
      </c>
      <c r="M397" s="127">
        <v>43009.000011574077</v>
      </c>
      <c r="Q397" s="45"/>
    </row>
    <row r="398" spans="1:18">
      <c r="A398">
        <v>403</v>
      </c>
      <c r="B398" s="112" t="s">
        <v>287</v>
      </c>
      <c r="C398" s="24">
        <f>VLOOKUP(B398,Elements!$A$2:$B$435,2,0)</f>
        <v>241</v>
      </c>
      <c r="D398">
        <v>4</v>
      </c>
      <c r="E398" t="str">
        <f>VLOOKUP(D398,Categories!$A$2:$B$8,2,0)</f>
        <v>Sourcing</v>
      </c>
      <c r="F398">
        <v>6</v>
      </c>
      <c r="G398" t="str">
        <f>VLOOKUP(F398,Subcategories!$A$2:$B$29,2,0)</f>
        <v>Configurability</v>
      </c>
      <c r="H398" t="str">
        <f t="shared" si="6"/>
        <v>4-6-241</v>
      </c>
      <c r="I398">
        <f>VLOOKUP(H398,SuiteCatSubElem!$F$2:$G$667,2,0)</f>
        <v>397</v>
      </c>
      <c r="J398">
        <v>241</v>
      </c>
      <c r="L398">
        <v>1</v>
      </c>
      <c r="M398" s="127">
        <v>43009.000011574077</v>
      </c>
      <c r="Q398" s="94"/>
      <c r="R398" s="100"/>
    </row>
    <row r="399" spans="1:18">
      <c r="A399">
        <v>404</v>
      </c>
      <c r="B399" s="112" t="s">
        <v>288</v>
      </c>
      <c r="C399" s="24">
        <f>VLOOKUP(B399,Elements!$A$2:$B$435,2,0)</f>
        <v>67</v>
      </c>
      <c r="D399">
        <v>4</v>
      </c>
      <c r="E399" t="str">
        <f>VLOOKUP(D399,Categories!$A$2:$B$8,2,0)</f>
        <v>Sourcing</v>
      </c>
      <c r="F399">
        <v>6</v>
      </c>
      <c r="G399" t="str">
        <f>VLOOKUP(F399,Subcategories!$A$2:$B$29,2,0)</f>
        <v>Configurability</v>
      </c>
      <c r="H399" t="str">
        <f t="shared" si="6"/>
        <v>4-6-67</v>
      </c>
      <c r="I399">
        <f>VLOOKUP(H399,SuiteCatSubElem!$F$2:$G$667,2,0)</f>
        <v>398</v>
      </c>
      <c r="J399">
        <v>443</v>
      </c>
      <c r="L399">
        <v>1</v>
      </c>
      <c r="M399" s="127">
        <v>43009.000011574077</v>
      </c>
      <c r="Q399" s="94"/>
      <c r="R399" s="100"/>
    </row>
    <row r="400" spans="1:18">
      <c r="A400">
        <v>405</v>
      </c>
      <c r="B400" s="112" t="s">
        <v>289</v>
      </c>
      <c r="C400" s="24">
        <f>VLOOKUP(B400,Elements!$A$2:$B$435,2,0)</f>
        <v>242</v>
      </c>
      <c r="D400">
        <v>4</v>
      </c>
      <c r="E400" t="str">
        <f>VLOOKUP(D400,Categories!$A$2:$B$8,2,0)</f>
        <v>Sourcing</v>
      </c>
      <c r="F400">
        <v>6</v>
      </c>
      <c r="G400" t="str">
        <f>VLOOKUP(F400,Subcategories!$A$2:$B$29,2,0)</f>
        <v>Configurability</v>
      </c>
      <c r="H400" t="str">
        <f t="shared" si="6"/>
        <v>4-6-242</v>
      </c>
      <c r="I400">
        <f>VLOOKUP(H400,SuiteCatSubElem!$F$2:$G$667,2,0)</f>
        <v>399</v>
      </c>
      <c r="J400">
        <v>242</v>
      </c>
      <c r="L400">
        <v>1</v>
      </c>
      <c r="M400" s="127">
        <v>43009.000011574077</v>
      </c>
      <c r="Q400" s="94"/>
      <c r="R400" s="100"/>
    </row>
    <row r="401" spans="1:18">
      <c r="A401">
        <v>406</v>
      </c>
      <c r="B401" s="112" t="s">
        <v>290</v>
      </c>
      <c r="C401" s="24">
        <f>VLOOKUP(B401,Elements!$A$2:$B$435,2,0)</f>
        <v>243</v>
      </c>
      <c r="D401">
        <v>4</v>
      </c>
      <c r="E401" t="str">
        <f>VLOOKUP(D401,Categories!$A$2:$B$8,2,0)</f>
        <v>Sourcing</v>
      </c>
      <c r="F401">
        <v>6</v>
      </c>
      <c r="G401" t="str">
        <f>VLOOKUP(F401,Subcategories!$A$2:$B$29,2,0)</f>
        <v>Configurability</v>
      </c>
      <c r="H401" t="str">
        <f t="shared" si="6"/>
        <v>4-6-243</v>
      </c>
      <c r="I401">
        <f>VLOOKUP(H401,SuiteCatSubElem!$F$2:$G$667,2,0)</f>
        <v>400</v>
      </c>
      <c r="J401">
        <v>243</v>
      </c>
      <c r="L401">
        <v>1</v>
      </c>
      <c r="M401" s="127">
        <v>43009.000011574077</v>
      </c>
      <c r="Q401" s="94"/>
      <c r="R401" s="100"/>
    </row>
    <row r="402" spans="1:18">
      <c r="A402">
        <v>407</v>
      </c>
      <c r="B402" s="112" t="s">
        <v>105</v>
      </c>
      <c r="C402" s="24">
        <f>VLOOKUP(B402,Elements!$A$2:$B$435,2,0)</f>
        <v>69</v>
      </c>
      <c r="D402">
        <v>4</v>
      </c>
      <c r="E402" t="str">
        <f>VLOOKUP(D402,Categories!$A$2:$B$8,2,0)</f>
        <v>Sourcing</v>
      </c>
      <c r="F402">
        <v>6</v>
      </c>
      <c r="G402" t="str">
        <f>VLOOKUP(F402,Subcategories!$A$2:$B$29,2,0)</f>
        <v>Configurability</v>
      </c>
      <c r="H402" t="str">
        <f t="shared" si="6"/>
        <v>4-6-69</v>
      </c>
      <c r="I402">
        <f>VLOOKUP(H402,SuiteCatSubElem!$F$2:$G$667,2,0)</f>
        <v>401</v>
      </c>
      <c r="J402">
        <v>444</v>
      </c>
      <c r="L402">
        <v>1</v>
      </c>
      <c r="M402" s="127">
        <v>43009.000011574077</v>
      </c>
      <c r="Q402" s="94"/>
      <c r="R402" s="100"/>
    </row>
    <row r="403" spans="1:18">
      <c r="A403">
        <v>408</v>
      </c>
      <c r="B403" s="112" t="s">
        <v>117</v>
      </c>
      <c r="C403" s="24">
        <f>VLOOKUP(B403,Elements!$A$2:$B$435,2,0)</f>
        <v>83</v>
      </c>
      <c r="D403">
        <v>4</v>
      </c>
      <c r="E403" t="str">
        <f>VLOOKUP(D403,Categories!$A$2:$B$8,2,0)</f>
        <v>Sourcing</v>
      </c>
      <c r="F403">
        <v>8</v>
      </c>
      <c r="G403" t="str">
        <f>VLOOKUP(F403,Subcategories!$A$2:$B$29,2,0)</f>
        <v>General Services</v>
      </c>
      <c r="H403" t="str">
        <f t="shared" si="6"/>
        <v>4-8-83</v>
      </c>
      <c r="I403">
        <f>VLOOKUP(H403,SuiteCatSubElem!$F$2:$G$667,2,0)</f>
        <v>402</v>
      </c>
      <c r="J403">
        <v>83</v>
      </c>
      <c r="L403">
        <v>1</v>
      </c>
      <c r="M403" s="127">
        <v>43009.000011574077</v>
      </c>
      <c r="Q403" s="45"/>
    </row>
    <row r="404" spans="1:18">
      <c r="A404">
        <v>409</v>
      </c>
      <c r="B404" s="112" t="s">
        <v>291</v>
      </c>
      <c r="C404" s="24">
        <f>VLOOKUP(B404,Elements!$A$2:$B$435,2,0)</f>
        <v>244</v>
      </c>
      <c r="D404">
        <v>4</v>
      </c>
      <c r="E404" t="str">
        <f>VLOOKUP(D404,Categories!$A$2:$B$8,2,0)</f>
        <v>Sourcing</v>
      </c>
      <c r="F404">
        <v>8</v>
      </c>
      <c r="G404" t="str">
        <f>VLOOKUP(F404,Subcategories!$A$2:$B$29,2,0)</f>
        <v>General Services</v>
      </c>
      <c r="H404" t="str">
        <f t="shared" si="6"/>
        <v>4-8-244</v>
      </c>
      <c r="I404">
        <f>VLOOKUP(H404,SuiteCatSubElem!$F$2:$G$667,2,0)</f>
        <v>403</v>
      </c>
      <c r="J404">
        <v>244</v>
      </c>
      <c r="L404">
        <v>1</v>
      </c>
      <c r="M404" s="127">
        <v>43009.000011574077</v>
      </c>
      <c r="Q404" s="94"/>
    </row>
    <row r="405" spans="1:18">
      <c r="A405">
        <v>410</v>
      </c>
      <c r="B405" s="112" t="s">
        <v>292</v>
      </c>
      <c r="C405" s="24">
        <f>VLOOKUP(B405,Elements!$A$2:$B$435,2,0)</f>
        <v>245</v>
      </c>
      <c r="D405">
        <v>4</v>
      </c>
      <c r="E405" t="str">
        <f>VLOOKUP(D405,Categories!$A$2:$B$8,2,0)</f>
        <v>Sourcing</v>
      </c>
      <c r="F405">
        <v>8</v>
      </c>
      <c r="G405" t="str">
        <f>VLOOKUP(F405,Subcategories!$A$2:$B$29,2,0)</f>
        <v>General Services</v>
      </c>
      <c r="H405" t="str">
        <f t="shared" si="6"/>
        <v>4-8-245</v>
      </c>
      <c r="I405">
        <f>VLOOKUP(H405,SuiteCatSubElem!$F$2:$G$667,2,0)</f>
        <v>404</v>
      </c>
      <c r="J405">
        <v>245</v>
      </c>
      <c r="L405">
        <v>1</v>
      </c>
      <c r="M405" s="127">
        <v>43009.000011574077</v>
      </c>
      <c r="Q405" s="94"/>
    </row>
    <row r="406" spans="1:18" ht="30">
      <c r="A406">
        <v>411</v>
      </c>
      <c r="B406" s="112" t="s">
        <v>293</v>
      </c>
      <c r="C406" s="24">
        <f>VLOOKUP(B406,Elements!$A$2:$B$435,2,0)</f>
        <v>246</v>
      </c>
      <c r="D406">
        <v>4</v>
      </c>
      <c r="E406" t="str">
        <f>VLOOKUP(D406,Categories!$A$2:$B$8,2,0)</f>
        <v>Sourcing</v>
      </c>
      <c r="F406">
        <v>8</v>
      </c>
      <c r="G406" t="str">
        <f>VLOOKUP(F406,Subcategories!$A$2:$B$29,2,0)</f>
        <v>General Services</v>
      </c>
      <c r="H406" t="str">
        <f t="shared" si="6"/>
        <v>4-8-246</v>
      </c>
      <c r="I406">
        <f>VLOOKUP(H406,SuiteCatSubElem!$F$2:$G$667,2,0)</f>
        <v>405</v>
      </c>
      <c r="J406">
        <v>246</v>
      </c>
      <c r="L406">
        <v>1</v>
      </c>
      <c r="M406" s="127">
        <v>43009.000011574077</v>
      </c>
      <c r="Q406" s="94"/>
    </row>
    <row r="407" spans="1:18" ht="30">
      <c r="A407">
        <v>412</v>
      </c>
      <c r="B407" s="112" t="s">
        <v>294</v>
      </c>
      <c r="C407" s="24">
        <f>VLOOKUP(B407,Elements!$A$2:$B$435,2,0)</f>
        <v>247</v>
      </c>
      <c r="D407">
        <v>4</v>
      </c>
      <c r="E407" t="str">
        <f>VLOOKUP(D407,Categories!$A$2:$B$8,2,0)</f>
        <v>Sourcing</v>
      </c>
      <c r="F407">
        <v>8</v>
      </c>
      <c r="G407" t="str">
        <f>VLOOKUP(F407,Subcategories!$A$2:$B$29,2,0)</f>
        <v>General Services</v>
      </c>
      <c r="H407" t="str">
        <f t="shared" si="6"/>
        <v>4-8-247</v>
      </c>
      <c r="I407">
        <f>VLOOKUP(H407,SuiteCatSubElem!$F$2:$G$667,2,0)</f>
        <v>406</v>
      </c>
      <c r="J407">
        <v>247</v>
      </c>
      <c r="L407">
        <v>1</v>
      </c>
      <c r="M407" s="127">
        <v>43009.000011574077</v>
      </c>
      <c r="Q407" s="94"/>
    </row>
    <row r="408" spans="1:18" ht="30">
      <c r="A408">
        <v>413</v>
      </c>
      <c r="B408" s="115" t="s">
        <v>118</v>
      </c>
      <c r="C408" s="24">
        <f>VLOOKUP(B408,Elements!$A$2:$B$435,2,0)</f>
        <v>84</v>
      </c>
      <c r="D408">
        <v>4</v>
      </c>
      <c r="E408" t="str">
        <f>VLOOKUP(D408,Categories!$A$2:$B$8,2,0)</f>
        <v>Sourcing</v>
      </c>
      <c r="F408">
        <v>8</v>
      </c>
      <c r="G408" t="str">
        <f>VLOOKUP(F408,Subcategories!$A$2:$B$29,2,0)</f>
        <v>General Services</v>
      </c>
      <c r="H408" t="str">
        <f t="shared" si="6"/>
        <v>4-8-84</v>
      </c>
      <c r="I408">
        <f>VLOOKUP(H408,SuiteCatSubElem!$F$2:$G$667,2,0)</f>
        <v>407</v>
      </c>
      <c r="J408">
        <v>84</v>
      </c>
      <c r="L408">
        <v>1</v>
      </c>
      <c r="M408" s="127">
        <v>43009.000011574077</v>
      </c>
      <c r="Q408" s="94"/>
    </row>
    <row r="409" spans="1:18">
      <c r="A409">
        <v>414</v>
      </c>
      <c r="B409" s="112" t="s">
        <v>119</v>
      </c>
      <c r="C409" s="24">
        <f>VLOOKUP(B409,Elements!$A$2:$B$435,2,0)</f>
        <v>85</v>
      </c>
      <c r="D409" s="47">
        <v>4</v>
      </c>
      <c r="E409" t="str">
        <f>VLOOKUP(D409,Categories!$A$2:$B$8,2,0)</f>
        <v>Sourcing</v>
      </c>
      <c r="F409">
        <v>8</v>
      </c>
      <c r="G409" t="str">
        <f>VLOOKUP(F409,Subcategories!$A$2:$B$29,2,0)</f>
        <v>General Services</v>
      </c>
      <c r="H409" t="str">
        <f t="shared" si="6"/>
        <v>4-8-85</v>
      </c>
      <c r="I409">
        <f>VLOOKUP(H409,SuiteCatSubElem!$F$2:$G$667,2,0)</f>
        <v>408</v>
      </c>
      <c r="J409">
        <v>85</v>
      </c>
      <c r="K409" s="47"/>
      <c r="L409">
        <v>1</v>
      </c>
      <c r="M409" s="127">
        <v>43009.000011574077</v>
      </c>
      <c r="Q409" s="45"/>
      <c r="R409" s="99"/>
    </row>
    <row r="410" spans="1:18">
      <c r="A410">
        <v>415</v>
      </c>
      <c r="B410" s="115" t="s">
        <v>299</v>
      </c>
      <c r="C410" s="24">
        <f>VLOOKUP(B410,Elements!$A$2:$B$435,2,0)</f>
        <v>248</v>
      </c>
      <c r="D410">
        <v>5</v>
      </c>
      <c r="E410" t="str">
        <f>VLOOKUP(D410,Categories!$A$2:$B$8,2,0)</f>
        <v>SA</v>
      </c>
      <c r="F410">
        <v>19</v>
      </c>
      <c r="G410" t="str">
        <f>VLOOKUP(F410,Subcategories!$A$2:$B$29,2,0)</f>
        <v>Data Layer</v>
      </c>
      <c r="H410" t="str">
        <f t="shared" si="6"/>
        <v>5-19-248</v>
      </c>
      <c r="I410">
        <f>VLOOKUP(H410,SuiteCatSubElem!$F$2:$G$667,2,0)</f>
        <v>409</v>
      </c>
      <c r="J410">
        <v>249</v>
      </c>
      <c r="L410">
        <v>1</v>
      </c>
      <c r="M410" s="127">
        <v>43009.000011574077</v>
      </c>
      <c r="Q410" s="94"/>
    </row>
    <row r="411" spans="1:18">
      <c r="A411">
        <v>416</v>
      </c>
      <c r="B411" s="115" t="s">
        <v>300</v>
      </c>
      <c r="C411" s="24">
        <f>VLOOKUP(B411,Elements!$A$2:$B$435,2,0)</f>
        <v>249</v>
      </c>
      <c r="D411">
        <v>5</v>
      </c>
      <c r="E411" t="str">
        <f>VLOOKUP(D411,Categories!$A$2:$B$8,2,0)</f>
        <v>SA</v>
      </c>
      <c r="F411">
        <v>19</v>
      </c>
      <c r="G411" t="str">
        <f>VLOOKUP(F411,Subcategories!$A$2:$B$29,2,0)</f>
        <v>Data Layer</v>
      </c>
      <c r="H411" t="str">
        <f t="shared" si="6"/>
        <v>5-19-249</v>
      </c>
      <c r="I411">
        <f>VLOOKUP(H411,SuiteCatSubElem!$F$2:$G$667,2,0)</f>
        <v>410</v>
      </c>
      <c r="J411">
        <v>250</v>
      </c>
      <c r="L411">
        <v>1</v>
      </c>
      <c r="M411" s="127">
        <v>43009.000011574077</v>
      </c>
      <c r="Q411" s="94"/>
    </row>
    <row r="412" spans="1:18">
      <c r="A412">
        <v>417</v>
      </c>
      <c r="B412" s="115" t="s">
        <v>301</v>
      </c>
      <c r="C412" s="24">
        <f>VLOOKUP(B412,Elements!$A$2:$B$435,2,0)</f>
        <v>250</v>
      </c>
      <c r="D412">
        <v>5</v>
      </c>
      <c r="E412" t="str">
        <f>VLOOKUP(D412,Categories!$A$2:$B$8,2,0)</f>
        <v>SA</v>
      </c>
      <c r="F412">
        <v>19</v>
      </c>
      <c r="G412" t="str">
        <f>VLOOKUP(F412,Subcategories!$A$2:$B$29,2,0)</f>
        <v>Data Layer</v>
      </c>
      <c r="H412" t="str">
        <f t="shared" si="6"/>
        <v>5-19-250</v>
      </c>
      <c r="I412">
        <f>VLOOKUP(H412,SuiteCatSubElem!$F$2:$G$667,2,0)</f>
        <v>411</v>
      </c>
      <c r="J412">
        <v>251</v>
      </c>
      <c r="L412">
        <v>1</v>
      </c>
      <c r="M412" s="127">
        <v>43009.000011574077</v>
      </c>
      <c r="Q412" s="94"/>
    </row>
    <row r="413" spans="1:18">
      <c r="A413">
        <v>418</v>
      </c>
      <c r="B413" s="115" t="s">
        <v>302</v>
      </c>
      <c r="C413" s="24">
        <f>VLOOKUP(B413,Elements!$A$2:$B$435,2,0)</f>
        <v>251</v>
      </c>
      <c r="D413">
        <v>5</v>
      </c>
      <c r="E413" t="str">
        <f>VLOOKUP(D413,Categories!$A$2:$B$8,2,0)</f>
        <v>SA</v>
      </c>
      <c r="F413">
        <v>19</v>
      </c>
      <c r="G413" t="str">
        <f>VLOOKUP(F413,Subcategories!$A$2:$B$29,2,0)</f>
        <v>Data Layer</v>
      </c>
      <c r="H413" t="str">
        <f t="shared" si="6"/>
        <v>5-19-251</v>
      </c>
      <c r="I413">
        <f>VLOOKUP(H413,SuiteCatSubElem!$F$2:$G$667,2,0)</f>
        <v>412</v>
      </c>
      <c r="J413">
        <v>252</v>
      </c>
      <c r="L413">
        <v>1</v>
      </c>
      <c r="M413" s="127">
        <v>43009.000011574077</v>
      </c>
      <c r="Q413" s="94"/>
    </row>
    <row r="414" spans="1:18" s="4" customFormat="1" ht="17" thickBot="1">
      <c r="A414">
        <v>419</v>
      </c>
      <c r="B414" s="118" t="s">
        <v>303</v>
      </c>
      <c r="C414" s="24">
        <f>VLOOKUP(B414,Elements!$A$2:$B$435,2,0)</f>
        <v>252</v>
      </c>
      <c r="D414" s="4">
        <v>5</v>
      </c>
      <c r="E414" t="str">
        <f>VLOOKUP(D414,Categories!$A$2:$B$8,2,0)</f>
        <v>SA</v>
      </c>
      <c r="F414">
        <v>19</v>
      </c>
      <c r="G414" t="str">
        <f>VLOOKUP(F414,Subcategories!$A$2:$B$29,2,0)</f>
        <v>Data Layer</v>
      </c>
      <c r="H414" t="str">
        <f t="shared" si="6"/>
        <v>5-19-252</v>
      </c>
      <c r="I414">
        <f>VLOOKUP(H414,SuiteCatSubElem!$F$2:$G$667,2,0)</f>
        <v>413</v>
      </c>
      <c r="J414">
        <v>253</v>
      </c>
      <c r="L414">
        <v>1</v>
      </c>
      <c r="M414" s="127">
        <v>43009.000011574077</v>
      </c>
      <c r="N414"/>
      <c r="O414"/>
      <c r="P414"/>
      <c r="Q414" s="94"/>
      <c r="R414" s="101"/>
    </row>
    <row r="415" spans="1:18">
      <c r="A415">
        <v>420</v>
      </c>
      <c r="B415" s="115" t="s">
        <v>304</v>
      </c>
      <c r="C415" s="24">
        <f>VLOOKUP(B415,Elements!$A$2:$B$435,2,0)</f>
        <v>253</v>
      </c>
      <c r="D415">
        <v>5</v>
      </c>
      <c r="E415" t="str">
        <f>VLOOKUP(D415,Categories!$A$2:$B$8,2,0)</f>
        <v>SA</v>
      </c>
      <c r="F415">
        <v>19</v>
      </c>
      <c r="G415" t="str">
        <f>VLOOKUP(F415,Subcategories!$A$2:$B$29,2,0)</f>
        <v>Data Layer</v>
      </c>
      <c r="H415" t="str">
        <f t="shared" si="6"/>
        <v>5-19-253</v>
      </c>
      <c r="I415">
        <f>VLOOKUP(H415,SuiteCatSubElem!$F$2:$G$667,2,0)</f>
        <v>414</v>
      </c>
      <c r="J415">
        <v>254</v>
      </c>
      <c r="L415">
        <v>1</v>
      </c>
      <c r="M415" s="127">
        <v>43009.000011574077</v>
      </c>
      <c r="Q415" s="94"/>
    </row>
    <row r="416" spans="1:18">
      <c r="A416">
        <v>421</v>
      </c>
      <c r="B416" s="115" t="s">
        <v>149</v>
      </c>
      <c r="C416" s="24">
        <f>VLOOKUP(B416,Elements!$A$2:$B$435,2,0)</f>
        <v>114</v>
      </c>
      <c r="D416">
        <v>5</v>
      </c>
      <c r="E416" t="str">
        <f>VLOOKUP(D416,Categories!$A$2:$B$8,2,0)</f>
        <v>SA</v>
      </c>
      <c r="F416">
        <v>19</v>
      </c>
      <c r="G416" t="str">
        <f>VLOOKUP(F416,Subcategories!$A$2:$B$29,2,0)</f>
        <v>Data Layer</v>
      </c>
      <c r="H416" t="str">
        <f t="shared" si="6"/>
        <v>5-19-114</v>
      </c>
      <c r="I416">
        <f>VLOOKUP(H416,SuiteCatSubElem!$F$2:$G$667,2,0)</f>
        <v>415</v>
      </c>
      <c r="J416">
        <v>452</v>
      </c>
      <c r="L416">
        <v>1</v>
      </c>
      <c r="M416" s="127">
        <v>43009.000011574077</v>
      </c>
      <c r="Q416" s="94"/>
    </row>
    <row r="417" spans="1:17">
      <c r="A417">
        <v>422</v>
      </c>
      <c r="B417" s="115" t="s">
        <v>305</v>
      </c>
      <c r="C417" s="24">
        <f>VLOOKUP(B417,Elements!$A$2:$B$435,2,0)</f>
        <v>254</v>
      </c>
      <c r="D417">
        <v>5</v>
      </c>
      <c r="E417" t="str">
        <f>VLOOKUP(D417,Categories!$A$2:$B$8,2,0)</f>
        <v>SA</v>
      </c>
      <c r="F417">
        <v>19</v>
      </c>
      <c r="G417" t="str">
        <f>VLOOKUP(F417,Subcategories!$A$2:$B$29,2,0)</f>
        <v>Data Layer</v>
      </c>
      <c r="H417" t="str">
        <f t="shared" si="6"/>
        <v>5-19-254</v>
      </c>
      <c r="I417">
        <f>VLOOKUP(H417,SuiteCatSubElem!$F$2:$G$667,2,0)</f>
        <v>416</v>
      </c>
      <c r="J417">
        <v>255</v>
      </c>
      <c r="L417">
        <v>1</v>
      </c>
      <c r="M417" s="127">
        <v>43009.000011574077</v>
      </c>
      <c r="Q417" s="94"/>
    </row>
    <row r="418" spans="1:17">
      <c r="A418">
        <v>423</v>
      </c>
      <c r="B418" s="115" t="s">
        <v>306</v>
      </c>
      <c r="C418" s="24">
        <f>VLOOKUP(B418,Elements!$A$2:$B$435,2,0)</f>
        <v>255</v>
      </c>
      <c r="D418">
        <v>5</v>
      </c>
      <c r="E418" t="str">
        <f>VLOOKUP(D418,Categories!$A$2:$B$8,2,0)</f>
        <v>SA</v>
      </c>
      <c r="F418">
        <v>20</v>
      </c>
      <c r="G418" t="str">
        <f>VLOOKUP(F418,Subcategories!$A$2:$B$29,2,0)</f>
        <v>Process Support</v>
      </c>
      <c r="H418" t="str">
        <f t="shared" si="6"/>
        <v>5-20-255</v>
      </c>
      <c r="I418">
        <f>VLOOKUP(H418,SuiteCatSubElem!$F$2:$G$667,2,0)</f>
        <v>417</v>
      </c>
      <c r="J418">
        <v>256</v>
      </c>
      <c r="L418">
        <v>1</v>
      </c>
      <c r="M418" s="127">
        <v>43009.000011574077</v>
      </c>
      <c r="Q418" s="94"/>
    </row>
    <row r="419" spans="1:17">
      <c r="A419">
        <v>424</v>
      </c>
      <c r="B419" s="119" t="s">
        <v>307</v>
      </c>
      <c r="C419" s="24">
        <f>VLOOKUP(B419,Elements!$A$2:$B$435,2,0)</f>
        <v>256</v>
      </c>
      <c r="D419">
        <v>5</v>
      </c>
      <c r="E419" t="str">
        <f>VLOOKUP(D419,Categories!$A$2:$B$8,2,0)</f>
        <v>SA</v>
      </c>
      <c r="F419">
        <v>20</v>
      </c>
      <c r="G419" t="str">
        <f>VLOOKUP(F419,Subcategories!$A$2:$B$29,2,0)</f>
        <v>Process Support</v>
      </c>
      <c r="H419" t="str">
        <f t="shared" si="6"/>
        <v>5-20-256</v>
      </c>
      <c r="I419">
        <f>VLOOKUP(H419,SuiteCatSubElem!$F$2:$G$667,2,0)</f>
        <v>418</v>
      </c>
      <c r="J419">
        <v>257</v>
      </c>
      <c r="L419">
        <v>1</v>
      </c>
      <c r="M419" s="127">
        <v>43009.000011574077</v>
      </c>
      <c r="Q419" s="99"/>
    </row>
    <row r="420" spans="1:17" ht="30">
      <c r="A420">
        <v>425</v>
      </c>
      <c r="B420" s="115" t="s">
        <v>308</v>
      </c>
      <c r="C420" s="24">
        <f>VLOOKUP(B420,Elements!$A$2:$B$435,2,0)</f>
        <v>257</v>
      </c>
      <c r="D420">
        <v>5</v>
      </c>
      <c r="E420" t="str">
        <f>VLOOKUP(D420,Categories!$A$2:$B$8,2,0)</f>
        <v>SA</v>
      </c>
      <c r="F420">
        <v>20</v>
      </c>
      <c r="G420" t="str">
        <f>VLOOKUP(F420,Subcategories!$A$2:$B$29,2,0)</f>
        <v>Process Support</v>
      </c>
      <c r="H420" t="str">
        <f t="shared" si="6"/>
        <v>5-20-257</v>
      </c>
      <c r="I420">
        <f>VLOOKUP(H420,SuiteCatSubElem!$F$2:$G$667,2,0)</f>
        <v>419</v>
      </c>
      <c r="J420">
        <v>258</v>
      </c>
      <c r="L420">
        <v>1</v>
      </c>
      <c r="M420" s="127">
        <v>43009.000011574077</v>
      </c>
      <c r="Q420" s="94"/>
    </row>
    <row r="421" spans="1:17">
      <c r="A421">
        <v>426</v>
      </c>
      <c r="B421" s="115" t="s">
        <v>309</v>
      </c>
      <c r="C421" s="24">
        <f>VLOOKUP(B421,Elements!$A$2:$B$435,2,0)</f>
        <v>258</v>
      </c>
      <c r="D421">
        <v>5</v>
      </c>
      <c r="E421" t="str">
        <f>VLOOKUP(D421,Categories!$A$2:$B$8,2,0)</f>
        <v>SA</v>
      </c>
      <c r="F421">
        <v>20</v>
      </c>
      <c r="G421" t="str">
        <f>VLOOKUP(F421,Subcategories!$A$2:$B$29,2,0)</f>
        <v>Process Support</v>
      </c>
      <c r="H421" t="str">
        <f t="shared" si="6"/>
        <v>5-20-258</v>
      </c>
      <c r="I421">
        <f>VLOOKUP(H421,SuiteCatSubElem!$F$2:$G$667,2,0)</f>
        <v>420</v>
      </c>
      <c r="J421">
        <v>259</v>
      </c>
      <c r="L421">
        <v>1</v>
      </c>
      <c r="M421" s="127">
        <v>43009.000011574077</v>
      </c>
      <c r="Q421" s="94"/>
    </row>
    <row r="422" spans="1:17" ht="30">
      <c r="A422">
        <v>427</v>
      </c>
      <c r="B422" s="115" t="s">
        <v>310</v>
      </c>
      <c r="C422" s="24">
        <f>VLOOKUP(B422,Elements!$A$2:$B$435,2,0)</f>
        <v>259</v>
      </c>
      <c r="D422">
        <v>5</v>
      </c>
      <c r="E422" t="str">
        <f>VLOOKUP(D422,Categories!$A$2:$B$8,2,0)</f>
        <v>SA</v>
      </c>
      <c r="F422">
        <v>20</v>
      </c>
      <c r="G422" t="str">
        <f>VLOOKUP(F422,Subcategories!$A$2:$B$29,2,0)</f>
        <v>Process Support</v>
      </c>
      <c r="H422" t="str">
        <f t="shared" si="6"/>
        <v>5-20-259</v>
      </c>
      <c r="I422">
        <f>VLOOKUP(H422,SuiteCatSubElem!$F$2:$G$667,2,0)</f>
        <v>421</v>
      </c>
      <c r="J422">
        <v>260</v>
      </c>
      <c r="L422">
        <v>1</v>
      </c>
      <c r="M422" s="127">
        <v>43009.000011574077</v>
      </c>
      <c r="Q422" s="94"/>
    </row>
    <row r="423" spans="1:17">
      <c r="A423">
        <v>428</v>
      </c>
      <c r="B423" s="115" t="s">
        <v>311</v>
      </c>
      <c r="C423" s="24">
        <f>VLOOKUP(B423,Elements!$A$2:$B$435,2,0)</f>
        <v>260</v>
      </c>
      <c r="D423">
        <v>5</v>
      </c>
      <c r="E423" t="str">
        <f>VLOOKUP(D423,Categories!$A$2:$B$8,2,0)</f>
        <v>SA</v>
      </c>
      <c r="F423">
        <v>20</v>
      </c>
      <c r="G423" t="str">
        <f>VLOOKUP(F423,Subcategories!$A$2:$B$29,2,0)</f>
        <v>Process Support</v>
      </c>
      <c r="H423" t="str">
        <f t="shared" si="6"/>
        <v>5-20-260</v>
      </c>
      <c r="I423">
        <f>VLOOKUP(H423,SuiteCatSubElem!$F$2:$G$667,2,0)</f>
        <v>422</v>
      </c>
      <c r="J423">
        <v>261</v>
      </c>
      <c r="L423">
        <v>1</v>
      </c>
      <c r="M423" s="127">
        <v>43009.000011574077</v>
      </c>
      <c r="Q423" s="94"/>
    </row>
    <row r="424" spans="1:17" ht="30">
      <c r="A424">
        <v>429</v>
      </c>
      <c r="B424" s="115" t="s">
        <v>515</v>
      </c>
      <c r="C424" s="24">
        <f>VLOOKUP(B424,Elements!$A$2:$B$435,2,0)</f>
        <v>261</v>
      </c>
      <c r="D424">
        <v>5</v>
      </c>
      <c r="E424" t="str">
        <f>VLOOKUP(D424,Categories!$A$2:$B$8,2,0)</f>
        <v>SA</v>
      </c>
      <c r="F424">
        <v>20</v>
      </c>
      <c r="G424" t="str">
        <f>VLOOKUP(F424,Subcategories!$A$2:$B$29,2,0)</f>
        <v>Process Support</v>
      </c>
      <c r="H424" t="str">
        <f t="shared" si="6"/>
        <v>5-20-261</v>
      </c>
      <c r="I424">
        <f>VLOOKUP(H424,SuiteCatSubElem!$F$2:$G$667,2,0)</f>
        <v>423</v>
      </c>
      <c r="J424">
        <v>262</v>
      </c>
      <c r="L424">
        <v>1</v>
      </c>
      <c r="M424" s="127">
        <v>43009.000011574077</v>
      </c>
      <c r="Q424" s="94"/>
    </row>
    <row r="425" spans="1:17">
      <c r="A425">
        <v>430</v>
      </c>
      <c r="B425" s="115" t="s">
        <v>313</v>
      </c>
      <c r="C425" s="24">
        <f>VLOOKUP(B425,Elements!$A$2:$B$435,2,0)</f>
        <v>262</v>
      </c>
      <c r="D425">
        <v>5</v>
      </c>
      <c r="E425" t="str">
        <f>VLOOKUP(D425,Categories!$A$2:$B$8,2,0)</f>
        <v>SA</v>
      </c>
      <c r="F425">
        <v>20</v>
      </c>
      <c r="G425" t="str">
        <f>VLOOKUP(F425,Subcategories!$A$2:$B$29,2,0)</f>
        <v>Process Support</v>
      </c>
      <c r="H425" t="str">
        <f t="shared" si="6"/>
        <v>5-20-262</v>
      </c>
      <c r="I425">
        <f>VLOOKUP(H425,SuiteCatSubElem!$F$2:$G$667,2,0)</f>
        <v>424</v>
      </c>
      <c r="J425">
        <v>263</v>
      </c>
      <c r="L425">
        <v>1</v>
      </c>
      <c r="M425" s="127">
        <v>43009.000011574077</v>
      </c>
      <c r="Q425" s="94"/>
    </row>
    <row r="426" spans="1:17">
      <c r="A426">
        <v>431</v>
      </c>
      <c r="B426" s="115" t="s">
        <v>314</v>
      </c>
      <c r="C426" s="24">
        <f>VLOOKUP(B426,Elements!$A$2:$B$435,2,0)</f>
        <v>263</v>
      </c>
      <c r="D426">
        <v>5</v>
      </c>
      <c r="E426" t="str">
        <f>VLOOKUP(D426,Categories!$A$2:$B$8,2,0)</f>
        <v>SA</v>
      </c>
      <c r="F426">
        <v>20</v>
      </c>
      <c r="G426" t="str">
        <f>VLOOKUP(F426,Subcategories!$A$2:$B$29,2,0)</f>
        <v>Process Support</v>
      </c>
      <c r="H426" t="str">
        <f t="shared" si="6"/>
        <v>5-20-263</v>
      </c>
      <c r="I426">
        <f>VLOOKUP(H426,SuiteCatSubElem!$F$2:$G$667,2,0)</f>
        <v>425</v>
      </c>
      <c r="J426">
        <v>264</v>
      </c>
      <c r="L426">
        <v>1</v>
      </c>
      <c r="M426" s="127">
        <v>43009.000011574077</v>
      </c>
      <c r="Q426" s="94"/>
    </row>
    <row r="427" spans="1:17">
      <c r="A427">
        <v>432</v>
      </c>
      <c r="B427" s="115" t="s">
        <v>315</v>
      </c>
      <c r="C427" s="24">
        <f>VLOOKUP(B427,Elements!$A$2:$B$435,2,0)</f>
        <v>264</v>
      </c>
      <c r="D427">
        <v>5</v>
      </c>
      <c r="E427" t="str">
        <f>VLOOKUP(D427,Categories!$A$2:$B$8,2,0)</f>
        <v>SA</v>
      </c>
      <c r="F427">
        <v>20</v>
      </c>
      <c r="G427" t="str">
        <f>VLOOKUP(F427,Subcategories!$A$2:$B$29,2,0)</f>
        <v>Process Support</v>
      </c>
      <c r="H427" t="str">
        <f t="shared" si="6"/>
        <v>5-20-264</v>
      </c>
      <c r="I427">
        <f>VLOOKUP(H427,SuiteCatSubElem!$F$2:$G$667,2,0)</f>
        <v>426</v>
      </c>
      <c r="J427">
        <v>265</v>
      </c>
      <c r="L427">
        <v>1</v>
      </c>
      <c r="M427" s="127">
        <v>43009.000011574077</v>
      </c>
      <c r="Q427" s="94"/>
    </row>
    <row r="428" spans="1:17">
      <c r="A428">
        <v>433</v>
      </c>
      <c r="B428" s="115" t="s">
        <v>316</v>
      </c>
      <c r="C428" s="24">
        <f>VLOOKUP(B428,Elements!$A$2:$B$435,2,0)</f>
        <v>265</v>
      </c>
      <c r="D428">
        <v>5</v>
      </c>
      <c r="E428" t="str">
        <f>VLOOKUP(D428,Categories!$A$2:$B$8,2,0)</f>
        <v>SA</v>
      </c>
      <c r="F428">
        <v>20</v>
      </c>
      <c r="G428" t="str">
        <f>VLOOKUP(F428,Subcategories!$A$2:$B$29,2,0)</f>
        <v>Process Support</v>
      </c>
      <c r="H428" t="str">
        <f t="shared" si="6"/>
        <v>5-20-265</v>
      </c>
      <c r="I428">
        <f>VLOOKUP(H428,SuiteCatSubElem!$F$2:$G$667,2,0)</f>
        <v>427</v>
      </c>
      <c r="J428">
        <v>266</v>
      </c>
      <c r="L428">
        <v>1</v>
      </c>
      <c r="M428" s="127">
        <v>43009.000011574077</v>
      </c>
      <c r="Q428" s="94"/>
    </row>
    <row r="429" spans="1:17">
      <c r="A429">
        <v>434</v>
      </c>
      <c r="B429" s="115" t="s">
        <v>135</v>
      </c>
      <c r="C429" s="24">
        <f>VLOOKUP(B429,Elements!$A$2:$B$435,2,0)</f>
        <v>101</v>
      </c>
      <c r="D429">
        <v>5</v>
      </c>
      <c r="E429" t="str">
        <f>VLOOKUP(D429,Categories!$A$2:$B$8,2,0)</f>
        <v>SA</v>
      </c>
      <c r="F429">
        <v>20</v>
      </c>
      <c r="G429" t="str">
        <f>VLOOKUP(F429,Subcategories!$A$2:$B$29,2,0)</f>
        <v>Process Support</v>
      </c>
      <c r="H429" t="str">
        <f t="shared" si="6"/>
        <v>5-20-101</v>
      </c>
      <c r="I429">
        <f>VLOOKUP(H429,SuiteCatSubElem!$F$2:$G$667,2,0)</f>
        <v>428</v>
      </c>
      <c r="J429">
        <v>449</v>
      </c>
      <c r="L429">
        <v>1</v>
      </c>
      <c r="M429" s="127">
        <v>43009.000011574077</v>
      </c>
      <c r="Q429" s="94"/>
    </row>
    <row r="430" spans="1:17">
      <c r="A430">
        <v>435</v>
      </c>
      <c r="B430" s="115" t="s">
        <v>317</v>
      </c>
      <c r="C430" s="24">
        <f>VLOOKUP(B430,Elements!$A$2:$B$435,2,0)</f>
        <v>266</v>
      </c>
      <c r="D430">
        <v>5</v>
      </c>
      <c r="E430" t="str">
        <f>VLOOKUP(D430,Categories!$A$2:$B$8,2,0)</f>
        <v>SA</v>
      </c>
      <c r="F430">
        <v>20</v>
      </c>
      <c r="G430" t="str">
        <f>VLOOKUP(F430,Subcategories!$A$2:$B$29,2,0)</f>
        <v>Process Support</v>
      </c>
      <c r="H430" t="str">
        <f t="shared" si="6"/>
        <v>5-20-266</v>
      </c>
      <c r="I430">
        <f>VLOOKUP(H430,SuiteCatSubElem!$F$2:$G$667,2,0)</f>
        <v>429</v>
      </c>
      <c r="J430">
        <v>267</v>
      </c>
      <c r="L430">
        <v>1</v>
      </c>
      <c r="M430" s="127">
        <v>43009.000011574077</v>
      </c>
      <c r="Q430" s="94"/>
    </row>
    <row r="431" spans="1:17">
      <c r="A431">
        <v>436</v>
      </c>
      <c r="B431" s="115" t="s">
        <v>177</v>
      </c>
      <c r="C431" s="24">
        <f>VLOOKUP(B431,Elements!$A$2:$B$435,2,0)</f>
        <v>142</v>
      </c>
      <c r="D431">
        <v>5</v>
      </c>
      <c r="E431" t="str">
        <f>VLOOKUP(D431,Categories!$A$2:$B$8,2,0)</f>
        <v>SA</v>
      </c>
      <c r="F431">
        <v>20</v>
      </c>
      <c r="G431" t="str">
        <f>VLOOKUP(F431,Subcategories!$A$2:$B$29,2,0)</f>
        <v>Process Support</v>
      </c>
      <c r="H431" t="str">
        <f t="shared" si="6"/>
        <v>5-20-142</v>
      </c>
      <c r="I431">
        <f>VLOOKUP(H431,SuiteCatSubElem!$F$2:$G$667,2,0)</f>
        <v>430</v>
      </c>
      <c r="J431">
        <v>457</v>
      </c>
      <c r="L431">
        <v>1</v>
      </c>
      <c r="M431" s="127">
        <v>43009.000011574077</v>
      </c>
      <c r="Q431" s="94"/>
    </row>
    <row r="432" spans="1:17">
      <c r="A432">
        <v>437</v>
      </c>
      <c r="B432" s="115" t="s">
        <v>318</v>
      </c>
      <c r="C432" s="24">
        <f>VLOOKUP(B432,Elements!$A$2:$B$435,2,0)</f>
        <v>267</v>
      </c>
      <c r="D432">
        <v>5</v>
      </c>
      <c r="E432" t="str">
        <f>VLOOKUP(D432,Categories!$A$2:$B$8,2,0)</f>
        <v>SA</v>
      </c>
      <c r="F432">
        <v>20</v>
      </c>
      <c r="G432" t="str">
        <f>VLOOKUP(F432,Subcategories!$A$2:$B$29,2,0)</f>
        <v>Process Support</v>
      </c>
      <c r="H432" t="str">
        <f t="shared" si="6"/>
        <v>5-20-267</v>
      </c>
      <c r="I432">
        <f>VLOOKUP(H432,SuiteCatSubElem!$F$2:$G$667,2,0)</f>
        <v>431</v>
      </c>
      <c r="J432">
        <v>268</v>
      </c>
      <c r="L432">
        <v>1</v>
      </c>
      <c r="M432" s="127">
        <v>43009.000011574077</v>
      </c>
      <c r="Q432" s="94"/>
    </row>
    <row r="433" spans="1:18">
      <c r="A433">
        <v>438</v>
      </c>
      <c r="B433" s="115" t="s">
        <v>319</v>
      </c>
      <c r="C433" s="24">
        <f>VLOOKUP(B433,Elements!$A$2:$B$435,2,0)</f>
        <v>268</v>
      </c>
      <c r="D433">
        <v>5</v>
      </c>
      <c r="E433" t="str">
        <f>VLOOKUP(D433,Categories!$A$2:$B$8,2,0)</f>
        <v>SA</v>
      </c>
      <c r="F433">
        <v>20</v>
      </c>
      <c r="G433" t="str">
        <f>VLOOKUP(F433,Subcategories!$A$2:$B$29,2,0)</f>
        <v>Process Support</v>
      </c>
      <c r="H433" t="str">
        <f t="shared" si="6"/>
        <v>5-20-268</v>
      </c>
      <c r="I433">
        <f>VLOOKUP(H433,SuiteCatSubElem!$F$2:$G$667,2,0)</f>
        <v>432</v>
      </c>
      <c r="J433">
        <v>269</v>
      </c>
      <c r="L433">
        <v>1</v>
      </c>
      <c r="M433" s="127">
        <v>43009.000011574077</v>
      </c>
      <c r="Q433" s="94"/>
    </row>
    <row r="434" spans="1:18">
      <c r="A434">
        <v>439</v>
      </c>
      <c r="B434" s="115" t="s">
        <v>320</v>
      </c>
      <c r="C434" s="24">
        <f>VLOOKUP(B434,Elements!$A$2:$B$435,2,0)</f>
        <v>269</v>
      </c>
      <c r="D434">
        <v>5</v>
      </c>
      <c r="E434" t="str">
        <f>VLOOKUP(D434,Categories!$A$2:$B$8,2,0)</f>
        <v>SA</v>
      </c>
      <c r="F434">
        <v>20</v>
      </c>
      <c r="G434" t="str">
        <f>VLOOKUP(F434,Subcategories!$A$2:$B$29,2,0)</f>
        <v>Process Support</v>
      </c>
      <c r="H434" t="str">
        <f t="shared" si="6"/>
        <v>5-20-269</v>
      </c>
      <c r="I434">
        <f>VLOOKUP(H434,SuiteCatSubElem!$F$2:$G$667,2,0)</f>
        <v>433</v>
      </c>
      <c r="J434">
        <v>270</v>
      </c>
      <c r="L434">
        <v>1</v>
      </c>
      <c r="M434" s="127">
        <v>43009.000011574077</v>
      </c>
      <c r="Q434" s="94"/>
    </row>
    <row r="435" spans="1:18" ht="30">
      <c r="A435">
        <v>440</v>
      </c>
      <c r="B435" s="115" t="s">
        <v>321</v>
      </c>
      <c r="C435" s="24">
        <f>VLOOKUP(B435,Elements!$A$2:$B$435,2,0)</f>
        <v>270</v>
      </c>
      <c r="D435">
        <v>5</v>
      </c>
      <c r="E435" t="str">
        <f>VLOOKUP(D435,Categories!$A$2:$B$8,2,0)</f>
        <v>SA</v>
      </c>
      <c r="F435">
        <v>20</v>
      </c>
      <c r="G435" t="str">
        <f>VLOOKUP(F435,Subcategories!$A$2:$B$29,2,0)</f>
        <v>Process Support</v>
      </c>
      <c r="H435" t="str">
        <f t="shared" si="6"/>
        <v>5-20-270</v>
      </c>
      <c r="I435">
        <f>VLOOKUP(H435,SuiteCatSubElem!$F$2:$G$667,2,0)</f>
        <v>434</v>
      </c>
      <c r="J435">
        <v>271</v>
      </c>
      <c r="L435">
        <v>1</v>
      </c>
      <c r="M435" s="127">
        <v>43009.000011574077</v>
      </c>
      <c r="Q435" s="94"/>
    </row>
    <row r="436" spans="1:18">
      <c r="A436">
        <v>441</v>
      </c>
      <c r="B436" s="115" t="s">
        <v>322</v>
      </c>
      <c r="C436" s="24">
        <f>VLOOKUP(B436,Elements!$A$2:$B$435,2,0)</f>
        <v>271</v>
      </c>
      <c r="D436" s="47">
        <v>5</v>
      </c>
      <c r="E436" t="str">
        <f>VLOOKUP(D436,Categories!$A$2:$B$8,2,0)</f>
        <v>SA</v>
      </c>
      <c r="F436">
        <v>20</v>
      </c>
      <c r="G436" t="str">
        <f>VLOOKUP(F436,Subcategories!$A$2:$B$29,2,0)</f>
        <v>Process Support</v>
      </c>
      <c r="H436" t="str">
        <f t="shared" si="6"/>
        <v>5-20-271</v>
      </c>
      <c r="I436">
        <f>VLOOKUP(H436,SuiteCatSubElem!$F$2:$G$667,2,0)</f>
        <v>435</v>
      </c>
      <c r="J436">
        <v>272</v>
      </c>
      <c r="K436" s="47"/>
      <c r="L436">
        <v>1</v>
      </c>
      <c r="M436" s="127">
        <v>43009.000011574077</v>
      </c>
      <c r="Q436" s="94"/>
      <c r="R436" s="99"/>
    </row>
    <row r="437" spans="1:18">
      <c r="A437">
        <v>442</v>
      </c>
      <c r="B437" s="115" t="s">
        <v>323</v>
      </c>
      <c r="C437" s="24">
        <f>VLOOKUP(B437,Elements!$A$2:$B$435,2,0)</f>
        <v>272</v>
      </c>
      <c r="D437" s="47">
        <v>5</v>
      </c>
      <c r="E437" t="str">
        <f>VLOOKUP(D437,Categories!$A$2:$B$8,2,0)</f>
        <v>SA</v>
      </c>
      <c r="F437">
        <v>20</v>
      </c>
      <c r="G437" t="str">
        <f>VLOOKUP(F437,Subcategories!$A$2:$B$29,2,0)</f>
        <v>Process Support</v>
      </c>
      <c r="H437" t="str">
        <f t="shared" si="6"/>
        <v>5-20-272</v>
      </c>
      <c r="I437">
        <f>VLOOKUP(H437,SuiteCatSubElem!$F$2:$G$667,2,0)</f>
        <v>436</v>
      </c>
      <c r="J437">
        <v>273</v>
      </c>
      <c r="K437" s="47"/>
      <c r="L437">
        <v>1</v>
      </c>
      <c r="M437" s="127">
        <v>43009.000011574077</v>
      </c>
      <c r="Q437" s="94"/>
      <c r="R437" s="99"/>
    </row>
    <row r="438" spans="1:18">
      <c r="A438">
        <v>443</v>
      </c>
      <c r="B438" s="115" t="s">
        <v>324</v>
      </c>
      <c r="C438" s="24">
        <f>VLOOKUP(B438,Elements!$A$2:$B$435,2,0)</f>
        <v>273</v>
      </c>
      <c r="D438">
        <v>5</v>
      </c>
      <c r="E438" t="str">
        <f>VLOOKUP(D438,Categories!$A$2:$B$8,2,0)</f>
        <v>SA</v>
      </c>
      <c r="F438">
        <v>20</v>
      </c>
      <c r="G438" t="str">
        <f>VLOOKUP(F438,Subcategories!$A$2:$B$29,2,0)</f>
        <v>Process Support</v>
      </c>
      <c r="H438" t="str">
        <f t="shared" si="6"/>
        <v>5-20-273</v>
      </c>
      <c r="I438">
        <f>VLOOKUP(H438,SuiteCatSubElem!$F$2:$G$667,2,0)</f>
        <v>437</v>
      </c>
      <c r="J438">
        <v>274</v>
      </c>
      <c r="L438">
        <v>1</v>
      </c>
      <c r="M438" s="127">
        <v>43009.000011574077</v>
      </c>
      <c r="Q438" s="94"/>
    </row>
    <row r="439" spans="1:18" ht="30">
      <c r="A439">
        <v>444</v>
      </c>
      <c r="B439" s="115" t="s">
        <v>325</v>
      </c>
      <c r="C439" s="24">
        <f>VLOOKUP(B439,Elements!$A$2:$B$435,2,0)</f>
        <v>274</v>
      </c>
      <c r="D439">
        <v>5</v>
      </c>
      <c r="E439" t="str">
        <f>VLOOKUP(D439,Categories!$A$2:$B$8,2,0)</f>
        <v>SA</v>
      </c>
      <c r="F439">
        <v>20</v>
      </c>
      <c r="G439" t="str">
        <f>VLOOKUP(F439,Subcategories!$A$2:$B$29,2,0)</f>
        <v>Process Support</v>
      </c>
      <c r="H439" t="str">
        <f t="shared" si="6"/>
        <v>5-20-274</v>
      </c>
      <c r="I439">
        <f>VLOOKUP(H439,SuiteCatSubElem!$F$2:$G$667,2,0)</f>
        <v>438</v>
      </c>
      <c r="J439">
        <v>275</v>
      </c>
      <c r="L439">
        <v>1</v>
      </c>
      <c r="M439" s="127">
        <v>43009.000011574077</v>
      </c>
      <c r="Q439" s="94"/>
    </row>
    <row r="440" spans="1:18" ht="30">
      <c r="A440">
        <v>445</v>
      </c>
      <c r="B440" s="115" t="s">
        <v>326</v>
      </c>
      <c r="C440" s="24">
        <f>VLOOKUP(B440,Elements!$A$2:$B$435,2,0)</f>
        <v>275</v>
      </c>
      <c r="D440">
        <v>5</v>
      </c>
      <c r="E440" t="str">
        <f>VLOOKUP(D440,Categories!$A$2:$B$8,2,0)</f>
        <v>SA</v>
      </c>
      <c r="F440">
        <v>20</v>
      </c>
      <c r="G440" t="str">
        <f>VLOOKUP(F440,Subcategories!$A$2:$B$29,2,0)</f>
        <v>Process Support</v>
      </c>
      <c r="H440" t="str">
        <f t="shared" si="6"/>
        <v>5-20-275</v>
      </c>
      <c r="I440">
        <f>VLOOKUP(H440,SuiteCatSubElem!$F$2:$G$667,2,0)</f>
        <v>439</v>
      </c>
      <c r="J440">
        <v>276</v>
      </c>
      <c r="L440">
        <v>1</v>
      </c>
      <c r="M440" s="127">
        <v>43009.000011574077</v>
      </c>
      <c r="Q440" s="94"/>
    </row>
    <row r="441" spans="1:18" ht="30">
      <c r="A441">
        <v>446</v>
      </c>
      <c r="B441" s="115" t="s">
        <v>327</v>
      </c>
      <c r="C441" s="24">
        <f>VLOOKUP(B441,Elements!$A$2:$B$435,2,0)</f>
        <v>276</v>
      </c>
      <c r="D441">
        <v>5</v>
      </c>
      <c r="E441" t="str">
        <f>VLOOKUP(D441,Categories!$A$2:$B$8,2,0)</f>
        <v>SA</v>
      </c>
      <c r="F441">
        <v>20</v>
      </c>
      <c r="G441" t="str">
        <f>VLOOKUP(F441,Subcategories!$A$2:$B$29,2,0)</f>
        <v>Process Support</v>
      </c>
      <c r="H441" t="str">
        <f t="shared" si="6"/>
        <v>5-20-276</v>
      </c>
      <c r="I441">
        <f>VLOOKUP(H441,SuiteCatSubElem!$F$2:$G$667,2,0)</f>
        <v>440</v>
      </c>
      <c r="J441">
        <v>277</v>
      </c>
      <c r="L441">
        <v>1</v>
      </c>
      <c r="M441" s="127">
        <v>43009.000011574077</v>
      </c>
      <c r="Q441" s="94"/>
    </row>
    <row r="442" spans="1:18">
      <c r="A442">
        <v>447</v>
      </c>
      <c r="B442" s="115" t="s">
        <v>328</v>
      </c>
      <c r="C442" s="24">
        <f>VLOOKUP(B442,Elements!$A$2:$B$435,2,0)</f>
        <v>277</v>
      </c>
      <c r="D442">
        <v>5</v>
      </c>
      <c r="E442" t="str">
        <f>VLOOKUP(D442,Categories!$A$2:$B$8,2,0)</f>
        <v>SA</v>
      </c>
      <c r="F442">
        <v>20</v>
      </c>
      <c r="G442" t="str">
        <f>VLOOKUP(F442,Subcategories!$A$2:$B$29,2,0)</f>
        <v>Process Support</v>
      </c>
      <c r="H442" t="str">
        <f t="shared" si="6"/>
        <v>5-20-277</v>
      </c>
      <c r="I442">
        <f>VLOOKUP(H442,SuiteCatSubElem!$F$2:$G$667,2,0)</f>
        <v>441</v>
      </c>
      <c r="J442">
        <v>278</v>
      </c>
      <c r="L442">
        <v>1</v>
      </c>
      <c r="M442" s="127">
        <v>43009.000011574077</v>
      </c>
      <c r="Q442" s="94"/>
    </row>
    <row r="443" spans="1:18">
      <c r="A443">
        <v>448</v>
      </c>
      <c r="B443" s="115" t="s">
        <v>329</v>
      </c>
      <c r="C443" s="24">
        <f>VLOOKUP(B443,Elements!$A$2:$B$435,2,0)</f>
        <v>278</v>
      </c>
      <c r="D443">
        <v>5</v>
      </c>
      <c r="E443" t="str">
        <f>VLOOKUP(D443,Categories!$A$2:$B$8,2,0)</f>
        <v>SA</v>
      </c>
      <c r="F443">
        <v>20</v>
      </c>
      <c r="G443" t="str">
        <f>VLOOKUP(F443,Subcategories!$A$2:$B$29,2,0)</f>
        <v>Process Support</v>
      </c>
      <c r="H443" t="str">
        <f t="shared" si="6"/>
        <v>5-20-278</v>
      </c>
      <c r="I443">
        <f>VLOOKUP(H443,SuiteCatSubElem!$F$2:$G$667,2,0)</f>
        <v>442</v>
      </c>
      <c r="J443">
        <v>279</v>
      </c>
      <c r="L443">
        <v>1</v>
      </c>
      <c r="M443" s="127">
        <v>43009.000011574077</v>
      </c>
      <c r="Q443" s="94"/>
    </row>
    <row r="444" spans="1:18">
      <c r="A444">
        <v>449</v>
      </c>
      <c r="B444" s="115" t="s">
        <v>330</v>
      </c>
      <c r="C444" s="24">
        <f>VLOOKUP(B444,Elements!$A$2:$B$435,2,0)</f>
        <v>279</v>
      </c>
      <c r="D444">
        <v>5</v>
      </c>
      <c r="E444" t="str">
        <f>VLOOKUP(D444,Categories!$A$2:$B$8,2,0)</f>
        <v>SA</v>
      </c>
      <c r="F444">
        <v>20</v>
      </c>
      <c r="G444" t="str">
        <f>VLOOKUP(F444,Subcategories!$A$2:$B$29,2,0)</f>
        <v>Process Support</v>
      </c>
      <c r="H444" t="str">
        <f t="shared" si="6"/>
        <v>5-20-279</v>
      </c>
      <c r="I444">
        <f>VLOOKUP(H444,SuiteCatSubElem!$F$2:$G$667,2,0)</f>
        <v>443</v>
      </c>
      <c r="J444">
        <v>280</v>
      </c>
      <c r="L444">
        <v>1</v>
      </c>
      <c r="M444" s="127">
        <v>43009.000011574077</v>
      </c>
      <c r="Q444" s="94"/>
    </row>
    <row r="445" spans="1:18">
      <c r="A445">
        <v>450</v>
      </c>
      <c r="B445" s="115" t="s">
        <v>332</v>
      </c>
      <c r="C445" s="24">
        <f>VLOOKUP(B445,Elements!$A$2:$B$435,2,0)</f>
        <v>280</v>
      </c>
      <c r="D445">
        <v>5</v>
      </c>
      <c r="E445" t="str">
        <f>VLOOKUP(D445,Categories!$A$2:$B$8,2,0)</f>
        <v>SA</v>
      </c>
      <c r="F445">
        <v>21</v>
      </c>
      <c r="G445" t="str">
        <f>VLOOKUP(F445,Subcategories!$A$2:$B$29,2,0)</f>
        <v>Function Support</v>
      </c>
      <c r="H445" t="str">
        <f t="shared" si="6"/>
        <v>5-21-280</v>
      </c>
      <c r="I445">
        <f>VLOOKUP(H445,SuiteCatSubElem!$F$2:$G$667,2,0)</f>
        <v>444</v>
      </c>
      <c r="J445">
        <v>281</v>
      </c>
      <c r="L445">
        <v>1</v>
      </c>
      <c r="M445" s="127">
        <v>43009.000011574077</v>
      </c>
      <c r="Q445" s="94"/>
    </row>
    <row r="446" spans="1:18">
      <c r="A446">
        <v>451</v>
      </c>
      <c r="B446" s="115" t="s">
        <v>333</v>
      </c>
      <c r="C446" s="24">
        <f>VLOOKUP(B446,Elements!$A$2:$B$435,2,0)</f>
        <v>281</v>
      </c>
      <c r="D446">
        <v>5</v>
      </c>
      <c r="E446" t="str">
        <f>VLOOKUP(D446,Categories!$A$2:$B$8,2,0)</f>
        <v>SA</v>
      </c>
      <c r="F446">
        <v>21</v>
      </c>
      <c r="G446" t="str">
        <f>VLOOKUP(F446,Subcategories!$A$2:$B$29,2,0)</f>
        <v>Function Support</v>
      </c>
      <c r="H446" t="str">
        <f t="shared" si="6"/>
        <v>5-21-281</v>
      </c>
      <c r="I446">
        <f>VLOOKUP(H446,SuiteCatSubElem!$F$2:$G$667,2,0)</f>
        <v>445</v>
      </c>
      <c r="J446">
        <v>282</v>
      </c>
      <c r="L446">
        <v>1</v>
      </c>
      <c r="M446" s="127">
        <v>43009.000011574077</v>
      </c>
      <c r="Q446" s="94"/>
    </row>
    <row r="447" spans="1:18">
      <c r="A447">
        <v>452</v>
      </c>
      <c r="B447" s="115" t="s">
        <v>143</v>
      </c>
      <c r="C447" s="24">
        <f>VLOOKUP(B447,Elements!$A$2:$B$435,2,0)</f>
        <v>109</v>
      </c>
      <c r="D447">
        <v>5</v>
      </c>
      <c r="E447" t="str">
        <f>VLOOKUP(D447,Categories!$A$2:$B$8,2,0)</f>
        <v>SA</v>
      </c>
      <c r="F447">
        <v>21</v>
      </c>
      <c r="G447" t="str">
        <f>VLOOKUP(F447,Subcategories!$A$2:$B$29,2,0)</f>
        <v>Function Support</v>
      </c>
      <c r="H447" t="str">
        <f t="shared" si="6"/>
        <v>5-21-109</v>
      </c>
      <c r="I447">
        <f>VLOOKUP(H447,SuiteCatSubElem!$F$2:$G$667,2,0)</f>
        <v>446</v>
      </c>
      <c r="J447">
        <v>109</v>
      </c>
      <c r="L447">
        <v>1</v>
      </c>
      <c r="M447" s="127">
        <v>43009.000011574077</v>
      </c>
      <c r="Q447" s="100"/>
      <c r="R447" s="100"/>
    </row>
    <row r="448" spans="1:18">
      <c r="A448">
        <v>453</v>
      </c>
      <c r="B448" s="115" t="s">
        <v>334</v>
      </c>
      <c r="C448" s="24">
        <f>VLOOKUP(B448,Elements!$A$2:$B$435,2,0)</f>
        <v>282</v>
      </c>
      <c r="D448">
        <v>5</v>
      </c>
      <c r="E448" t="str">
        <f>VLOOKUP(D448,Categories!$A$2:$B$8,2,0)</f>
        <v>SA</v>
      </c>
      <c r="F448">
        <v>21</v>
      </c>
      <c r="G448" t="str">
        <f>VLOOKUP(F448,Subcategories!$A$2:$B$29,2,0)</f>
        <v>Function Support</v>
      </c>
      <c r="H448" t="str">
        <f t="shared" si="6"/>
        <v>5-21-282</v>
      </c>
      <c r="I448">
        <f>VLOOKUP(H448,SuiteCatSubElem!$F$2:$G$667,2,0)</f>
        <v>447</v>
      </c>
      <c r="J448">
        <v>283</v>
      </c>
      <c r="L448">
        <v>1</v>
      </c>
      <c r="M448" s="127">
        <v>43009.000011574077</v>
      </c>
      <c r="Q448" s="94"/>
    </row>
    <row r="449" spans="1:18">
      <c r="A449">
        <v>454</v>
      </c>
      <c r="B449" s="115" t="s">
        <v>163</v>
      </c>
      <c r="C449" s="24">
        <f>VLOOKUP(B449,Elements!$A$2:$B$435,2,0)</f>
        <v>128</v>
      </c>
      <c r="D449">
        <v>5</v>
      </c>
      <c r="E449" t="str">
        <f>VLOOKUP(D449,Categories!$A$2:$B$8,2,0)</f>
        <v>SA</v>
      </c>
      <c r="F449">
        <v>21</v>
      </c>
      <c r="G449" t="str">
        <f>VLOOKUP(F449,Subcategories!$A$2:$B$29,2,0)</f>
        <v>Function Support</v>
      </c>
      <c r="H449" t="str">
        <f t="shared" si="6"/>
        <v>5-21-128</v>
      </c>
      <c r="I449">
        <f>VLOOKUP(H449,SuiteCatSubElem!$F$2:$G$667,2,0)</f>
        <v>448</v>
      </c>
      <c r="J449">
        <v>456</v>
      </c>
      <c r="L449">
        <v>1</v>
      </c>
      <c r="M449" s="127">
        <v>43009.000011574077</v>
      </c>
      <c r="Q449" s="94"/>
    </row>
    <row r="450" spans="1:18">
      <c r="A450">
        <v>455</v>
      </c>
      <c r="B450" s="115" t="s">
        <v>185</v>
      </c>
      <c r="C450" s="24">
        <f>VLOOKUP(B450,Elements!$A$2:$B$435,2,0)</f>
        <v>149</v>
      </c>
      <c r="D450">
        <v>5</v>
      </c>
      <c r="E450" t="str">
        <f>VLOOKUP(D450,Categories!$A$2:$B$8,2,0)</f>
        <v>SA</v>
      </c>
      <c r="F450">
        <v>21</v>
      </c>
      <c r="G450" t="str">
        <f>VLOOKUP(F450,Subcategories!$A$2:$B$29,2,0)</f>
        <v>Function Support</v>
      </c>
      <c r="H450" t="str">
        <f t="shared" ref="H450:H513" si="7">_xlfn.CONCAT(D450,"-",F450,"-",C450)</f>
        <v>5-21-149</v>
      </c>
      <c r="I450">
        <f>VLOOKUP(H450,SuiteCatSubElem!$F$2:$G$667,2,0)</f>
        <v>449</v>
      </c>
      <c r="J450">
        <v>458</v>
      </c>
      <c r="L450">
        <v>1</v>
      </c>
      <c r="M450" s="127">
        <v>43009.000011574077</v>
      </c>
      <c r="Q450" s="94"/>
    </row>
    <row r="451" spans="1:18">
      <c r="A451">
        <v>456</v>
      </c>
      <c r="B451" s="115" t="s">
        <v>256</v>
      </c>
      <c r="C451" s="24">
        <f>VLOOKUP(B451,Elements!$A$2:$B$435,2,0)</f>
        <v>213</v>
      </c>
      <c r="D451">
        <v>5</v>
      </c>
      <c r="E451" t="str">
        <f>VLOOKUP(D451,Categories!$A$2:$B$8,2,0)</f>
        <v>SA</v>
      </c>
      <c r="F451">
        <v>21</v>
      </c>
      <c r="G451" t="str">
        <f>VLOOKUP(F451,Subcategories!$A$2:$B$29,2,0)</f>
        <v>Function Support</v>
      </c>
      <c r="H451" t="str">
        <f t="shared" si="7"/>
        <v>5-21-213</v>
      </c>
      <c r="I451">
        <f>VLOOKUP(H451,SuiteCatSubElem!$F$2:$G$667,2,0)</f>
        <v>450</v>
      </c>
      <c r="J451">
        <v>459</v>
      </c>
      <c r="L451">
        <v>1</v>
      </c>
      <c r="M451" s="127">
        <v>43009.000011574077</v>
      </c>
      <c r="Q451" s="94"/>
    </row>
    <row r="452" spans="1:18">
      <c r="A452">
        <v>457</v>
      </c>
      <c r="B452" s="115" t="s">
        <v>335</v>
      </c>
      <c r="C452" s="24">
        <f>VLOOKUP(B452,Elements!$A$2:$B$435,2,0)</f>
        <v>283</v>
      </c>
      <c r="D452">
        <v>5</v>
      </c>
      <c r="E452" t="str">
        <f>VLOOKUP(D452,Categories!$A$2:$B$8,2,0)</f>
        <v>SA</v>
      </c>
      <c r="F452">
        <v>21</v>
      </c>
      <c r="G452" t="str">
        <f>VLOOKUP(F452,Subcategories!$A$2:$B$29,2,0)</f>
        <v>Function Support</v>
      </c>
      <c r="H452" t="str">
        <f t="shared" si="7"/>
        <v>5-21-283</v>
      </c>
      <c r="I452">
        <f>VLOOKUP(H452,SuiteCatSubElem!$F$2:$G$667,2,0)</f>
        <v>451</v>
      </c>
      <c r="J452">
        <v>284</v>
      </c>
      <c r="L452">
        <v>1</v>
      </c>
      <c r="M452" s="127">
        <v>43009.000011574077</v>
      </c>
      <c r="Q452" s="94"/>
    </row>
    <row r="453" spans="1:18">
      <c r="A453">
        <v>458</v>
      </c>
      <c r="B453" s="115" t="s">
        <v>147</v>
      </c>
      <c r="C453" s="24">
        <f>VLOOKUP(B453,Elements!$A$2:$B$435,2,0)</f>
        <v>112</v>
      </c>
      <c r="D453">
        <v>5</v>
      </c>
      <c r="E453" t="str">
        <f>VLOOKUP(D453,Categories!$A$2:$B$8,2,0)</f>
        <v>SA</v>
      </c>
      <c r="F453">
        <v>21</v>
      </c>
      <c r="G453" t="str">
        <f>VLOOKUP(F453,Subcategories!$A$2:$B$29,2,0)</f>
        <v>Function Support</v>
      </c>
      <c r="H453" t="str">
        <f t="shared" si="7"/>
        <v>5-21-112</v>
      </c>
      <c r="I453">
        <f>VLOOKUP(H453,SuiteCatSubElem!$F$2:$G$667,2,0)</f>
        <v>452</v>
      </c>
      <c r="J453">
        <v>112</v>
      </c>
      <c r="L453">
        <v>1</v>
      </c>
      <c r="M453" s="127">
        <v>43009.000011574077</v>
      </c>
      <c r="Q453" s="94"/>
      <c r="R453" s="100"/>
    </row>
    <row r="454" spans="1:18">
      <c r="A454">
        <v>459</v>
      </c>
      <c r="B454" s="115" t="s">
        <v>336</v>
      </c>
      <c r="C454" s="24">
        <f>VLOOKUP(B454,Elements!$A$2:$B$435,2,0)</f>
        <v>284</v>
      </c>
      <c r="D454">
        <v>5</v>
      </c>
      <c r="E454" t="str">
        <f>VLOOKUP(D454,Categories!$A$2:$B$8,2,0)</f>
        <v>SA</v>
      </c>
      <c r="F454">
        <v>21</v>
      </c>
      <c r="G454" t="str">
        <f>VLOOKUP(F454,Subcategories!$A$2:$B$29,2,0)</f>
        <v>Function Support</v>
      </c>
      <c r="H454" t="str">
        <f t="shared" si="7"/>
        <v>5-21-284</v>
      </c>
      <c r="I454">
        <f>VLOOKUP(H454,SuiteCatSubElem!$F$2:$G$667,2,0)</f>
        <v>453</v>
      </c>
      <c r="J454">
        <v>285</v>
      </c>
      <c r="L454">
        <v>1</v>
      </c>
      <c r="M454" s="127">
        <v>43009.000011574077</v>
      </c>
      <c r="Q454" s="94"/>
    </row>
    <row r="455" spans="1:18">
      <c r="A455">
        <v>460</v>
      </c>
      <c r="B455" s="115" t="s">
        <v>337</v>
      </c>
      <c r="C455" s="24">
        <f>VLOOKUP(B455,Elements!$A$2:$B$435,2,0)</f>
        <v>285</v>
      </c>
      <c r="D455">
        <v>5</v>
      </c>
      <c r="E455" t="str">
        <f>VLOOKUP(D455,Categories!$A$2:$B$8,2,0)</f>
        <v>SA</v>
      </c>
      <c r="F455">
        <v>21</v>
      </c>
      <c r="G455" t="str">
        <f>VLOOKUP(F455,Subcategories!$A$2:$B$29,2,0)</f>
        <v>Function Support</v>
      </c>
      <c r="H455" t="str">
        <f t="shared" si="7"/>
        <v>5-21-285</v>
      </c>
      <c r="I455">
        <f>VLOOKUP(H455,SuiteCatSubElem!$F$2:$G$667,2,0)</f>
        <v>454</v>
      </c>
      <c r="J455">
        <v>286</v>
      </c>
      <c r="L455">
        <v>1</v>
      </c>
      <c r="M455" s="127">
        <v>43009.000011574077</v>
      </c>
      <c r="Q455" s="94"/>
    </row>
    <row r="456" spans="1:18" ht="30">
      <c r="A456">
        <v>461</v>
      </c>
      <c r="B456" s="115" t="s">
        <v>338</v>
      </c>
      <c r="C456" s="24">
        <f>VLOOKUP(B456,Elements!$A$2:$B$435,2,0)</f>
        <v>286</v>
      </c>
      <c r="D456">
        <v>5</v>
      </c>
      <c r="E456" t="str">
        <f>VLOOKUP(D456,Categories!$A$2:$B$8,2,0)</f>
        <v>SA</v>
      </c>
      <c r="F456">
        <v>21</v>
      </c>
      <c r="G456" t="str">
        <f>VLOOKUP(F456,Subcategories!$A$2:$B$29,2,0)</f>
        <v>Function Support</v>
      </c>
      <c r="H456" t="str">
        <f t="shared" si="7"/>
        <v>5-21-286</v>
      </c>
      <c r="I456">
        <f>VLOOKUP(H456,SuiteCatSubElem!$F$2:$G$667,2,0)</f>
        <v>455</v>
      </c>
      <c r="J456">
        <v>287</v>
      </c>
      <c r="L456">
        <v>1</v>
      </c>
      <c r="M456" s="127">
        <v>43009.000011574077</v>
      </c>
      <c r="Q456" s="94"/>
    </row>
    <row r="457" spans="1:18">
      <c r="A457">
        <v>462</v>
      </c>
      <c r="B457" s="115" t="s">
        <v>339</v>
      </c>
      <c r="C457" s="24">
        <f>VLOOKUP(B457,Elements!$A$2:$B$435,2,0)</f>
        <v>287</v>
      </c>
      <c r="D457">
        <v>5</v>
      </c>
      <c r="E457" t="str">
        <f>VLOOKUP(D457,Categories!$A$2:$B$8,2,0)</f>
        <v>SA</v>
      </c>
      <c r="F457">
        <v>21</v>
      </c>
      <c r="G457" t="str">
        <f>VLOOKUP(F457,Subcategories!$A$2:$B$29,2,0)</f>
        <v>Function Support</v>
      </c>
      <c r="H457" t="str">
        <f t="shared" si="7"/>
        <v>5-21-287</v>
      </c>
      <c r="I457">
        <f>VLOOKUP(H457,SuiteCatSubElem!$F$2:$G$667,2,0)</f>
        <v>456</v>
      </c>
      <c r="J457">
        <v>288</v>
      </c>
      <c r="L457">
        <v>1</v>
      </c>
      <c r="M457" s="127">
        <v>43009.000011574077</v>
      </c>
      <c r="Q457" s="94"/>
    </row>
    <row r="458" spans="1:18" ht="30">
      <c r="A458">
        <v>463</v>
      </c>
      <c r="B458" s="115" t="s">
        <v>340</v>
      </c>
      <c r="C458" s="24">
        <f>VLOOKUP(B458,Elements!$A$2:$B$435,2,0)</f>
        <v>288</v>
      </c>
      <c r="D458">
        <v>5</v>
      </c>
      <c r="E458" t="str">
        <f>VLOOKUP(D458,Categories!$A$2:$B$8,2,0)</f>
        <v>SA</v>
      </c>
      <c r="F458">
        <v>21</v>
      </c>
      <c r="G458" t="str">
        <f>VLOOKUP(F458,Subcategories!$A$2:$B$29,2,0)</f>
        <v>Function Support</v>
      </c>
      <c r="H458" t="str">
        <f t="shared" si="7"/>
        <v>5-21-288</v>
      </c>
      <c r="I458">
        <f>VLOOKUP(H458,SuiteCatSubElem!$F$2:$G$667,2,0)</f>
        <v>457</v>
      </c>
      <c r="J458">
        <v>289</v>
      </c>
      <c r="L458">
        <v>1</v>
      </c>
      <c r="M458" s="127">
        <v>43009.000011574077</v>
      </c>
      <c r="Q458" s="94"/>
    </row>
    <row r="459" spans="1:18" ht="30">
      <c r="A459">
        <v>464</v>
      </c>
      <c r="B459" s="115" t="s">
        <v>341</v>
      </c>
      <c r="C459" s="24">
        <f>VLOOKUP(B459,Elements!$A$2:$B$435,2,0)</f>
        <v>289</v>
      </c>
      <c r="D459">
        <v>5</v>
      </c>
      <c r="E459" t="str">
        <f>VLOOKUP(D459,Categories!$A$2:$B$8,2,0)</f>
        <v>SA</v>
      </c>
      <c r="F459">
        <v>21</v>
      </c>
      <c r="G459" t="str">
        <f>VLOOKUP(F459,Subcategories!$A$2:$B$29,2,0)</f>
        <v>Function Support</v>
      </c>
      <c r="H459" t="str">
        <f t="shared" si="7"/>
        <v>5-21-289</v>
      </c>
      <c r="I459">
        <f>VLOOKUP(H459,SuiteCatSubElem!$F$2:$G$667,2,0)</f>
        <v>458</v>
      </c>
      <c r="J459">
        <v>290</v>
      </c>
      <c r="L459">
        <v>1</v>
      </c>
      <c r="M459" s="127">
        <v>43009.000011574077</v>
      </c>
      <c r="Q459" s="94"/>
    </row>
    <row r="460" spans="1:18">
      <c r="A460">
        <v>465</v>
      </c>
      <c r="B460" s="115" t="s">
        <v>342</v>
      </c>
      <c r="C460" s="24">
        <f>VLOOKUP(B460,Elements!$A$2:$B$435,2,0)</f>
        <v>290</v>
      </c>
      <c r="D460">
        <v>5</v>
      </c>
      <c r="E460" t="str">
        <f>VLOOKUP(D460,Categories!$A$2:$B$8,2,0)</f>
        <v>SA</v>
      </c>
      <c r="F460">
        <v>21</v>
      </c>
      <c r="G460" t="str">
        <f>VLOOKUP(F460,Subcategories!$A$2:$B$29,2,0)</f>
        <v>Function Support</v>
      </c>
      <c r="H460" t="str">
        <f t="shared" si="7"/>
        <v>5-21-290</v>
      </c>
      <c r="I460">
        <f>VLOOKUP(H460,SuiteCatSubElem!$F$2:$G$667,2,0)</f>
        <v>459</v>
      </c>
      <c r="J460">
        <v>291</v>
      </c>
      <c r="L460">
        <v>1</v>
      </c>
      <c r="M460" s="127">
        <v>43009.000011574077</v>
      </c>
      <c r="Q460" s="94"/>
    </row>
    <row r="461" spans="1:18" ht="30">
      <c r="A461">
        <v>466</v>
      </c>
      <c r="B461" s="115" t="s">
        <v>343</v>
      </c>
      <c r="C461" s="24">
        <f>VLOOKUP(B461,Elements!$A$2:$B$435,2,0)</f>
        <v>291</v>
      </c>
      <c r="D461">
        <v>5</v>
      </c>
      <c r="E461" t="str">
        <f>VLOOKUP(D461,Categories!$A$2:$B$8,2,0)</f>
        <v>SA</v>
      </c>
      <c r="F461">
        <v>21</v>
      </c>
      <c r="G461" t="str">
        <f>VLOOKUP(F461,Subcategories!$A$2:$B$29,2,0)</f>
        <v>Function Support</v>
      </c>
      <c r="H461" t="str">
        <f t="shared" si="7"/>
        <v>5-21-291</v>
      </c>
      <c r="I461">
        <f>VLOOKUP(H461,SuiteCatSubElem!$F$2:$G$667,2,0)</f>
        <v>460</v>
      </c>
      <c r="J461">
        <v>292</v>
      </c>
      <c r="L461">
        <v>1</v>
      </c>
      <c r="M461" s="127">
        <v>43009.000011574077</v>
      </c>
      <c r="Q461" s="94"/>
    </row>
    <row r="462" spans="1:18">
      <c r="A462">
        <v>467</v>
      </c>
      <c r="B462" s="115" t="s">
        <v>344</v>
      </c>
      <c r="C462" s="24">
        <f>VLOOKUP(B462,Elements!$A$2:$B$435,2,0)</f>
        <v>292</v>
      </c>
      <c r="D462">
        <v>5</v>
      </c>
      <c r="E462" t="str">
        <f>VLOOKUP(D462,Categories!$A$2:$B$8,2,0)</f>
        <v>SA</v>
      </c>
      <c r="F462">
        <v>21</v>
      </c>
      <c r="G462" t="str">
        <f>VLOOKUP(F462,Subcategories!$A$2:$B$29,2,0)</f>
        <v>Function Support</v>
      </c>
      <c r="H462" t="str">
        <f t="shared" si="7"/>
        <v>5-21-292</v>
      </c>
      <c r="I462">
        <f>VLOOKUP(H462,SuiteCatSubElem!$F$2:$G$667,2,0)</f>
        <v>461</v>
      </c>
      <c r="J462">
        <v>293</v>
      </c>
      <c r="L462">
        <v>1</v>
      </c>
      <c r="M462" s="127">
        <v>43009.000011574077</v>
      </c>
      <c r="Q462" s="94"/>
    </row>
    <row r="463" spans="1:18">
      <c r="A463">
        <v>468</v>
      </c>
      <c r="B463" s="115" t="s">
        <v>345</v>
      </c>
      <c r="C463" s="24">
        <f>VLOOKUP(B463,Elements!$A$2:$B$435,2,0)</f>
        <v>293</v>
      </c>
      <c r="D463">
        <v>5</v>
      </c>
      <c r="E463" t="str">
        <f>VLOOKUP(D463,Categories!$A$2:$B$8,2,0)</f>
        <v>SA</v>
      </c>
      <c r="F463">
        <v>21</v>
      </c>
      <c r="G463" t="str">
        <f>VLOOKUP(F463,Subcategories!$A$2:$B$29,2,0)</f>
        <v>Function Support</v>
      </c>
      <c r="H463" t="str">
        <f t="shared" si="7"/>
        <v>5-21-293</v>
      </c>
      <c r="I463">
        <f>VLOOKUP(H463,SuiteCatSubElem!$F$2:$G$667,2,0)</f>
        <v>462</v>
      </c>
      <c r="J463">
        <v>294</v>
      </c>
      <c r="L463">
        <v>1</v>
      </c>
      <c r="M463" s="127">
        <v>43009.000011574077</v>
      </c>
      <c r="Q463" s="94"/>
    </row>
    <row r="464" spans="1:18">
      <c r="A464">
        <v>469</v>
      </c>
      <c r="B464" s="115" t="s">
        <v>346</v>
      </c>
      <c r="C464" s="24">
        <f>VLOOKUP(B464,Elements!$A$2:$B$435,2,0)</f>
        <v>294</v>
      </c>
      <c r="D464">
        <v>5</v>
      </c>
      <c r="E464" t="str">
        <f>VLOOKUP(D464,Categories!$A$2:$B$8,2,0)</f>
        <v>SA</v>
      </c>
      <c r="F464">
        <v>21</v>
      </c>
      <c r="G464" t="str">
        <f>VLOOKUP(F464,Subcategories!$A$2:$B$29,2,0)</f>
        <v>Function Support</v>
      </c>
      <c r="H464" t="str">
        <f t="shared" si="7"/>
        <v>5-21-294</v>
      </c>
      <c r="I464">
        <f>VLOOKUP(H464,SuiteCatSubElem!$F$2:$G$667,2,0)</f>
        <v>463</v>
      </c>
      <c r="J464">
        <v>295</v>
      </c>
      <c r="L464">
        <v>1</v>
      </c>
      <c r="M464" s="127">
        <v>43009.000011574077</v>
      </c>
      <c r="Q464" s="94"/>
    </row>
    <row r="465" spans="1:18" ht="30">
      <c r="A465">
        <v>470</v>
      </c>
      <c r="B465" s="115" t="s">
        <v>347</v>
      </c>
      <c r="C465" s="24">
        <f>VLOOKUP(B465,Elements!$A$2:$B$435,2,0)</f>
        <v>295</v>
      </c>
      <c r="D465">
        <v>5</v>
      </c>
      <c r="E465" t="str">
        <f>VLOOKUP(D465,Categories!$A$2:$B$8,2,0)</f>
        <v>SA</v>
      </c>
      <c r="F465">
        <v>21</v>
      </c>
      <c r="G465" t="str">
        <f>VLOOKUP(F465,Subcategories!$A$2:$B$29,2,0)</f>
        <v>Function Support</v>
      </c>
      <c r="H465" t="str">
        <f t="shared" si="7"/>
        <v>5-21-295</v>
      </c>
      <c r="I465">
        <f>VLOOKUP(H465,SuiteCatSubElem!$F$2:$G$667,2,0)</f>
        <v>464</v>
      </c>
      <c r="J465">
        <v>296</v>
      </c>
      <c r="L465">
        <v>1</v>
      </c>
      <c r="M465" s="127">
        <v>43009.000011574077</v>
      </c>
      <c r="Q465" s="94"/>
    </row>
    <row r="466" spans="1:18" ht="30">
      <c r="A466">
        <v>471</v>
      </c>
      <c r="B466" s="115" t="s">
        <v>348</v>
      </c>
      <c r="C466" s="24">
        <f>VLOOKUP(B466,Elements!$A$2:$B$435,2,0)</f>
        <v>296</v>
      </c>
      <c r="D466">
        <v>5</v>
      </c>
      <c r="E466" t="str">
        <f>VLOOKUP(D466,Categories!$A$2:$B$8,2,0)</f>
        <v>SA</v>
      </c>
      <c r="F466">
        <v>21</v>
      </c>
      <c r="G466" t="str">
        <f>VLOOKUP(F466,Subcategories!$A$2:$B$29,2,0)</f>
        <v>Function Support</v>
      </c>
      <c r="H466" t="str">
        <f t="shared" si="7"/>
        <v>5-21-296</v>
      </c>
      <c r="I466">
        <f>VLOOKUP(H466,SuiteCatSubElem!$F$2:$G$667,2,0)</f>
        <v>465</v>
      </c>
      <c r="J466">
        <v>297</v>
      </c>
      <c r="L466">
        <v>1</v>
      </c>
      <c r="M466" s="127">
        <v>43009.000011574077</v>
      </c>
      <c r="Q466" s="94"/>
    </row>
    <row r="467" spans="1:18" ht="30">
      <c r="A467">
        <v>472</v>
      </c>
      <c r="B467" s="115" t="s">
        <v>349</v>
      </c>
      <c r="C467" s="24">
        <f>VLOOKUP(B467,Elements!$A$2:$B$435,2,0)</f>
        <v>297</v>
      </c>
      <c r="D467">
        <v>5</v>
      </c>
      <c r="E467" t="str">
        <f>VLOOKUP(D467,Categories!$A$2:$B$8,2,0)</f>
        <v>SA</v>
      </c>
      <c r="F467">
        <v>21</v>
      </c>
      <c r="G467" t="str">
        <f>VLOOKUP(F467,Subcategories!$A$2:$B$29,2,0)</f>
        <v>Function Support</v>
      </c>
      <c r="H467" t="str">
        <f t="shared" si="7"/>
        <v>5-21-297</v>
      </c>
      <c r="I467">
        <f>VLOOKUP(H467,SuiteCatSubElem!$F$2:$G$667,2,0)</f>
        <v>466</v>
      </c>
      <c r="J467">
        <v>298</v>
      </c>
      <c r="L467">
        <v>1</v>
      </c>
      <c r="M467" s="127">
        <v>43009.000011574077</v>
      </c>
      <c r="Q467" s="94"/>
    </row>
    <row r="468" spans="1:18">
      <c r="A468">
        <v>473</v>
      </c>
      <c r="B468" s="115" t="s">
        <v>350</v>
      </c>
      <c r="C468" s="24">
        <f>VLOOKUP(B468,Elements!$A$2:$B$435,2,0)</f>
        <v>298</v>
      </c>
      <c r="D468">
        <v>5</v>
      </c>
      <c r="E468" t="str">
        <f>VLOOKUP(D468,Categories!$A$2:$B$8,2,0)</f>
        <v>SA</v>
      </c>
      <c r="F468">
        <v>7</v>
      </c>
      <c r="G468" t="str">
        <f>VLOOKUP(F468,Subcategories!$A$2:$B$29,2,0)</f>
        <v>Technology</v>
      </c>
      <c r="H468" t="str">
        <f t="shared" si="7"/>
        <v>5-7-298</v>
      </c>
      <c r="I468">
        <f>VLOOKUP(H468,SuiteCatSubElem!$F$2:$G$667,2,0)</f>
        <v>467</v>
      </c>
      <c r="J468">
        <v>299</v>
      </c>
      <c r="L468">
        <v>1</v>
      </c>
      <c r="M468" s="127">
        <v>43009.000011574077</v>
      </c>
      <c r="Q468" s="94"/>
    </row>
    <row r="469" spans="1:18">
      <c r="A469">
        <v>474</v>
      </c>
      <c r="B469" s="115" t="s">
        <v>351</v>
      </c>
      <c r="C469" s="24">
        <f>VLOOKUP(B469,Elements!$A$2:$B$435,2,0)</f>
        <v>226</v>
      </c>
      <c r="D469">
        <v>5</v>
      </c>
      <c r="E469" t="str">
        <f>VLOOKUP(D469,Categories!$A$2:$B$8,2,0)</f>
        <v>SA</v>
      </c>
      <c r="F469">
        <v>7</v>
      </c>
      <c r="G469" t="str">
        <f>VLOOKUP(F469,Subcategories!$A$2:$B$29,2,0)</f>
        <v>Technology</v>
      </c>
      <c r="H469" t="str">
        <f t="shared" si="7"/>
        <v>5-7-226</v>
      </c>
      <c r="I469">
        <f>VLOOKUP(H469,SuiteCatSubElem!$F$2:$G$667,2,0)</f>
        <v>468</v>
      </c>
      <c r="J469">
        <v>226</v>
      </c>
      <c r="L469">
        <v>1</v>
      </c>
      <c r="M469" s="127">
        <v>43009.000011574077</v>
      </c>
      <c r="Q469" s="100"/>
      <c r="R469" s="100"/>
    </row>
    <row r="470" spans="1:18">
      <c r="A470">
        <v>475</v>
      </c>
      <c r="B470" s="115" t="s">
        <v>47</v>
      </c>
      <c r="C470" s="24">
        <f>VLOOKUP(B470,Elements!$A$2:$B$435,2,0)</f>
        <v>10</v>
      </c>
      <c r="D470">
        <v>5</v>
      </c>
      <c r="E470" t="str">
        <f>VLOOKUP(D470,Categories!$A$2:$B$8,2,0)</f>
        <v>SA</v>
      </c>
      <c r="F470">
        <v>7</v>
      </c>
      <c r="G470" t="str">
        <f>VLOOKUP(F470,Subcategories!$A$2:$B$29,2,0)</f>
        <v>Technology</v>
      </c>
      <c r="H470" t="str">
        <f t="shared" si="7"/>
        <v>5-7-10</v>
      </c>
      <c r="I470">
        <f>VLOOKUP(H470,SuiteCatSubElem!$F$2:$G$667,2,0)</f>
        <v>469</v>
      </c>
      <c r="J470">
        <v>10</v>
      </c>
      <c r="L470">
        <v>1</v>
      </c>
      <c r="M470" s="127">
        <v>43009.000011574077</v>
      </c>
      <c r="Q470" s="46"/>
      <c r="R470" s="100"/>
    </row>
    <row r="471" spans="1:18">
      <c r="A471">
        <v>476</v>
      </c>
      <c r="B471" s="115" t="s">
        <v>352</v>
      </c>
      <c r="C471" s="24">
        <f>VLOOKUP(B471,Elements!$A$2:$B$435,2,0)</f>
        <v>299</v>
      </c>
      <c r="D471">
        <v>5</v>
      </c>
      <c r="E471" t="str">
        <f>VLOOKUP(D471,Categories!$A$2:$B$8,2,0)</f>
        <v>SA</v>
      </c>
      <c r="F471">
        <v>7</v>
      </c>
      <c r="G471" t="str">
        <f>VLOOKUP(F471,Subcategories!$A$2:$B$29,2,0)</f>
        <v>Technology</v>
      </c>
      <c r="H471" t="str">
        <f t="shared" si="7"/>
        <v>5-7-299</v>
      </c>
      <c r="I471">
        <f>VLOOKUP(H471,SuiteCatSubElem!$F$2:$G$667,2,0)</f>
        <v>470</v>
      </c>
      <c r="J471">
        <v>300</v>
      </c>
      <c r="L471">
        <v>1</v>
      </c>
      <c r="M471" s="127">
        <v>43009.000011574077</v>
      </c>
      <c r="Q471" s="94"/>
    </row>
    <row r="472" spans="1:18">
      <c r="A472">
        <v>477</v>
      </c>
      <c r="B472" s="115" t="s">
        <v>353</v>
      </c>
      <c r="C472" s="24">
        <f>VLOOKUP(B472,Elements!$A$2:$B$435,2,0)</f>
        <v>73</v>
      </c>
      <c r="D472">
        <v>5</v>
      </c>
      <c r="E472" t="str">
        <f>VLOOKUP(D472,Categories!$A$2:$B$8,2,0)</f>
        <v>SA</v>
      </c>
      <c r="F472">
        <v>7</v>
      </c>
      <c r="G472" t="str">
        <f>VLOOKUP(F472,Subcategories!$A$2:$B$29,2,0)</f>
        <v>Technology</v>
      </c>
      <c r="H472" t="str">
        <f t="shared" si="7"/>
        <v>5-7-73</v>
      </c>
      <c r="I472">
        <f>VLOOKUP(H472,SuiteCatSubElem!$F$2:$G$667,2,0)</f>
        <v>471</v>
      </c>
      <c r="J472">
        <v>445</v>
      </c>
      <c r="L472">
        <v>1</v>
      </c>
      <c r="M472" s="127">
        <v>43009.000011574077</v>
      </c>
      <c r="Q472" s="94"/>
    </row>
    <row r="473" spans="1:18">
      <c r="A473">
        <v>478</v>
      </c>
      <c r="B473" s="115" t="s">
        <v>354</v>
      </c>
      <c r="C473" s="24">
        <f>VLOOKUP(B473,Elements!$A$2:$B$435,2,0)</f>
        <v>74</v>
      </c>
      <c r="D473">
        <v>5</v>
      </c>
      <c r="E473" t="str">
        <f>VLOOKUP(D473,Categories!$A$2:$B$8,2,0)</f>
        <v>SA</v>
      </c>
      <c r="F473">
        <v>7</v>
      </c>
      <c r="G473" t="str">
        <f>VLOOKUP(F473,Subcategories!$A$2:$B$29,2,0)</f>
        <v>Technology</v>
      </c>
      <c r="H473" t="str">
        <f t="shared" si="7"/>
        <v>5-7-74</v>
      </c>
      <c r="I473">
        <f>VLOOKUP(H473,SuiteCatSubElem!$F$2:$G$667,2,0)</f>
        <v>472</v>
      </c>
      <c r="J473">
        <v>74</v>
      </c>
      <c r="L473">
        <v>1</v>
      </c>
      <c r="M473" s="127">
        <v>43009.000011574077</v>
      </c>
      <c r="Q473" s="45"/>
    </row>
    <row r="474" spans="1:18">
      <c r="A474">
        <v>479</v>
      </c>
      <c r="B474" s="115" t="s">
        <v>355</v>
      </c>
      <c r="C474" s="24">
        <f>VLOOKUP(B474,Elements!$A$2:$B$435,2,0)</f>
        <v>75</v>
      </c>
      <c r="D474">
        <v>5</v>
      </c>
      <c r="E474" t="str">
        <f>VLOOKUP(D474,Categories!$A$2:$B$8,2,0)</f>
        <v>SA</v>
      </c>
      <c r="F474">
        <v>7</v>
      </c>
      <c r="G474" t="str">
        <f>VLOOKUP(F474,Subcategories!$A$2:$B$29,2,0)</f>
        <v>Technology</v>
      </c>
      <c r="H474" t="str">
        <f t="shared" si="7"/>
        <v>5-7-75</v>
      </c>
      <c r="I474">
        <f>VLOOKUP(H474,SuiteCatSubElem!$F$2:$G$667,2,0)</f>
        <v>473</v>
      </c>
      <c r="J474">
        <v>75</v>
      </c>
      <c r="L474">
        <v>1</v>
      </c>
      <c r="M474" s="127">
        <v>43009.000011574077</v>
      </c>
      <c r="Q474" s="45"/>
    </row>
    <row r="475" spans="1:18" ht="30">
      <c r="A475">
        <v>480</v>
      </c>
      <c r="B475" s="115" t="s">
        <v>356</v>
      </c>
      <c r="C475" s="24">
        <f>VLOOKUP(B475,Elements!$A$2:$B$435,2,0)</f>
        <v>300</v>
      </c>
      <c r="D475" s="47">
        <v>5</v>
      </c>
      <c r="E475" t="str">
        <f>VLOOKUP(D475,Categories!$A$2:$B$8,2,0)</f>
        <v>SA</v>
      </c>
      <c r="F475">
        <v>7</v>
      </c>
      <c r="G475" t="str">
        <f>VLOOKUP(F475,Subcategories!$A$2:$B$29,2,0)</f>
        <v>Technology</v>
      </c>
      <c r="H475" t="str">
        <f t="shared" si="7"/>
        <v>5-7-300</v>
      </c>
      <c r="I475">
        <f>VLOOKUP(H475,SuiteCatSubElem!$F$2:$G$667,2,0)</f>
        <v>474</v>
      </c>
      <c r="J475">
        <v>301</v>
      </c>
      <c r="K475" s="47"/>
      <c r="L475">
        <v>1</v>
      </c>
      <c r="M475" s="127">
        <v>43009.000011574077</v>
      </c>
      <c r="Q475" s="92"/>
      <c r="R475" s="99"/>
    </row>
    <row r="476" spans="1:18">
      <c r="A476">
        <v>481</v>
      </c>
      <c r="B476" s="115" t="s">
        <v>357</v>
      </c>
      <c r="C476" s="24">
        <f>VLOOKUP(B476,Elements!$A$2:$B$435,2,0)</f>
        <v>301</v>
      </c>
      <c r="D476" s="47">
        <v>5</v>
      </c>
      <c r="E476" t="str">
        <f>VLOOKUP(D476,Categories!$A$2:$B$8,2,0)</f>
        <v>SA</v>
      </c>
      <c r="F476">
        <v>7</v>
      </c>
      <c r="G476" t="str">
        <f>VLOOKUP(F476,Subcategories!$A$2:$B$29,2,0)</f>
        <v>Technology</v>
      </c>
      <c r="H476" t="str">
        <f t="shared" si="7"/>
        <v>5-7-301</v>
      </c>
      <c r="I476">
        <f>VLOOKUP(H476,SuiteCatSubElem!$F$2:$G$667,2,0)</f>
        <v>475</v>
      </c>
      <c r="J476">
        <v>302</v>
      </c>
      <c r="K476" s="47"/>
      <c r="L476">
        <v>1</v>
      </c>
      <c r="M476" s="127">
        <v>43009.000011574077</v>
      </c>
      <c r="Q476" s="94"/>
      <c r="R476" s="99"/>
    </row>
    <row r="477" spans="1:18">
      <c r="A477">
        <v>482</v>
      </c>
      <c r="B477" s="115" t="s">
        <v>112</v>
      </c>
      <c r="C477" s="24">
        <f>VLOOKUP(B477,Elements!$A$2:$B$435,2,0)</f>
        <v>78</v>
      </c>
      <c r="D477">
        <v>5</v>
      </c>
      <c r="E477" t="str">
        <f>VLOOKUP(D477,Categories!$A$2:$B$8,2,0)</f>
        <v>SA</v>
      </c>
      <c r="F477">
        <v>7</v>
      </c>
      <c r="G477" t="str">
        <f>VLOOKUP(F477,Subcategories!$A$2:$B$29,2,0)</f>
        <v>Technology</v>
      </c>
      <c r="H477" t="str">
        <f t="shared" si="7"/>
        <v>5-7-78</v>
      </c>
      <c r="I477">
        <f>VLOOKUP(H477,SuiteCatSubElem!$F$2:$G$667,2,0)</f>
        <v>476</v>
      </c>
      <c r="J477">
        <v>446</v>
      </c>
      <c r="L477">
        <v>1</v>
      </c>
      <c r="M477" s="127">
        <v>43009.000011574077</v>
      </c>
      <c r="Q477" s="94"/>
    </row>
    <row r="478" spans="1:18">
      <c r="A478">
        <v>483</v>
      </c>
      <c r="B478" s="115" t="s">
        <v>114</v>
      </c>
      <c r="C478" s="24">
        <f>VLOOKUP(B478,Elements!$A$2:$B$435,2,0)</f>
        <v>80</v>
      </c>
      <c r="D478">
        <v>5</v>
      </c>
      <c r="E478" t="str">
        <f>VLOOKUP(D478,Categories!$A$2:$B$8,2,0)</f>
        <v>SA</v>
      </c>
      <c r="F478">
        <v>7</v>
      </c>
      <c r="G478" t="str">
        <f>VLOOKUP(F478,Subcategories!$A$2:$B$29,2,0)</f>
        <v>Technology</v>
      </c>
      <c r="H478" t="str">
        <f t="shared" si="7"/>
        <v>5-7-80</v>
      </c>
      <c r="I478">
        <f>VLOOKUP(H478,SuiteCatSubElem!$F$2:$G$667,2,0)</f>
        <v>477</v>
      </c>
      <c r="J478">
        <v>80</v>
      </c>
      <c r="L478">
        <v>1</v>
      </c>
      <c r="M478" s="127">
        <v>43009.000011574077</v>
      </c>
      <c r="Q478" s="45"/>
    </row>
    <row r="479" spans="1:18">
      <c r="A479">
        <v>484</v>
      </c>
      <c r="B479" s="115" t="s">
        <v>115</v>
      </c>
      <c r="C479" s="24">
        <f>VLOOKUP(B479,Elements!$A$2:$B$435,2,0)</f>
        <v>81</v>
      </c>
      <c r="D479">
        <v>5</v>
      </c>
      <c r="E479" t="str">
        <f>VLOOKUP(D479,Categories!$A$2:$B$8,2,0)</f>
        <v>SA</v>
      </c>
      <c r="F479">
        <v>7</v>
      </c>
      <c r="G479" t="str">
        <f>VLOOKUP(F479,Subcategories!$A$2:$B$29,2,0)</f>
        <v>Technology</v>
      </c>
      <c r="H479" t="str">
        <f t="shared" si="7"/>
        <v>5-7-81</v>
      </c>
      <c r="I479">
        <f>VLOOKUP(H479,SuiteCatSubElem!$F$2:$G$667,2,0)</f>
        <v>478</v>
      </c>
      <c r="J479">
        <v>81</v>
      </c>
      <c r="L479">
        <v>1</v>
      </c>
      <c r="M479" s="127">
        <v>43009.000011574077</v>
      </c>
      <c r="Q479" s="134"/>
    </row>
    <row r="480" spans="1:18">
      <c r="A480">
        <v>485</v>
      </c>
      <c r="B480" s="115" t="s">
        <v>116</v>
      </c>
      <c r="C480" s="24">
        <f>VLOOKUP(B480,Elements!$A$2:$B$435,2,0)</f>
        <v>82</v>
      </c>
      <c r="D480">
        <v>5</v>
      </c>
      <c r="E480" t="str">
        <f>VLOOKUP(D480,Categories!$A$2:$B$8,2,0)</f>
        <v>SA</v>
      </c>
      <c r="F480">
        <v>7</v>
      </c>
      <c r="G480" t="str">
        <f>VLOOKUP(F480,Subcategories!$A$2:$B$29,2,0)</f>
        <v>Technology</v>
      </c>
      <c r="H480" t="str">
        <f t="shared" si="7"/>
        <v>5-7-82</v>
      </c>
      <c r="I480">
        <f>VLOOKUP(H480,SuiteCatSubElem!$F$2:$G$667,2,0)</f>
        <v>479</v>
      </c>
      <c r="J480">
        <v>82</v>
      </c>
      <c r="L480">
        <v>1</v>
      </c>
      <c r="M480" s="127">
        <v>43009.000011574077</v>
      </c>
      <c r="Q480" s="45"/>
    </row>
    <row r="481" spans="1:18" ht="30">
      <c r="A481">
        <v>486</v>
      </c>
      <c r="B481" s="115" t="s">
        <v>358</v>
      </c>
      <c r="C481" s="24">
        <f>VLOOKUP(B481,Elements!$A$2:$B$435,2,0)</f>
        <v>302</v>
      </c>
      <c r="D481">
        <v>5</v>
      </c>
      <c r="E481" t="str">
        <f>VLOOKUP(D481,Categories!$A$2:$B$8,2,0)</f>
        <v>SA</v>
      </c>
      <c r="F481">
        <v>7</v>
      </c>
      <c r="G481" t="str">
        <f>VLOOKUP(F481,Subcategories!$A$2:$B$29,2,0)</f>
        <v>Technology</v>
      </c>
      <c r="H481" t="str">
        <f t="shared" si="7"/>
        <v>5-7-302</v>
      </c>
      <c r="I481">
        <f>VLOOKUP(H481,SuiteCatSubElem!$F$2:$G$667,2,0)</f>
        <v>480</v>
      </c>
      <c r="J481">
        <v>303</v>
      </c>
      <c r="L481">
        <v>1</v>
      </c>
      <c r="M481" s="127">
        <v>43009.000011574077</v>
      </c>
      <c r="Q481" s="94"/>
    </row>
    <row r="482" spans="1:18" ht="30">
      <c r="A482">
        <v>487</v>
      </c>
      <c r="B482" s="115" t="s">
        <v>359</v>
      </c>
      <c r="C482" s="24">
        <f>VLOOKUP(B482,Elements!$A$2:$B$435,2,0)</f>
        <v>303</v>
      </c>
      <c r="D482">
        <v>5</v>
      </c>
      <c r="E482" t="str">
        <f>VLOOKUP(D482,Categories!$A$2:$B$8,2,0)</f>
        <v>SA</v>
      </c>
      <c r="F482">
        <v>6</v>
      </c>
      <c r="G482" t="str">
        <f>VLOOKUP(F482,Subcategories!$A$2:$B$29,2,0)</f>
        <v>Configurability</v>
      </c>
      <c r="H482" t="str">
        <f t="shared" si="7"/>
        <v>5-6-303</v>
      </c>
      <c r="I482">
        <f>VLOOKUP(H482,SuiteCatSubElem!$F$2:$G$667,2,0)</f>
        <v>481</v>
      </c>
      <c r="J482">
        <v>304</v>
      </c>
      <c r="L482">
        <v>1</v>
      </c>
      <c r="M482" s="127">
        <v>43009.000011574077</v>
      </c>
      <c r="Q482" s="94"/>
    </row>
    <row r="483" spans="1:18">
      <c r="A483">
        <v>488</v>
      </c>
      <c r="B483" s="115" t="s">
        <v>360</v>
      </c>
      <c r="C483" s="24">
        <f>VLOOKUP(B483,Elements!$A$2:$B$435,2,0)</f>
        <v>304</v>
      </c>
      <c r="D483">
        <v>5</v>
      </c>
      <c r="E483" t="str">
        <f>VLOOKUP(D483,Categories!$A$2:$B$8,2,0)</f>
        <v>SA</v>
      </c>
      <c r="F483">
        <v>6</v>
      </c>
      <c r="G483" t="str">
        <f>VLOOKUP(F483,Subcategories!$A$2:$B$29,2,0)</f>
        <v>Configurability</v>
      </c>
      <c r="H483" t="str">
        <f t="shared" si="7"/>
        <v>5-6-304</v>
      </c>
      <c r="I483">
        <f>VLOOKUP(H483,SuiteCatSubElem!$F$2:$G$667,2,0)</f>
        <v>482</v>
      </c>
      <c r="J483">
        <v>305</v>
      </c>
      <c r="L483">
        <v>1</v>
      </c>
      <c r="M483" s="127">
        <v>43009.000011574077</v>
      </c>
      <c r="Q483" s="94"/>
    </row>
    <row r="484" spans="1:18">
      <c r="A484">
        <v>489</v>
      </c>
      <c r="B484" s="115" t="s">
        <v>361</v>
      </c>
      <c r="C484" s="24">
        <f>VLOOKUP(B484,Elements!$A$2:$B$435,2,0)</f>
        <v>305</v>
      </c>
      <c r="D484">
        <v>5</v>
      </c>
      <c r="E484" t="str">
        <f>VLOOKUP(D484,Categories!$A$2:$B$8,2,0)</f>
        <v>SA</v>
      </c>
      <c r="F484">
        <v>6</v>
      </c>
      <c r="G484" t="str">
        <f>VLOOKUP(F484,Subcategories!$A$2:$B$29,2,0)</f>
        <v>Configurability</v>
      </c>
      <c r="H484" t="str">
        <f t="shared" si="7"/>
        <v>5-6-305</v>
      </c>
      <c r="I484">
        <f>VLOOKUP(H484,SuiteCatSubElem!$F$2:$G$667,2,0)</f>
        <v>483</v>
      </c>
      <c r="J484">
        <v>306</v>
      </c>
      <c r="L484">
        <v>1</v>
      </c>
      <c r="M484" s="127">
        <v>43009.000011574077</v>
      </c>
      <c r="Q484" s="94"/>
    </row>
    <row r="485" spans="1:18">
      <c r="A485">
        <v>490</v>
      </c>
      <c r="B485" s="115" t="s">
        <v>362</v>
      </c>
      <c r="C485" s="24">
        <f>VLOOKUP(B485,Elements!$A$2:$B$435,2,0)</f>
        <v>65</v>
      </c>
      <c r="D485">
        <v>5</v>
      </c>
      <c r="E485" t="str">
        <f>VLOOKUP(D485,Categories!$A$2:$B$8,2,0)</f>
        <v>SA</v>
      </c>
      <c r="F485">
        <v>6</v>
      </c>
      <c r="G485" t="str">
        <f>VLOOKUP(F485,Subcategories!$A$2:$B$29,2,0)</f>
        <v>Configurability</v>
      </c>
      <c r="H485" t="str">
        <f t="shared" si="7"/>
        <v>5-6-65</v>
      </c>
      <c r="I485">
        <f>VLOOKUP(H485,SuiteCatSubElem!$F$2:$G$667,2,0)</f>
        <v>484</v>
      </c>
      <c r="J485">
        <v>441</v>
      </c>
      <c r="L485">
        <v>1</v>
      </c>
      <c r="M485" s="127">
        <v>43009.000011574077</v>
      </c>
      <c r="Q485" s="94"/>
    </row>
    <row r="486" spans="1:18">
      <c r="A486">
        <v>491</v>
      </c>
      <c r="B486" s="115" t="s">
        <v>285</v>
      </c>
      <c r="C486" s="24">
        <f>VLOOKUP(B486,Elements!$A$2:$B$435,2,0)</f>
        <v>240</v>
      </c>
      <c r="D486">
        <v>5</v>
      </c>
      <c r="E486" t="str">
        <f>VLOOKUP(D486,Categories!$A$2:$B$8,2,0)</f>
        <v>SA</v>
      </c>
      <c r="F486">
        <v>6</v>
      </c>
      <c r="G486" t="str">
        <f>VLOOKUP(F486,Subcategories!$A$2:$B$29,2,0)</f>
        <v>Configurability</v>
      </c>
      <c r="H486" t="str">
        <f t="shared" si="7"/>
        <v>5-6-240</v>
      </c>
      <c r="I486">
        <f>VLOOKUP(H486,SuiteCatSubElem!$F$2:$G$667,2,0)</f>
        <v>485</v>
      </c>
      <c r="J486">
        <v>240</v>
      </c>
      <c r="L486">
        <v>1</v>
      </c>
      <c r="M486" s="127">
        <v>43009.000011574077</v>
      </c>
      <c r="Q486" s="94"/>
      <c r="R486" s="100"/>
    </row>
    <row r="487" spans="1:18">
      <c r="A487">
        <v>492</v>
      </c>
      <c r="B487" s="115" t="s">
        <v>286</v>
      </c>
      <c r="C487" s="24">
        <f>VLOOKUP(B487,Elements!$A$2:$B$435,2,0)</f>
        <v>66</v>
      </c>
      <c r="D487">
        <v>5</v>
      </c>
      <c r="E487" t="str">
        <f>VLOOKUP(D487,Categories!$A$2:$B$8,2,0)</f>
        <v>SA</v>
      </c>
      <c r="F487">
        <v>6</v>
      </c>
      <c r="G487" t="str">
        <f>VLOOKUP(F487,Subcategories!$A$2:$B$29,2,0)</f>
        <v>Configurability</v>
      </c>
      <c r="H487" t="str">
        <f t="shared" si="7"/>
        <v>5-6-66</v>
      </c>
      <c r="I487">
        <f>VLOOKUP(H487,SuiteCatSubElem!$F$2:$G$667,2,0)</f>
        <v>486</v>
      </c>
      <c r="J487">
        <v>66</v>
      </c>
      <c r="L487">
        <v>1</v>
      </c>
      <c r="M487" s="127">
        <v>43009.000011574077</v>
      </c>
      <c r="Q487" s="45"/>
    </row>
    <row r="488" spans="1:18">
      <c r="A488">
        <v>493</v>
      </c>
      <c r="B488" s="126" t="s">
        <v>287</v>
      </c>
      <c r="C488" s="24">
        <f>VLOOKUP(B488,Elements!$A$2:$B$435,2,0)</f>
        <v>241</v>
      </c>
      <c r="D488">
        <v>5</v>
      </c>
      <c r="E488" t="str">
        <f>VLOOKUP(D488,Categories!$A$2:$B$8,2,0)</f>
        <v>SA</v>
      </c>
      <c r="F488">
        <v>6</v>
      </c>
      <c r="G488" t="str">
        <f>VLOOKUP(F488,Subcategories!$A$2:$B$29,2,0)</f>
        <v>Configurability</v>
      </c>
      <c r="H488" t="str">
        <f t="shared" si="7"/>
        <v>5-6-241</v>
      </c>
      <c r="I488">
        <f>VLOOKUP(H488,SuiteCatSubElem!$F$2:$G$667,2,0)</f>
        <v>487</v>
      </c>
      <c r="J488">
        <v>241</v>
      </c>
      <c r="L488">
        <v>1</v>
      </c>
      <c r="M488" s="127">
        <v>43009.000011574077</v>
      </c>
      <c r="Q488" s="94"/>
      <c r="R488" s="100"/>
    </row>
    <row r="489" spans="1:18" ht="30">
      <c r="A489">
        <v>494</v>
      </c>
      <c r="B489" s="115" t="s">
        <v>364</v>
      </c>
      <c r="C489" s="24">
        <f>VLOOKUP(B489,Elements!$A$2:$B$435,2,0)</f>
        <v>306</v>
      </c>
      <c r="D489">
        <v>5</v>
      </c>
      <c r="E489" t="str">
        <f>VLOOKUP(D489,Categories!$A$2:$B$8,2,0)</f>
        <v>SA</v>
      </c>
      <c r="F489">
        <v>8</v>
      </c>
      <c r="G489" t="str">
        <f>VLOOKUP(F489,Subcategories!$A$2:$B$29,2,0)</f>
        <v>General Services</v>
      </c>
      <c r="H489" t="str">
        <f t="shared" si="7"/>
        <v>5-8-306</v>
      </c>
      <c r="I489">
        <f>VLOOKUP(H489,SuiteCatSubElem!$F$2:$G$667,2,0)</f>
        <v>488</v>
      </c>
      <c r="J489">
        <v>307</v>
      </c>
      <c r="L489">
        <v>1</v>
      </c>
      <c r="M489" s="127">
        <v>43009.000011574077</v>
      </c>
      <c r="Q489" s="94"/>
    </row>
    <row r="490" spans="1:18" ht="30">
      <c r="A490">
        <v>495</v>
      </c>
      <c r="B490" s="115" t="s">
        <v>365</v>
      </c>
      <c r="C490" s="24">
        <f>VLOOKUP(B490,Elements!$A$2:$B$435,2,0)</f>
        <v>307</v>
      </c>
      <c r="D490">
        <v>5</v>
      </c>
      <c r="E490" t="str">
        <f>VLOOKUP(D490,Categories!$A$2:$B$8,2,0)</f>
        <v>SA</v>
      </c>
      <c r="F490">
        <v>8</v>
      </c>
      <c r="G490" t="str">
        <f>VLOOKUP(F490,Subcategories!$A$2:$B$29,2,0)</f>
        <v>General Services</v>
      </c>
      <c r="H490" t="str">
        <f t="shared" si="7"/>
        <v>5-8-307</v>
      </c>
      <c r="I490">
        <f>VLOOKUP(H490,SuiteCatSubElem!$F$2:$G$667,2,0)</f>
        <v>489</v>
      </c>
      <c r="J490">
        <v>308</v>
      </c>
      <c r="L490">
        <v>1</v>
      </c>
      <c r="M490" s="127">
        <v>43009.000011574077</v>
      </c>
      <c r="Q490" s="94"/>
    </row>
    <row r="491" spans="1:18">
      <c r="A491">
        <v>496</v>
      </c>
      <c r="B491" s="115" t="s">
        <v>117</v>
      </c>
      <c r="C491" s="24">
        <f>VLOOKUP(B491,Elements!$A$2:$B$435,2,0)</f>
        <v>83</v>
      </c>
      <c r="D491">
        <v>5</v>
      </c>
      <c r="E491" t="str">
        <f>VLOOKUP(D491,Categories!$A$2:$B$8,2,0)</f>
        <v>SA</v>
      </c>
      <c r="F491">
        <v>8</v>
      </c>
      <c r="G491" t="str">
        <f>VLOOKUP(F491,Subcategories!$A$2:$B$29,2,0)</f>
        <v>General Services</v>
      </c>
      <c r="H491" t="str">
        <f t="shared" si="7"/>
        <v>5-8-83</v>
      </c>
      <c r="I491">
        <f>VLOOKUP(H491,SuiteCatSubElem!$F$2:$G$667,2,0)</f>
        <v>490</v>
      </c>
      <c r="J491">
        <v>447</v>
      </c>
      <c r="L491">
        <v>1</v>
      </c>
      <c r="M491" s="127">
        <v>43009.000011574077</v>
      </c>
      <c r="Q491" s="94"/>
    </row>
    <row r="492" spans="1:18">
      <c r="A492">
        <v>497</v>
      </c>
      <c r="B492" s="115" t="s">
        <v>366</v>
      </c>
      <c r="C492" s="24">
        <f>VLOOKUP(B492,Elements!$A$2:$B$435,2,0)</f>
        <v>308</v>
      </c>
      <c r="D492">
        <v>5</v>
      </c>
      <c r="E492" t="str">
        <f>VLOOKUP(D492,Categories!$A$2:$B$8,2,0)</f>
        <v>SA</v>
      </c>
      <c r="F492">
        <v>8</v>
      </c>
      <c r="G492" t="str">
        <f>VLOOKUP(F492,Subcategories!$A$2:$B$29,2,0)</f>
        <v>General Services</v>
      </c>
      <c r="H492" t="str">
        <f t="shared" si="7"/>
        <v>5-8-308</v>
      </c>
      <c r="I492">
        <f>VLOOKUP(H492,SuiteCatSubElem!$F$2:$G$667,2,0)</f>
        <v>491</v>
      </c>
      <c r="J492">
        <v>309</v>
      </c>
      <c r="L492">
        <v>1</v>
      </c>
      <c r="M492" s="127">
        <v>43009.000011574077</v>
      </c>
      <c r="Q492" s="94"/>
    </row>
    <row r="493" spans="1:18">
      <c r="A493">
        <v>498</v>
      </c>
      <c r="B493" s="115" t="s">
        <v>367</v>
      </c>
      <c r="C493" s="24">
        <f>VLOOKUP(B493,Elements!$A$2:$B$435,2,0)</f>
        <v>309</v>
      </c>
      <c r="D493">
        <v>5</v>
      </c>
      <c r="E493" t="str">
        <f>VLOOKUP(D493,Categories!$A$2:$B$8,2,0)</f>
        <v>SA</v>
      </c>
      <c r="F493">
        <v>8</v>
      </c>
      <c r="G493" t="str">
        <f>VLOOKUP(F493,Subcategories!$A$2:$B$29,2,0)</f>
        <v>General Services</v>
      </c>
      <c r="H493" t="str">
        <f t="shared" si="7"/>
        <v>5-8-309</v>
      </c>
      <c r="I493">
        <f>VLOOKUP(H493,SuiteCatSubElem!$F$2:$G$667,2,0)</f>
        <v>492</v>
      </c>
      <c r="J493">
        <v>310</v>
      </c>
      <c r="L493">
        <v>1</v>
      </c>
      <c r="M493" s="127">
        <v>43009.000011574077</v>
      </c>
      <c r="Q493" s="94"/>
    </row>
    <row r="494" spans="1:18">
      <c r="A494">
        <v>499</v>
      </c>
      <c r="B494" s="115" t="s">
        <v>119</v>
      </c>
      <c r="C494" s="24">
        <f>VLOOKUP(B494,Elements!$A$2:$B$435,2,0)</f>
        <v>85</v>
      </c>
      <c r="D494" s="47">
        <v>5</v>
      </c>
      <c r="E494" t="str">
        <f>VLOOKUP(D494,Categories!$A$2:$B$8,2,0)</f>
        <v>SA</v>
      </c>
      <c r="F494">
        <v>8</v>
      </c>
      <c r="G494" t="str">
        <f>VLOOKUP(F494,Subcategories!$A$2:$B$29,2,0)</f>
        <v>General Services</v>
      </c>
      <c r="H494" t="str">
        <f t="shared" si="7"/>
        <v>5-8-85</v>
      </c>
      <c r="I494">
        <f>VLOOKUP(H494,SuiteCatSubElem!$F$2:$G$667,2,0)</f>
        <v>493</v>
      </c>
      <c r="J494">
        <v>85</v>
      </c>
      <c r="K494" s="47"/>
      <c r="L494">
        <v>1</v>
      </c>
      <c r="M494" s="127">
        <v>43009.000011574077</v>
      </c>
      <c r="Q494" s="45"/>
      <c r="R494" s="99"/>
    </row>
    <row r="495" spans="1:18">
      <c r="A495">
        <v>500</v>
      </c>
      <c r="B495" s="112" t="s">
        <v>368</v>
      </c>
      <c r="C495" s="24">
        <f>VLOOKUP(B495,Elements!$A$2:$B$435,2,0)</f>
        <v>310</v>
      </c>
      <c r="D495">
        <v>6</v>
      </c>
      <c r="E495" t="str">
        <f>VLOOKUP(D495,Categories!$A$2:$B$8,2,0)</f>
        <v>SXM</v>
      </c>
      <c r="F495">
        <v>22</v>
      </c>
      <c r="G495" t="str">
        <f>VLOOKUP(F495,Subcategories!$A$2:$B$29,2,0)</f>
        <v>MDM</v>
      </c>
      <c r="H495" t="str">
        <f t="shared" si="7"/>
        <v>6-22-310</v>
      </c>
      <c r="I495">
        <f>VLOOKUP(H495,SuiteCatSubElem!$F$2:$G$667,2,0)</f>
        <v>494</v>
      </c>
      <c r="J495">
        <v>311</v>
      </c>
      <c r="L495">
        <v>1</v>
      </c>
      <c r="M495" s="127">
        <v>43009.000011574077</v>
      </c>
      <c r="Q495" s="94"/>
    </row>
    <row r="496" spans="1:18" ht="30">
      <c r="A496">
        <v>501</v>
      </c>
      <c r="B496" s="112" t="s">
        <v>369</v>
      </c>
      <c r="C496" s="24">
        <f>VLOOKUP(B496,Elements!$A$2:$B$435,2,0)</f>
        <v>311</v>
      </c>
      <c r="D496">
        <v>6</v>
      </c>
      <c r="E496" t="str">
        <f>VLOOKUP(D496,Categories!$A$2:$B$8,2,0)</f>
        <v>SXM</v>
      </c>
      <c r="F496">
        <v>22</v>
      </c>
      <c r="G496" t="str">
        <f>VLOOKUP(F496,Subcategories!$A$2:$B$29,2,0)</f>
        <v>MDM</v>
      </c>
      <c r="H496" t="str">
        <f t="shared" si="7"/>
        <v>6-22-311</v>
      </c>
      <c r="I496">
        <f>VLOOKUP(H496,SuiteCatSubElem!$F$2:$G$667,2,0)</f>
        <v>495</v>
      </c>
      <c r="J496">
        <v>312</v>
      </c>
      <c r="L496">
        <v>1</v>
      </c>
      <c r="M496" s="127">
        <v>43009.000011574077</v>
      </c>
      <c r="Q496" s="94"/>
    </row>
    <row r="497" spans="1:18" ht="30">
      <c r="A497">
        <v>502</v>
      </c>
      <c r="B497" s="112" t="s">
        <v>370</v>
      </c>
      <c r="C497" s="24">
        <f>VLOOKUP(B497,Elements!$A$2:$B$435,2,0)</f>
        <v>312</v>
      </c>
      <c r="D497">
        <v>6</v>
      </c>
      <c r="E497" t="str">
        <f>VLOOKUP(D497,Categories!$A$2:$B$8,2,0)</f>
        <v>SXM</v>
      </c>
      <c r="F497">
        <v>22</v>
      </c>
      <c r="G497" t="str">
        <f>VLOOKUP(F497,Subcategories!$A$2:$B$29,2,0)</f>
        <v>MDM</v>
      </c>
      <c r="H497" t="str">
        <f t="shared" si="7"/>
        <v>6-22-312</v>
      </c>
      <c r="I497">
        <f>VLOOKUP(H497,SuiteCatSubElem!$F$2:$G$667,2,0)</f>
        <v>496</v>
      </c>
      <c r="J497">
        <v>313</v>
      </c>
      <c r="L497">
        <v>1</v>
      </c>
      <c r="M497" s="127">
        <v>43009.000011574077</v>
      </c>
      <c r="Q497" s="94"/>
    </row>
    <row r="498" spans="1:18">
      <c r="A498">
        <v>503</v>
      </c>
      <c r="B498" s="112" t="s">
        <v>371</v>
      </c>
      <c r="C498" s="24">
        <f>VLOOKUP(B498,Elements!$A$2:$B$435,2,0)</f>
        <v>313</v>
      </c>
      <c r="D498">
        <v>6</v>
      </c>
      <c r="E498" t="str">
        <f>VLOOKUP(D498,Categories!$A$2:$B$8,2,0)</f>
        <v>SXM</v>
      </c>
      <c r="F498">
        <v>22</v>
      </c>
      <c r="G498" t="str">
        <f>VLOOKUP(F498,Subcategories!$A$2:$B$29,2,0)</f>
        <v>MDM</v>
      </c>
      <c r="H498" t="str">
        <f t="shared" si="7"/>
        <v>6-22-313</v>
      </c>
      <c r="I498">
        <f>VLOOKUP(H498,SuiteCatSubElem!$F$2:$G$667,2,0)</f>
        <v>497</v>
      </c>
      <c r="J498">
        <v>314</v>
      </c>
      <c r="L498">
        <v>1</v>
      </c>
      <c r="M498" s="127">
        <v>43009.000011574077</v>
      </c>
      <c r="Q498" s="94"/>
    </row>
    <row r="499" spans="1:18" s="4" customFormat="1" ht="17" thickBot="1">
      <c r="A499">
        <v>504</v>
      </c>
      <c r="B499" s="120" t="s">
        <v>372</v>
      </c>
      <c r="C499" s="24">
        <f>VLOOKUP(B499,Elements!$A$2:$B$435,2,0)</f>
        <v>314</v>
      </c>
      <c r="D499" s="4">
        <v>6</v>
      </c>
      <c r="E499" t="str">
        <f>VLOOKUP(D499,Categories!$A$2:$B$8,2,0)</f>
        <v>SXM</v>
      </c>
      <c r="F499">
        <v>22</v>
      </c>
      <c r="G499" t="str">
        <f>VLOOKUP(F499,Subcategories!$A$2:$B$29,2,0)</f>
        <v>MDM</v>
      </c>
      <c r="H499" t="str">
        <f t="shared" si="7"/>
        <v>6-22-314</v>
      </c>
      <c r="I499">
        <f>VLOOKUP(H499,SuiteCatSubElem!$F$2:$G$667,2,0)</f>
        <v>498</v>
      </c>
      <c r="J499">
        <v>315</v>
      </c>
      <c r="L499">
        <v>1</v>
      </c>
      <c r="M499" s="127">
        <v>43009.000011574077</v>
      </c>
      <c r="N499"/>
      <c r="O499"/>
      <c r="P499"/>
      <c r="Q499" s="94"/>
      <c r="R499" s="101"/>
    </row>
    <row r="500" spans="1:18" ht="30">
      <c r="A500">
        <v>505</v>
      </c>
      <c r="B500" s="112" t="s">
        <v>373</v>
      </c>
      <c r="C500" s="24">
        <f>VLOOKUP(B500,Elements!$A$2:$B$435,2,0)</f>
        <v>315</v>
      </c>
      <c r="D500">
        <v>6</v>
      </c>
      <c r="E500" t="str">
        <f>VLOOKUP(D500,Categories!$A$2:$B$8,2,0)</f>
        <v>SXM</v>
      </c>
      <c r="F500">
        <v>22</v>
      </c>
      <c r="G500" t="str">
        <f>VLOOKUP(F500,Subcategories!$A$2:$B$29,2,0)</f>
        <v>MDM</v>
      </c>
      <c r="H500" t="str">
        <f t="shared" si="7"/>
        <v>6-22-315</v>
      </c>
      <c r="I500">
        <f>VLOOKUP(H500,SuiteCatSubElem!$F$2:$G$667,2,0)</f>
        <v>499</v>
      </c>
      <c r="J500">
        <v>316</v>
      </c>
      <c r="L500">
        <v>1</v>
      </c>
      <c r="M500" s="127">
        <v>43009.000011574077</v>
      </c>
      <c r="Q500" s="94"/>
    </row>
    <row r="501" spans="1:18">
      <c r="A501">
        <v>506</v>
      </c>
      <c r="B501" s="112" t="s">
        <v>374</v>
      </c>
      <c r="C501" s="24">
        <f>VLOOKUP(B501,Elements!$A$2:$B$435,2,0)</f>
        <v>316</v>
      </c>
      <c r="D501">
        <v>6</v>
      </c>
      <c r="E501" t="str">
        <f>VLOOKUP(D501,Categories!$A$2:$B$8,2,0)</f>
        <v>SXM</v>
      </c>
      <c r="F501">
        <v>22</v>
      </c>
      <c r="G501" t="str">
        <f>VLOOKUP(F501,Subcategories!$A$2:$B$29,2,0)</f>
        <v>MDM</v>
      </c>
      <c r="H501" t="str">
        <f t="shared" si="7"/>
        <v>6-22-316</v>
      </c>
      <c r="I501">
        <f>VLOOKUP(H501,SuiteCatSubElem!$F$2:$G$667,2,0)</f>
        <v>500</v>
      </c>
      <c r="J501">
        <v>317</v>
      </c>
      <c r="L501">
        <v>1</v>
      </c>
      <c r="M501" s="127">
        <v>43009.000011574077</v>
      </c>
      <c r="Q501" s="94"/>
    </row>
    <row r="502" spans="1:18">
      <c r="A502">
        <v>507</v>
      </c>
      <c r="B502" s="112" t="s">
        <v>375</v>
      </c>
      <c r="C502" s="24">
        <f>VLOOKUP(B502,Elements!$A$2:$B$435,2,0)</f>
        <v>317</v>
      </c>
      <c r="D502">
        <v>6</v>
      </c>
      <c r="E502" t="str">
        <f>VLOOKUP(D502,Categories!$A$2:$B$8,2,0)</f>
        <v>SXM</v>
      </c>
      <c r="F502">
        <v>22</v>
      </c>
      <c r="G502" t="str">
        <f>VLOOKUP(F502,Subcategories!$A$2:$B$29,2,0)</f>
        <v>MDM</v>
      </c>
      <c r="H502" t="str">
        <f t="shared" si="7"/>
        <v>6-22-317</v>
      </c>
      <c r="I502">
        <f>VLOOKUP(H502,SuiteCatSubElem!$F$2:$G$667,2,0)</f>
        <v>501</v>
      </c>
      <c r="J502">
        <v>318</v>
      </c>
      <c r="L502">
        <v>1</v>
      </c>
      <c r="M502" s="127">
        <v>43009.000011574077</v>
      </c>
      <c r="Q502" s="94"/>
    </row>
    <row r="503" spans="1:18" ht="30">
      <c r="A503">
        <v>508</v>
      </c>
      <c r="B503" s="112" t="s">
        <v>376</v>
      </c>
      <c r="C503" s="24">
        <f>VLOOKUP(B503,Elements!$A$2:$B$435,2,0)</f>
        <v>318</v>
      </c>
      <c r="D503">
        <v>6</v>
      </c>
      <c r="E503" t="str">
        <f>VLOOKUP(D503,Categories!$A$2:$B$8,2,0)</f>
        <v>SXM</v>
      </c>
      <c r="F503">
        <v>22</v>
      </c>
      <c r="G503" t="str">
        <f>VLOOKUP(F503,Subcategories!$A$2:$B$29,2,0)</f>
        <v>MDM</v>
      </c>
      <c r="H503" t="str">
        <f t="shared" si="7"/>
        <v>6-22-318</v>
      </c>
      <c r="I503">
        <f>VLOOKUP(H503,SuiteCatSubElem!$F$2:$G$667,2,0)</f>
        <v>502</v>
      </c>
      <c r="J503">
        <v>319</v>
      </c>
      <c r="L503">
        <v>1</v>
      </c>
      <c r="M503" s="127">
        <v>43009.000011574077</v>
      </c>
      <c r="Q503" s="94"/>
    </row>
    <row r="504" spans="1:18" ht="30">
      <c r="A504">
        <v>509</v>
      </c>
      <c r="B504" s="112" t="s">
        <v>377</v>
      </c>
      <c r="C504" s="24">
        <f>VLOOKUP(B504,Elements!$A$2:$B$435,2,0)</f>
        <v>319</v>
      </c>
      <c r="D504">
        <v>6</v>
      </c>
      <c r="E504" t="str">
        <f>VLOOKUP(D504,Categories!$A$2:$B$8,2,0)</f>
        <v>SXM</v>
      </c>
      <c r="F504">
        <v>22</v>
      </c>
      <c r="G504" t="str">
        <f>VLOOKUP(F504,Subcategories!$A$2:$B$29,2,0)</f>
        <v>MDM</v>
      </c>
      <c r="H504" t="str">
        <f t="shared" si="7"/>
        <v>6-22-319</v>
      </c>
      <c r="I504">
        <f>VLOOKUP(H504,SuiteCatSubElem!$F$2:$G$667,2,0)</f>
        <v>503</v>
      </c>
      <c r="J504">
        <v>320</v>
      </c>
      <c r="L504">
        <v>1</v>
      </c>
      <c r="M504" s="127">
        <v>43009.000011574077</v>
      </c>
      <c r="Q504" s="100"/>
    </row>
    <row r="505" spans="1:18">
      <c r="A505">
        <v>510</v>
      </c>
      <c r="B505" s="112" t="s">
        <v>378</v>
      </c>
      <c r="C505" s="24">
        <f>VLOOKUP(B505,Elements!$A$2:$B$435,2,0)</f>
        <v>320</v>
      </c>
      <c r="D505">
        <v>6</v>
      </c>
      <c r="E505" t="str">
        <f>VLOOKUP(D505,Categories!$A$2:$B$8,2,0)</f>
        <v>SXM</v>
      </c>
      <c r="F505">
        <v>23</v>
      </c>
      <c r="G505" t="str">
        <f>VLOOKUP(F505,Subcategories!$A$2:$B$29,2,0)</f>
        <v>SIM</v>
      </c>
      <c r="H505" t="str">
        <f t="shared" si="7"/>
        <v>6-23-320</v>
      </c>
      <c r="I505">
        <f>VLOOKUP(H505,SuiteCatSubElem!$F$2:$G$667,2,0)</f>
        <v>504</v>
      </c>
      <c r="J505">
        <v>321</v>
      </c>
      <c r="L505">
        <v>1</v>
      </c>
      <c r="M505" s="127">
        <v>43009.000011574077</v>
      </c>
      <c r="Q505" s="94"/>
    </row>
    <row r="506" spans="1:18">
      <c r="A506">
        <v>511</v>
      </c>
      <c r="B506" s="112" t="s">
        <v>165</v>
      </c>
      <c r="C506" s="24">
        <f>VLOOKUP(B506,Elements!$A$2:$B$435,2,0)</f>
        <v>130</v>
      </c>
      <c r="D506">
        <v>6</v>
      </c>
      <c r="E506" t="str">
        <f>VLOOKUP(D506,Categories!$A$2:$B$8,2,0)</f>
        <v>SXM</v>
      </c>
      <c r="F506">
        <v>23</v>
      </c>
      <c r="G506" t="str">
        <f>VLOOKUP(F506,Subcategories!$A$2:$B$29,2,0)</f>
        <v>SIM</v>
      </c>
      <c r="H506" t="str">
        <f t="shared" si="7"/>
        <v>6-23-130</v>
      </c>
      <c r="I506">
        <f>VLOOKUP(H506,SuiteCatSubElem!$F$2:$G$667,2,0)</f>
        <v>505</v>
      </c>
      <c r="J506">
        <v>130</v>
      </c>
      <c r="L506">
        <v>1</v>
      </c>
      <c r="M506" s="127">
        <v>43009.000011574077</v>
      </c>
      <c r="Q506" s="100"/>
      <c r="R506" s="100"/>
    </row>
    <row r="507" spans="1:18">
      <c r="A507">
        <v>512</v>
      </c>
      <c r="B507" s="112" t="s">
        <v>379</v>
      </c>
      <c r="C507" s="24">
        <f>VLOOKUP(B507,Elements!$A$2:$B$435,2,0)</f>
        <v>131</v>
      </c>
      <c r="D507">
        <v>6</v>
      </c>
      <c r="E507" t="str">
        <f>VLOOKUP(D507,Categories!$A$2:$B$8,2,0)</f>
        <v>SXM</v>
      </c>
      <c r="F507">
        <v>23</v>
      </c>
      <c r="G507" t="str">
        <f>VLOOKUP(F507,Subcategories!$A$2:$B$29,2,0)</f>
        <v>SIM</v>
      </c>
      <c r="H507" t="str">
        <f t="shared" si="7"/>
        <v>6-23-131</v>
      </c>
      <c r="I507">
        <f>VLOOKUP(H507,SuiteCatSubElem!$F$2:$G$667,2,0)</f>
        <v>506</v>
      </c>
      <c r="J507">
        <v>131</v>
      </c>
      <c r="L507">
        <v>1</v>
      </c>
      <c r="M507" s="127">
        <v>43009.000011574077</v>
      </c>
      <c r="Q507" s="100"/>
      <c r="R507" s="100"/>
    </row>
    <row r="508" spans="1:18">
      <c r="A508">
        <v>513</v>
      </c>
      <c r="B508" s="112" t="s">
        <v>380</v>
      </c>
      <c r="C508" s="24">
        <f>VLOOKUP(B508,Elements!$A$2:$B$435,2,0)</f>
        <v>321</v>
      </c>
      <c r="D508">
        <v>6</v>
      </c>
      <c r="E508" t="str">
        <f>VLOOKUP(D508,Categories!$A$2:$B$8,2,0)</f>
        <v>SXM</v>
      </c>
      <c r="F508">
        <v>23</v>
      </c>
      <c r="G508" t="str">
        <f>VLOOKUP(F508,Subcategories!$A$2:$B$29,2,0)</f>
        <v>SIM</v>
      </c>
      <c r="H508" t="str">
        <f t="shared" si="7"/>
        <v>6-23-321</v>
      </c>
      <c r="I508">
        <f>VLOOKUP(H508,SuiteCatSubElem!$F$2:$G$667,2,0)</f>
        <v>507</v>
      </c>
      <c r="J508">
        <v>322</v>
      </c>
      <c r="L508">
        <v>1</v>
      </c>
      <c r="M508" s="127">
        <v>43009.000011574077</v>
      </c>
      <c r="Q508" s="94"/>
    </row>
    <row r="509" spans="1:18">
      <c r="A509">
        <v>514</v>
      </c>
      <c r="B509" s="112" t="s">
        <v>381</v>
      </c>
      <c r="C509" s="24">
        <f>VLOOKUP(B509,Elements!$A$2:$B$435,2,0)</f>
        <v>322</v>
      </c>
      <c r="D509">
        <v>6</v>
      </c>
      <c r="E509" t="str">
        <f>VLOOKUP(D509,Categories!$A$2:$B$8,2,0)</f>
        <v>SXM</v>
      </c>
      <c r="F509">
        <v>23</v>
      </c>
      <c r="G509" t="str">
        <f>VLOOKUP(F509,Subcategories!$A$2:$B$29,2,0)</f>
        <v>SIM</v>
      </c>
      <c r="H509" t="str">
        <f t="shared" si="7"/>
        <v>6-23-322</v>
      </c>
      <c r="I509">
        <f>VLOOKUP(H509,SuiteCatSubElem!$F$2:$G$667,2,0)</f>
        <v>508</v>
      </c>
      <c r="J509">
        <v>323</v>
      </c>
      <c r="L509">
        <v>1</v>
      </c>
      <c r="M509" s="127">
        <v>43009.000011574077</v>
      </c>
      <c r="Q509" s="94"/>
    </row>
    <row r="510" spans="1:18">
      <c r="A510">
        <v>515</v>
      </c>
      <c r="B510" s="112" t="s">
        <v>382</v>
      </c>
      <c r="C510" s="24">
        <f>VLOOKUP(B510,Elements!$A$2:$B$435,2,0)</f>
        <v>323</v>
      </c>
      <c r="D510">
        <v>6</v>
      </c>
      <c r="E510" t="str">
        <f>VLOOKUP(D510,Categories!$A$2:$B$8,2,0)</f>
        <v>SXM</v>
      </c>
      <c r="F510">
        <v>23</v>
      </c>
      <c r="G510" t="str">
        <f>VLOOKUP(F510,Subcategories!$A$2:$B$29,2,0)</f>
        <v>SIM</v>
      </c>
      <c r="H510" t="str">
        <f t="shared" si="7"/>
        <v>6-23-323</v>
      </c>
      <c r="I510">
        <f>VLOOKUP(H510,SuiteCatSubElem!$F$2:$G$667,2,0)</f>
        <v>509</v>
      </c>
      <c r="J510">
        <v>324</v>
      </c>
      <c r="L510">
        <v>1</v>
      </c>
      <c r="M510" s="127">
        <v>43009.000011574077</v>
      </c>
      <c r="Q510" s="94"/>
    </row>
    <row r="511" spans="1:18" ht="30">
      <c r="A511">
        <v>516</v>
      </c>
      <c r="B511" s="112" t="s">
        <v>383</v>
      </c>
      <c r="C511" s="24">
        <f>VLOOKUP(B511,Elements!$A$2:$B$435,2,0)</f>
        <v>324</v>
      </c>
      <c r="D511">
        <v>6</v>
      </c>
      <c r="E511" t="str">
        <f>VLOOKUP(D511,Categories!$A$2:$B$8,2,0)</f>
        <v>SXM</v>
      </c>
      <c r="F511">
        <v>23</v>
      </c>
      <c r="G511" t="str">
        <f>VLOOKUP(F511,Subcategories!$A$2:$B$29,2,0)</f>
        <v>SIM</v>
      </c>
      <c r="H511" t="str">
        <f t="shared" si="7"/>
        <v>6-23-324</v>
      </c>
      <c r="I511">
        <f>VLOOKUP(H511,SuiteCatSubElem!$F$2:$G$667,2,0)</f>
        <v>510</v>
      </c>
      <c r="J511">
        <v>325</v>
      </c>
      <c r="L511">
        <v>1</v>
      </c>
      <c r="M511" s="127">
        <v>43009.000011574077</v>
      </c>
      <c r="Q511" s="94"/>
    </row>
    <row r="512" spans="1:18">
      <c r="A512">
        <v>517</v>
      </c>
      <c r="B512" s="112" t="s">
        <v>384</v>
      </c>
      <c r="C512" s="24">
        <f>VLOOKUP(B512,Elements!$A$2:$B$435,2,0)</f>
        <v>325</v>
      </c>
      <c r="D512">
        <v>6</v>
      </c>
      <c r="E512" t="str">
        <f>VLOOKUP(D512,Categories!$A$2:$B$8,2,0)</f>
        <v>SXM</v>
      </c>
      <c r="F512">
        <v>23</v>
      </c>
      <c r="G512" t="str">
        <f>VLOOKUP(F512,Subcategories!$A$2:$B$29,2,0)</f>
        <v>SIM</v>
      </c>
      <c r="H512" t="str">
        <f t="shared" si="7"/>
        <v>6-23-325</v>
      </c>
      <c r="I512">
        <f>VLOOKUP(H512,SuiteCatSubElem!$F$2:$G$667,2,0)</f>
        <v>511</v>
      </c>
      <c r="J512">
        <v>326</v>
      </c>
      <c r="L512">
        <v>1</v>
      </c>
      <c r="M512" s="127">
        <v>43009.000011574077</v>
      </c>
      <c r="Q512" s="94"/>
    </row>
    <row r="513" spans="1:18">
      <c r="A513">
        <v>518</v>
      </c>
      <c r="B513" s="112" t="s">
        <v>385</v>
      </c>
      <c r="C513" s="24">
        <f>VLOOKUP(B513,Elements!$A$2:$B$435,2,0)</f>
        <v>326</v>
      </c>
      <c r="D513">
        <v>6</v>
      </c>
      <c r="E513" t="str">
        <f>VLOOKUP(D513,Categories!$A$2:$B$8,2,0)</f>
        <v>SXM</v>
      </c>
      <c r="F513">
        <v>23</v>
      </c>
      <c r="G513" t="str">
        <f>VLOOKUP(F513,Subcategories!$A$2:$B$29,2,0)</f>
        <v>SIM</v>
      </c>
      <c r="H513" t="str">
        <f t="shared" si="7"/>
        <v>6-23-326</v>
      </c>
      <c r="I513">
        <f>VLOOKUP(H513,SuiteCatSubElem!$F$2:$G$667,2,0)</f>
        <v>512</v>
      </c>
      <c r="J513">
        <v>327</v>
      </c>
      <c r="L513">
        <v>1</v>
      </c>
      <c r="M513" s="127">
        <v>43009.000011574077</v>
      </c>
      <c r="Q513" s="94"/>
    </row>
    <row r="514" spans="1:18">
      <c r="A514">
        <v>519</v>
      </c>
      <c r="B514" s="112" t="s">
        <v>386</v>
      </c>
      <c r="C514" s="24">
        <f>VLOOKUP(B514,Elements!$A$2:$B$435,2,0)</f>
        <v>327</v>
      </c>
      <c r="D514">
        <v>6</v>
      </c>
      <c r="E514" t="str">
        <f>VLOOKUP(D514,Categories!$A$2:$B$8,2,0)</f>
        <v>SXM</v>
      </c>
      <c r="F514">
        <v>23</v>
      </c>
      <c r="G514" t="str">
        <f>VLOOKUP(F514,Subcategories!$A$2:$B$29,2,0)</f>
        <v>SIM</v>
      </c>
      <c r="H514" t="str">
        <f t="shared" ref="H514:H577" si="8">_xlfn.CONCAT(D514,"-",F514,"-",C514)</f>
        <v>6-23-327</v>
      </c>
      <c r="I514">
        <f>VLOOKUP(H514,SuiteCatSubElem!$F$2:$G$667,2,0)</f>
        <v>513</v>
      </c>
      <c r="J514">
        <v>328</v>
      </c>
      <c r="L514">
        <v>1</v>
      </c>
      <c r="M514" s="127">
        <v>43009.000011574077</v>
      </c>
      <c r="Q514" s="94"/>
    </row>
    <row r="515" spans="1:18" ht="30">
      <c r="A515">
        <v>520</v>
      </c>
      <c r="B515" s="112" t="s">
        <v>387</v>
      </c>
      <c r="C515" s="24">
        <f>VLOOKUP(B515,Elements!$A$2:$B$435,2,0)</f>
        <v>328</v>
      </c>
      <c r="D515">
        <v>6</v>
      </c>
      <c r="E515" t="str">
        <f>VLOOKUP(D515,Categories!$A$2:$B$8,2,0)</f>
        <v>SXM</v>
      </c>
      <c r="F515">
        <v>23</v>
      </c>
      <c r="G515" t="str">
        <f>VLOOKUP(F515,Subcategories!$A$2:$B$29,2,0)</f>
        <v>SIM</v>
      </c>
      <c r="H515" t="str">
        <f t="shared" si="8"/>
        <v>6-23-328</v>
      </c>
      <c r="I515">
        <f>VLOOKUP(H515,SuiteCatSubElem!$F$2:$G$667,2,0)</f>
        <v>514</v>
      </c>
      <c r="J515">
        <v>329</v>
      </c>
      <c r="L515">
        <v>1</v>
      </c>
      <c r="M515" s="127">
        <v>43009.000011574077</v>
      </c>
      <c r="Q515" s="94"/>
    </row>
    <row r="516" spans="1:18">
      <c r="A516">
        <v>521</v>
      </c>
      <c r="B516" s="112" t="s">
        <v>388</v>
      </c>
      <c r="C516" s="24">
        <f>VLOOKUP(B516,Elements!$A$2:$B$435,2,0)</f>
        <v>329</v>
      </c>
      <c r="D516">
        <v>6</v>
      </c>
      <c r="E516" t="str">
        <f>VLOOKUP(D516,Categories!$A$2:$B$8,2,0)</f>
        <v>SXM</v>
      </c>
      <c r="F516">
        <v>23</v>
      </c>
      <c r="G516" t="str">
        <f>VLOOKUP(F516,Subcategories!$A$2:$B$29,2,0)</f>
        <v>SIM</v>
      </c>
      <c r="H516" t="str">
        <f t="shared" si="8"/>
        <v>6-23-329</v>
      </c>
      <c r="I516">
        <f>VLOOKUP(H516,SuiteCatSubElem!$F$2:$G$667,2,0)</f>
        <v>515</v>
      </c>
      <c r="J516">
        <v>330</v>
      </c>
      <c r="L516">
        <v>1</v>
      </c>
      <c r="M516" s="127">
        <v>43009.000011574077</v>
      </c>
      <c r="Q516" s="94"/>
    </row>
    <row r="517" spans="1:18" ht="30">
      <c r="A517">
        <v>522</v>
      </c>
      <c r="B517" s="112" t="s">
        <v>389</v>
      </c>
      <c r="C517" s="24">
        <f>VLOOKUP(B517,Elements!$A$2:$B$435,2,0)</f>
        <v>330</v>
      </c>
      <c r="D517" s="47">
        <v>6</v>
      </c>
      <c r="E517" t="str">
        <f>VLOOKUP(D517,Categories!$A$2:$B$8,2,0)</f>
        <v>SXM</v>
      </c>
      <c r="F517">
        <v>23</v>
      </c>
      <c r="G517" t="str">
        <f>VLOOKUP(F517,Subcategories!$A$2:$B$29,2,0)</f>
        <v>SIM</v>
      </c>
      <c r="H517" t="str">
        <f t="shared" si="8"/>
        <v>6-23-330</v>
      </c>
      <c r="I517">
        <f>VLOOKUP(H517,SuiteCatSubElem!$F$2:$G$667,2,0)</f>
        <v>516</v>
      </c>
      <c r="J517">
        <v>331</v>
      </c>
      <c r="K517" s="47"/>
      <c r="L517">
        <v>1</v>
      </c>
      <c r="M517" s="127">
        <v>43009.000011574077</v>
      </c>
      <c r="Q517" s="94"/>
      <c r="R517" s="99"/>
    </row>
    <row r="518" spans="1:18">
      <c r="A518">
        <v>523</v>
      </c>
      <c r="B518" s="112" t="s">
        <v>390</v>
      </c>
      <c r="C518" s="24">
        <f>VLOOKUP(B518,Elements!$A$2:$B$435,2,0)</f>
        <v>331</v>
      </c>
      <c r="D518">
        <v>6</v>
      </c>
      <c r="E518" t="str">
        <f>VLOOKUP(D518,Categories!$A$2:$B$8,2,0)</f>
        <v>SXM</v>
      </c>
      <c r="F518">
        <v>23</v>
      </c>
      <c r="G518" t="str">
        <f>VLOOKUP(F518,Subcategories!$A$2:$B$29,2,0)</f>
        <v>SIM</v>
      </c>
      <c r="H518" t="str">
        <f t="shared" si="8"/>
        <v>6-23-331</v>
      </c>
      <c r="I518">
        <f>VLOOKUP(H518,SuiteCatSubElem!$F$2:$G$667,2,0)</f>
        <v>517</v>
      </c>
      <c r="J518">
        <v>332</v>
      </c>
      <c r="L518">
        <v>1</v>
      </c>
      <c r="M518" s="127">
        <v>43009.000011574077</v>
      </c>
      <c r="Q518" s="94"/>
    </row>
    <row r="519" spans="1:18">
      <c r="A519">
        <v>524</v>
      </c>
      <c r="B519" s="112" t="s">
        <v>391</v>
      </c>
      <c r="C519" s="24">
        <f>VLOOKUP(B519,Elements!$A$2:$B$435,2,0)</f>
        <v>332</v>
      </c>
      <c r="D519">
        <v>6</v>
      </c>
      <c r="E519" t="str">
        <f>VLOOKUP(D519,Categories!$A$2:$B$8,2,0)</f>
        <v>SXM</v>
      </c>
      <c r="F519">
        <v>23</v>
      </c>
      <c r="G519" t="str">
        <f>VLOOKUP(F519,Subcategories!$A$2:$B$29,2,0)</f>
        <v>SIM</v>
      </c>
      <c r="H519" t="str">
        <f t="shared" si="8"/>
        <v>6-23-332</v>
      </c>
      <c r="I519">
        <f>VLOOKUP(H519,SuiteCatSubElem!$F$2:$G$667,2,0)</f>
        <v>518</v>
      </c>
      <c r="J519">
        <v>333</v>
      </c>
      <c r="L519">
        <v>1</v>
      </c>
      <c r="M519" s="127">
        <v>43009.000011574077</v>
      </c>
      <c r="Q519" s="94"/>
    </row>
    <row r="520" spans="1:18">
      <c r="A520">
        <v>525</v>
      </c>
      <c r="B520" s="112" t="s">
        <v>392</v>
      </c>
      <c r="C520" s="24">
        <f>VLOOKUP(B520,Elements!$A$2:$B$435,2,0)</f>
        <v>333</v>
      </c>
      <c r="D520">
        <v>6</v>
      </c>
      <c r="E520" t="str">
        <f>VLOOKUP(D520,Categories!$A$2:$B$8,2,0)</f>
        <v>SXM</v>
      </c>
      <c r="F520">
        <v>23</v>
      </c>
      <c r="G520" t="str">
        <f>VLOOKUP(F520,Subcategories!$A$2:$B$29,2,0)</f>
        <v>SIM</v>
      </c>
      <c r="H520" t="str">
        <f t="shared" si="8"/>
        <v>6-23-333</v>
      </c>
      <c r="I520">
        <f>VLOOKUP(H520,SuiteCatSubElem!$F$2:$G$667,2,0)</f>
        <v>519</v>
      </c>
      <c r="J520">
        <v>334</v>
      </c>
      <c r="L520">
        <v>1</v>
      </c>
      <c r="M520" s="127">
        <v>43009.000011574077</v>
      </c>
      <c r="Q520" s="94"/>
    </row>
    <row r="521" spans="1:18" ht="30">
      <c r="A521">
        <v>526</v>
      </c>
      <c r="B521" s="112" t="s">
        <v>393</v>
      </c>
      <c r="C521" s="24">
        <f>VLOOKUP(B521,Elements!$A$2:$B$435,2,0)</f>
        <v>334</v>
      </c>
      <c r="D521">
        <v>6</v>
      </c>
      <c r="E521" t="str">
        <f>VLOOKUP(D521,Categories!$A$2:$B$8,2,0)</f>
        <v>SXM</v>
      </c>
      <c r="F521">
        <v>23</v>
      </c>
      <c r="G521" t="str">
        <f>VLOOKUP(F521,Subcategories!$A$2:$B$29,2,0)</f>
        <v>SIM</v>
      </c>
      <c r="H521" t="str">
        <f t="shared" si="8"/>
        <v>6-23-334</v>
      </c>
      <c r="I521">
        <f>VLOOKUP(H521,SuiteCatSubElem!$F$2:$G$667,2,0)</f>
        <v>520</v>
      </c>
      <c r="J521">
        <v>335</v>
      </c>
      <c r="L521">
        <v>1</v>
      </c>
      <c r="M521" s="127">
        <v>43009.000011574077</v>
      </c>
      <c r="Q521" s="94"/>
    </row>
    <row r="522" spans="1:18">
      <c r="A522">
        <v>527</v>
      </c>
      <c r="B522" s="112" t="s">
        <v>394</v>
      </c>
      <c r="C522" s="24">
        <f>VLOOKUP(B522,Elements!$A$2:$B$435,2,0)</f>
        <v>335</v>
      </c>
      <c r="D522">
        <v>6</v>
      </c>
      <c r="E522" t="str">
        <f>VLOOKUP(D522,Categories!$A$2:$B$8,2,0)</f>
        <v>SXM</v>
      </c>
      <c r="F522">
        <v>23</v>
      </c>
      <c r="G522" t="str">
        <f>VLOOKUP(F522,Subcategories!$A$2:$B$29,2,0)</f>
        <v>SIM</v>
      </c>
      <c r="H522" t="str">
        <f t="shared" si="8"/>
        <v>6-23-335</v>
      </c>
      <c r="I522">
        <f>VLOOKUP(H522,SuiteCatSubElem!$F$2:$G$667,2,0)</f>
        <v>521</v>
      </c>
      <c r="J522">
        <v>336</v>
      </c>
      <c r="L522">
        <v>1</v>
      </c>
      <c r="M522" s="127">
        <v>43009.000011574077</v>
      </c>
      <c r="Q522" s="94"/>
    </row>
    <row r="523" spans="1:18">
      <c r="A523">
        <v>528</v>
      </c>
      <c r="B523" s="112" t="s">
        <v>395</v>
      </c>
      <c r="C523" s="24">
        <f>VLOOKUP(B523,Elements!$A$2:$B$435,2,0)</f>
        <v>336</v>
      </c>
      <c r="D523">
        <v>6</v>
      </c>
      <c r="E523" t="str">
        <f>VLOOKUP(D523,Categories!$A$2:$B$8,2,0)</f>
        <v>SXM</v>
      </c>
      <c r="F523">
        <v>23</v>
      </c>
      <c r="G523" t="str">
        <f>VLOOKUP(F523,Subcategories!$A$2:$B$29,2,0)</f>
        <v>SIM</v>
      </c>
      <c r="H523" t="str">
        <f t="shared" si="8"/>
        <v>6-23-336</v>
      </c>
      <c r="I523">
        <f>VLOOKUP(H523,SuiteCatSubElem!$F$2:$G$667,2,0)</f>
        <v>522</v>
      </c>
      <c r="J523">
        <v>337</v>
      </c>
      <c r="L523">
        <v>1</v>
      </c>
      <c r="M523" s="127">
        <v>43009.000011574077</v>
      </c>
      <c r="Q523" s="94"/>
    </row>
    <row r="524" spans="1:18">
      <c r="A524">
        <v>529</v>
      </c>
      <c r="B524" s="112" t="s">
        <v>396</v>
      </c>
      <c r="C524" s="24">
        <f>VLOOKUP(B524,Elements!$A$2:$B$435,2,0)</f>
        <v>337</v>
      </c>
      <c r="D524">
        <v>6</v>
      </c>
      <c r="E524" t="str">
        <f>VLOOKUP(D524,Categories!$A$2:$B$8,2,0)</f>
        <v>SXM</v>
      </c>
      <c r="F524">
        <v>23</v>
      </c>
      <c r="G524" t="str">
        <f>VLOOKUP(F524,Subcategories!$A$2:$B$29,2,0)</f>
        <v>SIM</v>
      </c>
      <c r="H524" t="str">
        <f t="shared" si="8"/>
        <v>6-23-337</v>
      </c>
      <c r="I524">
        <f>VLOOKUP(H524,SuiteCatSubElem!$F$2:$G$667,2,0)</f>
        <v>523</v>
      </c>
      <c r="J524">
        <v>338</v>
      </c>
      <c r="L524">
        <v>1</v>
      </c>
      <c r="M524" s="127">
        <v>43009.000011574077</v>
      </c>
      <c r="Q524" s="94"/>
    </row>
    <row r="525" spans="1:18" ht="30">
      <c r="A525">
        <v>530</v>
      </c>
      <c r="B525" s="112" t="s">
        <v>397</v>
      </c>
      <c r="C525" s="24">
        <f>VLOOKUP(B525,Elements!$A$2:$B$435,2,0)</f>
        <v>338</v>
      </c>
      <c r="D525">
        <v>6</v>
      </c>
      <c r="E525" t="str">
        <f>VLOOKUP(D525,Categories!$A$2:$B$8,2,0)</f>
        <v>SXM</v>
      </c>
      <c r="F525">
        <v>23</v>
      </c>
      <c r="G525" t="str">
        <f>VLOOKUP(F525,Subcategories!$A$2:$B$29,2,0)</f>
        <v>SIM</v>
      </c>
      <c r="H525" t="str">
        <f t="shared" si="8"/>
        <v>6-23-338</v>
      </c>
      <c r="I525">
        <f>VLOOKUP(H525,SuiteCatSubElem!$F$2:$G$667,2,0)</f>
        <v>524</v>
      </c>
      <c r="J525">
        <v>339</v>
      </c>
      <c r="L525">
        <v>1</v>
      </c>
      <c r="M525" s="127">
        <v>43009.000011574077</v>
      </c>
      <c r="Q525" s="94"/>
    </row>
    <row r="526" spans="1:18">
      <c r="A526">
        <v>531</v>
      </c>
      <c r="B526" s="112" t="s">
        <v>398</v>
      </c>
      <c r="C526" s="24">
        <f>VLOOKUP(B526,Elements!$A$2:$B$435,2,0)</f>
        <v>339</v>
      </c>
      <c r="D526">
        <v>6</v>
      </c>
      <c r="E526" t="str">
        <f>VLOOKUP(D526,Categories!$A$2:$B$8,2,0)</f>
        <v>SXM</v>
      </c>
      <c r="F526">
        <v>23</v>
      </c>
      <c r="G526" t="str">
        <f>VLOOKUP(F526,Subcategories!$A$2:$B$29,2,0)</f>
        <v>SIM</v>
      </c>
      <c r="H526" t="str">
        <f t="shared" si="8"/>
        <v>6-23-339</v>
      </c>
      <c r="I526">
        <f>VLOOKUP(H526,SuiteCatSubElem!$F$2:$G$667,2,0)</f>
        <v>525</v>
      </c>
      <c r="J526">
        <v>340</v>
      </c>
      <c r="L526">
        <v>1</v>
      </c>
      <c r="M526" s="127">
        <v>43009.000011574077</v>
      </c>
      <c r="Q526" s="94"/>
    </row>
    <row r="527" spans="1:18">
      <c r="A527">
        <v>532</v>
      </c>
      <c r="B527" s="112" t="s">
        <v>399</v>
      </c>
      <c r="C527" s="24">
        <f>VLOOKUP(B527,Elements!$A$2:$B$435,2,0)</f>
        <v>161</v>
      </c>
      <c r="D527">
        <v>6</v>
      </c>
      <c r="E527" t="str">
        <f>VLOOKUP(D527,Categories!$A$2:$B$8,2,0)</f>
        <v>SXM</v>
      </c>
      <c r="F527">
        <v>23</v>
      </c>
      <c r="G527" t="str">
        <f>VLOOKUP(F527,Subcategories!$A$2:$B$29,2,0)</f>
        <v>SIM</v>
      </c>
      <c r="H527" t="str">
        <f t="shared" si="8"/>
        <v>6-23-161</v>
      </c>
      <c r="I527">
        <f>VLOOKUP(H527,SuiteCatSubElem!$F$2:$G$667,2,0)</f>
        <v>526</v>
      </c>
      <c r="J527">
        <v>161</v>
      </c>
      <c r="L527">
        <v>1</v>
      </c>
      <c r="M527" s="127">
        <v>43009.000011574077</v>
      </c>
      <c r="Q527" s="100"/>
      <c r="R527" s="100"/>
    </row>
    <row r="528" spans="1:18">
      <c r="A528">
        <v>533</v>
      </c>
      <c r="B528" s="112" t="s">
        <v>400</v>
      </c>
      <c r="C528" s="24">
        <f>VLOOKUP(B528,Elements!$A$2:$B$435,2,0)</f>
        <v>340</v>
      </c>
      <c r="D528">
        <v>6</v>
      </c>
      <c r="E528" t="str">
        <f>VLOOKUP(D528,Categories!$A$2:$B$8,2,0)</f>
        <v>SXM</v>
      </c>
      <c r="F528">
        <v>23</v>
      </c>
      <c r="G528" t="str">
        <f>VLOOKUP(F528,Subcategories!$A$2:$B$29,2,0)</f>
        <v>SIM</v>
      </c>
      <c r="H528" t="str">
        <f t="shared" si="8"/>
        <v>6-23-340</v>
      </c>
      <c r="I528">
        <f>VLOOKUP(H528,SuiteCatSubElem!$F$2:$G$667,2,0)</f>
        <v>527</v>
      </c>
      <c r="J528">
        <v>341</v>
      </c>
      <c r="L528">
        <v>1</v>
      </c>
      <c r="M528" s="127">
        <v>43009.000011574077</v>
      </c>
      <c r="Q528" s="94"/>
    </row>
    <row r="529" spans="1:18">
      <c r="A529">
        <v>534</v>
      </c>
      <c r="B529" s="32" t="s">
        <v>405</v>
      </c>
      <c r="C529" s="24">
        <f>VLOOKUP(B529,Elements!$A$2:$B$435,2,0)</f>
        <v>341</v>
      </c>
      <c r="D529">
        <v>6</v>
      </c>
      <c r="E529" t="str">
        <f>VLOOKUP(D529,Categories!$A$2:$B$8,2,0)</f>
        <v>SXM</v>
      </c>
      <c r="F529">
        <v>24</v>
      </c>
      <c r="G529" t="str">
        <f>VLOOKUP(F529,Subcategories!$A$2:$B$29,2,0)</f>
        <v>SXM</v>
      </c>
      <c r="H529" t="str">
        <f t="shared" si="8"/>
        <v>6-24-341</v>
      </c>
      <c r="I529">
        <f>VLOOKUP(H529,SuiteCatSubElem!$F$2:$G$667,2,0)</f>
        <v>528</v>
      </c>
      <c r="J529">
        <v>342</v>
      </c>
      <c r="L529">
        <v>1</v>
      </c>
      <c r="M529" s="127">
        <v>43009.000011574077</v>
      </c>
      <c r="Q529" s="94"/>
    </row>
    <row r="530" spans="1:18">
      <c r="A530">
        <v>535</v>
      </c>
      <c r="B530" s="32" t="s">
        <v>406</v>
      </c>
      <c r="C530" s="24">
        <f>VLOOKUP(B530,Elements!$A$2:$B$435,2,0)</f>
        <v>342</v>
      </c>
      <c r="D530">
        <v>6</v>
      </c>
      <c r="E530" t="str">
        <f>VLOOKUP(D530,Categories!$A$2:$B$8,2,0)</f>
        <v>SXM</v>
      </c>
      <c r="F530">
        <v>24</v>
      </c>
      <c r="G530" t="str">
        <f>VLOOKUP(F530,Subcategories!$A$2:$B$29,2,0)</f>
        <v>SXM</v>
      </c>
      <c r="H530" t="str">
        <f t="shared" si="8"/>
        <v>6-24-342</v>
      </c>
      <c r="I530">
        <f>VLOOKUP(H530,SuiteCatSubElem!$F$2:$G$667,2,0)</f>
        <v>529</v>
      </c>
      <c r="J530">
        <v>343</v>
      </c>
      <c r="L530">
        <v>1</v>
      </c>
      <c r="M530" s="127">
        <v>43009.000011574077</v>
      </c>
      <c r="Q530" s="94"/>
    </row>
    <row r="531" spans="1:18" ht="30">
      <c r="A531">
        <v>536</v>
      </c>
      <c r="B531" s="32" t="s">
        <v>407</v>
      </c>
      <c r="C531" s="24">
        <f>VLOOKUP(B531,Elements!$A$2:$B$435,2,0)</f>
        <v>343</v>
      </c>
      <c r="D531">
        <v>6</v>
      </c>
      <c r="E531" t="str">
        <f>VLOOKUP(D531,Categories!$A$2:$B$8,2,0)</f>
        <v>SXM</v>
      </c>
      <c r="F531">
        <v>24</v>
      </c>
      <c r="G531" t="str">
        <f>VLOOKUP(F531,Subcategories!$A$2:$B$29,2,0)</f>
        <v>SXM</v>
      </c>
      <c r="H531" t="str">
        <f t="shared" si="8"/>
        <v>6-24-343</v>
      </c>
      <c r="I531">
        <f>VLOOKUP(H531,SuiteCatSubElem!$F$2:$G$667,2,0)</f>
        <v>530</v>
      </c>
      <c r="J531">
        <v>344</v>
      </c>
      <c r="L531">
        <v>1</v>
      </c>
      <c r="M531" s="127">
        <v>43009.000011574077</v>
      </c>
      <c r="Q531" s="94"/>
    </row>
    <row r="532" spans="1:18">
      <c r="A532">
        <v>537</v>
      </c>
      <c r="B532" s="32" t="s">
        <v>408</v>
      </c>
      <c r="C532" s="24">
        <f>VLOOKUP(B532,Elements!$A$2:$B$435,2,0)</f>
        <v>344</v>
      </c>
      <c r="D532">
        <v>6</v>
      </c>
      <c r="E532" t="str">
        <f>VLOOKUP(D532,Categories!$A$2:$B$8,2,0)</f>
        <v>SXM</v>
      </c>
      <c r="F532">
        <v>24</v>
      </c>
      <c r="G532" t="str">
        <f>VLOOKUP(F532,Subcategories!$A$2:$B$29,2,0)</f>
        <v>SXM</v>
      </c>
      <c r="H532" t="str">
        <f t="shared" si="8"/>
        <v>6-24-344</v>
      </c>
      <c r="I532">
        <f>VLOOKUP(H532,SuiteCatSubElem!$F$2:$G$667,2,0)</f>
        <v>531</v>
      </c>
      <c r="J532">
        <v>345</v>
      </c>
      <c r="L532">
        <v>1</v>
      </c>
      <c r="M532" s="127">
        <v>43009.000011574077</v>
      </c>
      <c r="Q532" s="94"/>
    </row>
    <row r="533" spans="1:18">
      <c r="A533">
        <v>538</v>
      </c>
      <c r="B533" s="32" t="s">
        <v>409</v>
      </c>
      <c r="C533" s="24">
        <f>VLOOKUP(B533,Elements!$A$2:$B$435,2,0)</f>
        <v>345</v>
      </c>
      <c r="D533">
        <v>6</v>
      </c>
      <c r="E533" t="str">
        <f>VLOOKUP(D533,Categories!$A$2:$B$8,2,0)</f>
        <v>SXM</v>
      </c>
      <c r="F533">
        <v>24</v>
      </c>
      <c r="G533" t="str">
        <f>VLOOKUP(F533,Subcategories!$A$2:$B$29,2,0)</f>
        <v>SXM</v>
      </c>
      <c r="H533" t="str">
        <f t="shared" si="8"/>
        <v>6-24-345</v>
      </c>
      <c r="I533">
        <f>VLOOKUP(H533,SuiteCatSubElem!$F$2:$G$667,2,0)</f>
        <v>532</v>
      </c>
      <c r="J533">
        <v>346</v>
      </c>
      <c r="L533">
        <v>1</v>
      </c>
      <c r="M533" s="127">
        <v>43009.000011574077</v>
      </c>
      <c r="Q533" s="94"/>
    </row>
    <row r="534" spans="1:18">
      <c r="A534">
        <v>539</v>
      </c>
      <c r="B534" s="33" t="s">
        <v>410</v>
      </c>
      <c r="C534" s="24">
        <f>VLOOKUP(B534,Elements!$A$2:$B$435,2,0)</f>
        <v>346</v>
      </c>
      <c r="D534">
        <v>6</v>
      </c>
      <c r="E534" t="str">
        <f>VLOOKUP(D534,Categories!$A$2:$B$8,2,0)</f>
        <v>SXM</v>
      </c>
      <c r="F534">
        <v>24</v>
      </c>
      <c r="G534" t="str">
        <f>VLOOKUP(F534,Subcategories!$A$2:$B$29,2,0)</f>
        <v>SXM</v>
      </c>
      <c r="H534" t="str">
        <f t="shared" si="8"/>
        <v>6-24-346</v>
      </c>
      <c r="I534">
        <f>VLOOKUP(H534,SuiteCatSubElem!$F$2:$G$667,2,0)</f>
        <v>533</v>
      </c>
      <c r="J534">
        <v>347</v>
      </c>
      <c r="L534">
        <v>1</v>
      </c>
      <c r="M534" s="127">
        <v>43009.000011574077</v>
      </c>
      <c r="Q534" s="94"/>
    </row>
    <row r="535" spans="1:18">
      <c r="A535">
        <v>540</v>
      </c>
      <c r="B535" s="33" t="s">
        <v>411</v>
      </c>
      <c r="C535" s="24">
        <f>VLOOKUP(B535,Elements!$A$2:$B$435,2,0)</f>
        <v>347</v>
      </c>
      <c r="D535">
        <v>6</v>
      </c>
      <c r="E535" t="str">
        <f>VLOOKUP(D535,Categories!$A$2:$B$8,2,0)</f>
        <v>SXM</v>
      </c>
      <c r="F535">
        <v>24</v>
      </c>
      <c r="G535" t="str">
        <f>VLOOKUP(F535,Subcategories!$A$2:$B$29,2,0)</f>
        <v>SXM</v>
      </c>
      <c r="H535" t="str">
        <f t="shared" si="8"/>
        <v>6-24-347</v>
      </c>
      <c r="I535">
        <f>VLOOKUP(H535,SuiteCatSubElem!$F$2:$G$667,2,0)</f>
        <v>534</v>
      </c>
      <c r="J535">
        <v>348</v>
      </c>
      <c r="L535">
        <v>1</v>
      </c>
      <c r="M535" s="127">
        <v>43009.000011574077</v>
      </c>
      <c r="Q535" s="94"/>
    </row>
    <row r="536" spans="1:18" ht="30">
      <c r="A536">
        <v>541</v>
      </c>
      <c r="B536" s="33" t="s">
        <v>412</v>
      </c>
      <c r="C536" s="24">
        <f>VLOOKUP(B536,Elements!$A$2:$B$435,2,0)</f>
        <v>348</v>
      </c>
      <c r="D536">
        <v>6</v>
      </c>
      <c r="E536" t="str">
        <f>VLOOKUP(D536,Categories!$A$2:$B$8,2,0)</f>
        <v>SXM</v>
      </c>
      <c r="F536">
        <v>24</v>
      </c>
      <c r="G536" t="str">
        <f>VLOOKUP(F536,Subcategories!$A$2:$B$29,2,0)</f>
        <v>SXM</v>
      </c>
      <c r="H536" t="str">
        <f t="shared" si="8"/>
        <v>6-24-348</v>
      </c>
      <c r="I536">
        <f>VLOOKUP(H536,SuiteCatSubElem!$F$2:$G$667,2,0)</f>
        <v>535</v>
      </c>
      <c r="J536">
        <v>349</v>
      </c>
      <c r="L536">
        <v>1</v>
      </c>
      <c r="M536" s="127">
        <v>43009.000011574077</v>
      </c>
      <c r="Q536" s="94"/>
    </row>
    <row r="537" spans="1:18">
      <c r="A537">
        <v>542</v>
      </c>
      <c r="B537" s="33" t="s">
        <v>262</v>
      </c>
      <c r="C537" s="24">
        <f>VLOOKUP(B537,Elements!$A$2:$B$435,2,0)</f>
        <v>218</v>
      </c>
      <c r="D537">
        <v>6</v>
      </c>
      <c r="E537" t="str">
        <f>VLOOKUP(D537,Categories!$A$2:$B$8,2,0)</f>
        <v>SXM</v>
      </c>
      <c r="F537">
        <v>24</v>
      </c>
      <c r="G537" t="str">
        <f>VLOOKUP(F537,Subcategories!$A$2:$B$29,2,0)</f>
        <v>SXM</v>
      </c>
      <c r="H537" t="str">
        <f t="shared" si="8"/>
        <v>6-24-218</v>
      </c>
      <c r="I537">
        <f>VLOOKUP(H537,SuiteCatSubElem!$F$2:$G$667,2,0)</f>
        <v>536</v>
      </c>
      <c r="J537">
        <v>218</v>
      </c>
      <c r="L537">
        <v>1</v>
      </c>
      <c r="M537" s="127">
        <v>43009.000011574077</v>
      </c>
      <c r="Q537" s="94"/>
      <c r="R537" s="100"/>
    </row>
    <row r="538" spans="1:18">
      <c r="A538">
        <v>543</v>
      </c>
      <c r="B538" s="33" t="s">
        <v>413</v>
      </c>
      <c r="C538" s="24">
        <f>VLOOKUP(B538,Elements!$A$2:$B$435,2,0)</f>
        <v>349</v>
      </c>
      <c r="D538">
        <v>6</v>
      </c>
      <c r="E538" t="str">
        <f>VLOOKUP(D538,Categories!$A$2:$B$8,2,0)</f>
        <v>SXM</v>
      </c>
      <c r="F538">
        <v>24</v>
      </c>
      <c r="G538" t="str">
        <f>VLOOKUP(F538,Subcategories!$A$2:$B$29,2,0)</f>
        <v>SXM</v>
      </c>
      <c r="H538" t="str">
        <f t="shared" si="8"/>
        <v>6-24-349</v>
      </c>
      <c r="I538">
        <f>VLOOKUP(H538,SuiteCatSubElem!$F$2:$G$667,2,0)</f>
        <v>537</v>
      </c>
      <c r="J538">
        <v>350</v>
      </c>
      <c r="L538">
        <v>1</v>
      </c>
      <c r="M538" s="127">
        <v>43009.000011574077</v>
      </c>
      <c r="Q538" s="94"/>
    </row>
    <row r="539" spans="1:18" ht="30">
      <c r="A539">
        <v>544</v>
      </c>
      <c r="B539" s="34" t="s">
        <v>414</v>
      </c>
      <c r="C539" s="24">
        <f>VLOOKUP(B539,Elements!$A$2:$B$435,2,0)</f>
        <v>350</v>
      </c>
      <c r="D539">
        <v>6</v>
      </c>
      <c r="E539" t="str">
        <f>VLOOKUP(D539,Categories!$A$2:$B$8,2,0)</f>
        <v>SXM</v>
      </c>
      <c r="F539">
        <v>24</v>
      </c>
      <c r="G539" t="str">
        <f>VLOOKUP(F539,Subcategories!$A$2:$B$29,2,0)</f>
        <v>SXM</v>
      </c>
      <c r="H539" t="str">
        <f t="shared" si="8"/>
        <v>6-24-350</v>
      </c>
      <c r="I539">
        <f>VLOOKUP(H539,SuiteCatSubElem!$F$2:$G$667,2,0)</f>
        <v>538</v>
      </c>
      <c r="J539">
        <v>351</v>
      </c>
      <c r="L539">
        <v>1</v>
      </c>
      <c r="M539" s="127">
        <v>43009.000011574077</v>
      </c>
      <c r="Q539" s="94"/>
    </row>
    <row r="540" spans="1:18">
      <c r="A540">
        <v>545</v>
      </c>
      <c r="B540" s="34" t="s">
        <v>415</v>
      </c>
      <c r="C540" s="24">
        <f>VLOOKUP(B540,Elements!$A$2:$B$435,2,0)</f>
        <v>351</v>
      </c>
      <c r="D540">
        <v>6</v>
      </c>
      <c r="E540" t="str">
        <f>VLOOKUP(D540,Categories!$A$2:$B$8,2,0)</f>
        <v>SXM</v>
      </c>
      <c r="F540">
        <v>24</v>
      </c>
      <c r="G540" t="str">
        <f>VLOOKUP(F540,Subcategories!$A$2:$B$29,2,0)</f>
        <v>SXM</v>
      </c>
      <c r="H540" t="str">
        <f t="shared" si="8"/>
        <v>6-24-351</v>
      </c>
      <c r="I540">
        <f>VLOOKUP(H540,SuiteCatSubElem!$F$2:$G$667,2,0)</f>
        <v>539</v>
      </c>
      <c r="J540">
        <v>352</v>
      </c>
      <c r="L540">
        <v>1</v>
      </c>
      <c r="M540" s="127">
        <v>43009.000011574077</v>
      </c>
      <c r="Q540" s="94"/>
    </row>
    <row r="541" spans="1:18">
      <c r="A541">
        <v>546</v>
      </c>
      <c r="B541" s="34" t="s">
        <v>416</v>
      </c>
      <c r="C541" s="24">
        <f>VLOOKUP(B541,Elements!$A$2:$B$435,2,0)</f>
        <v>352</v>
      </c>
      <c r="D541">
        <v>6</v>
      </c>
      <c r="E541" t="str">
        <f>VLOOKUP(D541,Categories!$A$2:$B$8,2,0)</f>
        <v>SXM</v>
      </c>
      <c r="F541">
        <v>24</v>
      </c>
      <c r="G541" t="str">
        <f>VLOOKUP(F541,Subcategories!$A$2:$B$29,2,0)</f>
        <v>SXM</v>
      </c>
      <c r="H541" t="str">
        <f t="shared" si="8"/>
        <v>6-24-352</v>
      </c>
      <c r="I541">
        <f>VLOOKUP(H541,SuiteCatSubElem!$F$2:$G$667,2,0)</f>
        <v>540</v>
      </c>
      <c r="J541">
        <v>353</v>
      </c>
      <c r="L541">
        <v>1</v>
      </c>
      <c r="M541" s="127">
        <v>43009.000011574077</v>
      </c>
      <c r="Q541" s="94"/>
    </row>
    <row r="542" spans="1:18">
      <c r="A542">
        <v>547</v>
      </c>
      <c r="B542" s="34" t="s">
        <v>417</v>
      </c>
      <c r="C542" s="24">
        <f>VLOOKUP(B542,Elements!$A$2:$B$435,2,0)</f>
        <v>353</v>
      </c>
      <c r="D542">
        <v>6</v>
      </c>
      <c r="E542" t="str">
        <f>VLOOKUP(D542,Categories!$A$2:$B$8,2,0)</f>
        <v>SXM</v>
      </c>
      <c r="F542">
        <v>24</v>
      </c>
      <c r="G542" t="str">
        <f>VLOOKUP(F542,Subcategories!$A$2:$B$29,2,0)</f>
        <v>SXM</v>
      </c>
      <c r="H542" t="str">
        <f t="shared" si="8"/>
        <v>6-24-353</v>
      </c>
      <c r="I542">
        <f>VLOOKUP(H542,SuiteCatSubElem!$F$2:$G$667,2,0)</f>
        <v>541</v>
      </c>
      <c r="J542">
        <v>354</v>
      </c>
      <c r="L542">
        <v>1</v>
      </c>
      <c r="M542" s="127">
        <v>43009.000011574077</v>
      </c>
      <c r="Q542" s="94"/>
    </row>
    <row r="543" spans="1:18">
      <c r="A543">
        <v>548</v>
      </c>
      <c r="B543" s="33" t="s">
        <v>418</v>
      </c>
      <c r="C543" s="24">
        <f>VLOOKUP(B543,Elements!$A$2:$B$435,2,0)</f>
        <v>354</v>
      </c>
      <c r="D543">
        <v>6</v>
      </c>
      <c r="E543" t="str">
        <f>VLOOKUP(D543,Categories!$A$2:$B$8,2,0)</f>
        <v>SXM</v>
      </c>
      <c r="F543">
        <v>24</v>
      </c>
      <c r="G543" t="str">
        <f>VLOOKUP(F543,Subcategories!$A$2:$B$29,2,0)</f>
        <v>SXM</v>
      </c>
      <c r="H543" t="str">
        <f t="shared" si="8"/>
        <v>6-24-354</v>
      </c>
      <c r="I543">
        <f>VLOOKUP(H543,SuiteCatSubElem!$F$2:$G$667,2,0)</f>
        <v>542</v>
      </c>
      <c r="J543">
        <v>355</v>
      </c>
      <c r="L543">
        <v>1</v>
      </c>
      <c r="M543" s="127">
        <v>43009.000011574077</v>
      </c>
      <c r="Q543" s="94"/>
    </row>
    <row r="544" spans="1:18" ht="30">
      <c r="A544">
        <v>549</v>
      </c>
      <c r="B544" s="33" t="s">
        <v>419</v>
      </c>
      <c r="C544" s="24">
        <f>VLOOKUP(B544,Elements!$A$2:$B$435,2,0)</f>
        <v>355</v>
      </c>
      <c r="D544">
        <v>6</v>
      </c>
      <c r="E544" t="str">
        <f>VLOOKUP(D544,Categories!$A$2:$B$8,2,0)</f>
        <v>SXM</v>
      </c>
      <c r="F544">
        <v>24</v>
      </c>
      <c r="G544" t="str">
        <f>VLOOKUP(F544,Subcategories!$A$2:$B$29,2,0)</f>
        <v>SXM</v>
      </c>
      <c r="H544" t="str">
        <f t="shared" si="8"/>
        <v>6-24-355</v>
      </c>
      <c r="I544">
        <f>VLOOKUP(H544,SuiteCatSubElem!$F$2:$G$667,2,0)</f>
        <v>543</v>
      </c>
      <c r="J544">
        <v>356</v>
      </c>
      <c r="L544">
        <v>1</v>
      </c>
      <c r="M544" s="127">
        <v>43009.000011574077</v>
      </c>
      <c r="Q544" s="94"/>
    </row>
    <row r="545" spans="1:18">
      <c r="A545">
        <v>550</v>
      </c>
      <c r="B545" s="33" t="s">
        <v>420</v>
      </c>
      <c r="C545" s="24">
        <f>VLOOKUP(B545,Elements!$A$2:$B$435,2,0)</f>
        <v>356</v>
      </c>
      <c r="D545">
        <v>6</v>
      </c>
      <c r="E545" t="str">
        <f>VLOOKUP(D545,Categories!$A$2:$B$8,2,0)</f>
        <v>SXM</v>
      </c>
      <c r="F545">
        <v>24</v>
      </c>
      <c r="G545" t="str">
        <f>VLOOKUP(F545,Subcategories!$A$2:$B$29,2,0)</f>
        <v>SXM</v>
      </c>
      <c r="H545" t="str">
        <f t="shared" si="8"/>
        <v>6-24-356</v>
      </c>
      <c r="I545">
        <f>VLOOKUP(H545,SuiteCatSubElem!$F$2:$G$667,2,0)</f>
        <v>544</v>
      </c>
      <c r="J545">
        <v>357</v>
      </c>
      <c r="L545">
        <v>1</v>
      </c>
      <c r="M545" s="127">
        <v>43009.000011574077</v>
      </c>
      <c r="Q545" s="94"/>
    </row>
    <row r="546" spans="1:18">
      <c r="A546">
        <v>551</v>
      </c>
      <c r="B546" s="32" t="s">
        <v>421</v>
      </c>
      <c r="C546" s="24">
        <f>VLOOKUP(B546,Elements!$A$2:$B$435,2,0)</f>
        <v>357</v>
      </c>
      <c r="D546">
        <v>6</v>
      </c>
      <c r="E546" t="str">
        <f>VLOOKUP(D546,Categories!$A$2:$B$8,2,0)</f>
        <v>SXM</v>
      </c>
      <c r="F546">
        <v>24</v>
      </c>
      <c r="G546" t="str">
        <f>VLOOKUP(F546,Subcategories!$A$2:$B$29,2,0)</f>
        <v>SXM</v>
      </c>
      <c r="H546" t="str">
        <f t="shared" si="8"/>
        <v>6-24-357</v>
      </c>
      <c r="I546">
        <f>VLOOKUP(H546,SuiteCatSubElem!$F$2:$G$667,2,0)</f>
        <v>545</v>
      </c>
      <c r="J546">
        <v>358</v>
      </c>
      <c r="L546">
        <v>1</v>
      </c>
      <c r="M546" s="127">
        <v>43009.000011574077</v>
      </c>
      <c r="Q546" s="94"/>
    </row>
    <row r="547" spans="1:18">
      <c r="A547">
        <v>552</v>
      </c>
      <c r="B547" s="35" t="s">
        <v>261</v>
      </c>
      <c r="C547" s="24">
        <f>VLOOKUP(B547,Elements!$A$2:$B$435,2,0)</f>
        <v>358</v>
      </c>
      <c r="D547">
        <v>6</v>
      </c>
      <c r="E547" t="str">
        <f>VLOOKUP(D547,Categories!$A$2:$B$8,2,0)</f>
        <v>SXM</v>
      </c>
      <c r="F547">
        <v>24</v>
      </c>
      <c r="G547" t="str">
        <f>VLOOKUP(F547,Subcategories!$A$2:$B$29,2,0)</f>
        <v>SXM</v>
      </c>
      <c r="H547" t="str">
        <f t="shared" si="8"/>
        <v>6-24-358</v>
      </c>
      <c r="I547">
        <f>VLOOKUP(H547,SuiteCatSubElem!$F$2:$G$667,2,0)</f>
        <v>546</v>
      </c>
      <c r="J547">
        <v>359</v>
      </c>
      <c r="L547">
        <v>1</v>
      </c>
      <c r="M547" s="127">
        <v>43009.000011574077</v>
      </c>
      <c r="Q547" s="94"/>
    </row>
    <row r="548" spans="1:18">
      <c r="A548">
        <v>553</v>
      </c>
      <c r="B548" s="35" t="s">
        <v>422</v>
      </c>
      <c r="C548" s="24">
        <f>VLOOKUP(B548,Elements!$A$2:$B$435,2,0)</f>
        <v>359</v>
      </c>
      <c r="D548">
        <v>6</v>
      </c>
      <c r="E548" t="str">
        <f>VLOOKUP(D548,Categories!$A$2:$B$8,2,0)</f>
        <v>SXM</v>
      </c>
      <c r="F548">
        <v>24</v>
      </c>
      <c r="G548" t="str">
        <f>VLOOKUP(F548,Subcategories!$A$2:$B$29,2,0)</f>
        <v>SXM</v>
      </c>
      <c r="H548" t="str">
        <f t="shared" si="8"/>
        <v>6-24-359</v>
      </c>
      <c r="I548">
        <f>VLOOKUP(H548,SuiteCatSubElem!$F$2:$G$667,2,0)</f>
        <v>547</v>
      </c>
      <c r="J548">
        <v>360</v>
      </c>
      <c r="L548">
        <v>1</v>
      </c>
      <c r="M548" s="127">
        <v>43009.000011574077</v>
      </c>
      <c r="Q548" s="94"/>
    </row>
    <row r="549" spans="1:18">
      <c r="A549">
        <v>554</v>
      </c>
      <c r="B549" s="35" t="s">
        <v>423</v>
      </c>
      <c r="C549" s="24">
        <f>VLOOKUP(B549,Elements!$A$2:$B$435,2,0)</f>
        <v>360</v>
      </c>
      <c r="D549">
        <v>6</v>
      </c>
      <c r="E549" t="str">
        <f>VLOOKUP(D549,Categories!$A$2:$B$8,2,0)</f>
        <v>SXM</v>
      </c>
      <c r="F549">
        <v>24</v>
      </c>
      <c r="G549" t="str">
        <f>VLOOKUP(F549,Subcategories!$A$2:$B$29,2,0)</f>
        <v>SXM</v>
      </c>
      <c r="H549" t="str">
        <f t="shared" si="8"/>
        <v>6-24-360</v>
      </c>
      <c r="I549">
        <f>VLOOKUP(H549,SuiteCatSubElem!$F$2:$G$667,2,0)</f>
        <v>548</v>
      </c>
      <c r="J549">
        <v>361</v>
      </c>
      <c r="L549">
        <v>1</v>
      </c>
      <c r="M549" s="127">
        <v>43009.000011574077</v>
      </c>
      <c r="Q549" s="94"/>
    </row>
    <row r="550" spans="1:18">
      <c r="A550">
        <v>555</v>
      </c>
      <c r="B550" s="35" t="s">
        <v>424</v>
      </c>
      <c r="C550" s="24">
        <f>VLOOKUP(B550,Elements!$A$2:$B$435,2,0)</f>
        <v>361</v>
      </c>
      <c r="D550">
        <v>6</v>
      </c>
      <c r="E550" t="str">
        <f>VLOOKUP(D550,Categories!$A$2:$B$8,2,0)</f>
        <v>SXM</v>
      </c>
      <c r="F550">
        <v>24</v>
      </c>
      <c r="G550" t="str">
        <f>VLOOKUP(F550,Subcategories!$A$2:$B$29,2,0)</f>
        <v>SXM</v>
      </c>
      <c r="H550" t="str">
        <f t="shared" si="8"/>
        <v>6-24-361</v>
      </c>
      <c r="I550">
        <f>VLOOKUP(H550,SuiteCatSubElem!$F$2:$G$667,2,0)</f>
        <v>549</v>
      </c>
      <c r="J550">
        <v>362</v>
      </c>
      <c r="L550">
        <v>1</v>
      </c>
      <c r="M550" s="127">
        <v>43009.000011574077</v>
      </c>
      <c r="Q550" s="94"/>
    </row>
    <row r="551" spans="1:18">
      <c r="A551">
        <v>556</v>
      </c>
      <c r="B551" s="35" t="s">
        <v>265</v>
      </c>
      <c r="C551" s="24">
        <f>VLOOKUP(B551,Elements!$A$2:$B$435,2,0)</f>
        <v>221</v>
      </c>
      <c r="D551">
        <v>6</v>
      </c>
      <c r="E551" t="str">
        <f>VLOOKUP(D551,Categories!$A$2:$B$8,2,0)</f>
        <v>SXM</v>
      </c>
      <c r="F551">
        <v>24</v>
      </c>
      <c r="G551" t="str">
        <f>VLOOKUP(F551,Subcategories!$A$2:$B$29,2,0)</f>
        <v>SXM</v>
      </c>
      <c r="H551" t="str">
        <f t="shared" si="8"/>
        <v>6-24-221</v>
      </c>
      <c r="I551">
        <f>VLOOKUP(H551,SuiteCatSubElem!$F$2:$G$667,2,0)</f>
        <v>550</v>
      </c>
      <c r="J551">
        <v>221</v>
      </c>
      <c r="L551">
        <v>1</v>
      </c>
      <c r="M551" s="127">
        <v>43009.000011574077</v>
      </c>
      <c r="Q551" s="94"/>
      <c r="R551" s="100"/>
    </row>
    <row r="552" spans="1:18">
      <c r="A552">
        <v>557</v>
      </c>
      <c r="B552" s="34" t="s">
        <v>425</v>
      </c>
      <c r="C552" s="24">
        <f>VLOOKUP(B552,Elements!$A$2:$B$435,2,0)</f>
        <v>362</v>
      </c>
      <c r="D552">
        <v>6</v>
      </c>
      <c r="E552" t="str">
        <f>VLOOKUP(D552,Categories!$A$2:$B$8,2,0)</f>
        <v>SXM</v>
      </c>
      <c r="F552">
        <v>24</v>
      </c>
      <c r="G552" t="str">
        <f>VLOOKUP(F552,Subcategories!$A$2:$B$29,2,0)</f>
        <v>SXM</v>
      </c>
      <c r="H552" t="str">
        <f t="shared" si="8"/>
        <v>6-24-362</v>
      </c>
      <c r="I552">
        <f>VLOOKUP(H552,SuiteCatSubElem!$F$2:$G$667,2,0)</f>
        <v>551</v>
      </c>
      <c r="J552">
        <v>363</v>
      </c>
      <c r="L552">
        <v>1</v>
      </c>
      <c r="M552" s="127">
        <v>43009.000011574077</v>
      </c>
      <c r="Q552" s="94"/>
    </row>
    <row r="553" spans="1:18">
      <c r="A553">
        <v>558</v>
      </c>
      <c r="B553" s="34" t="s">
        <v>426</v>
      </c>
      <c r="C553" s="24">
        <f>VLOOKUP(B553,Elements!$A$2:$B$435,2,0)</f>
        <v>363</v>
      </c>
      <c r="D553">
        <v>6</v>
      </c>
      <c r="E553" t="str">
        <f>VLOOKUP(D553,Categories!$A$2:$B$8,2,0)</f>
        <v>SXM</v>
      </c>
      <c r="F553">
        <v>24</v>
      </c>
      <c r="G553" t="str">
        <f>VLOOKUP(F553,Subcategories!$A$2:$B$29,2,0)</f>
        <v>SXM</v>
      </c>
      <c r="H553" t="str">
        <f t="shared" si="8"/>
        <v>6-24-363</v>
      </c>
      <c r="I553">
        <f>VLOOKUP(H553,SuiteCatSubElem!$F$2:$G$667,2,0)</f>
        <v>552</v>
      </c>
      <c r="J553">
        <v>364</v>
      </c>
      <c r="L553">
        <v>1</v>
      </c>
      <c r="M553" s="127">
        <v>43009.000011574077</v>
      </c>
      <c r="Q553" s="94"/>
    </row>
    <row r="554" spans="1:18">
      <c r="A554">
        <v>559</v>
      </c>
      <c r="B554" s="34" t="s">
        <v>427</v>
      </c>
      <c r="C554" s="24">
        <f>VLOOKUP(B554,Elements!$A$2:$B$435,2,0)</f>
        <v>364</v>
      </c>
      <c r="D554">
        <v>6</v>
      </c>
      <c r="E554" t="str">
        <f>VLOOKUP(D554,Categories!$A$2:$B$8,2,0)</f>
        <v>SXM</v>
      </c>
      <c r="F554">
        <v>24</v>
      </c>
      <c r="G554" t="str">
        <f>VLOOKUP(F554,Subcategories!$A$2:$B$29,2,0)</f>
        <v>SXM</v>
      </c>
      <c r="H554" t="str">
        <f t="shared" si="8"/>
        <v>6-24-364</v>
      </c>
      <c r="I554">
        <f>VLOOKUP(H554,SuiteCatSubElem!$F$2:$G$667,2,0)</f>
        <v>553</v>
      </c>
      <c r="J554">
        <v>365</v>
      </c>
      <c r="L554">
        <v>1</v>
      </c>
      <c r="M554" s="127">
        <v>43009.000011574077</v>
      </c>
      <c r="Q554" s="94"/>
    </row>
    <row r="555" spans="1:18">
      <c r="A555">
        <v>560</v>
      </c>
      <c r="B555" s="34" t="s">
        <v>428</v>
      </c>
      <c r="C555" s="24">
        <f>VLOOKUP(B555,Elements!$A$2:$B$435,2,0)</f>
        <v>365</v>
      </c>
      <c r="D555">
        <v>6</v>
      </c>
      <c r="E555" t="str">
        <f>VLOOKUP(D555,Categories!$A$2:$B$8,2,0)</f>
        <v>SXM</v>
      </c>
      <c r="F555">
        <v>24</v>
      </c>
      <c r="G555" t="str">
        <f>VLOOKUP(F555,Subcategories!$A$2:$B$29,2,0)</f>
        <v>SXM</v>
      </c>
      <c r="H555" t="str">
        <f t="shared" si="8"/>
        <v>6-24-365</v>
      </c>
      <c r="I555">
        <f>VLOOKUP(H555,SuiteCatSubElem!$F$2:$G$667,2,0)</f>
        <v>554</v>
      </c>
      <c r="J555">
        <v>366</v>
      </c>
      <c r="L555">
        <v>1</v>
      </c>
      <c r="M555" s="127">
        <v>43009.000011574077</v>
      </c>
      <c r="Q555" s="94"/>
    </row>
    <row r="556" spans="1:18">
      <c r="A556">
        <v>561</v>
      </c>
      <c r="B556" s="34" t="s">
        <v>429</v>
      </c>
      <c r="C556" s="24">
        <f>VLOOKUP(B556,Elements!$A$2:$B$435,2,0)</f>
        <v>366</v>
      </c>
      <c r="D556">
        <v>6</v>
      </c>
      <c r="E556" t="str">
        <f>VLOOKUP(D556,Categories!$A$2:$B$8,2,0)</f>
        <v>SXM</v>
      </c>
      <c r="F556">
        <v>24</v>
      </c>
      <c r="G556" t="str">
        <f>VLOOKUP(F556,Subcategories!$A$2:$B$29,2,0)</f>
        <v>SXM</v>
      </c>
      <c r="H556" t="str">
        <f t="shared" si="8"/>
        <v>6-24-366</v>
      </c>
      <c r="I556">
        <f>VLOOKUP(H556,SuiteCatSubElem!$F$2:$G$667,2,0)</f>
        <v>555</v>
      </c>
      <c r="J556">
        <v>367</v>
      </c>
      <c r="L556">
        <v>1</v>
      </c>
      <c r="M556" s="127">
        <v>43009.000011574077</v>
      </c>
      <c r="Q556" s="94"/>
    </row>
    <row r="557" spans="1:18">
      <c r="A557">
        <v>562</v>
      </c>
      <c r="B557" s="33" t="s">
        <v>32</v>
      </c>
      <c r="C557" s="24">
        <f>VLOOKUP(B557,Elements!$A$2:$B$435,2,0)</f>
        <v>32</v>
      </c>
      <c r="D557">
        <v>6</v>
      </c>
      <c r="E557" t="str">
        <f>VLOOKUP(D557,Categories!$A$2:$B$8,2,0)</f>
        <v>SXM</v>
      </c>
      <c r="F557">
        <v>24</v>
      </c>
      <c r="G557" t="str">
        <f>VLOOKUP(F557,Subcategories!$A$2:$B$29,2,0)</f>
        <v>SXM</v>
      </c>
      <c r="H557" t="str">
        <f t="shared" si="8"/>
        <v>6-24-32</v>
      </c>
      <c r="I557">
        <f>VLOOKUP(H557,SuiteCatSubElem!$F$2:$G$667,2,0)</f>
        <v>556</v>
      </c>
      <c r="J557">
        <v>437</v>
      </c>
      <c r="L557">
        <v>1</v>
      </c>
      <c r="M557" s="127">
        <v>43009.000011574077</v>
      </c>
      <c r="Q557" s="94"/>
    </row>
    <row r="558" spans="1:18">
      <c r="A558">
        <v>563</v>
      </c>
      <c r="B558" s="33" t="s">
        <v>181</v>
      </c>
      <c r="C558" s="24">
        <f>VLOOKUP(B558,Elements!$A$2:$B$435,2,0)</f>
        <v>146</v>
      </c>
      <c r="D558">
        <v>6</v>
      </c>
      <c r="E558" t="str">
        <f>VLOOKUP(D558,Categories!$A$2:$B$8,2,0)</f>
        <v>SXM</v>
      </c>
      <c r="F558">
        <v>24</v>
      </c>
      <c r="G558" t="str">
        <f>VLOOKUP(F558,Subcategories!$A$2:$B$29,2,0)</f>
        <v>SXM</v>
      </c>
      <c r="H558" t="str">
        <f t="shared" si="8"/>
        <v>6-24-146</v>
      </c>
      <c r="I558">
        <f>VLOOKUP(H558,SuiteCatSubElem!$F$2:$G$667,2,0)</f>
        <v>557</v>
      </c>
      <c r="J558">
        <v>146</v>
      </c>
      <c r="L558">
        <v>1</v>
      </c>
      <c r="M558" s="127">
        <v>43009.000011574077</v>
      </c>
      <c r="Q558" s="100"/>
    </row>
    <row r="559" spans="1:18">
      <c r="A559">
        <v>564</v>
      </c>
      <c r="B559" s="33" t="s">
        <v>430</v>
      </c>
      <c r="C559" s="24">
        <f>VLOOKUP(B559,Elements!$A$2:$B$435,2,0)</f>
        <v>367</v>
      </c>
      <c r="D559">
        <v>6</v>
      </c>
      <c r="E559" t="str">
        <f>VLOOKUP(D559,Categories!$A$2:$B$8,2,0)</f>
        <v>SXM</v>
      </c>
      <c r="F559">
        <v>24</v>
      </c>
      <c r="G559" t="str">
        <f>VLOOKUP(F559,Subcategories!$A$2:$B$29,2,0)</f>
        <v>SXM</v>
      </c>
      <c r="H559" t="str">
        <f t="shared" si="8"/>
        <v>6-24-367</v>
      </c>
      <c r="I559">
        <f>VLOOKUP(H559,SuiteCatSubElem!$F$2:$G$667,2,0)</f>
        <v>558</v>
      </c>
      <c r="J559">
        <v>368</v>
      </c>
      <c r="L559">
        <v>1</v>
      </c>
      <c r="M559" s="127">
        <v>43009.000011574077</v>
      </c>
      <c r="Q559" s="94"/>
      <c r="R559" s="100"/>
    </row>
    <row r="560" spans="1:18">
      <c r="A560">
        <v>565</v>
      </c>
      <c r="B560" s="33" t="s">
        <v>431</v>
      </c>
      <c r="C560" s="24">
        <f>VLOOKUP(B560,Elements!$A$2:$B$435,2,0)</f>
        <v>368</v>
      </c>
      <c r="D560">
        <v>6</v>
      </c>
      <c r="E560" t="str">
        <f>VLOOKUP(D560,Categories!$A$2:$B$8,2,0)</f>
        <v>SXM</v>
      </c>
      <c r="F560">
        <v>24</v>
      </c>
      <c r="G560" t="str">
        <f>VLOOKUP(F560,Subcategories!$A$2:$B$29,2,0)</f>
        <v>SXM</v>
      </c>
      <c r="H560" t="str">
        <f t="shared" si="8"/>
        <v>6-24-368</v>
      </c>
      <c r="I560">
        <f>VLOOKUP(H560,SuiteCatSubElem!$F$2:$G$667,2,0)</f>
        <v>559</v>
      </c>
      <c r="J560">
        <v>369</v>
      </c>
      <c r="L560">
        <v>1</v>
      </c>
      <c r="M560" s="127">
        <v>43009.000011574077</v>
      </c>
      <c r="Q560" s="94"/>
    </row>
    <row r="561" spans="1:18">
      <c r="A561">
        <v>566</v>
      </c>
      <c r="B561" s="33" t="s">
        <v>432</v>
      </c>
      <c r="C561" s="24">
        <f>VLOOKUP(B561,Elements!$A$2:$B$435,2,0)</f>
        <v>369</v>
      </c>
      <c r="D561" s="47">
        <v>6</v>
      </c>
      <c r="E561" t="str">
        <f>VLOOKUP(D561,Categories!$A$2:$B$8,2,0)</f>
        <v>SXM</v>
      </c>
      <c r="F561">
        <v>24</v>
      </c>
      <c r="G561" t="str">
        <f>VLOOKUP(F561,Subcategories!$A$2:$B$29,2,0)</f>
        <v>SXM</v>
      </c>
      <c r="H561" t="str">
        <f t="shared" si="8"/>
        <v>6-24-369</v>
      </c>
      <c r="I561">
        <f>VLOOKUP(H561,SuiteCatSubElem!$F$2:$G$667,2,0)</f>
        <v>560</v>
      </c>
      <c r="J561">
        <v>370</v>
      </c>
      <c r="K561" s="47"/>
      <c r="L561">
        <v>1</v>
      </c>
      <c r="M561" s="127">
        <v>43009.000011574077</v>
      </c>
      <c r="Q561" s="94"/>
      <c r="R561" s="99"/>
    </row>
    <row r="562" spans="1:18">
      <c r="A562">
        <v>567</v>
      </c>
      <c r="B562" s="35" t="s">
        <v>433</v>
      </c>
      <c r="C562" s="24">
        <f>VLOOKUP(B562,Elements!$A$2:$B$435,2,0)</f>
        <v>370</v>
      </c>
      <c r="D562">
        <v>6</v>
      </c>
      <c r="E562" t="str">
        <f>VLOOKUP(D562,Categories!$A$2:$B$8,2,0)</f>
        <v>SXM</v>
      </c>
      <c r="F562">
        <v>24</v>
      </c>
      <c r="G562" t="str">
        <f>VLOOKUP(F562,Subcategories!$A$2:$B$29,2,0)</f>
        <v>SXM</v>
      </c>
      <c r="H562" t="str">
        <f t="shared" si="8"/>
        <v>6-24-370</v>
      </c>
      <c r="I562">
        <f>VLOOKUP(H562,SuiteCatSubElem!$F$2:$G$667,2,0)</f>
        <v>561</v>
      </c>
      <c r="J562">
        <v>371</v>
      </c>
      <c r="L562">
        <v>1</v>
      </c>
      <c r="M562" s="127">
        <v>43009.000011574077</v>
      </c>
      <c r="Q562" s="94"/>
    </row>
    <row r="563" spans="1:18">
      <c r="A563">
        <v>568</v>
      </c>
      <c r="B563" s="112" t="s">
        <v>434</v>
      </c>
      <c r="C563" s="24">
        <f>VLOOKUP(B563,Elements!$A$2:$B$435,2,0)</f>
        <v>371</v>
      </c>
      <c r="D563">
        <v>6</v>
      </c>
      <c r="E563" t="str">
        <f>VLOOKUP(D563,Categories!$A$2:$B$8,2,0)</f>
        <v>SXM</v>
      </c>
      <c r="F563">
        <v>25</v>
      </c>
      <c r="G563" t="str">
        <f>VLOOKUP(F563,Subcategories!$A$2:$B$29,2,0)</f>
        <v>Portal</v>
      </c>
      <c r="H563" t="str">
        <f t="shared" si="8"/>
        <v>6-25-371</v>
      </c>
      <c r="I563">
        <f>VLOOKUP(H563,SuiteCatSubElem!$F$2:$G$667,2,0)</f>
        <v>562</v>
      </c>
      <c r="J563">
        <v>372</v>
      </c>
      <c r="L563">
        <v>1</v>
      </c>
      <c r="M563" s="127">
        <v>43009.000011574077</v>
      </c>
      <c r="Q563" s="94"/>
    </row>
    <row r="564" spans="1:18">
      <c r="A564">
        <v>569</v>
      </c>
      <c r="B564" s="112" t="s">
        <v>435</v>
      </c>
      <c r="C564" s="24">
        <f>VLOOKUP(B564,Elements!$A$2:$B$435,2,0)</f>
        <v>372</v>
      </c>
      <c r="D564">
        <v>6</v>
      </c>
      <c r="E564" t="str">
        <f>VLOOKUP(D564,Categories!$A$2:$B$8,2,0)</f>
        <v>SXM</v>
      </c>
      <c r="F564">
        <v>25</v>
      </c>
      <c r="G564" t="str">
        <f>VLOOKUP(F564,Subcategories!$A$2:$B$29,2,0)</f>
        <v>Portal</v>
      </c>
      <c r="H564" t="str">
        <f t="shared" si="8"/>
        <v>6-25-372</v>
      </c>
      <c r="I564">
        <f>VLOOKUP(H564,SuiteCatSubElem!$F$2:$G$667,2,0)</f>
        <v>563</v>
      </c>
      <c r="J564">
        <v>373</v>
      </c>
      <c r="L564">
        <v>1</v>
      </c>
      <c r="M564" s="127">
        <v>43009.000011574077</v>
      </c>
      <c r="Q564" s="94"/>
    </row>
    <row r="565" spans="1:18">
      <c r="A565">
        <v>570</v>
      </c>
      <c r="B565" s="112" t="s">
        <v>135</v>
      </c>
      <c r="C565" s="24">
        <f>VLOOKUP(B565,Elements!$A$2:$B$435,2,0)</f>
        <v>101</v>
      </c>
      <c r="D565">
        <v>6</v>
      </c>
      <c r="E565" t="str">
        <f>VLOOKUP(D565,Categories!$A$2:$B$8,2,0)</f>
        <v>SXM</v>
      </c>
      <c r="F565">
        <v>25</v>
      </c>
      <c r="G565" t="str">
        <f>VLOOKUP(F565,Subcategories!$A$2:$B$29,2,0)</f>
        <v>Portal</v>
      </c>
      <c r="H565" t="str">
        <f t="shared" si="8"/>
        <v>6-25-101</v>
      </c>
      <c r="I565">
        <f>VLOOKUP(H565,SuiteCatSubElem!$F$2:$G$667,2,0)</f>
        <v>564</v>
      </c>
      <c r="J565">
        <v>450</v>
      </c>
      <c r="L565">
        <v>1</v>
      </c>
      <c r="M565" s="127">
        <v>43009.000011574077</v>
      </c>
      <c r="Q565" s="94"/>
    </row>
    <row r="566" spans="1:18">
      <c r="A566">
        <v>571</v>
      </c>
      <c r="B566" s="112" t="s">
        <v>436</v>
      </c>
      <c r="C566" s="24">
        <f>VLOOKUP(B566,Elements!$A$2:$B$435,2,0)</f>
        <v>373</v>
      </c>
      <c r="D566">
        <v>6</v>
      </c>
      <c r="E566" t="str">
        <f>VLOOKUP(D566,Categories!$A$2:$B$8,2,0)</f>
        <v>SXM</v>
      </c>
      <c r="F566">
        <v>25</v>
      </c>
      <c r="G566" t="str">
        <f>VLOOKUP(F566,Subcategories!$A$2:$B$29,2,0)</f>
        <v>Portal</v>
      </c>
      <c r="H566" t="str">
        <f t="shared" si="8"/>
        <v>6-25-373</v>
      </c>
      <c r="I566">
        <f>VLOOKUP(H566,SuiteCatSubElem!$F$2:$G$667,2,0)</f>
        <v>565</v>
      </c>
      <c r="J566">
        <v>374</v>
      </c>
      <c r="L566">
        <v>1</v>
      </c>
      <c r="M566" s="127">
        <v>43009.000011574077</v>
      </c>
      <c r="Q566" s="94"/>
    </row>
    <row r="567" spans="1:18">
      <c r="A567">
        <v>572</v>
      </c>
      <c r="B567" s="112" t="s">
        <v>437</v>
      </c>
      <c r="C567" s="24">
        <f>VLOOKUP(B567,Elements!$A$2:$B$435,2,0)</f>
        <v>374</v>
      </c>
      <c r="D567">
        <v>6</v>
      </c>
      <c r="E567" t="str">
        <f>VLOOKUP(D567,Categories!$A$2:$B$8,2,0)</f>
        <v>SXM</v>
      </c>
      <c r="F567">
        <v>25</v>
      </c>
      <c r="G567" t="str">
        <f>VLOOKUP(F567,Subcategories!$A$2:$B$29,2,0)</f>
        <v>Portal</v>
      </c>
      <c r="H567" t="str">
        <f t="shared" si="8"/>
        <v>6-25-374</v>
      </c>
      <c r="I567">
        <f>VLOOKUP(H567,SuiteCatSubElem!$F$2:$G$667,2,0)</f>
        <v>566</v>
      </c>
      <c r="J567">
        <v>375</v>
      </c>
      <c r="L567">
        <v>1</v>
      </c>
      <c r="M567" s="127">
        <v>43009.000011574077</v>
      </c>
      <c r="Q567" s="94"/>
    </row>
    <row r="568" spans="1:18" ht="30">
      <c r="A568">
        <v>573</v>
      </c>
      <c r="B568" s="112" t="s">
        <v>438</v>
      </c>
      <c r="C568" s="24">
        <f>VLOOKUP(B568,Elements!$A$2:$B$435,2,0)</f>
        <v>375</v>
      </c>
      <c r="D568" s="47">
        <v>6</v>
      </c>
      <c r="E568" t="str">
        <f>VLOOKUP(D568,Categories!$A$2:$B$8,2,0)</f>
        <v>SXM</v>
      </c>
      <c r="F568">
        <v>25</v>
      </c>
      <c r="G568" t="str">
        <f>VLOOKUP(F568,Subcategories!$A$2:$B$29,2,0)</f>
        <v>Portal</v>
      </c>
      <c r="H568" t="str">
        <f t="shared" si="8"/>
        <v>6-25-375</v>
      </c>
      <c r="I568">
        <f>VLOOKUP(H568,SuiteCatSubElem!$F$2:$G$667,2,0)</f>
        <v>567</v>
      </c>
      <c r="J568">
        <v>376</v>
      </c>
      <c r="K568" s="47"/>
      <c r="L568">
        <v>1</v>
      </c>
      <c r="M568" s="127">
        <v>43009.000011574077</v>
      </c>
      <c r="Q568" s="94"/>
      <c r="R568" s="99"/>
    </row>
    <row r="569" spans="1:18">
      <c r="A569">
        <v>574</v>
      </c>
      <c r="B569" s="112" t="s">
        <v>439</v>
      </c>
      <c r="C569" s="24">
        <f>VLOOKUP(B569,Elements!$A$2:$B$435,2,0)</f>
        <v>376</v>
      </c>
      <c r="D569">
        <v>6</v>
      </c>
      <c r="E569" t="str">
        <f>VLOOKUP(D569,Categories!$A$2:$B$8,2,0)</f>
        <v>SXM</v>
      </c>
      <c r="F569">
        <v>25</v>
      </c>
      <c r="G569" t="str">
        <f>VLOOKUP(F569,Subcategories!$A$2:$B$29,2,0)</f>
        <v>Portal</v>
      </c>
      <c r="H569" t="str">
        <f t="shared" si="8"/>
        <v>6-25-376</v>
      </c>
      <c r="I569">
        <f>VLOOKUP(H569,SuiteCatSubElem!$F$2:$G$667,2,0)</f>
        <v>568</v>
      </c>
      <c r="J569">
        <v>377</v>
      </c>
      <c r="L569">
        <v>1</v>
      </c>
      <c r="M569" s="127">
        <v>43009.000011574077</v>
      </c>
      <c r="Q569" s="94"/>
    </row>
    <row r="570" spans="1:18">
      <c r="A570">
        <v>575</v>
      </c>
      <c r="B570" s="112" t="s">
        <v>440</v>
      </c>
      <c r="C570" s="24">
        <f>VLOOKUP(B570,Elements!$A$2:$B$435,2,0)</f>
        <v>377</v>
      </c>
      <c r="D570">
        <v>6</v>
      </c>
      <c r="E570" t="str">
        <f>VLOOKUP(D570,Categories!$A$2:$B$8,2,0)</f>
        <v>SXM</v>
      </c>
      <c r="F570">
        <v>25</v>
      </c>
      <c r="G570" t="str">
        <f>VLOOKUP(F570,Subcategories!$A$2:$B$29,2,0)</f>
        <v>Portal</v>
      </c>
      <c r="H570" t="str">
        <f t="shared" si="8"/>
        <v>6-25-377</v>
      </c>
      <c r="I570">
        <f>VLOOKUP(H570,SuiteCatSubElem!$F$2:$G$667,2,0)</f>
        <v>569</v>
      </c>
      <c r="J570">
        <v>378</v>
      </c>
      <c r="L570">
        <v>1</v>
      </c>
      <c r="M570" s="127">
        <v>43009.000011574077</v>
      </c>
      <c r="Q570" s="94"/>
    </row>
    <row r="571" spans="1:18">
      <c r="A571">
        <v>576</v>
      </c>
      <c r="B571" s="112" t="s">
        <v>270</v>
      </c>
      <c r="C571" s="24">
        <f>VLOOKUP(B571,Elements!$A$2:$B$435,2,0)</f>
        <v>225</v>
      </c>
      <c r="D571">
        <v>6</v>
      </c>
      <c r="E571" t="str">
        <f>VLOOKUP(D571,Categories!$A$2:$B$8,2,0)</f>
        <v>SXM</v>
      </c>
      <c r="F571">
        <v>7</v>
      </c>
      <c r="G571" t="str">
        <f>VLOOKUP(F571,Subcategories!$A$2:$B$29,2,0)</f>
        <v>Technology</v>
      </c>
      <c r="H571" t="str">
        <f t="shared" si="8"/>
        <v>6-7-225</v>
      </c>
      <c r="I571">
        <f>VLOOKUP(H571,SuiteCatSubElem!$F$2:$G$667,2,0)</f>
        <v>570</v>
      </c>
      <c r="J571">
        <v>225</v>
      </c>
      <c r="L571">
        <v>1</v>
      </c>
      <c r="M571" s="127">
        <v>43009.000011574077</v>
      </c>
      <c r="Q571" s="94"/>
    </row>
    <row r="572" spans="1:18">
      <c r="A572">
        <v>577</v>
      </c>
      <c r="B572" s="112" t="s">
        <v>351</v>
      </c>
      <c r="C572" s="24">
        <f>VLOOKUP(B572,Elements!$A$2:$B$435,2,0)</f>
        <v>226</v>
      </c>
      <c r="D572">
        <v>6</v>
      </c>
      <c r="E572" t="str">
        <f>VLOOKUP(D572,Categories!$A$2:$B$8,2,0)</f>
        <v>SXM</v>
      </c>
      <c r="F572">
        <v>7</v>
      </c>
      <c r="G572" t="str">
        <f>VLOOKUP(F572,Subcategories!$A$2:$B$29,2,0)</f>
        <v>Technology</v>
      </c>
      <c r="H572" t="str">
        <f t="shared" si="8"/>
        <v>6-7-226</v>
      </c>
      <c r="I572">
        <f>VLOOKUP(H572,SuiteCatSubElem!$F$2:$G$667,2,0)</f>
        <v>571</v>
      </c>
      <c r="J572">
        <v>226</v>
      </c>
      <c r="L572">
        <v>1</v>
      </c>
      <c r="M572" s="127">
        <v>43009.000011574077</v>
      </c>
      <c r="Q572" s="100"/>
      <c r="R572" s="100"/>
    </row>
    <row r="573" spans="1:18">
      <c r="A573">
        <v>578</v>
      </c>
      <c r="B573" s="112" t="s">
        <v>47</v>
      </c>
      <c r="C573" s="24">
        <f>VLOOKUP(B573,Elements!$A$2:$B$435,2,0)</f>
        <v>10</v>
      </c>
      <c r="D573">
        <v>6</v>
      </c>
      <c r="E573" t="str">
        <f>VLOOKUP(D573,Categories!$A$2:$B$8,2,0)</f>
        <v>SXM</v>
      </c>
      <c r="F573">
        <v>7</v>
      </c>
      <c r="G573" t="str">
        <f>VLOOKUP(F573,Subcategories!$A$2:$B$29,2,0)</f>
        <v>Technology</v>
      </c>
      <c r="H573" t="str">
        <f t="shared" si="8"/>
        <v>6-7-10</v>
      </c>
      <c r="I573">
        <f>VLOOKUP(H573,SuiteCatSubElem!$F$2:$G$667,2,0)</f>
        <v>572</v>
      </c>
      <c r="J573">
        <v>10</v>
      </c>
      <c r="L573">
        <v>1</v>
      </c>
      <c r="M573" s="127">
        <v>43009.000011574077</v>
      </c>
      <c r="Q573" s="46"/>
      <c r="R573" s="100"/>
    </row>
    <row r="574" spans="1:18" ht="30">
      <c r="A574">
        <v>579</v>
      </c>
      <c r="B574" s="112" t="s">
        <v>441</v>
      </c>
      <c r="C574" s="24">
        <f>VLOOKUP(B574,Elements!$A$2:$B$435,2,0)</f>
        <v>378</v>
      </c>
      <c r="D574">
        <v>6</v>
      </c>
      <c r="E574" t="str">
        <f>VLOOKUP(D574,Categories!$A$2:$B$8,2,0)</f>
        <v>SXM</v>
      </c>
      <c r="F574">
        <v>7</v>
      </c>
      <c r="G574" t="str">
        <f>VLOOKUP(F574,Subcategories!$A$2:$B$29,2,0)</f>
        <v>Technology</v>
      </c>
      <c r="H574" t="str">
        <f t="shared" si="8"/>
        <v>6-7-378</v>
      </c>
      <c r="I574">
        <f>VLOOKUP(H574,SuiteCatSubElem!$F$2:$G$667,2,0)</f>
        <v>573</v>
      </c>
      <c r="J574">
        <v>379</v>
      </c>
      <c r="L574">
        <v>1</v>
      </c>
      <c r="M574" s="127">
        <v>43009.000011574077</v>
      </c>
      <c r="Q574" s="94"/>
    </row>
    <row r="575" spans="1:18">
      <c r="A575">
        <v>580</v>
      </c>
      <c r="B575" s="112" t="s">
        <v>353</v>
      </c>
      <c r="C575" s="24">
        <f>VLOOKUP(B575,Elements!$A$2:$B$435,2,0)</f>
        <v>73</v>
      </c>
      <c r="D575">
        <v>6</v>
      </c>
      <c r="E575" t="str">
        <f>VLOOKUP(D575,Categories!$A$2:$B$8,2,0)</f>
        <v>SXM</v>
      </c>
      <c r="F575">
        <v>7</v>
      </c>
      <c r="G575" t="str">
        <f>VLOOKUP(F575,Subcategories!$A$2:$B$29,2,0)</f>
        <v>Technology</v>
      </c>
      <c r="H575" t="str">
        <f t="shared" si="8"/>
        <v>6-7-73</v>
      </c>
      <c r="I575">
        <f>VLOOKUP(H575,SuiteCatSubElem!$F$2:$G$667,2,0)</f>
        <v>574</v>
      </c>
      <c r="J575">
        <v>445</v>
      </c>
      <c r="L575">
        <v>1</v>
      </c>
      <c r="M575" s="127">
        <v>43009.000011574077</v>
      </c>
      <c r="Q575" s="94"/>
    </row>
    <row r="576" spans="1:18">
      <c r="A576">
        <v>581</v>
      </c>
      <c r="B576" s="112" t="s">
        <v>354</v>
      </c>
      <c r="C576" s="24">
        <f>VLOOKUP(B576,Elements!$A$2:$B$435,2,0)</f>
        <v>74</v>
      </c>
      <c r="D576">
        <v>6</v>
      </c>
      <c r="E576" t="str">
        <f>VLOOKUP(D576,Categories!$A$2:$B$8,2,0)</f>
        <v>SXM</v>
      </c>
      <c r="F576">
        <v>7</v>
      </c>
      <c r="G576" t="str">
        <f>VLOOKUP(F576,Subcategories!$A$2:$B$29,2,0)</f>
        <v>Technology</v>
      </c>
      <c r="H576" t="str">
        <f t="shared" si="8"/>
        <v>6-7-74</v>
      </c>
      <c r="I576">
        <f>VLOOKUP(H576,SuiteCatSubElem!$F$2:$G$667,2,0)</f>
        <v>575</v>
      </c>
      <c r="J576">
        <v>74</v>
      </c>
      <c r="L576">
        <v>1</v>
      </c>
      <c r="M576" s="127">
        <v>43009.000011574077</v>
      </c>
      <c r="Q576" s="45"/>
    </row>
    <row r="577" spans="1:18">
      <c r="A577">
        <v>582</v>
      </c>
      <c r="B577" s="112" t="s">
        <v>355</v>
      </c>
      <c r="C577" s="24">
        <f>VLOOKUP(B577,Elements!$A$2:$B$435,2,0)</f>
        <v>75</v>
      </c>
      <c r="D577">
        <v>6</v>
      </c>
      <c r="E577" t="str">
        <f>VLOOKUP(D577,Categories!$A$2:$B$8,2,0)</f>
        <v>SXM</v>
      </c>
      <c r="F577">
        <v>7</v>
      </c>
      <c r="G577" t="str">
        <f>VLOOKUP(F577,Subcategories!$A$2:$B$29,2,0)</f>
        <v>Technology</v>
      </c>
      <c r="H577" t="str">
        <f t="shared" si="8"/>
        <v>6-7-75</v>
      </c>
      <c r="I577">
        <f>VLOOKUP(H577,SuiteCatSubElem!$F$2:$G$667,2,0)</f>
        <v>576</v>
      </c>
      <c r="J577">
        <v>75</v>
      </c>
      <c r="L577">
        <v>1</v>
      </c>
      <c r="M577" s="127">
        <v>43009.000011574077</v>
      </c>
      <c r="Q577" s="45"/>
    </row>
    <row r="578" spans="1:18">
      <c r="A578">
        <v>583</v>
      </c>
      <c r="B578" s="112" t="s">
        <v>357</v>
      </c>
      <c r="C578" s="24">
        <f>VLOOKUP(B578,Elements!$A$2:$B$435,2,0)</f>
        <v>301</v>
      </c>
      <c r="D578">
        <v>6</v>
      </c>
      <c r="E578" t="str">
        <f>VLOOKUP(D578,Categories!$A$2:$B$8,2,0)</f>
        <v>SXM</v>
      </c>
      <c r="F578">
        <v>7</v>
      </c>
      <c r="G578" t="str">
        <f>VLOOKUP(F578,Subcategories!$A$2:$B$29,2,0)</f>
        <v>Technology</v>
      </c>
      <c r="H578" t="str">
        <f t="shared" ref="H578:H644" si="9">_xlfn.CONCAT(D578,"-",F578,"-",C578)</f>
        <v>6-7-301</v>
      </c>
      <c r="I578">
        <f>VLOOKUP(H578,SuiteCatSubElem!$F$2:$G$667,2,0)</f>
        <v>577</v>
      </c>
      <c r="J578">
        <v>302</v>
      </c>
      <c r="L578">
        <v>1</v>
      </c>
      <c r="M578" s="127">
        <v>43009.000011574077</v>
      </c>
      <c r="Q578" s="92"/>
    </row>
    <row r="579" spans="1:18">
      <c r="A579">
        <v>584</v>
      </c>
      <c r="B579" s="112" t="s">
        <v>112</v>
      </c>
      <c r="C579" s="24">
        <f>VLOOKUP(B579,Elements!$A$2:$B$435,2,0)</f>
        <v>78</v>
      </c>
      <c r="D579">
        <v>6</v>
      </c>
      <c r="E579" t="str">
        <f>VLOOKUP(D579,Categories!$A$2:$B$8,2,0)</f>
        <v>SXM</v>
      </c>
      <c r="F579">
        <v>7</v>
      </c>
      <c r="G579" t="str">
        <f>VLOOKUP(F579,Subcategories!$A$2:$B$29,2,0)</f>
        <v>Technology</v>
      </c>
      <c r="H579" t="str">
        <f t="shared" si="9"/>
        <v>6-7-78</v>
      </c>
      <c r="I579">
        <f>VLOOKUP(H579,SuiteCatSubElem!$F$2:$G$667,2,0)</f>
        <v>578</v>
      </c>
      <c r="J579">
        <v>78</v>
      </c>
      <c r="L579">
        <v>1</v>
      </c>
      <c r="M579" s="127">
        <v>43009.000011574077</v>
      </c>
      <c r="Q579" s="45"/>
    </row>
    <row r="580" spans="1:18">
      <c r="A580">
        <v>585</v>
      </c>
      <c r="B580" s="112" t="s">
        <v>114</v>
      </c>
      <c r="C580" s="24">
        <f>VLOOKUP(B580,Elements!$A$2:$B$435,2,0)</f>
        <v>80</v>
      </c>
      <c r="D580">
        <v>6</v>
      </c>
      <c r="E580" t="str">
        <f>VLOOKUP(D580,Categories!$A$2:$B$8,2,0)</f>
        <v>SXM</v>
      </c>
      <c r="F580">
        <v>7</v>
      </c>
      <c r="G580" t="str">
        <f>VLOOKUP(F580,Subcategories!$A$2:$B$29,2,0)</f>
        <v>Technology</v>
      </c>
      <c r="H580" t="str">
        <f t="shared" si="9"/>
        <v>6-7-80</v>
      </c>
      <c r="I580">
        <f>VLOOKUP(H580,SuiteCatSubElem!$F$2:$G$667,2,0)</f>
        <v>579</v>
      </c>
      <c r="J580">
        <v>80</v>
      </c>
      <c r="L580">
        <v>1</v>
      </c>
      <c r="M580" s="127">
        <v>43009.000011574077</v>
      </c>
      <c r="Q580" s="45"/>
    </row>
    <row r="581" spans="1:18">
      <c r="A581">
        <v>586</v>
      </c>
      <c r="B581" s="112" t="s">
        <v>115</v>
      </c>
      <c r="C581" s="24">
        <f>VLOOKUP(B581,Elements!$A$2:$B$435,2,0)</f>
        <v>81</v>
      </c>
      <c r="D581">
        <v>6</v>
      </c>
      <c r="E581" t="str">
        <f>VLOOKUP(D581,Categories!$A$2:$B$8,2,0)</f>
        <v>SXM</v>
      </c>
      <c r="F581">
        <v>7</v>
      </c>
      <c r="G581" t="str">
        <f>VLOOKUP(F581,Subcategories!$A$2:$B$29,2,0)</f>
        <v>Technology</v>
      </c>
      <c r="H581" t="str">
        <f t="shared" si="9"/>
        <v>6-7-81</v>
      </c>
      <c r="I581">
        <f>VLOOKUP(H581,SuiteCatSubElem!$F$2:$G$667,2,0)</f>
        <v>580</v>
      </c>
      <c r="J581">
        <v>81</v>
      </c>
      <c r="L581">
        <v>1</v>
      </c>
      <c r="M581" s="127">
        <v>43009.000011574077</v>
      </c>
      <c r="Q581" s="134"/>
    </row>
    <row r="582" spans="1:18">
      <c r="A582">
        <v>587</v>
      </c>
      <c r="B582" s="112" t="s">
        <v>116</v>
      </c>
      <c r="C582" s="24">
        <f>VLOOKUP(B582,Elements!$A$2:$B$435,2,0)</f>
        <v>82</v>
      </c>
      <c r="D582">
        <v>6</v>
      </c>
      <c r="E582" t="str">
        <f>VLOOKUP(D582,Categories!$A$2:$B$8,2,0)</f>
        <v>SXM</v>
      </c>
      <c r="F582">
        <v>7</v>
      </c>
      <c r="G582" t="str">
        <f>VLOOKUP(F582,Subcategories!$A$2:$B$29,2,0)</f>
        <v>Technology</v>
      </c>
      <c r="H582" t="str">
        <f t="shared" si="9"/>
        <v>6-7-82</v>
      </c>
      <c r="I582">
        <f>VLOOKUP(H582,SuiteCatSubElem!$F$2:$G$667,2,0)</f>
        <v>581</v>
      </c>
      <c r="J582">
        <v>82</v>
      </c>
      <c r="L582">
        <v>1</v>
      </c>
      <c r="M582" s="127">
        <v>43009.000011574077</v>
      </c>
      <c r="Q582" s="45"/>
    </row>
    <row r="583" spans="1:18" ht="30">
      <c r="A583">
        <v>588</v>
      </c>
      <c r="B583" s="112" t="s">
        <v>279</v>
      </c>
      <c r="C583" s="24">
        <f>VLOOKUP(B583,Elements!$A$2:$B$435,2,0)</f>
        <v>234</v>
      </c>
      <c r="D583">
        <v>6</v>
      </c>
      <c r="E583" t="str">
        <f>VLOOKUP(D583,Categories!$A$2:$B$8,2,0)</f>
        <v>SXM</v>
      </c>
      <c r="F583">
        <v>7</v>
      </c>
      <c r="G583" t="str">
        <f>VLOOKUP(F583,Subcategories!$A$2:$B$29,2,0)</f>
        <v>Technology</v>
      </c>
      <c r="H583" t="str">
        <f t="shared" si="9"/>
        <v>6-7-234</v>
      </c>
      <c r="I583">
        <f>VLOOKUP(H583,SuiteCatSubElem!$F$2:$G$667,2,0)</f>
        <v>582</v>
      </c>
      <c r="J583">
        <v>234</v>
      </c>
      <c r="L583">
        <v>1</v>
      </c>
      <c r="M583" s="127">
        <v>43009.000011574077</v>
      </c>
      <c r="Q583" s="94"/>
      <c r="R583" s="100"/>
    </row>
    <row r="584" spans="1:18">
      <c r="A584">
        <v>589</v>
      </c>
      <c r="B584" s="112" t="s">
        <v>442</v>
      </c>
      <c r="C584" s="24">
        <f>VLOOKUP(B584,Elements!$A$2:$B$435,2,0)</f>
        <v>379</v>
      </c>
      <c r="D584">
        <v>6</v>
      </c>
      <c r="E584" t="str">
        <f>VLOOKUP(D584,Categories!$A$2:$B$8,2,0)</f>
        <v>SXM</v>
      </c>
      <c r="F584">
        <v>6</v>
      </c>
      <c r="G584" t="str">
        <f>VLOOKUP(F584,Subcategories!$A$2:$B$29,2,0)</f>
        <v>Configurability</v>
      </c>
      <c r="H584" t="str">
        <f t="shared" si="9"/>
        <v>6-6-379</v>
      </c>
      <c r="I584">
        <f>VLOOKUP(H584,SuiteCatSubElem!$F$2:$G$667,2,0)</f>
        <v>583</v>
      </c>
      <c r="J584">
        <v>380</v>
      </c>
      <c r="L584">
        <v>1</v>
      </c>
      <c r="M584" s="127">
        <v>43009.000011574077</v>
      </c>
      <c r="Q584" s="94"/>
    </row>
    <row r="585" spans="1:18">
      <c r="A585">
        <v>590</v>
      </c>
      <c r="B585" s="112" t="s">
        <v>443</v>
      </c>
      <c r="C585" s="24">
        <f>VLOOKUP(B585,Elements!$A$2:$B$435,2,0)</f>
        <v>380</v>
      </c>
      <c r="D585">
        <v>6</v>
      </c>
      <c r="E585" t="str">
        <f>VLOOKUP(D585,Categories!$A$2:$B$8,2,0)</f>
        <v>SXM</v>
      </c>
      <c r="F585">
        <v>6</v>
      </c>
      <c r="G585" t="str">
        <f>VLOOKUP(F585,Subcategories!$A$2:$B$29,2,0)</f>
        <v>Configurability</v>
      </c>
      <c r="H585" t="str">
        <f t="shared" si="9"/>
        <v>6-6-380</v>
      </c>
      <c r="I585">
        <f>VLOOKUP(H585,SuiteCatSubElem!$F$2:$G$667,2,0)</f>
        <v>584</v>
      </c>
      <c r="J585">
        <v>381</v>
      </c>
      <c r="L585">
        <v>1</v>
      </c>
      <c r="M585" s="127">
        <v>43009.000011574077</v>
      </c>
      <c r="Q585" s="94"/>
    </row>
    <row r="586" spans="1:18">
      <c r="A586">
        <v>591</v>
      </c>
      <c r="B586" s="112" t="s">
        <v>444</v>
      </c>
      <c r="C586" s="24">
        <f>VLOOKUP(B586,Elements!$A$2:$B$435,2,0)</f>
        <v>381</v>
      </c>
      <c r="D586">
        <v>6</v>
      </c>
      <c r="E586" t="str">
        <f>VLOOKUP(D586,Categories!$A$2:$B$8,2,0)</f>
        <v>SXM</v>
      </c>
      <c r="F586">
        <v>6</v>
      </c>
      <c r="G586" t="str">
        <f>VLOOKUP(F586,Subcategories!$A$2:$B$29,2,0)</f>
        <v>Configurability</v>
      </c>
      <c r="H586" t="str">
        <f t="shared" si="9"/>
        <v>6-6-381</v>
      </c>
      <c r="I586">
        <f>VLOOKUP(H586,SuiteCatSubElem!$F$2:$G$667,2,0)</f>
        <v>585</v>
      </c>
      <c r="J586">
        <v>382</v>
      </c>
      <c r="L586">
        <v>1</v>
      </c>
      <c r="M586" s="127">
        <v>43009.000011574077</v>
      </c>
      <c r="Q586" s="94"/>
    </row>
    <row r="587" spans="1:18">
      <c r="A587">
        <v>592</v>
      </c>
      <c r="B587" s="112" t="s">
        <v>445</v>
      </c>
      <c r="C587" s="24">
        <f>VLOOKUP(B587,Elements!$A$2:$B$435,2,0)</f>
        <v>382</v>
      </c>
      <c r="D587">
        <v>6</v>
      </c>
      <c r="E587" t="str">
        <f>VLOOKUP(D587,Categories!$A$2:$B$8,2,0)</f>
        <v>SXM</v>
      </c>
      <c r="F587">
        <v>6</v>
      </c>
      <c r="G587" t="str">
        <f>VLOOKUP(F587,Subcategories!$A$2:$B$29,2,0)</f>
        <v>Configurability</v>
      </c>
      <c r="H587" t="str">
        <f t="shared" si="9"/>
        <v>6-6-382</v>
      </c>
      <c r="I587">
        <f>VLOOKUP(H587,SuiteCatSubElem!$F$2:$G$667,2,0)</f>
        <v>586</v>
      </c>
      <c r="J587">
        <v>383</v>
      </c>
      <c r="L587">
        <v>1</v>
      </c>
      <c r="M587" s="127">
        <v>43009.000011574077</v>
      </c>
      <c r="Q587" s="94"/>
    </row>
    <row r="588" spans="1:18">
      <c r="A588">
        <v>593</v>
      </c>
      <c r="B588" s="112" t="s">
        <v>362</v>
      </c>
      <c r="C588" s="24">
        <f>VLOOKUP(B588,Elements!$A$2:$B$435,2,0)</f>
        <v>65</v>
      </c>
      <c r="D588">
        <v>6</v>
      </c>
      <c r="E588" t="str">
        <f>VLOOKUP(D588,Categories!$A$2:$B$8,2,0)</f>
        <v>SXM</v>
      </c>
      <c r="F588">
        <v>6</v>
      </c>
      <c r="G588" t="str">
        <f>VLOOKUP(F588,Subcategories!$A$2:$B$29,2,0)</f>
        <v>Configurability</v>
      </c>
      <c r="H588" t="str">
        <f t="shared" si="9"/>
        <v>6-6-65</v>
      </c>
      <c r="I588">
        <f>VLOOKUP(H588,SuiteCatSubElem!$F$2:$G$667,2,0)</f>
        <v>587</v>
      </c>
      <c r="J588">
        <v>65</v>
      </c>
      <c r="L588">
        <v>1</v>
      </c>
      <c r="M588" s="127">
        <v>43009.000011574077</v>
      </c>
      <c r="Q588" s="45"/>
    </row>
    <row r="589" spans="1:18">
      <c r="A589">
        <v>594</v>
      </c>
      <c r="B589" s="112" t="s">
        <v>285</v>
      </c>
      <c r="C589" s="24">
        <f>VLOOKUP(B589,Elements!$A$2:$B$435,2,0)</f>
        <v>240</v>
      </c>
      <c r="D589">
        <v>6</v>
      </c>
      <c r="E589" t="str">
        <f>VLOOKUP(D589,Categories!$A$2:$B$8,2,0)</f>
        <v>SXM</v>
      </c>
      <c r="F589">
        <v>6</v>
      </c>
      <c r="G589" t="str">
        <f>VLOOKUP(F589,Subcategories!$A$2:$B$29,2,0)</f>
        <v>Configurability</v>
      </c>
      <c r="H589" t="str">
        <f t="shared" si="9"/>
        <v>6-6-240</v>
      </c>
      <c r="I589">
        <f>VLOOKUP(H589,SuiteCatSubElem!$F$2:$G$667,2,0)</f>
        <v>588</v>
      </c>
      <c r="J589">
        <v>240</v>
      </c>
      <c r="L589">
        <v>1</v>
      </c>
      <c r="M589" s="127">
        <v>43009.000011574077</v>
      </c>
      <c r="Q589" s="94"/>
      <c r="R589" s="100"/>
    </row>
    <row r="590" spans="1:18">
      <c r="A590">
        <v>595</v>
      </c>
      <c r="B590" s="112" t="s">
        <v>286</v>
      </c>
      <c r="C590" s="24">
        <f>VLOOKUP(B590,Elements!$A$2:$B$435,2,0)</f>
        <v>66</v>
      </c>
      <c r="D590">
        <v>6</v>
      </c>
      <c r="E590" t="str">
        <f>VLOOKUP(D590,Categories!$A$2:$B$8,2,0)</f>
        <v>SXM</v>
      </c>
      <c r="F590">
        <v>6</v>
      </c>
      <c r="G590" t="str">
        <f>VLOOKUP(F590,Subcategories!$A$2:$B$29,2,0)</f>
        <v>Configurability</v>
      </c>
      <c r="H590" t="str">
        <f t="shared" si="9"/>
        <v>6-6-66</v>
      </c>
      <c r="I590">
        <f>VLOOKUP(H590,SuiteCatSubElem!$F$2:$G$667,2,0)</f>
        <v>589</v>
      </c>
      <c r="J590">
        <v>66</v>
      </c>
      <c r="L590">
        <v>1</v>
      </c>
      <c r="M590" s="127">
        <v>43009.000011574077</v>
      </c>
      <c r="Q590" s="45"/>
    </row>
    <row r="591" spans="1:18">
      <c r="A591">
        <v>596</v>
      </c>
      <c r="B591" s="112" t="s">
        <v>287</v>
      </c>
      <c r="C591" s="24">
        <f>VLOOKUP(B591,Elements!$A$2:$B$435,2,0)</f>
        <v>241</v>
      </c>
      <c r="D591">
        <v>6</v>
      </c>
      <c r="E591" t="str">
        <f>VLOOKUP(D591,Categories!$A$2:$B$8,2,0)</f>
        <v>SXM</v>
      </c>
      <c r="F591">
        <v>6</v>
      </c>
      <c r="G591" t="str">
        <f>VLOOKUP(F591,Subcategories!$A$2:$B$29,2,0)</f>
        <v>Configurability</v>
      </c>
      <c r="H591" t="str">
        <f t="shared" si="9"/>
        <v>6-6-241</v>
      </c>
      <c r="I591">
        <f>VLOOKUP(H591,SuiteCatSubElem!$F$2:$G$667,2,0)</f>
        <v>590</v>
      </c>
      <c r="J591">
        <v>241</v>
      </c>
      <c r="L591">
        <v>1</v>
      </c>
      <c r="M591" s="127">
        <v>43009.000011574077</v>
      </c>
      <c r="Q591" s="94"/>
      <c r="R591" s="100"/>
    </row>
    <row r="592" spans="1:18">
      <c r="A592">
        <v>597</v>
      </c>
      <c r="B592" s="112" t="s">
        <v>93</v>
      </c>
      <c r="C592" s="24">
        <f>VLOOKUP(B592,Elements!$A$2:$B$435,2,0)</f>
        <v>55</v>
      </c>
      <c r="D592">
        <v>6</v>
      </c>
      <c r="E592" t="str">
        <f>VLOOKUP(D592,Categories!$A$2:$B$8,2,0)</f>
        <v>SXM</v>
      </c>
      <c r="F592">
        <v>8</v>
      </c>
      <c r="G592" t="str">
        <f>VLOOKUP(F592,Subcategories!$A$2:$B$29,2,0)</f>
        <v>General Services</v>
      </c>
      <c r="H592" t="str">
        <f t="shared" si="9"/>
        <v>6-8-55</v>
      </c>
      <c r="I592">
        <f>VLOOKUP(H592,SuiteCatSubElem!$F$2:$G$667,2,0)</f>
        <v>591</v>
      </c>
      <c r="J592">
        <v>439</v>
      </c>
      <c r="L592">
        <v>1</v>
      </c>
      <c r="M592" s="127">
        <v>43009.000011574077</v>
      </c>
      <c r="Q592" s="94"/>
      <c r="R592" s="100"/>
    </row>
    <row r="593" spans="1:18" ht="30">
      <c r="A593">
        <v>598</v>
      </c>
      <c r="B593" s="112" t="s">
        <v>446</v>
      </c>
      <c r="C593" s="24">
        <f>VLOOKUP(B593,Elements!$A$2:$B$435,2,0)</f>
        <v>383</v>
      </c>
      <c r="D593">
        <v>6</v>
      </c>
      <c r="E593" t="str">
        <f>VLOOKUP(D593,Categories!$A$2:$B$8,2,0)</f>
        <v>SXM</v>
      </c>
      <c r="F593">
        <v>8</v>
      </c>
      <c r="G593" t="str">
        <f>VLOOKUP(F593,Subcategories!$A$2:$B$29,2,0)</f>
        <v>General Services</v>
      </c>
      <c r="H593" t="str">
        <f t="shared" si="9"/>
        <v>6-8-383</v>
      </c>
      <c r="I593">
        <f>VLOOKUP(H593,SuiteCatSubElem!$F$2:$G$667,2,0)</f>
        <v>592</v>
      </c>
      <c r="J593">
        <v>384</v>
      </c>
      <c r="L593">
        <v>1</v>
      </c>
      <c r="M593" s="127">
        <v>43009.000011574077</v>
      </c>
      <c r="Q593" s="94"/>
    </row>
    <row r="594" spans="1:18">
      <c r="A594">
        <v>599</v>
      </c>
      <c r="B594" s="112" t="s">
        <v>447</v>
      </c>
      <c r="C594" s="24">
        <f>VLOOKUP(B594,Elements!$A$2:$B$435,2,0)</f>
        <v>384</v>
      </c>
      <c r="D594">
        <v>6</v>
      </c>
      <c r="E594" t="str">
        <f>VLOOKUP(D594,Categories!$A$2:$B$8,2,0)</f>
        <v>SXM</v>
      </c>
      <c r="F594">
        <v>8</v>
      </c>
      <c r="G594" t="str">
        <f>VLOOKUP(F594,Subcategories!$A$2:$B$29,2,0)</f>
        <v>General Services</v>
      </c>
      <c r="H594" t="str">
        <f t="shared" si="9"/>
        <v>6-8-384</v>
      </c>
      <c r="I594">
        <f>VLOOKUP(H594,SuiteCatSubElem!$F$2:$G$667,2,0)</f>
        <v>593</v>
      </c>
      <c r="J594">
        <v>385</v>
      </c>
      <c r="L594">
        <v>1</v>
      </c>
      <c r="M594" s="127">
        <v>43009.000011574077</v>
      </c>
      <c r="Q594" s="94"/>
    </row>
    <row r="595" spans="1:18" ht="30">
      <c r="A595">
        <v>600</v>
      </c>
      <c r="B595" s="112" t="s">
        <v>448</v>
      </c>
      <c r="C595" s="24">
        <f>VLOOKUP(B595,Elements!$A$2:$B$435,2,0)</f>
        <v>385</v>
      </c>
      <c r="D595" s="47">
        <v>6</v>
      </c>
      <c r="E595" t="str">
        <f>VLOOKUP(D595,Categories!$A$2:$B$8,2,0)</f>
        <v>SXM</v>
      </c>
      <c r="F595">
        <v>8</v>
      </c>
      <c r="G595" t="str">
        <f>VLOOKUP(F595,Subcategories!$A$2:$B$29,2,0)</f>
        <v>General Services</v>
      </c>
      <c r="H595" t="str">
        <f t="shared" si="9"/>
        <v>6-8-385</v>
      </c>
      <c r="I595">
        <f>VLOOKUP(H595,SuiteCatSubElem!$F$2:$G$667,2,0)</f>
        <v>594</v>
      </c>
      <c r="J595">
        <v>386</v>
      </c>
      <c r="K595" s="47"/>
      <c r="L595">
        <v>1</v>
      </c>
      <c r="M595" s="127">
        <v>43009.000011574077</v>
      </c>
      <c r="Q595" s="94"/>
      <c r="R595" s="99"/>
    </row>
    <row r="596" spans="1:18" ht="30">
      <c r="A596">
        <v>601</v>
      </c>
      <c r="B596" s="117" t="s">
        <v>449</v>
      </c>
      <c r="C596" s="24">
        <f>VLOOKUP(B596,Elements!$A$2:$B$435,2,0)</f>
        <v>386</v>
      </c>
      <c r="D596">
        <v>7</v>
      </c>
      <c r="E596" t="str">
        <f>VLOOKUP(D596,Categories!$A$2:$B$8,2,0)</f>
        <v>CLM</v>
      </c>
      <c r="F596">
        <v>26</v>
      </c>
      <c r="G596" t="str">
        <f>VLOOKUP(F596,Subcategories!$A$2:$B$29,2,0)</f>
        <v>Contract Information Management</v>
      </c>
      <c r="H596" t="str">
        <f t="shared" si="9"/>
        <v>7-26-386</v>
      </c>
      <c r="I596">
        <f>VLOOKUP(H596,SuiteCatSubElem!$F$2:$G$667,2,0)</f>
        <v>595</v>
      </c>
      <c r="J596">
        <v>387</v>
      </c>
      <c r="L596">
        <v>1</v>
      </c>
      <c r="M596" s="127">
        <v>43009.000011574077</v>
      </c>
      <c r="Q596" s="106"/>
      <c r="R596" s="104"/>
    </row>
    <row r="597" spans="1:18" ht="30">
      <c r="A597">
        <v>602</v>
      </c>
      <c r="B597" s="117" t="s">
        <v>450</v>
      </c>
      <c r="C597" s="24">
        <f>VLOOKUP(B597,Elements!$A$2:$B$435,2,0)</f>
        <v>387</v>
      </c>
      <c r="D597">
        <v>7</v>
      </c>
      <c r="E597" t="str">
        <f>VLOOKUP(D597,Categories!$A$2:$B$8,2,0)</f>
        <v>CLM</v>
      </c>
      <c r="F597">
        <v>26</v>
      </c>
      <c r="G597" t="str">
        <f>VLOOKUP(F597,Subcategories!$A$2:$B$29,2,0)</f>
        <v>Contract Information Management</v>
      </c>
      <c r="H597" t="str">
        <f t="shared" si="9"/>
        <v>7-26-387</v>
      </c>
      <c r="I597">
        <f>VLOOKUP(H597,SuiteCatSubElem!$F$2:$G$667,2,0)</f>
        <v>596</v>
      </c>
      <c r="J597">
        <v>388</v>
      </c>
      <c r="L597">
        <v>1</v>
      </c>
      <c r="M597" s="127">
        <v>43009.000011574077</v>
      </c>
      <c r="Q597" s="106"/>
      <c r="R597" s="104"/>
    </row>
    <row r="598" spans="1:18">
      <c r="A598">
        <v>612</v>
      </c>
      <c r="B598" s="117" t="s">
        <v>150</v>
      </c>
      <c r="C598" s="24">
        <f>VLOOKUP(B598,Elements!$A$2:$B$435,2,0)</f>
        <v>115</v>
      </c>
      <c r="D598">
        <v>7</v>
      </c>
      <c r="E598" t="str">
        <f>VLOOKUP(D598,Categories!$A$2:$B$8,2,0)</f>
        <v>CLM</v>
      </c>
      <c r="F598">
        <v>26</v>
      </c>
      <c r="G598" t="str">
        <f>VLOOKUP(F598,Subcategories!$A$2:$B$29,2,0)</f>
        <v>Contract Information Management</v>
      </c>
      <c r="H598" t="str">
        <f t="shared" ref="H598:H603" si="10">_xlfn.CONCAT(D598,"-",F598,"-",C598)</f>
        <v>7-26-115</v>
      </c>
      <c r="I598">
        <f>VLOOKUP(H598,SuiteCatSubElem!$F$2:$G$667,2,0)</f>
        <v>597</v>
      </c>
      <c r="J598">
        <v>454</v>
      </c>
      <c r="L598">
        <v>1</v>
      </c>
      <c r="M598" s="127">
        <v>43009.000011574077</v>
      </c>
      <c r="Q598" s="94"/>
      <c r="R598" s="100"/>
    </row>
    <row r="599" spans="1:18">
      <c r="A599">
        <v>613</v>
      </c>
      <c r="B599" s="117" t="s">
        <v>246</v>
      </c>
      <c r="C599" s="24">
        <f>VLOOKUP(B599,Elements!$A$2:$B$435,2,0)</f>
        <v>206</v>
      </c>
      <c r="D599" s="47">
        <v>7</v>
      </c>
      <c r="E599" t="str">
        <f>VLOOKUP(D599,Categories!$A$2:$B$8,2,0)</f>
        <v>CLM</v>
      </c>
      <c r="F599">
        <v>26</v>
      </c>
      <c r="G599" t="str">
        <f>VLOOKUP(F599,Subcategories!$A$2:$B$29,2,0)</f>
        <v>Contract Information Management</v>
      </c>
      <c r="H599" t="str">
        <f t="shared" si="10"/>
        <v>7-26-206</v>
      </c>
      <c r="I599">
        <f>VLOOKUP(H599,SuiteCatSubElem!$F$2:$G$667,2,0)</f>
        <v>598</v>
      </c>
      <c r="J599">
        <v>206</v>
      </c>
      <c r="K599" s="47"/>
      <c r="L599">
        <v>1</v>
      </c>
      <c r="M599" s="127">
        <v>43009.000011574077</v>
      </c>
      <c r="Q599" s="106"/>
      <c r="R599" s="107"/>
    </row>
    <row r="600" spans="1:18" ht="30">
      <c r="A600">
        <v>614</v>
      </c>
      <c r="B600" s="117" t="s">
        <v>461</v>
      </c>
      <c r="C600" s="24">
        <f>VLOOKUP(B600,Elements!$A$2:$B$435,2,0)</f>
        <v>397</v>
      </c>
      <c r="D600" s="47">
        <v>7</v>
      </c>
      <c r="E600" t="str">
        <f>VLOOKUP(D600,Categories!$A$2:$B$8,2,0)</f>
        <v>CLM</v>
      </c>
      <c r="F600">
        <v>26</v>
      </c>
      <c r="G600" t="str">
        <f>VLOOKUP(F600,Subcategories!$A$2:$B$29,2,0)</f>
        <v>Contract Information Management</v>
      </c>
      <c r="H600" t="str">
        <f t="shared" si="10"/>
        <v>7-26-397</v>
      </c>
      <c r="I600">
        <f>VLOOKUP(H600,SuiteCatSubElem!$F$2:$G$667,2,0)</f>
        <v>599</v>
      </c>
      <c r="J600">
        <v>398</v>
      </c>
      <c r="K600" s="47"/>
      <c r="L600">
        <v>1</v>
      </c>
      <c r="M600" s="127">
        <v>43009.000011574077</v>
      </c>
      <c r="Q600" s="106"/>
      <c r="R600" s="106"/>
    </row>
    <row r="601" spans="1:18">
      <c r="A601">
        <v>615</v>
      </c>
      <c r="B601" s="117" t="s">
        <v>462</v>
      </c>
      <c r="C601" s="24">
        <f>VLOOKUP(B601,Elements!$A$2:$B$435,2,0)</f>
        <v>398</v>
      </c>
      <c r="D601" s="47">
        <v>7</v>
      </c>
      <c r="E601" t="str">
        <f>VLOOKUP(D601,Categories!$A$2:$B$8,2,0)</f>
        <v>CLM</v>
      </c>
      <c r="F601">
        <v>26</v>
      </c>
      <c r="G601" t="str">
        <f>VLOOKUP(F601,Subcategories!$A$2:$B$29,2,0)</f>
        <v>Contract Information Management</v>
      </c>
      <c r="H601" t="str">
        <f t="shared" si="10"/>
        <v>7-26-398</v>
      </c>
      <c r="I601">
        <f>VLOOKUP(H601,SuiteCatSubElem!$F$2:$G$667,2,0)</f>
        <v>600</v>
      </c>
      <c r="J601">
        <v>399</v>
      </c>
      <c r="K601" s="47"/>
      <c r="L601">
        <v>1</v>
      </c>
      <c r="M601" s="127">
        <v>43009.000011574077</v>
      </c>
      <c r="Q601" s="106"/>
      <c r="R601" s="106"/>
    </row>
    <row r="602" spans="1:18">
      <c r="A602">
        <v>616</v>
      </c>
      <c r="B602" s="117" t="s">
        <v>463</v>
      </c>
      <c r="C602" s="24">
        <f>VLOOKUP(B602,Elements!$A$2:$B$435,2,0)</f>
        <v>399</v>
      </c>
      <c r="D602">
        <v>7</v>
      </c>
      <c r="E602" t="str">
        <f>VLOOKUP(D602,Categories!$A$2:$B$8,2,0)</f>
        <v>CLM</v>
      </c>
      <c r="F602">
        <v>26</v>
      </c>
      <c r="G602" t="str">
        <f>VLOOKUP(F602,Subcategories!$A$2:$B$29,2,0)</f>
        <v>Contract Information Management</v>
      </c>
      <c r="H602" t="str">
        <f t="shared" si="10"/>
        <v>7-26-399</v>
      </c>
      <c r="I602">
        <f>VLOOKUP(H602,SuiteCatSubElem!$F$2:$G$667,2,0)</f>
        <v>601</v>
      </c>
      <c r="J602">
        <v>400</v>
      </c>
      <c r="L602">
        <v>1</v>
      </c>
      <c r="M602" s="127">
        <v>43009.000011574077</v>
      </c>
      <c r="Q602" s="106"/>
      <c r="R602" s="104"/>
    </row>
    <row r="603" spans="1:18">
      <c r="A603">
        <v>617</v>
      </c>
      <c r="B603" s="115" t="s">
        <v>464</v>
      </c>
      <c r="C603" s="24">
        <f>VLOOKUP(B603,Elements!$A$2:$B$435,2,0)</f>
        <v>400</v>
      </c>
      <c r="D603">
        <v>7</v>
      </c>
      <c r="E603" t="str">
        <f>VLOOKUP(D603,Categories!$A$2:$B$8,2,0)</f>
        <v>CLM</v>
      </c>
      <c r="F603">
        <v>26</v>
      </c>
      <c r="G603" t="str">
        <f>VLOOKUP(F603,Subcategories!$A$2:$B$29,2,0)</f>
        <v>Contract Information Management</v>
      </c>
      <c r="H603" t="str">
        <f t="shared" si="10"/>
        <v>7-26-400</v>
      </c>
      <c r="I603">
        <f>VLOOKUP(H603,SuiteCatSubElem!$F$2:$G$667,2,0)</f>
        <v>602</v>
      </c>
      <c r="J603">
        <v>401</v>
      </c>
      <c r="L603">
        <v>1</v>
      </c>
      <c r="M603" s="127">
        <v>43009.000011574077</v>
      </c>
      <c r="Q603" s="106"/>
      <c r="R603" s="105"/>
    </row>
    <row r="604" spans="1:18">
      <c r="B604" s="24" t="s">
        <v>1969</v>
      </c>
      <c r="C604">
        <v>435</v>
      </c>
      <c r="D604">
        <v>7</v>
      </c>
      <c r="E604" t="str">
        <f>VLOOKUP(D604,Categories!$A$2:$B$8,2,0)</f>
        <v>CLM</v>
      </c>
      <c r="F604">
        <v>26</v>
      </c>
      <c r="G604" t="str">
        <f>VLOOKUP(F604,Subcategories!$A$2:$B$29,2,0)</f>
        <v>Contract Information Management</v>
      </c>
      <c r="H604" t="str">
        <f t="shared" ref="H604:H606" si="11">_xlfn.CONCAT(D604,"-",F604,"-",C604)</f>
        <v>7-26-435</v>
      </c>
      <c r="I604">
        <f>VLOOKUP(H604,SuiteCatSubElem!$F$2:$G$667,2,0)</f>
        <v>603</v>
      </c>
      <c r="J604" s="7">
        <v>460</v>
      </c>
      <c r="M604" s="127">
        <v>43009.000011574077</v>
      </c>
      <c r="Q604" s="106"/>
      <c r="R604" s="104"/>
    </row>
    <row r="605" spans="1:18">
      <c r="B605" s="24" t="s">
        <v>244</v>
      </c>
      <c r="C605">
        <v>204</v>
      </c>
      <c r="D605">
        <v>7</v>
      </c>
      <c r="E605" t="str">
        <f>VLOOKUP(D605,Categories!$A$2:$B$8,2,0)</f>
        <v>CLM</v>
      </c>
      <c r="F605">
        <v>26</v>
      </c>
      <c r="G605" t="str">
        <f>VLOOKUP(F605,Subcategories!$A$2:$B$29,2,0)</f>
        <v>Contract Information Management</v>
      </c>
      <c r="H605" t="str">
        <f t="shared" si="11"/>
        <v>7-26-204</v>
      </c>
      <c r="I605">
        <f>VLOOKUP(H605,SuiteCatSubElem!$F$2:$G$667,2,0)</f>
        <v>604</v>
      </c>
      <c r="J605" s="7">
        <v>461</v>
      </c>
      <c r="M605" s="127">
        <v>43009.000011574077</v>
      </c>
      <c r="Q605" s="106"/>
      <c r="R605" s="104"/>
    </row>
    <row r="606" spans="1:18">
      <c r="B606" s="24" t="s">
        <v>249</v>
      </c>
      <c r="C606">
        <v>209</v>
      </c>
      <c r="D606">
        <v>7</v>
      </c>
      <c r="E606" t="str">
        <f>VLOOKUP(D606,Categories!$A$2:$B$8,2,0)</f>
        <v>CLM</v>
      </c>
      <c r="F606">
        <v>26</v>
      </c>
      <c r="G606" t="str">
        <f>VLOOKUP(F606,Subcategories!$A$2:$B$29,2,0)</f>
        <v>Contract Information Management</v>
      </c>
      <c r="H606" t="str">
        <f t="shared" si="11"/>
        <v>7-26-209</v>
      </c>
      <c r="I606">
        <f>VLOOKUP(H606,SuiteCatSubElem!$F$2:$G$667,2,0)</f>
        <v>605</v>
      </c>
      <c r="J606" s="7">
        <v>462</v>
      </c>
      <c r="M606" s="127">
        <v>43009.000011574077</v>
      </c>
      <c r="Q606" s="106"/>
      <c r="R606" s="104"/>
    </row>
    <row r="607" spans="1:18">
      <c r="A607">
        <v>603</v>
      </c>
      <c r="B607" s="116" t="s">
        <v>452</v>
      </c>
      <c r="C607" s="24">
        <f>VLOOKUP(B607,Elements!$A$2:$B$435,2,0)</f>
        <v>388</v>
      </c>
      <c r="D607">
        <v>7</v>
      </c>
      <c r="E607" t="str">
        <f>VLOOKUP(D607,Categories!$A$2:$B$8,2,0)</f>
        <v>CLM</v>
      </c>
      <c r="F607">
        <v>26</v>
      </c>
      <c r="G607" t="str">
        <f>VLOOKUP(F607,Subcategories!$A$2:$B$29,2,0)</f>
        <v>Contract Information Management</v>
      </c>
      <c r="H607" t="str">
        <f t="shared" si="9"/>
        <v>7-26-388</v>
      </c>
      <c r="I607">
        <f>VLOOKUP(H607,SuiteCatSubElem!$F$2:$G$667,2,0)</f>
        <v>606</v>
      </c>
      <c r="J607">
        <v>389</v>
      </c>
      <c r="L607">
        <v>1</v>
      </c>
      <c r="M607" s="127">
        <v>43009.000011574077</v>
      </c>
      <c r="Q607" s="106"/>
      <c r="R607" s="105"/>
    </row>
    <row r="608" spans="1:18">
      <c r="A608">
        <v>604</v>
      </c>
      <c r="B608" s="116" t="s">
        <v>453</v>
      </c>
      <c r="C608" s="24">
        <f>VLOOKUP(B608,Elements!$A$2:$B$435,2,0)</f>
        <v>389</v>
      </c>
      <c r="D608">
        <v>7</v>
      </c>
      <c r="E608" t="str">
        <f>VLOOKUP(D608,Categories!$A$2:$B$8,2,0)</f>
        <v>CLM</v>
      </c>
      <c r="F608">
        <v>26</v>
      </c>
      <c r="G608" t="str">
        <f>VLOOKUP(F608,Subcategories!$A$2:$B$29,2,0)</f>
        <v>Contract Information Management</v>
      </c>
      <c r="H608" t="str">
        <f t="shared" si="9"/>
        <v>7-26-389</v>
      </c>
      <c r="I608">
        <f>VLOOKUP(H608,SuiteCatSubElem!$F$2:$G$667,2,0)</f>
        <v>607</v>
      </c>
      <c r="J608">
        <v>390</v>
      </c>
      <c r="L608">
        <v>1</v>
      </c>
      <c r="M608" s="127">
        <v>43009.000011574077</v>
      </c>
      <c r="Q608" s="106"/>
      <c r="R608" s="105"/>
    </row>
    <row r="609" spans="1:18" s="4" customFormat="1" ht="17" thickBot="1">
      <c r="A609">
        <v>605</v>
      </c>
      <c r="B609" s="130" t="s">
        <v>454</v>
      </c>
      <c r="C609" s="24">
        <f>VLOOKUP(B609,Elements!$A$2:$B$435,2,0)</f>
        <v>390</v>
      </c>
      <c r="D609" s="4">
        <v>7</v>
      </c>
      <c r="E609" t="str">
        <f>VLOOKUP(D609,Categories!$A$2:$B$8,2,0)</f>
        <v>CLM</v>
      </c>
      <c r="F609">
        <v>26</v>
      </c>
      <c r="G609" t="str">
        <f>VLOOKUP(F609,Subcategories!$A$2:$B$29,2,0)</f>
        <v>Contract Information Management</v>
      </c>
      <c r="H609" t="str">
        <f t="shared" si="9"/>
        <v>7-26-390</v>
      </c>
      <c r="I609">
        <f>VLOOKUP(H609,SuiteCatSubElem!$F$2:$G$667,2,0)</f>
        <v>608</v>
      </c>
      <c r="J609">
        <v>391</v>
      </c>
      <c r="L609">
        <v>1</v>
      </c>
      <c r="M609" s="127">
        <v>43009.000011574077</v>
      </c>
      <c r="N609"/>
      <c r="O609"/>
      <c r="P609"/>
      <c r="Q609" s="106"/>
      <c r="R609" s="137"/>
    </row>
    <row r="610" spans="1:18">
      <c r="A610">
        <v>606</v>
      </c>
      <c r="B610" s="116" t="s">
        <v>455</v>
      </c>
      <c r="C610" s="24">
        <f>VLOOKUP(B610,Elements!$A$2:$B$435,2,0)</f>
        <v>391</v>
      </c>
      <c r="D610">
        <v>7</v>
      </c>
      <c r="E610" t="str">
        <f>VLOOKUP(D610,Categories!$A$2:$B$8,2,0)</f>
        <v>CLM</v>
      </c>
      <c r="F610">
        <v>26</v>
      </c>
      <c r="G610" t="str">
        <f>VLOOKUP(F610,Subcategories!$A$2:$B$29,2,0)</f>
        <v>Contract Information Management</v>
      </c>
      <c r="H610" t="str">
        <f t="shared" si="9"/>
        <v>7-26-391</v>
      </c>
      <c r="I610">
        <f>VLOOKUP(H610,SuiteCatSubElem!$F$2:$G$667,2,0)</f>
        <v>609</v>
      </c>
      <c r="J610">
        <v>392</v>
      </c>
      <c r="L610">
        <v>1</v>
      </c>
      <c r="M610" s="127">
        <v>43009.000011574077</v>
      </c>
      <c r="Q610" s="106"/>
      <c r="R610" s="105"/>
    </row>
    <row r="611" spans="1:18">
      <c r="A611">
        <v>607</v>
      </c>
      <c r="B611" s="116" t="s">
        <v>456</v>
      </c>
      <c r="C611" s="24">
        <f>VLOOKUP(B611,Elements!$A$2:$B$435,2,0)</f>
        <v>392</v>
      </c>
      <c r="D611">
        <v>7</v>
      </c>
      <c r="E611" t="str">
        <f>VLOOKUP(D611,Categories!$A$2:$B$8,2,0)</f>
        <v>CLM</v>
      </c>
      <c r="F611">
        <v>26</v>
      </c>
      <c r="G611" t="str">
        <f>VLOOKUP(F611,Subcategories!$A$2:$B$29,2,0)</f>
        <v>Contract Information Management</v>
      </c>
      <c r="H611" t="str">
        <f t="shared" si="9"/>
        <v>7-26-392</v>
      </c>
      <c r="I611">
        <f>VLOOKUP(H611,SuiteCatSubElem!$F$2:$G$667,2,0)</f>
        <v>610</v>
      </c>
      <c r="J611">
        <v>393</v>
      </c>
      <c r="L611">
        <v>1</v>
      </c>
      <c r="M611" s="127">
        <v>43009.000011574077</v>
      </c>
      <c r="Q611" s="106"/>
      <c r="R611" s="104"/>
    </row>
    <row r="612" spans="1:18">
      <c r="A612">
        <v>608</v>
      </c>
      <c r="B612" s="116" t="s">
        <v>457</v>
      </c>
      <c r="C612" s="24">
        <f>VLOOKUP(B612,Elements!$A$2:$B$435,2,0)</f>
        <v>393</v>
      </c>
      <c r="D612">
        <v>7</v>
      </c>
      <c r="E612" t="str">
        <f>VLOOKUP(D612,Categories!$A$2:$B$8,2,0)</f>
        <v>CLM</v>
      </c>
      <c r="F612">
        <v>26</v>
      </c>
      <c r="G612" t="str">
        <f>VLOOKUP(F612,Subcategories!$A$2:$B$29,2,0)</f>
        <v>Contract Information Management</v>
      </c>
      <c r="H612" t="str">
        <f t="shared" si="9"/>
        <v>7-26-393</v>
      </c>
      <c r="I612">
        <f>VLOOKUP(H612,SuiteCatSubElem!$F$2:$G$667,2,0)</f>
        <v>611</v>
      </c>
      <c r="J612">
        <v>394</v>
      </c>
      <c r="L612">
        <v>1</v>
      </c>
      <c r="M612" s="127">
        <v>43009.000011574077</v>
      </c>
      <c r="Q612" s="106"/>
      <c r="R612" s="105"/>
    </row>
    <row r="613" spans="1:18">
      <c r="A613">
        <v>609</v>
      </c>
      <c r="B613" s="116" t="s">
        <v>458</v>
      </c>
      <c r="C613" s="24">
        <f>VLOOKUP(B613,Elements!$A$2:$B$435,2,0)</f>
        <v>394</v>
      </c>
      <c r="D613">
        <v>7</v>
      </c>
      <c r="E613" t="str">
        <f>VLOOKUP(D613,Categories!$A$2:$B$8,2,0)</f>
        <v>CLM</v>
      </c>
      <c r="F613">
        <v>26</v>
      </c>
      <c r="G613" t="str">
        <f>VLOOKUP(F613,Subcategories!$A$2:$B$29,2,0)</f>
        <v>Contract Information Management</v>
      </c>
      <c r="H613" t="str">
        <f t="shared" si="9"/>
        <v>7-26-394</v>
      </c>
      <c r="I613">
        <f>VLOOKUP(H613,SuiteCatSubElem!$F$2:$G$667,2,0)</f>
        <v>612</v>
      </c>
      <c r="J613">
        <v>395</v>
      </c>
      <c r="L613">
        <v>1</v>
      </c>
      <c r="M613" s="127">
        <v>43009.000011574077</v>
      </c>
      <c r="Q613" s="106"/>
      <c r="R613" s="104"/>
    </row>
    <row r="614" spans="1:18">
      <c r="A614">
        <v>610</v>
      </c>
      <c r="B614" s="116" t="s">
        <v>459</v>
      </c>
      <c r="C614" s="24">
        <f>VLOOKUP(B614,Elements!$A$2:$B$435,2,0)</f>
        <v>395</v>
      </c>
      <c r="D614">
        <v>7</v>
      </c>
      <c r="E614" t="str">
        <f>VLOOKUP(D614,Categories!$A$2:$B$8,2,0)</f>
        <v>CLM</v>
      </c>
      <c r="F614">
        <v>26</v>
      </c>
      <c r="G614" t="str">
        <f>VLOOKUP(F614,Subcategories!$A$2:$B$29,2,0)</f>
        <v>Contract Information Management</v>
      </c>
      <c r="H614" t="str">
        <f t="shared" si="9"/>
        <v>7-26-395</v>
      </c>
      <c r="I614">
        <f>VLOOKUP(H614,SuiteCatSubElem!$F$2:$G$667,2,0)</f>
        <v>613</v>
      </c>
      <c r="J614">
        <v>396</v>
      </c>
      <c r="L614">
        <v>1</v>
      </c>
      <c r="M614" s="127">
        <v>43009.000011574077</v>
      </c>
      <c r="Q614" s="106"/>
      <c r="R614" s="104"/>
    </row>
    <row r="615" spans="1:18">
      <c r="A615">
        <v>611</v>
      </c>
      <c r="B615" s="116" t="s">
        <v>460</v>
      </c>
      <c r="C615" s="24">
        <f>VLOOKUP(B615,Elements!$A$2:$B$435,2,0)</f>
        <v>396</v>
      </c>
      <c r="D615">
        <v>7</v>
      </c>
      <c r="E615" t="str">
        <f>VLOOKUP(D615,Categories!$A$2:$B$8,2,0)</f>
        <v>CLM</v>
      </c>
      <c r="F615">
        <v>26</v>
      </c>
      <c r="G615" t="str">
        <f>VLOOKUP(F615,Subcategories!$A$2:$B$29,2,0)</f>
        <v>Contract Information Management</v>
      </c>
      <c r="H615" t="str">
        <f t="shared" si="9"/>
        <v>7-26-396</v>
      </c>
      <c r="I615">
        <f>VLOOKUP(H615,SuiteCatSubElem!$F$2:$G$667,2,0)</f>
        <v>614</v>
      </c>
      <c r="J615">
        <v>397</v>
      </c>
      <c r="L615">
        <v>1</v>
      </c>
      <c r="M615" s="127">
        <v>43009.000011574077</v>
      </c>
      <c r="Q615" s="106"/>
      <c r="R615" s="105"/>
    </row>
    <row r="616" spans="1:18">
      <c r="A616">
        <v>618</v>
      </c>
      <c r="B616" s="117" t="s">
        <v>466</v>
      </c>
      <c r="C616" s="24">
        <f>VLOOKUP(B616,Elements!$A$2:$B$435,2,0)</f>
        <v>401</v>
      </c>
      <c r="D616">
        <v>7</v>
      </c>
      <c r="E616" t="str">
        <f>VLOOKUP(D616,Categories!$A$2:$B$8,2,0)</f>
        <v>CLM</v>
      </c>
      <c r="F616">
        <v>27</v>
      </c>
      <c r="G616" t="str">
        <f>VLOOKUP(F616,Subcategories!$A$2:$B$29,2,0)</f>
        <v>Contract Process Management</v>
      </c>
      <c r="H616" t="str">
        <f t="shared" si="9"/>
        <v>7-27-401</v>
      </c>
      <c r="I616">
        <f>VLOOKUP(H616,SuiteCatSubElem!$F$2:$G$667,2,0)</f>
        <v>615</v>
      </c>
      <c r="J616">
        <v>402</v>
      </c>
      <c r="L616">
        <v>1</v>
      </c>
      <c r="M616" s="127">
        <v>43009.000011574077</v>
      </c>
      <c r="Q616" s="94"/>
      <c r="R616" s="100"/>
    </row>
    <row r="617" spans="1:18">
      <c r="A617">
        <v>619</v>
      </c>
      <c r="B617" s="117" t="s">
        <v>467</v>
      </c>
      <c r="C617" s="24">
        <f>VLOOKUP(B617,Elements!$A$2:$B$435,2,0)</f>
        <v>402</v>
      </c>
      <c r="D617">
        <v>7</v>
      </c>
      <c r="E617" t="str">
        <f>VLOOKUP(D617,Categories!$A$2:$B$8,2,0)</f>
        <v>CLM</v>
      </c>
      <c r="F617">
        <v>27</v>
      </c>
      <c r="G617" t="str">
        <f>VLOOKUP(F617,Subcategories!$A$2:$B$29,2,0)</f>
        <v>Contract Process Management</v>
      </c>
      <c r="H617" t="str">
        <f t="shared" si="9"/>
        <v>7-27-402</v>
      </c>
      <c r="I617">
        <f>VLOOKUP(H617,SuiteCatSubElem!$F$2:$G$667,2,0)</f>
        <v>616</v>
      </c>
      <c r="J617">
        <v>403</v>
      </c>
      <c r="L617">
        <v>1</v>
      </c>
      <c r="M617" s="127">
        <v>43009.000011574077</v>
      </c>
      <c r="Q617" s="94"/>
      <c r="R617" s="100"/>
    </row>
    <row r="618" spans="1:18">
      <c r="A618">
        <v>620</v>
      </c>
      <c r="B618" s="117" t="s">
        <v>408</v>
      </c>
      <c r="C618" s="24">
        <f>VLOOKUP(B618,Elements!$A$2:$B$435,2,0)</f>
        <v>344</v>
      </c>
      <c r="D618">
        <v>7</v>
      </c>
      <c r="E618" t="str">
        <f>VLOOKUP(D618,Categories!$A$2:$B$8,2,0)</f>
        <v>CLM</v>
      </c>
      <c r="F618">
        <v>27</v>
      </c>
      <c r="G618" t="str">
        <f>VLOOKUP(F618,Subcategories!$A$2:$B$29,2,0)</f>
        <v>Contract Process Management</v>
      </c>
      <c r="H618" t="str">
        <f t="shared" si="9"/>
        <v>7-27-344</v>
      </c>
      <c r="I618">
        <f>VLOOKUP(H618,SuiteCatSubElem!$F$2:$G$667,2,0)</f>
        <v>617</v>
      </c>
      <c r="J618">
        <v>345</v>
      </c>
      <c r="L618">
        <v>1</v>
      </c>
      <c r="M618" s="127">
        <v>43009.000011574077</v>
      </c>
      <c r="Q618" s="94"/>
    </row>
    <row r="619" spans="1:18">
      <c r="A619">
        <v>621</v>
      </c>
      <c r="B619" s="117" t="s">
        <v>469</v>
      </c>
      <c r="C619" s="24">
        <f>VLOOKUP(B619,Elements!$A$2:$B$435,2,0)</f>
        <v>403</v>
      </c>
      <c r="D619">
        <v>7</v>
      </c>
      <c r="E619" t="str">
        <f>VLOOKUP(D619,Categories!$A$2:$B$8,2,0)</f>
        <v>CLM</v>
      </c>
      <c r="F619">
        <v>27</v>
      </c>
      <c r="G619" t="str">
        <f>VLOOKUP(F619,Subcategories!$A$2:$B$29,2,0)</f>
        <v>Contract Process Management</v>
      </c>
      <c r="H619" t="str">
        <f t="shared" si="9"/>
        <v>7-27-403</v>
      </c>
      <c r="I619">
        <f>VLOOKUP(H619,SuiteCatSubElem!$F$2:$G$667,2,0)</f>
        <v>618</v>
      </c>
      <c r="J619">
        <v>404</v>
      </c>
      <c r="L619">
        <v>1</v>
      </c>
      <c r="M619" s="127">
        <v>43009.000011574077</v>
      </c>
      <c r="Q619" s="94"/>
      <c r="R619" s="100"/>
    </row>
    <row r="620" spans="1:18" ht="30">
      <c r="A620">
        <v>622</v>
      </c>
      <c r="B620" s="117" t="s">
        <v>470</v>
      </c>
      <c r="C620" s="24">
        <f>VLOOKUP(B620,Elements!$A$2:$B$435,2,0)</f>
        <v>404</v>
      </c>
      <c r="D620">
        <v>7</v>
      </c>
      <c r="E620" t="str">
        <f>VLOOKUP(D620,Categories!$A$2:$B$8,2,0)</f>
        <v>CLM</v>
      </c>
      <c r="F620">
        <v>27</v>
      </c>
      <c r="G620" t="str">
        <f>VLOOKUP(F620,Subcategories!$A$2:$B$29,2,0)</f>
        <v>Contract Process Management</v>
      </c>
      <c r="H620" t="str">
        <f t="shared" si="9"/>
        <v>7-27-404</v>
      </c>
      <c r="I620">
        <f>VLOOKUP(H620,SuiteCatSubElem!$F$2:$G$667,2,0)</f>
        <v>619</v>
      </c>
      <c r="J620">
        <v>405</v>
      </c>
      <c r="L620">
        <v>1</v>
      </c>
      <c r="M620" s="127">
        <v>43009.000011574077</v>
      </c>
      <c r="Q620" s="94"/>
      <c r="R620" s="100"/>
    </row>
    <row r="621" spans="1:18" ht="30">
      <c r="A621">
        <v>623</v>
      </c>
      <c r="B621" s="117" t="s">
        <v>520</v>
      </c>
      <c r="C621" s="24">
        <f>VLOOKUP(B621,Elements!$A$2:$B$435,2,0)</f>
        <v>405</v>
      </c>
      <c r="D621">
        <v>7</v>
      </c>
      <c r="E621" t="str">
        <f>VLOOKUP(D621,Categories!$A$2:$B$8,2,0)</f>
        <v>CLM</v>
      </c>
      <c r="F621">
        <v>27</v>
      </c>
      <c r="G621" t="str">
        <f>VLOOKUP(F621,Subcategories!$A$2:$B$29,2,0)</f>
        <v>Contract Process Management</v>
      </c>
      <c r="H621" t="str">
        <f t="shared" si="9"/>
        <v>7-27-405</v>
      </c>
      <c r="I621">
        <f>VLOOKUP(H621,SuiteCatSubElem!$F$2:$G$667,2,0)</f>
        <v>620</v>
      </c>
      <c r="J621">
        <v>406</v>
      </c>
      <c r="L621">
        <v>1</v>
      </c>
      <c r="M621" s="127">
        <v>43009.000011574077</v>
      </c>
      <c r="Q621" s="94"/>
      <c r="R621" s="100"/>
    </row>
    <row r="622" spans="1:18">
      <c r="A622">
        <v>624</v>
      </c>
      <c r="B622" s="117" t="s">
        <v>471</v>
      </c>
      <c r="C622" s="24">
        <f>VLOOKUP(B622,Elements!$A$2:$B$435,2,0)</f>
        <v>347</v>
      </c>
      <c r="D622">
        <v>7</v>
      </c>
      <c r="E622" t="str">
        <f>VLOOKUP(D622,Categories!$A$2:$B$8,2,0)</f>
        <v>CLM</v>
      </c>
      <c r="F622">
        <v>27</v>
      </c>
      <c r="G622" t="str">
        <f>VLOOKUP(F622,Subcategories!$A$2:$B$29,2,0)</f>
        <v>Contract Process Management</v>
      </c>
      <c r="H622" t="str">
        <f t="shared" si="9"/>
        <v>7-27-347</v>
      </c>
      <c r="I622">
        <f>VLOOKUP(H622,SuiteCatSubElem!$F$2:$G$667,2,0)</f>
        <v>621</v>
      </c>
      <c r="J622">
        <v>348</v>
      </c>
      <c r="L622">
        <v>1</v>
      </c>
      <c r="M622" s="127">
        <v>43009.000011574077</v>
      </c>
      <c r="Q622" s="94"/>
    </row>
    <row r="623" spans="1:18">
      <c r="A623">
        <v>625</v>
      </c>
      <c r="B623" s="117" t="s">
        <v>472</v>
      </c>
      <c r="C623" s="24">
        <f>VLOOKUP(B623,Elements!$A$2:$B$435,2,0)</f>
        <v>406</v>
      </c>
      <c r="D623">
        <v>7</v>
      </c>
      <c r="E623" t="str">
        <f>VLOOKUP(D623,Categories!$A$2:$B$8,2,0)</f>
        <v>CLM</v>
      </c>
      <c r="F623">
        <v>27</v>
      </c>
      <c r="G623" t="str">
        <f>VLOOKUP(F623,Subcategories!$A$2:$B$29,2,0)</f>
        <v>Contract Process Management</v>
      </c>
      <c r="H623" t="str">
        <f t="shared" si="9"/>
        <v>7-27-406</v>
      </c>
      <c r="I623">
        <f>VLOOKUP(H623,SuiteCatSubElem!$F$2:$G$667,2,0)</f>
        <v>622</v>
      </c>
      <c r="J623">
        <v>407</v>
      </c>
      <c r="L623">
        <v>1</v>
      </c>
      <c r="M623" s="127">
        <v>43009.000011574077</v>
      </c>
      <c r="Q623" s="106"/>
      <c r="R623" s="104"/>
    </row>
    <row r="624" spans="1:18" ht="30">
      <c r="A624">
        <v>626</v>
      </c>
      <c r="B624" s="117" t="s">
        <v>473</v>
      </c>
      <c r="C624" s="24">
        <f>VLOOKUP(B624,Elements!$A$2:$B$435,2,0)</f>
        <v>407</v>
      </c>
      <c r="D624">
        <v>7</v>
      </c>
      <c r="E624" t="str">
        <f>VLOOKUP(D624,Categories!$A$2:$B$8,2,0)</f>
        <v>CLM</v>
      </c>
      <c r="F624">
        <v>27</v>
      </c>
      <c r="G624" t="str">
        <f>VLOOKUP(F624,Subcategories!$A$2:$B$29,2,0)</f>
        <v>Contract Process Management</v>
      </c>
      <c r="H624" t="str">
        <f t="shared" si="9"/>
        <v>7-27-407</v>
      </c>
      <c r="I624">
        <f>VLOOKUP(H624,SuiteCatSubElem!$F$2:$G$667,2,0)</f>
        <v>623</v>
      </c>
      <c r="J624">
        <v>408</v>
      </c>
      <c r="L624">
        <v>1</v>
      </c>
      <c r="M624" s="127">
        <v>43009.000011574077</v>
      </c>
      <c r="Q624" s="106"/>
      <c r="R624" s="104"/>
    </row>
    <row r="625" spans="1:18">
      <c r="A625">
        <v>627</v>
      </c>
      <c r="B625" s="117" t="s">
        <v>474</v>
      </c>
      <c r="C625" s="24">
        <f>VLOOKUP(B625,Elements!$A$2:$B$435,2,0)</f>
        <v>408</v>
      </c>
      <c r="D625">
        <v>7</v>
      </c>
      <c r="E625" t="str">
        <f>VLOOKUP(D625,Categories!$A$2:$B$8,2,0)</f>
        <v>CLM</v>
      </c>
      <c r="F625">
        <v>27</v>
      </c>
      <c r="G625" t="str">
        <f>VLOOKUP(F625,Subcategories!$A$2:$B$29,2,0)</f>
        <v>Contract Process Management</v>
      </c>
      <c r="H625" t="str">
        <f t="shared" si="9"/>
        <v>7-27-408</v>
      </c>
      <c r="I625">
        <f>VLOOKUP(H625,SuiteCatSubElem!$F$2:$G$667,2,0)</f>
        <v>624</v>
      </c>
      <c r="J625">
        <v>409</v>
      </c>
      <c r="L625">
        <v>1</v>
      </c>
      <c r="M625" s="127">
        <v>43009.000011574077</v>
      </c>
      <c r="Q625" s="106"/>
      <c r="R625" s="105"/>
    </row>
    <row r="626" spans="1:18">
      <c r="A626">
        <v>628</v>
      </c>
      <c r="B626" s="117" t="s">
        <v>248</v>
      </c>
      <c r="C626" s="24">
        <f>VLOOKUP(B626,Elements!$A$2:$B$435,2,0)</f>
        <v>208</v>
      </c>
      <c r="D626">
        <v>7</v>
      </c>
      <c r="E626" t="str">
        <f>VLOOKUP(D626,Categories!$A$2:$B$8,2,0)</f>
        <v>CLM</v>
      </c>
      <c r="F626">
        <v>27</v>
      </c>
      <c r="G626" t="str">
        <f>VLOOKUP(F626,Subcategories!$A$2:$B$29,2,0)</f>
        <v>Contract Process Management</v>
      </c>
      <c r="H626" t="str">
        <f t="shared" si="9"/>
        <v>7-27-208</v>
      </c>
      <c r="I626">
        <f>VLOOKUP(H626,SuiteCatSubElem!$F$2:$G$667,2,0)</f>
        <v>625</v>
      </c>
      <c r="J626">
        <v>208</v>
      </c>
      <c r="L626">
        <v>1</v>
      </c>
      <c r="M626" s="127">
        <v>43009.000011574077</v>
      </c>
      <c r="Q626" s="100"/>
      <c r="R626" s="100"/>
    </row>
    <row r="627" spans="1:18">
      <c r="A627">
        <v>629</v>
      </c>
      <c r="B627" s="117" t="s">
        <v>476</v>
      </c>
      <c r="C627" s="24">
        <f>VLOOKUP(B627,Elements!$A$2:$B$435,2,0)</f>
        <v>409</v>
      </c>
      <c r="D627">
        <v>7</v>
      </c>
      <c r="E627" t="str">
        <f>VLOOKUP(D627,Categories!$A$2:$B$8,2,0)</f>
        <v>CLM</v>
      </c>
      <c r="F627">
        <v>27</v>
      </c>
      <c r="G627" t="str">
        <f>VLOOKUP(F627,Subcategories!$A$2:$B$29,2,0)</f>
        <v>Contract Process Management</v>
      </c>
      <c r="H627" t="str">
        <f t="shared" si="9"/>
        <v>7-27-409</v>
      </c>
      <c r="I627">
        <f>VLOOKUP(H627,SuiteCatSubElem!$F$2:$G$667,2,0)</f>
        <v>626</v>
      </c>
      <c r="J627">
        <v>410</v>
      </c>
      <c r="L627">
        <v>1</v>
      </c>
      <c r="M627" s="127">
        <v>43009.000011574077</v>
      </c>
      <c r="Q627" s="106"/>
      <c r="R627" s="105"/>
    </row>
    <row r="628" spans="1:18">
      <c r="A628">
        <v>630</v>
      </c>
      <c r="B628" s="117" t="s">
        <v>477</v>
      </c>
      <c r="C628" s="24">
        <f>VLOOKUP(B628,Elements!$A$2:$B$435,2,0)</f>
        <v>410</v>
      </c>
      <c r="D628">
        <v>7</v>
      </c>
      <c r="E628" t="str">
        <f>VLOOKUP(D628,Categories!$A$2:$B$8,2,0)</f>
        <v>CLM</v>
      </c>
      <c r="F628">
        <v>27</v>
      </c>
      <c r="G628" t="str">
        <f>VLOOKUP(F628,Subcategories!$A$2:$B$29,2,0)</f>
        <v>Contract Process Management</v>
      </c>
      <c r="H628" t="str">
        <f t="shared" si="9"/>
        <v>7-27-410</v>
      </c>
      <c r="I628">
        <f>VLOOKUP(H628,SuiteCatSubElem!$F$2:$G$667,2,0)</f>
        <v>627</v>
      </c>
      <c r="J628">
        <v>411</v>
      </c>
      <c r="L628">
        <v>1</v>
      </c>
      <c r="M628" s="127">
        <v>43009.000011574077</v>
      </c>
      <c r="Q628" s="106"/>
      <c r="R628" s="105"/>
    </row>
    <row r="629" spans="1:18" ht="30">
      <c r="A629">
        <v>631</v>
      </c>
      <c r="B629" s="117" t="s">
        <v>478</v>
      </c>
      <c r="C629" s="24">
        <f>VLOOKUP(B629,Elements!$A$2:$B$435,2,0)</f>
        <v>411</v>
      </c>
      <c r="D629">
        <v>7</v>
      </c>
      <c r="E629" t="str">
        <f>VLOOKUP(D629,Categories!$A$2:$B$8,2,0)</f>
        <v>CLM</v>
      </c>
      <c r="F629">
        <v>27</v>
      </c>
      <c r="G629" t="str">
        <f>VLOOKUP(F629,Subcategories!$A$2:$B$29,2,0)</f>
        <v>Contract Process Management</v>
      </c>
      <c r="H629" t="str">
        <f t="shared" si="9"/>
        <v>7-27-411</v>
      </c>
      <c r="I629">
        <f>VLOOKUP(H629,SuiteCatSubElem!$F$2:$G$667,2,0)</f>
        <v>628</v>
      </c>
      <c r="J629">
        <v>412</v>
      </c>
      <c r="L629">
        <v>1</v>
      </c>
      <c r="M629" s="127">
        <v>43009.000011574077</v>
      </c>
      <c r="Q629" s="106"/>
      <c r="R629" s="105"/>
    </row>
    <row r="630" spans="1:18">
      <c r="A630">
        <v>632</v>
      </c>
      <c r="B630" s="117" t="s">
        <v>479</v>
      </c>
      <c r="C630" s="24">
        <f>VLOOKUP(B630,Elements!$A$2:$B$435,2,0)</f>
        <v>412</v>
      </c>
      <c r="D630">
        <v>7</v>
      </c>
      <c r="E630" t="str">
        <f>VLOOKUP(D630,Categories!$A$2:$B$8,2,0)</f>
        <v>CLM</v>
      </c>
      <c r="F630">
        <v>27</v>
      </c>
      <c r="G630" t="str">
        <f>VLOOKUP(F630,Subcategories!$A$2:$B$29,2,0)</f>
        <v>Contract Process Management</v>
      </c>
      <c r="H630" t="str">
        <f t="shared" si="9"/>
        <v>7-27-412</v>
      </c>
      <c r="I630">
        <f>VLOOKUP(H630,SuiteCatSubElem!$F$2:$G$667,2,0)</f>
        <v>629</v>
      </c>
      <c r="J630">
        <v>413</v>
      </c>
      <c r="L630">
        <v>1</v>
      </c>
      <c r="M630" s="127">
        <v>43009.000011574077</v>
      </c>
      <c r="Q630" s="106"/>
      <c r="R630" s="105"/>
    </row>
    <row r="631" spans="1:18" ht="30">
      <c r="A631">
        <v>633</v>
      </c>
      <c r="B631" s="117" t="s">
        <v>480</v>
      </c>
      <c r="C631" s="24">
        <f>VLOOKUP(B631,Elements!$A$2:$B$435,2,0)</f>
        <v>413</v>
      </c>
      <c r="D631">
        <v>7</v>
      </c>
      <c r="E631" t="str">
        <f>VLOOKUP(D631,Categories!$A$2:$B$8,2,0)</f>
        <v>CLM</v>
      </c>
      <c r="F631">
        <v>27</v>
      </c>
      <c r="G631" t="str">
        <f>VLOOKUP(F631,Subcategories!$A$2:$B$29,2,0)</f>
        <v>Contract Process Management</v>
      </c>
      <c r="H631" t="str">
        <f t="shared" si="9"/>
        <v>7-27-413</v>
      </c>
      <c r="I631">
        <f>VLOOKUP(H631,SuiteCatSubElem!$F$2:$G$667,2,0)</f>
        <v>630</v>
      </c>
      <c r="J631">
        <v>414</v>
      </c>
      <c r="L631">
        <v>1</v>
      </c>
      <c r="M631" s="127">
        <v>43009.000011574077</v>
      </c>
      <c r="Q631" s="106"/>
      <c r="R631" s="104"/>
    </row>
    <row r="632" spans="1:18">
      <c r="A632">
        <v>634</v>
      </c>
      <c r="B632" s="123" t="s">
        <v>481</v>
      </c>
      <c r="C632" s="24">
        <f>VLOOKUP(B632,Elements!$A$2:$B$435,2,0)</f>
        <v>414</v>
      </c>
      <c r="D632">
        <v>7</v>
      </c>
      <c r="E632" t="str">
        <f>VLOOKUP(D632,Categories!$A$2:$B$8,2,0)</f>
        <v>CLM</v>
      </c>
      <c r="F632">
        <v>27</v>
      </c>
      <c r="G632" t="str">
        <f>VLOOKUP(F632,Subcategories!$A$2:$B$29,2,0)</f>
        <v>Contract Process Management</v>
      </c>
      <c r="H632" t="str">
        <f t="shared" si="9"/>
        <v>7-27-414</v>
      </c>
      <c r="I632">
        <f>VLOOKUP(H632,SuiteCatSubElem!$F$2:$G$667,2,0)</f>
        <v>631</v>
      </c>
      <c r="J632">
        <v>415</v>
      </c>
      <c r="L632">
        <v>1</v>
      </c>
      <c r="M632" s="127">
        <v>43009.000011574077</v>
      </c>
      <c r="Q632" s="94"/>
      <c r="R632" s="100"/>
    </row>
    <row r="633" spans="1:18">
      <c r="A633">
        <v>635</v>
      </c>
      <c r="B633" s="117" t="s">
        <v>483</v>
      </c>
      <c r="C633" s="24">
        <f>VLOOKUP(B633,Elements!$A$2:$B$435,2,0)</f>
        <v>415</v>
      </c>
      <c r="D633">
        <v>7</v>
      </c>
      <c r="E633" t="str">
        <f>VLOOKUP(D633,Categories!$A$2:$B$8,2,0)</f>
        <v>CLM</v>
      </c>
      <c r="F633">
        <v>27</v>
      </c>
      <c r="G633" t="str">
        <f>VLOOKUP(F633,Subcategories!$A$2:$B$29,2,0)</f>
        <v>Contract Process Management</v>
      </c>
      <c r="H633" t="str">
        <f t="shared" si="9"/>
        <v>7-27-415</v>
      </c>
      <c r="I633">
        <f>VLOOKUP(H633,SuiteCatSubElem!$F$2:$G$667,2,0)</f>
        <v>632</v>
      </c>
      <c r="J633">
        <v>416</v>
      </c>
      <c r="L633">
        <v>1</v>
      </c>
      <c r="M633" s="127">
        <v>43009.000011574077</v>
      </c>
      <c r="Q633" s="94"/>
      <c r="R633" s="100"/>
    </row>
    <row r="634" spans="1:18">
      <c r="A634">
        <v>636</v>
      </c>
      <c r="B634" s="117" t="s">
        <v>484</v>
      </c>
      <c r="C634" s="24">
        <f>VLOOKUP(B634,Elements!$A$2:$B$435,2,0)</f>
        <v>416</v>
      </c>
      <c r="D634">
        <v>7</v>
      </c>
      <c r="E634" t="str">
        <f>VLOOKUP(D634,Categories!$A$2:$B$8,2,0)</f>
        <v>CLM</v>
      </c>
      <c r="F634">
        <v>27</v>
      </c>
      <c r="G634" t="str">
        <f>VLOOKUP(F634,Subcategories!$A$2:$B$29,2,0)</f>
        <v>Contract Process Management</v>
      </c>
      <c r="H634" t="str">
        <f t="shared" si="9"/>
        <v>7-27-416</v>
      </c>
      <c r="I634">
        <f>VLOOKUP(H634,SuiteCatSubElem!$F$2:$G$667,2,0)</f>
        <v>633</v>
      </c>
      <c r="J634">
        <v>417</v>
      </c>
      <c r="L634">
        <v>1</v>
      </c>
      <c r="M634" s="127">
        <v>43009.000011574077</v>
      </c>
      <c r="Q634" s="94"/>
      <c r="R634" s="100"/>
    </row>
    <row r="635" spans="1:18" ht="30">
      <c r="A635">
        <v>637</v>
      </c>
      <c r="B635" s="117" t="s">
        <v>485</v>
      </c>
      <c r="C635" s="24">
        <f>VLOOKUP(B635,Elements!$A$2:$B$435,2,0)</f>
        <v>417</v>
      </c>
      <c r="D635">
        <v>7</v>
      </c>
      <c r="E635" t="str">
        <f>VLOOKUP(D635,Categories!$A$2:$B$8,2,0)</f>
        <v>CLM</v>
      </c>
      <c r="F635">
        <v>27</v>
      </c>
      <c r="G635" t="str">
        <f>VLOOKUP(F635,Subcategories!$A$2:$B$29,2,0)</f>
        <v>Contract Process Management</v>
      </c>
      <c r="H635" t="str">
        <f t="shared" si="9"/>
        <v>7-27-417</v>
      </c>
      <c r="I635">
        <f>VLOOKUP(H635,SuiteCatSubElem!$F$2:$G$667,2,0)</f>
        <v>634</v>
      </c>
      <c r="J635">
        <v>418</v>
      </c>
      <c r="L635">
        <v>1</v>
      </c>
      <c r="M635" s="127">
        <v>43009.000011574077</v>
      </c>
      <c r="Q635" s="94"/>
      <c r="R635" s="100"/>
    </row>
    <row r="636" spans="1:18">
      <c r="A636">
        <v>639</v>
      </c>
      <c r="B636" s="115" t="s">
        <v>487</v>
      </c>
      <c r="C636" s="24">
        <f>VLOOKUP(B636,Elements!$A$2:$B$435,2,0)</f>
        <v>418</v>
      </c>
      <c r="D636">
        <v>7</v>
      </c>
      <c r="E636" t="str">
        <f>VLOOKUP(D636,Categories!$A$2:$B$8,2,0)</f>
        <v>CLM</v>
      </c>
      <c r="F636">
        <v>28</v>
      </c>
      <c r="G636" t="str">
        <f>VLOOKUP(F636,Subcategories!$A$2:$B$29,2,0)</f>
        <v>Analytics</v>
      </c>
      <c r="H636" t="str">
        <f t="shared" si="9"/>
        <v>7-28-418</v>
      </c>
      <c r="I636">
        <f>VLOOKUP(H636,SuiteCatSubElem!$F$2:$G$667,2,0)</f>
        <v>635</v>
      </c>
      <c r="J636">
        <v>419</v>
      </c>
      <c r="L636">
        <v>1</v>
      </c>
      <c r="M636" s="127">
        <v>43009.000011574077</v>
      </c>
      <c r="Q636" s="94"/>
      <c r="R636" s="103"/>
    </row>
    <row r="637" spans="1:18" ht="30">
      <c r="A637">
        <v>640</v>
      </c>
      <c r="B637" s="115" t="s">
        <v>488</v>
      </c>
      <c r="C637" s="24">
        <f>VLOOKUP(B637,Elements!$A$2:$B$435,2,0)</f>
        <v>419</v>
      </c>
      <c r="D637">
        <v>7</v>
      </c>
      <c r="E637" t="str">
        <f>VLOOKUP(D637,Categories!$A$2:$B$8,2,0)</f>
        <v>CLM</v>
      </c>
      <c r="F637">
        <v>28</v>
      </c>
      <c r="G637" t="str">
        <f>VLOOKUP(F637,Subcategories!$A$2:$B$29,2,0)</f>
        <v>Analytics</v>
      </c>
      <c r="H637" t="str">
        <f t="shared" si="9"/>
        <v>7-28-419</v>
      </c>
      <c r="I637">
        <f>VLOOKUP(H637,SuiteCatSubElem!$F$2:$G$667,2,0)</f>
        <v>636</v>
      </c>
      <c r="J637">
        <v>420</v>
      </c>
      <c r="L637">
        <v>1</v>
      </c>
      <c r="M637" s="127">
        <v>43009.000011574077</v>
      </c>
      <c r="Q637" s="94"/>
      <c r="R637" s="103"/>
    </row>
    <row r="638" spans="1:18" ht="30">
      <c r="A638">
        <v>642</v>
      </c>
      <c r="B638" s="115" t="s">
        <v>490</v>
      </c>
      <c r="C638" s="24">
        <f>VLOOKUP(B638,Elements!$A$2:$B$435,2,0)</f>
        <v>420</v>
      </c>
      <c r="D638">
        <v>7</v>
      </c>
      <c r="E638" t="str">
        <f>VLOOKUP(D638,Categories!$A$2:$B$8,2,0)</f>
        <v>CLM</v>
      </c>
      <c r="F638">
        <v>28</v>
      </c>
      <c r="G638" t="str">
        <f>VLOOKUP(F638,Subcategories!$A$2:$B$29,2,0)</f>
        <v>Analytics</v>
      </c>
      <c r="H638" t="str">
        <f t="shared" si="9"/>
        <v>7-28-420</v>
      </c>
      <c r="I638">
        <f>VLOOKUP(H638,SuiteCatSubElem!$F$2:$G$667,2,0)</f>
        <v>637</v>
      </c>
      <c r="J638">
        <v>421</v>
      </c>
      <c r="L638">
        <v>1</v>
      </c>
      <c r="M638" s="127">
        <v>43009.000011574077</v>
      </c>
      <c r="Q638" s="94"/>
      <c r="R638" s="103"/>
    </row>
    <row r="639" spans="1:18">
      <c r="A639">
        <v>643</v>
      </c>
      <c r="B639" s="115" t="s">
        <v>491</v>
      </c>
      <c r="C639" s="24">
        <f>VLOOKUP(B639,Elements!$A$2:$B$435,2,0)</f>
        <v>421</v>
      </c>
      <c r="D639">
        <v>7</v>
      </c>
      <c r="E639" t="str">
        <f>VLOOKUP(D639,Categories!$A$2:$B$8,2,0)</f>
        <v>CLM</v>
      </c>
      <c r="F639">
        <v>28</v>
      </c>
      <c r="G639" t="str">
        <f>VLOOKUP(F639,Subcategories!$A$2:$B$29,2,0)</f>
        <v>Analytics</v>
      </c>
      <c r="H639" t="str">
        <f t="shared" si="9"/>
        <v>7-28-421</v>
      </c>
      <c r="I639">
        <f>VLOOKUP(H639,SuiteCatSubElem!$F$2:$G$667,2,0)</f>
        <v>638</v>
      </c>
      <c r="J639">
        <v>422</v>
      </c>
      <c r="L639">
        <v>1</v>
      </c>
      <c r="M639" s="127">
        <v>43009.000011574077</v>
      </c>
      <c r="Q639" s="94"/>
      <c r="R639" s="103"/>
    </row>
    <row r="640" spans="1:18" ht="30">
      <c r="A640">
        <v>644</v>
      </c>
      <c r="B640" s="115" t="s">
        <v>492</v>
      </c>
      <c r="C640" s="24">
        <f>VLOOKUP(B640,Elements!$A$2:$B$435,2,0)</f>
        <v>422</v>
      </c>
      <c r="D640">
        <v>7</v>
      </c>
      <c r="E640" t="str">
        <f>VLOOKUP(D640,Categories!$A$2:$B$8,2,0)</f>
        <v>CLM</v>
      </c>
      <c r="F640">
        <v>28</v>
      </c>
      <c r="G640" t="str">
        <f>VLOOKUP(F640,Subcategories!$A$2:$B$29,2,0)</f>
        <v>Analytics</v>
      </c>
      <c r="H640" t="str">
        <f t="shared" si="9"/>
        <v>7-28-422</v>
      </c>
      <c r="I640">
        <f>VLOOKUP(H640,SuiteCatSubElem!$F$2:$G$667,2,0)</f>
        <v>639</v>
      </c>
      <c r="J640">
        <v>423</v>
      </c>
      <c r="L640">
        <v>1</v>
      </c>
      <c r="M640" s="127">
        <v>43009.000011574077</v>
      </c>
      <c r="Q640" s="94"/>
      <c r="R640" s="103"/>
    </row>
    <row r="641" spans="1:18">
      <c r="A641">
        <v>646</v>
      </c>
      <c r="B641" s="115" t="s">
        <v>494</v>
      </c>
      <c r="C641" s="24">
        <f>VLOOKUP(B641,Elements!$A$2:$B$435,2,0)</f>
        <v>423</v>
      </c>
      <c r="D641">
        <v>7</v>
      </c>
      <c r="E641" t="str">
        <f>VLOOKUP(D641,Categories!$A$2:$B$8,2,0)</f>
        <v>CLM</v>
      </c>
      <c r="F641">
        <v>7</v>
      </c>
      <c r="G641" t="str">
        <f>VLOOKUP(F641,Subcategories!$A$2:$B$29,2,0)</f>
        <v>Technology</v>
      </c>
      <c r="H641" t="str">
        <f t="shared" si="9"/>
        <v>7-7-423</v>
      </c>
      <c r="I641">
        <f>VLOOKUP(H641,SuiteCatSubElem!$F$2:$G$667,2,0)</f>
        <v>640</v>
      </c>
      <c r="J641">
        <v>424</v>
      </c>
      <c r="L641">
        <v>1</v>
      </c>
      <c r="M641" s="127">
        <v>43009.000011574077</v>
      </c>
      <c r="Q641" s="94"/>
      <c r="R641" s="100"/>
    </row>
    <row r="642" spans="1:18">
      <c r="A642">
        <v>647</v>
      </c>
      <c r="B642" s="115" t="s">
        <v>495</v>
      </c>
      <c r="C642" s="24">
        <f>VLOOKUP(B642,Elements!$A$2:$B$435,2,0)</f>
        <v>424</v>
      </c>
      <c r="D642">
        <v>7</v>
      </c>
      <c r="E642" t="str">
        <f>VLOOKUP(D642,Categories!$A$2:$B$8,2,0)</f>
        <v>CLM</v>
      </c>
      <c r="F642">
        <v>7</v>
      </c>
      <c r="G642" t="str">
        <f>VLOOKUP(F642,Subcategories!$A$2:$B$29,2,0)</f>
        <v>Technology</v>
      </c>
      <c r="H642" t="str">
        <f t="shared" si="9"/>
        <v>7-7-424</v>
      </c>
      <c r="I642">
        <f>VLOOKUP(H642,SuiteCatSubElem!$F$2:$G$667,2,0)</f>
        <v>641</v>
      </c>
      <c r="J642">
        <v>425</v>
      </c>
      <c r="L642">
        <v>1</v>
      </c>
      <c r="M642" s="127">
        <v>43009.000011574077</v>
      </c>
      <c r="Q642" s="94"/>
      <c r="R642" s="103"/>
    </row>
    <row r="643" spans="1:18" ht="30">
      <c r="A643">
        <v>648</v>
      </c>
      <c r="B643" s="115" t="s">
        <v>496</v>
      </c>
      <c r="C643" s="24">
        <f>VLOOKUP(B643,Elements!$A$2:$B$435,2,0)</f>
        <v>425</v>
      </c>
      <c r="D643">
        <v>7</v>
      </c>
      <c r="E643" t="str">
        <f>VLOOKUP(D643,Categories!$A$2:$B$8,2,0)</f>
        <v>CLM</v>
      </c>
      <c r="F643">
        <v>7</v>
      </c>
      <c r="G643" t="str">
        <f>VLOOKUP(F643,Subcategories!$A$2:$B$29,2,0)</f>
        <v>Technology</v>
      </c>
      <c r="H643" t="str">
        <f t="shared" si="9"/>
        <v>7-7-425</v>
      </c>
      <c r="I643">
        <f>VLOOKUP(H643,SuiteCatSubElem!$F$2:$G$667,2,0)</f>
        <v>642</v>
      </c>
      <c r="J643">
        <v>426</v>
      </c>
      <c r="L643">
        <v>1</v>
      </c>
      <c r="M643" s="127">
        <v>43009.000011574077</v>
      </c>
      <c r="Q643" s="94"/>
      <c r="R643" s="100"/>
    </row>
    <row r="644" spans="1:18">
      <c r="A644">
        <v>649</v>
      </c>
      <c r="B644" s="115" t="s">
        <v>497</v>
      </c>
      <c r="C644" s="24">
        <f>VLOOKUP(B644,Elements!$A$2:$B$435,2,0)</f>
        <v>426</v>
      </c>
      <c r="D644">
        <v>7</v>
      </c>
      <c r="E644" t="str">
        <f>VLOOKUP(D644,Categories!$A$2:$B$8,2,0)</f>
        <v>CLM</v>
      </c>
      <c r="F644">
        <v>7</v>
      </c>
      <c r="G644" t="str">
        <f>VLOOKUP(F644,Subcategories!$A$2:$B$29,2,0)</f>
        <v>Technology</v>
      </c>
      <c r="H644" t="str">
        <f t="shared" si="9"/>
        <v>7-7-426</v>
      </c>
      <c r="I644">
        <f>VLOOKUP(H644,SuiteCatSubElem!$F$2:$G$667,2,0)</f>
        <v>643</v>
      </c>
      <c r="J644">
        <v>427</v>
      </c>
      <c r="L644">
        <v>1</v>
      </c>
      <c r="M644" s="127">
        <v>43009.000011574077</v>
      </c>
      <c r="Q644" s="94"/>
      <c r="R644" s="103"/>
    </row>
    <row r="645" spans="1:18">
      <c r="A645">
        <v>650</v>
      </c>
      <c r="B645" s="115" t="s">
        <v>351</v>
      </c>
      <c r="C645" s="24">
        <f>VLOOKUP(B645,Elements!$A$2:$B$435,2,0)</f>
        <v>226</v>
      </c>
      <c r="D645" s="47">
        <v>7</v>
      </c>
      <c r="E645" t="str">
        <f>VLOOKUP(D645,Categories!$A$2:$B$8,2,0)</f>
        <v>CLM</v>
      </c>
      <c r="F645">
        <v>7</v>
      </c>
      <c r="G645" t="str">
        <f>VLOOKUP(F645,Subcategories!$A$2:$B$29,2,0)</f>
        <v>Technology</v>
      </c>
      <c r="H645" t="str">
        <f t="shared" ref="H645:H667" si="12">_xlfn.CONCAT(D645,"-",F645,"-",C645)</f>
        <v>7-7-226</v>
      </c>
      <c r="I645">
        <f>VLOOKUP(H645,SuiteCatSubElem!$F$2:$G$667,2,0)</f>
        <v>644</v>
      </c>
      <c r="J645">
        <v>226</v>
      </c>
      <c r="K645" s="47"/>
      <c r="L645">
        <v>1</v>
      </c>
      <c r="M645" s="127">
        <v>43009.000011574077</v>
      </c>
      <c r="Q645" s="100"/>
      <c r="R645" s="94"/>
    </row>
    <row r="646" spans="1:18">
      <c r="A646">
        <v>651</v>
      </c>
      <c r="B646" s="115" t="s">
        <v>498</v>
      </c>
      <c r="C646" s="24">
        <f>VLOOKUP(B646,Elements!$A$2:$B$435,2,0)</f>
        <v>427</v>
      </c>
      <c r="D646">
        <v>7</v>
      </c>
      <c r="E646" t="str">
        <f>VLOOKUP(D646,Categories!$A$2:$B$8,2,0)</f>
        <v>CLM</v>
      </c>
      <c r="F646">
        <v>7</v>
      </c>
      <c r="G646" t="str">
        <f>VLOOKUP(F646,Subcategories!$A$2:$B$29,2,0)</f>
        <v>Technology</v>
      </c>
      <c r="H646" t="str">
        <f t="shared" si="12"/>
        <v>7-7-427</v>
      </c>
      <c r="I646">
        <f>VLOOKUP(H646,SuiteCatSubElem!$F$2:$G$667,2,0)</f>
        <v>645</v>
      </c>
      <c r="J646">
        <v>428</v>
      </c>
      <c r="L646">
        <v>1</v>
      </c>
      <c r="M646" s="127">
        <v>43009.000011574077</v>
      </c>
      <c r="Q646" s="94"/>
      <c r="R646" s="103"/>
    </row>
    <row r="647" spans="1:18">
      <c r="A647">
        <v>652</v>
      </c>
      <c r="B647" s="115" t="s">
        <v>47</v>
      </c>
      <c r="C647" s="24">
        <f>VLOOKUP(B647,Elements!$A$2:$B$435,2,0)</f>
        <v>10</v>
      </c>
      <c r="D647">
        <v>7</v>
      </c>
      <c r="E647" t="str">
        <f>VLOOKUP(D647,Categories!$A$2:$B$8,2,0)</f>
        <v>CLM</v>
      </c>
      <c r="F647">
        <v>7</v>
      </c>
      <c r="G647" t="str">
        <f>VLOOKUP(F647,Subcategories!$A$2:$B$29,2,0)</f>
        <v>Technology</v>
      </c>
      <c r="H647" t="str">
        <f t="shared" si="12"/>
        <v>7-7-10</v>
      </c>
      <c r="I647">
        <f>VLOOKUP(H647,SuiteCatSubElem!$F$2:$G$667,2,0)</f>
        <v>646</v>
      </c>
      <c r="J647">
        <v>436</v>
      </c>
      <c r="L647">
        <v>1</v>
      </c>
      <c r="M647" s="127">
        <v>43009.000011574077</v>
      </c>
      <c r="Q647" s="46"/>
      <c r="R647" s="100"/>
    </row>
    <row r="648" spans="1:18" ht="30">
      <c r="A648">
        <v>653</v>
      </c>
      <c r="B648" s="115" t="s">
        <v>499</v>
      </c>
      <c r="C648" s="24">
        <f>VLOOKUP(B648,Elements!$A$2:$B$435,2,0)</f>
        <v>428</v>
      </c>
      <c r="D648">
        <v>7</v>
      </c>
      <c r="E648" t="str">
        <f>VLOOKUP(D648,Categories!$A$2:$B$8,2,0)</f>
        <v>CLM</v>
      </c>
      <c r="F648">
        <v>7</v>
      </c>
      <c r="G648" t="str">
        <f>VLOOKUP(F648,Subcategories!$A$2:$B$29,2,0)</f>
        <v>Technology</v>
      </c>
      <c r="H648" t="str">
        <f t="shared" si="12"/>
        <v>7-7-428</v>
      </c>
      <c r="I648">
        <f>VLOOKUP(H648,SuiteCatSubElem!$F$2:$G$667,2,0)</f>
        <v>647</v>
      </c>
      <c r="J648">
        <v>429</v>
      </c>
      <c r="L648">
        <v>1</v>
      </c>
      <c r="M648" s="127">
        <v>43009.000011574077</v>
      </c>
      <c r="Q648" s="94"/>
      <c r="R648" s="103"/>
    </row>
    <row r="649" spans="1:18">
      <c r="A649">
        <v>654</v>
      </c>
      <c r="B649" s="115" t="s">
        <v>353</v>
      </c>
      <c r="C649" s="24">
        <f>VLOOKUP(B649,Elements!$A$2:$B$435,2,0)</f>
        <v>73</v>
      </c>
      <c r="D649">
        <v>7</v>
      </c>
      <c r="E649" t="str">
        <f>VLOOKUP(D649,Categories!$A$2:$B$8,2,0)</f>
        <v>CLM</v>
      </c>
      <c r="F649">
        <v>7</v>
      </c>
      <c r="G649" t="str">
        <f>VLOOKUP(F649,Subcategories!$A$2:$B$29,2,0)</f>
        <v>Technology</v>
      </c>
      <c r="H649" t="str">
        <f t="shared" si="12"/>
        <v>7-7-73</v>
      </c>
      <c r="I649">
        <f>VLOOKUP(H649,SuiteCatSubElem!$F$2:$G$667,2,0)</f>
        <v>648</v>
      </c>
      <c r="J649">
        <v>445</v>
      </c>
      <c r="L649">
        <v>1</v>
      </c>
      <c r="M649" s="127">
        <v>43009.000011574077</v>
      </c>
      <c r="Q649" s="94"/>
      <c r="R649" s="103"/>
    </row>
    <row r="650" spans="1:18">
      <c r="A650">
        <v>655</v>
      </c>
      <c r="B650" s="115" t="s">
        <v>354</v>
      </c>
      <c r="C650" s="24">
        <f>VLOOKUP(B650,Elements!$A$2:$B$435,2,0)</f>
        <v>74</v>
      </c>
      <c r="D650">
        <v>7</v>
      </c>
      <c r="E650" t="str">
        <f>VLOOKUP(D650,Categories!$A$2:$B$8,2,0)</f>
        <v>CLM</v>
      </c>
      <c r="F650">
        <v>7</v>
      </c>
      <c r="G650" t="str">
        <f>VLOOKUP(F650,Subcategories!$A$2:$B$29,2,0)</f>
        <v>Technology</v>
      </c>
      <c r="H650" t="str">
        <f t="shared" si="12"/>
        <v>7-7-74</v>
      </c>
      <c r="I650">
        <f>VLOOKUP(H650,SuiteCatSubElem!$F$2:$G$667,2,0)</f>
        <v>649</v>
      </c>
      <c r="J650">
        <v>74</v>
      </c>
      <c r="L650">
        <v>1</v>
      </c>
      <c r="M650" s="127">
        <v>43009.000011574077</v>
      </c>
      <c r="Q650" s="45"/>
      <c r="R650" s="103"/>
    </row>
    <row r="651" spans="1:18">
      <c r="A651">
        <v>656</v>
      </c>
      <c r="B651" s="115" t="s">
        <v>355</v>
      </c>
      <c r="C651" s="24">
        <f>VLOOKUP(B651,Elements!$A$2:$B$435,2,0)</f>
        <v>75</v>
      </c>
      <c r="D651">
        <v>7</v>
      </c>
      <c r="E651" t="str">
        <f>VLOOKUP(D651,Categories!$A$2:$B$8,2,0)</f>
        <v>CLM</v>
      </c>
      <c r="F651">
        <v>7</v>
      </c>
      <c r="G651" t="str">
        <f>VLOOKUP(F651,Subcategories!$A$2:$B$29,2,0)</f>
        <v>Technology</v>
      </c>
      <c r="H651" t="str">
        <f t="shared" si="12"/>
        <v>7-7-75</v>
      </c>
      <c r="I651">
        <f>VLOOKUP(H651,SuiteCatSubElem!$F$2:$G$667,2,0)</f>
        <v>650</v>
      </c>
      <c r="J651">
        <v>75</v>
      </c>
      <c r="L651">
        <v>1</v>
      </c>
      <c r="M651" s="127">
        <v>43009.000011574077</v>
      </c>
      <c r="Q651" s="45"/>
    </row>
    <row r="652" spans="1:18">
      <c r="A652">
        <v>657</v>
      </c>
      <c r="B652" s="115" t="s">
        <v>286</v>
      </c>
      <c r="C652" s="24">
        <f>VLOOKUP(B652,Elements!$A$2:$B$435,2,0)</f>
        <v>66</v>
      </c>
      <c r="D652">
        <v>7</v>
      </c>
      <c r="E652" t="str">
        <f>VLOOKUP(D652,Categories!$A$2:$B$8,2,0)</f>
        <v>CLM</v>
      </c>
      <c r="F652">
        <v>7</v>
      </c>
      <c r="G652" t="str">
        <f>VLOOKUP(F652,Subcategories!$A$2:$B$29,2,0)</f>
        <v>Technology</v>
      </c>
      <c r="H652" t="str">
        <f t="shared" si="12"/>
        <v>7-7-66</v>
      </c>
      <c r="I652">
        <f>VLOOKUP(H652,SuiteCatSubElem!$F$2:$G$667,2,0)</f>
        <v>651</v>
      </c>
      <c r="J652">
        <v>442</v>
      </c>
      <c r="L652">
        <v>1</v>
      </c>
      <c r="M652" s="127">
        <v>43009.000011574077</v>
      </c>
      <c r="Q652" s="94"/>
      <c r="R652" s="103"/>
    </row>
    <row r="653" spans="1:18">
      <c r="A653">
        <v>658</v>
      </c>
      <c r="B653" s="115" t="s">
        <v>112</v>
      </c>
      <c r="C653" s="24">
        <f>VLOOKUP(B653,Elements!$A$2:$B$435,2,0)</f>
        <v>78</v>
      </c>
      <c r="D653">
        <v>7</v>
      </c>
      <c r="E653" t="str">
        <f>VLOOKUP(D653,Categories!$A$2:$B$8,2,0)</f>
        <v>CLM</v>
      </c>
      <c r="F653">
        <v>7</v>
      </c>
      <c r="G653" t="str">
        <f>VLOOKUP(F653,Subcategories!$A$2:$B$29,2,0)</f>
        <v>Technology</v>
      </c>
      <c r="H653" t="str">
        <f t="shared" si="12"/>
        <v>7-7-78</v>
      </c>
      <c r="I653">
        <f>VLOOKUP(H653,SuiteCatSubElem!$F$2:$G$667,2,0)</f>
        <v>652</v>
      </c>
      <c r="J653">
        <v>78</v>
      </c>
      <c r="L653">
        <v>1</v>
      </c>
      <c r="M653" s="127">
        <v>43009.000011574077</v>
      </c>
      <c r="Q653" s="45"/>
    </row>
    <row r="654" spans="1:18">
      <c r="A654">
        <v>659</v>
      </c>
      <c r="B654" s="115" t="s">
        <v>500</v>
      </c>
      <c r="C654" s="24">
        <f>VLOOKUP(B654,Elements!$A$2:$B$435,2,0)</f>
        <v>429</v>
      </c>
      <c r="D654">
        <v>7</v>
      </c>
      <c r="E654" t="str">
        <f>VLOOKUP(D654,Categories!$A$2:$B$8,2,0)</f>
        <v>CLM</v>
      </c>
      <c r="F654">
        <v>7</v>
      </c>
      <c r="G654" t="str">
        <f>VLOOKUP(F654,Subcategories!$A$2:$B$29,2,0)</f>
        <v>Technology</v>
      </c>
      <c r="H654" t="str">
        <f t="shared" si="12"/>
        <v>7-7-429</v>
      </c>
      <c r="I654">
        <f>VLOOKUP(H654,SuiteCatSubElem!$F$2:$G$667,2,0)</f>
        <v>653</v>
      </c>
      <c r="J654">
        <v>430</v>
      </c>
      <c r="L654">
        <v>1</v>
      </c>
      <c r="M654" s="127">
        <v>43009.000011574077</v>
      </c>
      <c r="Q654" s="94"/>
      <c r="R654" s="103"/>
    </row>
    <row r="655" spans="1:18">
      <c r="A655">
        <v>660</v>
      </c>
      <c r="B655" s="115" t="s">
        <v>501</v>
      </c>
      <c r="C655" s="24">
        <f>VLOOKUP(B655,Elements!$A$2:$B$435,2,0)</f>
        <v>430</v>
      </c>
      <c r="D655">
        <v>7</v>
      </c>
      <c r="E655" t="str">
        <f>VLOOKUP(D655,Categories!$A$2:$B$8,2,0)</f>
        <v>CLM</v>
      </c>
      <c r="F655">
        <v>7</v>
      </c>
      <c r="G655" t="str">
        <f>VLOOKUP(F655,Subcategories!$A$2:$B$29,2,0)</f>
        <v>Technology</v>
      </c>
      <c r="H655" t="str">
        <f t="shared" si="12"/>
        <v>7-7-430</v>
      </c>
      <c r="I655">
        <f>VLOOKUP(H655,SuiteCatSubElem!$F$2:$G$667,2,0)</f>
        <v>654</v>
      </c>
      <c r="J655">
        <v>431</v>
      </c>
      <c r="L655">
        <v>1</v>
      </c>
      <c r="M655" s="127">
        <v>43009.000011574077</v>
      </c>
      <c r="Q655" s="94"/>
      <c r="R655" s="103"/>
    </row>
    <row r="656" spans="1:18">
      <c r="A656">
        <v>661</v>
      </c>
      <c r="B656" s="115" t="s">
        <v>114</v>
      </c>
      <c r="C656" s="24">
        <f>VLOOKUP(B656,Elements!$A$2:$B$435,2,0)</f>
        <v>80</v>
      </c>
      <c r="D656">
        <v>7</v>
      </c>
      <c r="E656" t="str">
        <f>VLOOKUP(D656,Categories!$A$2:$B$8,2,0)</f>
        <v>CLM</v>
      </c>
      <c r="F656">
        <v>7</v>
      </c>
      <c r="G656" t="str">
        <f>VLOOKUP(F656,Subcategories!$A$2:$B$29,2,0)</f>
        <v>Technology</v>
      </c>
      <c r="H656" t="str">
        <f t="shared" si="12"/>
        <v>7-7-80</v>
      </c>
      <c r="I656">
        <f>VLOOKUP(H656,SuiteCatSubElem!$F$2:$G$667,2,0)</f>
        <v>655</v>
      </c>
      <c r="J656">
        <v>80</v>
      </c>
      <c r="L656">
        <v>1</v>
      </c>
      <c r="M656" s="127">
        <v>43009.000011574077</v>
      </c>
      <c r="Q656" s="45"/>
    </row>
    <row r="657" spans="1:18">
      <c r="A657">
        <v>662</v>
      </c>
      <c r="B657" s="115" t="s">
        <v>115</v>
      </c>
      <c r="C657" s="24">
        <f>VLOOKUP(B657,Elements!$A$2:$B$435,2,0)</f>
        <v>81</v>
      </c>
      <c r="D657">
        <v>7</v>
      </c>
      <c r="E657" t="str">
        <f>VLOOKUP(D657,Categories!$A$2:$B$8,2,0)</f>
        <v>CLM</v>
      </c>
      <c r="F657">
        <v>7</v>
      </c>
      <c r="G657" t="str">
        <f>VLOOKUP(F657,Subcategories!$A$2:$B$29,2,0)</f>
        <v>Technology</v>
      </c>
      <c r="H657" t="str">
        <f t="shared" si="12"/>
        <v>7-7-81</v>
      </c>
      <c r="I657">
        <f>VLOOKUP(H657,SuiteCatSubElem!$F$2:$G$667,2,0)</f>
        <v>656</v>
      </c>
      <c r="J657">
        <v>81</v>
      </c>
      <c r="L657">
        <v>1</v>
      </c>
      <c r="M657" s="127">
        <v>43009.000011574077</v>
      </c>
      <c r="Q657" s="134"/>
    </row>
    <row r="658" spans="1:18">
      <c r="A658">
        <v>663</v>
      </c>
      <c r="B658" s="115" t="s">
        <v>1979</v>
      </c>
      <c r="C658" s="24">
        <f>VLOOKUP(B658,Elements!$A$2:$B$437,2,0)</f>
        <v>436</v>
      </c>
      <c r="D658">
        <v>7</v>
      </c>
      <c r="E658" t="str">
        <f>VLOOKUP(D658,Categories!$A$2:$B$8,2,0)</f>
        <v>CLM</v>
      </c>
      <c r="F658">
        <v>7</v>
      </c>
      <c r="G658" t="str">
        <f>VLOOKUP(F658,Subcategories!$A$2:$B$29,2,0)</f>
        <v>Technology</v>
      </c>
      <c r="H658" t="str">
        <f t="shared" si="12"/>
        <v>7-7-436</v>
      </c>
      <c r="I658">
        <f>VLOOKUP(H658,SuiteCatSubElem!$F$2:$G$667,2,0)</f>
        <v>657</v>
      </c>
      <c r="J658">
        <v>82</v>
      </c>
      <c r="L658">
        <v>1</v>
      </c>
      <c r="M658" s="127">
        <v>43009.000011574077</v>
      </c>
      <c r="Q658" s="45"/>
    </row>
    <row r="659" spans="1:18">
      <c r="A659">
        <v>665</v>
      </c>
      <c r="B659" s="115" t="s">
        <v>503</v>
      </c>
      <c r="C659" s="24">
        <f>VLOOKUP(B659,Elements!$A$2:$B$435,2,0)</f>
        <v>432</v>
      </c>
      <c r="D659">
        <v>7</v>
      </c>
      <c r="E659" t="str">
        <f>VLOOKUP(D659,Categories!$A$2:$B$8,2,0)</f>
        <v>CLM</v>
      </c>
      <c r="F659">
        <v>7</v>
      </c>
      <c r="G659" t="str">
        <f>VLOOKUP(F659,Subcategories!$A$2:$B$29,2,0)</f>
        <v>Technology</v>
      </c>
      <c r="H659" t="str">
        <f t="shared" si="12"/>
        <v>7-7-432</v>
      </c>
      <c r="I659">
        <f>VLOOKUP(H659,SuiteCatSubElem!$F$2:$G$667,2,0)</f>
        <v>658</v>
      </c>
      <c r="J659">
        <v>433</v>
      </c>
      <c r="L659">
        <v>1</v>
      </c>
      <c r="M659" s="127">
        <v>43009.000011574077</v>
      </c>
      <c r="Q659" s="94"/>
      <c r="R659" s="103"/>
    </row>
    <row r="660" spans="1:18">
      <c r="A660">
        <v>666</v>
      </c>
      <c r="B660" s="115" t="s">
        <v>276</v>
      </c>
      <c r="C660" s="24">
        <f>VLOOKUP(B660,Elements!$A$2:$B$435,2,0)</f>
        <v>231</v>
      </c>
      <c r="D660">
        <v>7</v>
      </c>
      <c r="E660" t="str">
        <f>VLOOKUP(D660,Categories!$A$2:$B$8,2,0)</f>
        <v>CLM</v>
      </c>
      <c r="F660">
        <v>7</v>
      </c>
      <c r="G660" t="str">
        <f>VLOOKUP(F660,Subcategories!$A$2:$B$29,2,0)</f>
        <v>Technology</v>
      </c>
      <c r="H660" t="str">
        <f t="shared" si="12"/>
        <v>7-7-231</v>
      </c>
      <c r="I660">
        <f>VLOOKUP(H660,SuiteCatSubElem!$F$2:$G$667,2,0)</f>
        <v>659</v>
      </c>
      <c r="J660">
        <v>231</v>
      </c>
      <c r="L660">
        <v>1</v>
      </c>
      <c r="M660" s="127">
        <v>43009.000011574077</v>
      </c>
      <c r="Q660" s="94"/>
      <c r="R660" s="100"/>
    </row>
    <row r="661" spans="1:18">
      <c r="A661">
        <v>667</v>
      </c>
      <c r="B661" s="115" t="s">
        <v>277</v>
      </c>
      <c r="C661" s="24">
        <f>VLOOKUP(B661,Elements!$A$2:$B$435,2,0)</f>
        <v>232</v>
      </c>
      <c r="D661">
        <v>7</v>
      </c>
      <c r="E661" t="str">
        <f>VLOOKUP(D661,Categories!$A$2:$B$8,2,0)</f>
        <v>CLM</v>
      </c>
      <c r="F661">
        <v>7</v>
      </c>
      <c r="G661" t="str">
        <f>VLOOKUP(F661,Subcategories!$A$2:$B$29,2,0)</f>
        <v>Technology</v>
      </c>
      <c r="H661" t="str">
        <f t="shared" si="12"/>
        <v>7-7-232</v>
      </c>
      <c r="I661">
        <f>VLOOKUP(H661,SuiteCatSubElem!$F$2:$G$667,2,0)</f>
        <v>660</v>
      </c>
      <c r="J661">
        <v>232</v>
      </c>
      <c r="L661">
        <v>1</v>
      </c>
      <c r="M661" s="127">
        <v>43009.000011574077</v>
      </c>
      <c r="Q661" s="100"/>
      <c r="R661" s="100"/>
    </row>
    <row r="662" spans="1:18">
      <c r="A662">
        <v>668</v>
      </c>
      <c r="B662" s="115" t="s">
        <v>278</v>
      </c>
      <c r="C662" s="24">
        <f>VLOOKUP(B662,Elements!$A$2:$B$435,2,0)</f>
        <v>233</v>
      </c>
      <c r="D662">
        <v>7</v>
      </c>
      <c r="E662" t="str">
        <f>VLOOKUP(D662,Categories!$A$2:$B$8,2,0)</f>
        <v>CLM</v>
      </c>
      <c r="F662">
        <v>7</v>
      </c>
      <c r="G662" t="str">
        <f>VLOOKUP(F662,Subcategories!$A$2:$B$29,2,0)</f>
        <v>Technology</v>
      </c>
      <c r="H662" t="str">
        <f t="shared" si="12"/>
        <v>7-7-233</v>
      </c>
      <c r="I662">
        <f>VLOOKUP(H662,SuiteCatSubElem!$F$2:$G$667,2,0)</f>
        <v>661</v>
      </c>
      <c r="J662">
        <v>233</v>
      </c>
      <c r="L662">
        <v>1</v>
      </c>
      <c r="M662" s="127">
        <v>43009.000011574077</v>
      </c>
      <c r="Q662" s="94"/>
      <c r="R662" s="100"/>
    </row>
    <row r="663" spans="1:18">
      <c r="A663">
        <v>669</v>
      </c>
      <c r="B663" s="115" t="s">
        <v>521</v>
      </c>
      <c r="C663" s="24">
        <f>VLOOKUP(B663,Elements!$A$2:$B$435,2,0)</f>
        <v>433</v>
      </c>
      <c r="D663">
        <v>7</v>
      </c>
      <c r="E663" t="str">
        <f>VLOOKUP(D663,Categories!$A$2:$B$8,2,0)</f>
        <v>CLM</v>
      </c>
      <c r="F663">
        <v>6</v>
      </c>
      <c r="G663" t="str">
        <f>VLOOKUP(F663,Subcategories!$A$2:$B$29,2,0)</f>
        <v>Configurability</v>
      </c>
      <c r="H663" t="str">
        <f t="shared" si="12"/>
        <v>7-6-433</v>
      </c>
      <c r="I663">
        <f>VLOOKUP(H663,SuiteCatSubElem!$F$2:$G$667,2,0)</f>
        <v>662</v>
      </c>
      <c r="J663">
        <v>434</v>
      </c>
      <c r="L663">
        <v>1</v>
      </c>
      <c r="M663" s="127">
        <v>43009.000011574077</v>
      </c>
      <c r="Q663" s="94"/>
    </row>
    <row r="664" spans="1:18">
      <c r="A664">
        <v>670</v>
      </c>
      <c r="B664" s="115" t="s">
        <v>362</v>
      </c>
      <c r="C664" s="24">
        <f>VLOOKUP(B664,Elements!$A$2:$B$435,2,0)</f>
        <v>65</v>
      </c>
      <c r="D664">
        <v>7</v>
      </c>
      <c r="E664" t="str">
        <f>VLOOKUP(D664,Categories!$A$2:$B$8,2,0)</f>
        <v>CLM</v>
      </c>
      <c r="F664">
        <v>6</v>
      </c>
      <c r="G664" t="str">
        <f>VLOOKUP(F664,Subcategories!$A$2:$B$29,2,0)</f>
        <v>Configurability</v>
      </c>
      <c r="H664" t="str">
        <f t="shared" si="12"/>
        <v>7-6-65</v>
      </c>
      <c r="I664">
        <f>VLOOKUP(H664,SuiteCatSubElem!$F$2:$G$667,2,0)</f>
        <v>663</v>
      </c>
      <c r="J664">
        <v>65</v>
      </c>
      <c r="L664">
        <v>1</v>
      </c>
      <c r="M664" s="127">
        <v>43009.000011574077</v>
      </c>
      <c r="Q664" s="45"/>
    </row>
    <row r="665" spans="1:18">
      <c r="A665">
        <v>671</v>
      </c>
      <c r="B665" s="115" t="s">
        <v>285</v>
      </c>
      <c r="C665" s="24">
        <f>VLOOKUP(B665,Elements!$A$2:$B$435,2,0)</f>
        <v>240</v>
      </c>
      <c r="D665">
        <v>7</v>
      </c>
      <c r="E665" t="str">
        <f>VLOOKUP(D665,Categories!$A$2:$B$8,2,0)</f>
        <v>CLM</v>
      </c>
      <c r="F665">
        <v>6</v>
      </c>
      <c r="G665" t="str">
        <f>VLOOKUP(F665,Subcategories!$A$2:$B$29,2,0)</f>
        <v>Configurability</v>
      </c>
      <c r="H665" t="str">
        <f t="shared" si="12"/>
        <v>7-6-240</v>
      </c>
      <c r="I665">
        <f>VLOOKUP(H665,SuiteCatSubElem!$F$2:$G$667,2,0)</f>
        <v>664</v>
      </c>
      <c r="J665">
        <v>240</v>
      </c>
      <c r="L665">
        <v>1</v>
      </c>
      <c r="M665" s="127">
        <v>43009.000011574077</v>
      </c>
      <c r="Q665" s="94"/>
      <c r="R665" s="100"/>
    </row>
    <row r="666" spans="1:18">
      <c r="A666">
        <v>672</v>
      </c>
      <c r="B666" s="115" t="s">
        <v>287</v>
      </c>
      <c r="C666" s="24">
        <f>VLOOKUP(B666,Elements!$A$2:$B$435,2,0)</f>
        <v>241</v>
      </c>
      <c r="D666">
        <v>7</v>
      </c>
      <c r="E666" t="str">
        <f>VLOOKUP(D666,Categories!$A$2:$B$8,2,0)</f>
        <v>CLM</v>
      </c>
      <c r="F666">
        <v>6</v>
      </c>
      <c r="G666" t="str">
        <f>VLOOKUP(F666,Subcategories!$A$2:$B$29,2,0)</f>
        <v>Configurability</v>
      </c>
      <c r="H666" t="str">
        <f t="shared" si="12"/>
        <v>7-6-241</v>
      </c>
      <c r="I666">
        <f>VLOOKUP(H666,SuiteCatSubElem!$F$2:$G$667,2,0)</f>
        <v>665</v>
      </c>
      <c r="J666">
        <v>241</v>
      </c>
      <c r="L666">
        <v>1</v>
      </c>
      <c r="M666" s="127">
        <v>43009.000011574077</v>
      </c>
      <c r="Q666" s="94"/>
      <c r="R666" s="100"/>
    </row>
    <row r="667" spans="1:18">
      <c r="A667">
        <v>673</v>
      </c>
      <c r="B667" s="115" t="s">
        <v>12</v>
      </c>
      <c r="C667" s="24">
        <f>VLOOKUP(B667,Elements!$A$2:$B$435,2,0)</f>
        <v>434</v>
      </c>
      <c r="D667">
        <v>7</v>
      </c>
      <c r="E667" t="str">
        <f>VLOOKUP(D667,Categories!$A$2:$B$8,2,0)</f>
        <v>CLM</v>
      </c>
      <c r="F667">
        <v>8</v>
      </c>
      <c r="G667" t="str">
        <f>VLOOKUP(F667,Subcategories!$A$2:$B$29,2,0)</f>
        <v>General Services</v>
      </c>
      <c r="H667" t="str">
        <f t="shared" si="12"/>
        <v>7-8-434</v>
      </c>
      <c r="I667">
        <f>VLOOKUP(H667,SuiteCatSubElem!$F$2:$G$667,2,0)</f>
        <v>666</v>
      </c>
      <c r="J667">
        <v>435</v>
      </c>
      <c r="L667">
        <v>1</v>
      </c>
      <c r="M667" s="127">
        <v>43009.000011574077</v>
      </c>
      <c r="Q667" s="9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62B7F-E7CC-0B40-85EB-EFBCD955A6F3}">
  <sheetPr codeName="Sheet13"/>
  <dimension ref="A1:C29"/>
  <sheetViews>
    <sheetView workbookViewId="0"/>
  </sheetViews>
  <sheetFormatPr baseColWidth="10" defaultRowHeight="16"/>
  <cols>
    <col min="1" max="1" width="12.83203125" bestFit="1" customWidth="1"/>
    <col min="2" max="2" width="30.1640625" bestFit="1" customWidth="1"/>
    <col min="3" max="3" width="12.83203125" bestFit="1" customWidth="1"/>
  </cols>
  <sheetData>
    <row r="1" spans="1:3">
      <c r="A1" t="s">
        <v>3</v>
      </c>
      <c r="B1" t="s">
        <v>0</v>
      </c>
      <c r="C1" t="s">
        <v>3</v>
      </c>
    </row>
    <row r="2" spans="1:3">
      <c r="A2">
        <v>1</v>
      </c>
      <c r="B2" t="s">
        <v>5</v>
      </c>
      <c r="C2">
        <v>1</v>
      </c>
    </row>
    <row r="3" spans="1:3">
      <c r="A3">
        <v>2</v>
      </c>
      <c r="B3" t="s">
        <v>6</v>
      </c>
      <c r="C3">
        <v>2</v>
      </c>
    </row>
    <row r="4" spans="1:3">
      <c r="A4">
        <v>3</v>
      </c>
      <c r="B4" t="s">
        <v>7</v>
      </c>
      <c r="C4">
        <v>3</v>
      </c>
    </row>
    <row r="5" spans="1:3">
      <c r="A5">
        <v>4</v>
      </c>
      <c r="B5" t="s">
        <v>8</v>
      </c>
      <c r="C5">
        <v>4</v>
      </c>
    </row>
    <row r="6" spans="1:3">
      <c r="A6">
        <v>5</v>
      </c>
      <c r="B6" t="s">
        <v>9</v>
      </c>
      <c r="C6">
        <v>5</v>
      </c>
    </row>
    <row r="7" spans="1:3">
      <c r="A7">
        <v>6</v>
      </c>
      <c r="B7" t="s">
        <v>10</v>
      </c>
      <c r="C7">
        <v>6</v>
      </c>
    </row>
    <row r="8" spans="1:3">
      <c r="A8">
        <v>7</v>
      </c>
      <c r="B8" t="s">
        <v>11</v>
      </c>
      <c r="C8">
        <v>7</v>
      </c>
    </row>
    <row r="9" spans="1:3">
      <c r="A9">
        <v>8</v>
      </c>
      <c r="B9" t="s">
        <v>12</v>
      </c>
      <c r="C9">
        <v>8</v>
      </c>
    </row>
    <row r="10" spans="1:3">
      <c r="A10">
        <v>9</v>
      </c>
      <c r="B10" t="s">
        <v>13</v>
      </c>
      <c r="C10">
        <v>9</v>
      </c>
    </row>
    <row r="11" spans="1:3">
      <c r="A11">
        <v>10</v>
      </c>
      <c r="B11" t="s">
        <v>14</v>
      </c>
      <c r="C11">
        <v>10</v>
      </c>
    </row>
    <row r="12" spans="1:3">
      <c r="A12">
        <v>11</v>
      </c>
      <c r="B12" t="s">
        <v>15</v>
      </c>
      <c r="C12">
        <v>11</v>
      </c>
    </row>
    <row r="13" spans="1:3">
      <c r="A13">
        <v>12</v>
      </c>
      <c r="B13" t="s">
        <v>16</v>
      </c>
      <c r="C13">
        <v>12</v>
      </c>
    </row>
    <row r="14" spans="1:3">
      <c r="A14">
        <v>13</v>
      </c>
      <c r="B14" t="s">
        <v>17</v>
      </c>
      <c r="C14">
        <v>13</v>
      </c>
    </row>
    <row r="15" spans="1:3">
      <c r="A15">
        <v>14</v>
      </c>
      <c r="B15" t="s">
        <v>18</v>
      </c>
      <c r="C15">
        <v>14</v>
      </c>
    </row>
    <row r="16" spans="1:3">
      <c r="A16">
        <v>15</v>
      </c>
      <c r="B16" t="s">
        <v>19</v>
      </c>
      <c r="C16">
        <v>15</v>
      </c>
    </row>
    <row r="17" spans="1:3">
      <c r="A17">
        <v>16</v>
      </c>
      <c r="B17" t="s">
        <v>20</v>
      </c>
      <c r="C17">
        <v>16</v>
      </c>
    </row>
    <row r="18" spans="1:3">
      <c r="A18">
        <v>17</v>
      </c>
      <c r="B18" t="s">
        <v>21</v>
      </c>
      <c r="C18">
        <v>17</v>
      </c>
    </row>
    <row r="19" spans="1:3">
      <c r="A19">
        <v>18</v>
      </c>
      <c r="B19" t="s">
        <v>22</v>
      </c>
      <c r="C19">
        <v>18</v>
      </c>
    </row>
    <row r="20" spans="1:3">
      <c r="A20">
        <v>19</v>
      </c>
      <c r="B20" t="s">
        <v>23</v>
      </c>
      <c r="C20">
        <v>19</v>
      </c>
    </row>
    <row r="21" spans="1:3">
      <c r="A21">
        <v>20</v>
      </c>
      <c r="B21" t="s">
        <v>24</v>
      </c>
      <c r="C21">
        <v>20</v>
      </c>
    </row>
    <row r="22" spans="1:3">
      <c r="A22">
        <v>21</v>
      </c>
      <c r="B22" t="s">
        <v>25</v>
      </c>
      <c r="C22">
        <v>21</v>
      </c>
    </row>
    <row r="23" spans="1:3">
      <c r="A23">
        <v>22</v>
      </c>
      <c r="B23" t="s">
        <v>26</v>
      </c>
      <c r="C23">
        <v>22</v>
      </c>
    </row>
    <row r="24" spans="1:3">
      <c r="A24">
        <v>23</v>
      </c>
      <c r="B24" t="s">
        <v>27</v>
      </c>
      <c r="C24">
        <v>23</v>
      </c>
    </row>
    <row r="25" spans="1:3">
      <c r="A25">
        <v>24</v>
      </c>
      <c r="B25" t="s">
        <v>28</v>
      </c>
      <c r="C25">
        <v>24</v>
      </c>
    </row>
    <row r="26" spans="1:3">
      <c r="A26">
        <v>25</v>
      </c>
      <c r="B26" t="s">
        <v>29</v>
      </c>
      <c r="C26">
        <v>25</v>
      </c>
    </row>
    <row r="27" spans="1:3">
      <c r="A27">
        <v>26</v>
      </c>
      <c r="B27" t="s">
        <v>30</v>
      </c>
      <c r="C27">
        <v>26</v>
      </c>
    </row>
    <row r="28" spans="1:3">
      <c r="A28">
        <v>27</v>
      </c>
      <c r="B28" t="s">
        <v>31</v>
      </c>
      <c r="C28">
        <v>27</v>
      </c>
    </row>
    <row r="29" spans="1:3">
      <c r="A29">
        <v>28</v>
      </c>
      <c r="B29" t="s">
        <v>32</v>
      </c>
      <c r="C29">
        <v>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179AD-A3C8-3142-A108-1D000AB3811B}">
  <sheetPr codeName="Sheet4"/>
  <dimension ref="A1:G667"/>
  <sheetViews>
    <sheetView workbookViewId="0">
      <selection activeCell="E13" sqref="E13"/>
    </sheetView>
  </sheetViews>
  <sheetFormatPr baseColWidth="10" defaultRowHeight="16"/>
  <cols>
    <col min="1" max="1" width="49.6640625" bestFit="1" customWidth="1"/>
  </cols>
  <sheetData>
    <row r="1" spans="1:7" ht="17" thickBot="1">
      <c r="A1" s="37" t="s">
        <v>506</v>
      </c>
      <c r="B1" s="27" t="s">
        <v>1</v>
      </c>
      <c r="C1" s="27" t="s">
        <v>2</v>
      </c>
      <c r="D1" s="27" t="s">
        <v>3</v>
      </c>
      <c r="E1" s="27" t="s">
        <v>34</v>
      </c>
      <c r="F1" s="37" t="s">
        <v>1085</v>
      </c>
      <c r="G1" s="27" t="s">
        <v>531</v>
      </c>
    </row>
    <row r="2" spans="1:7">
      <c r="A2" s="28" t="s">
        <v>517</v>
      </c>
      <c r="B2">
        <v>1</v>
      </c>
      <c r="C2">
        <v>1</v>
      </c>
      <c r="D2">
        <v>1</v>
      </c>
      <c r="E2">
        <f>VLOOKUP(A2,Elements!$A$2:$B$435,2,0)</f>
        <v>1</v>
      </c>
      <c r="F2" t="str">
        <f>_xlfn.CONCAT(C2,"-",D2,"-",E2)</f>
        <v>1-1-1</v>
      </c>
      <c r="G2">
        <v>1</v>
      </c>
    </row>
    <row r="3" spans="1:7">
      <c r="A3" s="29" t="s">
        <v>39</v>
      </c>
      <c r="B3">
        <v>1</v>
      </c>
      <c r="C3">
        <v>1</v>
      </c>
      <c r="D3">
        <v>1</v>
      </c>
      <c r="E3">
        <f>VLOOKUP(A3,Elements!$A$2:$B$435,2,0)</f>
        <v>2</v>
      </c>
      <c r="F3" t="str">
        <f t="shared" ref="F3:F66" si="0">_xlfn.CONCAT(C3,"-",D3,"-",E3)</f>
        <v>1-1-2</v>
      </c>
      <c r="G3">
        <v>2</v>
      </c>
    </row>
    <row r="4" spans="1:7">
      <c r="A4" s="29" t="s">
        <v>518</v>
      </c>
      <c r="B4">
        <v>1</v>
      </c>
      <c r="C4">
        <v>1</v>
      </c>
      <c r="D4">
        <v>1</v>
      </c>
      <c r="E4">
        <f>VLOOKUP(A4,Elements!$A$2:$B$435,2,0)</f>
        <v>3</v>
      </c>
      <c r="F4" t="str">
        <f t="shared" si="0"/>
        <v>1-1-3</v>
      </c>
      <c r="G4">
        <v>3</v>
      </c>
    </row>
    <row r="5" spans="1:7">
      <c r="A5" s="29" t="s">
        <v>41</v>
      </c>
      <c r="B5">
        <v>1</v>
      </c>
      <c r="C5">
        <v>1</v>
      </c>
      <c r="D5">
        <v>1</v>
      </c>
      <c r="E5">
        <f>VLOOKUP(A5,Elements!$A$2:$B$435,2,0)</f>
        <v>4</v>
      </c>
      <c r="F5" t="str">
        <f t="shared" si="0"/>
        <v>1-1-4</v>
      </c>
      <c r="G5">
        <v>4</v>
      </c>
    </row>
    <row r="6" spans="1:7">
      <c r="A6" s="29" t="s">
        <v>519</v>
      </c>
      <c r="B6">
        <v>1</v>
      </c>
      <c r="C6">
        <v>1</v>
      </c>
      <c r="D6">
        <v>1</v>
      </c>
      <c r="E6">
        <f>VLOOKUP(A6,Elements!$A$2:$B$435,2,0)</f>
        <v>5</v>
      </c>
      <c r="F6" t="str">
        <f t="shared" si="0"/>
        <v>1-1-5</v>
      </c>
      <c r="G6">
        <v>5</v>
      </c>
    </row>
    <row r="7" spans="1:7">
      <c r="A7" s="29" t="s">
        <v>43</v>
      </c>
      <c r="B7">
        <v>1</v>
      </c>
      <c r="C7">
        <v>1</v>
      </c>
      <c r="D7">
        <v>1</v>
      </c>
      <c r="E7">
        <f>VLOOKUP(A7,Elements!$A$2:$B$435,2,0)</f>
        <v>6</v>
      </c>
      <c r="F7" t="str">
        <f t="shared" si="0"/>
        <v>1-1-6</v>
      </c>
      <c r="G7">
        <v>6</v>
      </c>
    </row>
    <row r="8" spans="1:7">
      <c r="A8" s="29" t="s">
        <v>44</v>
      </c>
      <c r="B8">
        <v>1</v>
      </c>
      <c r="C8">
        <v>1</v>
      </c>
      <c r="D8">
        <v>1</v>
      </c>
      <c r="E8">
        <f>VLOOKUP(A8,Elements!$A$2:$B$435,2,0)</f>
        <v>7</v>
      </c>
      <c r="F8" t="str">
        <f t="shared" si="0"/>
        <v>1-1-7</v>
      </c>
      <c r="G8">
        <v>7</v>
      </c>
    </row>
    <row r="9" spans="1:7">
      <c r="A9" s="29" t="s">
        <v>45</v>
      </c>
      <c r="B9">
        <v>1</v>
      </c>
      <c r="C9">
        <v>1</v>
      </c>
      <c r="D9">
        <v>1</v>
      </c>
      <c r="E9">
        <f>VLOOKUP(A9,Elements!$A$2:$B$435,2,0)</f>
        <v>8</v>
      </c>
      <c r="F9" t="str">
        <f t="shared" si="0"/>
        <v>1-1-8</v>
      </c>
      <c r="G9">
        <v>8</v>
      </c>
    </row>
    <row r="10" spans="1:7">
      <c r="A10" s="29" t="s">
        <v>46</v>
      </c>
      <c r="B10">
        <v>1</v>
      </c>
      <c r="C10">
        <v>1</v>
      </c>
      <c r="D10">
        <v>1</v>
      </c>
      <c r="E10">
        <f>VLOOKUP(A10,Elements!$A$2:$B$435,2,0)</f>
        <v>9</v>
      </c>
      <c r="F10" t="str">
        <f t="shared" si="0"/>
        <v>1-1-9</v>
      </c>
      <c r="G10">
        <v>9</v>
      </c>
    </row>
    <row r="11" spans="1:7">
      <c r="A11" s="29" t="s">
        <v>47</v>
      </c>
      <c r="B11">
        <v>1</v>
      </c>
      <c r="C11">
        <v>1</v>
      </c>
      <c r="D11">
        <v>1</v>
      </c>
      <c r="E11">
        <f>VLOOKUP(A11,Elements!$A$2:$B$435,2,0)</f>
        <v>10</v>
      </c>
      <c r="F11" t="str">
        <f t="shared" si="0"/>
        <v>1-1-10</v>
      </c>
      <c r="G11">
        <v>10</v>
      </c>
    </row>
    <row r="12" spans="1:7">
      <c r="A12" s="29" t="s">
        <v>48</v>
      </c>
      <c r="B12">
        <v>1</v>
      </c>
      <c r="C12">
        <v>1</v>
      </c>
      <c r="D12">
        <v>1</v>
      </c>
      <c r="E12">
        <f>VLOOKUP(A12,Elements!$A$2:$B$435,2,0)</f>
        <v>11</v>
      </c>
      <c r="F12" t="str">
        <f t="shared" si="0"/>
        <v>1-1-11</v>
      </c>
      <c r="G12">
        <v>11</v>
      </c>
    </row>
    <row r="13" spans="1:7" ht="17" thickBot="1">
      <c r="A13" s="30" t="s">
        <v>516</v>
      </c>
      <c r="B13">
        <v>1</v>
      </c>
      <c r="C13">
        <v>1</v>
      </c>
      <c r="D13">
        <v>1</v>
      </c>
      <c r="E13">
        <f>VLOOKUP(A13,Elements!$A$2:$B$435,2,0)</f>
        <v>12</v>
      </c>
      <c r="F13" t="str">
        <f t="shared" si="0"/>
        <v>1-1-12</v>
      </c>
      <c r="G13">
        <v>12</v>
      </c>
    </row>
    <row r="14" spans="1:7">
      <c r="A14" s="29" t="s">
        <v>51</v>
      </c>
      <c r="B14">
        <v>1</v>
      </c>
      <c r="C14">
        <v>1</v>
      </c>
      <c r="D14">
        <v>2</v>
      </c>
      <c r="E14">
        <f>VLOOKUP(A14,Elements!$A$2:$B$435,2,0)</f>
        <v>13</v>
      </c>
      <c r="F14" t="str">
        <f t="shared" si="0"/>
        <v>1-2-13</v>
      </c>
      <c r="G14">
        <v>13</v>
      </c>
    </row>
    <row r="15" spans="1:7">
      <c r="A15" s="29" t="s">
        <v>52</v>
      </c>
      <c r="B15">
        <v>1</v>
      </c>
      <c r="C15">
        <v>1</v>
      </c>
      <c r="D15">
        <v>2</v>
      </c>
      <c r="E15">
        <f>VLOOKUP(A15,Elements!$A$2:$B$435,2,0)</f>
        <v>14</v>
      </c>
      <c r="F15" t="str">
        <f t="shared" si="0"/>
        <v>1-2-14</v>
      </c>
      <c r="G15">
        <v>14</v>
      </c>
    </row>
    <row r="16" spans="1:7">
      <c r="A16" s="29" t="s">
        <v>507</v>
      </c>
      <c r="B16">
        <v>1</v>
      </c>
      <c r="C16">
        <v>1</v>
      </c>
      <c r="D16">
        <v>2</v>
      </c>
      <c r="E16">
        <f>VLOOKUP(A16,Elements!$A$2:$B$435,2,0)</f>
        <v>15</v>
      </c>
      <c r="F16" t="str">
        <f t="shared" si="0"/>
        <v>1-2-15</v>
      </c>
      <c r="G16">
        <v>15</v>
      </c>
    </row>
    <row r="17" spans="1:7">
      <c r="A17" s="29" t="s">
        <v>54</v>
      </c>
      <c r="B17">
        <v>1</v>
      </c>
      <c r="C17">
        <v>1</v>
      </c>
      <c r="D17">
        <v>2</v>
      </c>
      <c r="E17">
        <f>VLOOKUP(A17,Elements!$A$2:$B$435,2,0)</f>
        <v>16</v>
      </c>
      <c r="F17" t="str">
        <f t="shared" si="0"/>
        <v>1-2-16</v>
      </c>
      <c r="G17">
        <v>16</v>
      </c>
    </row>
    <row r="18" spans="1:7">
      <c r="A18" s="29" t="s">
        <v>55</v>
      </c>
      <c r="B18">
        <v>1</v>
      </c>
      <c r="C18">
        <v>1</v>
      </c>
      <c r="D18">
        <v>2</v>
      </c>
      <c r="E18">
        <f>VLOOKUP(A18,Elements!$A$2:$B$435,2,0)</f>
        <v>17</v>
      </c>
      <c r="F18" t="str">
        <f t="shared" si="0"/>
        <v>1-2-17</v>
      </c>
      <c r="G18">
        <v>17</v>
      </c>
    </row>
    <row r="19" spans="1:7">
      <c r="A19" s="29" t="s">
        <v>56</v>
      </c>
      <c r="B19">
        <v>1</v>
      </c>
      <c r="C19">
        <v>1</v>
      </c>
      <c r="D19">
        <v>2</v>
      </c>
      <c r="E19">
        <f>VLOOKUP(A19,Elements!$A$2:$B$435,2,0)</f>
        <v>18</v>
      </c>
      <c r="F19" t="str">
        <f t="shared" si="0"/>
        <v>1-2-18</v>
      </c>
      <c r="G19">
        <v>18</v>
      </c>
    </row>
    <row r="20" spans="1:7">
      <c r="A20" s="29" t="s">
        <v>57</v>
      </c>
      <c r="B20">
        <v>1</v>
      </c>
      <c r="C20">
        <v>1</v>
      </c>
      <c r="D20">
        <v>2</v>
      </c>
      <c r="E20">
        <f>VLOOKUP(A20,Elements!$A$2:$B$435,2,0)</f>
        <v>19</v>
      </c>
      <c r="F20" t="str">
        <f t="shared" si="0"/>
        <v>1-2-19</v>
      </c>
      <c r="G20">
        <v>19</v>
      </c>
    </row>
    <row r="21" spans="1:7">
      <c r="A21" s="29" t="s">
        <v>58</v>
      </c>
      <c r="B21">
        <v>1</v>
      </c>
      <c r="C21">
        <v>1</v>
      </c>
      <c r="D21">
        <v>2</v>
      </c>
      <c r="E21">
        <f>VLOOKUP(A21,Elements!$A$2:$B$435,2,0)</f>
        <v>20</v>
      </c>
      <c r="F21" t="str">
        <f t="shared" si="0"/>
        <v>1-2-20</v>
      </c>
      <c r="G21">
        <v>20</v>
      </c>
    </row>
    <row r="22" spans="1:7">
      <c r="A22" s="29" t="s">
        <v>59</v>
      </c>
      <c r="B22">
        <v>1</v>
      </c>
      <c r="C22">
        <v>1</v>
      </c>
      <c r="D22">
        <v>2</v>
      </c>
      <c r="E22">
        <f>VLOOKUP(A22,Elements!$A$2:$B$435,2,0)</f>
        <v>21</v>
      </c>
      <c r="F22" t="str">
        <f t="shared" si="0"/>
        <v>1-2-21</v>
      </c>
      <c r="G22">
        <v>21</v>
      </c>
    </row>
    <row r="23" spans="1:7">
      <c r="A23" s="29" t="s">
        <v>60</v>
      </c>
      <c r="B23">
        <v>1</v>
      </c>
      <c r="C23">
        <v>1</v>
      </c>
      <c r="D23">
        <v>2</v>
      </c>
      <c r="E23">
        <f>VLOOKUP(A23,Elements!$A$2:$B$435,2,0)</f>
        <v>22</v>
      </c>
      <c r="F23" t="str">
        <f t="shared" si="0"/>
        <v>1-2-22</v>
      </c>
      <c r="G23">
        <v>22</v>
      </c>
    </row>
    <row r="24" spans="1:7">
      <c r="A24" s="29" t="s">
        <v>61</v>
      </c>
      <c r="B24">
        <v>1</v>
      </c>
      <c r="C24">
        <v>1</v>
      </c>
      <c r="D24">
        <v>2</v>
      </c>
      <c r="E24">
        <f>VLOOKUP(A24,Elements!$A$2:$B$435,2,0)</f>
        <v>23</v>
      </c>
      <c r="F24" t="str">
        <f t="shared" si="0"/>
        <v>1-2-23</v>
      </c>
      <c r="G24">
        <v>23</v>
      </c>
    </row>
    <row r="25" spans="1:7">
      <c r="A25" s="29" t="s">
        <v>525</v>
      </c>
      <c r="B25">
        <v>1</v>
      </c>
      <c r="C25">
        <v>1</v>
      </c>
      <c r="D25">
        <v>2</v>
      </c>
      <c r="E25">
        <f>VLOOKUP(A25,Elements!$A$2:$B$435,2,0)</f>
        <v>24</v>
      </c>
      <c r="F25" t="str">
        <f t="shared" si="0"/>
        <v>1-2-24</v>
      </c>
      <c r="G25">
        <v>24</v>
      </c>
    </row>
    <row r="26" spans="1:7">
      <c r="A26" s="29" t="s">
        <v>63</v>
      </c>
      <c r="B26">
        <v>1</v>
      </c>
      <c r="C26">
        <v>1</v>
      </c>
      <c r="D26">
        <v>2</v>
      </c>
      <c r="E26">
        <f>VLOOKUP(A26,Elements!$A$2:$B$435,2,0)</f>
        <v>25</v>
      </c>
      <c r="F26" t="str">
        <f t="shared" si="0"/>
        <v>1-2-25</v>
      </c>
      <c r="G26">
        <v>25</v>
      </c>
    </row>
    <row r="27" spans="1:7">
      <c r="A27" s="29" t="s">
        <v>64</v>
      </c>
      <c r="B27">
        <v>1</v>
      </c>
      <c r="C27">
        <v>1</v>
      </c>
      <c r="D27">
        <v>2</v>
      </c>
      <c r="E27">
        <f>VLOOKUP(A27,Elements!$A$2:$B$435,2,0)</f>
        <v>26</v>
      </c>
      <c r="F27" t="str">
        <f t="shared" si="0"/>
        <v>1-2-26</v>
      </c>
      <c r="G27">
        <v>26</v>
      </c>
    </row>
    <row r="28" spans="1:7">
      <c r="A28" s="29" t="s">
        <v>524</v>
      </c>
      <c r="B28">
        <v>1</v>
      </c>
      <c r="C28">
        <v>1</v>
      </c>
      <c r="D28">
        <v>2</v>
      </c>
      <c r="E28">
        <f>VLOOKUP(A28,Elements!$A$2:$B$435,2,0)</f>
        <v>27</v>
      </c>
      <c r="F28" t="str">
        <f t="shared" si="0"/>
        <v>1-2-27</v>
      </c>
      <c r="G28">
        <v>27</v>
      </c>
    </row>
    <row r="29" spans="1:7">
      <c r="A29" s="29" t="s">
        <v>66</v>
      </c>
      <c r="B29">
        <v>1</v>
      </c>
      <c r="C29">
        <v>1</v>
      </c>
      <c r="D29">
        <v>2</v>
      </c>
      <c r="E29">
        <f>VLOOKUP(A29,Elements!$A$2:$B$435,2,0)</f>
        <v>28</v>
      </c>
      <c r="F29" t="str">
        <f t="shared" si="0"/>
        <v>1-2-28</v>
      </c>
      <c r="G29">
        <v>28</v>
      </c>
    </row>
    <row r="30" spans="1:7">
      <c r="A30" s="29" t="s">
        <v>67</v>
      </c>
      <c r="B30">
        <v>1</v>
      </c>
      <c r="C30">
        <v>1</v>
      </c>
      <c r="D30">
        <v>2</v>
      </c>
      <c r="E30">
        <f>VLOOKUP(A30,Elements!$A$2:$B$435,2,0)</f>
        <v>29</v>
      </c>
      <c r="F30" t="str">
        <f t="shared" si="0"/>
        <v>1-2-29</v>
      </c>
      <c r="G30">
        <v>29</v>
      </c>
    </row>
    <row r="31" spans="1:7">
      <c r="A31" s="29" t="s">
        <v>68</v>
      </c>
      <c r="B31">
        <v>1</v>
      </c>
      <c r="C31">
        <v>1</v>
      </c>
      <c r="D31">
        <v>2</v>
      </c>
      <c r="E31">
        <f>VLOOKUP(A31,Elements!$A$2:$B$435,2,0)</f>
        <v>30</v>
      </c>
      <c r="F31" t="str">
        <f t="shared" si="0"/>
        <v>1-2-30</v>
      </c>
      <c r="G31">
        <v>30</v>
      </c>
    </row>
    <row r="32" spans="1:7">
      <c r="A32" s="29" t="s">
        <v>69</v>
      </c>
      <c r="B32">
        <v>1</v>
      </c>
      <c r="C32">
        <v>1</v>
      </c>
      <c r="D32">
        <v>2</v>
      </c>
      <c r="E32">
        <f>VLOOKUP(A32,Elements!$A$2:$B$435,2,0)</f>
        <v>31</v>
      </c>
      <c r="F32" t="str">
        <f t="shared" si="0"/>
        <v>1-2-31</v>
      </c>
      <c r="G32">
        <v>31</v>
      </c>
    </row>
    <row r="33" spans="1:7">
      <c r="A33" s="29" t="s">
        <v>32</v>
      </c>
      <c r="B33">
        <v>1</v>
      </c>
      <c r="C33">
        <v>1</v>
      </c>
      <c r="D33">
        <v>2</v>
      </c>
      <c r="E33">
        <f>VLOOKUP(A33,Elements!$A$2:$B$435,2,0)</f>
        <v>32</v>
      </c>
      <c r="F33" t="str">
        <f t="shared" si="0"/>
        <v>1-2-32</v>
      </c>
      <c r="G33">
        <v>32</v>
      </c>
    </row>
    <row r="34" spans="1:7">
      <c r="A34" s="29" t="s">
        <v>70</v>
      </c>
      <c r="B34">
        <v>1</v>
      </c>
      <c r="C34">
        <v>1</v>
      </c>
      <c r="D34">
        <v>2</v>
      </c>
      <c r="E34">
        <f>VLOOKUP(A34,Elements!$A$2:$B$435,2,0)</f>
        <v>33</v>
      </c>
      <c r="F34" t="str">
        <f t="shared" si="0"/>
        <v>1-2-33</v>
      </c>
      <c r="G34">
        <v>33</v>
      </c>
    </row>
    <row r="35" spans="1:7">
      <c r="A35" s="29" t="s">
        <v>71</v>
      </c>
      <c r="B35">
        <v>1</v>
      </c>
      <c r="C35">
        <v>1</v>
      </c>
      <c r="D35">
        <v>2</v>
      </c>
      <c r="E35">
        <f>VLOOKUP(A35,Elements!$A$2:$B$435,2,0)</f>
        <v>34</v>
      </c>
      <c r="F35" t="str">
        <f t="shared" si="0"/>
        <v>1-2-34</v>
      </c>
      <c r="G35">
        <v>34</v>
      </c>
    </row>
    <row r="36" spans="1:7">
      <c r="A36" s="29" t="s">
        <v>47</v>
      </c>
      <c r="B36">
        <v>1</v>
      </c>
      <c r="C36">
        <v>1</v>
      </c>
      <c r="D36">
        <v>2</v>
      </c>
      <c r="E36">
        <f>VLOOKUP(A36,Elements!$A$2:$B$435,2,0)</f>
        <v>10</v>
      </c>
      <c r="F36" t="str">
        <f t="shared" si="0"/>
        <v>1-2-10</v>
      </c>
      <c r="G36">
        <v>35</v>
      </c>
    </row>
    <row r="37" spans="1:7">
      <c r="A37" s="29" t="s">
        <v>510</v>
      </c>
      <c r="B37">
        <v>1</v>
      </c>
      <c r="C37">
        <v>1</v>
      </c>
      <c r="D37">
        <v>3</v>
      </c>
      <c r="E37">
        <f>VLOOKUP(A37,Elements!$A$2:$B$435,2,0)</f>
        <v>35</v>
      </c>
      <c r="F37" t="str">
        <f t="shared" si="0"/>
        <v>1-3-35</v>
      </c>
      <c r="G37">
        <v>36</v>
      </c>
    </row>
    <row r="38" spans="1:7">
      <c r="A38" s="29" t="s">
        <v>509</v>
      </c>
      <c r="B38">
        <v>1</v>
      </c>
      <c r="C38">
        <v>1</v>
      </c>
      <c r="D38">
        <v>3</v>
      </c>
      <c r="E38">
        <f>VLOOKUP(A38,Elements!$A$2:$B$435,2,0)</f>
        <v>36</v>
      </c>
      <c r="F38" t="str">
        <f t="shared" si="0"/>
        <v>1-3-36</v>
      </c>
      <c r="G38">
        <v>37</v>
      </c>
    </row>
    <row r="39" spans="1:7">
      <c r="A39" s="29" t="s">
        <v>74</v>
      </c>
      <c r="B39">
        <v>1</v>
      </c>
      <c r="C39">
        <v>1</v>
      </c>
      <c r="D39">
        <v>3</v>
      </c>
      <c r="E39">
        <f>VLOOKUP(A39,Elements!$A$2:$B$435,2,0)</f>
        <v>37</v>
      </c>
      <c r="F39" t="str">
        <f t="shared" si="0"/>
        <v>1-3-37</v>
      </c>
      <c r="G39">
        <v>38</v>
      </c>
    </row>
    <row r="40" spans="1:7">
      <c r="A40" s="29" t="s">
        <v>75</v>
      </c>
      <c r="B40">
        <v>1</v>
      </c>
      <c r="C40">
        <v>1</v>
      </c>
      <c r="D40">
        <v>3</v>
      </c>
      <c r="E40">
        <f>VLOOKUP(A40,Elements!$A$2:$B$435,2,0)</f>
        <v>38</v>
      </c>
      <c r="F40" t="str">
        <f t="shared" si="0"/>
        <v>1-3-38</v>
      </c>
      <c r="G40">
        <v>39</v>
      </c>
    </row>
    <row r="41" spans="1:7">
      <c r="A41" s="29" t="s">
        <v>76</v>
      </c>
      <c r="B41">
        <v>1</v>
      </c>
      <c r="C41">
        <v>1</v>
      </c>
      <c r="D41">
        <v>3</v>
      </c>
      <c r="E41">
        <f>VLOOKUP(A41,Elements!$A$2:$B$435,2,0)</f>
        <v>39</v>
      </c>
      <c r="F41" t="str">
        <f t="shared" si="0"/>
        <v>1-3-39</v>
      </c>
      <c r="G41">
        <v>40</v>
      </c>
    </row>
    <row r="42" spans="1:7">
      <c r="A42" s="29" t="s">
        <v>77</v>
      </c>
      <c r="B42">
        <v>1</v>
      </c>
      <c r="C42">
        <v>1</v>
      </c>
      <c r="D42">
        <v>3</v>
      </c>
      <c r="E42">
        <f>VLOOKUP(A42,Elements!$A$2:$B$435,2,0)</f>
        <v>40</v>
      </c>
      <c r="F42" t="str">
        <f t="shared" si="0"/>
        <v>1-3-40</v>
      </c>
      <c r="G42">
        <v>41</v>
      </c>
    </row>
    <row r="43" spans="1:7">
      <c r="A43" s="29" t="s">
        <v>78</v>
      </c>
      <c r="B43">
        <v>1</v>
      </c>
      <c r="C43">
        <v>1</v>
      </c>
      <c r="D43">
        <v>3</v>
      </c>
      <c r="E43">
        <f>VLOOKUP(A43,Elements!$A$2:$B$435,2,0)</f>
        <v>41</v>
      </c>
      <c r="F43" t="str">
        <f t="shared" si="0"/>
        <v>1-3-41</v>
      </c>
      <c r="G43">
        <v>42</v>
      </c>
    </row>
    <row r="44" spans="1:7">
      <c r="A44" s="29" t="s">
        <v>79</v>
      </c>
      <c r="B44">
        <v>1</v>
      </c>
      <c r="C44">
        <v>1</v>
      </c>
      <c r="D44">
        <v>3</v>
      </c>
      <c r="E44">
        <f>VLOOKUP(A44,Elements!$A$2:$B$435,2,0)</f>
        <v>42</v>
      </c>
      <c r="F44" t="str">
        <f t="shared" si="0"/>
        <v>1-3-42</v>
      </c>
      <c r="G44">
        <v>43</v>
      </c>
    </row>
    <row r="45" spans="1:7">
      <c r="A45" s="29" t="s">
        <v>80</v>
      </c>
      <c r="B45">
        <v>1</v>
      </c>
      <c r="C45">
        <v>1</v>
      </c>
      <c r="D45">
        <v>3</v>
      </c>
      <c r="E45">
        <f>VLOOKUP(A45,Elements!$A$2:$B$435,2,0)</f>
        <v>43</v>
      </c>
      <c r="F45" t="str">
        <f t="shared" si="0"/>
        <v>1-3-43</v>
      </c>
      <c r="G45">
        <v>44</v>
      </c>
    </row>
    <row r="46" spans="1:7">
      <c r="A46" s="29" t="s">
        <v>81</v>
      </c>
      <c r="B46">
        <v>1</v>
      </c>
      <c r="C46">
        <v>1</v>
      </c>
      <c r="D46">
        <v>3</v>
      </c>
      <c r="E46">
        <f>VLOOKUP(A46,Elements!$A$2:$B$435,2,0)</f>
        <v>44</v>
      </c>
      <c r="F46" t="str">
        <f t="shared" si="0"/>
        <v>1-3-44</v>
      </c>
      <c r="G46">
        <v>45</v>
      </c>
    </row>
    <row r="47" spans="1:7">
      <c r="A47" s="29" t="s">
        <v>82</v>
      </c>
      <c r="B47">
        <v>1</v>
      </c>
      <c r="C47">
        <v>1</v>
      </c>
      <c r="D47">
        <v>3</v>
      </c>
      <c r="E47">
        <f>VLOOKUP(A47,Elements!$A$2:$B$435,2,0)</f>
        <v>45</v>
      </c>
      <c r="F47" t="str">
        <f t="shared" si="0"/>
        <v>1-3-45</v>
      </c>
      <c r="G47">
        <v>46</v>
      </c>
    </row>
    <row r="48" spans="1:7">
      <c r="A48" s="29" t="s">
        <v>83</v>
      </c>
      <c r="B48">
        <v>1</v>
      </c>
      <c r="C48">
        <v>1</v>
      </c>
      <c r="D48">
        <v>3</v>
      </c>
      <c r="E48">
        <f>VLOOKUP(A48,Elements!$A$2:$B$435,2,0)</f>
        <v>46</v>
      </c>
      <c r="F48" t="str">
        <f t="shared" si="0"/>
        <v>1-3-46</v>
      </c>
      <c r="G48">
        <v>47</v>
      </c>
    </row>
    <row r="49" spans="1:7">
      <c r="A49" t="s">
        <v>70</v>
      </c>
      <c r="B49">
        <v>1</v>
      </c>
      <c r="C49">
        <v>1</v>
      </c>
      <c r="D49">
        <v>3</v>
      </c>
      <c r="E49">
        <f>VLOOKUP(A49,Elements!$A$2:$B$435,2,0)</f>
        <v>33</v>
      </c>
      <c r="F49" t="str">
        <f t="shared" si="0"/>
        <v>1-3-33</v>
      </c>
      <c r="G49">
        <v>48</v>
      </c>
    </row>
    <row r="50" spans="1:7">
      <c r="A50" s="29" t="s">
        <v>85</v>
      </c>
      <c r="B50">
        <v>1</v>
      </c>
      <c r="C50">
        <v>1</v>
      </c>
      <c r="D50">
        <v>3</v>
      </c>
      <c r="E50">
        <f>VLOOKUP(A50,Elements!$A$2:$B$435,2,0)</f>
        <v>47</v>
      </c>
      <c r="F50" t="str">
        <f t="shared" si="0"/>
        <v>1-3-47</v>
      </c>
      <c r="G50">
        <v>49</v>
      </c>
    </row>
    <row r="51" spans="1:7">
      <c r="A51" s="29" t="s">
        <v>513</v>
      </c>
      <c r="B51">
        <v>1</v>
      </c>
      <c r="C51">
        <v>1</v>
      </c>
      <c r="D51">
        <v>4</v>
      </c>
      <c r="E51">
        <f>VLOOKUP(A51,Elements!$A$2:$B$435,2,0)</f>
        <v>48</v>
      </c>
      <c r="F51" t="str">
        <f t="shared" si="0"/>
        <v>1-4-48</v>
      </c>
      <c r="G51">
        <v>50</v>
      </c>
    </row>
    <row r="52" spans="1:7">
      <c r="A52" s="29" t="s">
        <v>523</v>
      </c>
      <c r="B52">
        <v>1</v>
      </c>
      <c r="C52">
        <v>1</v>
      </c>
      <c r="D52">
        <v>4</v>
      </c>
      <c r="E52">
        <f>VLOOKUP(A52,Elements!$A$2:$B$435,2,0)</f>
        <v>49</v>
      </c>
      <c r="F52" t="str">
        <f t="shared" si="0"/>
        <v>1-4-49</v>
      </c>
      <c r="G52">
        <v>51</v>
      </c>
    </row>
    <row r="53" spans="1:7">
      <c r="A53" s="36" t="s">
        <v>88</v>
      </c>
      <c r="B53">
        <v>1</v>
      </c>
      <c r="C53">
        <v>1</v>
      </c>
      <c r="D53">
        <v>4</v>
      </c>
      <c r="E53">
        <f>VLOOKUP(A53,Elements!$A$2:$B$435,2,0)</f>
        <v>50</v>
      </c>
      <c r="F53" t="str">
        <f t="shared" si="0"/>
        <v>1-4-50</v>
      </c>
      <c r="G53">
        <v>52</v>
      </c>
    </row>
    <row r="54" spans="1:7">
      <c r="A54" s="29" t="s">
        <v>512</v>
      </c>
      <c r="B54">
        <v>1</v>
      </c>
      <c r="C54">
        <v>1</v>
      </c>
      <c r="D54">
        <v>4</v>
      </c>
      <c r="E54">
        <f>VLOOKUP(A54,Elements!$A$2:$B$435,2,0)</f>
        <v>51</v>
      </c>
      <c r="F54" t="str">
        <f t="shared" si="0"/>
        <v>1-4-51</v>
      </c>
      <c r="G54">
        <v>53</v>
      </c>
    </row>
    <row r="55" spans="1:7">
      <c r="A55" s="29" t="s">
        <v>90</v>
      </c>
      <c r="B55">
        <v>1</v>
      </c>
      <c r="C55">
        <v>1</v>
      </c>
      <c r="D55">
        <v>4</v>
      </c>
      <c r="E55">
        <f>VLOOKUP(A55,Elements!$A$2:$B$435,2,0)</f>
        <v>52</v>
      </c>
      <c r="F55" t="str">
        <f t="shared" si="0"/>
        <v>1-4-52</v>
      </c>
      <c r="G55">
        <v>54</v>
      </c>
    </row>
    <row r="56" spans="1:7">
      <c r="A56" s="29" t="s">
        <v>91</v>
      </c>
      <c r="B56">
        <v>1</v>
      </c>
      <c r="C56">
        <v>1</v>
      </c>
      <c r="D56">
        <v>4</v>
      </c>
      <c r="E56">
        <f>VLOOKUP(A56,Elements!$A$2:$B$435,2,0)</f>
        <v>53</v>
      </c>
      <c r="F56" t="str">
        <f t="shared" si="0"/>
        <v>1-4-53</v>
      </c>
      <c r="G56">
        <v>55</v>
      </c>
    </row>
    <row r="57" spans="1:7">
      <c r="A57" s="29" t="s">
        <v>92</v>
      </c>
      <c r="B57">
        <v>1</v>
      </c>
      <c r="C57">
        <v>1</v>
      </c>
      <c r="D57">
        <v>4</v>
      </c>
      <c r="E57">
        <f>VLOOKUP(A57,Elements!$A$2:$B$435,2,0)</f>
        <v>54</v>
      </c>
      <c r="F57" t="str">
        <f t="shared" si="0"/>
        <v>1-4-54</v>
      </c>
      <c r="G57">
        <v>56</v>
      </c>
    </row>
    <row r="58" spans="1:7">
      <c r="A58" s="29" t="s">
        <v>81</v>
      </c>
      <c r="B58">
        <v>1</v>
      </c>
      <c r="C58">
        <v>1</v>
      </c>
      <c r="D58">
        <v>4</v>
      </c>
      <c r="E58">
        <f>VLOOKUP(A58,Elements!$A$2:$B$435,2,0)</f>
        <v>44</v>
      </c>
      <c r="F58" t="str">
        <f t="shared" si="0"/>
        <v>1-4-44</v>
      </c>
      <c r="G58">
        <v>57</v>
      </c>
    </row>
    <row r="59" spans="1:7">
      <c r="A59" s="29" t="s">
        <v>93</v>
      </c>
      <c r="B59">
        <v>1</v>
      </c>
      <c r="C59">
        <v>1</v>
      </c>
      <c r="D59">
        <v>5</v>
      </c>
      <c r="E59">
        <f>VLOOKUP(A59,Elements!$A$2:$B$435,2,0)</f>
        <v>55</v>
      </c>
      <c r="F59" t="str">
        <f t="shared" si="0"/>
        <v>1-5-55</v>
      </c>
      <c r="G59">
        <v>58</v>
      </c>
    </row>
    <row r="60" spans="1:7">
      <c r="A60" s="29" t="s">
        <v>94</v>
      </c>
      <c r="B60">
        <v>1</v>
      </c>
      <c r="C60">
        <v>1</v>
      </c>
      <c r="D60">
        <v>5</v>
      </c>
      <c r="E60">
        <f>VLOOKUP(A60,Elements!$A$2:$B$435,2,0)</f>
        <v>56</v>
      </c>
      <c r="F60" t="str">
        <f t="shared" si="0"/>
        <v>1-5-56</v>
      </c>
      <c r="G60">
        <v>59</v>
      </c>
    </row>
    <row r="61" spans="1:7">
      <c r="A61" s="29" t="s">
        <v>95</v>
      </c>
      <c r="B61">
        <v>1</v>
      </c>
      <c r="C61">
        <v>1</v>
      </c>
      <c r="D61">
        <v>5</v>
      </c>
      <c r="E61">
        <f>VLOOKUP(A61,Elements!$A$2:$B$435,2,0)</f>
        <v>57</v>
      </c>
      <c r="F61" t="str">
        <f t="shared" si="0"/>
        <v>1-5-57</v>
      </c>
      <c r="G61">
        <v>60</v>
      </c>
    </row>
    <row r="62" spans="1:7">
      <c r="A62" s="29" t="s">
        <v>96</v>
      </c>
      <c r="B62">
        <v>1</v>
      </c>
      <c r="C62">
        <v>1</v>
      </c>
      <c r="D62">
        <v>5</v>
      </c>
      <c r="E62">
        <f>VLOOKUP(A62,Elements!$A$2:$B$435,2,0)</f>
        <v>58</v>
      </c>
      <c r="F62" t="str">
        <f t="shared" si="0"/>
        <v>1-5-58</v>
      </c>
      <c r="G62">
        <v>61</v>
      </c>
    </row>
    <row r="63" spans="1:7">
      <c r="A63" s="29" t="s">
        <v>97</v>
      </c>
      <c r="B63">
        <v>1</v>
      </c>
      <c r="C63">
        <v>1</v>
      </c>
      <c r="D63">
        <v>5</v>
      </c>
      <c r="E63">
        <f>VLOOKUP(A63,Elements!$A$2:$B$435,2,0)</f>
        <v>59</v>
      </c>
      <c r="F63" t="str">
        <f t="shared" si="0"/>
        <v>1-5-59</v>
      </c>
      <c r="G63">
        <v>62</v>
      </c>
    </row>
    <row r="64" spans="1:7">
      <c r="A64" s="29" t="s">
        <v>13</v>
      </c>
      <c r="B64">
        <v>1</v>
      </c>
      <c r="C64">
        <v>1</v>
      </c>
      <c r="D64">
        <v>5</v>
      </c>
      <c r="E64">
        <f>VLOOKUP(A64,Elements!$A$2:$B$435,2,0)</f>
        <v>60</v>
      </c>
      <c r="F64" t="str">
        <f t="shared" si="0"/>
        <v>1-5-60</v>
      </c>
      <c r="G64">
        <v>63</v>
      </c>
    </row>
    <row r="65" spans="1:7">
      <c r="A65" s="29" t="s">
        <v>98</v>
      </c>
      <c r="B65">
        <v>1</v>
      </c>
      <c r="C65">
        <v>1</v>
      </c>
      <c r="D65">
        <v>5</v>
      </c>
      <c r="E65">
        <f>VLOOKUP(A65,Elements!$A$2:$B$435,2,0)</f>
        <v>61</v>
      </c>
      <c r="F65" t="str">
        <f t="shared" si="0"/>
        <v>1-5-61</v>
      </c>
      <c r="G65">
        <v>64</v>
      </c>
    </row>
    <row r="66" spans="1:7">
      <c r="A66" s="29" t="s">
        <v>99</v>
      </c>
      <c r="B66">
        <v>1</v>
      </c>
      <c r="C66">
        <v>1</v>
      </c>
      <c r="D66">
        <v>5</v>
      </c>
      <c r="E66">
        <f>VLOOKUP(A66,Elements!$A$2:$B$435,2,0)</f>
        <v>62</v>
      </c>
      <c r="F66" t="str">
        <f t="shared" si="0"/>
        <v>1-5-62</v>
      </c>
      <c r="G66">
        <v>65</v>
      </c>
    </row>
    <row r="67" spans="1:7">
      <c r="A67" s="29" t="s">
        <v>100</v>
      </c>
      <c r="B67">
        <v>1</v>
      </c>
      <c r="C67">
        <v>1</v>
      </c>
      <c r="D67">
        <v>5</v>
      </c>
      <c r="E67">
        <f>VLOOKUP(A67,Elements!$A$2:$B$435,2,0)</f>
        <v>63</v>
      </c>
      <c r="F67" t="str">
        <f t="shared" ref="F67:F129" si="1">_xlfn.CONCAT(C67,"-",D67,"-",E67)</f>
        <v>1-5-63</v>
      </c>
      <c r="G67">
        <v>66</v>
      </c>
    </row>
    <row r="68" spans="1:7">
      <c r="A68" s="29" t="s">
        <v>101</v>
      </c>
      <c r="B68">
        <v>1</v>
      </c>
      <c r="C68">
        <v>1</v>
      </c>
      <c r="D68">
        <v>6</v>
      </c>
      <c r="E68">
        <f>VLOOKUP(A68,Elements!$A$2:$B$435,2,0)</f>
        <v>64</v>
      </c>
      <c r="F68" t="str">
        <f t="shared" si="1"/>
        <v>1-6-64</v>
      </c>
      <c r="G68">
        <v>67</v>
      </c>
    </row>
    <row r="69" spans="1:7">
      <c r="A69" s="29" t="s">
        <v>362</v>
      </c>
      <c r="B69">
        <v>1</v>
      </c>
      <c r="C69">
        <v>1</v>
      </c>
      <c r="D69">
        <v>6</v>
      </c>
      <c r="E69">
        <f>VLOOKUP(A69,Elements!$A$2:$B$435,2,0)</f>
        <v>65</v>
      </c>
      <c r="F69" t="str">
        <f t="shared" si="1"/>
        <v>1-6-65</v>
      </c>
      <c r="G69">
        <v>68</v>
      </c>
    </row>
    <row r="70" spans="1:7">
      <c r="A70" s="29" t="s">
        <v>286</v>
      </c>
      <c r="B70">
        <v>1</v>
      </c>
      <c r="C70">
        <v>1</v>
      </c>
      <c r="D70">
        <v>6</v>
      </c>
      <c r="E70">
        <f>VLOOKUP(A70,Elements!$A$2:$B$435,2,0)</f>
        <v>66</v>
      </c>
      <c r="F70" t="str">
        <f t="shared" si="1"/>
        <v>1-6-66</v>
      </c>
      <c r="G70">
        <v>69</v>
      </c>
    </row>
    <row r="71" spans="1:7">
      <c r="A71" t="s">
        <v>288</v>
      </c>
      <c r="B71">
        <v>1</v>
      </c>
      <c r="C71">
        <v>1</v>
      </c>
      <c r="D71">
        <v>6</v>
      </c>
      <c r="E71">
        <f>VLOOKUP(A71,Elements!$A$2:$B$435,2,0)</f>
        <v>67</v>
      </c>
      <c r="F71" t="str">
        <f t="shared" si="1"/>
        <v>1-6-67</v>
      </c>
      <c r="G71">
        <v>70</v>
      </c>
    </row>
    <row r="72" spans="1:7">
      <c r="A72" s="29" t="s">
        <v>104</v>
      </c>
      <c r="B72">
        <v>1</v>
      </c>
      <c r="C72">
        <v>1</v>
      </c>
      <c r="D72">
        <v>6</v>
      </c>
      <c r="E72">
        <f>VLOOKUP(A72,Elements!$A$2:$B$435,2,0)</f>
        <v>68</v>
      </c>
      <c r="F72" t="str">
        <f t="shared" si="1"/>
        <v>1-6-68</v>
      </c>
      <c r="G72">
        <v>71</v>
      </c>
    </row>
    <row r="73" spans="1:7">
      <c r="A73" s="29" t="s">
        <v>105</v>
      </c>
      <c r="B73">
        <v>1</v>
      </c>
      <c r="C73">
        <v>1</v>
      </c>
      <c r="D73">
        <v>6</v>
      </c>
      <c r="E73">
        <f>VLOOKUP(A73,Elements!$A$2:$B$435,2,0)</f>
        <v>69</v>
      </c>
      <c r="F73" t="str">
        <f t="shared" si="1"/>
        <v>1-6-69</v>
      </c>
      <c r="G73">
        <v>72</v>
      </c>
    </row>
    <row r="74" spans="1:7">
      <c r="A74" s="29" t="s">
        <v>106</v>
      </c>
      <c r="B74">
        <v>1</v>
      </c>
      <c r="C74">
        <v>1</v>
      </c>
      <c r="D74">
        <v>6</v>
      </c>
      <c r="E74">
        <f>VLOOKUP(A74,Elements!$A$2:$B$435,2,0)</f>
        <v>70</v>
      </c>
      <c r="F74" t="str">
        <f t="shared" si="1"/>
        <v>1-6-70</v>
      </c>
      <c r="G74">
        <v>73</v>
      </c>
    </row>
    <row r="75" spans="1:7">
      <c r="A75" s="29" t="s">
        <v>522</v>
      </c>
      <c r="B75">
        <v>1</v>
      </c>
      <c r="C75">
        <v>1</v>
      </c>
      <c r="D75">
        <v>7</v>
      </c>
      <c r="E75">
        <f>VLOOKUP(A75,Elements!$A$2:$B$435,2,0)</f>
        <v>71</v>
      </c>
      <c r="F75" t="str">
        <f t="shared" si="1"/>
        <v>1-7-71</v>
      </c>
      <c r="G75">
        <v>74</v>
      </c>
    </row>
    <row r="76" spans="1:7">
      <c r="A76" s="29" t="s">
        <v>47</v>
      </c>
      <c r="B76">
        <v>1</v>
      </c>
      <c r="C76">
        <v>1</v>
      </c>
      <c r="D76">
        <v>7</v>
      </c>
      <c r="E76">
        <f>VLOOKUP(A76,Elements!$A$2:$B$435,2,0)</f>
        <v>10</v>
      </c>
      <c r="F76" t="str">
        <f t="shared" si="1"/>
        <v>1-7-10</v>
      </c>
      <c r="G76">
        <v>75</v>
      </c>
    </row>
    <row r="77" spans="1:7">
      <c r="A77" s="29" t="s">
        <v>108</v>
      </c>
      <c r="B77">
        <v>1</v>
      </c>
      <c r="C77">
        <v>1</v>
      </c>
      <c r="D77">
        <v>7</v>
      </c>
      <c r="E77">
        <f>VLOOKUP(A77,Elements!$A$2:$B$435,2,0)</f>
        <v>72</v>
      </c>
      <c r="F77" t="str">
        <f t="shared" si="1"/>
        <v>1-7-72</v>
      </c>
      <c r="G77">
        <v>76</v>
      </c>
    </row>
    <row r="78" spans="1:7">
      <c r="A78" s="29" t="s">
        <v>353</v>
      </c>
      <c r="B78">
        <v>1</v>
      </c>
      <c r="C78">
        <v>1</v>
      </c>
      <c r="D78">
        <v>7</v>
      </c>
      <c r="E78">
        <f>VLOOKUP(A78,Elements!$A$2:$B$435,2,0)</f>
        <v>73</v>
      </c>
      <c r="F78" t="str">
        <f t="shared" si="1"/>
        <v>1-7-73</v>
      </c>
      <c r="G78">
        <v>77</v>
      </c>
    </row>
    <row r="79" spans="1:7">
      <c r="A79" s="29" t="s">
        <v>109</v>
      </c>
      <c r="B79">
        <v>1</v>
      </c>
      <c r="C79">
        <v>1</v>
      </c>
      <c r="D79">
        <v>7</v>
      </c>
      <c r="E79">
        <f>VLOOKUP(A79,Elements!$A$2:$B$435,2,0)</f>
        <v>74</v>
      </c>
      <c r="F79" t="str">
        <f t="shared" si="1"/>
        <v>1-7-74</v>
      </c>
      <c r="G79">
        <v>78</v>
      </c>
    </row>
    <row r="80" spans="1:7">
      <c r="A80" s="29" t="s">
        <v>355</v>
      </c>
      <c r="B80">
        <v>1</v>
      </c>
      <c r="C80">
        <v>1</v>
      </c>
      <c r="D80">
        <v>7</v>
      </c>
      <c r="E80">
        <f>VLOOKUP(A80,Elements!$A$2:$B$435,2,0)</f>
        <v>75</v>
      </c>
      <c r="F80" t="str">
        <f t="shared" si="1"/>
        <v>1-7-75</v>
      </c>
      <c r="G80">
        <v>79</v>
      </c>
    </row>
    <row r="81" spans="1:7">
      <c r="A81" s="29" t="s">
        <v>110</v>
      </c>
      <c r="B81">
        <v>1</v>
      </c>
      <c r="C81">
        <v>1</v>
      </c>
      <c r="D81">
        <v>7</v>
      </c>
      <c r="E81">
        <f>VLOOKUP(A81,Elements!$A$2:$B$435,2,0)</f>
        <v>76</v>
      </c>
      <c r="F81" t="str">
        <f t="shared" si="1"/>
        <v>1-7-76</v>
      </c>
      <c r="G81">
        <v>80</v>
      </c>
    </row>
    <row r="82" spans="1:7">
      <c r="A82" s="29" t="s">
        <v>111</v>
      </c>
      <c r="B82">
        <v>1</v>
      </c>
      <c r="C82">
        <v>1</v>
      </c>
      <c r="D82">
        <v>7</v>
      </c>
      <c r="E82">
        <f>VLOOKUP(A82,Elements!$A$2:$B$435,2,0)</f>
        <v>77</v>
      </c>
      <c r="F82" t="str">
        <f t="shared" si="1"/>
        <v>1-7-77</v>
      </c>
      <c r="G82">
        <v>81</v>
      </c>
    </row>
    <row r="83" spans="1:7">
      <c r="A83" s="29" t="s">
        <v>112</v>
      </c>
      <c r="B83">
        <v>1</v>
      </c>
      <c r="C83">
        <v>1</v>
      </c>
      <c r="D83">
        <v>7</v>
      </c>
      <c r="E83">
        <f>VLOOKUP(A83,Elements!$A$2:$B$435,2,0)</f>
        <v>78</v>
      </c>
      <c r="F83" t="str">
        <f t="shared" si="1"/>
        <v>1-7-78</v>
      </c>
      <c r="G83">
        <v>82</v>
      </c>
    </row>
    <row r="84" spans="1:7">
      <c r="A84" s="29" t="s">
        <v>113</v>
      </c>
      <c r="B84">
        <v>1</v>
      </c>
      <c r="C84">
        <v>1</v>
      </c>
      <c r="D84">
        <v>7</v>
      </c>
      <c r="E84">
        <f>VLOOKUP(A84,Elements!$A$2:$B$435,2,0)</f>
        <v>79</v>
      </c>
      <c r="F84" t="str">
        <f t="shared" si="1"/>
        <v>1-7-79</v>
      </c>
      <c r="G84">
        <v>83</v>
      </c>
    </row>
    <row r="85" spans="1:7">
      <c r="A85" s="29" t="s">
        <v>114</v>
      </c>
      <c r="B85">
        <v>1</v>
      </c>
      <c r="C85">
        <v>1</v>
      </c>
      <c r="D85">
        <v>7</v>
      </c>
      <c r="E85">
        <f>VLOOKUP(A85,Elements!$A$2:$B$435,2,0)</f>
        <v>80</v>
      </c>
      <c r="F85" t="str">
        <f t="shared" si="1"/>
        <v>1-7-80</v>
      </c>
      <c r="G85">
        <v>84</v>
      </c>
    </row>
    <row r="86" spans="1:7">
      <c r="A86" s="29" t="s">
        <v>115</v>
      </c>
      <c r="B86">
        <v>1</v>
      </c>
      <c r="C86">
        <v>1</v>
      </c>
      <c r="D86">
        <v>7</v>
      </c>
      <c r="E86">
        <f>VLOOKUP(A86,Elements!$A$2:$B$435,2,0)</f>
        <v>81</v>
      </c>
      <c r="F86" t="str">
        <f t="shared" si="1"/>
        <v>1-7-81</v>
      </c>
      <c r="G86">
        <v>85</v>
      </c>
    </row>
    <row r="87" spans="1:7">
      <c r="A87" s="29" t="s">
        <v>116</v>
      </c>
      <c r="B87">
        <v>1</v>
      </c>
      <c r="C87">
        <v>1</v>
      </c>
      <c r="D87">
        <v>7</v>
      </c>
      <c r="E87">
        <f>VLOOKUP(A87,Elements!$A$2:$B$435,2,0)</f>
        <v>82</v>
      </c>
      <c r="F87" t="str">
        <f t="shared" si="1"/>
        <v>1-7-82</v>
      </c>
      <c r="G87">
        <v>86</v>
      </c>
    </row>
    <row r="88" spans="1:7">
      <c r="A88" s="29" t="s">
        <v>117</v>
      </c>
      <c r="B88">
        <v>1</v>
      </c>
      <c r="C88">
        <v>1</v>
      </c>
      <c r="D88">
        <v>8</v>
      </c>
      <c r="E88">
        <f>VLOOKUP(A88,Elements!$A$2:$B$435,2,0)</f>
        <v>83</v>
      </c>
      <c r="F88" t="str">
        <f t="shared" si="1"/>
        <v>1-8-83</v>
      </c>
      <c r="G88">
        <v>87</v>
      </c>
    </row>
    <row r="89" spans="1:7" ht="17" customHeight="1">
      <c r="A89" s="29" t="s">
        <v>118</v>
      </c>
      <c r="B89">
        <v>1</v>
      </c>
      <c r="C89">
        <v>1</v>
      </c>
      <c r="D89">
        <v>8</v>
      </c>
      <c r="E89">
        <f>VLOOKUP(A89,Elements!$A$2:$B$435,2,0)</f>
        <v>84</v>
      </c>
      <c r="F89" t="str">
        <f t="shared" si="1"/>
        <v>1-8-84</v>
      </c>
      <c r="G89">
        <v>88</v>
      </c>
    </row>
    <row r="90" spans="1:7" s="4" customFormat="1" ht="17" thickBot="1">
      <c r="A90" s="30" t="s">
        <v>119</v>
      </c>
      <c r="B90" s="4">
        <v>1</v>
      </c>
      <c r="C90" s="4">
        <v>1</v>
      </c>
      <c r="D90" s="4">
        <v>8</v>
      </c>
      <c r="E90" s="4">
        <f>VLOOKUP(A90,Elements!$A$2:$B$435,2,0)</f>
        <v>85</v>
      </c>
      <c r="F90" s="4" t="str">
        <f t="shared" si="1"/>
        <v>1-8-85</v>
      </c>
      <c r="G90" s="4">
        <v>89</v>
      </c>
    </row>
    <row r="91" spans="1:7">
      <c r="A91" s="160" t="s">
        <v>93</v>
      </c>
      <c r="B91">
        <v>1</v>
      </c>
      <c r="C91">
        <v>2</v>
      </c>
      <c r="D91">
        <v>5</v>
      </c>
      <c r="E91">
        <f>VLOOKUP(A91,Elements!$A$2:$B$435,2,0)</f>
        <v>55</v>
      </c>
      <c r="F91" t="str">
        <f t="shared" si="1"/>
        <v>2-5-55</v>
      </c>
      <c r="G91">
        <v>90</v>
      </c>
    </row>
    <row r="92" spans="1:7">
      <c r="A92" s="29" t="s">
        <v>94</v>
      </c>
      <c r="B92">
        <v>1</v>
      </c>
      <c r="C92">
        <v>2</v>
      </c>
      <c r="D92">
        <v>5</v>
      </c>
      <c r="E92">
        <f>VLOOKUP(A92,Elements!$A$2:$B$435,2,0)</f>
        <v>56</v>
      </c>
      <c r="F92" t="str">
        <f t="shared" si="1"/>
        <v>2-5-56</v>
      </c>
      <c r="G92">
        <v>91</v>
      </c>
    </row>
    <row r="93" spans="1:7">
      <c r="A93" s="29" t="s">
        <v>95</v>
      </c>
      <c r="B93">
        <v>1</v>
      </c>
      <c r="C93">
        <v>2</v>
      </c>
      <c r="D93">
        <v>5</v>
      </c>
      <c r="E93">
        <f>VLOOKUP(A93,Elements!$A$2:$B$435,2,0)</f>
        <v>57</v>
      </c>
      <c r="F93" t="str">
        <f t="shared" si="1"/>
        <v>2-5-57</v>
      </c>
      <c r="G93">
        <v>92</v>
      </c>
    </row>
    <row r="94" spans="1:7">
      <c r="A94" s="29" t="s">
        <v>97</v>
      </c>
      <c r="B94">
        <v>1</v>
      </c>
      <c r="C94">
        <v>2</v>
      </c>
      <c r="D94">
        <v>5</v>
      </c>
      <c r="E94">
        <f>VLOOKUP(A94,Elements!$A$2:$B$435,2,0)</f>
        <v>59</v>
      </c>
      <c r="F94" t="str">
        <f t="shared" si="1"/>
        <v>2-5-59</v>
      </c>
      <c r="G94">
        <v>93</v>
      </c>
    </row>
    <row r="95" spans="1:7">
      <c r="A95" s="29" t="s">
        <v>13</v>
      </c>
      <c r="B95">
        <v>1</v>
      </c>
      <c r="C95">
        <v>2</v>
      </c>
      <c r="D95">
        <v>5</v>
      </c>
      <c r="E95">
        <f>VLOOKUP(A95,Elements!$A$2:$B$435,2,0)</f>
        <v>60</v>
      </c>
      <c r="F95" t="str">
        <f t="shared" si="1"/>
        <v>2-5-60</v>
      </c>
      <c r="G95">
        <v>94</v>
      </c>
    </row>
    <row r="96" spans="1:7">
      <c r="A96" s="29" t="s">
        <v>98</v>
      </c>
      <c r="B96">
        <v>1</v>
      </c>
      <c r="C96">
        <v>2</v>
      </c>
      <c r="D96">
        <v>5</v>
      </c>
      <c r="E96">
        <f>VLOOKUP(A96,Elements!$A$2:$B$435,2,0)</f>
        <v>61</v>
      </c>
      <c r="F96" t="str">
        <f t="shared" si="1"/>
        <v>2-5-61</v>
      </c>
      <c r="G96">
        <v>95</v>
      </c>
    </row>
    <row r="97" spans="1:7">
      <c r="A97" s="29" t="s">
        <v>99</v>
      </c>
      <c r="B97">
        <v>1</v>
      </c>
      <c r="C97">
        <v>2</v>
      </c>
      <c r="D97">
        <v>5</v>
      </c>
      <c r="E97">
        <f>VLOOKUP(A97,Elements!$A$2:$B$435,2,0)</f>
        <v>62</v>
      </c>
      <c r="F97" t="str">
        <f t="shared" si="1"/>
        <v>2-5-62</v>
      </c>
      <c r="G97">
        <v>96</v>
      </c>
    </row>
    <row r="98" spans="1:7" s="44" customFormat="1">
      <c r="A98" s="43" t="s">
        <v>100</v>
      </c>
      <c r="B98" s="44">
        <v>1</v>
      </c>
      <c r="C98" s="44">
        <v>2</v>
      </c>
      <c r="D98" s="44">
        <v>5</v>
      </c>
      <c r="E98">
        <f>VLOOKUP(A98,Elements!$A$2:$B$435,2,0)</f>
        <v>63</v>
      </c>
      <c r="F98" t="str">
        <f t="shared" si="1"/>
        <v>2-5-63</v>
      </c>
      <c r="G98">
        <v>97</v>
      </c>
    </row>
    <row r="99" spans="1:7">
      <c r="A99" s="29" t="s">
        <v>101</v>
      </c>
      <c r="B99">
        <v>1</v>
      </c>
      <c r="C99">
        <v>2</v>
      </c>
      <c r="D99">
        <v>6</v>
      </c>
      <c r="E99">
        <f>VLOOKUP(A99,Elements!$A$2:$B$435,2,0)</f>
        <v>64</v>
      </c>
      <c r="F99" t="str">
        <f t="shared" si="1"/>
        <v>2-6-64</v>
      </c>
      <c r="G99">
        <v>98</v>
      </c>
    </row>
    <row r="100" spans="1:7">
      <c r="A100" s="29" t="s">
        <v>362</v>
      </c>
      <c r="B100">
        <v>1</v>
      </c>
      <c r="C100">
        <v>2</v>
      </c>
      <c r="D100">
        <v>6</v>
      </c>
      <c r="E100">
        <f>VLOOKUP(A100,Elements!$A$2:$B$435,2,0)</f>
        <v>65</v>
      </c>
      <c r="F100" t="str">
        <f t="shared" si="1"/>
        <v>2-6-65</v>
      </c>
      <c r="G100">
        <v>99</v>
      </c>
    </row>
    <row r="101" spans="1:7">
      <c r="A101" s="29" t="s">
        <v>286</v>
      </c>
      <c r="B101">
        <v>1</v>
      </c>
      <c r="C101">
        <v>2</v>
      </c>
      <c r="D101">
        <v>6</v>
      </c>
      <c r="E101">
        <f>VLOOKUP(A101,Elements!$A$2:$B$435,2,0)</f>
        <v>66</v>
      </c>
      <c r="F101" t="str">
        <f t="shared" si="1"/>
        <v>2-6-66</v>
      </c>
      <c r="G101">
        <v>100</v>
      </c>
    </row>
    <row r="102" spans="1:7">
      <c r="A102" t="s">
        <v>288</v>
      </c>
      <c r="B102">
        <v>1</v>
      </c>
      <c r="C102">
        <v>2</v>
      </c>
      <c r="D102">
        <v>6</v>
      </c>
      <c r="E102">
        <f>VLOOKUP(A102,Elements!$A$2:$B$435,2,0)</f>
        <v>67</v>
      </c>
      <c r="F102" t="str">
        <f t="shared" si="1"/>
        <v>2-6-67</v>
      </c>
      <c r="G102">
        <v>101</v>
      </c>
    </row>
    <row r="103" spans="1:7">
      <c r="A103" s="29" t="s">
        <v>104</v>
      </c>
      <c r="B103">
        <v>1</v>
      </c>
      <c r="C103">
        <v>2</v>
      </c>
      <c r="D103">
        <v>6</v>
      </c>
      <c r="E103">
        <f>VLOOKUP(A103,Elements!$A$2:$B$435,2,0)</f>
        <v>68</v>
      </c>
      <c r="F103" t="str">
        <f t="shared" si="1"/>
        <v>2-6-68</v>
      </c>
      <c r="G103">
        <v>102</v>
      </c>
    </row>
    <row r="104" spans="1:7">
      <c r="A104" s="29" t="s">
        <v>105</v>
      </c>
      <c r="B104">
        <v>1</v>
      </c>
      <c r="C104">
        <v>2</v>
      </c>
      <c r="D104">
        <v>6</v>
      </c>
      <c r="E104">
        <f>VLOOKUP(A104,Elements!$A$2:$B$435,2,0)</f>
        <v>69</v>
      </c>
      <c r="F104" t="str">
        <f t="shared" si="1"/>
        <v>2-6-69</v>
      </c>
      <c r="G104">
        <v>103</v>
      </c>
    </row>
    <row r="105" spans="1:7">
      <c r="A105" s="29" t="s">
        <v>106</v>
      </c>
      <c r="B105">
        <v>1</v>
      </c>
      <c r="C105">
        <v>2</v>
      </c>
      <c r="D105">
        <v>6</v>
      </c>
      <c r="E105">
        <f>VLOOKUP(A105,Elements!$A$2:$B$435,2,0)</f>
        <v>70</v>
      </c>
      <c r="F105" t="str">
        <f t="shared" si="1"/>
        <v>2-6-70</v>
      </c>
      <c r="G105">
        <v>104</v>
      </c>
    </row>
    <row r="106" spans="1:7">
      <c r="A106" s="29" t="s">
        <v>522</v>
      </c>
      <c r="B106">
        <v>1</v>
      </c>
      <c r="C106">
        <v>2</v>
      </c>
      <c r="D106">
        <v>7</v>
      </c>
      <c r="E106">
        <f>VLOOKUP(A106,Elements!$A$2:$B$435,2,0)</f>
        <v>71</v>
      </c>
      <c r="F106" t="str">
        <f t="shared" si="1"/>
        <v>2-7-71</v>
      </c>
      <c r="G106">
        <v>105</v>
      </c>
    </row>
    <row r="107" spans="1:7">
      <c r="A107" s="29" t="s">
        <v>47</v>
      </c>
      <c r="B107">
        <v>1</v>
      </c>
      <c r="C107">
        <v>2</v>
      </c>
      <c r="D107">
        <v>7</v>
      </c>
      <c r="E107">
        <f>VLOOKUP(A107,Elements!$A$2:$B$435,2,0)</f>
        <v>10</v>
      </c>
      <c r="F107" t="str">
        <f t="shared" si="1"/>
        <v>2-7-10</v>
      </c>
      <c r="G107">
        <v>106</v>
      </c>
    </row>
    <row r="108" spans="1:7">
      <c r="A108" s="29" t="s">
        <v>108</v>
      </c>
      <c r="B108">
        <v>1</v>
      </c>
      <c r="C108">
        <v>2</v>
      </c>
      <c r="D108">
        <v>7</v>
      </c>
      <c r="E108">
        <f>VLOOKUP(A108,Elements!$A$2:$B$435,2,0)</f>
        <v>72</v>
      </c>
      <c r="F108" t="str">
        <f t="shared" si="1"/>
        <v>2-7-72</v>
      </c>
      <c r="G108">
        <v>107</v>
      </c>
    </row>
    <row r="109" spans="1:7">
      <c r="A109" s="29" t="s">
        <v>353</v>
      </c>
      <c r="B109">
        <v>1</v>
      </c>
      <c r="C109">
        <v>2</v>
      </c>
      <c r="D109">
        <v>7</v>
      </c>
      <c r="E109">
        <f>VLOOKUP(A109,Elements!$A$2:$B$435,2,0)</f>
        <v>73</v>
      </c>
      <c r="F109" t="str">
        <f t="shared" si="1"/>
        <v>2-7-73</v>
      </c>
      <c r="G109">
        <v>108</v>
      </c>
    </row>
    <row r="110" spans="1:7">
      <c r="A110" s="29" t="s">
        <v>109</v>
      </c>
      <c r="B110">
        <v>1</v>
      </c>
      <c r="C110">
        <v>2</v>
      </c>
      <c r="D110">
        <v>7</v>
      </c>
      <c r="E110">
        <f>VLOOKUP(A110,Elements!$A$2:$B$435,2,0)</f>
        <v>74</v>
      </c>
      <c r="F110" t="str">
        <f t="shared" si="1"/>
        <v>2-7-74</v>
      </c>
      <c r="G110">
        <v>109</v>
      </c>
    </row>
    <row r="111" spans="1:7">
      <c r="A111" s="29" t="s">
        <v>355</v>
      </c>
      <c r="B111">
        <v>1</v>
      </c>
      <c r="C111">
        <v>2</v>
      </c>
      <c r="D111">
        <v>7</v>
      </c>
      <c r="E111">
        <f>VLOOKUP(A111,Elements!$A$2:$B$435,2,0)</f>
        <v>75</v>
      </c>
      <c r="F111" t="str">
        <f t="shared" si="1"/>
        <v>2-7-75</v>
      </c>
      <c r="G111">
        <v>110</v>
      </c>
    </row>
    <row r="112" spans="1:7">
      <c r="A112" s="29" t="s">
        <v>110</v>
      </c>
      <c r="B112">
        <v>1</v>
      </c>
      <c r="C112">
        <v>2</v>
      </c>
      <c r="D112">
        <v>7</v>
      </c>
      <c r="E112">
        <f>VLOOKUP(A112,Elements!$A$2:$B$435,2,0)</f>
        <v>76</v>
      </c>
      <c r="F112" t="str">
        <f t="shared" si="1"/>
        <v>2-7-76</v>
      </c>
      <c r="G112">
        <v>111</v>
      </c>
    </row>
    <row r="113" spans="1:7">
      <c r="A113" s="29" t="s">
        <v>111</v>
      </c>
      <c r="B113">
        <v>1</v>
      </c>
      <c r="C113">
        <v>2</v>
      </c>
      <c r="D113">
        <v>7</v>
      </c>
      <c r="E113">
        <f>VLOOKUP(A113,Elements!$A$2:$B$435,2,0)</f>
        <v>77</v>
      </c>
      <c r="F113" t="str">
        <f t="shared" si="1"/>
        <v>2-7-77</v>
      </c>
      <c r="G113">
        <v>112</v>
      </c>
    </row>
    <row r="114" spans="1:7">
      <c r="A114" s="29" t="s">
        <v>112</v>
      </c>
      <c r="B114">
        <v>1</v>
      </c>
      <c r="C114">
        <v>2</v>
      </c>
      <c r="D114">
        <v>7</v>
      </c>
      <c r="E114">
        <f>VLOOKUP(A114,Elements!$A$2:$B$435,2,0)</f>
        <v>78</v>
      </c>
      <c r="F114" t="str">
        <f t="shared" si="1"/>
        <v>2-7-78</v>
      </c>
      <c r="G114">
        <v>113</v>
      </c>
    </row>
    <row r="115" spans="1:7">
      <c r="A115" s="29" t="s">
        <v>113</v>
      </c>
      <c r="B115">
        <v>1</v>
      </c>
      <c r="C115">
        <v>2</v>
      </c>
      <c r="D115">
        <v>7</v>
      </c>
      <c r="E115">
        <f>VLOOKUP(A115,Elements!$A$2:$B$435,2,0)</f>
        <v>79</v>
      </c>
      <c r="F115" t="str">
        <f t="shared" si="1"/>
        <v>2-7-79</v>
      </c>
      <c r="G115">
        <v>114</v>
      </c>
    </row>
    <row r="116" spans="1:7">
      <c r="A116" s="29" t="s">
        <v>114</v>
      </c>
      <c r="B116">
        <v>1</v>
      </c>
      <c r="C116">
        <v>2</v>
      </c>
      <c r="D116">
        <v>7</v>
      </c>
      <c r="E116">
        <f>VLOOKUP(A116,Elements!$A$2:$B$435,2,0)</f>
        <v>80</v>
      </c>
      <c r="F116" t="str">
        <f t="shared" si="1"/>
        <v>2-7-80</v>
      </c>
      <c r="G116">
        <v>115</v>
      </c>
    </row>
    <row r="117" spans="1:7">
      <c r="A117" s="29" t="s">
        <v>115</v>
      </c>
      <c r="B117">
        <v>1</v>
      </c>
      <c r="C117">
        <v>2</v>
      </c>
      <c r="D117">
        <v>7</v>
      </c>
      <c r="E117">
        <f>VLOOKUP(A117,Elements!$A$2:$B$435,2,0)</f>
        <v>81</v>
      </c>
      <c r="F117" t="str">
        <f t="shared" si="1"/>
        <v>2-7-81</v>
      </c>
      <c r="G117">
        <v>116</v>
      </c>
    </row>
    <row r="118" spans="1:7">
      <c r="A118" s="29" t="s">
        <v>116</v>
      </c>
      <c r="B118">
        <v>1</v>
      </c>
      <c r="C118">
        <v>2</v>
      </c>
      <c r="D118">
        <v>7</v>
      </c>
      <c r="E118">
        <f>VLOOKUP(A118,Elements!$A$2:$B$435,2,0)</f>
        <v>82</v>
      </c>
      <c r="F118" t="str">
        <f t="shared" si="1"/>
        <v>2-7-82</v>
      </c>
      <c r="G118">
        <v>117</v>
      </c>
    </row>
    <row r="119" spans="1:7">
      <c r="A119" s="29" t="s">
        <v>117</v>
      </c>
      <c r="B119">
        <v>1</v>
      </c>
      <c r="C119">
        <v>2</v>
      </c>
      <c r="D119">
        <v>8</v>
      </c>
      <c r="E119">
        <f>VLOOKUP(A119,Elements!$A$2:$B$435,2,0)</f>
        <v>83</v>
      </c>
      <c r="F119" t="str">
        <f t="shared" si="1"/>
        <v>2-8-83</v>
      </c>
      <c r="G119">
        <v>118</v>
      </c>
    </row>
    <row r="120" spans="1:7">
      <c r="A120" s="29" t="s">
        <v>118</v>
      </c>
      <c r="B120">
        <v>1</v>
      </c>
      <c r="C120">
        <v>2</v>
      </c>
      <c r="D120">
        <v>8</v>
      </c>
      <c r="E120">
        <f>VLOOKUP(A120,Elements!$A$2:$B$435,2,0)</f>
        <v>84</v>
      </c>
      <c r="F120" t="str">
        <f t="shared" si="1"/>
        <v>2-8-84</v>
      </c>
      <c r="G120">
        <v>119</v>
      </c>
    </row>
    <row r="121" spans="1:7">
      <c r="A121" s="29" t="s">
        <v>119</v>
      </c>
      <c r="B121">
        <v>1</v>
      </c>
      <c r="C121">
        <v>2</v>
      </c>
      <c r="D121">
        <v>8</v>
      </c>
      <c r="E121">
        <f>VLOOKUP(A121,Elements!$A$2:$B$435,2,0)</f>
        <v>85</v>
      </c>
      <c r="F121" t="str">
        <f t="shared" si="1"/>
        <v>2-8-85</v>
      </c>
      <c r="G121">
        <v>120</v>
      </c>
    </row>
    <row r="122" spans="1:7">
      <c r="A122" s="29" t="s">
        <v>527</v>
      </c>
      <c r="B122">
        <v>1</v>
      </c>
      <c r="C122">
        <v>2</v>
      </c>
      <c r="D122">
        <v>9</v>
      </c>
      <c r="E122">
        <f>VLOOKUP(A122,Elements!$A$2:$B$435,2,0)</f>
        <v>86</v>
      </c>
      <c r="F122" t="str">
        <f t="shared" si="1"/>
        <v>2-9-86</v>
      </c>
      <c r="G122">
        <v>121</v>
      </c>
    </row>
    <row r="123" spans="1:7">
      <c r="A123" s="29" t="s">
        <v>121</v>
      </c>
      <c r="B123">
        <v>1</v>
      </c>
      <c r="C123">
        <v>2</v>
      </c>
      <c r="D123">
        <v>9</v>
      </c>
      <c r="E123">
        <f>VLOOKUP(A123,Elements!$A$2:$B$435,2,0)</f>
        <v>87</v>
      </c>
      <c r="F123" t="str">
        <f t="shared" si="1"/>
        <v>2-9-87</v>
      </c>
      <c r="G123">
        <v>122</v>
      </c>
    </row>
    <row r="124" spans="1:7">
      <c r="A124" s="29" t="s">
        <v>122</v>
      </c>
      <c r="B124">
        <v>1</v>
      </c>
      <c r="C124">
        <v>2</v>
      </c>
      <c r="D124">
        <v>9</v>
      </c>
      <c r="E124">
        <f>VLOOKUP(A124,Elements!$A$2:$B$435,2,0)</f>
        <v>88</v>
      </c>
      <c r="F124" t="str">
        <f t="shared" si="1"/>
        <v>2-9-88</v>
      </c>
      <c r="G124">
        <v>123</v>
      </c>
    </row>
    <row r="125" spans="1:7">
      <c r="A125" s="29" t="s">
        <v>123</v>
      </c>
      <c r="B125">
        <v>1</v>
      </c>
      <c r="C125">
        <v>2</v>
      </c>
      <c r="D125">
        <v>9</v>
      </c>
      <c r="E125">
        <f>VLOOKUP(A125,Elements!$A$2:$B$435,2,0)</f>
        <v>89</v>
      </c>
      <c r="F125" t="str">
        <f t="shared" si="1"/>
        <v>2-9-89</v>
      </c>
      <c r="G125">
        <v>124</v>
      </c>
    </row>
    <row r="126" spans="1:7">
      <c r="A126" s="29" t="s">
        <v>124</v>
      </c>
      <c r="B126">
        <v>1</v>
      </c>
      <c r="C126">
        <v>2</v>
      </c>
      <c r="D126">
        <v>9</v>
      </c>
      <c r="E126">
        <f>VLOOKUP(A126,Elements!$A$2:$B$435,2,0)</f>
        <v>90</v>
      </c>
      <c r="F126" t="str">
        <f t="shared" si="1"/>
        <v>2-9-90</v>
      </c>
      <c r="G126">
        <v>125</v>
      </c>
    </row>
    <row r="127" spans="1:7">
      <c r="A127" s="29" t="s">
        <v>526</v>
      </c>
      <c r="B127">
        <v>1</v>
      </c>
      <c r="C127">
        <v>2</v>
      </c>
      <c r="D127">
        <v>9</v>
      </c>
      <c r="E127">
        <f>VLOOKUP(A127,Elements!$A$2:$B$435,2,0)</f>
        <v>91</v>
      </c>
      <c r="F127" t="str">
        <f t="shared" si="1"/>
        <v>2-9-91</v>
      </c>
      <c r="G127">
        <v>126</v>
      </c>
    </row>
    <row r="128" spans="1:7">
      <c r="A128" s="29" t="s">
        <v>126</v>
      </c>
      <c r="B128">
        <v>1</v>
      </c>
      <c r="C128">
        <v>2</v>
      </c>
      <c r="D128">
        <v>9</v>
      </c>
      <c r="E128">
        <f>VLOOKUP(A128,Elements!$A$2:$B$435,2,0)</f>
        <v>92</v>
      </c>
      <c r="F128" t="str">
        <f t="shared" si="1"/>
        <v>2-9-92</v>
      </c>
      <c r="G128">
        <v>127</v>
      </c>
    </row>
    <row r="129" spans="1:7">
      <c r="A129" s="29" t="s">
        <v>127</v>
      </c>
      <c r="B129">
        <v>1</v>
      </c>
      <c r="C129">
        <v>2</v>
      </c>
      <c r="D129">
        <v>9</v>
      </c>
      <c r="E129">
        <f>VLOOKUP(A129,Elements!$A$2:$B$435,2,0)</f>
        <v>93</v>
      </c>
      <c r="F129" t="str">
        <f t="shared" si="1"/>
        <v>2-9-93</v>
      </c>
      <c r="G129">
        <v>128</v>
      </c>
    </row>
    <row r="130" spans="1:7">
      <c r="A130" s="29" t="s">
        <v>128</v>
      </c>
      <c r="B130">
        <v>1</v>
      </c>
      <c r="C130">
        <v>2</v>
      </c>
      <c r="D130">
        <v>9</v>
      </c>
      <c r="E130">
        <f>VLOOKUP(A130,Elements!$A$2:$B$435,2,0)</f>
        <v>94</v>
      </c>
      <c r="F130" t="str">
        <f t="shared" ref="F130:F193" si="2">_xlfn.CONCAT(C130,"-",D130,"-",E130)</f>
        <v>2-9-94</v>
      </c>
      <c r="G130">
        <v>129</v>
      </c>
    </row>
    <row r="131" spans="1:7">
      <c r="A131" s="29" t="s">
        <v>129</v>
      </c>
      <c r="B131">
        <v>1</v>
      </c>
      <c r="C131">
        <v>2</v>
      </c>
      <c r="D131">
        <v>9</v>
      </c>
      <c r="E131">
        <f>VLOOKUP(A131,Elements!$A$2:$B$435,2,0)</f>
        <v>95</v>
      </c>
      <c r="F131" t="str">
        <f t="shared" si="2"/>
        <v>2-9-95</v>
      </c>
      <c r="G131">
        <v>130</v>
      </c>
    </row>
    <row r="132" spans="1:7">
      <c r="A132" s="29" t="s">
        <v>511</v>
      </c>
      <c r="B132">
        <v>1</v>
      </c>
      <c r="C132">
        <v>2</v>
      </c>
      <c r="D132">
        <v>10</v>
      </c>
      <c r="E132">
        <f>VLOOKUP(A132,Elements!$A$2:$B$435,2,0)</f>
        <v>96</v>
      </c>
      <c r="F132" t="str">
        <f t="shared" si="2"/>
        <v>2-10-96</v>
      </c>
      <c r="G132">
        <v>131</v>
      </c>
    </row>
    <row r="133" spans="1:7">
      <c r="A133" s="29" t="s">
        <v>131</v>
      </c>
      <c r="B133">
        <v>1</v>
      </c>
      <c r="C133">
        <v>2</v>
      </c>
      <c r="D133">
        <v>10</v>
      </c>
      <c r="E133">
        <f>VLOOKUP(A133,Elements!$A$2:$B$435,2,0)</f>
        <v>97</v>
      </c>
      <c r="F133" t="str">
        <f t="shared" si="2"/>
        <v>2-10-97</v>
      </c>
      <c r="G133">
        <v>132</v>
      </c>
    </row>
    <row r="134" spans="1:7">
      <c r="A134" s="29" t="s">
        <v>132</v>
      </c>
      <c r="B134">
        <v>1</v>
      </c>
      <c r="C134">
        <v>2</v>
      </c>
      <c r="D134">
        <v>10</v>
      </c>
      <c r="E134">
        <f>VLOOKUP(A134,Elements!$A$2:$B$435,2,0)</f>
        <v>98</v>
      </c>
      <c r="F134" t="str">
        <f t="shared" si="2"/>
        <v>2-10-98</v>
      </c>
      <c r="G134">
        <v>133</v>
      </c>
    </row>
    <row r="135" spans="1:7">
      <c r="A135" s="29" t="s">
        <v>133</v>
      </c>
      <c r="B135">
        <v>1</v>
      </c>
      <c r="C135">
        <v>2</v>
      </c>
      <c r="D135">
        <v>10</v>
      </c>
      <c r="E135">
        <f>VLOOKUP(A135,Elements!$A$2:$B$435,2,0)</f>
        <v>99</v>
      </c>
      <c r="F135" t="str">
        <f t="shared" si="2"/>
        <v>2-10-99</v>
      </c>
      <c r="G135">
        <v>134</v>
      </c>
    </row>
    <row r="136" spans="1:7">
      <c r="A136" s="29" t="s">
        <v>514</v>
      </c>
      <c r="B136">
        <v>1</v>
      </c>
      <c r="C136">
        <v>2</v>
      </c>
      <c r="D136">
        <v>10</v>
      </c>
      <c r="E136">
        <f>VLOOKUP(A136,Elements!$A$2:$B$435,2,0)</f>
        <v>100</v>
      </c>
      <c r="F136" t="str">
        <f t="shared" si="2"/>
        <v>2-10-100</v>
      </c>
      <c r="G136">
        <v>135</v>
      </c>
    </row>
    <row r="137" spans="1:7">
      <c r="A137" s="29" t="s">
        <v>135</v>
      </c>
      <c r="B137">
        <v>1</v>
      </c>
      <c r="C137">
        <v>2</v>
      </c>
      <c r="D137">
        <v>10</v>
      </c>
      <c r="E137">
        <f>VLOOKUP(A137,Elements!$A$2:$B$435,2,0)</f>
        <v>101</v>
      </c>
      <c r="F137" t="str">
        <f t="shared" si="2"/>
        <v>2-10-101</v>
      </c>
      <c r="G137">
        <v>136</v>
      </c>
    </row>
    <row r="138" spans="1:7" s="4" customFormat="1" ht="17" thickBot="1">
      <c r="A138" s="30" t="s">
        <v>136</v>
      </c>
      <c r="B138" s="4">
        <v>1</v>
      </c>
      <c r="C138" s="4">
        <v>2</v>
      </c>
      <c r="D138" s="4">
        <v>10</v>
      </c>
      <c r="E138" s="4">
        <f>VLOOKUP(A138,Elements!$A$2:$B$435,2,0)</f>
        <v>102</v>
      </c>
      <c r="F138" s="4" t="str">
        <f t="shared" si="2"/>
        <v>2-10-102</v>
      </c>
      <c r="G138" s="4">
        <v>137</v>
      </c>
    </row>
    <row r="139" spans="1:7">
      <c r="A139" s="160" t="s">
        <v>517</v>
      </c>
      <c r="B139">
        <v>1</v>
      </c>
      <c r="C139">
        <v>3</v>
      </c>
      <c r="D139">
        <v>1</v>
      </c>
      <c r="E139">
        <f>VLOOKUP(A139,Elements!$A$2:$B$435,2,0)</f>
        <v>1</v>
      </c>
      <c r="F139" t="str">
        <f t="shared" si="2"/>
        <v>3-1-1</v>
      </c>
      <c r="G139">
        <v>138</v>
      </c>
    </row>
    <row r="140" spans="1:7">
      <c r="A140" s="29" t="s">
        <v>39</v>
      </c>
      <c r="B140">
        <v>1</v>
      </c>
      <c r="C140">
        <v>3</v>
      </c>
      <c r="D140">
        <v>1</v>
      </c>
      <c r="E140">
        <f>VLOOKUP(A140,Elements!$A$2:$B$435,2,0)</f>
        <v>2</v>
      </c>
      <c r="F140" t="str">
        <f t="shared" si="2"/>
        <v>3-1-2</v>
      </c>
      <c r="G140">
        <v>139</v>
      </c>
    </row>
    <row r="141" spans="1:7">
      <c r="A141" s="29" t="s">
        <v>518</v>
      </c>
      <c r="B141">
        <v>1</v>
      </c>
      <c r="C141">
        <v>3</v>
      </c>
      <c r="D141">
        <v>1</v>
      </c>
      <c r="E141">
        <f>VLOOKUP(A141,Elements!$A$2:$B$435,2,0)</f>
        <v>3</v>
      </c>
      <c r="F141" t="str">
        <f t="shared" si="2"/>
        <v>3-1-3</v>
      </c>
      <c r="G141">
        <v>140</v>
      </c>
    </row>
    <row r="142" spans="1:7">
      <c r="A142" s="29" t="s">
        <v>41</v>
      </c>
      <c r="B142">
        <v>1</v>
      </c>
      <c r="C142">
        <v>3</v>
      </c>
      <c r="D142">
        <v>1</v>
      </c>
      <c r="E142">
        <f>VLOOKUP(A142,Elements!$A$2:$B$435,2,0)</f>
        <v>4</v>
      </c>
      <c r="F142" t="str">
        <f t="shared" si="2"/>
        <v>3-1-4</v>
      </c>
      <c r="G142">
        <v>141</v>
      </c>
    </row>
    <row r="143" spans="1:7">
      <c r="A143" s="29" t="s">
        <v>519</v>
      </c>
      <c r="B143">
        <v>1</v>
      </c>
      <c r="C143">
        <v>3</v>
      </c>
      <c r="D143">
        <v>1</v>
      </c>
      <c r="E143">
        <f>VLOOKUP(A143,Elements!$A$2:$B$435,2,0)</f>
        <v>5</v>
      </c>
      <c r="F143" t="str">
        <f t="shared" si="2"/>
        <v>3-1-5</v>
      </c>
      <c r="G143">
        <v>142</v>
      </c>
    </row>
    <row r="144" spans="1:7">
      <c r="A144" s="29" t="s">
        <v>43</v>
      </c>
      <c r="B144">
        <v>1</v>
      </c>
      <c r="C144">
        <v>3</v>
      </c>
      <c r="D144">
        <v>1</v>
      </c>
      <c r="E144">
        <f>VLOOKUP(A144,Elements!$A$2:$B$435,2,0)</f>
        <v>6</v>
      </c>
      <c r="F144" t="str">
        <f t="shared" si="2"/>
        <v>3-1-6</v>
      </c>
      <c r="G144">
        <v>143</v>
      </c>
    </row>
    <row r="145" spans="1:7">
      <c r="A145" s="29" t="s">
        <v>44</v>
      </c>
      <c r="B145">
        <v>1</v>
      </c>
      <c r="C145">
        <v>3</v>
      </c>
      <c r="D145">
        <v>1</v>
      </c>
      <c r="E145">
        <f>VLOOKUP(A145,Elements!$A$2:$B$435,2,0)</f>
        <v>7</v>
      </c>
      <c r="F145" t="str">
        <f t="shared" si="2"/>
        <v>3-1-7</v>
      </c>
      <c r="G145">
        <v>144</v>
      </c>
    </row>
    <row r="146" spans="1:7">
      <c r="A146" s="29" t="s">
        <v>45</v>
      </c>
      <c r="B146">
        <v>1</v>
      </c>
      <c r="C146">
        <v>3</v>
      </c>
      <c r="D146">
        <v>1</v>
      </c>
      <c r="E146">
        <f>VLOOKUP(A146,Elements!$A$2:$B$435,2,0)</f>
        <v>8</v>
      </c>
      <c r="F146" t="str">
        <f t="shared" si="2"/>
        <v>3-1-8</v>
      </c>
      <c r="G146">
        <v>145</v>
      </c>
    </row>
    <row r="147" spans="1:7">
      <c r="A147" s="29" t="s">
        <v>46</v>
      </c>
      <c r="B147">
        <v>1</v>
      </c>
      <c r="C147">
        <v>3</v>
      </c>
      <c r="D147">
        <v>1</v>
      </c>
      <c r="E147">
        <f>VLOOKUP(A147,Elements!$A$2:$B$435,2,0)</f>
        <v>9</v>
      </c>
      <c r="F147" t="str">
        <f t="shared" si="2"/>
        <v>3-1-9</v>
      </c>
      <c r="G147">
        <v>146</v>
      </c>
    </row>
    <row r="148" spans="1:7">
      <c r="A148" s="29" t="s">
        <v>47</v>
      </c>
      <c r="B148">
        <v>1</v>
      </c>
      <c r="C148">
        <v>3</v>
      </c>
      <c r="D148">
        <v>1</v>
      </c>
      <c r="E148">
        <f>VLOOKUP(A148,Elements!$A$2:$B$435,2,0)</f>
        <v>10</v>
      </c>
      <c r="F148" t="str">
        <f t="shared" si="2"/>
        <v>3-1-10</v>
      </c>
      <c r="G148">
        <v>147</v>
      </c>
    </row>
    <row r="149" spans="1:7">
      <c r="A149" s="29" t="s">
        <v>48</v>
      </c>
      <c r="B149">
        <v>1</v>
      </c>
      <c r="C149">
        <v>3</v>
      </c>
      <c r="D149">
        <v>1</v>
      </c>
      <c r="E149">
        <f>VLOOKUP(A149,Elements!$A$2:$B$435,2,0)</f>
        <v>11</v>
      </c>
      <c r="F149" t="str">
        <f t="shared" si="2"/>
        <v>3-1-11</v>
      </c>
      <c r="G149">
        <v>148</v>
      </c>
    </row>
    <row r="150" spans="1:7" ht="17" thickBot="1">
      <c r="A150" s="30" t="s">
        <v>516</v>
      </c>
      <c r="B150">
        <v>1</v>
      </c>
      <c r="C150">
        <v>3</v>
      </c>
      <c r="D150">
        <v>1</v>
      </c>
      <c r="E150">
        <f>VLOOKUP(A150,Elements!$A$2:$B$435,2,0)</f>
        <v>12</v>
      </c>
      <c r="F150" t="str">
        <f t="shared" si="2"/>
        <v>3-1-12</v>
      </c>
      <c r="G150">
        <v>149</v>
      </c>
    </row>
    <row r="151" spans="1:7">
      <c r="A151" s="29" t="s">
        <v>51</v>
      </c>
      <c r="B151">
        <v>1</v>
      </c>
      <c r="C151">
        <v>3</v>
      </c>
      <c r="D151">
        <v>2</v>
      </c>
      <c r="E151">
        <f>VLOOKUP(A151,Elements!$A$2:$B$435,2,0)</f>
        <v>13</v>
      </c>
      <c r="F151" t="str">
        <f t="shared" si="2"/>
        <v>3-2-13</v>
      </c>
      <c r="G151">
        <v>150</v>
      </c>
    </row>
    <row r="152" spans="1:7">
      <c r="A152" s="29" t="s">
        <v>52</v>
      </c>
      <c r="B152">
        <v>1</v>
      </c>
      <c r="C152">
        <v>3</v>
      </c>
      <c r="D152">
        <v>2</v>
      </c>
      <c r="E152">
        <f>VLOOKUP(A152,Elements!$A$2:$B$435,2,0)</f>
        <v>14</v>
      </c>
      <c r="F152" t="str">
        <f t="shared" si="2"/>
        <v>3-2-14</v>
      </c>
      <c r="G152">
        <v>151</v>
      </c>
    </row>
    <row r="153" spans="1:7">
      <c r="A153" s="29" t="s">
        <v>507</v>
      </c>
      <c r="B153">
        <v>1</v>
      </c>
      <c r="C153">
        <v>3</v>
      </c>
      <c r="D153">
        <v>2</v>
      </c>
      <c r="E153">
        <f>VLOOKUP(A153,Elements!$A$2:$B$435,2,0)</f>
        <v>15</v>
      </c>
      <c r="F153" t="str">
        <f t="shared" si="2"/>
        <v>3-2-15</v>
      </c>
      <c r="G153">
        <v>152</v>
      </c>
    </row>
    <row r="154" spans="1:7">
      <c r="A154" s="29" t="s">
        <v>54</v>
      </c>
      <c r="B154">
        <v>1</v>
      </c>
      <c r="C154">
        <v>3</v>
      </c>
      <c r="D154">
        <v>2</v>
      </c>
      <c r="E154">
        <f>VLOOKUP(A154,Elements!$A$2:$B$435,2,0)</f>
        <v>16</v>
      </c>
      <c r="F154" t="str">
        <f t="shared" si="2"/>
        <v>3-2-16</v>
      </c>
      <c r="G154">
        <v>153</v>
      </c>
    </row>
    <row r="155" spans="1:7">
      <c r="A155" s="29" t="s">
        <v>55</v>
      </c>
      <c r="B155">
        <v>1</v>
      </c>
      <c r="C155">
        <v>3</v>
      </c>
      <c r="D155">
        <v>2</v>
      </c>
      <c r="E155">
        <f>VLOOKUP(A155,Elements!$A$2:$B$435,2,0)</f>
        <v>17</v>
      </c>
      <c r="F155" t="str">
        <f t="shared" si="2"/>
        <v>3-2-17</v>
      </c>
      <c r="G155">
        <v>154</v>
      </c>
    </row>
    <row r="156" spans="1:7">
      <c r="A156" s="29" t="s">
        <v>56</v>
      </c>
      <c r="B156">
        <v>1</v>
      </c>
      <c r="C156">
        <v>3</v>
      </c>
      <c r="D156">
        <v>2</v>
      </c>
      <c r="E156">
        <f>VLOOKUP(A156,Elements!$A$2:$B$435,2,0)</f>
        <v>18</v>
      </c>
      <c r="F156" t="str">
        <f t="shared" si="2"/>
        <v>3-2-18</v>
      </c>
      <c r="G156">
        <v>155</v>
      </c>
    </row>
    <row r="157" spans="1:7">
      <c r="A157" s="29" t="s">
        <v>57</v>
      </c>
      <c r="B157">
        <v>1</v>
      </c>
      <c r="C157">
        <v>3</v>
      </c>
      <c r="D157">
        <v>2</v>
      </c>
      <c r="E157">
        <f>VLOOKUP(A157,Elements!$A$2:$B$435,2,0)</f>
        <v>19</v>
      </c>
      <c r="F157" t="str">
        <f t="shared" si="2"/>
        <v>3-2-19</v>
      </c>
      <c r="G157">
        <v>156</v>
      </c>
    </row>
    <row r="158" spans="1:7">
      <c r="A158" s="29" t="s">
        <v>58</v>
      </c>
      <c r="B158">
        <v>1</v>
      </c>
      <c r="C158">
        <v>3</v>
      </c>
      <c r="D158">
        <v>2</v>
      </c>
      <c r="E158">
        <f>VLOOKUP(A158,Elements!$A$2:$B$435,2,0)</f>
        <v>20</v>
      </c>
      <c r="F158" t="str">
        <f t="shared" si="2"/>
        <v>3-2-20</v>
      </c>
      <c r="G158">
        <v>157</v>
      </c>
    </row>
    <row r="159" spans="1:7">
      <c r="A159" s="29" t="s">
        <v>59</v>
      </c>
      <c r="B159">
        <v>1</v>
      </c>
      <c r="C159">
        <v>3</v>
      </c>
      <c r="D159">
        <v>2</v>
      </c>
      <c r="E159">
        <f>VLOOKUP(A159,Elements!$A$2:$B$435,2,0)</f>
        <v>21</v>
      </c>
      <c r="F159" t="str">
        <f t="shared" si="2"/>
        <v>3-2-21</v>
      </c>
      <c r="G159">
        <v>158</v>
      </c>
    </row>
    <row r="160" spans="1:7">
      <c r="A160" s="29" t="s">
        <v>60</v>
      </c>
      <c r="B160">
        <v>1</v>
      </c>
      <c r="C160">
        <v>3</v>
      </c>
      <c r="D160">
        <v>2</v>
      </c>
      <c r="E160">
        <f>VLOOKUP(A160,Elements!$A$2:$B$435,2,0)</f>
        <v>22</v>
      </c>
      <c r="F160" t="str">
        <f t="shared" si="2"/>
        <v>3-2-22</v>
      </c>
      <c r="G160">
        <v>159</v>
      </c>
    </row>
    <row r="161" spans="1:7">
      <c r="A161" s="29" t="s">
        <v>61</v>
      </c>
      <c r="B161">
        <v>1</v>
      </c>
      <c r="C161">
        <v>3</v>
      </c>
      <c r="D161">
        <v>2</v>
      </c>
      <c r="E161">
        <f>VLOOKUP(A161,Elements!$A$2:$B$435,2,0)</f>
        <v>23</v>
      </c>
      <c r="F161" t="str">
        <f t="shared" si="2"/>
        <v>3-2-23</v>
      </c>
      <c r="G161">
        <v>160</v>
      </c>
    </row>
    <row r="162" spans="1:7">
      <c r="A162" s="29" t="s">
        <v>525</v>
      </c>
      <c r="B162">
        <v>1</v>
      </c>
      <c r="C162">
        <v>3</v>
      </c>
      <c r="D162">
        <v>2</v>
      </c>
      <c r="E162">
        <f>VLOOKUP(A162,Elements!$A$2:$B$435,2,0)</f>
        <v>24</v>
      </c>
      <c r="F162" t="str">
        <f t="shared" si="2"/>
        <v>3-2-24</v>
      </c>
      <c r="G162">
        <v>161</v>
      </c>
    </row>
    <row r="163" spans="1:7">
      <c r="A163" s="29" t="s">
        <v>63</v>
      </c>
      <c r="B163">
        <v>1</v>
      </c>
      <c r="C163">
        <v>3</v>
      </c>
      <c r="D163">
        <v>2</v>
      </c>
      <c r="E163">
        <f>VLOOKUP(A163,Elements!$A$2:$B$435,2,0)</f>
        <v>25</v>
      </c>
      <c r="F163" t="str">
        <f t="shared" si="2"/>
        <v>3-2-25</v>
      </c>
      <c r="G163">
        <v>162</v>
      </c>
    </row>
    <row r="164" spans="1:7">
      <c r="A164" s="29" t="s">
        <v>64</v>
      </c>
      <c r="B164">
        <v>1</v>
      </c>
      <c r="C164">
        <v>3</v>
      </c>
      <c r="D164">
        <v>2</v>
      </c>
      <c r="E164">
        <f>VLOOKUP(A164,Elements!$A$2:$B$435,2,0)</f>
        <v>26</v>
      </c>
      <c r="F164" t="str">
        <f t="shared" si="2"/>
        <v>3-2-26</v>
      </c>
      <c r="G164">
        <v>163</v>
      </c>
    </row>
    <row r="165" spans="1:7">
      <c r="A165" s="29" t="s">
        <v>524</v>
      </c>
      <c r="B165">
        <v>1</v>
      </c>
      <c r="C165">
        <v>3</v>
      </c>
      <c r="D165">
        <v>2</v>
      </c>
      <c r="E165">
        <f>VLOOKUP(A165,Elements!$A$2:$B$435,2,0)</f>
        <v>27</v>
      </c>
      <c r="F165" t="str">
        <f t="shared" si="2"/>
        <v>3-2-27</v>
      </c>
      <c r="G165">
        <v>164</v>
      </c>
    </row>
    <row r="166" spans="1:7">
      <c r="A166" s="29" t="s">
        <v>66</v>
      </c>
      <c r="B166">
        <v>1</v>
      </c>
      <c r="C166">
        <v>3</v>
      </c>
      <c r="D166">
        <v>2</v>
      </c>
      <c r="E166">
        <f>VLOOKUP(A166,Elements!$A$2:$B$435,2,0)</f>
        <v>28</v>
      </c>
      <c r="F166" t="str">
        <f t="shared" si="2"/>
        <v>3-2-28</v>
      </c>
      <c r="G166">
        <v>165</v>
      </c>
    </row>
    <row r="167" spans="1:7">
      <c r="A167" s="29" t="s">
        <v>67</v>
      </c>
      <c r="B167">
        <v>1</v>
      </c>
      <c r="C167">
        <v>3</v>
      </c>
      <c r="D167">
        <v>2</v>
      </c>
      <c r="E167">
        <f>VLOOKUP(A167,Elements!$A$2:$B$435,2,0)</f>
        <v>29</v>
      </c>
      <c r="F167" t="str">
        <f t="shared" si="2"/>
        <v>3-2-29</v>
      </c>
      <c r="G167">
        <v>166</v>
      </c>
    </row>
    <row r="168" spans="1:7">
      <c r="A168" s="29" t="s">
        <v>68</v>
      </c>
      <c r="B168">
        <v>1</v>
      </c>
      <c r="C168">
        <v>3</v>
      </c>
      <c r="D168">
        <v>2</v>
      </c>
      <c r="E168">
        <f>VLOOKUP(A168,Elements!$A$2:$B$435,2,0)</f>
        <v>30</v>
      </c>
      <c r="F168" t="str">
        <f t="shared" si="2"/>
        <v>3-2-30</v>
      </c>
      <c r="G168">
        <v>167</v>
      </c>
    </row>
    <row r="169" spans="1:7">
      <c r="A169" s="29" t="s">
        <v>69</v>
      </c>
      <c r="B169">
        <v>1</v>
      </c>
      <c r="C169">
        <v>3</v>
      </c>
      <c r="D169">
        <v>2</v>
      </c>
      <c r="E169">
        <f>VLOOKUP(A169,Elements!$A$2:$B$435,2,0)</f>
        <v>31</v>
      </c>
      <c r="F169" t="str">
        <f t="shared" si="2"/>
        <v>3-2-31</v>
      </c>
      <c r="G169">
        <v>168</v>
      </c>
    </row>
    <row r="170" spans="1:7">
      <c r="A170" s="29" t="s">
        <v>32</v>
      </c>
      <c r="B170">
        <v>1</v>
      </c>
      <c r="C170">
        <v>3</v>
      </c>
      <c r="D170">
        <v>2</v>
      </c>
      <c r="E170">
        <f>VLOOKUP(A170,Elements!$A$2:$B$435,2,0)</f>
        <v>32</v>
      </c>
      <c r="F170" t="str">
        <f t="shared" si="2"/>
        <v>3-2-32</v>
      </c>
      <c r="G170">
        <v>169</v>
      </c>
    </row>
    <row r="171" spans="1:7">
      <c r="A171" s="29" t="s">
        <v>70</v>
      </c>
      <c r="B171">
        <v>1</v>
      </c>
      <c r="C171">
        <v>3</v>
      </c>
      <c r="D171">
        <v>2</v>
      </c>
      <c r="E171">
        <f>VLOOKUP(A171,Elements!$A$2:$B$435,2,0)</f>
        <v>33</v>
      </c>
      <c r="F171" t="str">
        <f t="shared" si="2"/>
        <v>3-2-33</v>
      </c>
      <c r="G171">
        <v>170</v>
      </c>
    </row>
    <row r="172" spans="1:7">
      <c r="A172" s="29" t="s">
        <v>71</v>
      </c>
      <c r="B172">
        <v>1</v>
      </c>
      <c r="C172">
        <v>3</v>
      </c>
      <c r="D172">
        <v>2</v>
      </c>
      <c r="E172">
        <f>VLOOKUP(A172,Elements!$A$2:$B$435,2,0)</f>
        <v>34</v>
      </c>
      <c r="F172" t="str">
        <f t="shared" si="2"/>
        <v>3-2-34</v>
      </c>
      <c r="G172">
        <v>171</v>
      </c>
    </row>
    <row r="173" spans="1:7">
      <c r="A173" s="29" t="s">
        <v>47</v>
      </c>
      <c r="B173">
        <v>1</v>
      </c>
      <c r="C173">
        <v>3</v>
      </c>
      <c r="D173">
        <v>2</v>
      </c>
      <c r="E173">
        <f>VLOOKUP(A173,Elements!$A$2:$B$435,2,0)</f>
        <v>10</v>
      </c>
      <c r="F173" t="str">
        <f t="shared" si="2"/>
        <v>3-2-10</v>
      </c>
      <c r="G173">
        <v>172</v>
      </c>
    </row>
    <row r="174" spans="1:7">
      <c r="A174" s="29" t="s">
        <v>510</v>
      </c>
      <c r="B174">
        <v>1</v>
      </c>
      <c r="C174">
        <v>3</v>
      </c>
      <c r="D174">
        <v>3</v>
      </c>
      <c r="E174">
        <f>VLOOKUP(A174,Elements!$A$2:$B$435,2,0)</f>
        <v>35</v>
      </c>
      <c r="F174" t="str">
        <f t="shared" si="2"/>
        <v>3-3-35</v>
      </c>
      <c r="G174">
        <v>173</v>
      </c>
    </row>
    <row r="175" spans="1:7">
      <c r="A175" s="29" t="s">
        <v>509</v>
      </c>
      <c r="B175">
        <v>1</v>
      </c>
      <c r="C175">
        <v>3</v>
      </c>
      <c r="D175">
        <v>3</v>
      </c>
      <c r="E175">
        <f>VLOOKUP(A175,Elements!$A$2:$B$435,2,0)</f>
        <v>36</v>
      </c>
      <c r="F175" t="str">
        <f t="shared" si="2"/>
        <v>3-3-36</v>
      </c>
      <c r="G175">
        <v>174</v>
      </c>
    </row>
    <row r="176" spans="1:7">
      <c r="A176" s="29" t="s">
        <v>74</v>
      </c>
      <c r="B176">
        <v>1</v>
      </c>
      <c r="C176">
        <v>3</v>
      </c>
      <c r="D176">
        <v>3</v>
      </c>
      <c r="E176">
        <f>VLOOKUP(A176,Elements!$A$2:$B$435,2,0)</f>
        <v>37</v>
      </c>
      <c r="F176" t="str">
        <f t="shared" si="2"/>
        <v>3-3-37</v>
      </c>
      <c r="G176">
        <v>175</v>
      </c>
    </row>
    <row r="177" spans="1:7">
      <c r="A177" s="29" t="s">
        <v>75</v>
      </c>
      <c r="B177">
        <v>1</v>
      </c>
      <c r="C177">
        <v>3</v>
      </c>
      <c r="D177">
        <v>3</v>
      </c>
      <c r="E177">
        <f>VLOOKUP(A177,Elements!$A$2:$B$435,2,0)</f>
        <v>38</v>
      </c>
      <c r="F177" t="str">
        <f t="shared" si="2"/>
        <v>3-3-38</v>
      </c>
      <c r="G177">
        <v>176</v>
      </c>
    </row>
    <row r="178" spans="1:7">
      <c r="A178" s="29" t="s">
        <v>76</v>
      </c>
      <c r="B178">
        <v>1</v>
      </c>
      <c r="C178">
        <v>3</v>
      </c>
      <c r="D178">
        <v>3</v>
      </c>
      <c r="E178">
        <f>VLOOKUP(A178,Elements!$A$2:$B$435,2,0)</f>
        <v>39</v>
      </c>
      <c r="F178" t="str">
        <f t="shared" si="2"/>
        <v>3-3-39</v>
      </c>
      <c r="G178">
        <v>177</v>
      </c>
    </row>
    <row r="179" spans="1:7">
      <c r="A179" s="29" t="s">
        <v>77</v>
      </c>
      <c r="B179">
        <v>1</v>
      </c>
      <c r="C179">
        <v>3</v>
      </c>
      <c r="D179">
        <v>3</v>
      </c>
      <c r="E179">
        <f>VLOOKUP(A179,Elements!$A$2:$B$435,2,0)</f>
        <v>40</v>
      </c>
      <c r="F179" t="str">
        <f t="shared" si="2"/>
        <v>3-3-40</v>
      </c>
      <c r="G179">
        <v>178</v>
      </c>
    </row>
    <row r="180" spans="1:7">
      <c r="A180" s="29" t="s">
        <v>78</v>
      </c>
      <c r="B180">
        <v>1</v>
      </c>
      <c r="C180">
        <v>3</v>
      </c>
      <c r="D180">
        <v>3</v>
      </c>
      <c r="E180">
        <f>VLOOKUP(A180,Elements!$A$2:$B$435,2,0)</f>
        <v>41</v>
      </c>
      <c r="F180" t="str">
        <f t="shared" si="2"/>
        <v>3-3-41</v>
      </c>
      <c r="G180">
        <v>179</v>
      </c>
    </row>
    <row r="181" spans="1:7">
      <c r="A181" s="29" t="s">
        <v>79</v>
      </c>
      <c r="B181">
        <v>1</v>
      </c>
      <c r="C181">
        <v>3</v>
      </c>
      <c r="D181">
        <v>3</v>
      </c>
      <c r="E181">
        <f>VLOOKUP(A181,Elements!$A$2:$B$435,2,0)</f>
        <v>42</v>
      </c>
      <c r="F181" t="str">
        <f t="shared" si="2"/>
        <v>3-3-42</v>
      </c>
      <c r="G181">
        <v>180</v>
      </c>
    </row>
    <row r="182" spans="1:7">
      <c r="A182" s="29" t="s">
        <v>80</v>
      </c>
      <c r="B182">
        <v>1</v>
      </c>
      <c r="C182">
        <v>3</v>
      </c>
      <c r="D182">
        <v>3</v>
      </c>
      <c r="E182">
        <f>VLOOKUP(A182,Elements!$A$2:$B$435,2,0)</f>
        <v>43</v>
      </c>
      <c r="F182" t="str">
        <f t="shared" si="2"/>
        <v>3-3-43</v>
      </c>
      <c r="G182">
        <v>181</v>
      </c>
    </row>
    <row r="183" spans="1:7">
      <c r="A183" s="29" t="s">
        <v>81</v>
      </c>
      <c r="B183">
        <v>1</v>
      </c>
      <c r="C183">
        <v>3</v>
      </c>
      <c r="D183">
        <v>3</v>
      </c>
      <c r="E183">
        <f>VLOOKUP(A183,Elements!$A$2:$B$435,2,0)</f>
        <v>44</v>
      </c>
      <c r="F183" t="str">
        <f t="shared" si="2"/>
        <v>3-3-44</v>
      </c>
      <c r="G183">
        <v>182</v>
      </c>
    </row>
    <row r="184" spans="1:7">
      <c r="A184" s="29" t="s">
        <v>82</v>
      </c>
      <c r="B184">
        <v>1</v>
      </c>
      <c r="C184">
        <v>3</v>
      </c>
      <c r="D184">
        <v>3</v>
      </c>
      <c r="E184">
        <f>VLOOKUP(A184,Elements!$A$2:$B$435,2,0)</f>
        <v>45</v>
      </c>
      <c r="F184" t="str">
        <f t="shared" si="2"/>
        <v>3-3-45</v>
      </c>
      <c r="G184">
        <v>183</v>
      </c>
    </row>
    <row r="185" spans="1:7">
      <c r="A185" s="29" t="s">
        <v>83</v>
      </c>
      <c r="B185">
        <v>1</v>
      </c>
      <c r="C185">
        <v>3</v>
      </c>
      <c r="D185">
        <v>3</v>
      </c>
      <c r="E185">
        <f>VLOOKUP(A185,Elements!$A$2:$B$435,2,0)</f>
        <v>46</v>
      </c>
      <c r="F185" t="str">
        <f t="shared" si="2"/>
        <v>3-3-46</v>
      </c>
      <c r="G185">
        <v>184</v>
      </c>
    </row>
    <row r="186" spans="1:7">
      <c r="A186" s="29" t="s">
        <v>70</v>
      </c>
      <c r="B186">
        <v>1</v>
      </c>
      <c r="C186">
        <v>3</v>
      </c>
      <c r="D186">
        <v>3</v>
      </c>
      <c r="E186">
        <f>VLOOKUP(A186,Elements!$A$2:$B$435,2,0)</f>
        <v>33</v>
      </c>
      <c r="F186" t="str">
        <f t="shared" si="2"/>
        <v>3-3-33</v>
      </c>
      <c r="G186">
        <v>185</v>
      </c>
    </row>
    <row r="187" spans="1:7">
      <c r="A187" s="29" t="s">
        <v>85</v>
      </c>
      <c r="B187">
        <v>1</v>
      </c>
      <c r="C187">
        <v>3</v>
      </c>
      <c r="D187">
        <v>3</v>
      </c>
      <c r="E187">
        <f>VLOOKUP(A187,Elements!$A$2:$B$435,2,0)</f>
        <v>47</v>
      </c>
      <c r="F187" t="str">
        <f t="shared" si="2"/>
        <v>3-3-47</v>
      </c>
      <c r="G187">
        <v>186</v>
      </c>
    </row>
    <row r="188" spans="1:7">
      <c r="A188" s="29" t="s">
        <v>513</v>
      </c>
      <c r="B188">
        <v>1</v>
      </c>
      <c r="C188">
        <v>3</v>
      </c>
      <c r="D188">
        <v>4</v>
      </c>
      <c r="E188">
        <f>VLOOKUP(A188,Elements!$A$2:$B$435,2,0)</f>
        <v>48</v>
      </c>
      <c r="F188" t="str">
        <f t="shared" si="2"/>
        <v>3-4-48</v>
      </c>
      <c r="G188">
        <v>187</v>
      </c>
    </row>
    <row r="189" spans="1:7">
      <c r="A189" s="29" t="s">
        <v>523</v>
      </c>
      <c r="B189">
        <v>1</v>
      </c>
      <c r="C189">
        <v>3</v>
      </c>
      <c r="D189">
        <v>4</v>
      </c>
      <c r="E189">
        <f>VLOOKUP(A189,Elements!$A$2:$B$435,2,0)</f>
        <v>49</v>
      </c>
      <c r="F189" t="str">
        <f t="shared" si="2"/>
        <v>3-4-49</v>
      </c>
      <c r="G189">
        <v>188</v>
      </c>
    </row>
    <row r="190" spans="1:7">
      <c r="A190" s="29" t="s">
        <v>88</v>
      </c>
      <c r="B190">
        <v>1</v>
      </c>
      <c r="C190">
        <v>3</v>
      </c>
      <c r="D190">
        <v>4</v>
      </c>
      <c r="E190">
        <f>VLOOKUP(A190,Elements!$A$2:$B$435,2,0)</f>
        <v>50</v>
      </c>
      <c r="F190" t="str">
        <f t="shared" si="2"/>
        <v>3-4-50</v>
      </c>
      <c r="G190">
        <v>189</v>
      </c>
    </row>
    <row r="191" spans="1:7">
      <c r="A191" s="29" t="s">
        <v>512</v>
      </c>
      <c r="B191">
        <v>1</v>
      </c>
      <c r="C191">
        <v>3</v>
      </c>
      <c r="D191">
        <v>4</v>
      </c>
      <c r="E191">
        <f>VLOOKUP(A191,Elements!$A$2:$B$435,2,0)</f>
        <v>51</v>
      </c>
      <c r="F191" t="str">
        <f t="shared" si="2"/>
        <v>3-4-51</v>
      </c>
      <c r="G191">
        <v>190</v>
      </c>
    </row>
    <row r="192" spans="1:7">
      <c r="A192" s="29" t="s">
        <v>90</v>
      </c>
      <c r="B192">
        <v>1</v>
      </c>
      <c r="C192">
        <v>3</v>
      </c>
      <c r="D192">
        <v>4</v>
      </c>
      <c r="E192">
        <f>VLOOKUP(A192,Elements!$A$2:$B$435,2,0)</f>
        <v>52</v>
      </c>
      <c r="F192" t="str">
        <f t="shared" si="2"/>
        <v>3-4-52</v>
      </c>
      <c r="G192">
        <v>191</v>
      </c>
    </row>
    <row r="193" spans="1:7">
      <c r="A193" s="29" t="s">
        <v>91</v>
      </c>
      <c r="B193">
        <v>1</v>
      </c>
      <c r="C193">
        <v>3</v>
      </c>
      <c r="D193">
        <v>4</v>
      </c>
      <c r="E193">
        <f>VLOOKUP(A193,Elements!$A$2:$B$435,2,0)</f>
        <v>53</v>
      </c>
      <c r="F193" t="str">
        <f t="shared" si="2"/>
        <v>3-4-53</v>
      </c>
      <c r="G193">
        <v>192</v>
      </c>
    </row>
    <row r="194" spans="1:7">
      <c r="A194" s="29" t="s">
        <v>92</v>
      </c>
      <c r="B194">
        <v>1</v>
      </c>
      <c r="C194">
        <v>3</v>
      </c>
      <c r="D194">
        <v>4</v>
      </c>
      <c r="E194">
        <f>VLOOKUP(A194,Elements!$A$2:$B$435,2,0)</f>
        <v>54</v>
      </c>
      <c r="F194" t="str">
        <f t="shared" ref="F194:F257" si="3">_xlfn.CONCAT(C194,"-",D194,"-",E194)</f>
        <v>3-4-54</v>
      </c>
      <c r="G194">
        <v>193</v>
      </c>
    </row>
    <row r="195" spans="1:7">
      <c r="A195" s="29" t="s">
        <v>81</v>
      </c>
      <c r="B195">
        <v>1</v>
      </c>
      <c r="C195">
        <v>3</v>
      </c>
      <c r="D195">
        <v>4</v>
      </c>
      <c r="E195">
        <f>VLOOKUP(A195,Elements!$A$2:$B$435,2,0)</f>
        <v>44</v>
      </c>
      <c r="F195" t="str">
        <f t="shared" si="3"/>
        <v>3-4-44</v>
      </c>
      <c r="G195">
        <v>194</v>
      </c>
    </row>
    <row r="196" spans="1:7">
      <c r="A196" s="29" t="s">
        <v>93</v>
      </c>
      <c r="B196">
        <v>1</v>
      </c>
      <c r="C196">
        <v>3</v>
      </c>
      <c r="D196">
        <v>5</v>
      </c>
      <c r="E196">
        <f>VLOOKUP(A196,Elements!$A$2:$B$435,2,0)</f>
        <v>55</v>
      </c>
      <c r="F196" t="str">
        <f t="shared" si="3"/>
        <v>3-5-55</v>
      </c>
      <c r="G196">
        <v>195</v>
      </c>
    </row>
    <row r="197" spans="1:7">
      <c r="A197" s="29" t="s">
        <v>94</v>
      </c>
      <c r="B197">
        <v>1</v>
      </c>
      <c r="C197">
        <v>3</v>
      </c>
      <c r="D197">
        <v>5</v>
      </c>
      <c r="E197">
        <f>VLOOKUP(A197,Elements!$A$2:$B$435,2,0)</f>
        <v>56</v>
      </c>
      <c r="F197" t="str">
        <f t="shared" si="3"/>
        <v>3-5-56</v>
      </c>
      <c r="G197">
        <v>196</v>
      </c>
    </row>
    <row r="198" spans="1:7">
      <c r="A198" s="29" t="s">
        <v>95</v>
      </c>
      <c r="B198">
        <v>1</v>
      </c>
      <c r="C198">
        <v>3</v>
      </c>
      <c r="D198">
        <v>5</v>
      </c>
      <c r="E198">
        <f>VLOOKUP(A198,Elements!$A$2:$B$435,2,0)</f>
        <v>57</v>
      </c>
      <c r="F198" t="str">
        <f t="shared" si="3"/>
        <v>3-5-57</v>
      </c>
      <c r="G198">
        <v>197</v>
      </c>
    </row>
    <row r="199" spans="1:7">
      <c r="A199" s="29" t="s">
        <v>96</v>
      </c>
      <c r="B199">
        <v>1</v>
      </c>
      <c r="C199">
        <v>3</v>
      </c>
      <c r="D199">
        <v>5</v>
      </c>
      <c r="E199">
        <f>VLOOKUP(A199,Elements!$A$2:$B$435,2,0)</f>
        <v>58</v>
      </c>
      <c r="F199" t="str">
        <f t="shared" si="3"/>
        <v>3-5-58</v>
      </c>
      <c r="G199">
        <v>198</v>
      </c>
    </row>
    <row r="200" spans="1:7">
      <c r="A200" s="29" t="s">
        <v>97</v>
      </c>
      <c r="B200">
        <v>1</v>
      </c>
      <c r="C200">
        <v>3</v>
      </c>
      <c r="D200">
        <v>5</v>
      </c>
      <c r="E200">
        <f>VLOOKUP(A200,Elements!$A$2:$B$435,2,0)</f>
        <v>59</v>
      </c>
      <c r="F200" t="str">
        <f t="shared" si="3"/>
        <v>3-5-59</v>
      </c>
      <c r="G200">
        <v>199</v>
      </c>
    </row>
    <row r="201" spans="1:7">
      <c r="A201" s="29" t="s">
        <v>13</v>
      </c>
      <c r="B201">
        <v>1</v>
      </c>
      <c r="C201">
        <v>3</v>
      </c>
      <c r="D201">
        <v>5</v>
      </c>
      <c r="E201">
        <f>VLOOKUP(A201,Elements!$A$2:$B$435,2,0)</f>
        <v>60</v>
      </c>
      <c r="F201" t="str">
        <f t="shared" si="3"/>
        <v>3-5-60</v>
      </c>
      <c r="G201">
        <v>200</v>
      </c>
    </row>
    <row r="202" spans="1:7">
      <c r="A202" s="29" t="s">
        <v>98</v>
      </c>
      <c r="B202">
        <v>1</v>
      </c>
      <c r="C202">
        <v>3</v>
      </c>
      <c r="D202">
        <v>5</v>
      </c>
      <c r="E202">
        <f>VLOOKUP(A202,Elements!$A$2:$B$435,2,0)</f>
        <v>61</v>
      </c>
      <c r="F202" t="str">
        <f t="shared" si="3"/>
        <v>3-5-61</v>
      </c>
      <c r="G202">
        <v>201</v>
      </c>
    </row>
    <row r="203" spans="1:7">
      <c r="A203" s="29" t="s">
        <v>99</v>
      </c>
      <c r="B203">
        <v>1</v>
      </c>
      <c r="C203">
        <v>3</v>
      </c>
      <c r="D203">
        <v>5</v>
      </c>
      <c r="E203">
        <f>VLOOKUP(A203,Elements!$A$2:$B$435,2,0)</f>
        <v>62</v>
      </c>
      <c r="F203" t="str">
        <f t="shared" si="3"/>
        <v>3-5-62</v>
      </c>
      <c r="G203">
        <v>202</v>
      </c>
    </row>
    <row r="204" spans="1:7">
      <c r="A204" s="29" t="s">
        <v>100</v>
      </c>
      <c r="B204">
        <v>1</v>
      </c>
      <c r="C204">
        <v>3</v>
      </c>
      <c r="D204">
        <v>5</v>
      </c>
      <c r="E204">
        <f>VLOOKUP(A204,Elements!$A$2:$B$435,2,0)</f>
        <v>63</v>
      </c>
      <c r="F204" t="str">
        <f t="shared" si="3"/>
        <v>3-5-63</v>
      </c>
      <c r="G204">
        <v>203</v>
      </c>
    </row>
    <row r="205" spans="1:7">
      <c r="A205" s="29" t="s">
        <v>101</v>
      </c>
      <c r="B205">
        <v>1</v>
      </c>
      <c r="C205">
        <v>3</v>
      </c>
      <c r="D205">
        <v>6</v>
      </c>
      <c r="E205">
        <f>VLOOKUP(A205,Elements!$A$2:$B$435,2,0)</f>
        <v>64</v>
      </c>
      <c r="F205" t="str">
        <f t="shared" si="3"/>
        <v>3-6-64</v>
      </c>
      <c r="G205">
        <v>204</v>
      </c>
    </row>
    <row r="206" spans="1:7">
      <c r="A206" s="29" t="s">
        <v>362</v>
      </c>
      <c r="B206">
        <v>1</v>
      </c>
      <c r="C206">
        <v>3</v>
      </c>
      <c r="D206">
        <v>6</v>
      </c>
      <c r="E206">
        <f>VLOOKUP(A206,Elements!$A$2:$B$435,2,0)</f>
        <v>65</v>
      </c>
      <c r="F206" t="str">
        <f t="shared" si="3"/>
        <v>3-6-65</v>
      </c>
      <c r="G206">
        <v>205</v>
      </c>
    </row>
    <row r="207" spans="1:7">
      <c r="A207" s="29" t="s">
        <v>286</v>
      </c>
      <c r="B207">
        <v>1</v>
      </c>
      <c r="C207">
        <v>3</v>
      </c>
      <c r="D207">
        <v>6</v>
      </c>
      <c r="E207">
        <f>VLOOKUP(A207,Elements!$A$2:$B$435,2,0)</f>
        <v>66</v>
      </c>
      <c r="F207" t="str">
        <f t="shared" si="3"/>
        <v>3-6-66</v>
      </c>
      <c r="G207">
        <v>206</v>
      </c>
    </row>
    <row r="208" spans="1:7">
      <c r="A208" t="s">
        <v>288</v>
      </c>
      <c r="B208">
        <v>1</v>
      </c>
      <c r="C208">
        <v>3</v>
      </c>
      <c r="D208">
        <v>6</v>
      </c>
      <c r="E208">
        <f>VLOOKUP(A208,Elements!$A$2:$B$435,2,0)</f>
        <v>67</v>
      </c>
      <c r="F208" t="str">
        <f t="shared" si="3"/>
        <v>3-6-67</v>
      </c>
      <c r="G208">
        <v>207</v>
      </c>
    </row>
    <row r="209" spans="1:7">
      <c r="A209" s="29" t="s">
        <v>104</v>
      </c>
      <c r="B209">
        <v>1</v>
      </c>
      <c r="C209">
        <v>3</v>
      </c>
      <c r="D209">
        <v>6</v>
      </c>
      <c r="E209">
        <f>VLOOKUP(A209,Elements!$A$2:$B$435,2,0)</f>
        <v>68</v>
      </c>
      <c r="F209" t="str">
        <f t="shared" si="3"/>
        <v>3-6-68</v>
      </c>
      <c r="G209">
        <v>208</v>
      </c>
    </row>
    <row r="210" spans="1:7">
      <c r="A210" s="29" t="s">
        <v>105</v>
      </c>
      <c r="B210">
        <v>1</v>
      </c>
      <c r="C210">
        <v>3</v>
      </c>
      <c r="D210">
        <v>6</v>
      </c>
      <c r="E210">
        <f>VLOOKUP(A210,Elements!$A$2:$B$435,2,0)</f>
        <v>69</v>
      </c>
      <c r="F210" t="str">
        <f t="shared" si="3"/>
        <v>3-6-69</v>
      </c>
      <c r="G210">
        <v>209</v>
      </c>
    </row>
    <row r="211" spans="1:7">
      <c r="A211" s="29" t="s">
        <v>106</v>
      </c>
      <c r="B211">
        <v>1</v>
      </c>
      <c r="C211">
        <v>3</v>
      </c>
      <c r="D211">
        <v>6</v>
      </c>
      <c r="E211">
        <f>VLOOKUP(A211,Elements!$A$2:$B$435,2,0)</f>
        <v>70</v>
      </c>
      <c r="F211" t="str">
        <f t="shared" si="3"/>
        <v>3-6-70</v>
      </c>
      <c r="G211">
        <v>210</v>
      </c>
    </row>
    <row r="212" spans="1:7">
      <c r="A212" s="29" t="s">
        <v>522</v>
      </c>
      <c r="B212">
        <v>1</v>
      </c>
      <c r="C212">
        <v>3</v>
      </c>
      <c r="D212">
        <v>7</v>
      </c>
      <c r="E212">
        <f>VLOOKUP(A212,Elements!$A$2:$B$435,2,0)</f>
        <v>71</v>
      </c>
      <c r="F212" t="str">
        <f t="shared" si="3"/>
        <v>3-7-71</v>
      </c>
      <c r="G212">
        <v>211</v>
      </c>
    </row>
    <row r="213" spans="1:7">
      <c r="A213" s="29" t="s">
        <v>47</v>
      </c>
      <c r="B213">
        <v>1</v>
      </c>
      <c r="C213">
        <v>3</v>
      </c>
      <c r="D213">
        <v>7</v>
      </c>
      <c r="E213">
        <f>VLOOKUP(A213,Elements!$A$2:$B$435,2,0)</f>
        <v>10</v>
      </c>
      <c r="F213" t="str">
        <f t="shared" si="3"/>
        <v>3-7-10</v>
      </c>
      <c r="G213">
        <v>212</v>
      </c>
    </row>
    <row r="214" spans="1:7">
      <c r="A214" s="29" t="s">
        <v>108</v>
      </c>
      <c r="B214">
        <v>1</v>
      </c>
      <c r="C214">
        <v>3</v>
      </c>
      <c r="D214">
        <v>7</v>
      </c>
      <c r="E214">
        <f>VLOOKUP(A214,Elements!$A$2:$B$435,2,0)</f>
        <v>72</v>
      </c>
      <c r="F214" t="str">
        <f t="shared" si="3"/>
        <v>3-7-72</v>
      </c>
      <c r="G214">
        <v>213</v>
      </c>
    </row>
    <row r="215" spans="1:7">
      <c r="A215" s="29" t="s">
        <v>353</v>
      </c>
      <c r="B215">
        <v>1</v>
      </c>
      <c r="C215">
        <v>3</v>
      </c>
      <c r="D215">
        <v>7</v>
      </c>
      <c r="E215">
        <f>VLOOKUP(A215,Elements!$A$2:$B$435,2,0)</f>
        <v>73</v>
      </c>
      <c r="F215" t="str">
        <f t="shared" si="3"/>
        <v>3-7-73</v>
      </c>
      <c r="G215">
        <v>214</v>
      </c>
    </row>
    <row r="216" spans="1:7">
      <c r="A216" s="29" t="s">
        <v>109</v>
      </c>
      <c r="B216">
        <v>1</v>
      </c>
      <c r="C216">
        <v>3</v>
      </c>
      <c r="D216">
        <v>7</v>
      </c>
      <c r="E216">
        <f>VLOOKUP(A216,Elements!$A$2:$B$435,2,0)</f>
        <v>74</v>
      </c>
      <c r="F216" t="str">
        <f t="shared" si="3"/>
        <v>3-7-74</v>
      </c>
      <c r="G216">
        <v>215</v>
      </c>
    </row>
    <row r="217" spans="1:7">
      <c r="A217" s="29" t="s">
        <v>355</v>
      </c>
      <c r="B217">
        <v>1</v>
      </c>
      <c r="C217">
        <v>3</v>
      </c>
      <c r="D217">
        <v>7</v>
      </c>
      <c r="E217">
        <f>VLOOKUP(A217,Elements!$A$2:$B$435,2,0)</f>
        <v>75</v>
      </c>
      <c r="F217" t="str">
        <f t="shared" si="3"/>
        <v>3-7-75</v>
      </c>
      <c r="G217">
        <v>216</v>
      </c>
    </row>
    <row r="218" spans="1:7">
      <c r="A218" s="29" t="s">
        <v>110</v>
      </c>
      <c r="B218">
        <v>1</v>
      </c>
      <c r="C218">
        <v>3</v>
      </c>
      <c r="D218">
        <v>7</v>
      </c>
      <c r="E218">
        <f>VLOOKUP(A218,Elements!$A$2:$B$435,2,0)</f>
        <v>76</v>
      </c>
      <c r="F218" t="str">
        <f t="shared" si="3"/>
        <v>3-7-76</v>
      </c>
      <c r="G218">
        <v>217</v>
      </c>
    </row>
    <row r="219" spans="1:7">
      <c r="A219" s="29" t="s">
        <v>111</v>
      </c>
      <c r="B219">
        <v>1</v>
      </c>
      <c r="C219">
        <v>3</v>
      </c>
      <c r="D219">
        <v>7</v>
      </c>
      <c r="E219">
        <f>VLOOKUP(A219,Elements!$A$2:$B$435,2,0)</f>
        <v>77</v>
      </c>
      <c r="F219" t="str">
        <f t="shared" si="3"/>
        <v>3-7-77</v>
      </c>
      <c r="G219">
        <v>218</v>
      </c>
    </row>
    <row r="220" spans="1:7">
      <c r="A220" s="29" t="s">
        <v>112</v>
      </c>
      <c r="B220">
        <v>1</v>
      </c>
      <c r="C220">
        <v>3</v>
      </c>
      <c r="D220">
        <v>7</v>
      </c>
      <c r="E220">
        <f>VLOOKUP(A220,Elements!$A$2:$B$435,2,0)</f>
        <v>78</v>
      </c>
      <c r="F220" t="str">
        <f t="shared" si="3"/>
        <v>3-7-78</v>
      </c>
      <c r="G220">
        <v>219</v>
      </c>
    </row>
    <row r="221" spans="1:7">
      <c r="A221" s="29" t="s">
        <v>113</v>
      </c>
      <c r="B221">
        <v>1</v>
      </c>
      <c r="C221">
        <v>3</v>
      </c>
      <c r="D221">
        <v>7</v>
      </c>
      <c r="E221">
        <f>VLOOKUP(A221,Elements!$A$2:$B$435,2,0)</f>
        <v>79</v>
      </c>
      <c r="F221" t="str">
        <f t="shared" si="3"/>
        <v>3-7-79</v>
      </c>
      <c r="G221">
        <v>220</v>
      </c>
    </row>
    <row r="222" spans="1:7">
      <c r="A222" s="29" t="s">
        <v>114</v>
      </c>
      <c r="B222">
        <v>1</v>
      </c>
      <c r="C222">
        <v>3</v>
      </c>
      <c r="D222">
        <v>7</v>
      </c>
      <c r="E222">
        <f>VLOOKUP(A222,Elements!$A$2:$B$435,2,0)</f>
        <v>80</v>
      </c>
      <c r="F222" t="str">
        <f t="shared" si="3"/>
        <v>3-7-80</v>
      </c>
      <c r="G222">
        <v>221</v>
      </c>
    </row>
    <row r="223" spans="1:7">
      <c r="A223" s="29" t="s">
        <v>115</v>
      </c>
      <c r="B223">
        <v>1</v>
      </c>
      <c r="C223">
        <v>3</v>
      </c>
      <c r="D223">
        <v>7</v>
      </c>
      <c r="E223">
        <f>VLOOKUP(A223,Elements!$A$2:$B$435,2,0)</f>
        <v>81</v>
      </c>
      <c r="F223" t="str">
        <f t="shared" si="3"/>
        <v>3-7-81</v>
      </c>
      <c r="G223">
        <v>222</v>
      </c>
    </row>
    <row r="224" spans="1:7">
      <c r="A224" s="29" t="s">
        <v>116</v>
      </c>
      <c r="B224">
        <v>1</v>
      </c>
      <c r="C224">
        <v>3</v>
      </c>
      <c r="D224">
        <v>7</v>
      </c>
      <c r="E224">
        <f>VLOOKUP(A224,Elements!$A$2:$B$435,2,0)</f>
        <v>82</v>
      </c>
      <c r="F224" t="str">
        <f t="shared" si="3"/>
        <v>3-7-82</v>
      </c>
      <c r="G224">
        <v>223</v>
      </c>
    </row>
    <row r="225" spans="1:7">
      <c r="A225" s="29" t="s">
        <v>117</v>
      </c>
      <c r="B225">
        <v>1</v>
      </c>
      <c r="C225">
        <v>3</v>
      </c>
      <c r="D225">
        <v>8</v>
      </c>
      <c r="E225">
        <f>VLOOKUP(A225,Elements!$A$2:$B$435,2,0)</f>
        <v>83</v>
      </c>
      <c r="F225" t="str">
        <f t="shared" si="3"/>
        <v>3-8-83</v>
      </c>
      <c r="G225">
        <v>224</v>
      </c>
    </row>
    <row r="226" spans="1:7">
      <c r="A226" s="29" t="s">
        <v>118</v>
      </c>
      <c r="B226">
        <v>1</v>
      </c>
      <c r="C226">
        <v>3</v>
      </c>
      <c r="D226">
        <v>8</v>
      </c>
      <c r="E226">
        <f>VLOOKUP(A226,Elements!$A$2:$B$435,2,0)</f>
        <v>84</v>
      </c>
      <c r="F226" t="str">
        <f t="shared" si="3"/>
        <v>3-8-84</v>
      </c>
      <c r="G226">
        <v>225</v>
      </c>
    </row>
    <row r="227" spans="1:7">
      <c r="A227" s="29" t="s">
        <v>119</v>
      </c>
      <c r="B227">
        <v>1</v>
      </c>
      <c r="C227">
        <v>3</v>
      </c>
      <c r="D227">
        <v>8</v>
      </c>
      <c r="E227">
        <f>VLOOKUP(A227,Elements!$A$2:$B$435,2,0)</f>
        <v>85</v>
      </c>
      <c r="F227" t="str">
        <f t="shared" si="3"/>
        <v>3-8-85</v>
      </c>
      <c r="G227">
        <v>226</v>
      </c>
    </row>
    <row r="228" spans="1:7">
      <c r="A228" s="29" t="s">
        <v>527</v>
      </c>
      <c r="B228">
        <v>1</v>
      </c>
      <c r="C228">
        <v>3</v>
      </c>
      <c r="D228">
        <v>9</v>
      </c>
      <c r="E228">
        <f>VLOOKUP(A228,Elements!$A$2:$B$435,2,0)</f>
        <v>86</v>
      </c>
      <c r="F228" t="str">
        <f t="shared" si="3"/>
        <v>3-9-86</v>
      </c>
      <c r="G228">
        <v>227</v>
      </c>
    </row>
    <row r="229" spans="1:7">
      <c r="A229" s="29" t="s">
        <v>121</v>
      </c>
      <c r="B229">
        <v>1</v>
      </c>
      <c r="C229">
        <v>3</v>
      </c>
      <c r="D229">
        <v>9</v>
      </c>
      <c r="E229">
        <f>VLOOKUP(A229,Elements!$A$2:$B$435,2,0)</f>
        <v>87</v>
      </c>
      <c r="F229" t="str">
        <f t="shared" si="3"/>
        <v>3-9-87</v>
      </c>
      <c r="G229">
        <v>228</v>
      </c>
    </row>
    <row r="230" spans="1:7">
      <c r="A230" s="29" t="s">
        <v>122</v>
      </c>
      <c r="B230">
        <v>1</v>
      </c>
      <c r="C230">
        <v>3</v>
      </c>
      <c r="D230">
        <v>9</v>
      </c>
      <c r="E230">
        <f>VLOOKUP(A230,Elements!$A$2:$B$435,2,0)</f>
        <v>88</v>
      </c>
      <c r="F230" t="str">
        <f t="shared" si="3"/>
        <v>3-9-88</v>
      </c>
      <c r="G230">
        <v>229</v>
      </c>
    </row>
    <row r="231" spans="1:7">
      <c r="A231" s="29" t="s">
        <v>123</v>
      </c>
      <c r="B231">
        <v>1</v>
      </c>
      <c r="C231">
        <v>3</v>
      </c>
      <c r="D231">
        <v>9</v>
      </c>
      <c r="E231">
        <f>VLOOKUP(A231,Elements!$A$2:$B$435,2,0)</f>
        <v>89</v>
      </c>
      <c r="F231" t="str">
        <f t="shared" si="3"/>
        <v>3-9-89</v>
      </c>
      <c r="G231">
        <v>230</v>
      </c>
    </row>
    <row r="232" spans="1:7">
      <c r="A232" s="29" t="s">
        <v>124</v>
      </c>
      <c r="B232">
        <v>1</v>
      </c>
      <c r="C232">
        <v>3</v>
      </c>
      <c r="D232">
        <v>9</v>
      </c>
      <c r="E232">
        <f>VLOOKUP(A232,Elements!$A$2:$B$435,2,0)</f>
        <v>90</v>
      </c>
      <c r="F232" t="str">
        <f t="shared" si="3"/>
        <v>3-9-90</v>
      </c>
      <c r="G232">
        <v>231</v>
      </c>
    </row>
    <row r="233" spans="1:7">
      <c r="A233" s="29" t="s">
        <v>526</v>
      </c>
      <c r="B233">
        <v>1</v>
      </c>
      <c r="C233">
        <v>3</v>
      </c>
      <c r="D233">
        <v>9</v>
      </c>
      <c r="E233">
        <f>VLOOKUP(A233,Elements!$A$2:$B$435,2,0)</f>
        <v>91</v>
      </c>
      <c r="F233" t="str">
        <f t="shared" si="3"/>
        <v>3-9-91</v>
      </c>
      <c r="G233">
        <v>232</v>
      </c>
    </row>
    <row r="234" spans="1:7">
      <c r="A234" s="29" t="s">
        <v>126</v>
      </c>
      <c r="B234">
        <v>1</v>
      </c>
      <c r="C234">
        <v>3</v>
      </c>
      <c r="D234">
        <v>9</v>
      </c>
      <c r="E234">
        <f>VLOOKUP(A234,Elements!$A$2:$B$435,2,0)</f>
        <v>92</v>
      </c>
      <c r="F234" t="str">
        <f t="shared" si="3"/>
        <v>3-9-92</v>
      </c>
      <c r="G234">
        <v>233</v>
      </c>
    </row>
    <row r="235" spans="1:7">
      <c r="A235" s="29" t="s">
        <v>127</v>
      </c>
      <c r="B235">
        <v>1</v>
      </c>
      <c r="C235">
        <v>3</v>
      </c>
      <c r="D235">
        <v>9</v>
      </c>
      <c r="E235">
        <f>VLOOKUP(A235,Elements!$A$2:$B$435,2,0)</f>
        <v>93</v>
      </c>
      <c r="F235" t="str">
        <f t="shared" si="3"/>
        <v>3-9-93</v>
      </c>
      <c r="G235">
        <v>234</v>
      </c>
    </row>
    <row r="236" spans="1:7">
      <c r="A236" s="29" t="s">
        <v>128</v>
      </c>
      <c r="B236">
        <v>1</v>
      </c>
      <c r="C236">
        <v>3</v>
      </c>
      <c r="D236">
        <v>9</v>
      </c>
      <c r="E236">
        <f>VLOOKUP(A236,Elements!$A$2:$B$435,2,0)</f>
        <v>94</v>
      </c>
      <c r="F236" t="str">
        <f t="shared" si="3"/>
        <v>3-9-94</v>
      </c>
      <c r="G236">
        <v>235</v>
      </c>
    </row>
    <row r="237" spans="1:7">
      <c r="A237" s="29" t="s">
        <v>129</v>
      </c>
      <c r="B237">
        <v>1</v>
      </c>
      <c r="C237">
        <v>3</v>
      </c>
      <c r="D237">
        <v>9</v>
      </c>
      <c r="E237">
        <f>VLOOKUP(A237,Elements!$A$2:$B$435,2,0)</f>
        <v>95</v>
      </c>
      <c r="F237" t="str">
        <f t="shared" si="3"/>
        <v>3-9-95</v>
      </c>
      <c r="G237">
        <v>236</v>
      </c>
    </row>
    <row r="238" spans="1:7">
      <c r="A238" s="29" t="s">
        <v>511</v>
      </c>
      <c r="B238">
        <v>1</v>
      </c>
      <c r="C238">
        <v>3</v>
      </c>
      <c r="D238">
        <v>10</v>
      </c>
      <c r="E238">
        <f>VLOOKUP(A238,Elements!$A$2:$B$435,2,0)</f>
        <v>96</v>
      </c>
      <c r="F238" t="str">
        <f t="shared" si="3"/>
        <v>3-10-96</v>
      </c>
      <c r="G238">
        <v>237</v>
      </c>
    </row>
    <row r="239" spans="1:7">
      <c r="A239" s="29" t="s">
        <v>131</v>
      </c>
      <c r="B239">
        <v>1</v>
      </c>
      <c r="C239">
        <v>3</v>
      </c>
      <c r="D239">
        <v>10</v>
      </c>
      <c r="E239">
        <f>VLOOKUP(A239,Elements!$A$2:$B$435,2,0)</f>
        <v>97</v>
      </c>
      <c r="F239" t="str">
        <f t="shared" si="3"/>
        <v>3-10-97</v>
      </c>
      <c r="G239">
        <v>238</v>
      </c>
    </row>
    <row r="240" spans="1:7">
      <c r="A240" s="29" t="s">
        <v>132</v>
      </c>
      <c r="B240">
        <v>1</v>
      </c>
      <c r="C240">
        <v>3</v>
      </c>
      <c r="D240">
        <v>10</v>
      </c>
      <c r="E240">
        <f>VLOOKUP(A240,Elements!$A$2:$B$435,2,0)</f>
        <v>98</v>
      </c>
      <c r="F240" t="str">
        <f t="shared" si="3"/>
        <v>3-10-98</v>
      </c>
      <c r="G240">
        <v>239</v>
      </c>
    </row>
    <row r="241" spans="1:7">
      <c r="A241" s="29" t="s">
        <v>133</v>
      </c>
      <c r="B241">
        <v>1</v>
      </c>
      <c r="C241">
        <v>3</v>
      </c>
      <c r="D241">
        <v>10</v>
      </c>
      <c r="E241">
        <f>VLOOKUP(A241,Elements!$A$2:$B$435,2,0)</f>
        <v>99</v>
      </c>
      <c r="F241" t="str">
        <f t="shared" si="3"/>
        <v>3-10-99</v>
      </c>
      <c r="G241">
        <v>240</v>
      </c>
    </row>
    <row r="242" spans="1:7">
      <c r="A242" s="29" t="s">
        <v>514</v>
      </c>
      <c r="B242">
        <v>1</v>
      </c>
      <c r="C242">
        <v>3</v>
      </c>
      <c r="D242">
        <v>10</v>
      </c>
      <c r="E242">
        <f>VLOOKUP(A242,Elements!$A$2:$B$435,2,0)</f>
        <v>100</v>
      </c>
      <c r="F242" t="str">
        <f t="shared" si="3"/>
        <v>3-10-100</v>
      </c>
      <c r="G242">
        <v>241</v>
      </c>
    </row>
    <row r="243" spans="1:7">
      <c r="A243" s="29" t="s">
        <v>135</v>
      </c>
      <c r="B243">
        <v>1</v>
      </c>
      <c r="C243">
        <v>3</v>
      </c>
      <c r="D243">
        <v>10</v>
      </c>
      <c r="E243">
        <f>VLOOKUP(A243,Elements!$A$2:$B$435,2,0)</f>
        <v>101</v>
      </c>
      <c r="F243" t="str">
        <f t="shared" si="3"/>
        <v>3-10-101</v>
      </c>
      <c r="G243">
        <v>242</v>
      </c>
    </row>
    <row r="244" spans="1:7" s="4" customFormat="1" ht="17" thickBot="1">
      <c r="A244" s="30" t="s">
        <v>136</v>
      </c>
      <c r="B244" s="4">
        <v>1</v>
      </c>
      <c r="C244" s="4">
        <v>3</v>
      </c>
      <c r="D244" s="4">
        <v>10</v>
      </c>
      <c r="E244" s="4">
        <f>VLOOKUP(A244,Elements!$A$2:$B$435,2,0)</f>
        <v>102</v>
      </c>
      <c r="F244" s="4" t="str">
        <f t="shared" si="3"/>
        <v>3-10-102</v>
      </c>
      <c r="G244" s="4">
        <v>243</v>
      </c>
    </row>
    <row r="245" spans="1:7">
      <c r="A245" s="31" t="s">
        <v>137</v>
      </c>
      <c r="B245">
        <v>2</v>
      </c>
      <c r="C245">
        <v>4</v>
      </c>
      <c r="D245">
        <v>11</v>
      </c>
      <c r="E245">
        <f>VLOOKUP(A245,Elements!$A$2:$B$435,2,0)</f>
        <v>103</v>
      </c>
      <c r="F245" t="str">
        <f t="shared" si="3"/>
        <v>4-11-103</v>
      </c>
      <c r="G245">
        <v>244</v>
      </c>
    </row>
    <row r="246" spans="1:7">
      <c r="A246" s="31" t="s">
        <v>138</v>
      </c>
      <c r="B246">
        <v>2</v>
      </c>
      <c r="C246">
        <v>4</v>
      </c>
      <c r="D246">
        <v>11</v>
      </c>
      <c r="E246">
        <f>VLOOKUP(A246,Elements!$A$2:$B$435,2,0)</f>
        <v>104</v>
      </c>
      <c r="F246" t="str">
        <f t="shared" si="3"/>
        <v>4-11-104</v>
      </c>
      <c r="G246">
        <v>245</v>
      </c>
    </row>
    <row r="247" spans="1:7">
      <c r="A247" s="31" t="s">
        <v>139</v>
      </c>
      <c r="B247">
        <v>2</v>
      </c>
      <c r="C247">
        <v>4</v>
      </c>
      <c r="D247">
        <v>11</v>
      </c>
      <c r="E247">
        <f>VLOOKUP(A247,Elements!$A$2:$B$435,2,0)</f>
        <v>105</v>
      </c>
      <c r="F247" t="str">
        <f t="shared" si="3"/>
        <v>4-11-105</v>
      </c>
      <c r="G247">
        <v>246</v>
      </c>
    </row>
    <row r="248" spans="1:7">
      <c r="A248" s="31" t="s">
        <v>140</v>
      </c>
      <c r="B248">
        <v>2</v>
      </c>
      <c r="C248">
        <v>4</v>
      </c>
      <c r="D248">
        <v>11</v>
      </c>
      <c r="E248">
        <f>VLOOKUP(A248,Elements!$A$2:$B$435,2,0)</f>
        <v>106</v>
      </c>
      <c r="F248" t="str">
        <f t="shared" si="3"/>
        <v>4-11-106</v>
      </c>
      <c r="G248">
        <v>247</v>
      </c>
    </row>
    <row r="249" spans="1:7">
      <c r="A249" s="31" t="s">
        <v>141</v>
      </c>
      <c r="B249">
        <v>2</v>
      </c>
      <c r="C249">
        <v>4</v>
      </c>
      <c r="D249">
        <v>11</v>
      </c>
      <c r="E249">
        <f>VLOOKUP(A249,Elements!$A$2:$B$435,2,0)</f>
        <v>107</v>
      </c>
      <c r="F249" t="str">
        <f t="shared" si="3"/>
        <v>4-11-107</v>
      </c>
      <c r="G249">
        <v>248</v>
      </c>
    </row>
    <row r="250" spans="1:7">
      <c r="A250" s="31" t="s">
        <v>142</v>
      </c>
      <c r="B250">
        <v>2</v>
      </c>
      <c r="C250">
        <v>4</v>
      </c>
      <c r="D250">
        <v>11</v>
      </c>
      <c r="E250">
        <f>VLOOKUP(A250,Elements!$A$2:$B$435,2,0)</f>
        <v>108</v>
      </c>
      <c r="F250" t="str">
        <f t="shared" si="3"/>
        <v>4-11-108</v>
      </c>
      <c r="G250">
        <v>249</v>
      </c>
    </row>
    <row r="251" spans="1:7">
      <c r="A251" s="31" t="s">
        <v>143</v>
      </c>
      <c r="B251">
        <v>2</v>
      </c>
      <c r="C251">
        <v>4</v>
      </c>
      <c r="D251">
        <v>11</v>
      </c>
      <c r="E251">
        <f>VLOOKUP(A251,Elements!$A$2:$B$435,2,0)</f>
        <v>109</v>
      </c>
      <c r="F251" t="str">
        <f t="shared" si="3"/>
        <v>4-11-109</v>
      </c>
      <c r="G251">
        <v>250</v>
      </c>
    </row>
    <row r="252" spans="1:7">
      <c r="A252" s="31" t="s">
        <v>145</v>
      </c>
      <c r="B252">
        <v>2</v>
      </c>
      <c r="C252">
        <v>4</v>
      </c>
      <c r="D252">
        <v>11</v>
      </c>
      <c r="E252">
        <f>VLOOKUP(A252,Elements!$A$2:$B$435,2,0)</f>
        <v>110</v>
      </c>
      <c r="F252" t="str">
        <f t="shared" si="3"/>
        <v>4-11-110</v>
      </c>
      <c r="G252">
        <v>251</v>
      </c>
    </row>
    <row r="253" spans="1:7">
      <c r="A253" s="31" t="s">
        <v>146</v>
      </c>
      <c r="B253">
        <v>2</v>
      </c>
      <c r="C253">
        <v>4</v>
      </c>
      <c r="D253">
        <v>11</v>
      </c>
      <c r="E253">
        <f>VLOOKUP(A253,Elements!$A$2:$B$435,2,0)</f>
        <v>111</v>
      </c>
      <c r="F253" t="str">
        <f t="shared" si="3"/>
        <v>4-11-111</v>
      </c>
      <c r="G253">
        <v>252</v>
      </c>
    </row>
    <row r="254" spans="1:7">
      <c r="A254" s="31" t="s">
        <v>147</v>
      </c>
      <c r="B254">
        <v>2</v>
      </c>
      <c r="C254">
        <v>4</v>
      </c>
      <c r="D254">
        <v>11</v>
      </c>
      <c r="E254">
        <f>VLOOKUP(A254,Elements!$A$2:$B$435,2,0)</f>
        <v>112</v>
      </c>
      <c r="F254" t="str">
        <f t="shared" si="3"/>
        <v>4-11-112</v>
      </c>
      <c r="G254">
        <v>253</v>
      </c>
    </row>
    <row r="255" spans="1:7">
      <c r="A255" s="31" t="s">
        <v>148</v>
      </c>
      <c r="B255">
        <v>2</v>
      </c>
      <c r="C255">
        <v>4</v>
      </c>
      <c r="D255">
        <v>11</v>
      </c>
      <c r="E255">
        <f>VLOOKUP(A255,Elements!$A$2:$B$435,2,0)</f>
        <v>113</v>
      </c>
      <c r="F255" t="str">
        <f t="shared" si="3"/>
        <v>4-11-113</v>
      </c>
      <c r="G255">
        <v>254</v>
      </c>
    </row>
    <row r="256" spans="1:7">
      <c r="A256" s="31" t="s">
        <v>149</v>
      </c>
      <c r="B256">
        <v>2</v>
      </c>
      <c r="C256">
        <v>4</v>
      </c>
      <c r="D256">
        <v>11</v>
      </c>
      <c r="E256">
        <f>VLOOKUP(A256,Elements!$A$2:$B$435,2,0)</f>
        <v>114</v>
      </c>
      <c r="F256" t="str">
        <f t="shared" si="3"/>
        <v>4-11-114</v>
      </c>
      <c r="G256">
        <v>255</v>
      </c>
    </row>
    <row r="257" spans="1:7">
      <c r="A257" s="31" t="s">
        <v>150</v>
      </c>
      <c r="B257">
        <v>2</v>
      </c>
      <c r="C257">
        <v>4</v>
      </c>
      <c r="D257">
        <v>11</v>
      </c>
      <c r="E257">
        <f>VLOOKUP(A257,Elements!$A$2:$B$435,2,0)</f>
        <v>115</v>
      </c>
      <c r="F257" t="str">
        <f t="shared" si="3"/>
        <v>4-11-115</v>
      </c>
      <c r="G257">
        <v>256</v>
      </c>
    </row>
    <row r="258" spans="1:7">
      <c r="A258" s="31" t="s">
        <v>151</v>
      </c>
      <c r="B258">
        <v>2</v>
      </c>
      <c r="C258">
        <v>4</v>
      </c>
      <c r="D258">
        <v>12</v>
      </c>
      <c r="E258">
        <f>VLOOKUP(A258,Elements!$A$2:$B$435,2,0)</f>
        <v>116</v>
      </c>
      <c r="F258" t="str">
        <f t="shared" ref="F258:F321" si="4">_xlfn.CONCAT(C258,"-",D258,"-",E258)</f>
        <v>4-12-116</v>
      </c>
      <c r="G258">
        <v>257</v>
      </c>
    </row>
    <row r="259" spans="1:7">
      <c r="A259" s="31" t="s">
        <v>152</v>
      </c>
      <c r="B259">
        <v>2</v>
      </c>
      <c r="C259">
        <v>4</v>
      </c>
      <c r="D259">
        <v>12</v>
      </c>
      <c r="E259">
        <f>VLOOKUP(A259,Elements!$A$2:$B$435,2,0)</f>
        <v>117</v>
      </c>
      <c r="F259" t="str">
        <f t="shared" si="4"/>
        <v>4-12-117</v>
      </c>
      <c r="G259">
        <v>258</v>
      </c>
    </row>
    <row r="260" spans="1:7">
      <c r="A260" s="31" t="s">
        <v>153</v>
      </c>
      <c r="B260">
        <v>2</v>
      </c>
      <c r="C260">
        <v>4</v>
      </c>
      <c r="D260">
        <v>12</v>
      </c>
      <c r="E260">
        <f>VLOOKUP(A260,Elements!$A$2:$B$435,2,0)</f>
        <v>118</v>
      </c>
      <c r="F260" t="str">
        <f t="shared" si="4"/>
        <v>4-12-118</v>
      </c>
      <c r="G260">
        <v>259</v>
      </c>
    </row>
    <row r="261" spans="1:7">
      <c r="A261" s="31" t="s">
        <v>154</v>
      </c>
      <c r="B261">
        <v>2</v>
      </c>
      <c r="C261">
        <v>4</v>
      </c>
      <c r="D261">
        <v>12</v>
      </c>
      <c r="E261">
        <f>VLOOKUP(A261,Elements!$A$2:$B$435,2,0)</f>
        <v>119</v>
      </c>
      <c r="F261" t="str">
        <f t="shared" si="4"/>
        <v>4-12-119</v>
      </c>
      <c r="G261">
        <v>260</v>
      </c>
    </row>
    <row r="262" spans="1:7">
      <c r="A262" s="31" t="s">
        <v>155</v>
      </c>
      <c r="B262">
        <v>2</v>
      </c>
      <c r="C262">
        <v>4</v>
      </c>
      <c r="D262">
        <v>12</v>
      </c>
      <c r="E262">
        <f>VLOOKUP(A262,Elements!$A$2:$B$435,2,0)</f>
        <v>120</v>
      </c>
      <c r="F262" t="str">
        <f t="shared" si="4"/>
        <v>4-12-120</v>
      </c>
      <c r="G262">
        <v>261</v>
      </c>
    </row>
    <row r="263" spans="1:7">
      <c r="A263" s="31" t="s">
        <v>156</v>
      </c>
      <c r="B263">
        <v>2</v>
      </c>
      <c r="C263">
        <v>4</v>
      </c>
      <c r="D263">
        <v>12</v>
      </c>
      <c r="E263">
        <f>VLOOKUP(A263,Elements!$A$2:$B$435,2,0)</f>
        <v>121</v>
      </c>
      <c r="F263" t="str">
        <f t="shared" si="4"/>
        <v>4-12-121</v>
      </c>
      <c r="G263">
        <v>262</v>
      </c>
    </row>
    <row r="264" spans="1:7">
      <c r="A264" s="31" t="s">
        <v>157</v>
      </c>
      <c r="B264">
        <v>2</v>
      </c>
      <c r="C264">
        <v>4</v>
      </c>
      <c r="D264">
        <v>12</v>
      </c>
      <c r="E264">
        <f>VLOOKUP(A264,Elements!$A$2:$B$435,2,0)</f>
        <v>122</v>
      </c>
      <c r="F264" t="str">
        <f t="shared" si="4"/>
        <v>4-12-122</v>
      </c>
      <c r="G264">
        <v>263</v>
      </c>
    </row>
    <row r="265" spans="1:7">
      <c r="A265" s="31" t="s">
        <v>158</v>
      </c>
      <c r="B265">
        <v>2</v>
      </c>
      <c r="C265">
        <v>4</v>
      </c>
      <c r="D265">
        <v>13</v>
      </c>
      <c r="E265">
        <f>VLOOKUP(A265,Elements!$A$2:$B$435,2,0)</f>
        <v>123</v>
      </c>
      <c r="F265" t="str">
        <f t="shared" si="4"/>
        <v>4-13-123</v>
      </c>
      <c r="G265">
        <v>264</v>
      </c>
    </row>
    <row r="266" spans="1:7">
      <c r="A266" s="31" t="s">
        <v>159</v>
      </c>
      <c r="B266">
        <v>2</v>
      </c>
      <c r="C266">
        <v>4</v>
      </c>
      <c r="D266">
        <v>13</v>
      </c>
      <c r="E266">
        <f>VLOOKUP(A266,Elements!$A$2:$B$435,2,0)</f>
        <v>124</v>
      </c>
      <c r="F266" t="str">
        <f t="shared" si="4"/>
        <v>4-13-124</v>
      </c>
      <c r="G266">
        <v>265</v>
      </c>
    </row>
    <row r="267" spans="1:7">
      <c r="A267" s="31" t="s">
        <v>160</v>
      </c>
      <c r="B267">
        <v>2</v>
      </c>
      <c r="C267">
        <v>4</v>
      </c>
      <c r="D267">
        <v>13</v>
      </c>
      <c r="E267">
        <f>VLOOKUP(A267,Elements!$A$2:$B$435,2,0)</f>
        <v>125</v>
      </c>
      <c r="F267" t="str">
        <f t="shared" si="4"/>
        <v>4-13-125</v>
      </c>
      <c r="G267">
        <v>266</v>
      </c>
    </row>
    <row r="268" spans="1:7">
      <c r="A268" s="31" t="s">
        <v>161</v>
      </c>
      <c r="B268">
        <v>2</v>
      </c>
      <c r="C268">
        <v>4</v>
      </c>
      <c r="D268">
        <v>13</v>
      </c>
      <c r="E268">
        <f>VLOOKUP(A268,Elements!$A$2:$B$435,2,0)</f>
        <v>126</v>
      </c>
      <c r="F268" t="str">
        <f t="shared" si="4"/>
        <v>4-13-126</v>
      </c>
      <c r="G268">
        <v>267</v>
      </c>
    </row>
    <row r="269" spans="1:7">
      <c r="A269" s="31" t="s">
        <v>162</v>
      </c>
      <c r="B269">
        <v>2</v>
      </c>
      <c r="C269">
        <v>4</v>
      </c>
      <c r="D269">
        <v>13</v>
      </c>
      <c r="E269">
        <f>VLOOKUP(A269,Elements!$A$2:$B$435,2,0)</f>
        <v>127</v>
      </c>
      <c r="F269" t="str">
        <f t="shared" si="4"/>
        <v>4-13-127</v>
      </c>
      <c r="G269">
        <v>268</v>
      </c>
    </row>
    <row r="270" spans="1:7">
      <c r="A270" s="31" t="s">
        <v>94</v>
      </c>
      <c r="B270">
        <v>2</v>
      </c>
      <c r="C270">
        <v>4</v>
      </c>
      <c r="D270">
        <v>13</v>
      </c>
      <c r="E270">
        <f>VLOOKUP(A270,Elements!$A$2:$B$435,2,0)</f>
        <v>56</v>
      </c>
      <c r="F270" t="str">
        <f t="shared" si="4"/>
        <v>4-13-56</v>
      </c>
      <c r="G270">
        <v>269</v>
      </c>
    </row>
    <row r="271" spans="1:7">
      <c r="A271" s="31" t="s">
        <v>163</v>
      </c>
      <c r="B271">
        <v>2</v>
      </c>
      <c r="C271">
        <v>4</v>
      </c>
      <c r="D271">
        <v>13</v>
      </c>
      <c r="E271">
        <f>VLOOKUP(A271,Elements!$A$2:$B$435,2,0)</f>
        <v>128</v>
      </c>
      <c r="F271" t="str">
        <f t="shared" si="4"/>
        <v>4-13-128</v>
      </c>
      <c r="G271">
        <v>270</v>
      </c>
    </row>
    <row r="272" spans="1:7">
      <c r="A272" s="31" t="s">
        <v>164</v>
      </c>
      <c r="B272">
        <v>2</v>
      </c>
      <c r="C272">
        <v>4</v>
      </c>
      <c r="D272">
        <v>13</v>
      </c>
      <c r="E272">
        <f>VLOOKUP(A272,Elements!$A$2:$B$435,2,0)</f>
        <v>129</v>
      </c>
      <c r="F272" t="str">
        <f t="shared" si="4"/>
        <v>4-13-129</v>
      </c>
      <c r="G272">
        <v>271</v>
      </c>
    </row>
    <row r="273" spans="1:7">
      <c r="A273" s="31" t="s">
        <v>93</v>
      </c>
      <c r="B273">
        <v>2</v>
      </c>
      <c r="C273">
        <v>4</v>
      </c>
      <c r="D273">
        <v>13</v>
      </c>
      <c r="E273">
        <f>VLOOKUP(A273,Elements!$A$2:$B$435,2,0)</f>
        <v>55</v>
      </c>
      <c r="F273" t="str">
        <f t="shared" si="4"/>
        <v>4-13-55</v>
      </c>
      <c r="G273">
        <v>272</v>
      </c>
    </row>
    <row r="274" spans="1:7">
      <c r="A274" s="31" t="s">
        <v>165</v>
      </c>
      <c r="B274">
        <v>2</v>
      </c>
      <c r="C274">
        <v>4</v>
      </c>
      <c r="D274">
        <v>13</v>
      </c>
      <c r="E274">
        <f>VLOOKUP(A274,Elements!$A$2:$B$435,2,0)</f>
        <v>130</v>
      </c>
      <c r="F274" t="str">
        <f t="shared" si="4"/>
        <v>4-13-130</v>
      </c>
      <c r="G274">
        <v>273</v>
      </c>
    </row>
    <row r="275" spans="1:7">
      <c r="A275" t="s">
        <v>379</v>
      </c>
      <c r="B275">
        <v>2</v>
      </c>
      <c r="C275">
        <v>4</v>
      </c>
      <c r="D275">
        <v>13</v>
      </c>
      <c r="E275">
        <f>VLOOKUP(A275,Elements!$A$2:$B$435,2,0)</f>
        <v>131</v>
      </c>
      <c r="F275" t="str">
        <f t="shared" si="4"/>
        <v>4-13-131</v>
      </c>
      <c r="G275">
        <v>274</v>
      </c>
    </row>
    <row r="276" spans="1:7">
      <c r="A276" s="31" t="s">
        <v>167</v>
      </c>
      <c r="B276">
        <v>2</v>
      </c>
      <c r="C276">
        <v>4</v>
      </c>
      <c r="D276">
        <v>14</v>
      </c>
      <c r="E276">
        <f>VLOOKUP(A276,Elements!$A$2:$B$435,2,0)</f>
        <v>132</v>
      </c>
      <c r="F276" t="str">
        <f t="shared" si="4"/>
        <v>4-14-132</v>
      </c>
      <c r="G276">
        <v>275</v>
      </c>
    </row>
    <row r="277" spans="1:7">
      <c r="A277" s="31" t="s">
        <v>168</v>
      </c>
      <c r="B277">
        <v>2</v>
      </c>
      <c r="C277">
        <v>4</v>
      </c>
      <c r="D277">
        <v>14</v>
      </c>
      <c r="E277">
        <f>VLOOKUP(A277,Elements!$A$2:$B$435,2,0)</f>
        <v>133</v>
      </c>
      <c r="F277" t="str">
        <f t="shared" si="4"/>
        <v>4-14-133</v>
      </c>
      <c r="G277">
        <v>276</v>
      </c>
    </row>
    <row r="278" spans="1:7">
      <c r="A278" s="31" t="s">
        <v>169</v>
      </c>
      <c r="B278">
        <v>2</v>
      </c>
      <c r="C278">
        <v>4</v>
      </c>
      <c r="D278">
        <v>14</v>
      </c>
      <c r="E278">
        <f>VLOOKUP(A278,Elements!$A$2:$B$435,2,0)</f>
        <v>134</v>
      </c>
      <c r="F278" t="str">
        <f t="shared" si="4"/>
        <v>4-14-134</v>
      </c>
      <c r="G278">
        <v>277</v>
      </c>
    </row>
    <row r="279" spans="1:7">
      <c r="A279" s="31" t="s">
        <v>170</v>
      </c>
      <c r="B279">
        <v>2</v>
      </c>
      <c r="C279">
        <v>4</v>
      </c>
      <c r="D279">
        <v>14</v>
      </c>
      <c r="E279">
        <f>VLOOKUP(A279,Elements!$A$2:$B$435,2,0)</f>
        <v>135</v>
      </c>
      <c r="F279" t="str">
        <f t="shared" si="4"/>
        <v>4-14-135</v>
      </c>
      <c r="G279">
        <v>278</v>
      </c>
    </row>
    <row r="280" spans="1:7">
      <c r="A280" s="31" t="s">
        <v>171</v>
      </c>
      <c r="B280">
        <v>2</v>
      </c>
      <c r="C280">
        <v>4</v>
      </c>
      <c r="D280">
        <v>14</v>
      </c>
      <c r="E280">
        <f>VLOOKUP(A280,Elements!$A$2:$B$435,2,0)</f>
        <v>136</v>
      </c>
      <c r="F280" t="str">
        <f t="shared" si="4"/>
        <v>4-14-136</v>
      </c>
      <c r="G280">
        <v>279</v>
      </c>
    </row>
    <row r="281" spans="1:7">
      <c r="A281" s="31" t="s">
        <v>172</v>
      </c>
      <c r="B281">
        <v>2</v>
      </c>
      <c r="C281">
        <v>4</v>
      </c>
      <c r="D281">
        <v>14</v>
      </c>
      <c r="E281">
        <f>VLOOKUP(A281,Elements!$A$2:$B$435,2,0)</f>
        <v>137</v>
      </c>
      <c r="F281" t="str">
        <f t="shared" si="4"/>
        <v>4-14-137</v>
      </c>
      <c r="G281">
        <v>280</v>
      </c>
    </row>
    <row r="282" spans="1:7">
      <c r="A282" s="31" t="s">
        <v>173</v>
      </c>
      <c r="B282">
        <v>2</v>
      </c>
      <c r="C282">
        <v>4</v>
      </c>
      <c r="D282">
        <v>14</v>
      </c>
      <c r="E282">
        <f>VLOOKUP(A282,Elements!$A$2:$B$435,2,0)</f>
        <v>138</v>
      </c>
      <c r="F282" t="str">
        <f t="shared" si="4"/>
        <v>4-14-138</v>
      </c>
      <c r="G282">
        <v>281</v>
      </c>
    </row>
    <row r="283" spans="1:7">
      <c r="A283" s="31" t="s">
        <v>174</v>
      </c>
      <c r="B283">
        <v>2</v>
      </c>
      <c r="C283">
        <v>4</v>
      </c>
      <c r="D283">
        <v>14</v>
      </c>
      <c r="E283">
        <f>VLOOKUP(A283,Elements!$A$2:$B$435,2,0)</f>
        <v>139</v>
      </c>
      <c r="F283" t="str">
        <f t="shared" si="4"/>
        <v>4-14-139</v>
      </c>
      <c r="G283">
        <v>282</v>
      </c>
    </row>
    <row r="284" spans="1:7">
      <c r="A284" s="31" t="s">
        <v>175</v>
      </c>
      <c r="B284">
        <v>2</v>
      </c>
      <c r="C284">
        <v>4</v>
      </c>
      <c r="D284">
        <v>14</v>
      </c>
      <c r="E284">
        <f>VLOOKUP(A284,Elements!$A$2:$B$435,2,0)</f>
        <v>140</v>
      </c>
      <c r="F284" t="str">
        <f t="shared" si="4"/>
        <v>4-14-140</v>
      </c>
      <c r="G284">
        <v>283</v>
      </c>
    </row>
    <row r="285" spans="1:7">
      <c r="A285" s="31" t="s">
        <v>176</v>
      </c>
      <c r="B285">
        <v>2</v>
      </c>
      <c r="C285">
        <v>4</v>
      </c>
      <c r="D285">
        <v>14</v>
      </c>
      <c r="E285">
        <f>VLOOKUP(A285,Elements!$A$2:$B$435,2,0)</f>
        <v>141</v>
      </c>
      <c r="F285" t="str">
        <f t="shared" si="4"/>
        <v>4-14-141</v>
      </c>
      <c r="G285">
        <v>284</v>
      </c>
    </row>
    <row r="286" spans="1:7">
      <c r="A286" s="31" t="s">
        <v>177</v>
      </c>
      <c r="B286">
        <v>2</v>
      </c>
      <c r="C286">
        <v>4</v>
      </c>
      <c r="D286">
        <v>14</v>
      </c>
      <c r="E286">
        <f>VLOOKUP(A286,Elements!$A$2:$B$435,2,0)</f>
        <v>142</v>
      </c>
      <c r="F286" t="str">
        <f t="shared" si="4"/>
        <v>4-14-142</v>
      </c>
      <c r="G286">
        <v>285</v>
      </c>
    </row>
    <row r="287" spans="1:7">
      <c r="A287" s="31" t="s">
        <v>178</v>
      </c>
      <c r="B287">
        <v>2</v>
      </c>
      <c r="C287">
        <v>4</v>
      </c>
      <c r="D287">
        <v>14</v>
      </c>
      <c r="E287">
        <f>VLOOKUP(A287,Elements!$A$2:$B$435,2,0)</f>
        <v>143</v>
      </c>
      <c r="F287" t="str">
        <f t="shared" si="4"/>
        <v>4-14-143</v>
      </c>
      <c r="G287">
        <v>286</v>
      </c>
    </row>
    <row r="288" spans="1:7">
      <c r="A288" s="31" t="s">
        <v>179</v>
      </c>
      <c r="B288">
        <v>2</v>
      </c>
      <c r="C288">
        <v>4</v>
      </c>
      <c r="D288">
        <v>14</v>
      </c>
      <c r="E288">
        <f>VLOOKUP(A288,Elements!$A$2:$B$435,2,0)</f>
        <v>144</v>
      </c>
      <c r="F288" t="str">
        <f t="shared" si="4"/>
        <v>4-14-144</v>
      </c>
      <c r="G288">
        <v>287</v>
      </c>
    </row>
    <row r="289" spans="1:7">
      <c r="A289" s="31" t="s">
        <v>180</v>
      </c>
      <c r="B289">
        <v>2</v>
      </c>
      <c r="C289">
        <v>4</v>
      </c>
      <c r="D289">
        <v>14</v>
      </c>
      <c r="E289">
        <f>VLOOKUP(A289,Elements!$A$2:$B$435,2,0)</f>
        <v>145</v>
      </c>
      <c r="F289" t="str">
        <f t="shared" si="4"/>
        <v>4-14-145</v>
      </c>
      <c r="G289">
        <v>288</v>
      </c>
    </row>
    <row r="290" spans="1:7">
      <c r="A290" s="31" t="s">
        <v>181</v>
      </c>
      <c r="B290">
        <v>2</v>
      </c>
      <c r="C290">
        <v>4</v>
      </c>
      <c r="D290">
        <v>14</v>
      </c>
      <c r="E290">
        <f>VLOOKUP(A290,Elements!$A$2:$B$435,2,0)</f>
        <v>146</v>
      </c>
      <c r="F290" t="str">
        <f t="shared" si="4"/>
        <v>4-14-146</v>
      </c>
      <c r="G290">
        <v>289</v>
      </c>
    </row>
    <row r="291" spans="1:7">
      <c r="A291" s="31" t="s">
        <v>183</v>
      </c>
      <c r="B291">
        <v>2</v>
      </c>
      <c r="C291">
        <v>4</v>
      </c>
      <c r="D291">
        <v>15</v>
      </c>
      <c r="E291">
        <f>VLOOKUP(A291,Elements!$A$2:$B$435,2,0)</f>
        <v>147</v>
      </c>
      <c r="F291" t="str">
        <f t="shared" si="4"/>
        <v>4-15-147</v>
      </c>
      <c r="G291">
        <v>290</v>
      </c>
    </row>
    <row r="292" spans="1:7">
      <c r="A292" s="31" t="s">
        <v>184</v>
      </c>
      <c r="B292">
        <v>2</v>
      </c>
      <c r="C292">
        <v>4</v>
      </c>
      <c r="D292">
        <v>15</v>
      </c>
      <c r="E292">
        <f>VLOOKUP(A292,Elements!$A$2:$B$435,2,0)</f>
        <v>148</v>
      </c>
      <c r="F292" t="str">
        <f t="shared" si="4"/>
        <v>4-15-148</v>
      </c>
      <c r="G292">
        <v>291</v>
      </c>
    </row>
    <row r="293" spans="1:7">
      <c r="A293" s="31" t="s">
        <v>150</v>
      </c>
      <c r="B293">
        <v>2</v>
      </c>
      <c r="C293">
        <v>4</v>
      </c>
      <c r="D293">
        <v>15</v>
      </c>
      <c r="E293">
        <f>VLOOKUP(A293,Elements!$A$2:$B$435,2,0)</f>
        <v>115</v>
      </c>
      <c r="F293" t="str">
        <f t="shared" si="4"/>
        <v>4-15-115</v>
      </c>
      <c r="G293">
        <v>292</v>
      </c>
    </row>
    <row r="294" spans="1:7">
      <c r="A294" s="31" t="s">
        <v>185</v>
      </c>
      <c r="B294">
        <v>2</v>
      </c>
      <c r="C294">
        <v>4</v>
      </c>
      <c r="D294">
        <v>15</v>
      </c>
      <c r="E294">
        <f>VLOOKUP(A294,Elements!$A$2:$B$435,2,0)</f>
        <v>149</v>
      </c>
      <c r="F294" t="str">
        <f t="shared" si="4"/>
        <v>4-15-149</v>
      </c>
      <c r="G294">
        <v>293</v>
      </c>
    </row>
    <row r="295" spans="1:7">
      <c r="A295" s="31" t="s">
        <v>186</v>
      </c>
      <c r="B295">
        <v>2</v>
      </c>
      <c r="C295">
        <v>4</v>
      </c>
      <c r="D295">
        <v>15</v>
      </c>
      <c r="E295">
        <f>VLOOKUP(A295,Elements!$A$2:$B$435,2,0)</f>
        <v>150</v>
      </c>
      <c r="F295" t="str">
        <f t="shared" si="4"/>
        <v>4-15-150</v>
      </c>
      <c r="G295">
        <v>294</v>
      </c>
    </row>
    <row r="296" spans="1:7">
      <c r="A296" s="31" t="s">
        <v>187</v>
      </c>
      <c r="B296">
        <v>2</v>
      </c>
      <c r="C296">
        <v>4</v>
      </c>
      <c r="D296">
        <v>15</v>
      </c>
      <c r="E296">
        <f>VLOOKUP(A296,Elements!$A$2:$B$435,2,0)</f>
        <v>151</v>
      </c>
      <c r="F296" t="str">
        <f t="shared" si="4"/>
        <v>4-15-151</v>
      </c>
      <c r="G296">
        <v>295</v>
      </c>
    </row>
    <row r="297" spans="1:7">
      <c r="A297" s="31" t="s">
        <v>188</v>
      </c>
      <c r="B297">
        <v>2</v>
      </c>
      <c r="C297">
        <v>4</v>
      </c>
      <c r="D297">
        <v>15</v>
      </c>
      <c r="E297">
        <f>VLOOKUP(A297,Elements!$A$2:$B$435,2,0)</f>
        <v>152</v>
      </c>
      <c r="F297" t="str">
        <f t="shared" si="4"/>
        <v>4-15-152</v>
      </c>
      <c r="G297">
        <v>296</v>
      </c>
    </row>
    <row r="298" spans="1:7">
      <c r="A298" s="31" t="s">
        <v>189</v>
      </c>
      <c r="B298">
        <v>2</v>
      </c>
      <c r="C298">
        <v>4</v>
      </c>
      <c r="D298">
        <v>15</v>
      </c>
      <c r="E298">
        <f>VLOOKUP(A298,Elements!$A$2:$B$435,2,0)</f>
        <v>153</v>
      </c>
      <c r="F298" t="str">
        <f t="shared" si="4"/>
        <v>4-15-153</v>
      </c>
      <c r="G298">
        <v>297</v>
      </c>
    </row>
    <row r="299" spans="1:7">
      <c r="A299" s="31" t="s">
        <v>190</v>
      </c>
      <c r="B299">
        <v>2</v>
      </c>
      <c r="C299">
        <v>4</v>
      </c>
      <c r="D299">
        <v>15</v>
      </c>
      <c r="E299">
        <f>VLOOKUP(A299,Elements!$A$2:$B$435,2,0)</f>
        <v>154</v>
      </c>
      <c r="F299" t="str">
        <f t="shared" si="4"/>
        <v>4-15-154</v>
      </c>
      <c r="G299">
        <v>298</v>
      </c>
    </row>
    <row r="300" spans="1:7">
      <c r="A300" s="31" t="s">
        <v>191</v>
      </c>
      <c r="B300">
        <v>2</v>
      </c>
      <c r="C300">
        <v>4</v>
      </c>
      <c r="D300">
        <v>15</v>
      </c>
      <c r="E300">
        <f>VLOOKUP(A300,Elements!$A$2:$B$435,2,0)</f>
        <v>155</v>
      </c>
      <c r="F300" t="str">
        <f t="shared" si="4"/>
        <v>4-15-155</v>
      </c>
      <c r="G300">
        <v>299</v>
      </c>
    </row>
    <row r="301" spans="1:7">
      <c r="A301" s="31" t="s">
        <v>192</v>
      </c>
      <c r="B301">
        <v>2</v>
      </c>
      <c r="C301">
        <v>4</v>
      </c>
      <c r="D301">
        <v>15</v>
      </c>
      <c r="E301">
        <f>VLOOKUP(A301,Elements!$A$2:$B$435,2,0)</f>
        <v>156</v>
      </c>
      <c r="F301" t="str">
        <f t="shared" si="4"/>
        <v>4-15-156</v>
      </c>
      <c r="G301">
        <v>300</v>
      </c>
    </row>
    <row r="302" spans="1:7">
      <c r="A302" s="31" t="s">
        <v>193</v>
      </c>
      <c r="B302">
        <v>2</v>
      </c>
      <c r="C302">
        <v>4</v>
      </c>
      <c r="D302">
        <v>15</v>
      </c>
      <c r="E302">
        <f>VLOOKUP(A302,Elements!$A$2:$B$435,2,0)</f>
        <v>157</v>
      </c>
      <c r="F302" t="str">
        <f t="shared" si="4"/>
        <v>4-15-157</v>
      </c>
      <c r="G302">
        <v>301</v>
      </c>
    </row>
    <row r="303" spans="1:7">
      <c r="A303" s="31" t="s">
        <v>194</v>
      </c>
      <c r="B303">
        <v>2</v>
      </c>
      <c r="C303">
        <v>4</v>
      </c>
      <c r="D303">
        <v>15</v>
      </c>
      <c r="E303">
        <f>VLOOKUP(A303,Elements!$A$2:$B$435,2,0)</f>
        <v>158</v>
      </c>
      <c r="F303" t="str">
        <f t="shared" si="4"/>
        <v>4-15-158</v>
      </c>
      <c r="G303">
        <v>302</v>
      </c>
    </row>
    <row r="304" spans="1:7">
      <c r="A304" s="31" t="s">
        <v>195</v>
      </c>
      <c r="B304">
        <v>2</v>
      </c>
      <c r="C304">
        <v>4</v>
      </c>
      <c r="D304">
        <v>15</v>
      </c>
      <c r="E304">
        <f>VLOOKUP(A304,Elements!$A$2:$B$435,2,0)</f>
        <v>159</v>
      </c>
      <c r="F304" t="str">
        <f t="shared" si="4"/>
        <v>4-15-159</v>
      </c>
      <c r="G304">
        <v>303</v>
      </c>
    </row>
    <row r="305" spans="1:7">
      <c r="A305" s="31" t="s">
        <v>196</v>
      </c>
      <c r="B305">
        <v>2</v>
      </c>
      <c r="C305">
        <v>4</v>
      </c>
      <c r="D305">
        <v>15</v>
      </c>
      <c r="E305">
        <f>VLOOKUP(A305,Elements!$A$2:$B$435,2,0)</f>
        <v>160</v>
      </c>
      <c r="F305" t="str">
        <f t="shared" si="4"/>
        <v>4-15-160</v>
      </c>
      <c r="G305">
        <v>304</v>
      </c>
    </row>
    <row r="306" spans="1:7">
      <c r="A306" s="31" t="s">
        <v>135</v>
      </c>
      <c r="B306">
        <v>2</v>
      </c>
      <c r="C306">
        <v>4</v>
      </c>
      <c r="D306">
        <v>15</v>
      </c>
      <c r="E306">
        <f>VLOOKUP(A306,Elements!$A$2:$B$435,2,0)</f>
        <v>101</v>
      </c>
      <c r="F306" t="str">
        <f t="shared" si="4"/>
        <v>4-15-101</v>
      </c>
      <c r="G306">
        <v>305</v>
      </c>
    </row>
    <row r="307" spans="1:7">
      <c r="A307" t="s">
        <v>399</v>
      </c>
      <c r="B307">
        <v>2</v>
      </c>
      <c r="C307">
        <v>4</v>
      </c>
      <c r="D307">
        <v>15</v>
      </c>
      <c r="E307">
        <f>VLOOKUP(A307,Elements!$A$2:$B$435,2,0)</f>
        <v>161</v>
      </c>
      <c r="F307" t="str">
        <f t="shared" si="4"/>
        <v>4-15-161</v>
      </c>
      <c r="G307">
        <v>306</v>
      </c>
    </row>
    <row r="308" spans="1:7">
      <c r="A308" s="31" t="s">
        <v>198</v>
      </c>
      <c r="B308">
        <v>2</v>
      </c>
      <c r="C308">
        <v>4</v>
      </c>
      <c r="D308">
        <v>15</v>
      </c>
      <c r="E308">
        <f>VLOOKUP(A308,Elements!$A$2:$B$435,2,0)</f>
        <v>162</v>
      </c>
      <c r="F308" t="str">
        <f t="shared" si="4"/>
        <v>4-15-162</v>
      </c>
      <c r="G308">
        <v>307</v>
      </c>
    </row>
    <row r="309" spans="1:7">
      <c r="A309" s="31" t="s">
        <v>199</v>
      </c>
      <c r="B309">
        <v>2</v>
      </c>
      <c r="C309">
        <v>4</v>
      </c>
      <c r="D309">
        <v>15</v>
      </c>
      <c r="E309">
        <f>VLOOKUP(A309,Elements!$A$2:$B$435,2,0)</f>
        <v>163</v>
      </c>
      <c r="F309" t="str">
        <f t="shared" si="4"/>
        <v>4-15-163</v>
      </c>
      <c r="G309">
        <v>308</v>
      </c>
    </row>
    <row r="310" spans="1:7">
      <c r="A310" s="31" t="s">
        <v>200</v>
      </c>
      <c r="B310">
        <v>2</v>
      </c>
      <c r="C310">
        <v>4</v>
      </c>
      <c r="D310">
        <v>15</v>
      </c>
      <c r="E310">
        <f>VLOOKUP(A310,Elements!$A$2:$B$435,2,0)</f>
        <v>164</v>
      </c>
      <c r="F310" t="str">
        <f t="shared" si="4"/>
        <v>4-15-164</v>
      </c>
      <c r="G310">
        <v>309</v>
      </c>
    </row>
    <row r="311" spans="1:7">
      <c r="A311" s="31" t="s">
        <v>148</v>
      </c>
      <c r="B311">
        <v>2</v>
      </c>
      <c r="C311">
        <v>4</v>
      </c>
      <c r="D311">
        <v>15</v>
      </c>
      <c r="E311">
        <f>VLOOKUP(A311,Elements!$A$2:$B$435,2,0)</f>
        <v>113</v>
      </c>
      <c r="F311" t="str">
        <f t="shared" si="4"/>
        <v>4-15-113</v>
      </c>
      <c r="G311">
        <v>310</v>
      </c>
    </row>
    <row r="312" spans="1:7">
      <c r="A312" s="31" t="s">
        <v>168</v>
      </c>
      <c r="B312">
        <v>2</v>
      </c>
      <c r="C312">
        <v>4</v>
      </c>
      <c r="D312">
        <v>15</v>
      </c>
      <c r="E312">
        <f>VLOOKUP(A312,Elements!$A$2:$B$435,2,0)</f>
        <v>133</v>
      </c>
      <c r="F312" t="str">
        <f t="shared" si="4"/>
        <v>4-15-133</v>
      </c>
      <c r="G312">
        <v>311</v>
      </c>
    </row>
    <row r="313" spans="1:7">
      <c r="A313" s="31" t="s">
        <v>201</v>
      </c>
      <c r="B313">
        <v>2</v>
      </c>
      <c r="C313">
        <v>4</v>
      </c>
      <c r="D313">
        <v>15</v>
      </c>
      <c r="E313">
        <f>VLOOKUP(A313,Elements!$A$2:$B$435,2,0)</f>
        <v>165</v>
      </c>
      <c r="F313" t="str">
        <f t="shared" si="4"/>
        <v>4-15-165</v>
      </c>
      <c r="G313">
        <v>312</v>
      </c>
    </row>
    <row r="314" spans="1:7">
      <c r="A314" s="31" t="s">
        <v>202</v>
      </c>
      <c r="B314">
        <v>2</v>
      </c>
      <c r="C314">
        <v>4</v>
      </c>
      <c r="D314">
        <v>15</v>
      </c>
      <c r="E314">
        <f>VLOOKUP(A314,Elements!$A$2:$B$435,2,0)</f>
        <v>166</v>
      </c>
      <c r="F314" t="str">
        <f t="shared" si="4"/>
        <v>4-15-166</v>
      </c>
      <c r="G314">
        <v>313</v>
      </c>
    </row>
    <row r="315" spans="1:7">
      <c r="A315" s="31" t="s">
        <v>203</v>
      </c>
      <c r="B315">
        <v>2</v>
      </c>
      <c r="C315">
        <v>4</v>
      </c>
      <c r="D315">
        <v>15</v>
      </c>
      <c r="E315">
        <f>VLOOKUP(A315,Elements!$A$2:$B$435,2,0)</f>
        <v>167</v>
      </c>
      <c r="F315" t="str">
        <f t="shared" si="4"/>
        <v>4-15-167</v>
      </c>
      <c r="G315">
        <v>314</v>
      </c>
    </row>
    <row r="316" spans="1:7">
      <c r="A316" s="31" t="s">
        <v>204</v>
      </c>
      <c r="B316">
        <v>2</v>
      </c>
      <c r="C316">
        <v>4</v>
      </c>
      <c r="D316">
        <v>15</v>
      </c>
      <c r="E316">
        <f>VLOOKUP(A316,Elements!$A$2:$B$435,2,0)</f>
        <v>168</v>
      </c>
      <c r="F316" t="str">
        <f t="shared" si="4"/>
        <v>4-15-168</v>
      </c>
      <c r="G316">
        <v>315</v>
      </c>
    </row>
    <row r="317" spans="1:7">
      <c r="A317" s="31" t="s">
        <v>205</v>
      </c>
      <c r="B317">
        <v>2</v>
      </c>
      <c r="C317">
        <v>4</v>
      </c>
      <c r="D317">
        <v>15</v>
      </c>
      <c r="E317">
        <f>VLOOKUP(A317,Elements!$A$2:$B$435,2,0)</f>
        <v>169</v>
      </c>
      <c r="F317" t="str">
        <f t="shared" si="4"/>
        <v>4-15-169</v>
      </c>
      <c r="G317">
        <v>316</v>
      </c>
    </row>
    <row r="318" spans="1:7">
      <c r="A318" s="31" t="s">
        <v>206</v>
      </c>
      <c r="B318">
        <v>2</v>
      </c>
      <c r="C318">
        <v>4</v>
      </c>
      <c r="D318">
        <v>15</v>
      </c>
      <c r="E318">
        <f>VLOOKUP(A318,Elements!$A$2:$B$435,2,0)</f>
        <v>170</v>
      </c>
      <c r="F318" t="str">
        <f t="shared" si="4"/>
        <v>4-15-170</v>
      </c>
      <c r="G318">
        <v>317</v>
      </c>
    </row>
    <row r="319" spans="1:7">
      <c r="A319" s="31" t="s">
        <v>207</v>
      </c>
      <c r="B319">
        <v>2</v>
      </c>
      <c r="C319">
        <v>4</v>
      </c>
      <c r="D319">
        <v>15</v>
      </c>
      <c r="E319">
        <f>VLOOKUP(A319,Elements!$A$2:$B$435,2,0)</f>
        <v>171</v>
      </c>
      <c r="F319" t="str">
        <f t="shared" si="4"/>
        <v>4-15-171</v>
      </c>
      <c r="G319">
        <v>318</v>
      </c>
    </row>
    <row r="320" spans="1:7">
      <c r="A320" s="31" t="s">
        <v>209</v>
      </c>
      <c r="B320">
        <v>2</v>
      </c>
      <c r="C320">
        <v>4</v>
      </c>
      <c r="D320">
        <v>15</v>
      </c>
      <c r="E320">
        <f>VLOOKUP(A320,Elements!$A$2:$B$435,2,0)</f>
        <v>172</v>
      </c>
      <c r="F320" t="str">
        <f t="shared" si="4"/>
        <v>4-15-172</v>
      </c>
      <c r="G320">
        <v>319</v>
      </c>
    </row>
    <row r="321" spans="1:7">
      <c r="A321" s="31" t="s">
        <v>210</v>
      </c>
      <c r="B321">
        <v>2</v>
      </c>
      <c r="C321">
        <v>4</v>
      </c>
      <c r="D321">
        <v>15</v>
      </c>
      <c r="E321">
        <f>VLOOKUP(A321,Elements!$A$2:$B$435,2,0)</f>
        <v>173</v>
      </c>
      <c r="F321" t="str">
        <f t="shared" si="4"/>
        <v>4-15-173</v>
      </c>
      <c r="G321">
        <v>320</v>
      </c>
    </row>
    <row r="322" spans="1:7">
      <c r="A322" s="31" t="s">
        <v>211</v>
      </c>
      <c r="B322">
        <v>2</v>
      </c>
      <c r="C322">
        <v>4</v>
      </c>
      <c r="D322">
        <v>15</v>
      </c>
      <c r="E322">
        <f>VLOOKUP(A322,Elements!$A$2:$B$435,2,0)</f>
        <v>174</v>
      </c>
      <c r="F322" t="str">
        <f t="shared" ref="F322:F385" si="5">_xlfn.CONCAT(C322,"-",D322,"-",E322)</f>
        <v>4-15-174</v>
      </c>
      <c r="G322">
        <v>321</v>
      </c>
    </row>
    <row r="323" spans="1:7">
      <c r="A323" s="31" t="s">
        <v>213</v>
      </c>
      <c r="B323">
        <v>2</v>
      </c>
      <c r="C323">
        <v>4</v>
      </c>
      <c r="D323">
        <v>15</v>
      </c>
      <c r="E323">
        <f>VLOOKUP(A323,Elements!$A$2:$B$435,2,0)</f>
        <v>175</v>
      </c>
      <c r="F323" t="str">
        <f t="shared" si="5"/>
        <v>4-15-175</v>
      </c>
      <c r="G323">
        <v>322</v>
      </c>
    </row>
    <row r="324" spans="1:7">
      <c r="A324" s="31" t="s">
        <v>214</v>
      </c>
      <c r="B324">
        <v>2</v>
      </c>
      <c r="C324">
        <v>4</v>
      </c>
      <c r="D324">
        <v>15</v>
      </c>
      <c r="E324">
        <f>VLOOKUP(A324,Elements!$A$2:$B$435,2,0)</f>
        <v>176</v>
      </c>
      <c r="F324" t="str">
        <f t="shared" si="5"/>
        <v>4-15-176</v>
      </c>
      <c r="G324">
        <v>323</v>
      </c>
    </row>
    <row r="325" spans="1:7">
      <c r="A325" s="31" t="s">
        <v>216</v>
      </c>
      <c r="B325">
        <v>2</v>
      </c>
      <c r="C325">
        <v>4</v>
      </c>
      <c r="D325">
        <v>15</v>
      </c>
      <c r="E325">
        <f>VLOOKUP(A325,Elements!$A$2:$B$435,2,0)</f>
        <v>177</v>
      </c>
      <c r="F325" t="str">
        <f t="shared" si="5"/>
        <v>4-15-177</v>
      </c>
      <c r="G325">
        <v>324</v>
      </c>
    </row>
    <row r="326" spans="1:7">
      <c r="A326" s="31" t="s">
        <v>217</v>
      </c>
      <c r="B326">
        <v>2</v>
      </c>
      <c r="C326">
        <v>4</v>
      </c>
      <c r="D326">
        <v>15</v>
      </c>
      <c r="E326">
        <f>VLOOKUP(A326,Elements!$A$2:$B$435,2,0)</f>
        <v>178</v>
      </c>
      <c r="F326" t="str">
        <f t="shared" si="5"/>
        <v>4-15-178</v>
      </c>
      <c r="G326">
        <v>325</v>
      </c>
    </row>
    <row r="327" spans="1:7">
      <c r="A327" s="31" t="s">
        <v>218</v>
      </c>
      <c r="B327">
        <v>2</v>
      </c>
      <c r="C327">
        <v>4</v>
      </c>
      <c r="D327">
        <v>15</v>
      </c>
      <c r="E327">
        <f>VLOOKUP(A327,Elements!$A$2:$B$435,2,0)</f>
        <v>179</v>
      </c>
      <c r="F327" t="str">
        <f t="shared" si="5"/>
        <v>4-15-179</v>
      </c>
      <c r="G327">
        <v>326</v>
      </c>
    </row>
    <row r="328" spans="1:7">
      <c r="A328" s="31" t="s">
        <v>219</v>
      </c>
      <c r="B328">
        <v>2</v>
      </c>
      <c r="C328">
        <v>4</v>
      </c>
      <c r="D328">
        <v>15</v>
      </c>
      <c r="E328">
        <f>VLOOKUP(A328,Elements!$A$2:$B$435,2,0)</f>
        <v>180</v>
      </c>
      <c r="F328" t="str">
        <f t="shared" si="5"/>
        <v>4-15-180</v>
      </c>
      <c r="G328">
        <v>327</v>
      </c>
    </row>
    <row r="329" spans="1:7">
      <c r="A329" s="31" t="s">
        <v>220</v>
      </c>
      <c r="B329">
        <v>2</v>
      </c>
      <c r="C329">
        <v>4</v>
      </c>
      <c r="D329">
        <v>15</v>
      </c>
      <c r="E329">
        <f>VLOOKUP(A329,Elements!$A$2:$B$435,2,0)</f>
        <v>181</v>
      </c>
      <c r="F329" t="str">
        <f t="shared" si="5"/>
        <v>4-15-181</v>
      </c>
      <c r="G329">
        <v>328</v>
      </c>
    </row>
    <row r="330" spans="1:7">
      <c r="A330" s="31" t="s">
        <v>221</v>
      </c>
      <c r="B330">
        <v>2</v>
      </c>
      <c r="C330">
        <v>4</v>
      </c>
      <c r="D330">
        <v>15</v>
      </c>
      <c r="E330">
        <f>VLOOKUP(A330,Elements!$A$2:$B$435,2,0)</f>
        <v>182</v>
      </c>
      <c r="F330" t="str">
        <f t="shared" si="5"/>
        <v>4-15-182</v>
      </c>
      <c r="G330">
        <v>329</v>
      </c>
    </row>
    <row r="331" spans="1:7">
      <c r="A331" s="31" t="s">
        <v>222</v>
      </c>
      <c r="B331">
        <v>2</v>
      </c>
      <c r="C331">
        <v>4</v>
      </c>
      <c r="D331">
        <v>15</v>
      </c>
      <c r="E331">
        <f>VLOOKUP(A331,Elements!$A$2:$B$435,2,0)</f>
        <v>183</v>
      </c>
      <c r="F331" t="str">
        <f t="shared" si="5"/>
        <v>4-15-183</v>
      </c>
      <c r="G331">
        <v>330</v>
      </c>
    </row>
    <row r="332" spans="1:7">
      <c r="A332" s="31" t="s">
        <v>223</v>
      </c>
      <c r="B332">
        <v>2</v>
      </c>
      <c r="C332">
        <v>4</v>
      </c>
      <c r="D332">
        <v>15</v>
      </c>
      <c r="E332">
        <f>VLOOKUP(A332,Elements!$A$2:$B$435,2,0)</f>
        <v>184</v>
      </c>
      <c r="F332" t="str">
        <f t="shared" si="5"/>
        <v>4-15-184</v>
      </c>
      <c r="G332">
        <v>331</v>
      </c>
    </row>
    <row r="333" spans="1:7">
      <c r="A333" s="31" t="s">
        <v>224</v>
      </c>
      <c r="B333">
        <v>2</v>
      </c>
      <c r="C333">
        <v>4</v>
      </c>
      <c r="D333">
        <v>15</v>
      </c>
      <c r="E333">
        <f>VLOOKUP(A333,Elements!$A$2:$B$435,2,0)</f>
        <v>185</v>
      </c>
      <c r="F333" t="str">
        <f t="shared" si="5"/>
        <v>4-15-185</v>
      </c>
      <c r="G333">
        <v>332</v>
      </c>
    </row>
    <row r="334" spans="1:7">
      <c r="A334" s="31" t="s">
        <v>225</v>
      </c>
      <c r="B334">
        <v>2</v>
      </c>
      <c r="C334">
        <v>4</v>
      </c>
      <c r="D334">
        <v>15</v>
      </c>
      <c r="E334">
        <f>VLOOKUP(A334,Elements!$A$2:$B$435,2,0)</f>
        <v>186</v>
      </c>
      <c r="F334" t="str">
        <f t="shared" si="5"/>
        <v>4-15-186</v>
      </c>
      <c r="G334">
        <v>333</v>
      </c>
    </row>
    <row r="335" spans="1:7">
      <c r="A335" s="31" t="s">
        <v>226</v>
      </c>
      <c r="B335">
        <v>2</v>
      </c>
      <c r="C335">
        <v>4</v>
      </c>
      <c r="D335">
        <v>16</v>
      </c>
      <c r="E335">
        <f>VLOOKUP(A335,Elements!$A$2:$B$435,2,0)</f>
        <v>187</v>
      </c>
      <c r="F335" t="str">
        <f t="shared" si="5"/>
        <v>4-16-187</v>
      </c>
      <c r="G335">
        <v>334</v>
      </c>
    </row>
    <row r="336" spans="1:7">
      <c r="A336" s="31" t="s">
        <v>227</v>
      </c>
      <c r="B336">
        <v>2</v>
      </c>
      <c r="C336">
        <v>4</v>
      </c>
      <c r="D336">
        <v>16</v>
      </c>
      <c r="E336">
        <f>VLOOKUP(A336,Elements!$A$2:$B$435,2,0)</f>
        <v>188</v>
      </c>
      <c r="F336" t="str">
        <f t="shared" si="5"/>
        <v>4-16-188</v>
      </c>
      <c r="G336">
        <v>335</v>
      </c>
    </row>
    <row r="337" spans="1:7">
      <c r="A337" s="31" t="s">
        <v>228</v>
      </c>
      <c r="B337">
        <v>2</v>
      </c>
      <c r="C337">
        <v>4</v>
      </c>
      <c r="D337">
        <v>16</v>
      </c>
      <c r="E337">
        <f>VLOOKUP(A337,Elements!$A$2:$B$435,2,0)</f>
        <v>189</v>
      </c>
      <c r="F337" t="str">
        <f t="shared" si="5"/>
        <v>4-16-189</v>
      </c>
      <c r="G337">
        <v>336</v>
      </c>
    </row>
    <row r="338" spans="1:7">
      <c r="A338" s="31" t="s">
        <v>229</v>
      </c>
      <c r="B338">
        <v>2</v>
      </c>
      <c r="C338">
        <v>4</v>
      </c>
      <c r="D338">
        <v>16</v>
      </c>
      <c r="E338">
        <f>VLOOKUP(A338,Elements!$A$2:$B$435,2,0)</f>
        <v>190</v>
      </c>
      <c r="F338" t="str">
        <f t="shared" si="5"/>
        <v>4-16-190</v>
      </c>
      <c r="G338">
        <v>337</v>
      </c>
    </row>
    <row r="339" spans="1:7">
      <c r="A339" s="31" t="s">
        <v>230</v>
      </c>
      <c r="B339">
        <v>2</v>
      </c>
      <c r="C339">
        <v>4</v>
      </c>
      <c r="D339">
        <v>16</v>
      </c>
      <c r="E339">
        <f>VLOOKUP(A339,Elements!$A$2:$B$435,2,0)</f>
        <v>191</v>
      </c>
      <c r="F339" t="str">
        <f t="shared" si="5"/>
        <v>4-16-191</v>
      </c>
      <c r="G339">
        <v>338</v>
      </c>
    </row>
    <row r="340" spans="1:7">
      <c r="A340" s="31" t="s">
        <v>231</v>
      </c>
      <c r="B340">
        <v>2</v>
      </c>
      <c r="C340">
        <v>4</v>
      </c>
      <c r="D340">
        <v>16</v>
      </c>
      <c r="E340">
        <f>VLOOKUP(A340,Elements!$A$2:$B$435,2,0)</f>
        <v>192</v>
      </c>
      <c r="F340" t="str">
        <f t="shared" si="5"/>
        <v>4-16-192</v>
      </c>
      <c r="G340">
        <v>339</v>
      </c>
    </row>
    <row r="341" spans="1:7">
      <c r="A341" s="31" t="s">
        <v>232</v>
      </c>
      <c r="B341">
        <v>2</v>
      </c>
      <c r="C341">
        <v>4</v>
      </c>
      <c r="D341">
        <v>16</v>
      </c>
      <c r="E341">
        <f>VLOOKUP(A341,Elements!$A$2:$B$435,2,0)</f>
        <v>193</v>
      </c>
      <c r="F341" t="str">
        <f t="shared" si="5"/>
        <v>4-16-193</v>
      </c>
      <c r="G341">
        <v>340</v>
      </c>
    </row>
    <row r="342" spans="1:7">
      <c r="A342" s="31" t="s">
        <v>233</v>
      </c>
      <c r="B342">
        <v>2</v>
      </c>
      <c r="C342">
        <v>4</v>
      </c>
      <c r="D342">
        <v>16</v>
      </c>
      <c r="E342">
        <f>VLOOKUP(A342,Elements!$A$2:$B$435,2,0)</f>
        <v>194</v>
      </c>
      <c r="F342" t="str">
        <f t="shared" si="5"/>
        <v>4-16-194</v>
      </c>
      <c r="G342">
        <v>341</v>
      </c>
    </row>
    <row r="343" spans="1:7">
      <c r="A343" s="31" t="s">
        <v>234</v>
      </c>
      <c r="B343">
        <v>2</v>
      </c>
      <c r="C343">
        <v>4</v>
      </c>
      <c r="D343">
        <v>16</v>
      </c>
      <c r="E343">
        <f>VLOOKUP(A343,Elements!$A$2:$B$435,2,0)</f>
        <v>195</v>
      </c>
      <c r="F343" t="str">
        <f t="shared" si="5"/>
        <v>4-16-195</v>
      </c>
      <c r="G343">
        <v>342</v>
      </c>
    </row>
    <row r="344" spans="1:7">
      <c r="A344" s="31" t="s">
        <v>235</v>
      </c>
      <c r="B344">
        <v>2</v>
      </c>
      <c r="C344">
        <v>4</v>
      </c>
      <c r="D344">
        <v>16</v>
      </c>
      <c r="E344">
        <f>VLOOKUP(A344,Elements!$A$2:$B$435,2,0)</f>
        <v>196</v>
      </c>
      <c r="F344" t="str">
        <f t="shared" si="5"/>
        <v>4-16-196</v>
      </c>
      <c r="G344">
        <v>343</v>
      </c>
    </row>
    <row r="345" spans="1:7">
      <c r="A345" s="31" t="s">
        <v>236</v>
      </c>
      <c r="B345">
        <v>2</v>
      </c>
      <c r="C345">
        <v>4</v>
      </c>
      <c r="D345">
        <v>16</v>
      </c>
      <c r="E345">
        <f>VLOOKUP(A345,Elements!$A$2:$B$435,2,0)</f>
        <v>197</v>
      </c>
      <c r="F345" t="str">
        <f t="shared" si="5"/>
        <v>4-16-197</v>
      </c>
      <c r="G345">
        <v>344</v>
      </c>
    </row>
    <row r="346" spans="1:7">
      <c r="A346" s="31" t="s">
        <v>237</v>
      </c>
      <c r="B346">
        <v>2</v>
      </c>
      <c r="C346">
        <v>4</v>
      </c>
      <c r="D346">
        <v>16</v>
      </c>
      <c r="E346">
        <f>VLOOKUP(A346,Elements!$A$2:$B$435,2,0)</f>
        <v>198</v>
      </c>
      <c r="F346" t="str">
        <f t="shared" si="5"/>
        <v>4-16-198</v>
      </c>
      <c r="G346">
        <v>345</v>
      </c>
    </row>
    <row r="347" spans="1:7">
      <c r="A347" s="31" t="s">
        <v>238</v>
      </c>
      <c r="B347">
        <v>2</v>
      </c>
      <c r="C347">
        <v>4</v>
      </c>
      <c r="D347">
        <v>16</v>
      </c>
      <c r="E347">
        <f>VLOOKUP(A347,Elements!$A$2:$B$435,2,0)</f>
        <v>199</v>
      </c>
      <c r="F347" t="str">
        <f t="shared" si="5"/>
        <v>4-16-199</v>
      </c>
      <c r="G347">
        <v>346</v>
      </c>
    </row>
    <row r="348" spans="1:7">
      <c r="A348" s="31" t="s">
        <v>239</v>
      </c>
      <c r="B348">
        <v>2</v>
      </c>
      <c r="C348">
        <v>4</v>
      </c>
      <c r="D348">
        <v>16</v>
      </c>
      <c r="E348">
        <f>VLOOKUP(A348,Elements!$A$2:$B$435,2,0)</f>
        <v>200</v>
      </c>
      <c r="F348" t="str">
        <f t="shared" si="5"/>
        <v>4-16-200</v>
      </c>
      <c r="G348">
        <v>347</v>
      </c>
    </row>
    <row r="349" spans="1:7">
      <c r="A349" s="31" t="s">
        <v>240</v>
      </c>
      <c r="B349">
        <v>2</v>
      </c>
      <c r="C349">
        <v>4</v>
      </c>
      <c r="D349">
        <v>16</v>
      </c>
      <c r="E349">
        <f>VLOOKUP(A349,Elements!$A$2:$B$435,2,0)</f>
        <v>201</v>
      </c>
      <c r="F349" t="str">
        <f t="shared" si="5"/>
        <v>4-16-201</v>
      </c>
      <c r="G349">
        <v>348</v>
      </c>
    </row>
    <row r="350" spans="1:7">
      <c r="A350" s="31" t="s">
        <v>241</v>
      </c>
      <c r="B350">
        <v>2</v>
      </c>
      <c r="C350">
        <v>4</v>
      </c>
      <c r="D350">
        <v>16</v>
      </c>
      <c r="E350">
        <f>VLOOKUP(A350,Elements!$A$2:$B$435,2,0)</f>
        <v>202</v>
      </c>
      <c r="F350" t="str">
        <f t="shared" si="5"/>
        <v>4-16-202</v>
      </c>
      <c r="G350">
        <v>349</v>
      </c>
    </row>
    <row r="351" spans="1:7">
      <c r="A351" s="31" t="s">
        <v>243</v>
      </c>
      <c r="B351">
        <v>2</v>
      </c>
      <c r="C351">
        <v>4</v>
      </c>
      <c r="D351">
        <v>17</v>
      </c>
      <c r="E351">
        <f>VLOOKUP(A351,Elements!$A$2:$B$435,2,0)</f>
        <v>203</v>
      </c>
      <c r="F351" t="str">
        <f t="shared" si="5"/>
        <v>4-17-203</v>
      </c>
      <c r="G351">
        <v>350</v>
      </c>
    </row>
    <row r="352" spans="1:7">
      <c r="A352" s="31" t="s">
        <v>244</v>
      </c>
      <c r="B352">
        <v>2</v>
      </c>
      <c r="C352">
        <v>4</v>
      </c>
      <c r="D352">
        <v>17</v>
      </c>
      <c r="E352">
        <f>VLOOKUP(A352,Elements!$A$2:$B$435,2,0)</f>
        <v>204</v>
      </c>
      <c r="F352" t="str">
        <f t="shared" si="5"/>
        <v>4-17-204</v>
      </c>
      <c r="G352">
        <v>351</v>
      </c>
    </row>
    <row r="353" spans="1:7">
      <c r="A353" s="31" t="s">
        <v>245</v>
      </c>
      <c r="B353">
        <v>2</v>
      </c>
      <c r="C353">
        <v>4</v>
      </c>
      <c r="D353">
        <v>17</v>
      </c>
      <c r="E353">
        <f>VLOOKUP(A353,Elements!$A$2:$B$435,2,0)</f>
        <v>205</v>
      </c>
      <c r="F353" t="str">
        <f t="shared" si="5"/>
        <v>4-17-205</v>
      </c>
      <c r="G353">
        <v>352</v>
      </c>
    </row>
    <row r="354" spans="1:7">
      <c r="A354" s="31" t="s">
        <v>150</v>
      </c>
      <c r="B354">
        <v>2</v>
      </c>
      <c r="C354">
        <v>4</v>
      </c>
      <c r="D354">
        <v>17</v>
      </c>
      <c r="E354">
        <f>VLOOKUP(A354,Elements!$A$2:$B$435,2,0)</f>
        <v>115</v>
      </c>
      <c r="F354" t="str">
        <f t="shared" si="5"/>
        <v>4-17-115</v>
      </c>
      <c r="G354">
        <v>353</v>
      </c>
    </row>
    <row r="355" spans="1:7">
      <c r="A355" s="31" t="s">
        <v>246</v>
      </c>
      <c r="B355">
        <v>2</v>
      </c>
      <c r="C355">
        <v>4</v>
      </c>
      <c r="D355">
        <v>17</v>
      </c>
      <c r="E355">
        <f>VLOOKUP(A355,Elements!$A$2:$B$435,2,0)</f>
        <v>206</v>
      </c>
      <c r="F355" t="str">
        <f t="shared" si="5"/>
        <v>4-17-206</v>
      </c>
      <c r="G355">
        <v>354</v>
      </c>
    </row>
    <row r="356" spans="1:7">
      <c r="A356" s="31" t="s">
        <v>247</v>
      </c>
      <c r="B356">
        <v>2</v>
      </c>
      <c r="C356">
        <v>4</v>
      </c>
      <c r="D356">
        <v>17</v>
      </c>
      <c r="E356">
        <f>VLOOKUP(A356,Elements!$A$2:$B$435,2,0)</f>
        <v>207</v>
      </c>
      <c r="F356" t="str">
        <f t="shared" si="5"/>
        <v>4-17-207</v>
      </c>
      <c r="G356">
        <v>355</v>
      </c>
    </row>
    <row r="357" spans="1:7">
      <c r="A357" s="31" t="s">
        <v>248</v>
      </c>
      <c r="B357">
        <v>2</v>
      </c>
      <c r="C357">
        <v>4</v>
      </c>
      <c r="D357">
        <v>17</v>
      </c>
      <c r="E357">
        <f>VLOOKUP(A357,Elements!$A$2:$B$435,2,0)</f>
        <v>208</v>
      </c>
      <c r="F357" t="str">
        <f t="shared" si="5"/>
        <v>4-17-208</v>
      </c>
      <c r="G357">
        <v>356</v>
      </c>
    </row>
    <row r="358" spans="1:7">
      <c r="A358" s="31" t="s">
        <v>249</v>
      </c>
      <c r="B358">
        <v>2</v>
      </c>
      <c r="C358">
        <v>4</v>
      </c>
      <c r="D358">
        <v>17</v>
      </c>
      <c r="E358">
        <f>VLOOKUP(A358,Elements!$A$2:$B$435,2,0)</f>
        <v>209</v>
      </c>
      <c r="F358" t="str">
        <f t="shared" si="5"/>
        <v>4-17-209</v>
      </c>
      <c r="G358">
        <v>357</v>
      </c>
    </row>
    <row r="359" spans="1:7">
      <c r="A359" s="31" t="s">
        <v>250</v>
      </c>
      <c r="B359">
        <v>2</v>
      </c>
      <c r="C359">
        <v>4</v>
      </c>
      <c r="D359">
        <v>17</v>
      </c>
      <c r="E359">
        <f>VLOOKUP(A359,Elements!$A$2:$B$435,2,0)</f>
        <v>210</v>
      </c>
      <c r="F359" t="str">
        <f t="shared" si="5"/>
        <v>4-17-210</v>
      </c>
      <c r="G359">
        <v>358</v>
      </c>
    </row>
    <row r="360" spans="1:7">
      <c r="A360" s="31" t="s">
        <v>253</v>
      </c>
      <c r="B360">
        <v>2</v>
      </c>
      <c r="C360">
        <v>4</v>
      </c>
      <c r="D360">
        <v>18</v>
      </c>
      <c r="E360">
        <f>VLOOKUP(A360,Elements!$A$2:$B$435,2,0)</f>
        <v>211</v>
      </c>
      <c r="F360" t="str">
        <f t="shared" si="5"/>
        <v>4-18-211</v>
      </c>
      <c r="G360">
        <v>359</v>
      </c>
    </row>
    <row r="361" spans="1:7">
      <c r="A361" s="31" t="s">
        <v>254</v>
      </c>
      <c r="B361">
        <v>2</v>
      </c>
      <c r="C361">
        <v>4</v>
      </c>
      <c r="D361">
        <v>18</v>
      </c>
      <c r="E361">
        <f>VLOOKUP(A361,Elements!$A$2:$B$435,2,0)</f>
        <v>212</v>
      </c>
      <c r="F361" t="str">
        <f t="shared" si="5"/>
        <v>4-18-212</v>
      </c>
      <c r="G361">
        <v>360</v>
      </c>
    </row>
    <row r="362" spans="1:7">
      <c r="A362" s="31" t="s">
        <v>163</v>
      </c>
      <c r="B362">
        <v>2</v>
      </c>
      <c r="C362">
        <v>4</v>
      </c>
      <c r="D362">
        <v>18</v>
      </c>
      <c r="E362">
        <f>VLOOKUP(A362,Elements!$A$2:$B$435,2,0)</f>
        <v>128</v>
      </c>
      <c r="F362" t="str">
        <f t="shared" si="5"/>
        <v>4-18-128</v>
      </c>
      <c r="G362">
        <v>361</v>
      </c>
    </row>
    <row r="363" spans="1:7">
      <c r="A363" t="s">
        <v>430</v>
      </c>
      <c r="B363">
        <v>2</v>
      </c>
      <c r="C363">
        <v>4</v>
      </c>
      <c r="D363">
        <v>18</v>
      </c>
      <c r="E363">
        <f>VLOOKUP(A363,Elements!$A$2:$B$435,2,0)</f>
        <v>367</v>
      </c>
      <c r="F363" t="str">
        <f t="shared" si="5"/>
        <v>4-18-367</v>
      </c>
      <c r="G363">
        <v>362</v>
      </c>
    </row>
    <row r="364" spans="1:7">
      <c r="A364" s="31" t="s">
        <v>256</v>
      </c>
      <c r="B364">
        <v>2</v>
      </c>
      <c r="C364">
        <v>4</v>
      </c>
      <c r="D364">
        <v>18</v>
      </c>
      <c r="E364">
        <f>VLOOKUP(A364,Elements!$A$2:$B$435,2,0)</f>
        <v>213</v>
      </c>
      <c r="F364" t="str">
        <f t="shared" si="5"/>
        <v>4-18-213</v>
      </c>
      <c r="G364">
        <v>363</v>
      </c>
    </row>
    <row r="365" spans="1:7">
      <c r="A365" t="s">
        <v>233</v>
      </c>
      <c r="B365">
        <v>2</v>
      </c>
      <c r="C365">
        <v>4</v>
      </c>
      <c r="D365">
        <v>18</v>
      </c>
      <c r="E365">
        <f>VLOOKUP(A365,Elements!$A$2:$B$435,2,0)</f>
        <v>194</v>
      </c>
      <c r="F365" t="str">
        <f t="shared" si="5"/>
        <v>4-18-194</v>
      </c>
      <c r="G365">
        <v>364</v>
      </c>
    </row>
    <row r="366" spans="1:7">
      <c r="A366" s="31" t="s">
        <v>257</v>
      </c>
      <c r="B366">
        <v>2</v>
      </c>
      <c r="C366">
        <v>4</v>
      </c>
      <c r="D366">
        <v>18</v>
      </c>
      <c r="E366">
        <f>VLOOKUP(A366,Elements!$A$2:$B$435,2,0)</f>
        <v>214</v>
      </c>
      <c r="F366" t="str">
        <f t="shared" si="5"/>
        <v>4-18-214</v>
      </c>
      <c r="G366">
        <v>365</v>
      </c>
    </row>
    <row r="367" spans="1:7">
      <c r="A367" s="31" t="s">
        <v>258</v>
      </c>
      <c r="B367">
        <v>2</v>
      </c>
      <c r="C367">
        <v>4</v>
      </c>
      <c r="D367">
        <v>18</v>
      </c>
      <c r="E367">
        <f>VLOOKUP(A367,Elements!$A$2:$B$435,2,0)</f>
        <v>215</v>
      </c>
      <c r="F367" t="str">
        <f t="shared" si="5"/>
        <v>4-18-215</v>
      </c>
      <c r="G367">
        <v>366</v>
      </c>
    </row>
    <row r="368" spans="1:7">
      <c r="A368" s="31" t="s">
        <v>259</v>
      </c>
      <c r="B368">
        <v>2</v>
      </c>
      <c r="C368">
        <v>4</v>
      </c>
      <c r="D368">
        <v>18</v>
      </c>
      <c r="E368">
        <f>VLOOKUP(A368,Elements!$A$2:$B$435,2,0)</f>
        <v>216</v>
      </c>
      <c r="F368" t="str">
        <f t="shared" si="5"/>
        <v>4-18-216</v>
      </c>
      <c r="G368">
        <v>367</v>
      </c>
    </row>
    <row r="369" spans="1:7">
      <c r="A369" s="31" t="s">
        <v>260</v>
      </c>
      <c r="B369">
        <v>2</v>
      </c>
      <c r="C369">
        <v>4</v>
      </c>
      <c r="D369">
        <v>18</v>
      </c>
      <c r="E369">
        <f>VLOOKUP(A369,Elements!$A$2:$B$435,2,0)</f>
        <v>217</v>
      </c>
      <c r="F369" t="str">
        <f t="shared" si="5"/>
        <v>4-18-217</v>
      </c>
      <c r="G369">
        <v>368</v>
      </c>
    </row>
    <row r="370" spans="1:7">
      <c r="A370" s="31" t="s">
        <v>262</v>
      </c>
      <c r="B370">
        <v>2</v>
      </c>
      <c r="C370">
        <v>4</v>
      </c>
      <c r="D370">
        <v>18</v>
      </c>
      <c r="E370">
        <f>VLOOKUP(A370,Elements!$A$2:$B$435,2,0)</f>
        <v>218</v>
      </c>
      <c r="F370" t="str">
        <f t="shared" si="5"/>
        <v>4-18-218</v>
      </c>
      <c r="G370">
        <v>369</v>
      </c>
    </row>
    <row r="371" spans="1:7">
      <c r="A371" s="31" t="s">
        <v>263</v>
      </c>
      <c r="B371">
        <v>2</v>
      </c>
      <c r="C371">
        <v>4</v>
      </c>
      <c r="D371">
        <v>18</v>
      </c>
      <c r="E371">
        <f>VLOOKUP(A371,Elements!$A$2:$B$435,2,0)</f>
        <v>219</v>
      </c>
      <c r="F371" t="str">
        <f t="shared" si="5"/>
        <v>4-18-219</v>
      </c>
      <c r="G371">
        <v>370</v>
      </c>
    </row>
    <row r="372" spans="1:7">
      <c r="A372" s="31" t="s">
        <v>264</v>
      </c>
      <c r="B372">
        <v>2</v>
      </c>
      <c r="C372">
        <v>4</v>
      </c>
      <c r="D372">
        <v>18</v>
      </c>
      <c r="E372">
        <f>VLOOKUP(A372,Elements!$A$2:$B$435,2,0)</f>
        <v>220</v>
      </c>
      <c r="F372" t="str">
        <f t="shared" si="5"/>
        <v>4-18-220</v>
      </c>
      <c r="G372">
        <v>371</v>
      </c>
    </row>
    <row r="373" spans="1:7">
      <c r="A373" s="31" t="s">
        <v>265</v>
      </c>
      <c r="B373">
        <v>2</v>
      </c>
      <c r="C373">
        <v>4</v>
      </c>
      <c r="D373">
        <v>18</v>
      </c>
      <c r="E373">
        <f>VLOOKUP(A373,Elements!$A$2:$B$435,2,0)</f>
        <v>221</v>
      </c>
      <c r="F373" t="str">
        <f t="shared" si="5"/>
        <v>4-18-221</v>
      </c>
      <c r="G373">
        <v>372</v>
      </c>
    </row>
    <row r="374" spans="1:7">
      <c r="A374" s="31" t="s">
        <v>267</v>
      </c>
      <c r="B374">
        <v>2</v>
      </c>
      <c r="C374">
        <v>4</v>
      </c>
      <c r="D374">
        <v>18</v>
      </c>
      <c r="E374">
        <f>VLOOKUP(A374,Elements!$A$2:$B$435,2,0)</f>
        <v>222</v>
      </c>
      <c r="F374" t="str">
        <f t="shared" si="5"/>
        <v>4-18-222</v>
      </c>
      <c r="G374">
        <v>373</v>
      </c>
    </row>
    <row r="375" spans="1:7">
      <c r="A375" s="31" t="s">
        <v>268</v>
      </c>
      <c r="B375">
        <v>2</v>
      </c>
      <c r="C375">
        <v>4</v>
      </c>
      <c r="D375">
        <v>18</v>
      </c>
      <c r="E375">
        <f>VLOOKUP(A375,Elements!$A$2:$B$435,2,0)</f>
        <v>223</v>
      </c>
      <c r="F375" t="str">
        <f t="shared" si="5"/>
        <v>4-18-223</v>
      </c>
      <c r="G375">
        <v>374</v>
      </c>
    </row>
    <row r="376" spans="1:7">
      <c r="A376" s="31" t="s">
        <v>269</v>
      </c>
      <c r="B376">
        <v>2</v>
      </c>
      <c r="C376">
        <v>4</v>
      </c>
      <c r="D376">
        <v>18</v>
      </c>
      <c r="E376">
        <f>VLOOKUP(A376,Elements!$A$2:$B$435,2,0)</f>
        <v>224</v>
      </c>
      <c r="F376" t="str">
        <f t="shared" si="5"/>
        <v>4-18-224</v>
      </c>
      <c r="G376">
        <v>375</v>
      </c>
    </row>
    <row r="377" spans="1:7">
      <c r="A377" s="31" t="s">
        <v>270</v>
      </c>
      <c r="B377">
        <v>2</v>
      </c>
      <c r="C377">
        <v>4</v>
      </c>
      <c r="D377">
        <v>7</v>
      </c>
      <c r="E377">
        <f>VLOOKUP(A377,Elements!$A$2:$B$435,2,0)</f>
        <v>225</v>
      </c>
      <c r="F377" t="str">
        <f t="shared" si="5"/>
        <v>4-7-225</v>
      </c>
      <c r="G377">
        <v>376</v>
      </c>
    </row>
    <row r="378" spans="1:7">
      <c r="A378" t="s">
        <v>351</v>
      </c>
      <c r="B378">
        <v>2</v>
      </c>
      <c r="C378">
        <v>4</v>
      </c>
      <c r="D378">
        <v>7</v>
      </c>
      <c r="E378">
        <f>VLOOKUP(A378,Elements!$A$2:$B$435,2,0)</f>
        <v>226</v>
      </c>
      <c r="F378" t="str">
        <f t="shared" si="5"/>
        <v>4-7-226</v>
      </c>
      <c r="G378">
        <v>377</v>
      </c>
    </row>
    <row r="379" spans="1:7">
      <c r="A379" s="31" t="s">
        <v>47</v>
      </c>
      <c r="B379">
        <v>2</v>
      </c>
      <c r="C379">
        <v>4</v>
      </c>
      <c r="D379">
        <v>7</v>
      </c>
      <c r="E379">
        <f>VLOOKUP(A379,Elements!$A$2:$B$435,2,0)</f>
        <v>10</v>
      </c>
      <c r="F379" t="str">
        <f t="shared" si="5"/>
        <v>4-7-10</v>
      </c>
      <c r="G379">
        <v>378</v>
      </c>
    </row>
    <row r="380" spans="1:7">
      <c r="A380" s="31" t="s">
        <v>272</v>
      </c>
      <c r="B380">
        <v>2</v>
      </c>
      <c r="C380">
        <v>4</v>
      </c>
      <c r="D380">
        <v>7</v>
      </c>
      <c r="E380">
        <f>VLOOKUP(A380,Elements!$A$2:$B$435,2,0)</f>
        <v>227</v>
      </c>
      <c r="F380" t="str">
        <f t="shared" si="5"/>
        <v>4-7-227</v>
      </c>
      <c r="G380">
        <v>379</v>
      </c>
    </row>
    <row r="381" spans="1:7">
      <c r="A381" s="31" t="s">
        <v>273</v>
      </c>
      <c r="B381">
        <v>2</v>
      </c>
      <c r="C381">
        <v>4</v>
      </c>
      <c r="D381">
        <v>7</v>
      </c>
      <c r="E381">
        <f>VLOOKUP(A381,Elements!$A$2:$B$435,2,0)</f>
        <v>228</v>
      </c>
      <c r="F381" t="str">
        <f t="shared" si="5"/>
        <v>4-7-228</v>
      </c>
      <c r="G381">
        <v>380</v>
      </c>
    </row>
    <row r="382" spans="1:7">
      <c r="A382" s="31" t="s">
        <v>274</v>
      </c>
      <c r="B382">
        <v>2</v>
      </c>
      <c r="C382">
        <v>4</v>
      </c>
      <c r="D382">
        <v>7</v>
      </c>
      <c r="E382">
        <f>VLOOKUP(A382,Elements!$A$2:$B$435,2,0)</f>
        <v>229</v>
      </c>
      <c r="F382" t="str">
        <f t="shared" si="5"/>
        <v>4-7-229</v>
      </c>
      <c r="G382">
        <v>381</v>
      </c>
    </row>
    <row r="383" spans="1:7">
      <c r="A383" s="31" t="s">
        <v>112</v>
      </c>
      <c r="B383">
        <v>2</v>
      </c>
      <c r="C383">
        <v>4</v>
      </c>
      <c r="D383">
        <v>7</v>
      </c>
      <c r="E383">
        <f>VLOOKUP(A383,Elements!$A$2:$B$435,2,0)</f>
        <v>78</v>
      </c>
      <c r="F383" t="str">
        <f t="shared" si="5"/>
        <v>4-7-78</v>
      </c>
      <c r="G383">
        <v>382</v>
      </c>
    </row>
    <row r="384" spans="1:7">
      <c r="A384" s="31" t="s">
        <v>275</v>
      </c>
      <c r="B384">
        <v>2</v>
      </c>
      <c r="C384">
        <v>4</v>
      </c>
      <c r="D384">
        <v>7</v>
      </c>
      <c r="E384">
        <f>VLOOKUP(A384,Elements!$A$2:$B$435,2,0)</f>
        <v>230</v>
      </c>
      <c r="F384" t="str">
        <f t="shared" si="5"/>
        <v>4-7-230</v>
      </c>
      <c r="G384">
        <v>383</v>
      </c>
    </row>
    <row r="385" spans="1:7">
      <c r="A385" s="31" t="s">
        <v>115</v>
      </c>
      <c r="B385">
        <v>2</v>
      </c>
      <c r="C385">
        <v>4</v>
      </c>
      <c r="D385">
        <v>7</v>
      </c>
      <c r="E385">
        <f>VLOOKUP(A385,Elements!$A$2:$B$435,2,0)</f>
        <v>81</v>
      </c>
      <c r="F385" t="str">
        <f t="shared" si="5"/>
        <v>4-7-81</v>
      </c>
      <c r="G385">
        <v>384</v>
      </c>
    </row>
    <row r="386" spans="1:7">
      <c r="A386" s="31" t="s">
        <v>116</v>
      </c>
      <c r="B386">
        <v>2</v>
      </c>
      <c r="C386">
        <v>4</v>
      </c>
      <c r="D386">
        <v>7</v>
      </c>
      <c r="E386">
        <f>VLOOKUP(A386,Elements!$A$2:$B$435,2,0)</f>
        <v>82</v>
      </c>
      <c r="F386" t="str">
        <f t="shared" ref="F386:F449" si="6">_xlfn.CONCAT(C386,"-",D386,"-",E386)</f>
        <v>4-7-82</v>
      </c>
      <c r="G386">
        <v>385</v>
      </c>
    </row>
    <row r="387" spans="1:7">
      <c r="A387" s="31" t="s">
        <v>276</v>
      </c>
      <c r="B387">
        <v>2</v>
      </c>
      <c r="C387">
        <v>4</v>
      </c>
      <c r="D387">
        <v>7</v>
      </c>
      <c r="E387">
        <f>VLOOKUP(A387,Elements!$A$2:$B$435,2,0)</f>
        <v>231</v>
      </c>
      <c r="F387" t="str">
        <f t="shared" si="6"/>
        <v>4-7-231</v>
      </c>
      <c r="G387">
        <v>386</v>
      </c>
    </row>
    <row r="388" spans="1:7">
      <c r="A388" s="31" t="s">
        <v>277</v>
      </c>
      <c r="B388">
        <v>2</v>
      </c>
      <c r="C388">
        <v>4</v>
      </c>
      <c r="D388">
        <v>7</v>
      </c>
      <c r="E388">
        <f>VLOOKUP(A388,Elements!$A$2:$B$435,2,0)</f>
        <v>232</v>
      </c>
      <c r="F388" t="str">
        <f t="shared" si="6"/>
        <v>4-7-232</v>
      </c>
      <c r="G388">
        <v>387</v>
      </c>
    </row>
    <row r="389" spans="1:7">
      <c r="A389" s="31" t="s">
        <v>278</v>
      </c>
      <c r="B389">
        <v>2</v>
      </c>
      <c r="C389">
        <v>4</v>
      </c>
      <c r="D389">
        <v>7</v>
      </c>
      <c r="E389">
        <f>VLOOKUP(A389,Elements!$A$2:$B$435,2,0)</f>
        <v>233</v>
      </c>
      <c r="F389" t="str">
        <f t="shared" si="6"/>
        <v>4-7-233</v>
      </c>
      <c r="G389">
        <v>388</v>
      </c>
    </row>
    <row r="390" spans="1:7">
      <c r="A390" s="31" t="s">
        <v>279</v>
      </c>
      <c r="B390">
        <v>2</v>
      </c>
      <c r="C390">
        <v>4</v>
      </c>
      <c r="D390">
        <v>7</v>
      </c>
      <c r="E390">
        <f>VLOOKUP(A390,Elements!$A$2:$B$435,2,0)</f>
        <v>234</v>
      </c>
      <c r="F390" t="str">
        <f t="shared" si="6"/>
        <v>4-7-234</v>
      </c>
      <c r="G390">
        <v>389</v>
      </c>
    </row>
    <row r="391" spans="1:7">
      <c r="A391" s="31" t="s">
        <v>280</v>
      </c>
      <c r="B391">
        <v>2</v>
      </c>
      <c r="C391">
        <v>4</v>
      </c>
      <c r="D391">
        <v>6</v>
      </c>
      <c r="E391">
        <f>VLOOKUP(A391,Elements!$A$2:$B$435,2,0)</f>
        <v>235</v>
      </c>
      <c r="F391" t="str">
        <f t="shared" si="6"/>
        <v>4-6-235</v>
      </c>
      <c r="G391">
        <v>390</v>
      </c>
    </row>
    <row r="392" spans="1:7">
      <c r="A392" s="31" t="s">
        <v>281</v>
      </c>
      <c r="B392">
        <v>2</v>
      </c>
      <c r="C392">
        <v>4</v>
      </c>
      <c r="D392">
        <v>6</v>
      </c>
      <c r="E392">
        <f>VLOOKUP(A392,Elements!$A$2:$B$435,2,0)</f>
        <v>236</v>
      </c>
      <c r="F392" t="str">
        <f t="shared" si="6"/>
        <v>4-6-236</v>
      </c>
      <c r="G392">
        <v>391</v>
      </c>
    </row>
    <row r="393" spans="1:7">
      <c r="A393" s="31" t="s">
        <v>282</v>
      </c>
      <c r="B393">
        <v>2</v>
      </c>
      <c r="C393">
        <v>4</v>
      </c>
      <c r="D393">
        <v>6</v>
      </c>
      <c r="E393">
        <f>VLOOKUP(A393,Elements!$A$2:$B$435,2,0)</f>
        <v>237</v>
      </c>
      <c r="F393" t="str">
        <f t="shared" si="6"/>
        <v>4-6-237</v>
      </c>
      <c r="G393">
        <v>392</v>
      </c>
    </row>
    <row r="394" spans="1:7">
      <c r="A394" s="31" t="s">
        <v>283</v>
      </c>
      <c r="B394">
        <v>2</v>
      </c>
      <c r="C394">
        <v>4</v>
      </c>
      <c r="D394">
        <v>6</v>
      </c>
      <c r="E394">
        <f>VLOOKUP(A394,Elements!$A$2:$B$435,2,0)</f>
        <v>238</v>
      </c>
      <c r="F394" t="str">
        <f t="shared" si="6"/>
        <v>4-6-238</v>
      </c>
      <c r="G394">
        <v>393</v>
      </c>
    </row>
    <row r="395" spans="1:7">
      <c r="A395" s="31" t="s">
        <v>284</v>
      </c>
      <c r="B395">
        <v>2</v>
      </c>
      <c r="C395">
        <v>4</v>
      </c>
      <c r="D395">
        <v>6</v>
      </c>
      <c r="E395">
        <f>VLOOKUP(A395,Elements!$A$2:$B$435,2,0)</f>
        <v>239</v>
      </c>
      <c r="F395" t="str">
        <f t="shared" si="6"/>
        <v>4-6-239</v>
      </c>
      <c r="G395">
        <v>394</v>
      </c>
    </row>
    <row r="396" spans="1:7">
      <c r="A396" s="31" t="s">
        <v>285</v>
      </c>
      <c r="B396">
        <v>2</v>
      </c>
      <c r="C396">
        <v>4</v>
      </c>
      <c r="D396">
        <v>6</v>
      </c>
      <c r="E396">
        <f>VLOOKUP(A396,Elements!$A$2:$B$435,2,0)</f>
        <v>240</v>
      </c>
      <c r="F396" t="str">
        <f t="shared" si="6"/>
        <v>4-6-240</v>
      </c>
      <c r="G396">
        <v>395</v>
      </c>
    </row>
    <row r="397" spans="1:7">
      <c r="A397" s="31" t="s">
        <v>286</v>
      </c>
      <c r="B397">
        <v>2</v>
      </c>
      <c r="C397">
        <v>4</v>
      </c>
      <c r="D397">
        <v>6</v>
      </c>
      <c r="E397">
        <f>VLOOKUP(A397,Elements!$A$2:$B$435,2,0)</f>
        <v>66</v>
      </c>
      <c r="F397" t="str">
        <f t="shared" si="6"/>
        <v>4-6-66</v>
      </c>
      <c r="G397">
        <v>396</v>
      </c>
    </row>
    <row r="398" spans="1:7">
      <c r="A398" s="31" t="s">
        <v>287</v>
      </c>
      <c r="B398">
        <v>2</v>
      </c>
      <c r="C398">
        <v>4</v>
      </c>
      <c r="D398">
        <v>6</v>
      </c>
      <c r="E398">
        <f>VLOOKUP(A398,Elements!$A$2:$B$435,2,0)</f>
        <v>241</v>
      </c>
      <c r="F398" t="str">
        <f t="shared" si="6"/>
        <v>4-6-241</v>
      </c>
      <c r="G398">
        <v>397</v>
      </c>
    </row>
    <row r="399" spans="1:7">
      <c r="A399" s="31" t="s">
        <v>288</v>
      </c>
      <c r="B399">
        <v>2</v>
      </c>
      <c r="C399">
        <v>4</v>
      </c>
      <c r="D399">
        <v>6</v>
      </c>
      <c r="E399">
        <f>VLOOKUP(A399,Elements!$A$2:$B$435,2,0)</f>
        <v>67</v>
      </c>
      <c r="F399" t="str">
        <f t="shared" si="6"/>
        <v>4-6-67</v>
      </c>
      <c r="G399">
        <v>398</v>
      </c>
    </row>
    <row r="400" spans="1:7">
      <c r="A400" s="31" t="s">
        <v>289</v>
      </c>
      <c r="B400">
        <v>2</v>
      </c>
      <c r="C400">
        <v>4</v>
      </c>
      <c r="D400">
        <v>6</v>
      </c>
      <c r="E400">
        <f>VLOOKUP(A400,Elements!$A$2:$B$435,2,0)</f>
        <v>242</v>
      </c>
      <c r="F400" t="str">
        <f t="shared" si="6"/>
        <v>4-6-242</v>
      </c>
      <c r="G400">
        <v>399</v>
      </c>
    </row>
    <row r="401" spans="1:7">
      <c r="A401" s="31" t="s">
        <v>290</v>
      </c>
      <c r="B401">
        <v>2</v>
      </c>
      <c r="C401">
        <v>4</v>
      </c>
      <c r="D401">
        <v>6</v>
      </c>
      <c r="E401">
        <f>VLOOKUP(A401,Elements!$A$2:$B$435,2,0)</f>
        <v>243</v>
      </c>
      <c r="F401" t="str">
        <f t="shared" si="6"/>
        <v>4-6-243</v>
      </c>
      <c r="G401">
        <v>400</v>
      </c>
    </row>
    <row r="402" spans="1:7">
      <c r="A402" s="31" t="s">
        <v>105</v>
      </c>
      <c r="B402">
        <v>2</v>
      </c>
      <c r="C402">
        <v>4</v>
      </c>
      <c r="D402">
        <v>6</v>
      </c>
      <c r="E402">
        <f>VLOOKUP(A402,Elements!$A$2:$B$435,2,0)</f>
        <v>69</v>
      </c>
      <c r="F402" t="str">
        <f t="shared" si="6"/>
        <v>4-6-69</v>
      </c>
      <c r="G402">
        <v>401</v>
      </c>
    </row>
    <row r="403" spans="1:7">
      <c r="A403" s="31" t="s">
        <v>117</v>
      </c>
      <c r="B403">
        <v>2</v>
      </c>
      <c r="C403">
        <v>4</v>
      </c>
      <c r="D403">
        <v>8</v>
      </c>
      <c r="E403">
        <f>VLOOKUP(A403,Elements!$A$2:$B$435,2,0)</f>
        <v>83</v>
      </c>
      <c r="F403" t="str">
        <f t="shared" si="6"/>
        <v>4-8-83</v>
      </c>
      <c r="G403">
        <v>402</v>
      </c>
    </row>
    <row r="404" spans="1:7">
      <c r="A404" s="31" t="s">
        <v>291</v>
      </c>
      <c r="B404">
        <v>2</v>
      </c>
      <c r="C404">
        <v>4</v>
      </c>
      <c r="D404">
        <v>8</v>
      </c>
      <c r="E404">
        <f>VLOOKUP(A404,Elements!$A$2:$B$435,2,0)</f>
        <v>244</v>
      </c>
      <c r="F404" t="str">
        <f t="shared" si="6"/>
        <v>4-8-244</v>
      </c>
      <c r="G404">
        <v>403</v>
      </c>
    </row>
    <row r="405" spans="1:7">
      <c r="A405" s="31" t="s">
        <v>292</v>
      </c>
      <c r="B405">
        <v>2</v>
      </c>
      <c r="C405">
        <v>4</v>
      </c>
      <c r="D405">
        <v>8</v>
      </c>
      <c r="E405">
        <f>VLOOKUP(A405,Elements!$A$2:$B$435,2,0)</f>
        <v>245</v>
      </c>
      <c r="F405" t="str">
        <f t="shared" si="6"/>
        <v>4-8-245</v>
      </c>
      <c r="G405">
        <v>404</v>
      </c>
    </row>
    <row r="406" spans="1:7">
      <c r="A406" s="31" t="s">
        <v>293</v>
      </c>
      <c r="B406">
        <v>2</v>
      </c>
      <c r="C406">
        <v>4</v>
      </c>
      <c r="D406">
        <v>8</v>
      </c>
      <c r="E406">
        <f>VLOOKUP(A406,Elements!$A$2:$B$435,2,0)</f>
        <v>246</v>
      </c>
      <c r="F406" t="str">
        <f t="shared" si="6"/>
        <v>4-8-246</v>
      </c>
      <c r="G406">
        <v>405</v>
      </c>
    </row>
    <row r="407" spans="1:7">
      <c r="A407" s="31" t="s">
        <v>294</v>
      </c>
      <c r="B407">
        <v>2</v>
      </c>
      <c r="C407">
        <v>4</v>
      </c>
      <c r="D407">
        <v>8</v>
      </c>
      <c r="E407">
        <f>VLOOKUP(A407,Elements!$A$2:$B$435,2,0)</f>
        <v>247</v>
      </c>
      <c r="F407" t="str">
        <f t="shared" si="6"/>
        <v>4-8-247</v>
      </c>
      <c r="G407">
        <v>406</v>
      </c>
    </row>
    <row r="408" spans="1:7">
      <c r="A408" s="121" t="s">
        <v>118</v>
      </c>
      <c r="B408">
        <v>2</v>
      </c>
      <c r="C408">
        <v>4</v>
      </c>
      <c r="D408">
        <v>8</v>
      </c>
      <c r="E408">
        <f>VLOOKUP(A408,Elements!$A$2:$B$435,2,0)</f>
        <v>84</v>
      </c>
      <c r="F408" t="str">
        <f t="shared" si="6"/>
        <v>4-8-84</v>
      </c>
      <c r="G408">
        <v>407</v>
      </c>
    </row>
    <row r="409" spans="1:7" s="4" customFormat="1" ht="17" thickBot="1">
      <c r="A409" s="158" t="s">
        <v>119</v>
      </c>
      <c r="B409" s="4">
        <v>2</v>
      </c>
      <c r="C409" s="4">
        <v>4</v>
      </c>
      <c r="D409" s="4">
        <v>8</v>
      </c>
      <c r="E409" s="4">
        <f>VLOOKUP(A409,Elements!$A$2:$B$435,2,0)</f>
        <v>85</v>
      </c>
      <c r="F409" s="4" t="str">
        <f t="shared" si="6"/>
        <v>4-8-85</v>
      </c>
      <c r="G409" s="4">
        <v>408</v>
      </c>
    </row>
    <row r="410" spans="1:7">
      <c r="A410" s="24" t="s">
        <v>299</v>
      </c>
      <c r="B410">
        <v>2</v>
      </c>
      <c r="C410">
        <v>5</v>
      </c>
      <c r="D410">
        <v>19</v>
      </c>
      <c r="E410">
        <f>VLOOKUP(A410,Elements!$A$2:$B$435,2,0)</f>
        <v>248</v>
      </c>
      <c r="F410" t="str">
        <f t="shared" si="6"/>
        <v>5-19-248</v>
      </c>
      <c r="G410">
        <v>409</v>
      </c>
    </row>
    <row r="411" spans="1:7">
      <c r="A411" s="24" t="s">
        <v>300</v>
      </c>
      <c r="B411">
        <v>2</v>
      </c>
      <c r="C411">
        <v>5</v>
      </c>
      <c r="D411">
        <v>19</v>
      </c>
      <c r="E411">
        <f>VLOOKUP(A411,Elements!$A$2:$B$435,2,0)</f>
        <v>249</v>
      </c>
      <c r="F411" t="str">
        <f t="shared" si="6"/>
        <v>5-19-249</v>
      </c>
      <c r="G411">
        <v>410</v>
      </c>
    </row>
    <row r="412" spans="1:7">
      <c r="A412" s="24" t="s">
        <v>301</v>
      </c>
      <c r="B412">
        <v>2</v>
      </c>
      <c r="C412">
        <v>5</v>
      </c>
      <c r="D412">
        <v>19</v>
      </c>
      <c r="E412">
        <f>VLOOKUP(A412,Elements!$A$2:$B$435,2,0)</f>
        <v>250</v>
      </c>
      <c r="F412" t="str">
        <f t="shared" si="6"/>
        <v>5-19-250</v>
      </c>
      <c r="G412">
        <v>411</v>
      </c>
    </row>
    <row r="413" spans="1:7">
      <c r="A413" s="24" t="s">
        <v>302</v>
      </c>
      <c r="B413">
        <v>2</v>
      </c>
      <c r="C413">
        <v>5</v>
      </c>
      <c r="D413">
        <v>19</v>
      </c>
      <c r="E413">
        <f>VLOOKUP(A413,Elements!$A$2:$B$435,2,0)</f>
        <v>251</v>
      </c>
      <c r="F413" t="str">
        <f t="shared" si="6"/>
        <v>5-19-251</v>
      </c>
      <c r="G413">
        <v>412</v>
      </c>
    </row>
    <row r="414" spans="1:7">
      <c r="A414" s="24" t="s">
        <v>303</v>
      </c>
      <c r="B414">
        <v>2</v>
      </c>
      <c r="C414">
        <v>5</v>
      </c>
      <c r="D414">
        <v>19</v>
      </c>
      <c r="E414">
        <f>VLOOKUP(A414,Elements!$A$2:$B$435,2,0)</f>
        <v>252</v>
      </c>
      <c r="F414" t="str">
        <f t="shared" si="6"/>
        <v>5-19-252</v>
      </c>
      <c r="G414">
        <v>413</v>
      </c>
    </row>
    <row r="415" spans="1:7">
      <c r="A415" s="24" t="s">
        <v>304</v>
      </c>
      <c r="B415">
        <v>2</v>
      </c>
      <c r="C415">
        <v>5</v>
      </c>
      <c r="D415">
        <v>19</v>
      </c>
      <c r="E415">
        <f>VLOOKUP(A415,Elements!$A$2:$B$435,2,0)</f>
        <v>253</v>
      </c>
      <c r="F415" t="str">
        <f t="shared" si="6"/>
        <v>5-19-253</v>
      </c>
      <c r="G415">
        <v>414</v>
      </c>
    </row>
    <row r="416" spans="1:7">
      <c r="A416" s="24" t="s">
        <v>149</v>
      </c>
      <c r="B416">
        <v>2</v>
      </c>
      <c r="C416">
        <v>5</v>
      </c>
      <c r="D416">
        <v>19</v>
      </c>
      <c r="E416">
        <f>VLOOKUP(A416,Elements!$A$2:$B$435,2,0)</f>
        <v>114</v>
      </c>
      <c r="F416" t="str">
        <f t="shared" si="6"/>
        <v>5-19-114</v>
      </c>
      <c r="G416">
        <v>415</v>
      </c>
    </row>
    <row r="417" spans="1:7">
      <c r="A417" s="24" t="s">
        <v>305</v>
      </c>
      <c r="B417">
        <v>2</v>
      </c>
      <c r="C417">
        <v>5</v>
      </c>
      <c r="D417">
        <v>19</v>
      </c>
      <c r="E417">
        <f>VLOOKUP(A417,Elements!$A$2:$B$435,2,0)</f>
        <v>254</v>
      </c>
      <c r="F417" t="str">
        <f t="shared" si="6"/>
        <v>5-19-254</v>
      </c>
      <c r="G417">
        <v>416</v>
      </c>
    </row>
    <row r="418" spans="1:7">
      <c r="A418" s="24" t="s">
        <v>306</v>
      </c>
      <c r="B418">
        <v>2</v>
      </c>
      <c r="C418">
        <v>5</v>
      </c>
      <c r="D418">
        <v>20</v>
      </c>
      <c r="E418">
        <f>VLOOKUP(A418,Elements!$A$2:$B$435,2,0)</f>
        <v>255</v>
      </c>
      <c r="F418" t="str">
        <f t="shared" si="6"/>
        <v>5-20-255</v>
      </c>
      <c r="G418">
        <v>417</v>
      </c>
    </row>
    <row r="419" spans="1:7">
      <c r="A419" s="24" t="s">
        <v>307</v>
      </c>
      <c r="B419">
        <v>2</v>
      </c>
      <c r="C419">
        <v>5</v>
      </c>
      <c r="D419">
        <v>20</v>
      </c>
      <c r="E419">
        <f>VLOOKUP(A419,Elements!$A$2:$B$435,2,0)</f>
        <v>256</v>
      </c>
      <c r="F419" t="str">
        <f t="shared" si="6"/>
        <v>5-20-256</v>
      </c>
      <c r="G419">
        <v>418</v>
      </c>
    </row>
    <row r="420" spans="1:7">
      <c r="A420" s="24" t="s">
        <v>308</v>
      </c>
      <c r="B420">
        <v>2</v>
      </c>
      <c r="C420">
        <v>5</v>
      </c>
      <c r="D420">
        <v>20</v>
      </c>
      <c r="E420">
        <f>VLOOKUP(A420,Elements!$A$2:$B$435,2,0)</f>
        <v>257</v>
      </c>
      <c r="F420" t="str">
        <f t="shared" si="6"/>
        <v>5-20-257</v>
      </c>
      <c r="G420">
        <v>419</v>
      </c>
    </row>
    <row r="421" spans="1:7">
      <c r="A421" s="24" t="s">
        <v>309</v>
      </c>
      <c r="B421">
        <v>2</v>
      </c>
      <c r="C421">
        <v>5</v>
      </c>
      <c r="D421">
        <v>20</v>
      </c>
      <c r="E421">
        <f>VLOOKUP(A421,Elements!$A$2:$B$435,2,0)</f>
        <v>258</v>
      </c>
      <c r="F421" t="str">
        <f t="shared" si="6"/>
        <v>5-20-258</v>
      </c>
      <c r="G421">
        <v>420</v>
      </c>
    </row>
    <row r="422" spans="1:7">
      <c r="A422" s="24" t="s">
        <v>310</v>
      </c>
      <c r="B422">
        <v>2</v>
      </c>
      <c r="C422">
        <v>5</v>
      </c>
      <c r="D422">
        <v>20</v>
      </c>
      <c r="E422">
        <f>VLOOKUP(A422,Elements!$A$2:$B$435,2,0)</f>
        <v>259</v>
      </c>
      <c r="F422" t="str">
        <f t="shared" si="6"/>
        <v>5-20-259</v>
      </c>
      <c r="G422">
        <v>421</v>
      </c>
    </row>
    <row r="423" spans="1:7">
      <c r="A423" s="24" t="s">
        <v>311</v>
      </c>
      <c r="B423">
        <v>2</v>
      </c>
      <c r="C423">
        <v>5</v>
      </c>
      <c r="D423">
        <v>20</v>
      </c>
      <c r="E423">
        <f>VLOOKUP(A423,Elements!$A$2:$B$435,2,0)</f>
        <v>260</v>
      </c>
      <c r="F423" t="str">
        <f t="shared" si="6"/>
        <v>5-20-260</v>
      </c>
      <c r="G423">
        <v>422</v>
      </c>
    </row>
    <row r="424" spans="1:7">
      <c r="A424" s="24" t="s">
        <v>515</v>
      </c>
      <c r="B424">
        <v>2</v>
      </c>
      <c r="C424">
        <v>5</v>
      </c>
      <c r="D424">
        <v>20</v>
      </c>
      <c r="E424">
        <f>VLOOKUP(A424,Elements!$A$2:$B$435,2,0)</f>
        <v>261</v>
      </c>
      <c r="F424" t="str">
        <f t="shared" si="6"/>
        <v>5-20-261</v>
      </c>
      <c r="G424">
        <v>423</v>
      </c>
    </row>
    <row r="425" spans="1:7">
      <c r="A425" s="24" t="s">
        <v>313</v>
      </c>
      <c r="B425">
        <v>2</v>
      </c>
      <c r="C425">
        <v>5</v>
      </c>
      <c r="D425">
        <v>20</v>
      </c>
      <c r="E425">
        <f>VLOOKUP(A425,Elements!$A$2:$B$435,2,0)</f>
        <v>262</v>
      </c>
      <c r="F425" t="str">
        <f t="shared" si="6"/>
        <v>5-20-262</v>
      </c>
      <c r="G425">
        <v>424</v>
      </c>
    </row>
    <row r="426" spans="1:7">
      <c r="A426" s="24" t="s">
        <v>314</v>
      </c>
      <c r="B426">
        <v>2</v>
      </c>
      <c r="C426">
        <v>5</v>
      </c>
      <c r="D426">
        <v>20</v>
      </c>
      <c r="E426">
        <f>VLOOKUP(A426,Elements!$A$2:$B$435,2,0)</f>
        <v>263</v>
      </c>
      <c r="F426" t="str">
        <f t="shared" si="6"/>
        <v>5-20-263</v>
      </c>
      <c r="G426">
        <v>425</v>
      </c>
    </row>
    <row r="427" spans="1:7">
      <c r="A427" s="24" t="s">
        <v>315</v>
      </c>
      <c r="B427">
        <v>2</v>
      </c>
      <c r="C427">
        <v>5</v>
      </c>
      <c r="D427">
        <v>20</v>
      </c>
      <c r="E427">
        <f>VLOOKUP(A427,Elements!$A$2:$B$435,2,0)</f>
        <v>264</v>
      </c>
      <c r="F427" t="str">
        <f t="shared" si="6"/>
        <v>5-20-264</v>
      </c>
      <c r="G427">
        <v>426</v>
      </c>
    </row>
    <row r="428" spans="1:7">
      <c r="A428" s="24" t="s">
        <v>316</v>
      </c>
      <c r="B428">
        <v>2</v>
      </c>
      <c r="C428">
        <v>5</v>
      </c>
      <c r="D428">
        <v>20</v>
      </c>
      <c r="E428">
        <f>VLOOKUP(A428,Elements!$A$2:$B$435,2,0)</f>
        <v>265</v>
      </c>
      <c r="F428" t="str">
        <f t="shared" si="6"/>
        <v>5-20-265</v>
      </c>
      <c r="G428">
        <v>427</v>
      </c>
    </row>
    <row r="429" spans="1:7">
      <c r="A429" s="24" t="s">
        <v>135</v>
      </c>
      <c r="B429">
        <v>2</v>
      </c>
      <c r="C429">
        <v>5</v>
      </c>
      <c r="D429">
        <v>20</v>
      </c>
      <c r="E429">
        <f>VLOOKUP(A429,Elements!$A$2:$B$435,2,0)</f>
        <v>101</v>
      </c>
      <c r="F429" t="str">
        <f t="shared" si="6"/>
        <v>5-20-101</v>
      </c>
      <c r="G429">
        <v>428</v>
      </c>
    </row>
    <row r="430" spans="1:7">
      <c r="A430" s="24" t="s">
        <v>317</v>
      </c>
      <c r="B430">
        <v>2</v>
      </c>
      <c r="C430">
        <v>5</v>
      </c>
      <c r="D430">
        <v>20</v>
      </c>
      <c r="E430">
        <f>VLOOKUP(A430,Elements!$A$2:$B$435,2,0)</f>
        <v>266</v>
      </c>
      <c r="F430" t="str">
        <f t="shared" si="6"/>
        <v>5-20-266</v>
      </c>
      <c r="G430">
        <v>429</v>
      </c>
    </row>
    <row r="431" spans="1:7">
      <c r="A431" s="24" t="s">
        <v>177</v>
      </c>
      <c r="B431">
        <v>2</v>
      </c>
      <c r="C431">
        <v>5</v>
      </c>
      <c r="D431">
        <v>20</v>
      </c>
      <c r="E431">
        <f>VLOOKUP(A431,Elements!$A$2:$B$435,2,0)</f>
        <v>142</v>
      </c>
      <c r="F431" t="str">
        <f t="shared" si="6"/>
        <v>5-20-142</v>
      </c>
      <c r="G431">
        <v>430</v>
      </c>
    </row>
    <row r="432" spans="1:7">
      <c r="A432" s="24" t="s">
        <v>318</v>
      </c>
      <c r="B432">
        <v>2</v>
      </c>
      <c r="C432">
        <v>5</v>
      </c>
      <c r="D432">
        <v>20</v>
      </c>
      <c r="E432">
        <f>VLOOKUP(A432,Elements!$A$2:$B$435,2,0)</f>
        <v>267</v>
      </c>
      <c r="F432" t="str">
        <f t="shared" si="6"/>
        <v>5-20-267</v>
      </c>
      <c r="G432">
        <v>431</v>
      </c>
    </row>
    <row r="433" spans="1:7">
      <c r="A433" s="24" t="s">
        <v>319</v>
      </c>
      <c r="B433">
        <v>2</v>
      </c>
      <c r="C433">
        <v>5</v>
      </c>
      <c r="D433">
        <v>20</v>
      </c>
      <c r="E433">
        <f>VLOOKUP(A433,Elements!$A$2:$B$435,2,0)</f>
        <v>268</v>
      </c>
      <c r="F433" t="str">
        <f t="shared" si="6"/>
        <v>5-20-268</v>
      </c>
      <c r="G433">
        <v>432</v>
      </c>
    </row>
    <row r="434" spans="1:7">
      <c r="A434" s="24" t="s">
        <v>320</v>
      </c>
      <c r="B434">
        <v>2</v>
      </c>
      <c r="C434">
        <v>5</v>
      </c>
      <c r="D434">
        <v>20</v>
      </c>
      <c r="E434">
        <f>VLOOKUP(A434,Elements!$A$2:$B$435,2,0)</f>
        <v>269</v>
      </c>
      <c r="F434" t="str">
        <f t="shared" si="6"/>
        <v>5-20-269</v>
      </c>
      <c r="G434">
        <v>433</v>
      </c>
    </row>
    <row r="435" spans="1:7">
      <c r="A435" s="24" t="s">
        <v>321</v>
      </c>
      <c r="B435">
        <v>2</v>
      </c>
      <c r="C435">
        <v>5</v>
      </c>
      <c r="D435">
        <v>20</v>
      </c>
      <c r="E435">
        <f>VLOOKUP(A435,Elements!$A$2:$B$435,2,0)</f>
        <v>270</v>
      </c>
      <c r="F435" t="str">
        <f t="shared" si="6"/>
        <v>5-20-270</v>
      </c>
      <c r="G435">
        <v>434</v>
      </c>
    </row>
    <row r="436" spans="1:7">
      <c r="A436" s="24" t="s">
        <v>322</v>
      </c>
      <c r="B436">
        <v>2</v>
      </c>
      <c r="C436">
        <v>5</v>
      </c>
      <c r="D436">
        <v>20</v>
      </c>
      <c r="E436">
        <f>VLOOKUP(A436,Elements!$A$2:$B$435,2,0)</f>
        <v>271</v>
      </c>
      <c r="F436" t="str">
        <f t="shared" si="6"/>
        <v>5-20-271</v>
      </c>
      <c r="G436">
        <v>435</v>
      </c>
    </row>
    <row r="437" spans="1:7">
      <c r="A437" s="24" t="s">
        <v>323</v>
      </c>
      <c r="B437">
        <v>2</v>
      </c>
      <c r="C437">
        <v>5</v>
      </c>
      <c r="D437">
        <v>20</v>
      </c>
      <c r="E437">
        <f>VLOOKUP(A437,Elements!$A$2:$B$435,2,0)</f>
        <v>272</v>
      </c>
      <c r="F437" t="str">
        <f t="shared" si="6"/>
        <v>5-20-272</v>
      </c>
      <c r="G437">
        <v>436</v>
      </c>
    </row>
    <row r="438" spans="1:7">
      <c r="A438" s="24" t="s">
        <v>324</v>
      </c>
      <c r="B438">
        <v>2</v>
      </c>
      <c r="C438">
        <v>5</v>
      </c>
      <c r="D438">
        <v>20</v>
      </c>
      <c r="E438">
        <f>VLOOKUP(A438,Elements!$A$2:$B$435,2,0)</f>
        <v>273</v>
      </c>
      <c r="F438" t="str">
        <f t="shared" si="6"/>
        <v>5-20-273</v>
      </c>
      <c r="G438">
        <v>437</v>
      </c>
    </row>
    <row r="439" spans="1:7">
      <c r="A439" s="24" t="s">
        <v>325</v>
      </c>
      <c r="B439">
        <v>2</v>
      </c>
      <c r="C439">
        <v>5</v>
      </c>
      <c r="D439">
        <v>20</v>
      </c>
      <c r="E439">
        <f>VLOOKUP(A439,Elements!$A$2:$B$435,2,0)</f>
        <v>274</v>
      </c>
      <c r="F439" t="str">
        <f t="shared" si="6"/>
        <v>5-20-274</v>
      </c>
      <c r="G439">
        <v>438</v>
      </c>
    </row>
    <row r="440" spans="1:7">
      <c r="A440" s="24" t="s">
        <v>326</v>
      </c>
      <c r="B440">
        <v>2</v>
      </c>
      <c r="C440">
        <v>5</v>
      </c>
      <c r="D440">
        <v>20</v>
      </c>
      <c r="E440">
        <f>VLOOKUP(A440,Elements!$A$2:$B$435,2,0)</f>
        <v>275</v>
      </c>
      <c r="F440" t="str">
        <f t="shared" si="6"/>
        <v>5-20-275</v>
      </c>
      <c r="G440">
        <v>439</v>
      </c>
    </row>
    <row r="441" spans="1:7">
      <c r="A441" s="24" t="s">
        <v>327</v>
      </c>
      <c r="B441">
        <v>2</v>
      </c>
      <c r="C441">
        <v>5</v>
      </c>
      <c r="D441">
        <v>20</v>
      </c>
      <c r="E441">
        <f>VLOOKUP(A441,Elements!$A$2:$B$435,2,0)</f>
        <v>276</v>
      </c>
      <c r="F441" t="str">
        <f t="shared" si="6"/>
        <v>5-20-276</v>
      </c>
      <c r="G441">
        <v>440</v>
      </c>
    </row>
    <row r="442" spans="1:7">
      <c r="A442" s="24" t="s">
        <v>328</v>
      </c>
      <c r="B442">
        <v>2</v>
      </c>
      <c r="C442">
        <v>5</v>
      </c>
      <c r="D442">
        <v>20</v>
      </c>
      <c r="E442">
        <f>VLOOKUP(A442,Elements!$A$2:$B$435,2,0)</f>
        <v>277</v>
      </c>
      <c r="F442" t="str">
        <f t="shared" si="6"/>
        <v>5-20-277</v>
      </c>
      <c r="G442">
        <v>441</v>
      </c>
    </row>
    <row r="443" spans="1:7">
      <c r="A443" s="24" t="s">
        <v>329</v>
      </c>
      <c r="B443">
        <v>2</v>
      </c>
      <c r="C443">
        <v>5</v>
      </c>
      <c r="D443">
        <v>20</v>
      </c>
      <c r="E443">
        <f>VLOOKUP(A443,Elements!$A$2:$B$435,2,0)</f>
        <v>278</v>
      </c>
      <c r="F443" t="str">
        <f t="shared" si="6"/>
        <v>5-20-278</v>
      </c>
      <c r="G443">
        <v>442</v>
      </c>
    </row>
    <row r="444" spans="1:7">
      <c r="A444" s="24" t="s">
        <v>330</v>
      </c>
      <c r="B444">
        <v>2</v>
      </c>
      <c r="C444">
        <v>5</v>
      </c>
      <c r="D444">
        <v>20</v>
      </c>
      <c r="E444">
        <f>VLOOKUP(A444,Elements!$A$2:$B$435,2,0)</f>
        <v>279</v>
      </c>
      <c r="F444" t="str">
        <f t="shared" si="6"/>
        <v>5-20-279</v>
      </c>
      <c r="G444">
        <v>443</v>
      </c>
    </row>
    <row r="445" spans="1:7">
      <c r="A445" s="24" t="s">
        <v>332</v>
      </c>
      <c r="B445">
        <v>2</v>
      </c>
      <c r="C445">
        <v>5</v>
      </c>
      <c r="D445">
        <v>21</v>
      </c>
      <c r="E445">
        <f>VLOOKUP(A445,Elements!$A$2:$B$435,2,0)</f>
        <v>280</v>
      </c>
      <c r="F445" t="str">
        <f t="shared" si="6"/>
        <v>5-21-280</v>
      </c>
      <c r="G445">
        <v>444</v>
      </c>
    </row>
    <row r="446" spans="1:7">
      <c r="A446" s="24" t="s">
        <v>333</v>
      </c>
      <c r="B446">
        <v>2</v>
      </c>
      <c r="C446">
        <v>5</v>
      </c>
      <c r="D446">
        <v>21</v>
      </c>
      <c r="E446">
        <f>VLOOKUP(A446,Elements!$A$2:$B$435,2,0)</f>
        <v>281</v>
      </c>
      <c r="F446" t="str">
        <f t="shared" si="6"/>
        <v>5-21-281</v>
      </c>
      <c r="G446">
        <v>445</v>
      </c>
    </row>
    <row r="447" spans="1:7">
      <c r="A447" s="24" t="s">
        <v>143</v>
      </c>
      <c r="B447">
        <v>2</v>
      </c>
      <c r="C447">
        <v>5</v>
      </c>
      <c r="D447">
        <v>21</v>
      </c>
      <c r="E447">
        <f>VLOOKUP(A447,Elements!$A$2:$B$435,2,0)</f>
        <v>109</v>
      </c>
      <c r="F447" t="str">
        <f t="shared" si="6"/>
        <v>5-21-109</v>
      </c>
      <c r="G447">
        <v>446</v>
      </c>
    </row>
    <row r="448" spans="1:7">
      <c r="A448" s="24" t="s">
        <v>334</v>
      </c>
      <c r="B448">
        <v>2</v>
      </c>
      <c r="C448">
        <v>5</v>
      </c>
      <c r="D448">
        <v>21</v>
      </c>
      <c r="E448">
        <f>VLOOKUP(A448,Elements!$A$2:$B$435,2,0)</f>
        <v>282</v>
      </c>
      <c r="F448" t="str">
        <f t="shared" si="6"/>
        <v>5-21-282</v>
      </c>
      <c r="G448">
        <v>447</v>
      </c>
    </row>
    <row r="449" spans="1:7">
      <c r="A449" s="24" t="s">
        <v>163</v>
      </c>
      <c r="B449">
        <v>2</v>
      </c>
      <c r="C449">
        <v>5</v>
      </c>
      <c r="D449">
        <v>21</v>
      </c>
      <c r="E449">
        <f>VLOOKUP(A449,Elements!$A$2:$B$435,2,0)</f>
        <v>128</v>
      </c>
      <c r="F449" t="str">
        <f t="shared" si="6"/>
        <v>5-21-128</v>
      </c>
      <c r="G449">
        <v>448</v>
      </c>
    </row>
    <row r="450" spans="1:7">
      <c r="A450" s="24" t="s">
        <v>185</v>
      </c>
      <c r="B450">
        <v>2</v>
      </c>
      <c r="C450">
        <v>5</v>
      </c>
      <c r="D450">
        <v>21</v>
      </c>
      <c r="E450">
        <f>VLOOKUP(A450,Elements!$A$2:$B$435,2,0)</f>
        <v>149</v>
      </c>
      <c r="F450" t="str">
        <f t="shared" ref="F450:F513" si="7">_xlfn.CONCAT(C450,"-",D450,"-",E450)</f>
        <v>5-21-149</v>
      </c>
      <c r="G450">
        <v>449</v>
      </c>
    </row>
    <row r="451" spans="1:7">
      <c r="A451" s="24" t="s">
        <v>256</v>
      </c>
      <c r="B451">
        <v>2</v>
      </c>
      <c r="C451">
        <v>5</v>
      </c>
      <c r="D451">
        <v>21</v>
      </c>
      <c r="E451">
        <f>VLOOKUP(A451,Elements!$A$2:$B$435,2,0)</f>
        <v>213</v>
      </c>
      <c r="F451" t="str">
        <f t="shared" si="7"/>
        <v>5-21-213</v>
      </c>
      <c r="G451">
        <v>450</v>
      </c>
    </row>
    <row r="452" spans="1:7">
      <c r="A452" s="24" t="s">
        <v>335</v>
      </c>
      <c r="B452">
        <v>2</v>
      </c>
      <c r="C452">
        <v>5</v>
      </c>
      <c r="D452">
        <v>21</v>
      </c>
      <c r="E452">
        <f>VLOOKUP(A452,Elements!$A$2:$B$435,2,0)</f>
        <v>283</v>
      </c>
      <c r="F452" t="str">
        <f t="shared" si="7"/>
        <v>5-21-283</v>
      </c>
      <c r="G452">
        <v>451</v>
      </c>
    </row>
    <row r="453" spans="1:7">
      <c r="A453" s="24" t="s">
        <v>147</v>
      </c>
      <c r="B453">
        <v>2</v>
      </c>
      <c r="C453">
        <v>5</v>
      </c>
      <c r="D453">
        <v>21</v>
      </c>
      <c r="E453">
        <f>VLOOKUP(A453,Elements!$A$2:$B$435,2,0)</f>
        <v>112</v>
      </c>
      <c r="F453" t="str">
        <f t="shared" si="7"/>
        <v>5-21-112</v>
      </c>
      <c r="G453">
        <v>452</v>
      </c>
    </row>
    <row r="454" spans="1:7">
      <c r="A454" s="24" t="s">
        <v>336</v>
      </c>
      <c r="B454">
        <v>2</v>
      </c>
      <c r="C454">
        <v>5</v>
      </c>
      <c r="D454">
        <v>21</v>
      </c>
      <c r="E454">
        <f>VLOOKUP(A454,Elements!$A$2:$B$435,2,0)</f>
        <v>284</v>
      </c>
      <c r="F454" t="str">
        <f t="shared" si="7"/>
        <v>5-21-284</v>
      </c>
      <c r="G454">
        <v>453</v>
      </c>
    </row>
    <row r="455" spans="1:7">
      <c r="A455" s="24" t="s">
        <v>337</v>
      </c>
      <c r="B455">
        <v>2</v>
      </c>
      <c r="C455">
        <v>5</v>
      </c>
      <c r="D455">
        <v>21</v>
      </c>
      <c r="E455">
        <f>VLOOKUP(A455,Elements!$A$2:$B$435,2,0)</f>
        <v>285</v>
      </c>
      <c r="F455" t="str">
        <f t="shared" si="7"/>
        <v>5-21-285</v>
      </c>
      <c r="G455">
        <v>454</v>
      </c>
    </row>
    <row r="456" spans="1:7">
      <c r="A456" s="24" t="s">
        <v>338</v>
      </c>
      <c r="B456">
        <v>2</v>
      </c>
      <c r="C456">
        <v>5</v>
      </c>
      <c r="D456">
        <v>21</v>
      </c>
      <c r="E456">
        <f>VLOOKUP(A456,Elements!$A$2:$B$435,2,0)</f>
        <v>286</v>
      </c>
      <c r="F456" t="str">
        <f t="shared" si="7"/>
        <v>5-21-286</v>
      </c>
      <c r="G456">
        <v>455</v>
      </c>
    </row>
    <row r="457" spans="1:7">
      <c r="A457" s="24" t="s">
        <v>339</v>
      </c>
      <c r="B457">
        <v>2</v>
      </c>
      <c r="C457">
        <v>5</v>
      </c>
      <c r="D457">
        <v>21</v>
      </c>
      <c r="E457">
        <f>VLOOKUP(A457,Elements!$A$2:$B$435,2,0)</f>
        <v>287</v>
      </c>
      <c r="F457" t="str">
        <f t="shared" si="7"/>
        <v>5-21-287</v>
      </c>
      <c r="G457">
        <v>456</v>
      </c>
    </row>
    <row r="458" spans="1:7">
      <c r="A458" s="24" t="s">
        <v>340</v>
      </c>
      <c r="B458">
        <v>2</v>
      </c>
      <c r="C458">
        <v>5</v>
      </c>
      <c r="D458">
        <v>21</v>
      </c>
      <c r="E458">
        <f>VLOOKUP(A458,Elements!$A$2:$B$435,2,0)</f>
        <v>288</v>
      </c>
      <c r="F458" t="str">
        <f t="shared" si="7"/>
        <v>5-21-288</v>
      </c>
      <c r="G458">
        <v>457</v>
      </c>
    </row>
    <row r="459" spans="1:7">
      <c r="A459" s="24" t="s">
        <v>341</v>
      </c>
      <c r="B459">
        <v>2</v>
      </c>
      <c r="C459">
        <v>5</v>
      </c>
      <c r="D459">
        <v>21</v>
      </c>
      <c r="E459">
        <f>VLOOKUP(A459,Elements!$A$2:$B$435,2,0)</f>
        <v>289</v>
      </c>
      <c r="F459" t="str">
        <f t="shared" si="7"/>
        <v>5-21-289</v>
      </c>
      <c r="G459">
        <v>458</v>
      </c>
    </row>
    <row r="460" spans="1:7">
      <c r="A460" s="24" t="s">
        <v>342</v>
      </c>
      <c r="B460">
        <v>2</v>
      </c>
      <c r="C460">
        <v>5</v>
      </c>
      <c r="D460">
        <v>21</v>
      </c>
      <c r="E460">
        <f>VLOOKUP(A460,Elements!$A$2:$B$435,2,0)</f>
        <v>290</v>
      </c>
      <c r="F460" t="str">
        <f t="shared" si="7"/>
        <v>5-21-290</v>
      </c>
      <c r="G460">
        <v>459</v>
      </c>
    </row>
    <row r="461" spans="1:7">
      <c r="A461" s="24" t="s">
        <v>343</v>
      </c>
      <c r="B461">
        <v>2</v>
      </c>
      <c r="C461">
        <v>5</v>
      </c>
      <c r="D461">
        <v>21</v>
      </c>
      <c r="E461">
        <f>VLOOKUP(A461,Elements!$A$2:$B$435,2,0)</f>
        <v>291</v>
      </c>
      <c r="F461" t="str">
        <f t="shared" si="7"/>
        <v>5-21-291</v>
      </c>
      <c r="G461">
        <v>460</v>
      </c>
    </row>
    <row r="462" spans="1:7">
      <c r="A462" s="24" t="s">
        <v>344</v>
      </c>
      <c r="B462">
        <v>2</v>
      </c>
      <c r="C462">
        <v>5</v>
      </c>
      <c r="D462">
        <v>21</v>
      </c>
      <c r="E462">
        <f>VLOOKUP(A462,Elements!$A$2:$B$435,2,0)</f>
        <v>292</v>
      </c>
      <c r="F462" t="str">
        <f t="shared" si="7"/>
        <v>5-21-292</v>
      </c>
      <c r="G462">
        <v>461</v>
      </c>
    </row>
    <row r="463" spans="1:7">
      <c r="A463" s="24" t="s">
        <v>345</v>
      </c>
      <c r="B463">
        <v>2</v>
      </c>
      <c r="C463">
        <v>5</v>
      </c>
      <c r="D463">
        <v>21</v>
      </c>
      <c r="E463">
        <f>VLOOKUP(A463,Elements!$A$2:$B$435,2,0)</f>
        <v>293</v>
      </c>
      <c r="F463" t="str">
        <f t="shared" si="7"/>
        <v>5-21-293</v>
      </c>
      <c r="G463">
        <v>462</v>
      </c>
    </row>
    <row r="464" spans="1:7">
      <c r="A464" s="24" t="s">
        <v>346</v>
      </c>
      <c r="B464">
        <v>2</v>
      </c>
      <c r="C464">
        <v>5</v>
      </c>
      <c r="D464">
        <v>21</v>
      </c>
      <c r="E464">
        <f>VLOOKUP(A464,Elements!$A$2:$B$435,2,0)</f>
        <v>294</v>
      </c>
      <c r="F464" t="str">
        <f t="shared" si="7"/>
        <v>5-21-294</v>
      </c>
      <c r="G464">
        <v>463</v>
      </c>
    </row>
    <row r="465" spans="1:7">
      <c r="A465" s="24" t="s">
        <v>347</v>
      </c>
      <c r="B465">
        <v>2</v>
      </c>
      <c r="C465">
        <v>5</v>
      </c>
      <c r="D465">
        <v>21</v>
      </c>
      <c r="E465">
        <f>VLOOKUP(A465,Elements!$A$2:$B$435,2,0)</f>
        <v>295</v>
      </c>
      <c r="F465" t="str">
        <f t="shared" si="7"/>
        <v>5-21-295</v>
      </c>
      <c r="G465">
        <v>464</v>
      </c>
    </row>
    <row r="466" spans="1:7">
      <c r="A466" s="24" t="s">
        <v>348</v>
      </c>
      <c r="B466">
        <v>2</v>
      </c>
      <c r="C466">
        <v>5</v>
      </c>
      <c r="D466">
        <v>21</v>
      </c>
      <c r="E466">
        <f>VLOOKUP(A466,Elements!$A$2:$B$435,2,0)</f>
        <v>296</v>
      </c>
      <c r="F466" t="str">
        <f t="shared" si="7"/>
        <v>5-21-296</v>
      </c>
      <c r="G466">
        <v>465</v>
      </c>
    </row>
    <row r="467" spans="1:7">
      <c r="A467" s="24" t="s">
        <v>349</v>
      </c>
      <c r="B467">
        <v>2</v>
      </c>
      <c r="C467">
        <v>5</v>
      </c>
      <c r="D467">
        <v>21</v>
      </c>
      <c r="E467">
        <f>VLOOKUP(A467,Elements!$A$2:$B$435,2,0)</f>
        <v>297</v>
      </c>
      <c r="F467" t="str">
        <f t="shared" si="7"/>
        <v>5-21-297</v>
      </c>
      <c r="G467">
        <v>466</v>
      </c>
    </row>
    <row r="468" spans="1:7">
      <c r="A468" s="24" t="s">
        <v>350</v>
      </c>
      <c r="B468">
        <v>2</v>
      </c>
      <c r="C468">
        <v>5</v>
      </c>
      <c r="D468">
        <v>7</v>
      </c>
      <c r="E468">
        <f>VLOOKUP(A468,Elements!$A$2:$B$435,2,0)</f>
        <v>298</v>
      </c>
      <c r="F468" t="str">
        <f t="shared" si="7"/>
        <v>5-7-298</v>
      </c>
      <c r="G468">
        <v>467</v>
      </c>
    </row>
    <row r="469" spans="1:7">
      <c r="A469" s="24" t="s">
        <v>351</v>
      </c>
      <c r="B469">
        <v>2</v>
      </c>
      <c r="C469">
        <v>5</v>
      </c>
      <c r="D469">
        <v>7</v>
      </c>
      <c r="E469">
        <f>VLOOKUP(A469,Elements!$A$2:$B$435,2,0)</f>
        <v>226</v>
      </c>
      <c r="F469" t="str">
        <f t="shared" si="7"/>
        <v>5-7-226</v>
      </c>
      <c r="G469">
        <v>468</v>
      </c>
    </row>
    <row r="470" spans="1:7">
      <c r="A470" s="24" t="s">
        <v>47</v>
      </c>
      <c r="B470">
        <v>2</v>
      </c>
      <c r="C470">
        <v>5</v>
      </c>
      <c r="D470">
        <v>7</v>
      </c>
      <c r="E470">
        <f>VLOOKUP(A470,Elements!$A$2:$B$435,2,0)</f>
        <v>10</v>
      </c>
      <c r="F470" t="str">
        <f t="shared" si="7"/>
        <v>5-7-10</v>
      </c>
      <c r="G470">
        <v>469</v>
      </c>
    </row>
    <row r="471" spans="1:7">
      <c r="A471" s="24" t="s">
        <v>352</v>
      </c>
      <c r="B471">
        <v>2</v>
      </c>
      <c r="C471">
        <v>5</v>
      </c>
      <c r="D471">
        <v>7</v>
      </c>
      <c r="E471">
        <f>VLOOKUP(A471,Elements!$A$2:$B$435,2,0)</f>
        <v>299</v>
      </c>
      <c r="F471" t="str">
        <f t="shared" si="7"/>
        <v>5-7-299</v>
      </c>
      <c r="G471">
        <v>470</v>
      </c>
    </row>
    <row r="472" spans="1:7">
      <c r="A472" s="24" t="s">
        <v>353</v>
      </c>
      <c r="B472">
        <v>2</v>
      </c>
      <c r="C472">
        <v>5</v>
      </c>
      <c r="D472">
        <v>7</v>
      </c>
      <c r="E472">
        <f>VLOOKUP(A472,Elements!$A$2:$B$435,2,0)</f>
        <v>73</v>
      </c>
      <c r="F472" t="str">
        <f t="shared" si="7"/>
        <v>5-7-73</v>
      </c>
      <c r="G472">
        <v>471</v>
      </c>
    </row>
    <row r="473" spans="1:7">
      <c r="A473" s="24" t="s">
        <v>354</v>
      </c>
      <c r="B473">
        <v>2</v>
      </c>
      <c r="C473">
        <v>5</v>
      </c>
      <c r="D473">
        <v>7</v>
      </c>
      <c r="E473">
        <f>VLOOKUP(A473,Elements!$A$2:$B$435,2,0)</f>
        <v>74</v>
      </c>
      <c r="F473" t="str">
        <f t="shared" si="7"/>
        <v>5-7-74</v>
      </c>
      <c r="G473">
        <v>472</v>
      </c>
    </row>
    <row r="474" spans="1:7">
      <c r="A474" s="24" t="s">
        <v>355</v>
      </c>
      <c r="B474">
        <v>2</v>
      </c>
      <c r="C474">
        <v>5</v>
      </c>
      <c r="D474">
        <v>7</v>
      </c>
      <c r="E474">
        <f>VLOOKUP(A474,Elements!$A$2:$B$435,2,0)</f>
        <v>75</v>
      </c>
      <c r="F474" t="str">
        <f t="shared" si="7"/>
        <v>5-7-75</v>
      </c>
      <c r="G474">
        <v>473</v>
      </c>
    </row>
    <row r="475" spans="1:7">
      <c r="A475" s="24" t="s">
        <v>356</v>
      </c>
      <c r="B475">
        <v>2</v>
      </c>
      <c r="C475">
        <v>5</v>
      </c>
      <c r="D475">
        <v>7</v>
      </c>
      <c r="E475">
        <f>VLOOKUP(A475,Elements!$A$2:$B$435,2,0)</f>
        <v>300</v>
      </c>
      <c r="F475" t="str">
        <f t="shared" si="7"/>
        <v>5-7-300</v>
      </c>
      <c r="G475">
        <v>474</v>
      </c>
    </row>
    <row r="476" spans="1:7">
      <c r="A476" s="24" t="s">
        <v>357</v>
      </c>
      <c r="B476">
        <v>2</v>
      </c>
      <c r="C476">
        <v>5</v>
      </c>
      <c r="D476">
        <v>7</v>
      </c>
      <c r="E476">
        <f>VLOOKUP(A476,Elements!$A$2:$B$435,2,0)</f>
        <v>301</v>
      </c>
      <c r="F476" t="str">
        <f t="shared" si="7"/>
        <v>5-7-301</v>
      </c>
      <c r="G476">
        <v>475</v>
      </c>
    </row>
    <row r="477" spans="1:7">
      <c r="A477" s="24" t="s">
        <v>112</v>
      </c>
      <c r="B477">
        <v>2</v>
      </c>
      <c r="C477">
        <v>5</v>
      </c>
      <c r="D477">
        <v>7</v>
      </c>
      <c r="E477">
        <f>VLOOKUP(A477,Elements!$A$2:$B$435,2,0)</f>
        <v>78</v>
      </c>
      <c r="F477" t="str">
        <f t="shared" si="7"/>
        <v>5-7-78</v>
      </c>
      <c r="G477">
        <v>476</v>
      </c>
    </row>
    <row r="478" spans="1:7">
      <c r="A478" s="24" t="s">
        <v>114</v>
      </c>
      <c r="B478">
        <v>2</v>
      </c>
      <c r="C478">
        <v>5</v>
      </c>
      <c r="D478">
        <v>7</v>
      </c>
      <c r="E478">
        <f>VLOOKUP(A478,Elements!$A$2:$B$435,2,0)</f>
        <v>80</v>
      </c>
      <c r="F478" t="str">
        <f t="shared" si="7"/>
        <v>5-7-80</v>
      </c>
      <c r="G478">
        <v>477</v>
      </c>
    </row>
    <row r="479" spans="1:7">
      <c r="A479" s="24" t="s">
        <v>115</v>
      </c>
      <c r="B479">
        <v>2</v>
      </c>
      <c r="C479">
        <v>5</v>
      </c>
      <c r="D479">
        <v>7</v>
      </c>
      <c r="E479">
        <f>VLOOKUP(A479,Elements!$A$2:$B$435,2,0)</f>
        <v>81</v>
      </c>
      <c r="F479" t="str">
        <f t="shared" si="7"/>
        <v>5-7-81</v>
      </c>
      <c r="G479">
        <v>478</v>
      </c>
    </row>
    <row r="480" spans="1:7">
      <c r="A480" s="24" t="s">
        <v>116</v>
      </c>
      <c r="B480">
        <v>2</v>
      </c>
      <c r="C480">
        <v>5</v>
      </c>
      <c r="D480">
        <v>7</v>
      </c>
      <c r="E480">
        <f>VLOOKUP(A480,Elements!$A$2:$B$435,2,0)</f>
        <v>82</v>
      </c>
      <c r="F480" t="str">
        <f t="shared" si="7"/>
        <v>5-7-82</v>
      </c>
      <c r="G480">
        <v>479</v>
      </c>
    </row>
    <row r="481" spans="1:7">
      <c r="A481" s="24" t="s">
        <v>358</v>
      </c>
      <c r="B481">
        <v>2</v>
      </c>
      <c r="C481">
        <v>5</v>
      </c>
      <c r="D481">
        <v>7</v>
      </c>
      <c r="E481">
        <f>VLOOKUP(A481,Elements!$A$2:$B$435,2,0)</f>
        <v>302</v>
      </c>
      <c r="F481" t="str">
        <f t="shared" si="7"/>
        <v>5-7-302</v>
      </c>
      <c r="G481">
        <v>480</v>
      </c>
    </row>
    <row r="482" spans="1:7">
      <c r="A482" s="24" t="s">
        <v>359</v>
      </c>
      <c r="B482">
        <v>2</v>
      </c>
      <c r="C482">
        <v>5</v>
      </c>
      <c r="D482">
        <v>6</v>
      </c>
      <c r="E482">
        <f>VLOOKUP(A482,Elements!$A$2:$B$435,2,0)</f>
        <v>303</v>
      </c>
      <c r="F482" t="str">
        <f t="shared" si="7"/>
        <v>5-6-303</v>
      </c>
      <c r="G482">
        <v>481</v>
      </c>
    </row>
    <row r="483" spans="1:7">
      <c r="A483" s="24" t="s">
        <v>360</v>
      </c>
      <c r="B483">
        <v>2</v>
      </c>
      <c r="C483">
        <v>5</v>
      </c>
      <c r="D483">
        <v>6</v>
      </c>
      <c r="E483">
        <f>VLOOKUP(A483,Elements!$A$2:$B$435,2,0)</f>
        <v>304</v>
      </c>
      <c r="F483" t="str">
        <f t="shared" si="7"/>
        <v>5-6-304</v>
      </c>
      <c r="G483">
        <v>482</v>
      </c>
    </row>
    <row r="484" spans="1:7">
      <c r="A484" s="24" t="s">
        <v>361</v>
      </c>
      <c r="B484">
        <v>2</v>
      </c>
      <c r="C484">
        <v>5</v>
      </c>
      <c r="D484">
        <v>6</v>
      </c>
      <c r="E484">
        <f>VLOOKUP(A484,Elements!$A$2:$B$435,2,0)</f>
        <v>305</v>
      </c>
      <c r="F484" t="str">
        <f t="shared" si="7"/>
        <v>5-6-305</v>
      </c>
      <c r="G484">
        <v>483</v>
      </c>
    </row>
    <row r="485" spans="1:7">
      <c r="A485" s="24" t="s">
        <v>362</v>
      </c>
      <c r="B485">
        <v>2</v>
      </c>
      <c r="C485">
        <v>5</v>
      </c>
      <c r="D485">
        <v>6</v>
      </c>
      <c r="E485">
        <f>VLOOKUP(A485,Elements!$A$2:$B$435,2,0)</f>
        <v>65</v>
      </c>
      <c r="F485" t="str">
        <f t="shared" si="7"/>
        <v>5-6-65</v>
      </c>
      <c r="G485">
        <v>484</v>
      </c>
    </row>
    <row r="486" spans="1:7">
      <c r="A486" s="24" t="s">
        <v>285</v>
      </c>
      <c r="B486">
        <v>2</v>
      </c>
      <c r="C486">
        <v>5</v>
      </c>
      <c r="D486">
        <v>6</v>
      </c>
      <c r="E486">
        <f>VLOOKUP(A486,Elements!$A$2:$B$435,2,0)</f>
        <v>240</v>
      </c>
      <c r="F486" t="str">
        <f t="shared" si="7"/>
        <v>5-6-240</v>
      </c>
      <c r="G486">
        <v>485</v>
      </c>
    </row>
    <row r="487" spans="1:7">
      <c r="A487" s="24" t="s">
        <v>286</v>
      </c>
      <c r="B487">
        <v>2</v>
      </c>
      <c r="C487">
        <v>5</v>
      </c>
      <c r="D487">
        <v>6</v>
      </c>
      <c r="E487">
        <f>VLOOKUP(A487,Elements!$A$2:$B$435,2,0)</f>
        <v>66</v>
      </c>
      <c r="F487" t="str">
        <f t="shared" si="7"/>
        <v>5-6-66</v>
      </c>
      <c r="G487">
        <v>486</v>
      </c>
    </row>
    <row r="488" spans="1:7">
      <c r="A488" s="7" t="s">
        <v>287</v>
      </c>
      <c r="B488">
        <v>2</v>
      </c>
      <c r="C488">
        <v>5</v>
      </c>
      <c r="D488">
        <v>6</v>
      </c>
      <c r="E488">
        <f>VLOOKUP(A488,Elements!$A$2:$B$435,2,0)</f>
        <v>241</v>
      </c>
      <c r="F488" t="str">
        <f t="shared" si="7"/>
        <v>5-6-241</v>
      </c>
      <c r="G488">
        <v>487</v>
      </c>
    </row>
    <row r="489" spans="1:7">
      <c r="A489" s="24" t="s">
        <v>364</v>
      </c>
      <c r="B489">
        <v>2</v>
      </c>
      <c r="C489">
        <v>5</v>
      </c>
      <c r="D489">
        <v>8</v>
      </c>
      <c r="E489">
        <f>VLOOKUP(A489,Elements!$A$2:$B$435,2,0)</f>
        <v>306</v>
      </c>
      <c r="F489" t="str">
        <f t="shared" si="7"/>
        <v>5-8-306</v>
      </c>
      <c r="G489">
        <v>488</v>
      </c>
    </row>
    <row r="490" spans="1:7">
      <c r="A490" s="24" t="s">
        <v>365</v>
      </c>
      <c r="B490">
        <v>2</v>
      </c>
      <c r="C490">
        <v>5</v>
      </c>
      <c r="D490">
        <v>8</v>
      </c>
      <c r="E490">
        <f>VLOOKUP(A490,Elements!$A$2:$B$435,2,0)</f>
        <v>307</v>
      </c>
      <c r="F490" t="str">
        <f t="shared" si="7"/>
        <v>5-8-307</v>
      </c>
      <c r="G490">
        <v>489</v>
      </c>
    </row>
    <row r="491" spans="1:7">
      <c r="A491" s="24" t="s">
        <v>117</v>
      </c>
      <c r="B491">
        <v>2</v>
      </c>
      <c r="C491">
        <v>5</v>
      </c>
      <c r="D491">
        <v>8</v>
      </c>
      <c r="E491">
        <f>VLOOKUP(A491,Elements!$A$2:$B$435,2,0)</f>
        <v>83</v>
      </c>
      <c r="F491" t="str">
        <f t="shared" si="7"/>
        <v>5-8-83</v>
      </c>
      <c r="G491">
        <v>490</v>
      </c>
    </row>
    <row r="492" spans="1:7">
      <c r="A492" s="24" t="s">
        <v>366</v>
      </c>
      <c r="B492">
        <v>2</v>
      </c>
      <c r="C492">
        <v>5</v>
      </c>
      <c r="D492">
        <v>8</v>
      </c>
      <c r="E492">
        <f>VLOOKUP(A492,Elements!$A$2:$B$435,2,0)</f>
        <v>308</v>
      </c>
      <c r="F492" t="str">
        <f t="shared" si="7"/>
        <v>5-8-308</v>
      </c>
      <c r="G492">
        <v>491</v>
      </c>
    </row>
    <row r="493" spans="1:7">
      <c r="A493" s="24" t="s">
        <v>367</v>
      </c>
      <c r="B493">
        <v>2</v>
      </c>
      <c r="C493">
        <v>5</v>
      </c>
      <c r="D493">
        <v>8</v>
      </c>
      <c r="E493">
        <f>VLOOKUP(A493,Elements!$A$2:$B$435,2,0)</f>
        <v>309</v>
      </c>
      <c r="F493" t="str">
        <f t="shared" si="7"/>
        <v>5-8-309</v>
      </c>
      <c r="G493">
        <v>492</v>
      </c>
    </row>
    <row r="494" spans="1:7" s="4" customFormat="1" ht="17" thickBot="1">
      <c r="A494" s="159" t="s">
        <v>119</v>
      </c>
      <c r="B494" s="4">
        <v>2</v>
      </c>
      <c r="C494" s="4">
        <v>5</v>
      </c>
      <c r="D494" s="4">
        <v>8</v>
      </c>
      <c r="E494" s="4">
        <f>VLOOKUP(A494,Elements!$A$2:$B$435,2,0)</f>
        <v>85</v>
      </c>
      <c r="F494" s="4" t="str">
        <f t="shared" si="7"/>
        <v>5-8-85</v>
      </c>
      <c r="G494" s="4">
        <v>493</v>
      </c>
    </row>
    <row r="495" spans="1:7">
      <c r="A495" s="31" t="s">
        <v>368</v>
      </c>
      <c r="B495">
        <v>2</v>
      </c>
      <c r="C495">
        <v>6</v>
      </c>
      <c r="D495">
        <v>22</v>
      </c>
      <c r="E495">
        <f>VLOOKUP(A495,Elements!$A$2:$B$435,2,0)</f>
        <v>310</v>
      </c>
      <c r="F495" t="str">
        <f t="shared" si="7"/>
        <v>6-22-310</v>
      </c>
      <c r="G495">
        <v>494</v>
      </c>
    </row>
    <row r="496" spans="1:7">
      <c r="A496" s="31" t="s">
        <v>369</v>
      </c>
      <c r="B496">
        <v>2</v>
      </c>
      <c r="C496">
        <v>6</v>
      </c>
      <c r="D496">
        <v>22</v>
      </c>
      <c r="E496">
        <f>VLOOKUP(A496,Elements!$A$2:$B$435,2,0)</f>
        <v>311</v>
      </c>
      <c r="F496" t="str">
        <f t="shared" si="7"/>
        <v>6-22-311</v>
      </c>
      <c r="G496">
        <v>495</v>
      </c>
    </row>
    <row r="497" spans="1:7">
      <c r="A497" s="31" t="s">
        <v>370</v>
      </c>
      <c r="B497">
        <v>2</v>
      </c>
      <c r="C497">
        <v>6</v>
      </c>
      <c r="D497">
        <v>22</v>
      </c>
      <c r="E497">
        <f>VLOOKUP(A497,Elements!$A$2:$B$435,2,0)</f>
        <v>312</v>
      </c>
      <c r="F497" t="str">
        <f t="shared" si="7"/>
        <v>6-22-312</v>
      </c>
      <c r="G497">
        <v>496</v>
      </c>
    </row>
    <row r="498" spans="1:7">
      <c r="A498" s="31" t="s">
        <v>371</v>
      </c>
      <c r="B498">
        <v>2</v>
      </c>
      <c r="C498">
        <v>6</v>
      </c>
      <c r="D498">
        <v>22</v>
      </c>
      <c r="E498">
        <f>VLOOKUP(A498,Elements!$A$2:$B$435,2,0)</f>
        <v>313</v>
      </c>
      <c r="F498" t="str">
        <f t="shared" si="7"/>
        <v>6-22-313</v>
      </c>
      <c r="G498">
        <v>497</v>
      </c>
    </row>
    <row r="499" spans="1:7">
      <c r="A499" s="31" t="s">
        <v>372</v>
      </c>
      <c r="B499">
        <v>2</v>
      </c>
      <c r="C499">
        <v>6</v>
      </c>
      <c r="D499">
        <v>22</v>
      </c>
      <c r="E499">
        <f>VLOOKUP(A499,Elements!$A$2:$B$435,2,0)</f>
        <v>314</v>
      </c>
      <c r="F499" t="str">
        <f t="shared" si="7"/>
        <v>6-22-314</v>
      </c>
      <c r="G499">
        <v>498</v>
      </c>
    </row>
    <row r="500" spans="1:7">
      <c r="A500" s="31" t="s">
        <v>373</v>
      </c>
      <c r="B500">
        <v>2</v>
      </c>
      <c r="C500">
        <v>6</v>
      </c>
      <c r="D500">
        <v>22</v>
      </c>
      <c r="E500">
        <f>VLOOKUP(A500,Elements!$A$2:$B$435,2,0)</f>
        <v>315</v>
      </c>
      <c r="F500" t="str">
        <f t="shared" si="7"/>
        <v>6-22-315</v>
      </c>
      <c r="G500">
        <v>499</v>
      </c>
    </row>
    <row r="501" spans="1:7">
      <c r="A501" s="31" t="s">
        <v>374</v>
      </c>
      <c r="B501">
        <v>2</v>
      </c>
      <c r="C501">
        <v>6</v>
      </c>
      <c r="D501">
        <v>22</v>
      </c>
      <c r="E501">
        <f>VLOOKUP(A501,Elements!$A$2:$B$435,2,0)</f>
        <v>316</v>
      </c>
      <c r="F501" t="str">
        <f t="shared" si="7"/>
        <v>6-22-316</v>
      </c>
      <c r="G501">
        <v>500</v>
      </c>
    </row>
    <row r="502" spans="1:7">
      <c r="A502" s="31" t="s">
        <v>375</v>
      </c>
      <c r="B502">
        <v>2</v>
      </c>
      <c r="C502">
        <v>6</v>
      </c>
      <c r="D502">
        <v>22</v>
      </c>
      <c r="E502">
        <f>VLOOKUP(A502,Elements!$A$2:$B$435,2,0)</f>
        <v>317</v>
      </c>
      <c r="F502" t="str">
        <f t="shared" si="7"/>
        <v>6-22-317</v>
      </c>
      <c r="G502">
        <v>501</v>
      </c>
    </row>
    <row r="503" spans="1:7">
      <c r="A503" s="31" t="s">
        <v>376</v>
      </c>
      <c r="B503">
        <v>2</v>
      </c>
      <c r="C503">
        <v>6</v>
      </c>
      <c r="D503">
        <v>22</v>
      </c>
      <c r="E503">
        <f>VLOOKUP(A503,Elements!$A$2:$B$435,2,0)</f>
        <v>318</v>
      </c>
      <c r="F503" t="str">
        <f t="shared" si="7"/>
        <v>6-22-318</v>
      </c>
      <c r="G503">
        <v>502</v>
      </c>
    </row>
    <row r="504" spans="1:7">
      <c r="A504" s="31" t="s">
        <v>377</v>
      </c>
      <c r="B504">
        <v>2</v>
      </c>
      <c r="C504">
        <v>6</v>
      </c>
      <c r="D504">
        <v>22</v>
      </c>
      <c r="E504">
        <f>VLOOKUP(A504,Elements!$A$2:$B$435,2,0)</f>
        <v>319</v>
      </c>
      <c r="F504" t="str">
        <f t="shared" si="7"/>
        <v>6-22-319</v>
      </c>
      <c r="G504">
        <v>503</v>
      </c>
    </row>
    <row r="505" spans="1:7">
      <c r="A505" s="31" t="s">
        <v>378</v>
      </c>
      <c r="B505">
        <v>2</v>
      </c>
      <c r="C505">
        <v>6</v>
      </c>
      <c r="D505">
        <v>23</v>
      </c>
      <c r="E505">
        <f>VLOOKUP(A505,Elements!$A$2:$B$435,2,0)</f>
        <v>320</v>
      </c>
      <c r="F505" t="str">
        <f t="shared" si="7"/>
        <v>6-23-320</v>
      </c>
      <c r="G505">
        <v>504</v>
      </c>
    </row>
    <row r="506" spans="1:7">
      <c r="A506" s="31" t="s">
        <v>165</v>
      </c>
      <c r="B506">
        <v>2</v>
      </c>
      <c r="C506">
        <v>6</v>
      </c>
      <c r="D506">
        <v>23</v>
      </c>
      <c r="E506">
        <f>VLOOKUP(A506,Elements!$A$2:$B$435,2,0)</f>
        <v>130</v>
      </c>
      <c r="F506" t="str">
        <f t="shared" si="7"/>
        <v>6-23-130</v>
      </c>
      <c r="G506">
        <v>505</v>
      </c>
    </row>
    <row r="507" spans="1:7">
      <c r="A507" s="31" t="s">
        <v>379</v>
      </c>
      <c r="B507">
        <v>2</v>
      </c>
      <c r="C507">
        <v>6</v>
      </c>
      <c r="D507">
        <v>23</v>
      </c>
      <c r="E507">
        <f>VLOOKUP(A507,Elements!$A$2:$B$435,2,0)</f>
        <v>131</v>
      </c>
      <c r="F507" t="str">
        <f t="shared" si="7"/>
        <v>6-23-131</v>
      </c>
      <c r="G507">
        <v>506</v>
      </c>
    </row>
    <row r="508" spans="1:7">
      <c r="A508" s="31" t="s">
        <v>380</v>
      </c>
      <c r="B508">
        <v>2</v>
      </c>
      <c r="C508">
        <v>6</v>
      </c>
      <c r="D508">
        <v>23</v>
      </c>
      <c r="E508">
        <f>VLOOKUP(A508,Elements!$A$2:$B$435,2,0)</f>
        <v>321</v>
      </c>
      <c r="F508" t="str">
        <f t="shared" si="7"/>
        <v>6-23-321</v>
      </c>
      <c r="G508">
        <v>507</v>
      </c>
    </row>
    <row r="509" spans="1:7">
      <c r="A509" s="31" t="s">
        <v>381</v>
      </c>
      <c r="B509">
        <v>2</v>
      </c>
      <c r="C509">
        <v>6</v>
      </c>
      <c r="D509">
        <v>23</v>
      </c>
      <c r="E509">
        <f>VLOOKUP(A509,Elements!$A$2:$B$435,2,0)</f>
        <v>322</v>
      </c>
      <c r="F509" t="str">
        <f t="shared" si="7"/>
        <v>6-23-322</v>
      </c>
      <c r="G509">
        <v>508</v>
      </c>
    </row>
    <row r="510" spans="1:7">
      <c r="A510" s="31" t="s">
        <v>382</v>
      </c>
      <c r="B510">
        <v>2</v>
      </c>
      <c r="C510">
        <v>6</v>
      </c>
      <c r="D510">
        <v>23</v>
      </c>
      <c r="E510">
        <f>VLOOKUP(A510,Elements!$A$2:$B$435,2,0)</f>
        <v>323</v>
      </c>
      <c r="F510" t="str">
        <f t="shared" si="7"/>
        <v>6-23-323</v>
      </c>
      <c r="G510">
        <v>509</v>
      </c>
    </row>
    <row r="511" spans="1:7">
      <c r="A511" s="31" t="s">
        <v>383</v>
      </c>
      <c r="B511">
        <v>2</v>
      </c>
      <c r="C511">
        <v>6</v>
      </c>
      <c r="D511">
        <v>23</v>
      </c>
      <c r="E511">
        <f>VLOOKUP(A511,Elements!$A$2:$B$435,2,0)</f>
        <v>324</v>
      </c>
      <c r="F511" t="str">
        <f t="shared" si="7"/>
        <v>6-23-324</v>
      </c>
      <c r="G511">
        <v>510</v>
      </c>
    </row>
    <row r="512" spans="1:7">
      <c r="A512" s="31" t="s">
        <v>384</v>
      </c>
      <c r="B512">
        <v>2</v>
      </c>
      <c r="C512">
        <v>6</v>
      </c>
      <c r="D512">
        <v>23</v>
      </c>
      <c r="E512">
        <f>VLOOKUP(A512,Elements!$A$2:$B$435,2,0)</f>
        <v>325</v>
      </c>
      <c r="F512" t="str">
        <f t="shared" si="7"/>
        <v>6-23-325</v>
      </c>
      <c r="G512">
        <v>511</v>
      </c>
    </row>
    <row r="513" spans="1:7">
      <c r="A513" s="31" t="s">
        <v>385</v>
      </c>
      <c r="B513">
        <v>2</v>
      </c>
      <c r="C513">
        <v>6</v>
      </c>
      <c r="D513">
        <v>23</v>
      </c>
      <c r="E513">
        <f>VLOOKUP(A513,Elements!$A$2:$B$435,2,0)</f>
        <v>326</v>
      </c>
      <c r="F513" t="str">
        <f t="shared" si="7"/>
        <v>6-23-326</v>
      </c>
      <c r="G513">
        <v>512</v>
      </c>
    </row>
    <row r="514" spans="1:7">
      <c r="A514" s="31" t="s">
        <v>386</v>
      </c>
      <c r="B514">
        <v>2</v>
      </c>
      <c r="C514">
        <v>6</v>
      </c>
      <c r="D514">
        <v>23</v>
      </c>
      <c r="E514">
        <f>VLOOKUP(A514,Elements!$A$2:$B$435,2,0)</f>
        <v>327</v>
      </c>
      <c r="F514" t="str">
        <f t="shared" ref="F514:F577" si="8">_xlfn.CONCAT(C514,"-",D514,"-",E514)</f>
        <v>6-23-327</v>
      </c>
      <c r="G514">
        <v>513</v>
      </c>
    </row>
    <row r="515" spans="1:7">
      <c r="A515" s="31" t="s">
        <v>387</v>
      </c>
      <c r="B515">
        <v>2</v>
      </c>
      <c r="C515">
        <v>6</v>
      </c>
      <c r="D515">
        <v>23</v>
      </c>
      <c r="E515">
        <f>VLOOKUP(A515,Elements!$A$2:$B$435,2,0)</f>
        <v>328</v>
      </c>
      <c r="F515" t="str">
        <f t="shared" si="8"/>
        <v>6-23-328</v>
      </c>
      <c r="G515">
        <v>514</v>
      </c>
    </row>
    <row r="516" spans="1:7">
      <c r="A516" s="31" t="s">
        <v>388</v>
      </c>
      <c r="B516">
        <v>2</v>
      </c>
      <c r="C516">
        <v>6</v>
      </c>
      <c r="D516">
        <v>23</v>
      </c>
      <c r="E516">
        <f>VLOOKUP(A516,Elements!$A$2:$B$435,2,0)</f>
        <v>329</v>
      </c>
      <c r="F516" t="str">
        <f t="shared" si="8"/>
        <v>6-23-329</v>
      </c>
      <c r="G516">
        <v>515</v>
      </c>
    </row>
    <row r="517" spans="1:7">
      <c r="A517" s="31" t="s">
        <v>389</v>
      </c>
      <c r="B517">
        <v>2</v>
      </c>
      <c r="C517">
        <v>6</v>
      </c>
      <c r="D517">
        <v>23</v>
      </c>
      <c r="E517">
        <f>VLOOKUP(A517,Elements!$A$2:$B$435,2,0)</f>
        <v>330</v>
      </c>
      <c r="F517" t="str">
        <f t="shared" si="8"/>
        <v>6-23-330</v>
      </c>
      <c r="G517">
        <v>516</v>
      </c>
    </row>
    <row r="518" spans="1:7">
      <c r="A518" s="31" t="s">
        <v>390</v>
      </c>
      <c r="B518">
        <v>2</v>
      </c>
      <c r="C518">
        <v>6</v>
      </c>
      <c r="D518">
        <v>23</v>
      </c>
      <c r="E518">
        <f>VLOOKUP(A518,Elements!$A$2:$B$435,2,0)</f>
        <v>331</v>
      </c>
      <c r="F518" t="str">
        <f t="shared" si="8"/>
        <v>6-23-331</v>
      </c>
      <c r="G518">
        <v>517</v>
      </c>
    </row>
    <row r="519" spans="1:7">
      <c r="A519" s="31" t="s">
        <v>391</v>
      </c>
      <c r="B519">
        <v>2</v>
      </c>
      <c r="C519">
        <v>6</v>
      </c>
      <c r="D519">
        <v>23</v>
      </c>
      <c r="E519">
        <f>VLOOKUP(A519,Elements!$A$2:$B$435,2,0)</f>
        <v>332</v>
      </c>
      <c r="F519" t="str">
        <f t="shared" si="8"/>
        <v>6-23-332</v>
      </c>
      <c r="G519">
        <v>518</v>
      </c>
    </row>
    <row r="520" spans="1:7">
      <c r="A520" s="31" t="s">
        <v>392</v>
      </c>
      <c r="B520">
        <v>2</v>
      </c>
      <c r="C520">
        <v>6</v>
      </c>
      <c r="D520">
        <v>23</v>
      </c>
      <c r="E520">
        <f>VLOOKUP(A520,Elements!$A$2:$B$435,2,0)</f>
        <v>333</v>
      </c>
      <c r="F520" t="str">
        <f t="shared" si="8"/>
        <v>6-23-333</v>
      </c>
      <c r="G520">
        <v>519</v>
      </c>
    </row>
    <row r="521" spans="1:7">
      <c r="A521" s="31" t="s">
        <v>393</v>
      </c>
      <c r="B521">
        <v>2</v>
      </c>
      <c r="C521">
        <v>6</v>
      </c>
      <c r="D521">
        <v>23</v>
      </c>
      <c r="E521">
        <f>VLOOKUP(A521,Elements!$A$2:$B$435,2,0)</f>
        <v>334</v>
      </c>
      <c r="F521" t="str">
        <f t="shared" si="8"/>
        <v>6-23-334</v>
      </c>
      <c r="G521">
        <v>520</v>
      </c>
    </row>
    <row r="522" spans="1:7">
      <c r="A522" s="31" t="s">
        <v>394</v>
      </c>
      <c r="B522">
        <v>2</v>
      </c>
      <c r="C522">
        <v>6</v>
      </c>
      <c r="D522">
        <v>23</v>
      </c>
      <c r="E522">
        <f>VLOOKUP(A522,Elements!$A$2:$B$435,2,0)</f>
        <v>335</v>
      </c>
      <c r="F522" t="str">
        <f t="shared" si="8"/>
        <v>6-23-335</v>
      </c>
      <c r="G522">
        <v>521</v>
      </c>
    </row>
    <row r="523" spans="1:7">
      <c r="A523" s="31" t="s">
        <v>395</v>
      </c>
      <c r="B523">
        <v>2</v>
      </c>
      <c r="C523">
        <v>6</v>
      </c>
      <c r="D523">
        <v>23</v>
      </c>
      <c r="E523">
        <f>VLOOKUP(A523,Elements!$A$2:$B$435,2,0)</f>
        <v>336</v>
      </c>
      <c r="F523" t="str">
        <f t="shared" si="8"/>
        <v>6-23-336</v>
      </c>
      <c r="G523">
        <v>522</v>
      </c>
    </row>
    <row r="524" spans="1:7">
      <c r="A524" s="31" t="s">
        <v>396</v>
      </c>
      <c r="B524">
        <v>2</v>
      </c>
      <c r="C524">
        <v>6</v>
      </c>
      <c r="D524">
        <v>23</v>
      </c>
      <c r="E524">
        <f>VLOOKUP(A524,Elements!$A$2:$B$435,2,0)</f>
        <v>337</v>
      </c>
      <c r="F524" t="str">
        <f t="shared" si="8"/>
        <v>6-23-337</v>
      </c>
      <c r="G524">
        <v>523</v>
      </c>
    </row>
    <row r="525" spans="1:7">
      <c r="A525" s="31" t="s">
        <v>397</v>
      </c>
      <c r="B525">
        <v>2</v>
      </c>
      <c r="C525">
        <v>6</v>
      </c>
      <c r="D525">
        <v>23</v>
      </c>
      <c r="E525">
        <f>VLOOKUP(A525,Elements!$A$2:$B$435,2,0)</f>
        <v>338</v>
      </c>
      <c r="F525" t="str">
        <f t="shared" si="8"/>
        <v>6-23-338</v>
      </c>
      <c r="G525">
        <v>524</v>
      </c>
    </row>
    <row r="526" spans="1:7">
      <c r="A526" s="31" t="s">
        <v>398</v>
      </c>
      <c r="B526">
        <v>2</v>
      </c>
      <c r="C526">
        <v>6</v>
      </c>
      <c r="D526">
        <v>23</v>
      </c>
      <c r="E526">
        <f>VLOOKUP(A526,Elements!$A$2:$B$435,2,0)</f>
        <v>339</v>
      </c>
      <c r="F526" t="str">
        <f t="shared" si="8"/>
        <v>6-23-339</v>
      </c>
      <c r="G526">
        <v>525</v>
      </c>
    </row>
    <row r="527" spans="1:7">
      <c r="A527" s="31" t="s">
        <v>399</v>
      </c>
      <c r="B527">
        <v>2</v>
      </c>
      <c r="C527">
        <v>6</v>
      </c>
      <c r="D527">
        <v>23</v>
      </c>
      <c r="E527">
        <f>VLOOKUP(A527,Elements!$A$2:$B$435,2,0)</f>
        <v>161</v>
      </c>
      <c r="F527" t="str">
        <f t="shared" si="8"/>
        <v>6-23-161</v>
      </c>
      <c r="G527">
        <v>526</v>
      </c>
    </row>
    <row r="528" spans="1:7">
      <c r="A528" s="31" t="s">
        <v>400</v>
      </c>
      <c r="B528">
        <v>2</v>
      </c>
      <c r="C528">
        <v>6</v>
      </c>
      <c r="D528">
        <v>23</v>
      </c>
      <c r="E528">
        <f>VLOOKUP(A528,Elements!$A$2:$B$435,2,0)</f>
        <v>340</v>
      </c>
      <c r="F528" t="str">
        <f t="shared" si="8"/>
        <v>6-23-340</v>
      </c>
      <c r="G528">
        <v>527</v>
      </c>
    </row>
    <row r="529" spans="1:7">
      <c r="A529" s="32" t="s">
        <v>405</v>
      </c>
      <c r="B529">
        <v>2</v>
      </c>
      <c r="C529">
        <v>6</v>
      </c>
      <c r="D529">
        <v>24</v>
      </c>
      <c r="E529">
        <f>VLOOKUP(A529,Elements!$A$2:$B$435,2,0)</f>
        <v>341</v>
      </c>
      <c r="F529" t="str">
        <f t="shared" si="8"/>
        <v>6-24-341</v>
      </c>
      <c r="G529">
        <v>528</v>
      </c>
    </row>
    <row r="530" spans="1:7">
      <c r="A530" s="32" t="s">
        <v>406</v>
      </c>
      <c r="B530">
        <v>2</v>
      </c>
      <c r="C530">
        <v>6</v>
      </c>
      <c r="D530">
        <v>24</v>
      </c>
      <c r="E530">
        <f>VLOOKUP(A530,Elements!$A$2:$B$435,2,0)</f>
        <v>342</v>
      </c>
      <c r="F530" t="str">
        <f t="shared" si="8"/>
        <v>6-24-342</v>
      </c>
      <c r="G530">
        <v>529</v>
      </c>
    </row>
    <row r="531" spans="1:7">
      <c r="A531" s="32" t="s">
        <v>407</v>
      </c>
      <c r="B531">
        <v>2</v>
      </c>
      <c r="C531">
        <v>6</v>
      </c>
      <c r="D531">
        <v>24</v>
      </c>
      <c r="E531">
        <f>VLOOKUP(A531,Elements!$A$2:$B$435,2,0)</f>
        <v>343</v>
      </c>
      <c r="F531" t="str">
        <f t="shared" si="8"/>
        <v>6-24-343</v>
      </c>
      <c r="G531">
        <v>530</v>
      </c>
    </row>
    <row r="532" spans="1:7">
      <c r="A532" s="32" t="s">
        <v>408</v>
      </c>
      <c r="B532">
        <v>2</v>
      </c>
      <c r="C532">
        <v>6</v>
      </c>
      <c r="D532">
        <v>24</v>
      </c>
      <c r="E532">
        <f>VLOOKUP(A532,Elements!$A$2:$B$435,2,0)</f>
        <v>344</v>
      </c>
      <c r="F532" t="str">
        <f t="shared" si="8"/>
        <v>6-24-344</v>
      </c>
      <c r="G532">
        <v>531</v>
      </c>
    </row>
    <row r="533" spans="1:7">
      <c r="A533" s="32" t="s">
        <v>409</v>
      </c>
      <c r="B533">
        <v>2</v>
      </c>
      <c r="C533">
        <v>6</v>
      </c>
      <c r="D533">
        <v>24</v>
      </c>
      <c r="E533">
        <f>VLOOKUP(A533,Elements!$A$2:$B$435,2,0)</f>
        <v>345</v>
      </c>
      <c r="F533" t="str">
        <f t="shared" si="8"/>
        <v>6-24-345</v>
      </c>
      <c r="G533">
        <v>532</v>
      </c>
    </row>
    <row r="534" spans="1:7">
      <c r="A534" s="33" t="s">
        <v>410</v>
      </c>
      <c r="B534">
        <v>2</v>
      </c>
      <c r="C534">
        <v>6</v>
      </c>
      <c r="D534">
        <v>24</v>
      </c>
      <c r="E534">
        <f>VLOOKUP(A534,Elements!$A$2:$B$435,2,0)</f>
        <v>346</v>
      </c>
      <c r="F534" t="str">
        <f t="shared" si="8"/>
        <v>6-24-346</v>
      </c>
      <c r="G534">
        <v>533</v>
      </c>
    </row>
    <row r="535" spans="1:7">
      <c r="A535" s="33" t="s">
        <v>411</v>
      </c>
      <c r="B535">
        <v>2</v>
      </c>
      <c r="C535">
        <v>6</v>
      </c>
      <c r="D535">
        <v>24</v>
      </c>
      <c r="E535">
        <f>VLOOKUP(A535,Elements!$A$2:$B$435,2,0)</f>
        <v>347</v>
      </c>
      <c r="F535" t="str">
        <f t="shared" si="8"/>
        <v>6-24-347</v>
      </c>
      <c r="G535">
        <v>534</v>
      </c>
    </row>
    <row r="536" spans="1:7">
      <c r="A536" s="33" t="s">
        <v>412</v>
      </c>
      <c r="B536">
        <v>2</v>
      </c>
      <c r="C536">
        <v>6</v>
      </c>
      <c r="D536">
        <v>24</v>
      </c>
      <c r="E536">
        <f>VLOOKUP(A536,Elements!$A$2:$B$435,2,0)</f>
        <v>348</v>
      </c>
      <c r="F536" t="str">
        <f t="shared" si="8"/>
        <v>6-24-348</v>
      </c>
      <c r="G536">
        <v>535</v>
      </c>
    </row>
    <row r="537" spans="1:7">
      <c r="A537" s="33" t="s">
        <v>262</v>
      </c>
      <c r="B537">
        <v>2</v>
      </c>
      <c r="C537">
        <v>6</v>
      </c>
      <c r="D537">
        <v>24</v>
      </c>
      <c r="E537">
        <f>VLOOKUP(A537,Elements!$A$2:$B$435,2,0)</f>
        <v>218</v>
      </c>
      <c r="F537" t="str">
        <f t="shared" si="8"/>
        <v>6-24-218</v>
      </c>
      <c r="G537">
        <v>536</v>
      </c>
    </row>
    <row r="538" spans="1:7">
      <c r="A538" s="33" t="s">
        <v>413</v>
      </c>
      <c r="B538">
        <v>2</v>
      </c>
      <c r="C538">
        <v>6</v>
      </c>
      <c r="D538">
        <v>24</v>
      </c>
      <c r="E538">
        <f>VLOOKUP(A538,Elements!$A$2:$B$435,2,0)</f>
        <v>349</v>
      </c>
      <c r="F538" t="str">
        <f t="shared" si="8"/>
        <v>6-24-349</v>
      </c>
      <c r="G538">
        <v>537</v>
      </c>
    </row>
    <row r="539" spans="1:7">
      <c r="A539" s="34" t="s">
        <v>414</v>
      </c>
      <c r="B539">
        <v>2</v>
      </c>
      <c r="C539">
        <v>6</v>
      </c>
      <c r="D539">
        <v>24</v>
      </c>
      <c r="E539">
        <f>VLOOKUP(A539,Elements!$A$2:$B$435,2,0)</f>
        <v>350</v>
      </c>
      <c r="F539" t="str">
        <f t="shared" si="8"/>
        <v>6-24-350</v>
      </c>
      <c r="G539">
        <v>538</v>
      </c>
    </row>
    <row r="540" spans="1:7">
      <c r="A540" s="34" t="s">
        <v>415</v>
      </c>
      <c r="B540">
        <v>2</v>
      </c>
      <c r="C540">
        <v>6</v>
      </c>
      <c r="D540">
        <v>24</v>
      </c>
      <c r="E540">
        <f>VLOOKUP(A540,Elements!$A$2:$B$435,2,0)</f>
        <v>351</v>
      </c>
      <c r="F540" t="str">
        <f t="shared" si="8"/>
        <v>6-24-351</v>
      </c>
      <c r="G540">
        <v>539</v>
      </c>
    </row>
    <row r="541" spans="1:7">
      <c r="A541" s="34" t="s">
        <v>416</v>
      </c>
      <c r="B541">
        <v>2</v>
      </c>
      <c r="C541">
        <v>6</v>
      </c>
      <c r="D541">
        <v>24</v>
      </c>
      <c r="E541">
        <f>VLOOKUP(A541,Elements!$A$2:$B$435,2,0)</f>
        <v>352</v>
      </c>
      <c r="F541" t="str">
        <f t="shared" si="8"/>
        <v>6-24-352</v>
      </c>
      <c r="G541">
        <v>540</v>
      </c>
    </row>
    <row r="542" spans="1:7">
      <c r="A542" s="34" t="s">
        <v>417</v>
      </c>
      <c r="B542">
        <v>2</v>
      </c>
      <c r="C542">
        <v>6</v>
      </c>
      <c r="D542">
        <v>24</v>
      </c>
      <c r="E542">
        <f>VLOOKUP(A542,Elements!$A$2:$B$435,2,0)</f>
        <v>353</v>
      </c>
      <c r="F542" t="str">
        <f t="shared" si="8"/>
        <v>6-24-353</v>
      </c>
      <c r="G542">
        <v>541</v>
      </c>
    </row>
    <row r="543" spans="1:7">
      <c r="A543" s="33" t="s">
        <v>418</v>
      </c>
      <c r="B543">
        <v>2</v>
      </c>
      <c r="C543">
        <v>6</v>
      </c>
      <c r="D543">
        <v>24</v>
      </c>
      <c r="E543">
        <f>VLOOKUP(A543,Elements!$A$2:$B$435,2,0)</f>
        <v>354</v>
      </c>
      <c r="F543" t="str">
        <f t="shared" si="8"/>
        <v>6-24-354</v>
      </c>
      <c r="G543">
        <v>542</v>
      </c>
    </row>
    <row r="544" spans="1:7">
      <c r="A544" s="33" t="s">
        <v>419</v>
      </c>
      <c r="B544">
        <v>2</v>
      </c>
      <c r="C544">
        <v>6</v>
      </c>
      <c r="D544">
        <v>24</v>
      </c>
      <c r="E544">
        <f>VLOOKUP(A544,Elements!$A$2:$B$435,2,0)</f>
        <v>355</v>
      </c>
      <c r="F544" t="str">
        <f t="shared" si="8"/>
        <v>6-24-355</v>
      </c>
      <c r="G544">
        <v>543</v>
      </c>
    </row>
    <row r="545" spans="1:7">
      <c r="A545" s="33" t="s">
        <v>420</v>
      </c>
      <c r="B545">
        <v>2</v>
      </c>
      <c r="C545">
        <v>6</v>
      </c>
      <c r="D545">
        <v>24</v>
      </c>
      <c r="E545">
        <f>VLOOKUP(A545,Elements!$A$2:$B$435,2,0)</f>
        <v>356</v>
      </c>
      <c r="F545" t="str">
        <f t="shared" si="8"/>
        <v>6-24-356</v>
      </c>
      <c r="G545">
        <v>544</v>
      </c>
    </row>
    <row r="546" spans="1:7">
      <c r="A546" s="32" t="s">
        <v>421</v>
      </c>
      <c r="B546">
        <v>2</v>
      </c>
      <c r="C546">
        <v>6</v>
      </c>
      <c r="D546">
        <v>24</v>
      </c>
      <c r="E546">
        <f>VLOOKUP(A546,Elements!$A$2:$B$435,2,0)</f>
        <v>357</v>
      </c>
      <c r="F546" t="str">
        <f t="shared" si="8"/>
        <v>6-24-357</v>
      </c>
      <c r="G546">
        <v>545</v>
      </c>
    </row>
    <row r="547" spans="1:7">
      <c r="A547" s="35" t="s">
        <v>261</v>
      </c>
      <c r="B547">
        <v>2</v>
      </c>
      <c r="C547">
        <v>6</v>
      </c>
      <c r="D547">
        <v>24</v>
      </c>
      <c r="E547">
        <f>VLOOKUP(A547,Elements!$A$2:$B$435,2,0)</f>
        <v>358</v>
      </c>
      <c r="F547" t="str">
        <f t="shared" si="8"/>
        <v>6-24-358</v>
      </c>
      <c r="G547">
        <v>546</v>
      </c>
    </row>
    <row r="548" spans="1:7">
      <c r="A548" s="35" t="s">
        <v>422</v>
      </c>
      <c r="B548">
        <v>2</v>
      </c>
      <c r="C548">
        <v>6</v>
      </c>
      <c r="D548">
        <v>24</v>
      </c>
      <c r="E548">
        <f>VLOOKUP(A548,Elements!$A$2:$B$435,2,0)</f>
        <v>359</v>
      </c>
      <c r="F548" t="str">
        <f t="shared" si="8"/>
        <v>6-24-359</v>
      </c>
      <c r="G548">
        <v>547</v>
      </c>
    </row>
    <row r="549" spans="1:7">
      <c r="A549" s="35" t="s">
        <v>423</v>
      </c>
      <c r="B549">
        <v>2</v>
      </c>
      <c r="C549">
        <v>6</v>
      </c>
      <c r="D549">
        <v>24</v>
      </c>
      <c r="E549">
        <f>VLOOKUP(A549,Elements!$A$2:$B$435,2,0)</f>
        <v>360</v>
      </c>
      <c r="F549" t="str">
        <f t="shared" si="8"/>
        <v>6-24-360</v>
      </c>
      <c r="G549">
        <v>548</v>
      </c>
    </row>
    <row r="550" spans="1:7">
      <c r="A550" s="35" t="s">
        <v>424</v>
      </c>
      <c r="B550">
        <v>2</v>
      </c>
      <c r="C550">
        <v>6</v>
      </c>
      <c r="D550">
        <v>24</v>
      </c>
      <c r="E550">
        <f>VLOOKUP(A550,Elements!$A$2:$B$435,2,0)</f>
        <v>361</v>
      </c>
      <c r="F550" t="str">
        <f t="shared" si="8"/>
        <v>6-24-361</v>
      </c>
      <c r="G550">
        <v>549</v>
      </c>
    </row>
    <row r="551" spans="1:7">
      <c r="A551" s="35" t="s">
        <v>265</v>
      </c>
      <c r="B551">
        <v>2</v>
      </c>
      <c r="C551">
        <v>6</v>
      </c>
      <c r="D551">
        <v>24</v>
      </c>
      <c r="E551">
        <f>VLOOKUP(A551,Elements!$A$2:$B$435,2,0)</f>
        <v>221</v>
      </c>
      <c r="F551" t="str">
        <f t="shared" si="8"/>
        <v>6-24-221</v>
      </c>
      <c r="G551">
        <v>550</v>
      </c>
    </row>
    <row r="552" spans="1:7">
      <c r="A552" s="34" t="s">
        <v>425</v>
      </c>
      <c r="B552">
        <v>2</v>
      </c>
      <c r="C552">
        <v>6</v>
      </c>
      <c r="D552">
        <v>24</v>
      </c>
      <c r="E552">
        <f>VLOOKUP(A552,Elements!$A$2:$B$435,2,0)</f>
        <v>362</v>
      </c>
      <c r="F552" t="str">
        <f t="shared" si="8"/>
        <v>6-24-362</v>
      </c>
      <c r="G552">
        <v>551</v>
      </c>
    </row>
    <row r="553" spans="1:7">
      <c r="A553" s="34" t="s">
        <v>426</v>
      </c>
      <c r="B553">
        <v>2</v>
      </c>
      <c r="C553">
        <v>6</v>
      </c>
      <c r="D553">
        <v>24</v>
      </c>
      <c r="E553">
        <f>VLOOKUP(A553,Elements!$A$2:$B$435,2,0)</f>
        <v>363</v>
      </c>
      <c r="F553" t="str">
        <f t="shared" si="8"/>
        <v>6-24-363</v>
      </c>
      <c r="G553">
        <v>552</v>
      </c>
    </row>
    <row r="554" spans="1:7">
      <c r="A554" s="34" t="s">
        <v>427</v>
      </c>
      <c r="B554">
        <v>2</v>
      </c>
      <c r="C554">
        <v>6</v>
      </c>
      <c r="D554">
        <v>24</v>
      </c>
      <c r="E554">
        <f>VLOOKUP(A554,Elements!$A$2:$B$435,2,0)</f>
        <v>364</v>
      </c>
      <c r="F554" t="str">
        <f t="shared" si="8"/>
        <v>6-24-364</v>
      </c>
      <c r="G554">
        <v>553</v>
      </c>
    </row>
    <row r="555" spans="1:7">
      <c r="A555" s="34" t="s">
        <v>428</v>
      </c>
      <c r="B555">
        <v>2</v>
      </c>
      <c r="C555">
        <v>6</v>
      </c>
      <c r="D555">
        <v>24</v>
      </c>
      <c r="E555">
        <f>VLOOKUP(A555,Elements!$A$2:$B$435,2,0)</f>
        <v>365</v>
      </c>
      <c r="F555" t="str">
        <f t="shared" si="8"/>
        <v>6-24-365</v>
      </c>
      <c r="G555">
        <v>554</v>
      </c>
    </row>
    <row r="556" spans="1:7">
      <c r="A556" s="34" t="s">
        <v>429</v>
      </c>
      <c r="B556">
        <v>2</v>
      </c>
      <c r="C556">
        <v>6</v>
      </c>
      <c r="D556">
        <v>24</v>
      </c>
      <c r="E556">
        <f>VLOOKUP(A556,Elements!$A$2:$B$435,2,0)</f>
        <v>366</v>
      </c>
      <c r="F556" t="str">
        <f t="shared" si="8"/>
        <v>6-24-366</v>
      </c>
      <c r="G556">
        <v>555</v>
      </c>
    </row>
    <row r="557" spans="1:7">
      <c r="A557" s="33" t="s">
        <v>32</v>
      </c>
      <c r="B557">
        <v>2</v>
      </c>
      <c r="C557">
        <v>6</v>
      </c>
      <c r="D557">
        <v>24</v>
      </c>
      <c r="E557">
        <f>VLOOKUP(A557,Elements!$A$2:$B$435,2,0)</f>
        <v>32</v>
      </c>
      <c r="F557" t="str">
        <f t="shared" si="8"/>
        <v>6-24-32</v>
      </c>
      <c r="G557">
        <v>556</v>
      </c>
    </row>
    <row r="558" spans="1:7">
      <c r="A558" s="33" t="s">
        <v>181</v>
      </c>
      <c r="B558">
        <v>2</v>
      </c>
      <c r="C558">
        <v>6</v>
      </c>
      <c r="D558">
        <v>24</v>
      </c>
      <c r="E558">
        <f>VLOOKUP(A558,Elements!$A$2:$B$435,2,0)</f>
        <v>146</v>
      </c>
      <c r="F558" t="str">
        <f t="shared" si="8"/>
        <v>6-24-146</v>
      </c>
      <c r="G558">
        <v>557</v>
      </c>
    </row>
    <row r="559" spans="1:7">
      <c r="A559" s="33" t="s">
        <v>430</v>
      </c>
      <c r="B559">
        <v>2</v>
      </c>
      <c r="C559">
        <v>6</v>
      </c>
      <c r="D559">
        <v>24</v>
      </c>
      <c r="E559">
        <f>VLOOKUP(A559,Elements!$A$2:$B$435,2,0)</f>
        <v>367</v>
      </c>
      <c r="F559" t="str">
        <f t="shared" si="8"/>
        <v>6-24-367</v>
      </c>
      <c r="G559">
        <v>558</v>
      </c>
    </row>
    <row r="560" spans="1:7">
      <c r="A560" s="33" t="s">
        <v>431</v>
      </c>
      <c r="B560">
        <v>2</v>
      </c>
      <c r="C560">
        <v>6</v>
      </c>
      <c r="D560">
        <v>24</v>
      </c>
      <c r="E560">
        <f>VLOOKUP(A560,Elements!$A$2:$B$435,2,0)</f>
        <v>368</v>
      </c>
      <c r="F560" t="str">
        <f t="shared" si="8"/>
        <v>6-24-368</v>
      </c>
      <c r="G560">
        <v>559</v>
      </c>
    </row>
    <row r="561" spans="1:7">
      <c r="A561" s="33" t="s">
        <v>432</v>
      </c>
      <c r="B561">
        <v>2</v>
      </c>
      <c r="C561">
        <v>6</v>
      </c>
      <c r="D561">
        <v>24</v>
      </c>
      <c r="E561">
        <f>VLOOKUP(A561,Elements!$A$2:$B$435,2,0)</f>
        <v>369</v>
      </c>
      <c r="F561" t="str">
        <f t="shared" si="8"/>
        <v>6-24-369</v>
      </c>
      <c r="G561">
        <v>560</v>
      </c>
    </row>
    <row r="562" spans="1:7">
      <c r="A562" s="35" t="s">
        <v>433</v>
      </c>
      <c r="B562">
        <v>2</v>
      </c>
      <c r="C562">
        <v>6</v>
      </c>
      <c r="D562">
        <v>24</v>
      </c>
      <c r="E562">
        <f>VLOOKUP(A562,Elements!$A$2:$B$435,2,0)</f>
        <v>370</v>
      </c>
      <c r="F562" t="str">
        <f t="shared" si="8"/>
        <v>6-24-370</v>
      </c>
      <c r="G562">
        <v>561</v>
      </c>
    </row>
    <row r="563" spans="1:7">
      <c r="A563" s="31" t="s">
        <v>434</v>
      </c>
      <c r="B563">
        <v>2</v>
      </c>
      <c r="C563">
        <v>6</v>
      </c>
      <c r="D563">
        <v>25</v>
      </c>
      <c r="E563">
        <f>VLOOKUP(A563,Elements!$A$2:$B$435,2,0)</f>
        <v>371</v>
      </c>
      <c r="F563" t="str">
        <f t="shared" si="8"/>
        <v>6-25-371</v>
      </c>
      <c r="G563">
        <v>562</v>
      </c>
    </row>
    <row r="564" spans="1:7">
      <c r="A564" s="31" t="s">
        <v>435</v>
      </c>
      <c r="B564">
        <v>2</v>
      </c>
      <c r="C564">
        <v>6</v>
      </c>
      <c r="D564">
        <v>25</v>
      </c>
      <c r="E564">
        <f>VLOOKUP(A564,Elements!$A$2:$B$435,2,0)</f>
        <v>372</v>
      </c>
      <c r="F564" t="str">
        <f t="shared" si="8"/>
        <v>6-25-372</v>
      </c>
      <c r="G564">
        <v>563</v>
      </c>
    </row>
    <row r="565" spans="1:7">
      <c r="A565" s="31" t="s">
        <v>135</v>
      </c>
      <c r="B565">
        <v>2</v>
      </c>
      <c r="C565">
        <v>6</v>
      </c>
      <c r="D565">
        <v>25</v>
      </c>
      <c r="E565">
        <f>VLOOKUP(A565,Elements!$A$2:$B$435,2,0)</f>
        <v>101</v>
      </c>
      <c r="F565" t="str">
        <f t="shared" si="8"/>
        <v>6-25-101</v>
      </c>
      <c r="G565">
        <v>564</v>
      </c>
    </row>
    <row r="566" spans="1:7">
      <c r="A566" s="31" t="s">
        <v>436</v>
      </c>
      <c r="B566">
        <v>2</v>
      </c>
      <c r="C566">
        <v>6</v>
      </c>
      <c r="D566">
        <v>25</v>
      </c>
      <c r="E566">
        <f>VLOOKUP(A566,Elements!$A$2:$B$435,2,0)</f>
        <v>373</v>
      </c>
      <c r="F566" t="str">
        <f t="shared" si="8"/>
        <v>6-25-373</v>
      </c>
      <c r="G566">
        <v>565</v>
      </c>
    </row>
    <row r="567" spans="1:7">
      <c r="A567" s="31" t="s">
        <v>437</v>
      </c>
      <c r="B567">
        <v>2</v>
      </c>
      <c r="C567">
        <v>6</v>
      </c>
      <c r="D567">
        <v>25</v>
      </c>
      <c r="E567">
        <f>VLOOKUP(A567,Elements!$A$2:$B$435,2,0)</f>
        <v>374</v>
      </c>
      <c r="F567" t="str">
        <f t="shared" si="8"/>
        <v>6-25-374</v>
      </c>
      <c r="G567">
        <v>566</v>
      </c>
    </row>
    <row r="568" spans="1:7">
      <c r="A568" s="31" t="s">
        <v>438</v>
      </c>
      <c r="B568">
        <v>2</v>
      </c>
      <c r="C568">
        <v>6</v>
      </c>
      <c r="D568">
        <v>25</v>
      </c>
      <c r="E568">
        <f>VLOOKUP(A568,Elements!$A$2:$B$435,2,0)</f>
        <v>375</v>
      </c>
      <c r="F568" t="str">
        <f t="shared" si="8"/>
        <v>6-25-375</v>
      </c>
      <c r="G568">
        <v>567</v>
      </c>
    </row>
    <row r="569" spans="1:7">
      <c r="A569" s="31" t="s">
        <v>439</v>
      </c>
      <c r="B569">
        <v>2</v>
      </c>
      <c r="C569">
        <v>6</v>
      </c>
      <c r="D569">
        <v>25</v>
      </c>
      <c r="E569">
        <f>VLOOKUP(A569,Elements!$A$2:$B$435,2,0)</f>
        <v>376</v>
      </c>
      <c r="F569" t="str">
        <f t="shared" si="8"/>
        <v>6-25-376</v>
      </c>
      <c r="G569">
        <v>568</v>
      </c>
    </row>
    <row r="570" spans="1:7">
      <c r="A570" s="31" t="s">
        <v>440</v>
      </c>
      <c r="B570">
        <v>2</v>
      </c>
      <c r="C570">
        <v>6</v>
      </c>
      <c r="D570">
        <v>25</v>
      </c>
      <c r="E570">
        <f>VLOOKUP(A570,Elements!$A$2:$B$435,2,0)</f>
        <v>377</v>
      </c>
      <c r="F570" t="str">
        <f t="shared" si="8"/>
        <v>6-25-377</v>
      </c>
      <c r="G570">
        <v>569</v>
      </c>
    </row>
    <row r="571" spans="1:7">
      <c r="A571" s="31" t="s">
        <v>270</v>
      </c>
      <c r="B571">
        <v>2</v>
      </c>
      <c r="C571">
        <v>6</v>
      </c>
      <c r="D571">
        <v>7</v>
      </c>
      <c r="E571">
        <f>VLOOKUP(A571,Elements!$A$2:$B$435,2,0)</f>
        <v>225</v>
      </c>
      <c r="F571" t="str">
        <f t="shared" si="8"/>
        <v>6-7-225</v>
      </c>
      <c r="G571">
        <v>570</v>
      </c>
    </row>
    <row r="572" spans="1:7">
      <c r="A572" s="31" t="s">
        <v>351</v>
      </c>
      <c r="B572">
        <v>2</v>
      </c>
      <c r="C572">
        <v>6</v>
      </c>
      <c r="D572">
        <v>7</v>
      </c>
      <c r="E572">
        <f>VLOOKUP(A572,Elements!$A$2:$B$435,2,0)</f>
        <v>226</v>
      </c>
      <c r="F572" t="str">
        <f t="shared" si="8"/>
        <v>6-7-226</v>
      </c>
      <c r="G572">
        <v>571</v>
      </c>
    </row>
    <row r="573" spans="1:7">
      <c r="A573" s="31" t="s">
        <v>47</v>
      </c>
      <c r="B573">
        <v>2</v>
      </c>
      <c r="C573">
        <v>6</v>
      </c>
      <c r="D573">
        <v>7</v>
      </c>
      <c r="E573">
        <f>VLOOKUP(A573,Elements!$A$2:$B$435,2,0)</f>
        <v>10</v>
      </c>
      <c r="F573" t="str">
        <f t="shared" si="8"/>
        <v>6-7-10</v>
      </c>
      <c r="G573">
        <v>572</v>
      </c>
    </row>
    <row r="574" spans="1:7">
      <c r="A574" s="31" t="s">
        <v>441</v>
      </c>
      <c r="B574">
        <v>2</v>
      </c>
      <c r="C574">
        <v>6</v>
      </c>
      <c r="D574">
        <v>7</v>
      </c>
      <c r="E574">
        <f>VLOOKUP(A574,Elements!$A$2:$B$435,2,0)</f>
        <v>378</v>
      </c>
      <c r="F574" t="str">
        <f t="shared" si="8"/>
        <v>6-7-378</v>
      </c>
      <c r="G574">
        <v>573</v>
      </c>
    </row>
    <row r="575" spans="1:7">
      <c r="A575" s="31" t="s">
        <v>353</v>
      </c>
      <c r="B575">
        <v>2</v>
      </c>
      <c r="C575">
        <v>6</v>
      </c>
      <c r="D575">
        <v>7</v>
      </c>
      <c r="E575">
        <f>VLOOKUP(A575,Elements!$A$2:$B$435,2,0)</f>
        <v>73</v>
      </c>
      <c r="F575" t="str">
        <f t="shared" si="8"/>
        <v>6-7-73</v>
      </c>
      <c r="G575">
        <v>574</v>
      </c>
    </row>
    <row r="576" spans="1:7">
      <c r="A576" s="31" t="s">
        <v>354</v>
      </c>
      <c r="B576">
        <v>2</v>
      </c>
      <c r="C576">
        <v>6</v>
      </c>
      <c r="D576">
        <v>7</v>
      </c>
      <c r="E576">
        <f>VLOOKUP(A576,Elements!$A$2:$B$435,2,0)</f>
        <v>74</v>
      </c>
      <c r="F576" t="str">
        <f t="shared" si="8"/>
        <v>6-7-74</v>
      </c>
      <c r="G576">
        <v>575</v>
      </c>
    </row>
    <row r="577" spans="1:7">
      <c r="A577" s="31" t="s">
        <v>355</v>
      </c>
      <c r="B577">
        <v>2</v>
      </c>
      <c r="C577">
        <v>6</v>
      </c>
      <c r="D577">
        <v>7</v>
      </c>
      <c r="E577">
        <f>VLOOKUP(A577,Elements!$A$2:$B$435,2,0)</f>
        <v>75</v>
      </c>
      <c r="F577" t="str">
        <f t="shared" si="8"/>
        <v>6-7-75</v>
      </c>
      <c r="G577">
        <v>576</v>
      </c>
    </row>
    <row r="578" spans="1:7">
      <c r="A578" s="31" t="s">
        <v>357</v>
      </c>
      <c r="B578">
        <v>2</v>
      </c>
      <c r="C578">
        <v>6</v>
      </c>
      <c r="D578">
        <v>7</v>
      </c>
      <c r="E578">
        <f>VLOOKUP(A578,Elements!$A$2:$B$435,2,0)</f>
        <v>301</v>
      </c>
      <c r="F578" t="str">
        <f t="shared" ref="F578:F641" si="9">_xlfn.CONCAT(C578,"-",D578,"-",E578)</f>
        <v>6-7-301</v>
      </c>
      <c r="G578">
        <v>577</v>
      </c>
    </row>
    <row r="579" spans="1:7">
      <c r="A579" s="31" t="s">
        <v>112</v>
      </c>
      <c r="B579">
        <v>2</v>
      </c>
      <c r="C579">
        <v>6</v>
      </c>
      <c r="D579">
        <v>7</v>
      </c>
      <c r="E579">
        <f>VLOOKUP(A579,Elements!$A$2:$B$435,2,0)</f>
        <v>78</v>
      </c>
      <c r="F579" t="str">
        <f t="shared" si="9"/>
        <v>6-7-78</v>
      </c>
      <c r="G579">
        <v>578</v>
      </c>
    </row>
    <row r="580" spans="1:7">
      <c r="A580" s="31" t="s">
        <v>114</v>
      </c>
      <c r="B580">
        <v>2</v>
      </c>
      <c r="C580">
        <v>6</v>
      </c>
      <c r="D580">
        <v>7</v>
      </c>
      <c r="E580">
        <f>VLOOKUP(A580,Elements!$A$2:$B$435,2,0)</f>
        <v>80</v>
      </c>
      <c r="F580" t="str">
        <f t="shared" si="9"/>
        <v>6-7-80</v>
      </c>
      <c r="G580">
        <v>579</v>
      </c>
    </row>
    <row r="581" spans="1:7">
      <c r="A581" s="31" t="s">
        <v>115</v>
      </c>
      <c r="B581">
        <v>2</v>
      </c>
      <c r="C581">
        <v>6</v>
      </c>
      <c r="D581">
        <v>7</v>
      </c>
      <c r="E581">
        <f>VLOOKUP(A581,Elements!$A$2:$B$435,2,0)</f>
        <v>81</v>
      </c>
      <c r="F581" t="str">
        <f t="shared" si="9"/>
        <v>6-7-81</v>
      </c>
      <c r="G581">
        <v>580</v>
      </c>
    </row>
    <row r="582" spans="1:7">
      <c r="A582" s="31" t="s">
        <v>116</v>
      </c>
      <c r="B582">
        <v>2</v>
      </c>
      <c r="C582">
        <v>6</v>
      </c>
      <c r="D582">
        <v>7</v>
      </c>
      <c r="E582">
        <f>VLOOKUP(A582,Elements!$A$2:$B$435,2,0)</f>
        <v>82</v>
      </c>
      <c r="F582" t="str">
        <f t="shared" si="9"/>
        <v>6-7-82</v>
      </c>
      <c r="G582">
        <v>581</v>
      </c>
    </row>
    <row r="583" spans="1:7">
      <c r="A583" s="31" t="s">
        <v>279</v>
      </c>
      <c r="B583">
        <v>2</v>
      </c>
      <c r="C583">
        <v>6</v>
      </c>
      <c r="D583">
        <v>7</v>
      </c>
      <c r="E583">
        <f>VLOOKUP(A583,Elements!$A$2:$B$435,2,0)</f>
        <v>234</v>
      </c>
      <c r="F583" t="str">
        <f t="shared" si="9"/>
        <v>6-7-234</v>
      </c>
      <c r="G583">
        <v>582</v>
      </c>
    </row>
    <row r="584" spans="1:7">
      <c r="A584" s="31" t="s">
        <v>442</v>
      </c>
      <c r="B584">
        <v>2</v>
      </c>
      <c r="C584">
        <v>6</v>
      </c>
      <c r="D584">
        <v>6</v>
      </c>
      <c r="E584">
        <f>VLOOKUP(A584,Elements!$A$2:$B$435,2,0)</f>
        <v>379</v>
      </c>
      <c r="F584" t="str">
        <f t="shared" si="9"/>
        <v>6-6-379</v>
      </c>
      <c r="G584">
        <v>583</v>
      </c>
    </row>
    <row r="585" spans="1:7">
      <c r="A585" s="31" t="s">
        <v>443</v>
      </c>
      <c r="B585">
        <v>2</v>
      </c>
      <c r="C585">
        <v>6</v>
      </c>
      <c r="D585">
        <v>6</v>
      </c>
      <c r="E585">
        <f>VLOOKUP(A585,Elements!$A$2:$B$435,2,0)</f>
        <v>380</v>
      </c>
      <c r="F585" t="str">
        <f t="shared" si="9"/>
        <v>6-6-380</v>
      </c>
      <c r="G585">
        <v>584</v>
      </c>
    </row>
    <row r="586" spans="1:7">
      <c r="A586" s="31" t="s">
        <v>444</v>
      </c>
      <c r="B586">
        <v>2</v>
      </c>
      <c r="C586">
        <v>6</v>
      </c>
      <c r="D586">
        <v>6</v>
      </c>
      <c r="E586">
        <f>VLOOKUP(A586,Elements!$A$2:$B$435,2,0)</f>
        <v>381</v>
      </c>
      <c r="F586" t="str">
        <f t="shared" si="9"/>
        <v>6-6-381</v>
      </c>
      <c r="G586">
        <v>585</v>
      </c>
    </row>
    <row r="587" spans="1:7">
      <c r="A587" s="31" t="s">
        <v>445</v>
      </c>
      <c r="B587">
        <v>2</v>
      </c>
      <c r="C587">
        <v>6</v>
      </c>
      <c r="D587">
        <v>6</v>
      </c>
      <c r="E587">
        <f>VLOOKUP(A587,Elements!$A$2:$B$435,2,0)</f>
        <v>382</v>
      </c>
      <c r="F587" t="str">
        <f t="shared" si="9"/>
        <v>6-6-382</v>
      </c>
      <c r="G587">
        <v>586</v>
      </c>
    </row>
    <row r="588" spans="1:7">
      <c r="A588" s="31" t="s">
        <v>362</v>
      </c>
      <c r="B588">
        <v>2</v>
      </c>
      <c r="C588">
        <v>6</v>
      </c>
      <c r="D588">
        <v>6</v>
      </c>
      <c r="E588">
        <f>VLOOKUP(A588,Elements!$A$2:$B$435,2,0)</f>
        <v>65</v>
      </c>
      <c r="F588" t="str">
        <f t="shared" si="9"/>
        <v>6-6-65</v>
      </c>
      <c r="G588">
        <v>587</v>
      </c>
    </row>
    <row r="589" spans="1:7">
      <c r="A589" s="31" t="s">
        <v>285</v>
      </c>
      <c r="B589">
        <v>2</v>
      </c>
      <c r="C589">
        <v>6</v>
      </c>
      <c r="D589">
        <v>6</v>
      </c>
      <c r="E589">
        <f>VLOOKUP(A589,Elements!$A$2:$B$435,2,0)</f>
        <v>240</v>
      </c>
      <c r="F589" t="str">
        <f t="shared" si="9"/>
        <v>6-6-240</v>
      </c>
      <c r="G589">
        <v>588</v>
      </c>
    </row>
    <row r="590" spans="1:7">
      <c r="A590" s="31" t="s">
        <v>286</v>
      </c>
      <c r="B590">
        <v>2</v>
      </c>
      <c r="C590">
        <v>6</v>
      </c>
      <c r="D590">
        <v>6</v>
      </c>
      <c r="E590">
        <f>VLOOKUP(A590,Elements!$A$2:$B$435,2,0)</f>
        <v>66</v>
      </c>
      <c r="F590" t="str">
        <f t="shared" si="9"/>
        <v>6-6-66</v>
      </c>
      <c r="G590">
        <v>589</v>
      </c>
    </row>
    <row r="591" spans="1:7">
      <c r="A591" s="31" t="s">
        <v>287</v>
      </c>
      <c r="B591">
        <v>2</v>
      </c>
      <c r="C591">
        <v>6</v>
      </c>
      <c r="D591">
        <v>6</v>
      </c>
      <c r="E591">
        <f>VLOOKUP(A591,Elements!$A$2:$B$435,2,0)</f>
        <v>241</v>
      </c>
      <c r="F591" t="str">
        <f t="shared" si="9"/>
        <v>6-6-241</v>
      </c>
      <c r="G591">
        <v>590</v>
      </c>
    </row>
    <row r="592" spans="1:7">
      <c r="A592" s="31" t="s">
        <v>93</v>
      </c>
      <c r="B592">
        <v>2</v>
      </c>
      <c r="C592">
        <v>6</v>
      </c>
      <c r="D592">
        <v>8</v>
      </c>
      <c r="E592">
        <f>VLOOKUP(A592,Elements!$A$2:$B$435,2,0)</f>
        <v>55</v>
      </c>
      <c r="F592" t="str">
        <f t="shared" si="9"/>
        <v>6-8-55</v>
      </c>
      <c r="G592">
        <v>591</v>
      </c>
    </row>
    <row r="593" spans="1:7">
      <c r="A593" s="31" t="s">
        <v>446</v>
      </c>
      <c r="B593">
        <v>2</v>
      </c>
      <c r="C593">
        <v>6</v>
      </c>
      <c r="D593">
        <v>8</v>
      </c>
      <c r="E593">
        <f>VLOOKUP(A593,Elements!$A$2:$B$435,2,0)</f>
        <v>383</v>
      </c>
      <c r="F593" t="str">
        <f t="shared" si="9"/>
        <v>6-8-383</v>
      </c>
      <c r="G593">
        <v>592</v>
      </c>
    </row>
    <row r="594" spans="1:7">
      <c r="A594" s="31" t="s">
        <v>447</v>
      </c>
      <c r="B594">
        <v>2</v>
      </c>
      <c r="C594">
        <v>6</v>
      </c>
      <c r="D594">
        <v>8</v>
      </c>
      <c r="E594">
        <f>VLOOKUP(A594,Elements!$A$2:$B$435,2,0)</f>
        <v>384</v>
      </c>
      <c r="F594" t="str">
        <f t="shared" si="9"/>
        <v>6-8-384</v>
      </c>
      <c r="G594">
        <v>593</v>
      </c>
    </row>
    <row r="595" spans="1:7" s="4" customFormat="1" ht="17" thickBot="1">
      <c r="A595" s="158" t="s">
        <v>448</v>
      </c>
      <c r="B595" s="4">
        <v>2</v>
      </c>
      <c r="C595" s="4">
        <v>6</v>
      </c>
      <c r="D595" s="4">
        <v>8</v>
      </c>
      <c r="E595" s="4">
        <f>VLOOKUP(A595,Elements!$A$2:$B$435,2,0)</f>
        <v>385</v>
      </c>
      <c r="F595" s="4" t="str">
        <f t="shared" si="9"/>
        <v>6-8-385</v>
      </c>
      <c r="G595" s="4">
        <v>594</v>
      </c>
    </row>
    <row r="596" spans="1:7">
      <c r="A596" s="24" t="s">
        <v>449</v>
      </c>
      <c r="B596">
        <v>2</v>
      </c>
      <c r="C596">
        <v>7</v>
      </c>
      <c r="D596">
        <v>26</v>
      </c>
      <c r="E596">
        <f>VLOOKUP(A596,Elements!$A$2:$B$435,2,0)</f>
        <v>386</v>
      </c>
      <c r="F596" t="str">
        <f t="shared" si="9"/>
        <v>7-26-386</v>
      </c>
      <c r="G596">
        <v>595</v>
      </c>
    </row>
    <row r="597" spans="1:7">
      <c r="A597" s="24" t="s">
        <v>450</v>
      </c>
      <c r="B597">
        <v>2</v>
      </c>
      <c r="C597">
        <v>7</v>
      </c>
      <c r="D597">
        <v>26</v>
      </c>
      <c r="E597">
        <f>VLOOKUP(A597,Elements!$A$2:$B$435,2,0)</f>
        <v>387</v>
      </c>
      <c r="F597" t="str">
        <f t="shared" si="9"/>
        <v>7-26-387</v>
      </c>
      <c r="G597">
        <v>596</v>
      </c>
    </row>
    <row r="598" spans="1:7">
      <c r="A598" s="24" t="s">
        <v>150</v>
      </c>
      <c r="B598">
        <v>2</v>
      </c>
      <c r="C598">
        <v>7</v>
      </c>
      <c r="D598">
        <v>26</v>
      </c>
      <c r="E598">
        <f>VLOOKUP(A598,Elements!$A$2:$B$435,2,0)</f>
        <v>115</v>
      </c>
      <c r="F598" t="str">
        <f t="shared" ref="F598:F603" si="10">_xlfn.CONCAT(C598,"-",D598,"-",E598)</f>
        <v>7-26-115</v>
      </c>
      <c r="G598">
        <v>597</v>
      </c>
    </row>
    <row r="599" spans="1:7">
      <c r="A599" s="24" t="s">
        <v>246</v>
      </c>
      <c r="B599">
        <v>2</v>
      </c>
      <c r="C599">
        <v>7</v>
      </c>
      <c r="D599">
        <v>26</v>
      </c>
      <c r="E599">
        <f>VLOOKUP(A599,Elements!$A$2:$B$435,2,0)</f>
        <v>206</v>
      </c>
      <c r="F599" t="str">
        <f t="shared" si="10"/>
        <v>7-26-206</v>
      </c>
      <c r="G599">
        <v>598</v>
      </c>
    </row>
    <row r="600" spans="1:7">
      <c r="A600" s="24" t="s">
        <v>461</v>
      </c>
      <c r="B600">
        <v>2</v>
      </c>
      <c r="C600">
        <v>7</v>
      </c>
      <c r="D600">
        <v>26</v>
      </c>
      <c r="E600">
        <f>VLOOKUP(A600,Elements!$A$2:$B$435,2,0)</f>
        <v>397</v>
      </c>
      <c r="F600" t="str">
        <f t="shared" si="10"/>
        <v>7-26-397</v>
      </c>
      <c r="G600">
        <v>599</v>
      </c>
    </row>
    <row r="601" spans="1:7">
      <c r="A601" s="24" t="s">
        <v>462</v>
      </c>
      <c r="B601">
        <v>2</v>
      </c>
      <c r="C601">
        <v>7</v>
      </c>
      <c r="D601">
        <v>26</v>
      </c>
      <c r="E601">
        <f>VLOOKUP(A601,Elements!$A$2:$B$435,2,0)</f>
        <v>398</v>
      </c>
      <c r="F601" t="str">
        <f t="shared" si="10"/>
        <v>7-26-398</v>
      </c>
      <c r="G601">
        <v>600</v>
      </c>
    </row>
    <row r="602" spans="1:7">
      <c r="A602" s="24" t="s">
        <v>463</v>
      </c>
      <c r="B602">
        <v>2</v>
      </c>
      <c r="C602">
        <v>7</v>
      </c>
      <c r="D602">
        <v>26</v>
      </c>
      <c r="E602">
        <f>VLOOKUP(A602,Elements!$A$2:$B$435,2,0)</f>
        <v>399</v>
      </c>
      <c r="F602" t="str">
        <f t="shared" si="10"/>
        <v>7-26-399</v>
      </c>
      <c r="G602">
        <v>601</v>
      </c>
    </row>
    <row r="603" spans="1:7">
      <c r="A603" s="24" t="s">
        <v>464</v>
      </c>
      <c r="B603">
        <v>2</v>
      </c>
      <c r="C603">
        <v>7</v>
      </c>
      <c r="D603">
        <v>26</v>
      </c>
      <c r="E603">
        <f>VLOOKUP(A603,Elements!$A$2:$B$435,2,0)</f>
        <v>400</v>
      </c>
      <c r="F603" t="str">
        <f t="shared" si="10"/>
        <v>7-26-400</v>
      </c>
      <c r="G603">
        <v>602</v>
      </c>
    </row>
    <row r="604" spans="1:7">
      <c r="A604" s="24" t="s">
        <v>1969</v>
      </c>
      <c r="B604">
        <v>2</v>
      </c>
      <c r="C604">
        <v>7</v>
      </c>
      <c r="D604">
        <v>26</v>
      </c>
      <c r="E604">
        <v>435</v>
      </c>
      <c r="F604" t="str">
        <f t="shared" ref="F604:F606" si="11">_xlfn.CONCAT(C604,"-",D604,"-",E604)</f>
        <v>7-26-435</v>
      </c>
      <c r="G604">
        <v>603</v>
      </c>
    </row>
    <row r="605" spans="1:7">
      <c r="A605" s="24" t="s">
        <v>244</v>
      </c>
      <c r="B605">
        <v>2</v>
      </c>
      <c r="C605">
        <v>7</v>
      </c>
      <c r="D605">
        <v>26</v>
      </c>
      <c r="E605">
        <v>204</v>
      </c>
      <c r="F605" t="str">
        <f t="shared" si="11"/>
        <v>7-26-204</v>
      </c>
      <c r="G605">
        <v>604</v>
      </c>
    </row>
    <row r="606" spans="1:7">
      <c r="A606" s="24" t="s">
        <v>249</v>
      </c>
      <c r="B606">
        <v>2</v>
      </c>
      <c r="C606">
        <v>7</v>
      </c>
      <c r="D606">
        <v>26</v>
      </c>
      <c r="E606">
        <v>209</v>
      </c>
      <c r="F606" t="str">
        <f t="shared" si="11"/>
        <v>7-26-209</v>
      </c>
      <c r="G606">
        <v>605</v>
      </c>
    </row>
    <row r="607" spans="1:7">
      <c r="A607" s="24" t="s">
        <v>452</v>
      </c>
      <c r="B607">
        <v>2</v>
      </c>
      <c r="C607">
        <v>7</v>
      </c>
      <c r="D607">
        <v>26</v>
      </c>
      <c r="E607">
        <f>VLOOKUP(A607,Elements!$A$2:$B$435,2,0)</f>
        <v>388</v>
      </c>
      <c r="F607" t="str">
        <f t="shared" si="9"/>
        <v>7-26-388</v>
      </c>
      <c r="G607">
        <v>606</v>
      </c>
    </row>
    <row r="608" spans="1:7">
      <c r="A608" s="24" t="s">
        <v>453</v>
      </c>
      <c r="B608">
        <v>2</v>
      </c>
      <c r="C608">
        <v>7</v>
      </c>
      <c r="D608">
        <v>26</v>
      </c>
      <c r="E608">
        <f>VLOOKUP(A608,Elements!$A$2:$B$435,2,0)</f>
        <v>389</v>
      </c>
      <c r="F608" t="str">
        <f t="shared" si="9"/>
        <v>7-26-389</v>
      </c>
      <c r="G608">
        <v>607</v>
      </c>
    </row>
    <row r="609" spans="1:7">
      <c r="A609" s="24" t="s">
        <v>454</v>
      </c>
      <c r="B609">
        <v>2</v>
      </c>
      <c r="C609">
        <v>7</v>
      </c>
      <c r="D609">
        <v>26</v>
      </c>
      <c r="E609">
        <f>VLOOKUP(A609,Elements!$A$2:$B$435,2,0)</f>
        <v>390</v>
      </c>
      <c r="F609" t="str">
        <f t="shared" si="9"/>
        <v>7-26-390</v>
      </c>
      <c r="G609">
        <v>608</v>
      </c>
    </row>
    <row r="610" spans="1:7">
      <c r="A610" s="24" t="s">
        <v>455</v>
      </c>
      <c r="B610">
        <v>2</v>
      </c>
      <c r="C610">
        <v>7</v>
      </c>
      <c r="D610">
        <v>26</v>
      </c>
      <c r="E610">
        <f>VLOOKUP(A610,Elements!$A$2:$B$435,2,0)</f>
        <v>391</v>
      </c>
      <c r="F610" t="str">
        <f t="shared" si="9"/>
        <v>7-26-391</v>
      </c>
      <c r="G610">
        <v>609</v>
      </c>
    </row>
    <row r="611" spans="1:7">
      <c r="A611" s="24" t="s">
        <v>456</v>
      </c>
      <c r="B611">
        <v>2</v>
      </c>
      <c r="C611">
        <v>7</v>
      </c>
      <c r="D611">
        <v>26</v>
      </c>
      <c r="E611">
        <f>VLOOKUP(A611,Elements!$A$2:$B$435,2,0)</f>
        <v>392</v>
      </c>
      <c r="F611" t="str">
        <f t="shared" si="9"/>
        <v>7-26-392</v>
      </c>
      <c r="G611">
        <v>610</v>
      </c>
    </row>
    <row r="612" spans="1:7">
      <c r="A612" s="24" t="s">
        <v>457</v>
      </c>
      <c r="B612">
        <v>2</v>
      </c>
      <c r="C612">
        <v>7</v>
      </c>
      <c r="D612">
        <v>26</v>
      </c>
      <c r="E612">
        <f>VLOOKUP(A612,Elements!$A$2:$B$435,2,0)</f>
        <v>393</v>
      </c>
      <c r="F612" t="str">
        <f t="shared" si="9"/>
        <v>7-26-393</v>
      </c>
      <c r="G612">
        <v>611</v>
      </c>
    </row>
    <row r="613" spans="1:7">
      <c r="A613" s="24" t="s">
        <v>458</v>
      </c>
      <c r="B613">
        <v>2</v>
      </c>
      <c r="C613">
        <v>7</v>
      </c>
      <c r="D613">
        <v>26</v>
      </c>
      <c r="E613">
        <f>VLOOKUP(A613,Elements!$A$2:$B$435,2,0)</f>
        <v>394</v>
      </c>
      <c r="F613" t="str">
        <f t="shared" si="9"/>
        <v>7-26-394</v>
      </c>
      <c r="G613">
        <v>612</v>
      </c>
    </row>
    <row r="614" spans="1:7">
      <c r="A614" s="24" t="s">
        <v>459</v>
      </c>
      <c r="B614">
        <v>2</v>
      </c>
      <c r="C614">
        <v>7</v>
      </c>
      <c r="D614">
        <v>26</v>
      </c>
      <c r="E614">
        <f>VLOOKUP(A614,Elements!$A$2:$B$435,2,0)</f>
        <v>395</v>
      </c>
      <c r="F614" t="str">
        <f t="shared" si="9"/>
        <v>7-26-395</v>
      </c>
      <c r="G614">
        <v>613</v>
      </c>
    </row>
    <row r="615" spans="1:7">
      <c r="A615" s="24" t="s">
        <v>460</v>
      </c>
      <c r="B615">
        <v>2</v>
      </c>
      <c r="C615">
        <v>7</v>
      </c>
      <c r="D615">
        <v>26</v>
      </c>
      <c r="E615">
        <f>VLOOKUP(A615,Elements!$A$2:$B$435,2,0)</f>
        <v>396</v>
      </c>
      <c r="F615" t="str">
        <f t="shared" si="9"/>
        <v>7-26-396</v>
      </c>
      <c r="G615">
        <v>614</v>
      </c>
    </row>
    <row r="616" spans="1:7">
      <c r="A616" s="24" t="s">
        <v>466</v>
      </c>
      <c r="B616">
        <v>2</v>
      </c>
      <c r="C616">
        <v>7</v>
      </c>
      <c r="D616">
        <v>27</v>
      </c>
      <c r="E616">
        <f>VLOOKUP(A616,Elements!$A$2:$B$435,2,0)</f>
        <v>401</v>
      </c>
      <c r="F616" t="str">
        <f t="shared" si="9"/>
        <v>7-27-401</v>
      </c>
      <c r="G616">
        <v>615</v>
      </c>
    </row>
    <row r="617" spans="1:7">
      <c r="A617" s="24" t="s">
        <v>467</v>
      </c>
      <c r="B617">
        <v>2</v>
      </c>
      <c r="C617">
        <v>7</v>
      </c>
      <c r="D617">
        <v>27</v>
      </c>
      <c r="E617">
        <f>VLOOKUP(A617,Elements!$A$2:$B$435,2,0)</f>
        <v>402</v>
      </c>
      <c r="F617" t="str">
        <f t="shared" si="9"/>
        <v>7-27-402</v>
      </c>
      <c r="G617">
        <v>616</v>
      </c>
    </row>
    <row r="618" spans="1:7">
      <c r="A618" s="24" t="s">
        <v>408</v>
      </c>
      <c r="B618">
        <v>2</v>
      </c>
      <c r="C618">
        <v>7</v>
      </c>
      <c r="D618">
        <v>27</v>
      </c>
      <c r="E618">
        <f>VLOOKUP(A618,Elements!$A$2:$B$435,2,0)</f>
        <v>344</v>
      </c>
      <c r="F618" t="str">
        <f t="shared" si="9"/>
        <v>7-27-344</v>
      </c>
      <c r="G618">
        <v>617</v>
      </c>
    </row>
    <row r="619" spans="1:7">
      <c r="A619" s="24" t="s">
        <v>469</v>
      </c>
      <c r="B619">
        <v>2</v>
      </c>
      <c r="C619">
        <v>7</v>
      </c>
      <c r="D619">
        <v>27</v>
      </c>
      <c r="E619">
        <f>VLOOKUP(A619,Elements!$A$2:$B$435,2,0)</f>
        <v>403</v>
      </c>
      <c r="F619" t="str">
        <f t="shared" si="9"/>
        <v>7-27-403</v>
      </c>
      <c r="G619">
        <v>618</v>
      </c>
    </row>
    <row r="620" spans="1:7">
      <c r="A620" s="24" t="s">
        <v>470</v>
      </c>
      <c r="B620">
        <v>2</v>
      </c>
      <c r="C620">
        <v>7</v>
      </c>
      <c r="D620">
        <v>27</v>
      </c>
      <c r="E620">
        <f>VLOOKUP(A620,Elements!$A$2:$B$435,2,0)</f>
        <v>404</v>
      </c>
      <c r="F620" t="str">
        <f t="shared" si="9"/>
        <v>7-27-404</v>
      </c>
      <c r="G620">
        <v>619</v>
      </c>
    </row>
    <row r="621" spans="1:7">
      <c r="A621" s="24" t="s">
        <v>520</v>
      </c>
      <c r="B621">
        <v>2</v>
      </c>
      <c r="C621">
        <v>7</v>
      </c>
      <c r="D621">
        <v>27</v>
      </c>
      <c r="E621">
        <f>VLOOKUP(A621,Elements!$A$2:$B$435,2,0)</f>
        <v>405</v>
      </c>
      <c r="F621" t="str">
        <f t="shared" si="9"/>
        <v>7-27-405</v>
      </c>
      <c r="G621">
        <v>620</v>
      </c>
    </row>
    <row r="622" spans="1:7">
      <c r="A622" s="24" t="s">
        <v>471</v>
      </c>
      <c r="B622">
        <v>2</v>
      </c>
      <c r="C622">
        <v>7</v>
      </c>
      <c r="D622">
        <v>27</v>
      </c>
      <c r="E622">
        <f>VLOOKUP(A622,Elements!$A$2:$B$435,2,0)</f>
        <v>347</v>
      </c>
      <c r="F622" t="str">
        <f t="shared" si="9"/>
        <v>7-27-347</v>
      </c>
      <c r="G622">
        <v>621</v>
      </c>
    </row>
    <row r="623" spans="1:7">
      <c r="A623" s="24" t="s">
        <v>472</v>
      </c>
      <c r="B623">
        <v>2</v>
      </c>
      <c r="C623">
        <v>7</v>
      </c>
      <c r="D623">
        <v>27</v>
      </c>
      <c r="E623">
        <f>VLOOKUP(A623,Elements!$A$2:$B$435,2,0)</f>
        <v>406</v>
      </c>
      <c r="F623" t="str">
        <f t="shared" si="9"/>
        <v>7-27-406</v>
      </c>
      <c r="G623">
        <v>622</v>
      </c>
    </row>
    <row r="624" spans="1:7">
      <c r="A624" s="24" t="s">
        <v>473</v>
      </c>
      <c r="B624">
        <v>2</v>
      </c>
      <c r="C624">
        <v>7</v>
      </c>
      <c r="D624">
        <v>27</v>
      </c>
      <c r="E624">
        <f>VLOOKUP(A624,Elements!$A$2:$B$435,2,0)</f>
        <v>407</v>
      </c>
      <c r="F624" t="str">
        <f t="shared" si="9"/>
        <v>7-27-407</v>
      </c>
      <c r="G624">
        <v>623</v>
      </c>
    </row>
    <row r="625" spans="1:7">
      <c r="A625" s="24" t="s">
        <v>474</v>
      </c>
      <c r="B625">
        <v>2</v>
      </c>
      <c r="C625">
        <v>7</v>
      </c>
      <c r="D625">
        <v>27</v>
      </c>
      <c r="E625">
        <f>VLOOKUP(A625,Elements!$A$2:$B$435,2,0)</f>
        <v>408</v>
      </c>
      <c r="F625" t="str">
        <f t="shared" si="9"/>
        <v>7-27-408</v>
      </c>
      <c r="G625">
        <v>624</v>
      </c>
    </row>
    <row r="626" spans="1:7">
      <c r="A626" s="24" t="s">
        <v>248</v>
      </c>
      <c r="B626">
        <v>2</v>
      </c>
      <c r="C626">
        <v>7</v>
      </c>
      <c r="D626">
        <v>27</v>
      </c>
      <c r="E626">
        <f>VLOOKUP(A626,Elements!$A$2:$B$435,2,0)</f>
        <v>208</v>
      </c>
      <c r="F626" t="str">
        <f t="shared" si="9"/>
        <v>7-27-208</v>
      </c>
      <c r="G626">
        <v>625</v>
      </c>
    </row>
    <row r="627" spans="1:7">
      <c r="A627" s="24" t="s">
        <v>476</v>
      </c>
      <c r="B627">
        <v>2</v>
      </c>
      <c r="C627">
        <v>7</v>
      </c>
      <c r="D627">
        <v>27</v>
      </c>
      <c r="E627">
        <f>VLOOKUP(A627,Elements!$A$2:$B$435,2,0)</f>
        <v>409</v>
      </c>
      <c r="F627" t="str">
        <f t="shared" si="9"/>
        <v>7-27-409</v>
      </c>
      <c r="G627">
        <v>626</v>
      </c>
    </row>
    <row r="628" spans="1:7">
      <c r="A628" s="24" t="s">
        <v>477</v>
      </c>
      <c r="B628">
        <v>2</v>
      </c>
      <c r="C628">
        <v>7</v>
      </c>
      <c r="D628">
        <v>27</v>
      </c>
      <c r="E628">
        <f>VLOOKUP(A628,Elements!$A$2:$B$435,2,0)</f>
        <v>410</v>
      </c>
      <c r="F628" t="str">
        <f t="shared" si="9"/>
        <v>7-27-410</v>
      </c>
      <c r="G628">
        <v>627</v>
      </c>
    </row>
    <row r="629" spans="1:7">
      <c r="A629" s="24" t="s">
        <v>478</v>
      </c>
      <c r="B629">
        <v>2</v>
      </c>
      <c r="C629">
        <v>7</v>
      </c>
      <c r="D629">
        <v>27</v>
      </c>
      <c r="E629">
        <f>VLOOKUP(A629,Elements!$A$2:$B$435,2,0)</f>
        <v>411</v>
      </c>
      <c r="F629" t="str">
        <f t="shared" si="9"/>
        <v>7-27-411</v>
      </c>
      <c r="G629">
        <v>628</v>
      </c>
    </row>
    <row r="630" spans="1:7">
      <c r="A630" s="24" t="s">
        <v>479</v>
      </c>
      <c r="B630">
        <v>2</v>
      </c>
      <c r="C630">
        <v>7</v>
      </c>
      <c r="D630">
        <v>27</v>
      </c>
      <c r="E630">
        <f>VLOOKUP(A630,Elements!$A$2:$B$435,2,0)</f>
        <v>412</v>
      </c>
      <c r="F630" t="str">
        <f t="shared" si="9"/>
        <v>7-27-412</v>
      </c>
      <c r="G630">
        <v>629</v>
      </c>
    </row>
    <row r="631" spans="1:7">
      <c r="A631" s="24" t="s">
        <v>480</v>
      </c>
      <c r="B631">
        <v>2</v>
      </c>
      <c r="C631">
        <v>7</v>
      </c>
      <c r="D631">
        <v>27</v>
      </c>
      <c r="E631">
        <f>VLOOKUP(A631,Elements!$A$2:$B$435,2,0)</f>
        <v>413</v>
      </c>
      <c r="F631" t="str">
        <f t="shared" si="9"/>
        <v>7-27-413</v>
      </c>
      <c r="G631">
        <v>630</v>
      </c>
    </row>
    <row r="632" spans="1:7">
      <c r="A632" s="24" t="s">
        <v>481</v>
      </c>
      <c r="B632">
        <v>2</v>
      </c>
      <c r="C632">
        <v>7</v>
      </c>
      <c r="D632">
        <v>27</v>
      </c>
      <c r="E632">
        <f>VLOOKUP(A632,Elements!$A$2:$B$435,2,0)</f>
        <v>414</v>
      </c>
      <c r="F632" t="str">
        <f t="shared" si="9"/>
        <v>7-27-414</v>
      </c>
      <c r="G632">
        <v>631</v>
      </c>
    </row>
    <row r="633" spans="1:7">
      <c r="A633" s="24" t="s">
        <v>483</v>
      </c>
      <c r="B633">
        <v>2</v>
      </c>
      <c r="C633">
        <v>7</v>
      </c>
      <c r="D633">
        <v>27</v>
      </c>
      <c r="E633">
        <f>VLOOKUP(A633,Elements!$A$2:$B$435,2,0)</f>
        <v>415</v>
      </c>
      <c r="F633" t="str">
        <f t="shared" si="9"/>
        <v>7-27-415</v>
      </c>
      <c r="G633">
        <v>632</v>
      </c>
    </row>
    <row r="634" spans="1:7">
      <c r="A634" s="24" t="s">
        <v>484</v>
      </c>
      <c r="B634">
        <v>2</v>
      </c>
      <c r="C634">
        <v>7</v>
      </c>
      <c r="D634">
        <v>27</v>
      </c>
      <c r="E634">
        <f>VLOOKUP(A634,Elements!$A$2:$B$435,2,0)</f>
        <v>416</v>
      </c>
      <c r="F634" t="str">
        <f t="shared" si="9"/>
        <v>7-27-416</v>
      </c>
      <c r="G634">
        <v>633</v>
      </c>
    </row>
    <row r="635" spans="1:7">
      <c r="A635" s="24" t="s">
        <v>485</v>
      </c>
      <c r="B635">
        <v>2</v>
      </c>
      <c r="C635">
        <v>7</v>
      </c>
      <c r="D635">
        <v>27</v>
      </c>
      <c r="E635">
        <f>VLOOKUP(A635,Elements!$A$2:$B$435,2,0)</f>
        <v>417</v>
      </c>
      <c r="F635" t="str">
        <f t="shared" si="9"/>
        <v>7-27-417</v>
      </c>
      <c r="G635">
        <v>634</v>
      </c>
    </row>
    <row r="636" spans="1:7">
      <c r="A636" s="24" t="s">
        <v>487</v>
      </c>
      <c r="B636">
        <v>2</v>
      </c>
      <c r="C636">
        <v>7</v>
      </c>
      <c r="D636">
        <v>28</v>
      </c>
      <c r="E636">
        <f>VLOOKUP(A636,Elements!$A$2:$B$435,2,0)</f>
        <v>418</v>
      </c>
      <c r="F636" t="str">
        <f t="shared" si="9"/>
        <v>7-28-418</v>
      </c>
      <c r="G636">
        <v>635</v>
      </c>
    </row>
    <row r="637" spans="1:7">
      <c r="A637" s="24" t="s">
        <v>488</v>
      </c>
      <c r="B637">
        <v>2</v>
      </c>
      <c r="C637">
        <v>7</v>
      </c>
      <c r="D637">
        <v>28</v>
      </c>
      <c r="E637">
        <f>VLOOKUP(A637,Elements!$A$2:$B$435,2,0)</f>
        <v>419</v>
      </c>
      <c r="F637" t="str">
        <f t="shared" si="9"/>
        <v>7-28-419</v>
      </c>
      <c r="G637">
        <v>636</v>
      </c>
    </row>
    <row r="638" spans="1:7">
      <c r="A638" s="24" t="s">
        <v>490</v>
      </c>
      <c r="B638">
        <v>2</v>
      </c>
      <c r="C638">
        <v>7</v>
      </c>
      <c r="D638">
        <v>28</v>
      </c>
      <c r="E638">
        <f>VLOOKUP(A638,Elements!$A$2:$B$435,2,0)</f>
        <v>420</v>
      </c>
      <c r="F638" t="str">
        <f t="shared" si="9"/>
        <v>7-28-420</v>
      </c>
      <c r="G638">
        <v>637</v>
      </c>
    </row>
    <row r="639" spans="1:7">
      <c r="A639" s="24" t="s">
        <v>491</v>
      </c>
      <c r="B639">
        <v>2</v>
      </c>
      <c r="C639">
        <v>7</v>
      </c>
      <c r="D639">
        <v>28</v>
      </c>
      <c r="E639">
        <f>VLOOKUP(A639,Elements!$A$2:$B$435,2,0)</f>
        <v>421</v>
      </c>
      <c r="F639" t="str">
        <f t="shared" si="9"/>
        <v>7-28-421</v>
      </c>
      <c r="G639">
        <v>638</v>
      </c>
    </row>
    <row r="640" spans="1:7">
      <c r="A640" s="24" t="s">
        <v>492</v>
      </c>
      <c r="B640">
        <v>2</v>
      </c>
      <c r="C640">
        <v>7</v>
      </c>
      <c r="D640">
        <v>28</v>
      </c>
      <c r="E640">
        <f>VLOOKUP(A640,Elements!$A$2:$B$435,2,0)</f>
        <v>422</v>
      </c>
      <c r="F640" t="str">
        <f t="shared" si="9"/>
        <v>7-28-422</v>
      </c>
      <c r="G640">
        <v>639</v>
      </c>
    </row>
    <row r="641" spans="1:7">
      <c r="A641" s="24" t="s">
        <v>494</v>
      </c>
      <c r="B641">
        <v>2</v>
      </c>
      <c r="C641">
        <v>7</v>
      </c>
      <c r="D641">
        <v>7</v>
      </c>
      <c r="E641">
        <f>VLOOKUP(A641,Elements!$A$2:$B$435,2,0)</f>
        <v>423</v>
      </c>
      <c r="F641" t="str">
        <f t="shared" si="9"/>
        <v>7-7-423</v>
      </c>
      <c r="G641">
        <v>640</v>
      </c>
    </row>
    <row r="642" spans="1:7">
      <c r="A642" s="24" t="s">
        <v>495</v>
      </c>
      <c r="B642">
        <v>2</v>
      </c>
      <c r="C642">
        <v>7</v>
      </c>
      <c r="D642">
        <v>7</v>
      </c>
      <c r="E642">
        <f>VLOOKUP(A642,Elements!$A$2:$B$435,2,0)</f>
        <v>424</v>
      </c>
      <c r="F642" t="str">
        <f t="shared" ref="F642:F667" si="12">_xlfn.CONCAT(C642,"-",D642,"-",E642)</f>
        <v>7-7-424</v>
      </c>
      <c r="G642">
        <v>641</v>
      </c>
    </row>
    <row r="643" spans="1:7">
      <c r="A643" s="24" t="s">
        <v>496</v>
      </c>
      <c r="B643">
        <v>2</v>
      </c>
      <c r="C643">
        <v>7</v>
      </c>
      <c r="D643">
        <v>7</v>
      </c>
      <c r="E643">
        <f>VLOOKUP(A643,Elements!$A$2:$B$435,2,0)</f>
        <v>425</v>
      </c>
      <c r="F643" t="str">
        <f t="shared" si="12"/>
        <v>7-7-425</v>
      </c>
      <c r="G643">
        <v>642</v>
      </c>
    </row>
    <row r="644" spans="1:7">
      <c r="A644" s="24" t="s">
        <v>497</v>
      </c>
      <c r="B644">
        <v>2</v>
      </c>
      <c r="C644">
        <v>7</v>
      </c>
      <c r="D644">
        <v>7</v>
      </c>
      <c r="E644">
        <f>VLOOKUP(A644,Elements!$A$2:$B$435,2,0)</f>
        <v>426</v>
      </c>
      <c r="F644" t="str">
        <f t="shared" si="12"/>
        <v>7-7-426</v>
      </c>
      <c r="G644">
        <v>643</v>
      </c>
    </row>
    <row r="645" spans="1:7">
      <c r="A645" s="24" t="s">
        <v>351</v>
      </c>
      <c r="B645">
        <v>2</v>
      </c>
      <c r="C645">
        <v>7</v>
      </c>
      <c r="D645">
        <v>7</v>
      </c>
      <c r="E645">
        <f>VLOOKUP(A645,Elements!$A$2:$B$435,2,0)</f>
        <v>226</v>
      </c>
      <c r="F645" t="str">
        <f t="shared" si="12"/>
        <v>7-7-226</v>
      </c>
      <c r="G645">
        <v>644</v>
      </c>
    </row>
    <row r="646" spans="1:7">
      <c r="A646" s="24" t="s">
        <v>498</v>
      </c>
      <c r="B646">
        <v>2</v>
      </c>
      <c r="C646">
        <v>7</v>
      </c>
      <c r="D646">
        <v>7</v>
      </c>
      <c r="E646">
        <f>VLOOKUP(A646,Elements!$A$2:$B$435,2,0)</f>
        <v>427</v>
      </c>
      <c r="F646" t="str">
        <f t="shared" si="12"/>
        <v>7-7-427</v>
      </c>
      <c r="G646">
        <v>645</v>
      </c>
    </row>
    <row r="647" spans="1:7">
      <c r="A647" s="24" t="s">
        <v>47</v>
      </c>
      <c r="B647">
        <v>2</v>
      </c>
      <c r="C647">
        <v>7</v>
      </c>
      <c r="D647">
        <v>7</v>
      </c>
      <c r="E647">
        <f>VLOOKUP(A647,Elements!$A$2:$B$435,2,0)</f>
        <v>10</v>
      </c>
      <c r="F647" t="str">
        <f t="shared" si="12"/>
        <v>7-7-10</v>
      </c>
      <c r="G647">
        <v>646</v>
      </c>
    </row>
    <row r="648" spans="1:7">
      <c r="A648" s="24" t="s">
        <v>499</v>
      </c>
      <c r="B648">
        <v>2</v>
      </c>
      <c r="C648">
        <v>7</v>
      </c>
      <c r="D648">
        <v>7</v>
      </c>
      <c r="E648">
        <f>VLOOKUP(A648,Elements!$A$2:$B$435,2,0)</f>
        <v>428</v>
      </c>
      <c r="F648" t="str">
        <f t="shared" si="12"/>
        <v>7-7-428</v>
      </c>
      <c r="G648">
        <v>647</v>
      </c>
    </row>
    <row r="649" spans="1:7">
      <c r="A649" s="24" t="s">
        <v>353</v>
      </c>
      <c r="B649">
        <v>2</v>
      </c>
      <c r="C649">
        <v>7</v>
      </c>
      <c r="D649">
        <v>7</v>
      </c>
      <c r="E649">
        <f>VLOOKUP(A649,Elements!$A$2:$B$435,2,0)</f>
        <v>73</v>
      </c>
      <c r="F649" t="str">
        <f t="shared" si="12"/>
        <v>7-7-73</v>
      </c>
      <c r="G649">
        <v>648</v>
      </c>
    </row>
    <row r="650" spans="1:7">
      <c r="A650" s="24" t="s">
        <v>354</v>
      </c>
      <c r="B650">
        <v>2</v>
      </c>
      <c r="C650">
        <v>7</v>
      </c>
      <c r="D650">
        <v>7</v>
      </c>
      <c r="E650">
        <f>VLOOKUP(A650,Elements!$A$2:$B$435,2,0)</f>
        <v>74</v>
      </c>
      <c r="F650" t="str">
        <f t="shared" si="12"/>
        <v>7-7-74</v>
      </c>
      <c r="G650">
        <v>649</v>
      </c>
    </row>
    <row r="651" spans="1:7">
      <c r="A651" s="24" t="s">
        <v>355</v>
      </c>
      <c r="B651">
        <v>2</v>
      </c>
      <c r="C651">
        <v>7</v>
      </c>
      <c r="D651">
        <v>7</v>
      </c>
      <c r="E651">
        <f>VLOOKUP(A651,Elements!$A$2:$B$435,2,0)</f>
        <v>75</v>
      </c>
      <c r="F651" t="str">
        <f t="shared" si="12"/>
        <v>7-7-75</v>
      </c>
      <c r="G651">
        <v>650</v>
      </c>
    </row>
    <row r="652" spans="1:7">
      <c r="A652" s="24" t="s">
        <v>286</v>
      </c>
      <c r="B652">
        <v>2</v>
      </c>
      <c r="C652">
        <v>7</v>
      </c>
      <c r="D652">
        <v>7</v>
      </c>
      <c r="E652">
        <f>VLOOKUP(A652,Elements!$A$2:$B$435,2,0)</f>
        <v>66</v>
      </c>
      <c r="F652" t="str">
        <f t="shared" si="12"/>
        <v>7-7-66</v>
      </c>
      <c r="G652">
        <v>651</v>
      </c>
    </row>
    <row r="653" spans="1:7">
      <c r="A653" s="24" t="s">
        <v>112</v>
      </c>
      <c r="B653">
        <v>2</v>
      </c>
      <c r="C653">
        <v>7</v>
      </c>
      <c r="D653">
        <v>7</v>
      </c>
      <c r="E653">
        <f>VLOOKUP(A653,Elements!$A$2:$B$435,2,0)</f>
        <v>78</v>
      </c>
      <c r="F653" t="str">
        <f t="shared" si="12"/>
        <v>7-7-78</v>
      </c>
      <c r="G653">
        <v>652</v>
      </c>
    </row>
    <row r="654" spans="1:7">
      <c r="A654" s="24" t="s">
        <v>500</v>
      </c>
      <c r="B654">
        <v>2</v>
      </c>
      <c r="C654">
        <v>7</v>
      </c>
      <c r="D654">
        <v>7</v>
      </c>
      <c r="E654">
        <f>VLOOKUP(A654,Elements!$A$2:$B$435,2,0)</f>
        <v>429</v>
      </c>
      <c r="F654" t="str">
        <f t="shared" si="12"/>
        <v>7-7-429</v>
      </c>
      <c r="G654">
        <v>653</v>
      </c>
    </row>
    <row r="655" spans="1:7">
      <c r="A655" s="24" t="s">
        <v>501</v>
      </c>
      <c r="B655">
        <v>2</v>
      </c>
      <c r="C655">
        <v>7</v>
      </c>
      <c r="D655">
        <v>7</v>
      </c>
      <c r="E655">
        <f>VLOOKUP(A655,Elements!$A$2:$B$435,2,0)</f>
        <v>430</v>
      </c>
      <c r="F655" t="str">
        <f t="shared" si="12"/>
        <v>7-7-430</v>
      </c>
      <c r="G655">
        <v>654</v>
      </c>
    </row>
    <row r="656" spans="1:7">
      <c r="A656" s="24" t="s">
        <v>114</v>
      </c>
      <c r="B656">
        <v>2</v>
      </c>
      <c r="C656">
        <v>7</v>
      </c>
      <c r="D656">
        <v>7</v>
      </c>
      <c r="E656">
        <f>VLOOKUP(A656,Elements!$A$2:$B$435,2,0)</f>
        <v>80</v>
      </c>
      <c r="F656" t="str">
        <f t="shared" si="12"/>
        <v>7-7-80</v>
      </c>
      <c r="G656">
        <v>655</v>
      </c>
    </row>
    <row r="657" spans="1:7">
      <c r="A657" s="24" t="s">
        <v>115</v>
      </c>
      <c r="B657">
        <v>2</v>
      </c>
      <c r="C657">
        <v>7</v>
      </c>
      <c r="D657">
        <v>7</v>
      </c>
      <c r="E657">
        <f>VLOOKUP(A657,Elements!$A$2:$B$435,2,0)</f>
        <v>81</v>
      </c>
      <c r="F657" t="str">
        <f t="shared" si="12"/>
        <v>7-7-81</v>
      </c>
      <c r="G657">
        <v>656</v>
      </c>
    </row>
    <row r="658" spans="1:7">
      <c r="A658" s="24" t="s">
        <v>1979</v>
      </c>
      <c r="B658">
        <v>2</v>
      </c>
      <c r="C658">
        <v>7</v>
      </c>
      <c r="D658">
        <v>7</v>
      </c>
      <c r="E658">
        <v>436</v>
      </c>
      <c r="F658" t="str">
        <f t="shared" si="12"/>
        <v>7-7-436</v>
      </c>
      <c r="G658">
        <v>657</v>
      </c>
    </row>
    <row r="659" spans="1:7">
      <c r="A659" s="24" t="s">
        <v>503</v>
      </c>
      <c r="B659">
        <v>2</v>
      </c>
      <c r="C659">
        <v>7</v>
      </c>
      <c r="D659">
        <v>7</v>
      </c>
      <c r="E659">
        <f>VLOOKUP(A659,Elements!$A$2:$B$435,2,0)</f>
        <v>432</v>
      </c>
      <c r="F659" t="str">
        <f t="shared" si="12"/>
        <v>7-7-432</v>
      </c>
      <c r="G659">
        <v>658</v>
      </c>
    </row>
    <row r="660" spans="1:7">
      <c r="A660" s="24" t="s">
        <v>276</v>
      </c>
      <c r="B660">
        <v>2</v>
      </c>
      <c r="C660">
        <v>7</v>
      </c>
      <c r="D660">
        <v>7</v>
      </c>
      <c r="E660">
        <f>VLOOKUP(A660,Elements!$A$2:$B$435,2,0)</f>
        <v>231</v>
      </c>
      <c r="F660" t="str">
        <f t="shared" si="12"/>
        <v>7-7-231</v>
      </c>
      <c r="G660">
        <v>659</v>
      </c>
    </row>
    <row r="661" spans="1:7">
      <c r="A661" s="24" t="s">
        <v>277</v>
      </c>
      <c r="B661">
        <v>2</v>
      </c>
      <c r="C661">
        <v>7</v>
      </c>
      <c r="D661">
        <v>7</v>
      </c>
      <c r="E661">
        <f>VLOOKUP(A661,Elements!$A$2:$B$435,2,0)</f>
        <v>232</v>
      </c>
      <c r="F661" t="str">
        <f t="shared" si="12"/>
        <v>7-7-232</v>
      </c>
      <c r="G661">
        <v>660</v>
      </c>
    </row>
    <row r="662" spans="1:7">
      <c r="A662" s="24" t="s">
        <v>278</v>
      </c>
      <c r="B662">
        <v>2</v>
      </c>
      <c r="C662">
        <v>7</v>
      </c>
      <c r="D662">
        <v>7</v>
      </c>
      <c r="E662">
        <f>VLOOKUP(A662,Elements!$A$2:$B$435,2,0)</f>
        <v>233</v>
      </c>
      <c r="F662" t="str">
        <f t="shared" si="12"/>
        <v>7-7-233</v>
      </c>
      <c r="G662">
        <v>661</v>
      </c>
    </row>
    <row r="663" spans="1:7">
      <c r="A663" s="24" t="s">
        <v>521</v>
      </c>
      <c r="B663">
        <v>2</v>
      </c>
      <c r="C663">
        <v>7</v>
      </c>
      <c r="D663">
        <v>6</v>
      </c>
      <c r="E663">
        <f>VLOOKUP(A663,Elements!$A$2:$B$435,2,0)</f>
        <v>433</v>
      </c>
      <c r="F663" t="str">
        <f t="shared" si="12"/>
        <v>7-6-433</v>
      </c>
      <c r="G663">
        <v>662</v>
      </c>
    </row>
    <row r="664" spans="1:7">
      <c r="A664" s="24" t="s">
        <v>362</v>
      </c>
      <c r="B664">
        <v>2</v>
      </c>
      <c r="C664">
        <v>7</v>
      </c>
      <c r="D664">
        <v>6</v>
      </c>
      <c r="E664">
        <f>VLOOKUP(A664,Elements!$A$2:$B$435,2,0)</f>
        <v>65</v>
      </c>
      <c r="F664" t="str">
        <f t="shared" si="12"/>
        <v>7-6-65</v>
      </c>
      <c r="G664">
        <v>663</v>
      </c>
    </row>
    <row r="665" spans="1:7">
      <c r="A665" s="24" t="s">
        <v>285</v>
      </c>
      <c r="B665">
        <v>2</v>
      </c>
      <c r="C665">
        <v>7</v>
      </c>
      <c r="D665">
        <v>6</v>
      </c>
      <c r="E665">
        <f>VLOOKUP(A665,Elements!$A$2:$B$435,2,0)</f>
        <v>240</v>
      </c>
      <c r="F665" t="str">
        <f t="shared" si="12"/>
        <v>7-6-240</v>
      </c>
      <c r="G665">
        <v>664</v>
      </c>
    </row>
    <row r="666" spans="1:7">
      <c r="A666" s="24" t="s">
        <v>287</v>
      </c>
      <c r="B666">
        <v>2</v>
      </c>
      <c r="C666">
        <v>7</v>
      </c>
      <c r="D666">
        <v>6</v>
      </c>
      <c r="E666">
        <f>VLOOKUP(A666,Elements!$A$2:$B$435,2,0)</f>
        <v>241</v>
      </c>
      <c r="F666" t="str">
        <f t="shared" si="12"/>
        <v>7-6-241</v>
      </c>
      <c r="G666">
        <v>665</v>
      </c>
    </row>
    <row r="667" spans="1:7">
      <c r="A667" s="24" t="s">
        <v>12</v>
      </c>
      <c r="B667">
        <v>2</v>
      </c>
      <c r="C667">
        <v>7</v>
      </c>
      <c r="D667">
        <v>8</v>
      </c>
      <c r="E667">
        <f>VLOOKUP(A667,Elements!$A$2:$B$435,2,0)</f>
        <v>434</v>
      </c>
      <c r="F667" t="str">
        <f t="shared" si="12"/>
        <v>7-8-434</v>
      </c>
      <c r="G667">
        <v>666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9FCC-3E76-CB41-AA95-5EE90B4CFACC}">
  <sheetPr codeName="Sheet5"/>
  <dimension ref="A1:C437"/>
  <sheetViews>
    <sheetView topLeftCell="A414" workbookViewId="0">
      <selection activeCell="C22" sqref="C22"/>
    </sheetView>
  </sheetViews>
  <sheetFormatPr baseColWidth="10" defaultRowHeight="16"/>
  <cols>
    <col min="1" max="1" width="55.33203125" bestFit="1" customWidth="1"/>
    <col min="3" max="3" width="55.33203125" bestFit="1" customWidth="1"/>
  </cols>
  <sheetData>
    <row r="1" spans="1:3">
      <c r="A1" t="s">
        <v>36</v>
      </c>
      <c r="B1" t="s">
        <v>34</v>
      </c>
      <c r="C1" s="37" t="s">
        <v>36</v>
      </c>
    </row>
    <row r="2" spans="1:3">
      <c r="A2" t="s">
        <v>517</v>
      </c>
      <c r="B2">
        <v>1</v>
      </c>
      <c r="C2" t="s">
        <v>517</v>
      </c>
    </row>
    <row r="3" spans="1:3">
      <c r="A3" t="s">
        <v>39</v>
      </c>
      <c r="B3">
        <v>2</v>
      </c>
      <c r="C3" t="s">
        <v>39</v>
      </c>
    </row>
    <row r="4" spans="1:3">
      <c r="A4" t="s">
        <v>518</v>
      </c>
      <c r="B4">
        <v>3</v>
      </c>
      <c r="C4" t="s">
        <v>518</v>
      </c>
    </row>
    <row r="5" spans="1:3">
      <c r="A5" t="s">
        <v>41</v>
      </c>
      <c r="B5">
        <v>4</v>
      </c>
      <c r="C5" t="s">
        <v>41</v>
      </c>
    </row>
    <row r="6" spans="1:3">
      <c r="A6" t="s">
        <v>519</v>
      </c>
      <c r="B6">
        <v>5</v>
      </c>
      <c r="C6" t="s">
        <v>519</v>
      </c>
    </row>
    <row r="7" spans="1:3">
      <c r="A7" t="s">
        <v>43</v>
      </c>
      <c r="B7">
        <v>6</v>
      </c>
      <c r="C7" t="s">
        <v>43</v>
      </c>
    </row>
    <row r="8" spans="1:3">
      <c r="A8" t="s">
        <v>44</v>
      </c>
      <c r="B8">
        <v>7</v>
      </c>
      <c r="C8" t="s">
        <v>44</v>
      </c>
    </row>
    <row r="9" spans="1:3">
      <c r="A9" t="s">
        <v>45</v>
      </c>
      <c r="B9">
        <v>8</v>
      </c>
      <c r="C9" t="s">
        <v>45</v>
      </c>
    </row>
    <row r="10" spans="1:3">
      <c r="A10" t="s">
        <v>46</v>
      </c>
      <c r="B10">
        <v>9</v>
      </c>
      <c r="C10" t="s">
        <v>46</v>
      </c>
    </row>
    <row r="11" spans="1:3">
      <c r="A11" t="s">
        <v>47</v>
      </c>
      <c r="B11">
        <v>10</v>
      </c>
      <c r="C11" t="s">
        <v>47</v>
      </c>
    </row>
    <row r="12" spans="1:3">
      <c r="A12" t="s">
        <v>48</v>
      </c>
      <c r="B12">
        <v>11</v>
      </c>
      <c r="C12" t="s">
        <v>48</v>
      </c>
    </row>
    <row r="13" spans="1:3">
      <c r="A13" t="s">
        <v>516</v>
      </c>
      <c r="B13">
        <v>12</v>
      </c>
      <c r="C13" t="s">
        <v>516</v>
      </c>
    </row>
    <row r="14" spans="1:3">
      <c r="A14" t="s">
        <v>51</v>
      </c>
      <c r="B14">
        <v>13</v>
      </c>
      <c r="C14" t="s">
        <v>51</v>
      </c>
    </row>
    <row r="15" spans="1:3">
      <c r="A15" t="s">
        <v>52</v>
      </c>
      <c r="B15">
        <v>14</v>
      </c>
      <c r="C15" t="s">
        <v>52</v>
      </c>
    </row>
    <row r="16" spans="1:3">
      <c r="A16" t="s">
        <v>507</v>
      </c>
      <c r="B16">
        <v>15</v>
      </c>
      <c r="C16" t="s">
        <v>507</v>
      </c>
    </row>
    <row r="17" spans="1:3">
      <c r="A17" t="s">
        <v>54</v>
      </c>
      <c r="B17">
        <v>16</v>
      </c>
      <c r="C17" t="s">
        <v>54</v>
      </c>
    </row>
    <row r="18" spans="1:3">
      <c r="A18" t="s">
        <v>55</v>
      </c>
      <c r="B18">
        <v>17</v>
      </c>
      <c r="C18" t="s">
        <v>55</v>
      </c>
    </row>
    <row r="19" spans="1:3">
      <c r="A19" t="s">
        <v>56</v>
      </c>
      <c r="B19">
        <v>18</v>
      </c>
      <c r="C19" t="s">
        <v>56</v>
      </c>
    </row>
    <row r="20" spans="1:3">
      <c r="A20" t="s">
        <v>57</v>
      </c>
      <c r="B20">
        <v>19</v>
      </c>
      <c r="C20" t="s">
        <v>57</v>
      </c>
    </row>
    <row r="21" spans="1:3">
      <c r="A21" t="s">
        <v>58</v>
      </c>
      <c r="B21">
        <v>20</v>
      </c>
      <c r="C21" t="s">
        <v>58</v>
      </c>
    </row>
    <row r="22" spans="1:3">
      <c r="A22" t="s">
        <v>59</v>
      </c>
      <c r="B22">
        <v>21</v>
      </c>
      <c r="C22" t="s">
        <v>59</v>
      </c>
    </row>
    <row r="23" spans="1:3">
      <c r="A23" t="s">
        <v>60</v>
      </c>
      <c r="B23">
        <v>22</v>
      </c>
      <c r="C23" t="s">
        <v>60</v>
      </c>
    </row>
    <row r="24" spans="1:3">
      <c r="A24" t="s">
        <v>61</v>
      </c>
      <c r="B24">
        <v>23</v>
      </c>
      <c r="C24" t="s">
        <v>61</v>
      </c>
    </row>
    <row r="25" spans="1:3">
      <c r="A25" t="s">
        <v>525</v>
      </c>
      <c r="B25">
        <v>24</v>
      </c>
      <c r="C25" t="s">
        <v>525</v>
      </c>
    </row>
    <row r="26" spans="1:3">
      <c r="A26" t="s">
        <v>63</v>
      </c>
      <c r="B26">
        <v>25</v>
      </c>
      <c r="C26" t="s">
        <v>63</v>
      </c>
    </row>
    <row r="27" spans="1:3">
      <c r="A27" t="s">
        <v>64</v>
      </c>
      <c r="B27">
        <v>26</v>
      </c>
      <c r="C27" t="s">
        <v>64</v>
      </c>
    </row>
    <row r="28" spans="1:3">
      <c r="A28" t="s">
        <v>524</v>
      </c>
      <c r="B28">
        <v>27</v>
      </c>
      <c r="C28" t="s">
        <v>524</v>
      </c>
    </row>
    <row r="29" spans="1:3">
      <c r="A29" t="s">
        <v>66</v>
      </c>
      <c r="B29">
        <v>28</v>
      </c>
      <c r="C29" t="s">
        <v>66</v>
      </c>
    </row>
    <row r="30" spans="1:3">
      <c r="A30" t="s">
        <v>67</v>
      </c>
      <c r="B30">
        <v>29</v>
      </c>
      <c r="C30" t="s">
        <v>67</v>
      </c>
    </row>
    <row r="31" spans="1:3">
      <c r="A31" t="s">
        <v>68</v>
      </c>
      <c r="B31">
        <v>30</v>
      </c>
      <c r="C31" t="s">
        <v>68</v>
      </c>
    </row>
    <row r="32" spans="1:3">
      <c r="A32" t="s">
        <v>69</v>
      </c>
      <c r="B32">
        <v>31</v>
      </c>
      <c r="C32" t="s">
        <v>69</v>
      </c>
    </row>
    <row r="33" spans="1:3">
      <c r="A33" t="s">
        <v>32</v>
      </c>
      <c r="B33">
        <v>32</v>
      </c>
      <c r="C33" t="s">
        <v>32</v>
      </c>
    </row>
    <row r="34" spans="1:3">
      <c r="A34" t="s">
        <v>70</v>
      </c>
      <c r="B34">
        <v>33</v>
      </c>
      <c r="C34" t="s">
        <v>70</v>
      </c>
    </row>
    <row r="35" spans="1:3">
      <c r="A35" t="s">
        <v>71</v>
      </c>
      <c r="B35">
        <v>34</v>
      </c>
      <c r="C35" t="s">
        <v>71</v>
      </c>
    </row>
    <row r="36" spans="1:3">
      <c r="A36" t="s">
        <v>510</v>
      </c>
      <c r="B36">
        <v>35</v>
      </c>
      <c r="C36" t="s">
        <v>510</v>
      </c>
    </row>
    <row r="37" spans="1:3">
      <c r="A37" t="s">
        <v>509</v>
      </c>
      <c r="B37">
        <v>36</v>
      </c>
      <c r="C37" t="s">
        <v>509</v>
      </c>
    </row>
    <row r="38" spans="1:3">
      <c r="A38" t="s">
        <v>74</v>
      </c>
      <c r="B38">
        <v>37</v>
      </c>
      <c r="C38" t="s">
        <v>74</v>
      </c>
    </row>
    <row r="39" spans="1:3">
      <c r="A39" t="s">
        <v>75</v>
      </c>
      <c r="B39">
        <v>38</v>
      </c>
      <c r="C39" t="s">
        <v>75</v>
      </c>
    </row>
    <row r="40" spans="1:3">
      <c r="A40" t="s">
        <v>76</v>
      </c>
      <c r="B40">
        <v>39</v>
      </c>
      <c r="C40" t="s">
        <v>76</v>
      </c>
    </row>
    <row r="41" spans="1:3">
      <c r="A41" t="s">
        <v>77</v>
      </c>
      <c r="B41">
        <v>40</v>
      </c>
      <c r="C41" t="s">
        <v>77</v>
      </c>
    </row>
    <row r="42" spans="1:3">
      <c r="A42" t="s">
        <v>78</v>
      </c>
      <c r="B42">
        <v>41</v>
      </c>
      <c r="C42" t="s">
        <v>78</v>
      </c>
    </row>
    <row r="43" spans="1:3">
      <c r="A43" t="s">
        <v>79</v>
      </c>
      <c r="B43">
        <v>42</v>
      </c>
      <c r="C43" t="s">
        <v>79</v>
      </c>
    </row>
    <row r="44" spans="1:3">
      <c r="A44" t="s">
        <v>80</v>
      </c>
      <c r="B44">
        <v>43</v>
      </c>
      <c r="C44" t="s">
        <v>80</v>
      </c>
    </row>
    <row r="45" spans="1:3">
      <c r="A45" t="s">
        <v>81</v>
      </c>
      <c r="B45">
        <v>44</v>
      </c>
      <c r="C45" t="s">
        <v>81</v>
      </c>
    </row>
    <row r="46" spans="1:3">
      <c r="A46" t="s">
        <v>82</v>
      </c>
      <c r="B46">
        <v>45</v>
      </c>
      <c r="C46" t="s">
        <v>82</v>
      </c>
    </row>
    <row r="47" spans="1:3">
      <c r="A47" t="s">
        <v>83</v>
      </c>
      <c r="B47">
        <v>46</v>
      </c>
      <c r="C47" t="s">
        <v>83</v>
      </c>
    </row>
    <row r="48" spans="1:3">
      <c r="A48" t="s">
        <v>85</v>
      </c>
      <c r="B48">
        <v>47</v>
      </c>
      <c r="C48" t="s">
        <v>85</v>
      </c>
    </row>
    <row r="49" spans="1:3">
      <c r="A49" t="s">
        <v>513</v>
      </c>
      <c r="B49">
        <v>48</v>
      </c>
      <c r="C49" t="s">
        <v>513</v>
      </c>
    </row>
    <row r="50" spans="1:3">
      <c r="A50" t="s">
        <v>523</v>
      </c>
      <c r="B50">
        <v>49</v>
      </c>
      <c r="C50" t="s">
        <v>523</v>
      </c>
    </row>
    <row r="51" spans="1:3">
      <c r="A51" t="s">
        <v>88</v>
      </c>
      <c r="B51">
        <v>50</v>
      </c>
      <c r="C51" t="s">
        <v>88</v>
      </c>
    </row>
    <row r="52" spans="1:3">
      <c r="A52" t="s">
        <v>512</v>
      </c>
      <c r="B52">
        <v>51</v>
      </c>
      <c r="C52" t="s">
        <v>512</v>
      </c>
    </row>
    <row r="53" spans="1:3">
      <c r="A53" t="s">
        <v>90</v>
      </c>
      <c r="B53">
        <v>52</v>
      </c>
      <c r="C53" t="s">
        <v>90</v>
      </c>
    </row>
    <row r="54" spans="1:3">
      <c r="A54" t="s">
        <v>91</v>
      </c>
      <c r="B54">
        <v>53</v>
      </c>
      <c r="C54" t="s">
        <v>91</v>
      </c>
    </row>
    <row r="55" spans="1:3">
      <c r="A55" t="s">
        <v>92</v>
      </c>
      <c r="B55">
        <v>54</v>
      </c>
      <c r="C55" t="s">
        <v>92</v>
      </c>
    </row>
    <row r="56" spans="1:3">
      <c r="A56" t="s">
        <v>93</v>
      </c>
      <c r="B56">
        <v>55</v>
      </c>
      <c r="C56" t="s">
        <v>93</v>
      </c>
    </row>
    <row r="57" spans="1:3">
      <c r="A57" t="s">
        <v>94</v>
      </c>
      <c r="B57">
        <v>56</v>
      </c>
      <c r="C57" t="s">
        <v>94</v>
      </c>
    </row>
    <row r="58" spans="1:3">
      <c r="A58" t="s">
        <v>95</v>
      </c>
      <c r="B58">
        <v>57</v>
      </c>
      <c r="C58" t="s">
        <v>95</v>
      </c>
    </row>
    <row r="59" spans="1:3">
      <c r="A59" t="s">
        <v>96</v>
      </c>
      <c r="B59">
        <v>58</v>
      </c>
      <c r="C59" t="s">
        <v>96</v>
      </c>
    </row>
    <row r="60" spans="1:3">
      <c r="A60" t="s">
        <v>97</v>
      </c>
      <c r="B60">
        <v>59</v>
      </c>
      <c r="C60" t="s">
        <v>97</v>
      </c>
    </row>
    <row r="61" spans="1:3">
      <c r="A61" t="s">
        <v>13</v>
      </c>
      <c r="B61">
        <v>60</v>
      </c>
      <c r="C61" t="s">
        <v>13</v>
      </c>
    </row>
    <row r="62" spans="1:3">
      <c r="A62" t="s">
        <v>98</v>
      </c>
      <c r="B62">
        <v>61</v>
      </c>
      <c r="C62" t="s">
        <v>98</v>
      </c>
    </row>
    <row r="63" spans="1:3">
      <c r="A63" t="s">
        <v>99</v>
      </c>
      <c r="B63">
        <v>62</v>
      </c>
      <c r="C63" t="s">
        <v>99</v>
      </c>
    </row>
    <row r="64" spans="1:3">
      <c r="A64" t="s">
        <v>100</v>
      </c>
      <c r="B64">
        <v>63</v>
      </c>
      <c r="C64" t="s">
        <v>100</v>
      </c>
    </row>
    <row r="65" spans="1:3">
      <c r="A65" t="s">
        <v>101</v>
      </c>
      <c r="B65">
        <v>64</v>
      </c>
      <c r="C65" t="s">
        <v>101</v>
      </c>
    </row>
    <row r="66" spans="1:3">
      <c r="A66" t="s">
        <v>362</v>
      </c>
      <c r="B66">
        <v>65</v>
      </c>
      <c r="C66" t="s">
        <v>362</v>
      </c>
    </row>
    <row r="67" spans="1:3">
      <c r="A67" t="s">
        <v>286</v>
      </c>
      <c r="B67">
        <v>66</v>
      </c>
      <c r="C67" t="s">
        <v>286</v>
      </c>
    </row>
    <row r="68" spans="1:3">
      <c r="A68" t="s">
        <v>288</v>
      </c>
      <c r="B68">
        <v>67</v>
      </c>
      <c r="C68" t="s">
        <v>288</v>
      </c>
    </row>
    <row r="69" spans="1:3">
      <c r="A69" t="s">
        <v>104</v>
      </c>
      <c r="B69">
        <v>68</v>
      </c>
      <c r="C69" t="s">
        <v>104</v>
      </c>
    </row>
    <row r="70" spans="1:3">
      <c r="A70" t="s">
        <v>105</v>
      </c>
      <c r="B70">
        <v>69</v>
      </c>
      <c r="C70" t="s">
        <v>105</v>
      </c>
    </row>
    <row r="71" spans="1:3">
      <c r="A71" t="s">
        <v>106</v>
      </c>
      <c r="B71">
        <v>70</v>
      </c>
      <c r="C71" t="s">
        <v>106</v>
      </c>
    </row>
    <row r="72" spans="1:3">
      <c r="A72" t="s">
        <v>522</v>
      </c>
      <c r="B72">
        <v>71</v>
      </c>
      <c r="C72" t="s">
        <v>522</v>
      </c>
    </row>
    <row r="73" spans="1:3">
      <c r="A73" t="s">
        <v>108</v>
      </c>
      <c r="B73">
        <v>72</v>
      </c>
      <c r="C73" t="s">
        <v>108</v>
      </c>
    </row>
    <row r="74" spans="1:3">
      <c r="A74" t="s">
        <v>353</v>
      </c>
      <c r="B74">
        <v>73</v>
      </c>
      <c r="C74" t="s">
        <v>353</v>
      </c>
    </row>
    <row r="75" spans="1:3">
      <c r="A75" t="s">
        <v>109</v>
      </c>
      <c r="B75">
        <v>74</v>
      </c>
      <c r="C75" t="s">
        <v>109</v>
      </c>
    </row>
    <row r="76" spans="1:3">
      <c r="A76" t="s">
        <v>355</v>
      </c>
      <c r="B76">
        <v>75</v>
      </c>
      <c r="C76" t="s">
        <v>355</v>
      </c>
    </row>
    <row r="77" spans="1:3">
      <c r="A77" t="s">
        <v>110</v>
      </c>
      <c r="B77">
        <v>76</v>
      </c>
      <c r="C77" t="s">
        <v>110</v>
      </c>
    </row>
    <row r="78" spans="1:3">
      <c r="A78" t="s">
        <v>111</v>
      </c>
      <c r="B78">
        <v>77</v>
      </c>
      <c r="C78" t="s">
        <v>111</v>
      </c>
    </row>
    <row r="79" spans="1:3">
      <c r="A79" t="s">
        <v>112</v>
      </c>
      <c r="B79">
        <v>78</v>
      </c>
      <c r="C79" t="s">
        <v>112</v>
      </c>
    </row>
    <row r="80" spans="1:3">
      <c r="A80" t="s">
        <v>113</v>
      </c>
      <c r="B80">
        <v>79</v>
      </c>
      <c r="C80" t="s">
        <v>113</v>
      </c>
    </row>
    <row r="81" spans="1:3">
      <c r="A81" t="s">
        <v>114</v>
      </c>
      <c r="B81">
        <v>80</v>
      </c>
      <c r="C81" t="s">
        <v>114</v>
      </c>
    </row>
    <row r="82" spans="1:3">
      <c r="A82" t="s">
        <v>115</v>
      </c>
      <c r="B82">
        <v>81</v>
      </c>
      <c r="C82" t="s">
        <v>115</v>
      </c>
    </row>
    <row r="83" spans="1:3">
      <c r="A83" t="s">
        <v>116</v>
      </c>
      <c r="B83">
        <v>82</v>
      </c>
      <c r="C83" t="s">
        <v>116</v>
      </c>
    </row>
    <row r="84" spans="1:3">
      <c r="A84" t="s">
        <v>117</v>
      </c>
      <c r="B84">
        <v>83</v>
      </c>
      <c r="C84" t="s">
        <v>117</v>
      </c>
    </row>
    <row r="85" spans="1:3">
      <c r="A85" t="s">
        <v>118</v>
      </c>
      <c r="B85">
        <v>84</v>
      </c>
      <c r="C85" t="s">
        <v>118</v>
      </c>
    </row>
    <row r="86" spans="1:3">
      <c r="A86" t="s">
        <v>119</v>
      </c>
      <c r="B86">
        <v>85</v>
      </c>
      <c r="C86" t="s">
        <v>119</v>
      </c>
    </row>
    <row r="87" spans="1:3">
      <c r="A87" t="s">
        <v>527</v>
      </c>
      <c r="B87">
        <v>86</v>
      </c>
      <c r="C87" t="s">
        <v>527</v>
      </c>
    </row>
    <row r="88" spans="1:3">
      <c r="A88" t="s">
        <v>121</v>
      </c>
      <c r="B88">
        <v>87</v>
      </c>
      <c r="C88" t="s">
        <v>121</v>
      </c>
    </row>
    <row r="89" spans="1:3">
      <c r="A89" t="s">
        <v>122</v>
      </c>
      <c r="B89">
        <v>88</v>
      </c>
      <c r="C89" t="s">
        <v>122</v>
      </c>
    </row>
    <row r="90" spans="1:3">
      <c r="A90" t="s">
        <v>123</v>
      </c>
      <c r="B90">
        <v>89</v>
      </c>
      <c r="C90" t="s">
        <v>123</v>
      </c>
    </row>
    <row r="91" spans="1:3">
      <c r="A91" t="s">
        <v>124</v>
      </c>
      <c r="B91">
        <v>90</v>
      </c>
      <c r="C91" t="s">
        <v>124</v>
      </c>
    </row>
    <row r="92" spans="1:3">
      <c r="A92" t="s">
        <v>526</v>
      </c>
      <c r="B92">
        <v>91</v>
      </c>
      <c r="C92" t="s">
        <v>526</v>
      </c>
    </row>
    <row r="93" spans="1:3">
      <c r="A93" t="s">
        <v>126</v>
      </c>
      <c r="B93">
        <v>92</v>
      </c>
      <c r="C93" t="s">
        <v>126</v>
      </c>
    </row>
    <row r="94" spans="1:3">
      <c r="A94" t="s">
        <v>127</v>
      </c>
      <c r="B94">
        <v>93</v>
      </c>
      <c r="C94" t="s">
        <v>127</v>
      </c>
    </row>
    <row r="95" spans="1:3">
      <c r="A95" t="s">
        <v>128</v>
      </c>
      <c r="B95">
        <v>94</v>
      </c>
      <c r="C95" t="s">
        <v>128</v>
      </c>
    </row>
    <row r="96" spans="1:3">
      <c r="A96" t="s">
        <v>129</v>
      </c>
      <c r="B96">
        <v>95</v>
      </c>
      <c r="C96" t="s">
        <v>129</v>
      </c>
    </row>
    <row r="97" spans="1:3">
      <c r="A97" t="s">
        <v>511</v>
      </c>
      <c r="B97">
        <v>96</v>
      </c>
      <c r="C97" t="s">
        <v>511</v>
      </c>
    </row>
    <row r="98" spans="1:3">
      <c r="A98" t="s">
        <v>131</v>
      </c>
      <c r="B98">
        <v>97</v>
      </c>
      <c r="C98" t="s">
        <v>131</v>
      </c>
    </row>
    <row r="99" spans="1:3">
      <c r="A99" t="s">
        <v>132</v>
      </c>
      <c r="B99">
        <v>98</v>
      </c>
      <c r="C99" t="s">
        <v>132</v>
      </c>
    </row>
    <row r="100" spans="1:3">
      <c r="A100" t="s">
        <v>133</v>
      </c>
      <c r="B100">
        <v>99</v>
      </c>
      <c r="C100" t="s">
        <v>133</v>
      </c>
    </row>
    <row r="101" spans="1:3">
      <c r="A101" t="s">
        <v>514</v>
      </c>
      <c r="B101">
        <v>100</v>
      </c>
      <c r="C101" t="s">
        <v>514</v>
      </c>
    </row>
    <row r="102" spans="1:3">
      <c r="A102" t="s">
        <v>135</v>
      </c>
      <c r="B102">
        <v>101</v>
      </c>
      <c r="C102" t="s">
        <v>135</v>
      </c>
    </row>
    <row r="103" spans="1:3">
      <c r="A103" t="s">
        <v>136</v>
      </c>
      <c r="B103">
        <v>102</v>
      </c>
      <c r="C103" t="s">
        <v>136</v>
      </c>
    </row>
    <row r="104" spans="1:3">
      <c r="A104" t="s">
        <v>137</v>
      </c>
      <c r="B104">
        <v>103</v>
      </c>
      <c r="C104" t="s">
        <v>137</v>
      </c>
    </row>
    <row r="105" spans="1:3">
      <c r="A105" t="s">
        <v>138</v>
      </c>
      <c r="B105">
        <v>104</v>
      </c>
      <c r="C105" t="s">
        <v>138</v>
      </c>
    </row>
    <row r="106" spans="1:3">
      <c r="A106" t="s">
        <v>139</v>
      </c>
      <c r="B106">
        <v>105</v>
      </c>
      <c r="C106" t="s">
        <v>139</v>
      </c>
    </row>
    <row r="107" spans="1:3">
      <c r="A107" t="s">
        <v>140</v>
      </c>
      <c r="B107">
        <v>106</v>
      </c>
      <c r="C107" t="s">
        <v>140</v>
      </c>
    </row>
    <row r="108" spans="1:3">
      <c r="A108" t="s">
        <v>141</v>
      </c>
      <c r="B108">
        <v>107</v>
      </c>
      <c r="C108" t="s">
        <v>141</v>
      </c>
    </row>
    <row r="109" spans="1:3">
      <c r="A109" t="s">
        <v>142</v>
      </c>
      <c r="B109">
        <v>108</v>
      </c>
      <c r="C109" t="s">
        <v>142</v>
      </c>
    </row>
    <row r="110" spans="1:3">
      <c r="A110" t="s">
        <v>143</v>
      </c>
      <c r="B110">
        <v>109</v>
      </c>
      <c r="C110" t="s">
        <v>143</v>
      </c>
    </row>
    <row r="111" spans="1:3">
      <c r="A111" t="s">
        <v>145</v>
      </c>
      <c r="B111">
        <v>110</v>
      </c>
      <c r="C111" t="s">
        <v>145</v>
      </c>
    </row>
    <row r="112" spans="1:3">
      <c r="A112" t="s">
        <v>146</v>
      </c>
      <c r="B112">
        <v>111</v>
      </c>
      <c r="C112" t="s">
        <v>146</v>
      </c>
    </row>
    <row r="113" spans="1:3">
      <c r="A113" t="s">
        <v>147</v>
      </c>
      <c r="B113">
        <v>112</v>
      </c>
      <c r="C113" t="s">
        <v>147</v>
      </c>
    </row>
    <row r="114" spans="1:3">
      <c r="A114" t="s">
        <v>148</v>
      </c>
      <c r="B114">
        <v>113</v>
      </c>
      <c r="C114" t="s">
        <v>148</v>
      </c>
    </row>
    <row r="115" spans="1:3">
      <c r="A115" t="s">
        <v>149</v>
      </c>
      <c r="B115">
        <v>114</v>
      </c>
      <c r="C115" t="s">
        <v>149</v>
      </c>
    </row>
    <row r="116" spans="1:3">
      <c r="A116" t="s">
        <v>150</v>
      </c>
      <c r="B116">
        <v>115</v>
      </c>
      <c r="C116" t="s">
        <v>150</v>
      </c>
    </row>
    <row r="117" spans="1:3">
      <c r="A117" t="s">
        <v>151</v>
      </c>
      <c r="B117">
        <v>116</v>
      </c>
      <c r="C117" t="s">
        <v>151</v>
      </c>
    </row>
    <row r="118" spans="1:3">
      <c r="A118" t="s">
        <v>152</v>
      </c>
      <c r="B118">
        <v>117</v>
      </c>
      <c r="C118" t="s">
        <v>152</v>
      </c>
    </row>
    <row r="119" spans="1:3">
      <c r="A119" t="s">
        <v>153</v>
      </c>
      <c r="B119">
        <v>118</v>
      </c>
      <c r="C119" t="s">
        <v>153</v>
      </c>
    </row>
    <row r="120" spans="1:3">
      <c r="A120" t="s">
        <v>154</v>
      </c>
      <c r="B120">
        <v>119</v>
      </c>
      <c r="C120" t="s">
        <v>154</v>
      </c>
    </row>
    <row r="121" spans="1:3">
      <c r="A121" t="s">
        <v>155</v>
      </c>
      <c r="B121">
        <v>120</v>
      </c>
      <c r="C121" t="s">
        <v>155</v>
      </c>
    </row>
    <row r="122" spans="1:3">
      <c r="A122" t="s">
        <v>156</v>
      </c>
      <c r="B122">
        <v>121</v>
      </c>
      <c r="C122" t="s">
        <v>156</v>
      </c>
    </row>
    <row r="123" spans="1:3">
      <c r="A123" t="s">
        <v>157</v>
      </c>
      <c r="B123">
        <v>122</v>
      </c>
      <c r="C123" t="s">
        <v>157</v>
      </c>
    </row>
    <row r="124" spans="1:3">
      <c r="A124" t="s">
        <v>158</v>
      </c>
      <c r="B124">
        <v>123</v>
      </c>
      <c r="C124" t="s">
        <v>158</v>
      </c>
    </row>
    <row r="125" spans="1:3">
      <c r="A125" t="s">
        <v>159</v>
      </c>
      <c r="B125">
        <v>124</v>
      </c>
      <c r="C125" t="s">
        <v>159</v>
      </c>
    </row>
    <row r="126" spans="1:3">
      <c r="A126" t="s">
        <v>160</v>
      </c>
      <c r="B126">
        <v>125</v>
      </c>
      <c r="C126" t="s">
        <v>160</v>
      </c>
    </row>
    <row r="127" spans="1:3">
      <c r="A127" t="s">
        <v>161</v>
      </c>
      <c r="B127">
        <v>126</v>
      </c>
      <c r="C127" t="s">
        <v>161</v>
      </c>
    </row>
    <row r="128" spans="1:3">
      <c r="A128" t="s">
        <v>162</v>
      </c>
      <c r="B128">
        <v>127</v>
      </c>
      <c r="C128" t="s">
        <v>162</v>
      </c>
    </row>
    <row r="129" spans="1:3">
      <c r="A129" t="s">
        <v>163</v>
      </c>
      <c r="B129">
        <v>128</v>
      </c>
      <c r="C129" t="s">
        <v>163</v>
      </c>
    </row>
    <row r="130" spans="1:3">
      <c r="A130" t="s">
        <v>164</v>
      </c>
      <c r="B130">
        <v>129</v>
      </c>
      <c r="C130" t="s">
        <v>164</v>
      </c>
    </row>
    <row r="131" spans="1:3">
      <c r="A131" t="s">
        <v>165</v>
      </c>
      <c r="B131">
        <v>130</v>
      </c>
      <c r="C131" t="s">
        <v>165</v>
      </c>
    </row>
    <row r="132" spans="1:3">
      <c r="A132" t="s">
        <v>379</v>
      </c>
      <c r="B132">
        <v>131</v>
      </c>
      <c r="C132" t="s">
        <v>379</v>
      </c>
    </row>
    <row r="133" spans="1:3">
      <c r="A133" t="s">
        <v>167</v>
      </c>
      <c r="B133">
        <v>132</v>
      </c>
      <c r="C133" t="s">
        <v>167</v>
      </c>
    </row>
    <row r="134" spans="1:3">
      <c r="A134" t="s">
        <v>168</v>
      </c>
      <c r="B134">
        <v>133</v>
      </c>
      <c r="C134" t="s">
        <v>168</v>
      </c>
    </row>
    <row r="135" spans="1:3">
      <c r="A135" t="s">
        <v>169</v>
      </c>
      <c r="B135">
        <v>134</v>
      </c>
      <c r="C135" t="s">
        <v>169</v>
      </c>
    </row>
    <row r="136" spans="1:3">
      <c r="A136" t="s">
        <v>170</v>
      </c>
      <c r="B136">
        <v>135</v>
      </c>
      <c r="C136" t="s">
        <v>170</v>
      </c>
    </row>
    <row r="137" spans="1:3">
      <c r="A137" t="s">
        <v>171</v>
      </c>
      <c r="B137">
        <v>136</v>
      </c>
      <c r="C137" t="s">
        <v>171</v>
      </c>
    </row>
    <row r="138" spans="1:3">
      <c r="A138" t="s">
        <v>172</v>
      </c>
      <c r="B138">
        <v>137</v>
      </c>
      <c r="C138" t="s">
        <v>172</v>
      </c>
    </row>
    <row r="139" spans="1:3">
      <c r="A139" t="s">
        <v>173</v>
      </c>
      <c r="B139">
        <v>138</v>
      </c>
      <c r="C139" t="s">
        <v>173</v>
      </c>
    </row>
    <row r="140" spans="1:3">
      <c r="A140" t="s">
        <v>174</v>
      </c>
      <c r="B140">
        <v>139</v>
      </c>
      <c r="C140" t="s">
        <v>174</v>
      </c>
    </row>
    <row r="141" spans="1:3">
      <c r="A141" t="s">
        <v>175</v>
      </c>
      <c r="B141">
        <v>140</v>
      </c>
      <c r="C141" t="s">
        <v>175</v>
      </c>
    </row>
    <row r="142" spans="1:3">
      <c r="A142" t="s">
        <v>176</v>
      </c>
      <c r="B142">
        <v>141</v>
      </c>
      <c r="C142" t="s">
        <v>176</v>
      </c>
    </row>
    <row r="143" spans="1:3">
      <c r="A143" t="s">
        <v>177</v>
      </c>
      <c r="B143">
        <v>142</v>
      </c>
      <c r="C143" t="s">
        <v>177</v>
      </c>
    </row>
    <row r="144" spans="1:3">
      <c r="A144" t="s">
        <v>178</v>
      </c>
      <c r="B144">
        <v>143</v>
      </c>
      <c r="C144" t="s">
        <v>178</v>
      </c>
    </row>
    <row r="145" spans="1:3">
      <c r="A145" t="s">
        <v>179</v>
      </c>
      <c r="B145">
        <v>144</v>
      </c>
      <c r="C145" t="s">
        <v>179</v>
      </c>
    </row>
    <row r="146" spans="1:3">
      <c r="A146" t="s">
        <v>180</v>
      </c>
      <c r="B146">
        <v>145</v>
      </c>
      <c r="C146" t="s">
        <v>180</v>
      </c>
    </row>
    <row r="147" spans="1:3">
      <c r="A147" t="s">
        <v>181</v>
      </c>
      <c r="B147">
        <v>146</v>
      </c>
      <c r="C147" t="s">
        <v>181</v>
      </c>
    </row>
    <row r="148" spans="1:3">
      <c r="A148" t="s">
        <v>183</v>
      </c>
      <c r="B148">
        <v>147</v>
      </c>
      <c r="C148" t="s">
        <v>183</v>
      </c>
    </row>
    <row r="149" spans="1:3">
      <c r="A149" t="s">
        <v>184</v>
      </c>
      <c r="B149">
        <v>148</v>
      </c>
      <c r="C149" t="s">
        <v>184</v>
      </c>
    </row>
    <row r="150" spans="1:3">
      <c r="A150" t="s">
        <v>185</v>
      </c>
      <c r="B150">
        <v>149</v>
      </c>
      <c r="C150" t="s">
        <v>185</v>
      </c>
    </row>
    <row r="151" spans="1:3">
      <c r="A151" t="s">
        <v>186</v>
      </c>
      <c r="B151">
        <v>150</v>
      </c>
      <c r="C151" t="s">
        <v>186</v>
      </c>
    </row>
    <row r="152" spans="1:3">
      <c r="A152" t="s">
        <v>187</v>
      </c>
      <c r="B152">
        <v>151</v>
      </c>
      <c r="C152" t="s">
        <v>187</v>
      </c>
    </row>
    <row r="153" spans="1:3">
      <c r="A153" t="s">
        <v>188</v>
      </c>
      <c r="B153">
        <v>152</v>
      </c>
      <c r="C153" t="s">
        <v>188</v>
      </c>
    </row>
    <row r="154" spans="1:3">
      <c r="A154" t="s">
        <v>189</v>
      </c>
      <c r="B154">
        <v>153</v>
      </c>
      <c r="C154" t="s">
        <v>189</v>
      </c>
    </row>
    <row r="155" spans="1:3">
      <c r="A155" t="s">
        <v>190</v>
      </c>
      <c r="B155">
        <v>154</v>
      </c>
      <c r="C155" t="s">
        <v>190</v>
      </c>
    </row>
    <row r="156" spans="1:3">
      <c r="A156" t="s">
        <v>191</v>
      </c>
      <c r="B156">
        <v>155</v>
      </c>
      <c r="C156" t="s">
        <v>191</v>
      </c>
    </row>
    <row r="157" spans="1:3">
      <c r="A157" t="s">
        <v>192</v>
      </c>
      <c r="B157">
        <v>156</v>
      </c>
      <c r="C157" t="s">
        <v>192</v>
      </c>
    </row>
    <row r="158" spans="1:3">
      <c r="A158" t="s">
        <v>193</v>
      </c>
      <c r="B158">
        <v>157</v>
      </c>
      <c r="C158" t="s">
        <v>193</v>
      </c>
    </row>
    <row r="159" spans="1:3">
      <c r="A159" t="s">
        <v>194</v>
      </c>
      <c r="B159">
        <v>158</v>
      </c>
      <c r="C159" t="s">
        <v>194</v>
      </c>
    </row>
    <row r="160" spans="1:3">
      <c r="A160" t="s">
        <v>195</v>
      </c>
      <c r="B160">
        <v>159</v>
      </c>
      <c r="C160" t="s">
        <v>195</v>
      </c>
    </row>
    <row r="161" spans="1:3">
      <c r="A161" t="s">
        <v>196</v>
      </c>
      <c r="B161">
        <v>160</v>
      </c>
      <c r="C161" t="s">
        <v>196</v>
      </c>
    </row>
    <row r="162" spans="1:3">
      <c r="A162" t="s">
        <v>399</v>
      </c>
      <c r="B162">
        <v>161</v>
      </c>
      <c r="C162" t="s">
        <v>399</v>
      </c>
    </row>
    <row r="163" spans="1:3">
      <c r="A163" t="s">
        <v>198</v>
      </c>
      <c r="B163">
        <v>162</v>
      </c>
      <c r="C163" t="s">
        <v>198</v>
      </c>
    </row>
    <row r="164" spans="1:3">
      <c r="A164" t="s">
        <v>199</v>
      </c>
      <c r="B164">
        <v>163</v>
      </c>
      <c r="C164" t="s">
        <v>199</v>
      </c>
    </row>
    <row r="165" spans="1:3">
      <c r="A165" t="s">
        <v>200</v>
      </c>
      <c r="B165">
        <v>164</v>
      </c>
      <c r="C165" t="s">
        <v>200</v>
      </c>
    </row>
    <row r="166" spans="1:3">
      <c r="A166" t="s">
        <v>201</v>
      </c>
      <c r="B166">
        <v>165</v>
      </c>
      <c r="C166" t="s">
        <v>201</v>
      </c>
    </row>
    <row r="167" spans="1:3">
      <c r="A167" t="s">
        <v>202</v>
      </c>
      <c r="B167">
        <v>166</v>
      </c>
      <c r="C167" t="s">
        <v>202</v>
      </c>
    </row>
    <row r="168" spans="1:3">
      <c r="A168" t="s">
        <v>203</v>
      </c>
      <c r="B168">
        <v>167</v>
      </c>
      <c r="C168" t="s">
        <v>203</v>
      </c>
    </row>
    <row r="169" spans="1:3">
      <c r="A169" t="s">
        <v>204</v>
      </c>
      <c r="B169">
        <v>168</v>
      </c>
      <c r="C169" t="s">
        <v>204</v>
      </c>
    </row>
    <row r="170" spans="1:3">
      <c r="A170" t="s">
        <v>205</v>
      </c>
      <c r="B170">
        <v>169</v>
      </c>
      <c r="C170" t="s">
        <v>205</v>
      </c>
    </row>
    <row r="171" spans="1:3">
      <c r="A171" t="s">
        <v>206</v>
      </c>
      <c r="B171">
        <v>170</v>
      </c>
      <c r="C171" t="s">
        <v>206</v>
      </c>
    </row>
    <row r="172" spans="1:3">
      <c r="A172" t="s">
        <v>207</v>
      </c>
      <c r="B172">
        <v>171</v>
      </c>
      <c r="C172" t="s">
        <v>207</v>
      </c>
    </row>
    <row r="173" spans="1:3">
      <c r="A173" t="s">
        <v>209</v>
      </c>
      <c r="B173">
        <v>172</v>
      </c>
      <c r="C173" t="s">
        <v>209</v>
      </c>
    </row>
    <row r="174" spans="1:3">
      <c r="A174" t="s">
        <v>210</v>
      </c>
      <c r="B174">
        <v>173</v>
      </c>
      <c r="C174" t="s">
        <v>210</v>
      </c>
    </row>
    <row r="175" spans="1:3">
      <c r="A175" t="s">
        <v>211</v>
      </c>
      <c r="B175">
        <v>174</v>
      </c>
      <c r="C175" t="s">
        <v>211</v>
      </c>
    </row>
    <row r="176" spans="1:3">
      <c r="A176" t="s">
        <v>213</v>
      </c>
      <c r="B176">
        <v>175</v>
      </c>
      <c r="C176" t="s">
        <v>213</v>
      </c>
    </row>
    <row r="177" spans="1:3">
      <c r="A177" t="s">
        <v>214</v>
      </c>
      <c r="B177">
        <v>176</v>
      </c>
      <c r="C177" t="s">
        <v>214</v>
      </c>
    </row>
    <row r="178" spans="1:3">
      <c r="A178" t="s">
        <v>216</v>
      </c>
      <c r="B178">
        <v>177</v>
      </c>
      <c r="C178" t="s">
        <v>216</v>
      </c>
    </row>
    <row r="179" spans="1:3">
      <c r="A179" t="s">
        <v>217</v>
      </c>
      <c r="B179">
        <v>178</v>
      </c>
      <c r="C179" t="s">
        <v>217</v>
      </c>
    </row>
    <row r="180" spans="1:3">
      <c r="A180" t="s">
        <v>218</v>
      </c>
      <c r="B180">
        <v>179</v>
      </c>
      <c r="C180" t="s">
        <v>218</v>
      </c>
    </row>
    <row r="181" spans="1:3">
      <c r="A181" t="s">
        <v>219</v>
      </c>
      <c r="B181">
        <v>180</v>
      </c>
      <c r="C181" t="s">
        <v>219</v>
      </c>
    </row>
    <row r="182" spans="1:3">
      <c r="A182" t="s">
        <v>220</v>
      </c>
      <c r="B182">
        <v>181</v>
      </c>
      <c r="C182" t="s">
        <v>220</v>
      </c>
    </row>
    <row r="183" spans="1:3">
      <c r="A183" t="s">
        <v>221</v>
      </c>
      <c r="B183">
        <v>182</v>
      </c>
      <c r="C183" t="s">
        <v>221</v>
      </c>
    </row>
    <row r="184" spans="1:3">
      <c r="A184" t="s">
        <v>222</v>
      </c>
      <c r="B184">
        <v>183</v>
      </c>
      <c r="C184" t="s">
        <v>222</v>
      </c>
    </row>
    <row r="185" spans="1:3">
      <c r="A185" t="s">
        <v>223</v>
      </c>
      <c r="B185">
        <v>184</v>
      </c>
      <c r="C185" t="s">
        <v>223</v>
      </c>
    </row>
    <row r="186" spans="1:3">
      <c r="A186" t="s">
        <v>224</v>
      </c>
      <c r="B186">
        <v>185</v>
      </c>
      <c r="C186" t="s">
        <v>224</v>
      </c>
    </row>
    <row r="187" spans="1:3">
      <c r="A187" t="s">
        <v>225</v>
      </c>
      <c r="B187">
        <v>186</v>
      </c>
      <c r="C187" t="s">
        <v>225</v>
      </c>
    </row>
    <row r="188" spans="1:3">
      <c r="A188" t="s">
        <v>226</v>
      </c>
      <c r="B188">
        <v>187</v>
      </c>
      <c r="C188" t="s">
        <v>226</v>
      </c>
    </row>
    <row r="189" spans="1:3">
      <c r="A189" t="s">
        <v>227</v>
      </c>
      <c r="B189">
        <v>188</v>
      </c>
      <c r="C189" t="s">
        <v>227</v>
      </c>
    </row>
    <row r="190" spans="1:3">
      <c r="A190" t="s">
        <v>228</v>
      </c>
      <c r="B190">
        <v>189</v>
      </c>
      <c r="C190" t="s">
        <v>228</v>
      </c>
    </row>
    <row r="191" spans="1:3">
      <c r="A191" t="s">
        <v>229</v>
      </c>
      <c r="B191">
        <v>190</v>
      </c>
      <c r="C191" t="s">
        <v>229</v>
      </c>
    </row>
    <row r="192" spans="1:3">
      <c r="A192" t="s">
        <v>230</v>
      </c>
      <c r="B192">
        <v>191</v>
      </c>
      <c r="C192" t="s">
        <v>230</v>
      </c>
    </row>
    <row r="193" spans="1:3">
      <c r="A193" t="s">
        <v>231</v>
      </c>
      <c r="B193">
        <v>192</v>
      </c>
      <c r="C193" t="s">
        <v>231</v>
      </c>
    </row>
    <row r="194" spans="1:3">
      <c r="A194" t="s">
        <v>232</v>
      </c>
      <c r="B194">
        <v>193</v>
      </c>
      <c r="C194" t="s">
        <v>232</v>
      </c>
    </row>
    <row r="195" spans="1:3">
      <c r="A195" t="s">
        <v>233</v>
      </c>
      <c r="B195">
        <v>194</v>
      </c>
      <c r="C195" t="s">
        <v>233</v>
      </c>
    </row>
    <row r="196" spans="1:3">
      <c r="A196" t="s">
        <v>234</v>
      </c>
      <c r="B196">
        <v>195</v>
      </c>
      <c r="C196" t="s">
        <v>234</v>
      </c>
    </row>
    <row r="197" spans="1:3">
      <c r="A197" t="s">
        <v>235</v>
      </c>
      <c r="B197">
        <v>196</v>
      </c>
      <c r="C197" t="s">
        <v>235</v>
      </c>
    </row>
    <row r="198" spans="1:3">
      <c r="A198" t="s">
        <v>236</v>
      </c>
      <c r="B198">
        <v>197</v>
      </c>
      <c r="C198" t="s">
        <v>236</v>
      </c>
    </row>
    <row r="199" spans="1:3">
      <c r="A199" t="s">
        <v>237</v>
      </c>
      <c r="B199">
        <v>198</v>
      </c>
      <c r="C199" t="s">
        <v>237</v>
      </c>
    </row>
    <row r="200" spans="1:3">
      <c r="A200" t="s">
        <v>238</v>
      </c>
      <c r="B200">
        <v>199</v>
      </c>
      <c r="C200" t="s">
        <v>238</v>
      </c>
    </row>
    <row r="201" spans="1:3">
      <c r="A201" t="s">
        <v>239</v>
      </c>
      <c r="B201">
        <v>200</v>
      </c>
      <c r="C201" t="s">
        <v>239</v>
      </c>
    </row>
    <row r="202" spans="1:3">
      <c r="A202" t="s">
        <v>240</v>
      </c>
      <c r="B202">
        <v>201</v>
      </c>
      <c r="C202" t="s">
        <v>240</v>
      </c>
    </row>
    <row r="203" spans="1:3">
      <c r="A203" t="s">
        <v>241</v>
      </c>
      <c r="B203">
        <v>202</v>
      </c>
      <c r="C203" t="s">
        <v>241</v>
      </c>
    </row>
    <row r="204" spans="1:3">
      <c r="A204" t="s">
        <v>243</v>
      </c>
      <c r="B204">
        <v>203</v>
      </c>
      <c r="C204" t="s">
        <v>243</v>
      </c>
    </row>
    <row r="205" spans="1:3">
      <c r="A205" t="s">
        <v>244</v>
      </c>
      <c r="B205">
        <v>204</v>
      </c>
      <c r="C205" t="s">
        <v>244</v>
      </c>
    </row>
    <row r="206" spans="1:3">
      <c r="A206" t="s">
        <v>245</v>
      </c>
      <c r="B206">
        <v>205</v>
      </c>
      <c r="C206" t="s">
        <v>245</v>
      </c>
    </row>
    <row r="207" spans="1:3">
      <c r="A207" t="s">
        <v>246</v>
      </c>
      <c r="B207">
        <v>206</v>
      </c>
      <c r="C207" t="s">
        <v>246</v>
      </c>
    </row>
    <row r="208" spans="1:3">
      <c r="A208" t="s">
        <v>247</v>
      </c>
      <c r="B208">
        <v>207</v>
      </c>
      <c r="C208" t="s">
        <v>247</v>
      </c>
    </row>
    <row r="209" spans="1:3">
      <c r="A209" t="s">
        <v>248</v>
      </c>
      <c r="B209">
        <v>208</v>
      </c>
      <c r="C209" t="s">
        <v>248</v>
      </c>
    </row>
    <row r="210" spans="1:3">
      <c r="A210" t="s">
        <v>249</v>
      </c>
      <c r="B210">
        <v>209</v>
      </c>
      <c r="C210" t="s">
        <v>249</v>
      </c>
    </row>
    <row r="211" spans="1:3">
      <c r="A211" t="s">
        <v>250</v>
      </c>
      <c r="B211">
        <v>210</v>
      </c>
      <c r="C211" t="s">
        <v>250</v>
      </c>
    </row>
    <row r="212" spans="1:3">
      <c r="A212" t="s">
        <v>253</v>
      </c>
      <c r="B212">
        <v>211</v>
      </c>
      <c r="C212" t="s">
        <v>253</v>
      </c>
    </row>
    <row r="213" spans="1:3">
      <c r="A213" t="s">
        <v>254</v>
      </c>
      <c r="B213">
        <v>212</v>
      </c>
      <c r="C213" t="s">
        <v>254</v>
      </c>
    </row>
    <row r="214" spans="1:3">
      <c r="A214" t="s">
        <v>256</v>
      </c>
      <c r="B214">
        <v>213</v>
      </c>
      <c r="C214" t="s">
        <v>256</v>
      </c>
    </row>
    <row r="215" spans="1:3">
      <c r="A215" t="s">
        <v>257</v>
      </c>
      <c r="B215">
        <v>214</v>
      </c>
      <c r="C215" t="s">
        <v>257</v>
      </c>
    </row>
    <row r="216" spans="1:3">
      <c r="A216" t="s">
        <v>258</v>
      </c>
      <c r="B216">
        <v>215</v>
      </c>
      <c r="C216" t="s">
        <v>258</v>
      </c>
    </row>
    <row r="217" spans="1:3">
      <c r="A217" t="s">
        <v>259</v>
      </c>
      <c r="B217">
        <v>216</v>
      </c>
      <c r="C217" t="s">
        <v>259</v>
      </c>
    </row>
    <row r="218" spans="1:3">
      <c r="A218" t="s">
        <v>260</v>
      </c>
      <c r="B218">
        <v>217</v>
      </c>
      <c r="C218" t="s">
        <v>260</v>
      </c>
    </row>
    <row r="219" spans="1:3">
      <c r="A219" t="s">
        <v>262</v>
      </c>
      <c r="B219">
        <v>218</v>
      </c>
      <c r="C219" t="s">
        <v>262</v>
      </c>
    </row>
    <row r="220" spans="1:3">
      <c r="A220" t="s">
        <v>263</v>
      </c>
      <c r="B220">
        <v>219</v>
      </c>
      <c r="C220" t="s">
        <v>263</v>
      </c>
    </row>
    <row r="221" spans="1:3">
      <c r="A221" t="s">
        <v>264</v>
      </c>
      <c r="B221">
        <v>220</v>
      </c>
      <c r="C221" t="s">
        <v>264</v>
      </c>
    </row>
    <row r="222" spans="1:3">
      <c r="A222" t="s">
        <v>265</v>
      </c>
      <c r="B222">
        <v>221</v>
      </c>
      <c r="C222" t="s">
        <v>265</v>
      </c>
    </row>
    <row r="223" spans="1:3">
      <c r="A223" t="s">
        <v>267</v>
      </c>
      <c r="B223">
        <v>222</v>
      </c>
      <c r="C223" t="s">
        <v>267</v>
      </c>
    </row>
    <row r="224" spans="1:3">
      <c r="A224" t="s">
        <v>268</v>
      </c>
      <c r="B224">
        <v>223</v>
      </c>
      <c r="C224" t="s">
        <v>268</v>
      </c>
    </row>
    <row r="225" spans="1:3">
      <c r="A225" t="s">
        <v>269</v>
      </c>
      <c r="B225">
        <v>224</v>
      </c>
      <c r="C225" t="s">
        <v>269</v>
      </c>
    </row>
    <row r="226" spans="1:3">
      <c r="A226" t="s">
        <v>270</v>
      </c>
      <c r="B226">
        <v>225</v>
      </c>
      <c r="C226" t="s">
        <v>270</v>
      </c>
    </row>
    <row r="227" spans="1:3">
      <c r="A227" t="s">
        <v>351</v>
      </c>
      <c r="B227">
        <v>226</v>
      </c>
      <c r="C227" t="s">
        <v>351</v>
      </c>
    </row>
    <row r="228" spans="1:3">
      <c r="A228" t="s">
        <v>272</v>
      </c>
      <c r="B228">
        <v>227</v>
      </c>
      <c r="C228" t="s">
        <v>272</v>
      </c>
    </row>
    <row r="229" spans="1:3">
      <c r="A229" t="s">
        <v>273</v>
      </c>
      <c r="B229">
        <v>228</v>
      </c>
      <c r="C229" t="s">
        <v>273</v>
      </c>
    </row>
    <row r="230" spans="1:3">
      <c r="A230" t="s">
        <v>274</v>
      </c>
      <c r="B230">
        <v>229</v>
      </c>
      <c r="C230" t="s">
        <v>274</v>
      </c>
    </row>
    <row r="231" spans="1:3">
      <c r="A231" t="s">
        <v>275</v>
      </c>
      <c r="B231">
        <v>230</v>
      </c>
      <c r="C231" t="s">
        <v>275</v>
      </c>
    </row>
    <row r="232" spans="1:3">
      <c r="A232" t="s">
        <v>276</v>
      </c>
      <c r="B232">
        <v>231</v>
      </c>
      <c r="C232" t="s">
        <v>276</v>
      </c>
    </row>
    <row r="233" spans="1:3">
      <c r="A233" t="s">
        <v>277</v>
      </c>
      <c r="B233">
        <v>232</v>
      </c>
      <c r="C233" t="s">
        <v>277</v>
      </c>
    </row>
    <row r="234" spans="1:3">
      <c r="A234" t="s">
        <v>278</v>
      </c>
      <c r="B234">
        <v>233</v>
      </c>
      <c r="C234" t="s">
        <v>278</v>
      </c>
    </row>
    <row r="235" spans="1:3">
      <c r="A235" t="s">
        <v>279</v>
      </c>
      <c r="B235">
        <v>234</v>
      </c>
      <c r="C235" t="s">
        <v>279</v>
      </c>
    </row>
    <row r="236" spans="1:3">
      <c r="A236" t="s">
        <v>280</v>
      </c>
      <c r="B236">
        <v>235</v>
      </c>
      <c r="C236" t="s">
        <v>280</v>
      </c>
    </row>
    <row r="237" spans="1:3">
      <c r="A237" t="s">
        <v>281</v>
      </c>
      <c r="B237">
        <v>236</v>
      </c>
      <c r="C237" t="s">
        <v>281</v>
      </c>
    </row>
    <row r="238" spans="1:3">
      <c r="A238" t="s">
        <v>282</v>
      </c>
      <c r="B238">
        <v>237</v>
      </c>
      <c r="C238" t="s">
        <v>282</v>
      </c>
    </row>
    <row r="239" spans="1:3">
      <c r="A239" t="s">
        <v>283</v>
      </c>
      <c r="B239">
        <v>238</v>
      </c>
      <c r="C239" t="s">
        <v>283</v>
      </c>
    </row>
    <row r="240" spans="1:3">
      <c r="A240" t="s">
        <v>284</v>
      </c>
      <c r="B240">
        <v>239</v>
      </c>
      <c r="C240" t="s">
        <v>284</v>
      </c>
    </row>
    <row r="241" spans="1:3">
      <c r="A241" t="s">
        <v>285</v>
      </c>
      <c r="B241">
        <v>240</v>
      </c>
      <c r="C241" t="s">
        <v>285</v>
      </c>
    </row>
    <row r="242" spans="1:3">
      <c r="A242" t="s">
        <v>287</v>
      </c>
      <c r="B242">
        <v>241</v>
      </c>
      <c r="C242" t="s">
        <v>287</v>
      </c>
    </row>
    <row r="243" spans="1:3">
      <c r="A243" t="s">
        <v>289</v>
      </c>
      <c r="B243">
        <v>242</v>
      </c>
      <c r="C243" t="s">
        <v>289</v>
      </c>
    </row>
    <row r="244" spans="1:3">
      <c r="A244" t="s">
        <v>290</v>
      </c>
      <c r="B244">
        <v>243</v>
      </c>
      <c r="C244" t="s">
        <v>290</v>
      </c>
    </row>
    <row r="245" spans="1:3">
      <c r="A245" t="s">
        <v>291</v>
      </c>
      <c r="B245">
        <v>244</v>
      </c>
      <c r="C245" t="s">
        <v>291</v>
      </c>
    </row>
    <row r="246" spans="1:3">
      <c r="A246" t="s">
        <v>292</v>
      </c>
      <c r="B246">
        <v>245</v>
      </c>
      <c r="C246" t="s">
        <v>292</v>
      </c>
    </row>
    <row r="247" spans="1:3">
      <c r="A247" t="s">
        <v>293</v>
      </c>
      <c r="B247">
        <v>246</v>
      </c>
      <c r="C247" t="s">
        <v>293</v>
      </c>
    </row>
    <row r="248" spans="1:3">
      <c r="A248" t="s">
        <v>294</v>
      </c>
      <c r="B248">
        <v>247</v>
      </c>
      <c r="C248" t="s">
        <v>294</v>
      </c>
    </row>
    <row r="249" spans="1:3">
      <c r="A249" t="s">
        <v>299</v>
      </c>
      <c r="B249">
        <v>248</v>
      </c>
      <c r="C249" t="s">
        <v>299</v>
      </c>
    </row>
    <row r="250" spans="1:3">
      <c r="A250" t="s">
        <v>300</v>
      </c>
      <c r="B250">
        <v>249</v>
      </c>
      <c r="C250" t="s">
        <v>300</v>
      </c>
    </row>
    <row r="251" spans="1:3">
      <c r="A251" t="s">
        <v>301</v>
      </c>
      <c r="B251">
        <v>250</v>
      </c>
      <c r="C251" t="s">
        <v>301</v>
      </c>
    </row>
    <row r="252" spans="1:3">
      <c r="A252" t="s">
        <v>302</v>
      </c>
      <c r="B252">
        <v>251</v>
      </c>
      <c r="C252" t="s">
        <v>302</v>
      </c>
    </row>
    <row r="253" spans="1:3">
      <c r="A253" t="s">
        <v>303</v>
      </c>
      <c r="B253">
        <v>252</v>
      </c>
      <c r="C253" t="s">
        <v>303</v>
      </c>
    </row>
    <row r="254" spans="1:3">
      <c r="A254" t="s">
        <v>304</v>
      </c>
      <c r="B254">
        <v>253</v>
      </c>
      <c r="C254" t="s">
        <v>304</v>
      </c>
    </row>
    <row r="255" spans="1:3">
      <c r="A255" t="s">
        <v>305</v>
      </c>
      <c r="B255">
        <v>254</v>
      </c>
      <c r="C255" t="s">
        <v>305</v>
      </c>
    </row>
    <row r="256" spans="1:3">
      <c r="A256" t="s">
        <v>306</v>
      </c>
      <c r="B256">
        <v>255</v>
      </c>
      <c r="C256" t="s">
        <v>306</v>
      </c>
    </row>
    <row r="257" spans="1:3">
      <c r="A257" t="s">
        <v>307</v>
      </c>
      <c r="B257">
        <v>256</v>
      </c>
      <c r="C257" t="s">
        <v>307</v>
      </c>
    </row>
    <row r="258" spans="1:3">
      <c r="A258" t="s">
        <v>308</v>
      </c>
      <c r="B258">
        <v>257</v>
      </c>
      <c r="C258" t="s">
        <v>308</v>
      </c>
    </row>
    <row r="259" spans="1:3">
      <c r="A259" t="s">
        <v>309</v>
      </c>
      <c r="B259">
        <v>258</v>
      </c>
      <c r="C259" t="s">
        <v>309</v>
      </c>
    </row>
    <row r="260" spans="1:3">
      <c r="A260" t="s">
        <v>310</v>
      </c>
      <c r="B260">
        <v>259</v>
      </c>
      <c r="C260" t="s">
        <v>310</v>
      </c>
    </row>
    <row r="261" spans="1:3">
      <c r="A261" t="s">
        <v>311</v>
      </c>
      <c r="B261">
        <v>260</v>
      </c>
      <c r="C261" t="s">
        <v>311</v>
      </c>
    </row>
    <row r="262" spans="1:3">
      <c r="A262" t="s">
        <v>515</v>
      </c>
      <c r="B262">
        <v>261</v>
      </c>
      <c r="C262" t="s">
        <v>515</v>
      </c>
    </row>
    <row r="263" spans="1:3">
      <c r="A263" t="s">
        <v>313</v>
      </c>
      <c r="B263">
        <v>262</v>
      </c>
      <c r="C263" t="s">
        <v>313</v>
      </c>
    </row>
    <row r="264" spans="1:3">
      <c r="A264" t="s">
        <v>314</v>
      </c>
      <c r="B264">
        <v>263</v>
      </c>
      <c r="C264" t="s">
        <v>314</v>
      </c>
    </row>
    <row r="265" spans="1:3">
      <c r="A265" t="s">
        <v>315</v>
      </c>
      <c r="B265">
        <v>264</v>
      </c>
      <c r="C265" t="s">
        <v>315</v>
      </c>
    </row>
    <row r="266" spans="1:3">
      <c r="A266" t="s">
        <v>316</v>
      </c>
      <c r="B266">
        <v>265</v>
      </c>
      <c r="C266" t="s">
        <v>316</v>
      </c>
    </row>
    <row r="267" spans="1:3">
      <c r="A267" t="s">
        <v>317</v>
      </c>
      <c r="B267">
        <v>266</v>
      </c>
      <c r="C267" t="s">
        <v>317</v>
      </c>
    </row>
    <row r="268" spans="1:3">
      <c r="A268" t="s">
        <v>318</v>
      </c>
      <c r="B268">
        <v>267</v>
      </c>
      <c r="C268" t="s">
        <v>318</v>
      </c>
    </row>
    <row r="269" spans="1:3">
      <c r="A269" t="s">
        <v>319</v>
      </c>
      <c r="B269">
        <v>268</v>
      </c>
      <c r="C269" t="s">
        <v>319</v>
      </c>
    </row>
    <row r="270" spans="1:3">
      <c r="A270" t="s">
        <v>320</v>
      </c>
      <c r="B270">
        <v>269</v>
      </c>
      <c r="C270" t="s">
        <v>320</v>
      </c>
    </row>
    <row r="271" spans="1:3">
      <c r="A271" t="s">
        <v>321</v>
      </c>
      <c r="B271">
        <v>270</v>
      </c>
      <c r="C271" t="s">
        <v>321</v>
      </c>
    </row>
    <row r="272" spans="1:3">
      <c r="A272" t="s">
        <v>322</v>
      </c>
      <c r="B272">
        <v>271</v>
      </c>
      <c r="C272" t="s">
        <v>322</v>
      </c>
    </row>
    <row r="273" spans="1:3">
      <c r="A273" t="s">
        <v>323</v>
      </c>
      <c r="B273">
        <v>272</v>
      </c>
      <c r="C273" t="s">
        <v>323</v>
      </c>
    </row>
    <row r="274" spans="1:3">
      <c r="A274" t="s">
        <v>324</v>
      </c>
      <c r="B274">
        <v>273</v>
      </c>
      <c r="C274" t="s">
        <v>324</v>
      </c>
    </row>
    <row r="275" spans="1:3">
      <c r="A275" t="s">
        <v>325</v>
      </c>
      <c r="B275">
        <v>274</v>
      </c>
      <c r="C275" t="s">
        <v>325</v>
      </c>
    </row>
    <row r="276" spans="1:3">
      <c r="A276" t="s">
        <v>326</v>
      </c>
      <c r="B276">
        <v>275</v>
      </c>
      <c r="C276" t="s">
        <v>326</v>
      </c>
    </row>
    <row r="277" spans="1:3">
      <c r="A277" t="s">
        <v>327</v>
      </c>
      <c r="B277">
        <v>276</v>
      </c>
      <c r="C277" t="s">
        <v>327</v>
      </c>
    </row>
    <row r="278" spans="1:3">
      <c r="A278" t="s">
        <v>328</v>
      </c>
      <c r="B278">
        <v>277</v>
      </c>
      <c r="C278" t="s">
        <v>328</v>
      </c>
    </row>
    <row r="279" spans="1:3">
      <c r="A279" t="s">
        <v>329</v>
      </c>
      <c r="B279">
        <v>278</v>
      </c>
      <c r="C279" t="s">
        <v>329</v>
      </c>
    </row>
    <row r="280" spans="1:3">
      <c r="A280" t="s">
        <v>330</v>
      </c>
      <c r="B280">
        <v>279</v>
      </c>
      <c r="C280" t="s">
        <v>330</v>
      </c>
    </row>
    <row r="281" spans="1:3">
      <c r="A281" t="s">
        <v>332</v>
      </c>
      <c r="B281">
        <v>280</v>
      </c>
      <c r="C281" t="s">
        <v>332</v>
      </c>
    </row>
    <row r="282" spans="1:3">
      <c r="A282" t="s">
        <v>333</v>
      </c>
      <c r="B282">
        <v>281</v>
      </c>
      <c r="C282" t="s">
        <v>333</v>
      </c>
    </row>
    <row r="283" spans="1:3">
      <c r="A283" t="s">
        <v>334</v>
      </c>
      <c r="B283">
        <v>282</v>
      </c>
      <c r="C283" t="s">
        <v>334</v>
      </c>
    </row>
    <row r="284" spans="1:3">
      <c r="A284" t="s">
        <v>335</v>
      </c>
      <c r="B284">
        <v>283</v>
      </c>
      <c r="C284" t="s">
        <v>335</v>
      </c>
    </row>
    <row r="285" spans="1:3">
      <c r="A285" t="s">
        <v>336</v>
      </c>
      <c r="B285">
        <v>284</v>
      </c>
      <c r="C285" t="s">
        <v>336</v>
      </c>
    </row>
    <row r="286" spans="1:3">
      <c r="A286" t="s">
        <v>337</v>
      </c>
      <c r="B286">
        <v>285</v>
      </c>
      <c r="C286" t="s">
        <v>337</v>
      </c>
    </row>
    <row r="287" spans="1:3">
      <c r="A287" t="s">
        <v>338</v>
      </c>
      <c r="B287">
        <v>286</v>
      </c>
      <c r="C287" t="s">
        <v>338</v>
      </c>
    </row>
    <row r="288" spans="1:3">
      <c r="A288" t="s">
        <v>339</v>
      </c>
      <c r="B288">
        <v>287</v>
      </c>
      <c r="C288" t="s">
        <v>339</v>
      </c>
    </row>
    <row r="289" spans="1:3">
      <c r="A289" t="s">
        <v>340</v>
      </c>
      <c r="B289">
        <v>288</v>
      </c>
      <c r="C289" t="s">
        <v>340</v>
      </c>
    </row>
    <row r="290" spans="1:3">
      <c r="A290" t="s">
        <v>341</v>
      </c>
      <c r="B290">
        <v>289</v>
      </c>
      <c r="C290" t="s">
        <v>341</v>
      </c>
    </row>
    <row r="291" spans="1:3">
      <c r="A291" t="s">
        <v>342</v>
      </c>
      <c r="B291">
        <v>290</v>
      </c>
      <c r="C291" t="s">
        <v>342</v>
      </c>
    </row>
    <row r="292" spans="1:3">
      <c r="A292" t="s">
        <v>343</v>
      </c>
      <c r="B292">
        <v>291</v>
      </c>
      <c r="C292" t="s">
        <v>343</v>
      </c>
    </row>
    <row r="293" spans="1:3">
      <c r="A293" t="s">
        <v>344</v>
      </c>
      <c r="B293">
        <v>292</v>
      </c>
      <c r="C293" t="s">
        <v>344</v>
      </c>
    </row>
    <row r="294" spans="1:3">
      <c r="A294" t="s">
        <v>345</v>
      </c>
      <c r="B294">
        <v>293</v>
      </c>
      <c r="C294" t="s">
        <v>345</v>
      </c>
    </row>
    <row r="295" spans="1:3">
      <c r="A295" t="s">
        <v>346</v>
      </c>
      <c r="B295">
        <v>294</v>
      </c>
      <c r="C295" t="s">
        <v>346</v>
      </c>
    </row>
    <row r="296" spans="1:3">
      <c r="A296" t="s">
        <v>347</v>
      </c>
      <c r="B296">
        <v>295</v>
      </c>
      <c r="C296" t="s">
        <v>347</v>
      </c>
    </row>
    <row r="297" spans="1:3">
      <c r="A297" t="s">
        <v>348</v>
      </c>
      <c r="B297">
        <v>296</v>
      </c>
      <c r="C297" t="s">
        <v>348</v>
      </c>
    </row>
    <row r="298" spans="1:3">
      <c r="A298" t="s">
        <v>349</v>
      </c>
      <c r="B298">
        <v>297</v>
      </c>
      <c r="C298" t="s">
        <v>349</v>
      </c>
    </row>
    <row r="299" spans="1:3">
      <c r="A299" t="s">
        <v>350</v>
      </c>
      <c r="B299">
        <v>298</v>
      </c>
      <c r="C299" t="s">
        <v>350</v>
      </c>
    </row>
    <row r="300" spans="1:3">
      <c r="A300" t="s">
        <v>352</v>
      </c>
      <c r="B300">
        <v>299</v>
      </c>
      <c r="C300" t="s">
        <v>352</v>
      </c>
    </row>
    <row r="301" spans="1:3">
      <c r="A301" t="s">
        <v>356</v>
      </c>
      <c r="B301">
        <v>300</v>
      </c>
      <c r="C301" t="s">
        <v>356</v>
      </c>
    </row>
    <row r="302" spans="1:3">
      <c r="A302" t="s">
        <v>357</v>
      </c>
      <c r="B302">
        <v>301</v>
      </c>
      <c r="C302" t="s">
        <v>357</v>
      </c>
    </row>
    <row r="303" spans="1:3">
      <c r="A303" t="s">
        <v>358</v>
      </c>
      <c r="B303">
        <v>302</v>
      </c>
      <c r="C303" t="s">
        <v>358</v>
      </c>
    </row>
    <row r="304" spans="1:3">
      <c r="A304" t="s">
        <v>359</v>
      </c>
      <c r="B304">
        <v>303</v>
      </c>
      <c r="C304" t="s">
        <v>359</v>
      </c>
    </row>
    <row r="305" spans="1:3">
      <c r="A305" t="s">
        <v>360</v>
      </c>
      <c r="B305">
        <v>304</v>
      </c>
      <c r="C305" t="s">
        <v>360</v>
      </c>
    </row>
    <row r="306" spans="1:3">
      <c r="A306" t="s">
        <v>361</v>
      </c>
      <c r="B306">
        <v>305</v>
      </c>
      <c r="C306" t="s">
        <v>361</v>
      </c>
    </row>
    <row r="307" spans="1:3">
      <c r="A307" t="s">
        <v>364</v>
      </c>
      <c r="B307">
        <v>306</v>
      </c>
      <c r="C307" t="s">
        <v>364</v>
      </c>
    </row>
    <row r="308" spans="1:3">
      <c r="A308" t="s">
        <v>365</v>
      </c>
      <c r="B308">
        <v>307</v>
      </c>
      <c r="C308" t="s">
        <v>365</v>
      </c>
    </row>
    <row r="309" spans="1:3">
      <c r="A309" t="s">
        <v>366</v>
      </c>
      <c r="B309">
        <v>308</v>
      </c>
      <c r="C309" t="s">
        <v>366</v>
      </c>
    </row>
    <row r="310" spans="1:3">
      <c r="A310" t="s">
        <v>367</v>
      </c>
      <c r="B310">
        <v>309</v>
      </c>
      <c r="C310" t="s">
        <v>367</v>
      </c>
    </row>
    <row r="311" spans="1:3">
      <c r="A311" t="s">
        <v>368</v>
      </c>
      <c r="B311">
        <v>310</v>
      </c>
      <c r="C311" t="s">
        <v>368</v>
      </c>
    </row>
    <row r="312" spans="1:3">
      <c r="A312" t="s">
        <v>369</v>
      </c>
      <c r="B312">
        <v>311</v>
      </c>
      <c r="C312" t="s">
        <v>369</v>
      </c>
    </row>
    <row r="313" spans="1:3">
      <c r="A313" t="s">
        <v>370</v>
      </c>
      <c r="B313">
        <v>312</v>
      </c>
      <c r="C313" t="s">
        <v>370</v>
      </c>
    </row>
    <row r="314" spans="1:3">
      <c r="A314" t="s">
        <v>371</v>
      </c>
      <c r="B314">
        <v>313</v>
      </c>
      <c r="C314" t="s">
        <v>371</v>
      </c>
    </row>
    <row r="315" spans="1:3">
      <c r="A315" t="s">
        <v>372</v>
      </c>
      <c r="B315">
        <v>314</v>
      </c>
      <c r="C315" t="s">
        <v>372</v>
      </c>
    </row>
    <row r="316" spans="1:3">
      <c r="A316" t="s">
        <v>373</v>
      </c>
      <c r="B316">
        <v>315</v>
      </c>
      <c r="C316" t="s">
        <v>373</v>
      </c>
    </row>
    <row r="317" spans="1:3">
      <c r="A317" t="s">
        <v>374</v>
      </c>
      <c r="B317">
        <v>316</v>
      </c>
      <c r="C317" t="s">
        <v>374</v>
      </c>
    </row>
    <row r="318" spans="1:3">
      <c r="A318" t="s">
        <v>375</v>
      </c>
      <c r="B318">
        <v>317</v>
      </c>
      <c r="C318" t="s">
        <v>375</v>
      </c>
    </row>
    <row r="319" spans="1:3">
      <c r="A319" t="s">
        <v>376</v>
      </c>
      <c r="B319">
        <v>318</v>
      </c>
      <c r="C319" t="s">
        <v>376</v>
      </c>
    </row>
    <row r="320" spans="1:3">
      <c r="A320" t="s">
        <v>377</v>
      </c>
      <c r="B320">
        <v>319</v>
      </c>
      <c r="C320" t="s">
        <v>377</v>
      </c>
    </row>
    <row r="321" spans="1:3">
      <c r="A321" t="s">
        <v>378</v>
      </c>
      <c r="B321">
        <v>320</v>
      </c>
      <c r="C321" t="s">
        <v>378</v>
      </c>
    </row>
    <row r="322" spans="1:3">
      <c r="A322" t="s">
        <v>380</v>
      </c>
      <c r="B322">
        <v>321</v>
      </c>
      <c r="C322" t="s">
        <v>380</v>
      </c>
    </row>
    <row r="323" spans="1:3">
      <c r="A323" t="s">
        <v>381</v>
      </c>
      <c r="B323">
        <v>322</v>
      </c>
      <c r="C323" t="s">
        <v>381</v>
      </c>
    </row>
    <row r="324" spans="1:3">
      <c r="A324" t="s">
        <v>382</v>
      </c>
      <c r="B324">
        <v>323</v>
      </c>
      <c r="C324" t="s">
        <v>382</v>
      </c>
    </row>
    <row r="325" spans="1:3">
      <c r="A325" t="s">
        <v>383</v>
      </c>
      <c r="B325">
        <v>324</v>
      </c>
      <c r="C325" t="s">
        <v>383</v>
      </c>
    </row>
    <row r="326" spans="1:3">
      <c r="A326" t="s">
        <v>384</v>
      </c>
      <c r="B326">
        <v>325</v>
      </c>
      <c r="C326" t="s">
        <v>384</v>
      </c>
    </row>
    <row r="327" spans="1:3">
      <c r="A327" t="s">
        <v>385</v>
      </c>
      <c r="B327">
        <v>326</v>
      </c>
      <c r="C327" t="s">
        <v>385</v>
      </c>
    </row>
    <row r="328" spans="1:3">
      <c r="A328" t="s">
        <v>386</v>
      </c>
      <c r="B328">
        <v>327</v>
      </c>
      <c r="C328" t="s">
        <v>386</v>
      </c>
    </row>
    <row r="329" spans="1:3">
      <c r="A329" t="s">
        <v>387</v>
      </c>
      <c r="B329">
        <v>328</v>
      </c>
      <c r="C329" t="s">
        <v>387</v>
      </c>
    </row>
    <row r="330" spans="1:3">
      <c r="A330" t="s">
        <v>388</v>
      </c>
      <c r="B330">
        <v>329</v>
      </c>
      <c r="C330" t="s">
        <v>388</v>
      </c>
    </row>
    <row r="331" spans="1:3">
      <c r="A331" t="s">
        <v>389</v>
      </c>
      <c r="B331">
        <v>330</v>
      </c>
      <c r="C331" t="s">
        <v>389</v>
      </c>
    </row>
    <row r="332" spans="1:3">
      <c r="A332" t="s">
        <v>390</v>
      </c>
      <c r="B332">
        <v>331</v>
      </c>
      <c r="C332" t="s">
        <v>390</v>
      </c>
    </row>
    <row r="333" spans="1:3">
      <c r="A333" t="s">
        <v>391</v>
      </c>
      <c r="B333">
        <v>332</v>
      </c>
      <c r="C333" t="s">
        <v>391</v>
      </c>
    </row>
    <row r="334" spans="1:3">
      <c r="A334" t="s">
        <v>392</v>
      </c>
      <c r="B334">
        <v>333</v>
      </c>
      <c r="C334" t="s">
        <v>392</v>
      </c>
    </row>
    <row r="335" spans="1:3">
      <c r="A335" t="s">
        <v>393</v>
      </c>
      <c r="B335">
        <v>334</v>
      </c>
      <c r="C335" t="s">
        <v>393</v>
      </c>
    </row>
    <row r="336" spans="1:3">
      <c r="A336" t="s">
        <v>394</v>
      </c>
      <c r="B336">
        <v>335</v>
      </c>
      <c r="C336" t="s">
        <v>394</v>
      </c>
    </row>
    <row r="337" spans="1:3">
      <c r="A337" t="s">
        <v>395</v>
      </c>
      <c r="B337">
        <v>336</v>
      </c>
      <c r="C337" t="s">
        <v>395</v>
      </c>
    </row>
    <row r="338" spans="1:3">
      <c r="A338" t="s">
        <v>396</v>
      </c>
      <c r="B338">
        <v>337</v>
      </c>
      <c r="C338" t="s">
        <v>396</v>
      </c>
    </row>
    <row r="339" spans="1:3">
      <c r="A339" t="s">
        <v>397</v>
      </c>
      <c r="B339">
        <v>338</v>
      </c>
      <c r="C339" t="s">
        <v>397</v>
      </c>
    </row>
    <row r="340" spans="1:3">
      <c r="A340" t="s">
        <v>398</v>
      </c>
      <c r="B340">
        <v>339</v>
      </c>
      <c r="C340" t="s">
        <v>398</v>
      </c>
    </row>
    <row r="341" spans="1:3">
      <c r="A341" t="s">
        <v>400</v>
      </c>
      <c r="B341">
        <v>340</v>
      </c>
      <c r="C341" t="s">
        <v>400</v>
      </c>
    </row>
    <row r="342" spans="1:3">
      <c r="A342" t="s">
        <v>405</v>
      </c>
      <c r="B342">
        <v>341</v>
      </c>
      <c r="C342" t="s">
        <v>405</v>
      </c>
    </row>
    <row r="343" spans="1:3">
      <c r="A343" t="s">
        <v>406</v>
      </c>
      <c r="B343">
        <v>342</v>
      </c>
      <c r="C343" t="s">
        <v>406</v>
      </c>
    </row>
    <row r="344" spans="1:3">
      <c r="A344" t="s">
        <v>407</v>
      </c>
      <c r="B344">
        <v>343</v>
      </c>
      <c r="C344" t="s">
        <v>407</v>
      </c>
    </row>
    <row r="345" spans="1:3">
      <c r="A345" t="s">
        <v>408</v>
      </c>
      <c r="B345">
        <v>344</v>
      </c>
      <c r="C345" t="s">
        <v>408</v>
      </c>
    </row>
    <row r="346" spans="1:3">
      <c r="A346" t="s">
        <v>409</v>
      </c>
      <c r="B346">
        <v>345</v>
      </c>
      <c r="C346" t="s">
        <v>409</v>
      </c>
    </row>
    <row r="347" spans="1:3">
      <c r="A347" t="s">
        <v>410</v>
      </c>
      <c r="B347">
        <v>346</v>
      </c>
      <c r="C347" t="s">
        <v>410</v>
      </c>
    </row>
    <row r="348" spans="1:3">
      <c r="A348" t="s">
        <v>411</v>
      </c>
      <c r="B348">
        <v>347</v>
      </c>
      <c r="C348" t="s">
        <v>411</v>
      </c>
    </row>
    <row r="349" spans="1:3">
      <c r="A349" t="s">
        <v>412</v>
      </c>
      <c r="B349">
        <v>348</v>
      </c>
      <c r="C349" t="s">
        <v>412</v>
      </c>
    </row>
    <row r="350" spans="1:3">
      <c r="A350" t="s">
        <v>413</v>
      </c>
      <c r="B350">
        <v>349</v>
      </c>
      <c r="C350" t="s">
        <v>413</v>
      </c>
    </row>
    <row r="351" spans="1:3">
      <c r="A351" t="s">
        <v>414</v>
      </c>
      <c r="B351">
        <v>350</v>
      </c>
      <c r="C351" t="s">
        <v>414</v>
      </c>
    </row>
    <row r="352" spans="1:3">
      <c r="A352" t="s">
        <v>415</v>
      </c>
      <c r="B352">
        <v>351</v>
      </c>
      <c r="C352" t="s">
        <v>415</v>
      </c>
    </row>
    <row r="353" spans="1:3">
      <c r="A353" t="s">
        <v>416</v>
      </c>
      <c r="B353">
        <v>352</v>
      </c>
      <c r="C353" t="s">
        <v>416</v>
      </c>
    </row>
    <row r="354" spans="1:3">
      <c r="A354" t="s">
        <v>417</v>
      </c>
      <c r="B354">
        <v>353</v>
      </c>
      <c r="C354" t="s">
        <v>417</v>
      </c>
    </row>
    <row r="355" spans="1:3">
      <c r="A355" t="s">
        <v>418</v>
      </c>
      <c r="B355">
        <v>354</v>
      </c>
      <c r="C355" t="s">
        <v>418</v>
      </c>
    </row>
    <row r="356" spans="1:3">
      <c r="A356" t="s">
        <v>419</v>
      </c>
      <c r="B356">
        <v>355</v>
      </c>
      <c r="C356" t="s">
        <v>419</v>
      </c>
    </row>
    <row r="357" spans="1:3">
      <c r="A357" t="s">
        <v>420</v>
      </c>
      <c r="B357">
        <v>356</v>
      </c>
      <c r="C357" t="s">
        <v>420</v>
      </c>
    </row>
    <row r="358" spans="1:3">
      <c r="A358" t="s">
        <v>421</v>
      </c>
      <c r="B358">
        <v>357</v>
      </c>
      <c r="C358" t="s">
        <v>421</v>
      </c>
    </row>
    <row r="359" spans="1:3">
      <c r="A359" t="s">
        <v>261</v>
      </c>
      <c r="B359">
        <v>358</v>
      </c>
      <c r="C359" t="s">
        <v>261</v>
      </c>
    </row>
    <row r="360" spans="1:3">
      <c r="A360" t="s">
        <v>422</v>
      </c>
      <c r="B360">
        <v>359</v>
      </c>
      <c r="C360" t="s">
        <v>422</v>
      </c>
    </row>
    <row r="361" spans="1:3">
      <c r="A361" t="s">
        <v>423</v>
      </c>
      <c r="B361">
        <v>360</v>
      </c>
      <c r="C361" t="s">
        <v>423</v>
      </c>
    </row>
    <row r="362" spans="1:3">
      <c r="A362" t="s">
        <v>424</v>
      </c>
      <c r="B362">
        <v>361</v>
      </c>
      <c r="C362" t="s">
        <v>424</v>
      </c>
    </row>
    <row r="363" spans="1:3">
      <c r="A363" t="s">
        <v>425</v>
      </c>
      <c r="B363">
        <v>362</v>
      </c>
      <c r="C363" t="s">
        <v>425</v>
      </c>
    </row>
    <row r="364" spans="1:3">
      <c r="A364" t="s">
        <v>426</v>
      </c>
      <c r="B364">
        <v>363</v>
      </c>
      <c r="C364" t="s">
        <v>426</v>
      </c>
    </row>
    <row r="365" spans="1:3">
      <c r="A365" t="s">
        <v>427</v>
      </c>
      <c r="B365">
        <v>364</v>
      </c>
      <c r="C365" t="s">
        <v>427</v>
      </c>
    </row>
    <row r="366" spans="1:3">
      <c r="A366" t="s">
        <v>428</v>
      </c>
      <c r="B366">
        <v>365</v>
      </c>
      <c r="C366" t="s">
        <v>428</v>
      </c>
    </row>
    <row r="367" spans="1:3">
      <c r="A367" t="s">
        <v>429</v>
      </c>
      <c r="B367">
        <v>366</v>
      </c>
      <c r="C367" t="s">
        <v>429</v>
      </c>
    </row>
    <row r="368" spans="1:3">
      <c r="A368" t="s">
        <v>430</v>
      </c>
      <c r="B368">
        <v>367</v>
      </c>
      <c r="C368" t="s">
        <v>430</v>
      </c>
    </row>
    <row r="369" spans="1:3">
      <c r="A369" t="s">
        <v>431</v>
      </c>
      <c r="B369">
        <v>368</v>
      </c>
      <c r="C369" t="s">
        <v>431</v>
      </c>
    </row>
    <row r="370" spans="1:3">
      <c r="A370" t="s">
        <v>432</v>
      </c>
      <c r="B370">
        <v>369</v>
      </c>
      <c r="C370" t="s">
        <v>432</v>
      </c>
    </row>
    <row r="371" spans="1:3">
      <c r="A371" t="s">
        <v>433</v>
      </c>
      <c r="B371">
        <v>370</v>
      </c>
      <c r="C371" t="s">
        <v>433</v>
      </c>
    </row>
    <row r="372" spans="1:3">
      <c r="A372" t="s">
        <v>434</v>
      </c>
      <c r="B372">
        <v>371</v>
      </c>
      <c r="C372" t="s">
        <v>434</v>
      </c>
    </row>
    <row r="373" spans="1:3">
      <c r="A373" t="s">
        <v>435</v>
      </c>
      <c r="B373">
        <v>372</v>
      </c>
      <c r="C373" t="s">
        <v>435</v>
      </c>
    </row>
    <row r="374" spans="1:3">
      <c r="A374" t="s">
        <v>436</v>
      </c>
      <c r="B374">
        <v>373</v>
      </c>
      <c r="C374" t="s">
        <v>436</v>
      </c>
    </row>
    <row r="375" spans="1:3">
      <c r="A375" t="s">
        <v>437</v>
      </c>
      <c r="B375">
        <v>374</v>
      </c>
      <c r="C375" t="s">
        <v>437</v>
      </c>
    </row>
    <row r="376" spans="1:3">
      <c r="A376" t="s">
        <v>438</v>
      </c>
      <c r="B376">
        <v>375</v>
      </c>
      <c r="C376" t="s">
        <v>438</v>
      </c>
    </row>
    <row r="377" spans="1:3">
      <c r="A377" t="s">
        <v>439</v>
      </c>
      <c r="B377">
        <v>376</v>
      </c>
      <c r="C377" t="s">
        <v>439</v>
      </c>
    </row>
    <row r="378" spans="1:3">
      <c r="A378" t="s">
        <v>440</v>
      </c>
      <c r="B378">
        <v>377</v>
      </c>
      <c r="C378" t="s">
        <v>440</v>
      </c>
    </row>
    <row r="379" spans="1:3">
      <c r="A379" t="s">
        <v>441</v>
      </c>
      <c r="B379">
        <v>378</v>
      </c>
      <c r="C379" t="s">
        <v>441</v>
      </c>
    </row>
    <row r="380" spans="1:3">
      <c r="A380" t="s">
        <v>442</v>
      </c>
      <c r="B380">
        <v>379</v>
      </c>
      <c r="C380" t="s">
        <v>442</v>
      </c>
    </row>
    <row r="381" spans="1:3">
      <c r="A381" t="s">
        <v>443</v>
      </c>
      <c r="B381">
        <v>380</v>
      </c>
      <c r="C381" t="s">
        <v>443</v>
      </c>
    </row>
    <row r="382" spans="1:3">
      <c r="A382" t="s">
        <v>444</v>
      </c>
      <c r="B382">
        <v>381</v>
      </c>
      <c r="C382" t="s">
        <v>444</v>
      </c>
    </row>
    <row r="383" spans="1:3">
      <c r="A383" t="s">
        <v>445</v>
      </c>
      <c r="B383">
        <v>382</v>
      </c>
      <c r="C383" t="s">
        <v>445</v>
      </c>
    </row>
    <row r="384" spans="1:3">
      <c r="A384" t="s">
        <v>446</v>
      </c>
      <c r="B384">
        <v>383</v>
      </c>
      <c r="C384" t="s">
        <v>446</v>
      </c>
    </row>
    <row r="385" spans="1:3">
      <c r="A385" t="s">
        <v>447</v>
      </c>
      <c r="B385">
        <v>384</v>
      </c>
      <c r="C385" t="s">
        <v>447</v>
      </c>
    </row>
    <row r="386" spans="1:3">
      <c r="A386" t="s">
        <v>448</v>
      </c>
      <c r="B386">
        <v>385</v>
      </c>
      <c r="C386" t="s">
        <v>448</v>
      </c>
    </row>
    <row r="387" spans="1:3">
      <c r="A387" t="s">
        <v>449</v>
      </c>
      <c r="B387">
        <v>386</v>
      </c>
      <c r="C387" t="s">
        <v>449</v>
      </c>
    </row>
    <row r="388" spans="1:3">
      <c r="A388" t="s">
        <v>450</v>
      </c>
      <c r="B388">
        <v>387</v>
      </c>
      <c r="C388" t="s">
        <v>450</v>
      </c>
    </row>
    <row r="389" spans="1:3">
      <c r="A389" t="s">
        <v>452</v>
      </c>
      <c r="B389">
        <v>388</v>
      </c>
      <c r="C389" t="s">
        <v>452</v>
      </c>
    </row>
    <row r="390" spans="1:3">
      <c r="A390" t="s">
        <v>453</v>
      </c>
      <c r="B390">
        <v>389</v>
      </c>
      <c r="C390" t="s">
        <v>453</v>
      </c>
    </row>
    <row r="391" spans="1:3">
      <c r="A391" t="s">
        <v>454</v>
      </c>
      <c r="B391">
        <v>390</v>
      </c>
      <c r="C391" t="s">
        <v>454</v>
      </c>
    </row>
    <row r="392" spans="1:3">
      <c r="A392" t="s">
        <v>455</v>
      </c>
      <c r="B392">
        <v>391</v>
      </c>
      <c r="C392" t="s">
        <v>455</v>
      </c>
    </row>
    <row r="393" spans="1:3">
      <c r="A393" t="s">
        <v>456</v>
      </c>
      <c r="B393">
        <v>392</v>
      </c>
      <c r="C393" t="s">
        <v>456</v>
      </c>
    </row>
    <row r="394" spans="1:3">
      <c r="A394" t="s">
        <v>457</v>
      </c>
      <c r="B394">
        <v>393</v>
      </c>
      <c r="C394" t="s">
        <v>457</v>
      </c>
    </row>
    <row r="395" spans="1:3">
      <c r="A395" t="s">
        <v>458</v>
      </c>
      <c r="B395">
        <v>394</v>
      </c>
      <c r="C395" t="s">
        <v>458</v>
      </c>
    </row>
    <row r="396" spans="1:3">
      <c r="A396" t="s">
        <v>459</v>
      </c>
      <c r="B396">
        <v>395</v>
      </c>
      <c r="C396" t="s">
        <v>459</v>
      </c>
    </row>
    <row r="397" spans="1:3">
      <c r="A397" t="s">
        <v>460</v>
      </c>
      <c r="B397">
        <v>396</v>
      </c>
      <c r="C397" t="s">
        <v>460</v>
      </c>
    </row>
    <row r="398" spans="1:3">
      <c r="A398" t="s">
        <v>461</v>
      </c>
      <c r="B398">
        <v>397</v>
      </c>
      <c r="C398" t="s">
        <v>461</v>
      </c>
    </row>
    <row r="399" spans="1:3">
      <c r="A399" t="s">
        <v>462</v>
      </c>
      <c r="B399">
        <v>398</v>
      </c>
      <c r="C399" t="s">
        <v>462</v>
      </c>
    </row>
    <row r="400" spans="1:3">
      <c r="A400" t="s">
        <v>463</v>
      </c>
      <c r="B400">
        <v>399</v>
      </c>
      <c r="C400" t="s">
        <v>463</v>
      </c>
    </row>
    <row r="401" spans="1:3">
      <c r="A401" t="s">
        <v>464</v>
      </c>
      <c r="B401">
        <v>400</v>
      </c>
      <c r="C401" t="s">
        <v>464</v>
      </c>
    </row>
    <row r="402" spans="1:3">
      <c r="A402" t="s">
        <v>466</v>
      </c>
      <c r="B402">
        <v>401</v>
      </c>
      <c r="C402" t="s">
        <v>466</v>
      </c>
    </row>
    <row r="403" spans="1:3">
      <c r="A403" t="s">
        <v>467</v>
      </c>
      <c r="B403">
        <v>402</v>
      </c>
      <c r="C403" t="s">
        <v>467</v>
      </c>
    </row>
    <row r="404" spans="1:3">
      <c r="A404" t="s">
        <v>469</v>
      </c>
      <c r="B404">
        <v>403</v>
      </c>
      <c r="C404" t="s">
        <v>469</v>
      </c>
    </row>
    <row r="405" spans="1:3">
      <c r="A405" t="s">
        <v>470</v>
      </c>
      <c r="B405">
        <v>404</v>
      </c>
      <c r="C405" t="s">
        <v>470</v>
      </c>
    </row>
    <row r="406" spans="1:3">
      <c r="A406" t="s">
        <v>520</v>
      </c>
      <c r="B406">
        <v>405</v>
      </c>
      <c r="C406" t="s">
        <v>520</v>
      </c>
    </row>
    <row r="407" spans="1:3">
      <c r="A407" t="s">
        <v>472</v>
      </c>
      <c r="B407">
        <v>406</v>
      </c>
      <c r="C407" t="s">
        <v>472</v>
      </c>
    </row>
    <row r="408" spans="1:3">
      <c r="A408" t="s">
        <v>473</v>
      </c>
      <c r="B408">
        <v>407</v>
      </c>
      <c r="C408" t="s">
        <v>473</v>
      </c>
    </row>
    <row r="409" spans="1:3">
      <c r="A409" t="s">
        <v>474</v>
      </c>
      <c r="B409">
        <v>408</v>
      </c>
      <c r="C409" t="s">
        <v>474</v>
      </c>
    </row>
    <row r="410" spans="1:3">
      <c r="A410" t="s">
        <v>476</v>
      </c>
      <c r="B410">
        <v>409</v>
      </c>
      <c r="C410" t="s">
        <v>476</v>
      </c>
    </row>
    <row r="411" spans="1:3">
      <c r="A411" t="s">
        <v>477</v>
      </c>
      <c r="B411">
        <v>410</v>
      </c>
      <c r="C411" t="s">
        <v>477</v>
      </c>
    </row>
    <row r="412" spans="1:3">
      <c r="A412" t="s">
        <v>478</v>
      </c>
      <c r="B412">
        <v>411</v>
      </c>
      <c r="C412" t="s">
        <v>478</v>
      </c>
    </row>
    <row r="413" spans="1:3">
      <c r="A413" t="s">
        <v>479</v>
      </c>
      <c r="B413">
        <v>412</v>
      </c>
      <c r="C413" t="s">
        <v>479</v>
      </c>
    </row>
    <row r="414" spans="1:3">
      <c r="A414" t="s">
        <v>480</v>
      </c>
      <c r="B414">
        <v>413</v>
      </c>
      <c r="C414" t="s">
        <v>480</v>
      </c>
    </row>
    <row r="415" spans="1:3">
      <c r="A415" t="s">
        <v>481</v>
      </c>
      <c r="B415">
        <v>414</v>
      </c>
      <c r="C415" t="s">
        <v>481</v>
      </c>
    </row>
    <row r="416" spans="1:3">
      <c r="A416" t="s">
        <v>483</v>
      </c>
      <c r="B416">
        <v>415</v>
      </c>
      <c r="C416" t="s">
        <v>483</v>
      </c>
    </row>
    <row r="417" spans="1:3">
      <c r="A417" t="s">
        <v>484</v>
      </c>
      <c r="B417">
        <v>416</v>
      </c>
      <c r="C417" t="s">
        <v>484</v>
      </c>
    </row>
    <row r="418" spans="1:3">
      <c r="A418" t="s">
        <v>485</v>
      </c>
      <c r="B418">
        <v>417</v>
      </c>
      <c r="C418" t="s">
        <v>485</v>
      </c>
    </row>
    <row r="419" spans="1:3">
      <c r="A419" t="s">
        <v>487</v>
      </c>
      <c r="B419">
        <v>418</v>
      </c>
      <c r="C419" t="s">
        <v>487</v>
      </c>
    </row>
    <row r="420" spans="1:3">
      <c r="A420" t="s">
        <v>488</v>
      </c>
      <c r="B420">
        <v>419</v>
      </c>
      <c r="C420" t="s">
        <v>488</v>
      </c>
    </row>
    <row r="421" spans="1:3">
      <c r="A421" t="s">
        <v>490</v>
      </c>
      <c r="B421">
        <v>420</v>
      </c>
      <c r="C421" t="s">
        <v>490</v>
      </c>
    </row>
    <row r="422" spans="1:3">
      <c r="A422" t="s">
        <v>491</v>
      </c>
      <c r="B422">
        <v>421</v>
      </c>
      <c r="C422" t="s">
        <v>491</v>
      </c>
    </row>
    <row r="423" spans="1:3">
      <c r="A423" t="s">
        <v>492</v>
      </c>
      <c r="B423">
        <v>422</v>
      </c>
      <c r="C423" t="s">
        <v>492</v>
      </c>
    </row>
    <row r="424" spans="1:3">
      <c r="A424" t="s">
        <v>494</v>
      </c>
      <c r="B424">
        <v>423</v>
      </c>
      <c r="C424" t="s">
        <v>494</v>
      </c>
    </row>
    <row r="425" spans="1:3">
      <c r="A425" t="s">
        <v>495</v>
      </c>
      <c r="B425">
        <v>424</v>
      </c>
      <c r="C425" t="s">
        <v>495</v>
      </c>
    </row>
    <row r="426" spans="1:3">
      <c r="A426" t="s">
        <v>496</v>
      </c>
      <c r="B426">
        <v>425</v>
      </c>
      <c r="C426" t="s">
        <v>496</v>
      </c>
    </row>
    <row r="427" spans="1:3">
      <c r="A427" t="s">
        <v>497</v>
      </c>
      <c r="B427">
        <v>426</v>
      </c>
      <c r="C427" t="s">
        <v>497</v>
      </c>
    </row>
    <row r="428" spans="1:3">
      <c r="A428" t="s">
        <v>498</v>
      </c>
      <c r="B428">
        <v>427</v>
      </c>
      <c r="C428" t="s">
        <v>498</v>
      </c>
    </row>
    <row r="429" spans="1:3">
      <c r="A429" t="s">
        <v>499</v>
      </c>
      <c r="B429">
        <v>428</v>
      </c>
      <c r="C429" t="s">
        <v>499</v>
      </c>
    </row>
    <row r="430" spans="1:3">
      <c r="A430" t="s">
        <v>500</v>
      </c>
      <c r="B430">
        <v>429</v>
      </c>
      <c r="C430" t="s">
        <v>500</v>
      </c>
    </row>
    <row r="431" spans="1:3">
      <c r="A431" t="s">
        <v>501</v>
      </c>
      <c r="B431">
        <v>430</v>
      </c>
      <c r="C431" t="s">
        <v>501</v>
      </c>
    </row>
    <row r="432" spans="1:3">
      <c r="A432" t="s">
        <v>502</v>
      </c>
      <c r="B432">
        <v>431</v>
      </c>
      <c r="C432" t="s">
        <v>502</v>
      </c>
    </row>
    <row r="433" spans="1:3">
      <c r="A433" t="s">
        <v>503</v>
      </c>
      <c r="B433">
        <v>432</v>
      </c>
      <c r="C433" t="s">
        <v>503</v>
      </c>
    </row>
    <row r="434" spans="1:3">
      <c r="A434" t="s">
        <v>521</v>
      </c>
      <c r="B434">
        <v>433</v>
      </c>
      <c r="C434" t="s">
        <v>521</v>
      </c>
    </row>
    <row r="435" spans="1:3">
      <c r="A435" t="s">
        <v>12</v>
      </c>
      <c r="B435">
        <v>434</v>
      </c>
      <c r="C435" t="s">
        <v>12</v>
      </c>
    </row>
    <row r="436" spans="1:3">
      <c r="A436" t="s">
        <v>1969</v>
      </c>
      <c r="B436">
        <v>435</v>
      </c>
      <c r="C436" t="s">
        <v>1969</v>
      </c>
    </row>
    <row r="437" spans="1:3">
      <c r="A437" t="s">
        <v>1979</v>
      </c>
      <c r="B437">
        <v>436</v>
      </c>
      <c r="C437" t="s">
        <v>1979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09448-E9CC-7944-9FAE-00A919705FF4}">
  <sheetPr codeName="Sheet1"/>
  <dimension ref="A1:F55"/>
  <sheetViews>
    <sheetView workbookViewId="0"/>
  </sheetViews>
  <sheetFormatPr baseColWidth="10" defaultRowHeight="16"/>
  <cols>
    <col min="1" max="1" width="30.1640625" bestFit="1" customWidth="1"/>
    <col min="2" max="2" width="7" bestFit="1" customWidth="1"/>
    <col min="3" max="3" width="10" bestFit="1" customWidth="1"/>
    <col min="4" max="4" width="12.83203125" bestFit="1" customWidth="1"/>
    <col min="5" max="5" width="12.6640625" bestFit="1" customWidth="1"/>
  </cols>
  <sheetData>
    <row r="1" spans="1:6">
      <c r="A1" t="s">
        <v>0</v>
      </c>
      <c r="B1" t="s">
        <v>1</v>
      </c>
      <c r="C1" t="s">
        <v>2</v>
      </c>
      <c r="D1" t="s">
        <v>3</v>
      </c>
      <c r="E1" t="s">
        <v>4</v>
      </c>
      <c r="F1" s="37" t="s">
        <v>1848</v>
      </c>
    </row>
    <row r="2" spans="1:6">
      <c r="A2" s="1" t="s">
        <v>5</v>
      </c>
      <c r="B2">
        <v>1</v>
      </c>
      <c r="C2">
        <v>1</v>
      </c>
      <c r="D2">
        <v>1</v>
      </c>
      <c r="E2">
        <v>1</v>
      </c>
      <c r="F2" t="str">
        <f>_xlfn.CONCAT(C2,"-",D2)</f>
        <v>1-1</v>
      </c>
    </row>
    <row r="3" spans="1:6">
      <c r="A3" s="1" t="s">
        <v>6</v>
      </c>
      <c r="B3">
        <v>1</v>
      </c>
      <c r="C3">
        <v>1</v>
      </c>
      <c r="D3">
        <v>2</v>
      </c>
      <c r="E3">
        <v>2</v>
      </c>
      <c r="F3" t="str">
        <f t="shared" ref="F3:F55" si="0">_xlfn.CONCAT(C3,"-",D3)</f>
        <v>1-2</v>
      </c>
    </row>
    <row r="4" spans="1:6">
      <c r="A4" s="1" t="s">
        <v>7</v>
      </c>
      <c r="B4">
        <v>1</v>
      </c>
      <c r="C4">
        <v>1</v>
      </c>
      <c r="D4">
        <v>3</v>
      </c>
      <c r="E4">
        <v>3</v>
      </c>
      <c r="F4" t="str">
        <f t="shared" si="0"/>
        <v>1-3</v>
      </c>
    </row>
    <row r="5" spans="1:6">
      <c r="A5" s="1" t="s">
        <v>8</v>
      </c>
      <c r="B5">
        <v>1</v>
      </c>
      <c r="C5">
        <v>1</v>
      </c>
      <c r="D5">
        <v>4</v>
      </c>
      <c r="E5">
        <v>4</v>
      </c>
      <c r="F5" t="str">
        <f t="shared" si="0"/>
        <v>1-4</v>
      </c>
    </row>
    <row r="6" spans="1:6">
      <c r="A6" s="2" t="s">
        <v>9</v>
      </c>
      <c r="B6">
        <v>1</v>
      </c>
      <c r="C6">
        <v>1</v>
      </c>
      <c r="D6">
        <v>5</v>
      </c>
      <c r="E6">
        <v>5</v>
      </c>
      <c r="F6" t="str">
        <f t="shared" si="0"/>
        <v>1-5</v>
      </c>
    </row>
    <row r="7" spans="1:6">
      <c r="A7" s="2" t="s">
        <v>10</v>
      </c>
      <c r="B7">
        <v>1</v>
      </c>
      <c r="C7">
        <v>1</v>
      </c>
      <c r="D7">
        <v>6</v>
      </c>
      <c r="E7">
        <v>6</v>
      </c>
      <c r="F7" t="str">
        <f t="shared" si="0"/>
        <v>1-6</v>
      </c>
    </row>
    <row r="8" spans="1:6">
      <c r="A8" s="2" t="s">
        <v>11</v>
      </c>
      <c r="B8">
        <v>1</v>
      </c>
      <c r="C8">
        <v>1</v>
      </c>
      <c r="D8">
        <v>7</v>
      </c>
      <c r="E8">
        <v>7</v>
      </c>
      <c r="F8" t="str">
        <f t="shared" si="0"/>
        <v>1-7</v>
      </c>
    </row>
    <row r="9" spans="1:6" ht="17" thickBot="1">
      <c r="A9" s="3" t="s">
        <v>12</v>
      </c>
      <c r="B9" s="4">
        <v>1</v>
      </c>
      <c r="C9" s="4">
        <v>1</v>
      </c>
      <c r="D9" s="4">
        <v>8</v>
      </c>
      <c r="E9" s="4">
        <v>8</v>
      </c>
      <c r="F9" t="str">
        <f t="shared" si="0"/>
        <v>1-8</v>
      </c>
    </row>
    <row r="10" spans="1:6">
      <c r="A10" s="2" t="s">
        <v>9</v>
      </c>
      <c r="B10">
        <v>1</v>
      </c>
      <c r="C10">
        <v>2</v>
      </c>
      <c r="D10">
        <v>5</v>
      </c>
      <c r="E10">
        <v>9</v>
      </c>
      <c r="F10" t="str">
        <f t="shared" si="0"/>
        <v>2-5</v>
      </c>
    </row>
    <row r="11" spans="1:6">
      <c r="A11" s="2" t="s">
        <v>10</v>
      </c>
      <c r="B11">
        <v>1</v>
      </c>
      <c r="C11">
        <v>2</v>
      </c>
      <c r="D11">
        <v>6</v>
      </c>
      <c r="E11">
        <v>10</v>
      </c>
      <c r="F11" t="str">
        <f t="shared" si="0"/>
        <v>2-6</v>
      </c>
    </row>
    <row r="12" spans="1:6">
      <c r="A12" s="2" t="s">
        <v>11</v>
      </c>
      <c r="B12">
        <v>1</v>
      </c>
      <c r="C12">
        <v>2</v>
      </c>
      <c r="D12">
        <v>7</v>
      </c>
      <c r="E12">
        <v>11</v>
      </c>
      <c r="F12" t="str">
        <f t="shared" si="0"/>
        <v>2-7</v>
      </c>
    </row>
    <row r="13" spans="1:6">
      <c r="A13" s="2" t="s">
        <v>12</v>
      </c>
      <c r="B13">
        <v>1</v>
      </c>
      <c r="C13">
        <v>2</v>
      </c>
      <c r="D13">
        <v>8</v>
      </c>
      <c r="E13">
        <v>12</v>
      </c>
      <c r="F13" t="str">
        <f t="shared" si="0"/>
        <v>2-8</v>
      </c>
    </row>
    <row r="14" spans="1:6">
      <c r="A14" s="5" t="s">
        <v>13</v>
      </c>
      <c r="B14">
        <v>1</v>
      </c>
      <c r="C14">
        <v>2</v>
      </c>
      <c r="D14">
        <v>9</v>
      </c>
      <c r="E14">
        <v>13</v>
      </c>
      <c r="F14" t="str">
        <f t="shared" si="0"/>
        <v>2-9</v>
      </c>
    </row>
    <row r="15" spans="1:6" ht="17" thickBot="1">
      <c r="A15" s="6" t="s">
        <v>14</v>
      </c>
      <c r="B15" s="4">
        <v>1</v>
      </c>
      <c r="C15" s="4">
        <v>2</v>
      </c>
      <c r="D15" s="4">
        <v>10</v>
      </c>
      <c r="E15" s="4">
        <v>14</v>
      </c>
      <c r="F15" t="str">
        <f t="shared" si="0"/>
        <v>2-10</v>
      </c>
    </row>
    <row r="16" spans="1:6">
      <c r="A16" s="1" t="s">
        <v>5</v>
      </c>
      <c r="B16">
        <v>1</v>
      </c>
      <c r="C16">
        <v>3</v>
      </c>
      <c r="D16">
        <v>1</v>
      </c>
      <c r="E16">
        <v>15</v>
      </c>
      <c r="F16" t="str">
        <f t="shared" si="0"/>
        <v>3-1</v>
      </c>
    </row>
    <row r="17" spans="1:6">
      <c r="A17" s="1" t="s">
        <v>6</v>
      </c>
      <c r="B17">
        <v>1</v>
      </c>
      <c r="C17">
        <v>3</v>
      </c>
      <c r="D17">
        <v>2</v>
      </c>
      <c r="E17">
        <v>16</v>
      </c>
      <c r="F17" t="str">
        <f t="shared" si="0"/>
        <v>3-2</v>
      </c>
    </row>
    <row r="18" spans="1:6">
      <c r="A18" s="1" t="s">
        <v>7</v>
      </c>
      <c r="B18">
        <v>1</v>
      </c>
      <c r="C18">
        <v>3</v>
      </c>
      <c r="D18">
        <v>3</v>
      </c>
      <c r="E18">
        <v>17</v>
      </c>
      <c r="F18" t="str">
        <f t="shared" si="0"/>
        <v>3-3</v>
      </c>
    </row>
    <row r="19" spans="1:6">
      <c r="A19" s="1" t="s">
        <v>8</v>
      </c>
      <c r="B19">
        <v>1</v>
      </c>
      <c r="C19">
        <v>3</v>
      </c>
      <c r="D19">
        <v>4</v>
      </c>
      <c r="E19">
        <v>18</v>
      </c>
      <c r="F19" t="str">
        <f t="shared" si="0"/>
        <v>3-4</v>
      </c>
    </row>
    <row r="20" spans="1:6">
      <c r="A20" s="2" t="s">
        <v>9</v>
      </c>
      <c r="B20">
        <v>1</v>
      </c>
      <c r="C20">
        <v>3</v>
      </c>
      <c r="D20">
        <v>5</v>
      </c>
      <c r="E20">
        <v>19</v>
      </c>
      <c r="F20" t="str">
        <f t="shared" si="0"/>
        <v>3-5</v>
      </c>
    </row>
    <row r="21" spans="1:6">
      <c r="A21" s="2" t="s">
        <v>10</v>
      </c>
      <c r="B21">
        <v>1</v>
      </c>
      <c r="C21">
        <v>3</v>
      </c>
      <c r="D21">
        <v>6</v>
      </c>
      <c r="E21">
        <v>20</v>
      </c>
      <c r="F21" t="str">
        <f t="shared" si="0"/>
        <v>3-6</v>
      </c>
    </row>
    <row r="22" spans="1:6">
      <c r="A22" s="2" t="s">
        <v>11</v>
      </c>
      <c r="B22">
        <v>1</v>
      </c>
      <c r="C22">
        <v>3</v>
      </c>
      <c r="D22">
        <v>7</v>
      </c>
      <c r="E22">
        <v>21</v>
      </c>
      <c r="F22" t="str">
        <f t="shared" si="0"/>
        <v>3-7</v>
      </c>
    </row>
    <row r="23" spans="1:6">
      <c r="A23" s="2" t="s">
        <v>12</v>
      </c>
      <c r="B23">
        <v>1</v>
      </c>
      <c r="C23">
        <v>3</v>
      </c>
      <c r="D23">
        <v>8</v>
      </c>
      <c r="E23">
        <v>22</v>
      </c>
      <c r="F23" t="str">
        <f t="shared" si="0"/>
        <v>3-8</v>
      </c>
    </row>
    <row r="24" spans="1:6">
      <c r="A24" s="5" t="s">
        <v>13</v>
      </c>
      <c r="B24">
        <v>1</v>
      </c>
      <c r="C24">
        <v>3</v>
      </c>
      <c r="D24">
        <v>9</v>
      </c>
      <c r="E24">
        <v>23</v>
      </c>
      <c r="F24" t="str">
        <f t="shared" si="0"/>
        <v>3-9</v>
      </c>
    </row>
    <row r="25" spans="1:6" ht="17" thickBot="1">
      <c r="A25" s="6" t="s">
        <v>14</v>
      </c>
      <c r="B25" s="4">
        <v>1</v>
      </c>
      <c r="C25" s="4">
        <v>3</v>
      </c>
      <c r="D25" s="4">
        <v>10</v>
      </c>
      <c r="E25" s="4">
        <v>24</v>
      </c>
      <c r="F25" t="str">
        <f t="shared" si="0"/>
        <v>3-10</v>
      </c>
    </row>
    <row r="26" spans="1:6">
      <c r="A26" t="s">
        <v>15</v>
      </c>
      <c r="B26">
        <v>2</v>
      </c>
      <c r="C26">
        <v>4</v>
      </c>
      <c r="D26">
        <v>11</v>
      </c>
      <c r="E26">
        <v>25</v>
      </c>
      <c r="F26" t="str">
        <f t="shared" si="0"/>
        <v>4-11</v>
      </c>
    </row>
    <row r="27" spans="1:6">
      <c r="A27" t="s">
        <v>16</v>
      </c>
      <c r="B27">
        <v>2</v>
      </c>
      <c r="C27">
        <v>4</v>
      </c>
      <c r="D27">
        <v>12</v>
      </c>
      <c r="E27">
        <v>26</v>
      </c>
      <c r="F27" t="str">
        <f t="shared" si="0"/>
        <v>4-12</v>
      </c>
    </row>
    <row r="28" spans="1:6">
      <c r="A28" t="s">
        <v>17</v>
      </c>
      <c r="B28">
        <v>2</v>
      </c>
      <c r="C28">
        <v>4</v>
      </c>
      <c r="D28">
        <v>13</v>
      </c>
      <c r="E28">
        <v>27</v>
      </c>
      <c r="F28" t="str">
        <f t="shared" si="0"/>
        <v>4-13</v>
      </c>
    </row>
    <row r="29" spans="1:6">
      <c r="A29" t="s">
        <v>18</v>
      </c>
      <c r="B29">
        <v>2</v>
      </c>
      <c r="C29">
        <v>4</v>
      </c>
      <c r="D29">
        <v>14</v>
      </c>
      <c r="E29">
        <v>28</v>
      </c>
      <c r="F29" t="str">
        <f t="shared" si="0"/>
        <v>4-14</v>
      </c>
    </row>
    <row r="30" spans="1:6">
      <c r="A30" t="s">
        <v>19</v>
      </c>
      <c r="B30">
        <v>2</v>
      </c>
      <c r="C30">
        <v>4</v>
      </c>
      <c r="D30">
        <v>15</v>
      </c>
      <c r="E30">
        <v>29</v>
      </c>
      <c r="F30" t="str">
        <f t="shared" si="0"/>
        <v>4-15</v>
      </c>
    </row>
    <row r="31" spans="1:6">
      <c r="A31" t="s">
        <v>20</v>
      </c>
      <c r="B31">
        <v>2</v>
      </c>
      <c r="C31">
        <v>4</v>
      </c>
      <c r="D31">
        <v>16</v>
      </c>
      <c r="E31">
        <v>30</v>
      </c>
      <c r="F31" t="str">
        <f t="shared" si="0"/>
        <v>4-16</v>
      </c>
    </row>
    <row r="32" spans="1:6">
      <c r="A32" t="s">
        <v>21</v>
      </c>
      <c r="B32">
        <v>2</v>
      </c>
      <c r="C32">
        <v>4</v>
      </c>
      <c r="D32">
        <v>17</v>
      </c>
      <c r="E32">
        <v>31</v>
      </c>
      <c r="F32" t="str">
        <f t="shared" si="0"/>
        <v>4-17</v>
      </c>
    </row>
    <row r="33" spans="1:6">
      <c r="A33" t="s">
        <v>22</v>
      </c>
      <c r="B33">
        <v>2</v>
      </c>
      <c r="C33">
        <v>4</v>
      </c>
      <c r="D33">
        <v>18</v>
      </c>
      <c r="E33">
        <v>32</v>
      </c>
      <c r="F33" t="str">
        <f t="shared" si="0"/>
        <v>4-18</v>
      </c>
    </row>
    <row r="34" spans="1:6">
      <c r="A34" s="2" t="s">
        <v>11</v>
      </c>
      <c r="B34">
        <v>2</v>
      </c>
      <c r="C34">
        <v>4</v>
      </c>
      <c r="D34">
        <v>6</v>
      </c>
      <c r="E34">
        <v>33</v>
      </c>
      <c r="F34" t="str">
        <f t="shared" si="0"/>
        <v>4-6</v>
      </c>
    </row>
    <row r="35" spans="1:6">
      <c r="A35" s="2" t="s">
        <v>10</v>
      </c>
      <c r="B35">
        <v>2</v>
      </c>
      <c r="C35">
        <v>4</v>
      </c>
      <c r="D35">
        <v>7</v>
      </c>
      <c r="E35">
        <v>34</v>
      </c>
      <c r="F35" t="str">
        <f t="shared" si="0"/>
        <v>4-7</v>
      </c>
    </row>
    <row r="36" spans="1:6" ht="17" thickBot="1">
      <c r="A36" s="3" t="s">
        <v>12</v>
      </c>
      <c r="B36" s="4">
        <v>2</v>
      </c>
      <c r="C36" s="4">
        <v>4</v>
      </c>
      <c r="D36" s="4">
        <v>8</v>
      </c>
      <c r="E36" s="4">
        <v>35</v>
      </c>
      <c r="F36" t="str">
        <f t="shared" si="0"/>
        <v>4-8</v>
      </c>
    </row>
    <row r="37" spans="1:6">
      <c r="A37" s="7" t="s">
        <v>23</v>
      </c>
      <c r="B37">
        <v>2</v>
      </c>
      <c r="C37">
        <v>5</v>
      </c>
      <c r="D37">
        <v>19</v>
      </c>
      <c r="E37">
        <v>36</v>
      </c>
      <c r="F37" t="str">
        <f t="shared" si="0"/>
        <v>5-19</v>
      </c>
    </row>
    <row r="38" spans="1:6">
      <c r="A38" s="7" t="s">
        <v>24</v>
      </c>
      <c r="B38">
        <v>2</v>
      </c>
      <c r="C38">
        <v>5</v>
      </c>
      <c r="D38">
        <v>20</v>
      </c>
      <c r="E38">
        <v>37</v>
      </c>
      <c r="F38" t="str">
        <f t="shared" si="0"/>
        <v>5-20</v>
      </c>
    </row>
    <row r="39" spans="1:6">
      <c r="A39" s="7" t="s">
        <v>25</v>
      </c>
      <c r="B39">
        <v>2</v>
      </c>
      <c r="C39">
        <v>5</v>
      </c>
      <c r="D39">
        <v>21</v>
      </c>
      <c r="E39">
        <v>38</v>
      </c>
      <c r="F39" t="str">
        <f t="shared" si="0"/>
        <v>5-21</v>
      </c>
    </row>
    <row r="40" spans="1:6">
      <c r="A40" s="2" t="s">
        <v>11</v>
      </c>
      <c r="B40">
        <v>2</v>
      </c>
      <c r="C40">
        <v>5</v>
      </c>
      <c r="D40">
        <v>6</v>
      </c>
      <c r="E40">
        <v>39</v>
      </c>
      <c r="F40" t="str">
        <f t="shared" si="0"/>
        <v>5-6</v>
      </c>
    </row>
    <row r="41" spans="1:6">
      <c r="A41" s="2" t="s">
        <v>10</v>
      </c>
      <c r="B41">
        <v>2</v>
      </c>
      <c r="C41">
        <v>5</v>
      </c>
      <c r="D41">
        <v>7</v>
      </c>
      <c r="E41">
        <v>40</v>
      </c>
      <c r="F41" t="str">
        <f t="shared" si="0"/>
        <v>5-7</v>
      </c>
    </row>
    <row r="42" spans="1:6" ht="17" thickBot="1">
      <c r="A42" s="3" t="s">
        <v>12</v>
      </c>
      <c r="B42" s="4">
        <v>2</v>
      </c>
      <c r="C42" s="4">
        <v>5</v>
      </c>
      <c r="D42" s="4">
        <v>8</v>
      </c>
      <c r="E42" s="4">
        <v>41</v>
      </c>
      <c r="F42" t="str">
        <f t="shared" si="0"/>
        <v>5-8</v>
      </c>
    </row>
    <row r="43" spans="1:6">
      <c r="A43" s="7" t="s">
        <v>26</v>
      </c>
      <c r="B43">
        <v>2</v>
      </c>
      <c r="C43">
        <v>6</v>
      </c>
      <c r="D43">
        <v>22</v>
      </c>
      <c r="E43">
        <v>42</v>
      </c>
      <c r="F43" t="str">
        <f t="shared" si="0"/>
        <v>6-22</v>
      </c>
    </row>
    <row r="44" spans="1:6">
      <c r="A44" s="7" t="s">
        <v>27</v>
      </c>
      <c r="B44">
        <v>2</v>
      </c>
      <c r="C44">
        <v>6</v>
      </c>
      <c r="D44">
        <v>23</v>
      </c>
      <c r="E44">
        <v>43</v>
      </c>
      <c r="F44" t="str">
        <f t="shared" si="0"/>
        <v>6-23</v>
      </c>
    </row>
    <row r="45" spans="1:6">
      <c r="A45" s="7" t="s">
        <v>28</v>
      </c>
      <c r="B45">
        <v>2</v>
      </c>
      <c r="C45">
        <v>6</v>
      </c>
      <c r="D45">
        <v>24</v>
      </c>
      <c r="E45">
        <v>44</v>
      </c>
      <c r="F45" t="str">
        <f t="shared" si="0"/>
        <v>6-24</v>
      </c>
    </row>
    <row r="46" spans="1:6">
      <c r="A46" s="7" t="s">
        <v>29</v>
      </c>
      <c r="B46">
        <v>2</v>
      </c>
      <c r="C46">
        <v>6</v>
      </c>
      <c r="D46">
        <v>25</v>
      </c>
      <c r="E46">
        <v>45</v>
      </c>
      <c r="F46" t="str">
        <f t="shared" si="0"/>
        <v>6-25</v>
      </c>
    </row>
    <row r="47" spans="1:6">
      <c r="A47" s="2" t="s">
        <v>11</v>
      </c>
      <c r="B47">
        <v>2</v>
      </c>
      <c r="C47">
        <v>6</v>
      </c>
      <c r="D47">
        <v>6</v>
      </c>
      <c r="E47">
        <v>46</v>
      </c>
      <c r="F47" t="str">
        <f t="shared" si="0"/>
        <v>6-6</v>
      </c>
    </row>
    <row r="48" spans="1:6">
      <c r="A48" s="2" t="s">
        <v>10</v>
      </c>
      <c r="B48">
        <v>2</v>
      </c>
      <c r="C48">
        <v>6</v>
      </c>
      <c r="D48">
        <v>7</v>
      </c>
      <c r="E48">
        <v>47</v>
      </c>
      <c r="F48" t="str">
        <f t="shared" si="0"/>
        <v>6-7</v>
      </c>
    </row>
    <row r="49" spans="1:6" ht="17" thickBot="1">
      <c r="A49" s="3" t="s">
        <v>12</v>
      </c>
      <c r="B49" s="4">
        <v>2</v>
      </c>
      <c r="C49" s="4">
        <v>6</v>
      </c>
      <c r="D49" s="4">
        <v>8</v>
      </c>
      <c r="E49" s="4">
        <v>48</v>
      </c>
      <c r="F49" t="str">
        <f t="shared" si="0"/>
        <v>6-8</v>
      </c>
    </row>
    <row r="50" spans="1:6">
      <c r="A50" s="7" t="s">
        <v>30</v>
      </c>
      <c r="B50">
        <v>2</v>
      </c>
      <c r="C50">
        <v>7</v>
      </c>
      <c r="D50">
        <v>26</v>
      </c>
      <c r="E50">
        <v>49</v>
      </c>
      <c r="F50" t="str">
        <f t="shared" si="0"/>
        <v>7-26</v>
      </c>
    </row>
    <row r="51" spans="1:6">
      <c r="A51" s="7" t="s">
        <v>31</v>
      </c>
      <c r="B51">
        <v>2</v>
      </c>
      <c r="C51">
        <v>7</v>
      </c>
      <c r="D51">
        <v>27</v>
      </c>
      <c r="E51">
        <v>50</v>
      </c>
      <c r="F51" t="str">
        <f t="shared" si="0"/>
        <v>7-27</v>
      </c>
    </row>
    <row r="52" spans="1:6">
      <c r="A52" s="7" t="s">
        <v>32</v>
      </c>
      <c r="B52">
        <v>2</v>
      </c>
      <c r="C52">
        <v>7</v>
      </c>
      <c r="D52">
        <v>28</v>
      </c>
      <c r="E52">
        <v>51</v>
      </c>
      <c r="F52" t="str">
        <f t="shared" si="0"/>
        <v>7-28</v>
      </c>
    </row>
    <row r="53" spans="1:6">
      <c r="A53" s="2" t="s">
        <v>11</v>
      </c>
      <c r="B53">
        <v>2</v>
      </c>
      <c r="C53">
        <v>7</v>
      </c>
      <c r="D53">
        <v>6</v>
      </c>
      <c r="E53">
        <v>52</v>
      </c>
      <c r="F53" t="str">
        <f t="shared" si="0"/>
        <v>7-6</v>
      </c>
    </row>
    <row r="54" spans="1:6">
      <c r="A54" s="2" t="s">
        <v>10</v>
      </c>
      <c r="B54">
        <v>2</v>
      </c>
      <c r="C54">
        <v>7</v>
      </c>
      <c r="D54">
        <v>7</v>
      </c>
      <c r="E54">
        <v>53</v>
      </c>
      <c r="F54" t="str">
        <f t="shared" si="0"/>
        <v>7-7</v>
      </c>
    </row>
    <row r="55" spans="1:6" ht="17" thickBot="1">
      <c r="A55" s="3" t="s">
        <v>33</v>
      </c>
      <c r="B55" s="4">
        <v>2</v>
      </c>
      <c r="C55" s="4">
        <v>7</v>
      </c>
      <c r="D55" s="4">
        <v>8</v>
      </c>
      <c r="E55" s="4">
        <v>54</v>
      </c>
      <c r="F55" t="str">
        <f t="shared" si="0"/>
        <v>7-8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FA261-FF21-0846-9013-183DA4AB100C}">
  <dimension ref="A1:O917"/>
  <sheetViews>
    <sheetView workbookViewId="0"/>
  </sheetViews>
  <sheetFormatPr baseColWidth="10" defaultRowHeight="16"/>
  <cols>
    <col min="1" max="3" width="3.1640625" style="50" customWidth="1"/>
    <col min="4" max="4" width="4.5" style="50" customWidth="1"/>
    <col min="5" max="5" width="8.33203125" style="50" customWidth="1"/>
    <col min="6" max="7" width="5.83203125" style="50" customWidth="1"/>
    <col min="8" max="8" width="5.5" style="50" customWidth="1"/>
    <col min="9" max="9" width="10.83203125" style="142"/>
    <col min="10" max="12" width="10.83203125" style="50"/>
    <col min="13" max="13" width="13.83203125" style="50" customWidth="1"/>
    <col min="14" max="14" width="106.6640625" style="50" customWidth="1"/>
    <col min="15" max="16384" width="10.83203125" style="142"/>
  </cols>
  <sheetData>
    <row r="1" spans="1:14" ht="44">
      <c r="A1" s="138" t="s">
        <v>1391</v>
      </c>
      <c r="B1" s="138" t="s">
        <v>2</v>
      </c>
      <c r="C1" s="138" t="s">
        <v>3</v>
      </c>
      <c r="D1" s="138" t="s">
        <v>34</v>
      </c>
      <c r="E1" s="138" t="s">
        <v>1424</v>
      </c>
      <c r="F1" s="138" t="s">
        <v>4</v>
      </c>
      <c r="G1" s="138" t="s">
        <v>531</v>
      </c>
      <c r="H1" s="138" t="s">
        <v>1846</v>
      </c>
      <c r="I1" s="139" t="s">
        <v>1392</v>
      </c>
      <c r="J1" s="140" t="s">
        <v>1393</v>
      </c>
      <c r="K1" s="140" t="s">
        <v>1394</v>
      </c>
      <c r="L1" s="140" t="s">
        <v>1395</v>
      </c>
      <c r="M1" s="141" t="s">
        <v>1396</v>
      </c>
      <c r="N1" s="141" t="s">
        <v>1397</v>
      </c>
    </row>
    <row r="2" spans="1:14" ht="98">
      <c r="A2" s="138">
        <v>2</v>
      </c>
      <c r="B2" s="142">
        <v>3</v>
      </c>
      <c r="C2" s="142">
        <f>INDEX(Subcategories!$A$2:$A$29,MATCH(L2,Subcategories!$B$2:$B$29,0))</f>
        <v>1</v>
      </c>
      <c r="D2" s="142">
        <f>VLOOKUP(M2,Elements!$A$2:$B$435,2,0)</f>
        <v>1</v>
      </c>
      <c r="E2" s="142" t="str">
        <f>_xlfn.CONCAT(B2,"-",C2,"-",D2)</f>
        <v>3-1-1</v>
      </c>
      <c r="F2" s="142">
        <f>INDEX(SuiteCatSub!$E$2:$E$55,MATCH(_xlfn.CONCAT(B2,"-",C2),SuiteCatSub!$F$2:$F$55,0))</f>
        <v>15</v>
      </c>
      <c r="G2" s="142">
        <f>VLOOKUP(E2,SuiteCatSubElem!F2:G667,2,0)</f>
        <v>138</v>
      </c>
      <c r="H2" s="142">
        <f>VLOOKUP(G2,SuiteCatSubElem_Version!$I$2:$J$667,2,0)</f>
        <v>1</v>
      </c>
      <c r="I2" s="139" t="s">
        <v>1398</v>
      </c>
      <c r="J2" s="140" t="s">
        <v>1399</v>
      </c>
      <c r="K2" s="140" t="s">
        <v>1400</v>
      </c>
      <c r="L2" s="140" t="s">
        <v>5</v>
      </c>
      <c r="M2" s="140" t="s">
        <v>517</v>
      </c>
      <c r="N2" s="143" t="s">
        <v>1088</v>
      </c>
    </row>
    <row r="3" spans="1:14" ht="84">
      <c r="A3" s="138">
        <v>3</v>
      </c>
      <c r="B3" s="142">
        <v>3</v>
      </c>
      <c r="C3" s="142">
        <f>INDEX(Subcategories!$A$2:$A$29,MATCH(L3,Subcategories!$B$2:$B$29,0))</f>
        <v>1</v>
      </c>
      <c r="D3" s="142">
        <f>VLOOKUP(M3,Elements!$A$2:$B$435,2,0)</f>
        <v>2</v>
      </c>
      <c r="E3" s="142" t="str">
        <f t="shared" ref="E3:E66" si="0">_xlfn.CONCAT(B3,"-",C3,"-",D3)</f>
        <v>3-1-2</v>
      </c>
      <c r="F3" s="142">
        <f>INDEX(SuiteCatSub!$E$2:$E$55,MATCH(_xlfn.CONCAT(B3,"-",C3),SuiteCatSub!$F$2:$F$55,0))</f>
        <v>15</v>
      </c>
      <c r="G3" s="142">
        <f>VLOOKUP(E3,SuiteCatSubElem!F3:G668,2,0)</f>
        <v>139</v>
      </c>
      <c r="H3" s="142">
        <f>VLOOKUP(G3,SuiteCatSubElem_Version!$I$2:$J$667,2,0)</f>
        <v>2</v>
      </c>
      <c r="I3" s="139" t="s">
        <v>1398</v>
      </c>
      <c r="J3" s="140" t="s">
        <v>1399</v>
      </c>
      <c r="K3" s="140" t="s">
        <v>1400</v>
      </c>
      <c r="L3" s="140" t="s">
        <v>5</v>
      </c>
      <c r="M3" s="140" t="s">
        <v>39</v>
      </c>
      <c r="N3" s="143" t="s">
        <v>1089</v>
      </c>
    </row>
    <row r="4" spans="1:14" ht="42">
      <c r="A4" s="138">
        <v>4</v>
      </c>
      <c r="B4" s="142">
        <v>3</v>
      </c>
      <c r="C4" s="142">
        <f>INDEX(Subcategories!$A$2:$A$29,MATCH(L4,Subcategories!$B$2:$B$29,0))</f>
        <v>1</v>
      </c>
      <c r="D4" s="142">
        <f>VLOOKUP(M4,Elements!$A$2:$B$435,2,0)</f>
        <v>3</v>
      </c>
      <c r="E4" s="142" t="str">
        <f t="shared" si="0"/>
        <v>3-1-3</v>
      </c>
      <c r="F4" s="142">
        <f>INDEX(SuiteCatSub!$E$2:$E$55,MATCH(_xlfn.CONCAT(B4,"-",C4),SuiteCatSub!$F$2:$F$55,0))</f>
        <v>15</v>
      </c>
      <c r="G4" s="142">
        <f>VLOOKUP(E4,SuiteCatSubElem!F4:G669,2,0)</f>
        <v>140</v>
      </c>
      <c r="H4" s="142">
        <f>VLOOKUP(G4,SuiteCatSubElem_Version!$I$2:$J$667,2,0)</f>
        <v>3</v>
      </c>
      <c r="I4" s="139" t="s">
        <v>1398</v>
      </c>
      <c r="J4" s="140" t="s">
        <v>1399</v>
      </c>
      <c r="K4" s="140" t="s">
        <v>1400</v>
      </c>
      <c r="L4" s="140" t="s">
        <v>5</v>
      </c>
      <c r="M4" s="140" t="s">
        <v>518</v>
      </c>
      <c r="N4" s="143" t="s">
        <v>1090</v>
      </c>
    </row>
    <row r="5" spans="1:14" ht="42">
      <c r="A5" s="138">
        <v>5</v>
      </c>
      <c r="B5" s="142">
        <v>3</v>
      </c>
      <c r="C5" s="142">
        <f>INDEX(Subcategories!$A$2:$A$29,MATCH(L5,Subcategories!$B$2:$B$29,0))</f>
        <v>1</v>
      </c>
      <c r="D5" s="142">
        <f>VLOOKUP(M5,Elements!$A$2:$B$435,2,0)</f>
        <v>4</v>
      </c>
      <c r="E5" s="142" t="str">
        <f t="shared" si="0"/>
        <v>3-1-4</v>
      </c>
      <c r="F5" s="142">
        <f>INDEX(SuiteCatSub!$E$2:$E$55,MATCH(_xlfn.CONCAT(B5,"-",C5),SuiteCatSub!$F$2:$F$55,0))</f>
        <v>15</v>
      </c>
      <c r="G5" s="142">
        <f>VLOOKUP(E5,SuiteCatSubElem!F5:G670,2,0)</f>
        <v>141</v>
      </c>
      <c r="H5" s="142">
        <f>VLOOKUP(G5,SuiteCatSubElem_Version!$I$2:$J$667,2,0)</f>
        <v>4</v>
      </c>
      <c r="I5" s="139" t="s">
        <v>1398</v>
      </c>
      <c r="J5" s="140" t="s">
        <v>1399</v>
      </c>
      <c r="K5" s="140" t="s">
        <v>1400</v>
      </c>
      <c r="L5" s="140" t="s">
        <v>5</v>
      </c>
      <c r="M5" s="140" t="s">
        <v>41</v>
      </c>
      <c r="N5" s="143" t="s">
        <v>1091</v>
      </c>
    </row>
    <row r="6" spans="1:14" ht="112">
      <c r="A6" s="138">
        <v>6</v>
      </c>
      <c r="B6" s="142">
        <v>3</v>
      </c>
      <c r="C6" s="142">
        <f>INDEX(Subcategories!$A$2:$A$29,MATCH(L6,Subcategories!$B$2:$B$29,0))</f>
        <v>1</v>
      </c>
      <c r="D6" s="142">
        <f>VLOOKUP(M6,Elements!$A$2:$B$435,2,0)</f>
        <v>5</v>
      </c>
      <c r="E6" s="142" t="str">
        <f t="shared" si="0"/>
        <v>3-1-5</v>
      </c>
      <c r="F6" s="142">
        <f>INDEX(SuiteCatSub!$E$2:$E$55,MATCH(_xlfn.CONCAT(B6,"-",C6),SuiteCatSub!$F$2:$F$55,0))</f>
        <v>15</v>
      </c>
      <c r="G6" s="142">
        <f>VLOOKUP(E6,SuiteCatSubElem!F6:G671,2,0)</f>
        <v>142</v>
      </c>
      <c r="H6" s="142">
        <f>VLOOKUP(G6,SuiteCatSubElem_Version!$I$2:$J$667,2,0)</f>
        <v>5</v>
      </c>
      <c r="I6" s="139" t="s">
        <v>1398</v>
      </c>
      <c r="J6" s="140" t="s">
        <v>1399</v>
      </c>
      <c r="K6" s="140" t="s">
        <v>1400</v>
      </c>
      <c r="L6" s="140" t="s">
        <v>5</v>
      </c>
      <c r="M6" s="140" t="s">
        <v>519</v>
      </c>
      <c r="N6" s="143" t="s">
        <v>1092</v>
      </c>
    </row>
    <row r="7" spans="1:14" ht="42">
      <c r="A7" s="138">
        <v>7</v>
      </c>
      <c r="B7" s="142">
        <v>3</v>
      </c>
      <c r="C7" s="142">
        <f>INDEX(Subcategories!$A$2:$A$29,MATCH(L7,Subcategories!$B$2:$B$29,0))</f>
        <v>1</v>
      </c>
      <c r="D7" s="142">
        <f>VLOOKUP(M7,Elements!$A$2:$B$435,2,0)</f>
        <v>6</v>
      </c>
      <c r="E7" s="142" t="str">
        <f t="shared" si="0"/>
        <v>3-1-6</v>
      </c>
      <c r="F7" s="142">
        <f>INDEX(SuiteCatSub!$E$2:$E$55,MATCH(_xlfn.CONCAT(B7,"-",C7),SuiteCatSub!$F$2:$F$55,0))</f>
        <v>15</v>
      </c>
      <c r="G7" s="142">
        <f>VLOOKUP(E7,SuiteCatSubElem!F7:G672,2,0)</f>
        <v>143</v>
      </c>
      <c r="H7" s="142">
        <f>VLOOKUP(G7,SuiteCatSubElem_Version!$I$2:$J$667,2,0)</f>
        <v>6</v>
      </c>
      <c r="I7" s="139" t="s">
        <v>1398</v>
      </c>
      <c r="J7" s="140" t="s">
        <v>1399</v>
      </c>
      <c r="K7" s="140" t="s">
        <v>1400</v>
      </c>
      <c r="L7" s="140" t="s">
        <v>5</v>
      </c>
      <c r="M7" s="140" t="s">
        <v>43</v>
      </c>
      <c r="N7" s="143" t="s">
        <v>1093</v>
      </c>
    </row>
    <row r="8" spans="1:14" ht="70">
      <c r="A8" s="138">
        <v>8</v>
      </c>
      <c r="B8" s="142">
        <v>3</v>
      </c>
      <c r="C8" s="142">
        <f>INDEX(Subcategories!$A$2:$A$29,MATCH(L8,Subcategories!$B$2:$B$29,0))</f>
        <v>1</v>
      </c>
      <c r="D8" s="142">
        <f>VLOOKUP(M8,Elements!$A$2:$B$435,2,0)</f>
        <v>7</v>
      </c>
      <c r="E8" s="142" t="str">
        <f t="shared" si="0"/>
        <v>3-1-7</v>
      </c>
      <c r="F8" s="142">
        <f>INDEX(SuiteCatSub!$E$2:$E$55,MATCH(_xlfn.CONCAT(B8,"-",C8),SuiteCatSub!$F$2:$F$55,0))</f>
        <v>15</v>
      </c>
      <c r="G8" s="142">
        <f>VLOOKUP(E8,SuiteCatSubElem!F8:G673,2,0)</f>
        <v>144</v>
      </c>
      <c r="H8" s="142">
        <f>VLOOKUP(G8,SuiteCatSubElem_Version!$I$2:$J$667,2,0)</f>
        <v>7</v>
      </c>
      <c r="I8" s="139" t="s">
        <v>1398</v>
      </c>
      <c r="J8" s="140" t="s">
        <v>1399</v>
      </c>
      <c r="K8" s="140" t="s">
        <v>1400</v>
      </c>
      <c r="L8" s="140" t="s">
        <v>5</v>
      </c>
      <c r="M8" s="140" t="s">
        <v>44</v>
      </c>
      <c r="N8" s="143" t="s">
        <v>1094</v>
      </c>
    </row>
    <row r="9" spans="1:14" ht="28">
      <c r="A9" s="138">
        <v>9</v>
      </c>
      <c r="B9" s="142">
        <v>3</v>
      </c>
      <c r="C9" s="142">
        <f>INDEX(Subcategories!$A$2:$A$29,MATCH(L9,Subcategories!$B$2:$B$29,0))</f>
        <v>1</v>
      </c>
      <c r="D9" s="142">
        <f>VLOOKUP(M9,Elements!$A$2:$B$435,2,0)</f>
        <v>8</v>
      </c>
      <c r="E9" s="142" t="str">
        <f t="shared" si="0"/>
        <v>3-1-8</v>
      </c>
      <c r="F9" s="142">
        <f>INDEX(SuiteCatSub!$E$2:$E$55,MATCH(_xlfn.CONCAT(B9,"-",C9),SuiteCatSub!$F$2:$F$55,0))</f>
        <v>15</v>
      </c>
      <c r="G9" s="142">
        <f>VLOOKUP(E9,SuiteCatSubElem!F9:G674,2,0)</f>
        <v>145</v>
      </c>
      <c r="H9" s="142">
        <f>VLOOKUP(G9,SuiteCatSubElem_Version!$I$2:$J$667,2,0)</f>
        <v>8</v>
      </c>
      <c r="I9" s="139" t="s">
        <v>1398</v>
      </c>
      <c r="J9" s="140" t="s">
        <v>1399</v>
      </c>
      <c r="K9" s="140" t="s">
        <v>1400</v>
      </c>
      <c r="L9" s="140" t="s">
        <v>5</v>
      </c>
      <c r="M9" s="140" t="s">
        <v>45</v>
      </c>
      <c r="N9" s="143" t="s">
        <v>1095</v>
      </c>
    </row>
    <row r="10" spans="1:14" ht="28">
      <c r="A10" s="138">
        <v>10</v>
      </c>
      <c r="B10" s="142">
        <v>3</v>
      </c>
      <c r="C10" s="142">
        <f>INDEX(Subcategories!$A$2:$A$29,MATCH(L10,Subcategories!$B$2:$B$29,0))</f>
        <v>1</v>
      </c>
      <c r="D10" s="142">
        <f>VLOOKUP(M10,Elements!$A$2:$B$435,2,0)</f>
        <v>9</v>
      </c>
      <c r="E10" s="142" t="str">
        <f t="shared" si="0"/>
        <v>3-1-9</v>
      </c>
      <c r="F10" s="142">
        <f>INDEX(SuiteCatSub!$E$2:$E$55,MATCH(_xlfn.CONCAT(B10,"-",C10),SuiteCatSub!$F$2:$F$55,0))</f>
        <v>15</v>
      </c>
      <c r="G10" s="142">
        <f>VLOOKUP(E10,SuiteCatSubElem!F10:G675,2,0)</f>
        <v>146</v>
      </c>
      <c r="H10" s="142">
        <f>VLOOKUP(G10,SuiteCatSubElem_Version!$I$2:$J$667,2,0)</f>
        <v>9</v>
      </c>
      <c r="I10" s="139" t="s">
        <v>1398</v>
      </c>
      <c r="J10" s="140" t="s">
        <v>1399</v>
      </c>
      <c r="K10" s="140" t="s">
        <v>1400</v>
      </c>
      <c r="L10" s="140" t="s">
        <v>5</v>
      </c>
      <c r="M10" s="140" t="s">
        <v>46</v>
      </c>
      <c r="N10" s="143" t="s">
        <v>1096</v>
      </c>
    </row>
    <row r="11" spans="1:14" ht="28">
      <c r="A11" s="138">
        <v>11</v>
      </c>
      <c r="B11" s="142">
        <v>3</v>
      </c>
      <c r="C11" s="142">
        <f>INDEX(Subcategories!$A$2:$A$29,MATCH(L11,Subcategories!$B$2:$B$29,0))</f>
        <v>1</v>
      </c>
      <c r="D11" s="142">
        <f>VLOOKUP(M11,Elements!$A$2:$B$435,2,0)</f>
        <v>10</v>
      </c>
      <c r="E11" s="142" t="str">
        <f t="shared" si="0"/>
        <v>3-1-10</v>
      </c>
      <c r="F11" s="142">
        <f>INDEX(SuiteCatSub!$E$2:$E$55,MATCH(_xlfn.CONCAT(B11,"-",C11),SuiteCatSub!$F$2:$F$55,0))</f>
        <v>15</v>
      </c>
      <c r="G11" s="142">
        <f>VLOOKUP(E11,SuiteCatSubElem!F11:G676,2,0)</f>
        <v>147</v>
      </c>
      <c r="H11" s="142">
        <f>VLOOKUP(G11,SuiteCatSubElem_Version!$I$2:$J$667,2,0)</f>
        <v>10</v>
      </c>
      <c r="I11" s="139" t="s">
        <v>1398</v>
      </c>
      <c r="J11" s="140" t="s">
        <v>1399</v>
      </c>
      <c r="K11" s="140" t="s">
        <v>1400</v>
      </c>
      <c r="L11" s="140" t="s">
        <v>5</v>
      </c>
      <c r="M11" s="140" t="s">
        <v>47</v>
      </c>
      <c r="N11" s="143" t="s">
        <v>910</v>
      </c>
    </row>
    <row r="12" spans="1:14" ht="28">
      <c r="A12" s="138">
        <v>12</v>
      </c>
      <c r="B12" s="142">
        <v>3</v>
      </c>
      <c r="C12" s="142">
        <f>INDEX(Subcategories!$A$2:$A$29,MATCH(L12,Subcategories!$B$2:$B$29,0))</f>
        <v>1</v>
      </c>
      <c r="D12" s="142">
        <f>VLOOKUP(M12,Elements!$A$2:$B$435,2,0)</f>
        <v>11</v>
      </c>
      <c r="E12" s="142" t="str">
        <f t="shared" si="0"/>
        <v>3-1-11</v>
      </c>
      <c r="F12" s="142">
        <f>INDEX(SuiteCatSub!$E$2:$E$55,MATCH(_xlfn.CONCAT(B12,"-",C12),SuiteCatSub!$F$2:$F$55,0))</f>
        <v>15</v>
      </c>
      <c r="G12" s="142">
        <f>VLOOKUP(E12,SuiteCatSubElem!F12:G677,2,0)</f>
        <v>148</v>
      </c>
      <c r="H12" s="142">
        <f>VLOOKUP(G12,SuiteCatSubElem_Version!$I$2:$J$667,2,0)</f>
        <v>11</v>
      </c>
      <c r="I12" s="139" t="s">
        <v>1398</v>
      </c>
      <c r="J12" s="140" t="s">
        <v>1399</v>
      </c>
      <c r="K12" s="140" t="s">
        <v>1400</v>
      </c>
      <c r="L12" s="140" t="s">
        <v>5</v>
      </c>
      <c r="M12" s="140" t="s">
        <v>48</v>
      </c>
      <c r="N12" s="143" t="s">
        <v>1097</v>
      </c>
    </row>
    <row r="13" spans="1:14" ht="28">
      <c r="A13" s="138">
        <v>13</v>
      </c>
      <c r="B13" s="142">
        <v>3</v>
      </c>
      <c r="C13" s="142">
        <f>INDEX(Subcategories!$A$2:$A$29,MATCH(L13,Subcategories!$B$2:$B$29,0))</f>
        <v>1</v>
      </c>
      <c r="D13" s="142">
        <f>VLOOKUP(M13,Elements!$A$2:$B$435,2,0)</f>
        <v>12</v>
      </c>
      <c r="E13" s="142" t="str">
        <f t="shared" si="0"/>
        <v>3-1-12</v>
      </c>
      <c r="F13" s="142">
        <f>INDEX(SuiteCatSub!$E$2:$E$55,MATCH(_xlfn.CONCAT(B13,"-",C13),SuiteCatSub!$F$2:$F$55,0))</f>
        <v>15</v>
      </c>
      <c r="G13" s="142">
        <f>VLOOKUP(E13,SuiteCatSubElem!F13:G678,2,0)</f>
        <v>149</v>
      </c>
      <c r="H13" s="142">
        <f>VLOOKUP(G13,SuiteCatSubElem_Version!$I$2:$J$667,2,0)</f>
        <v>12</v>
      </c>
      <c r="I13" s="139" t="s">
        <v>1398</v>
      </c>
      <c r="J13" s="140" t="s">
        <v>1399</v>
      </c>
      <c r="K13" s="140" t="s">
        <v>1400</v>
      </c>
      <c r="L13" s="140" t="s">
        <v>5</v>
      </c>
      <c r="M13" s="140" t="s">
        <v>516</v>
      </c>
      <c r="N13" s="143" t="s">
        <v>1098</v>
      </c>
    </row>
    <row r="14" spans="1:14" ht="28">
      <c r="A14" s="138">
        <v>14</v>
      </c>
      <c r="B14" s="142">
        <v>3</v>
      </c>
      <c r="C14" s="142">
        <f>INDEX(Subcategories!$A$2:$A$29,MATCH(L14,Subcategories!$B$2:$B$29,0))</f>
        <v>2</v>
      </c>
      <c r="D14" s="142">
        <f>VLOOKUP(M14,Elements!$A$2:$B$435,2,0)</f>
        <v>13</v>
      </c>
      <c r="E14" s="142" t="str">
        <f t="shared" si="0"/>
        <v>3-2-13</v>
      </c>
      <c r="F14" s="142">
        <f>INDEX(SuiteCatSub!$E$2:$E$55,MATCH(_xlfn.CONCAT(B14,"-",C14),SuiteCatSub!$F$2:$F$55,0))</f>
        <v>16</v>
      </c>
      <c r="G14" s="142">
        <f>VLOOKUP(E14,SuiteCatSubElem!F14:G679,2,0)</f>
        <v>150</v>
      </c>
      <c r="H14" s="142">
        <f>VLOOKUP(G14,SuiteCatSubElem_Version!$I$2:$J$667,2,0)</f>
        <v>13</v>
      </c>
      <c r="I14" s="139" t="s">
        <v>1398</v>
      </c>
      <c r="J14" s="140" t="s">
        <v>1399</v>
      </c>
      <c r="K14" s="140" t="s">
        <v>1400</v>
      </c>
      <c r="L14" s="140" t="s">
        <v>6</v>
      </c>
      <c r="M14" s="140" t="s">
        <v>51</v>
      </c>
      <c r="N14" s="143" t="s">
        <v>1099</v>
      </c>
    </row>
    <row r="15" spans="1:14" ht="56">
      <c r="A15" s="138">
        <v>15</v>
      </c>
      <c r="B15" s="142">
        <v>3</v>
      </c>
      <c r="C15" s="142">
        <f>INDEX(Subcategories!$A$2:$A$29,MATCH(L15,Subcategories!$B$2:$B$29,0))</f>
        <v>2</v>
      </c>
      <c r="D15" s="142">
        <f>VLOOKUP(M15,Elements!$A$2:$B$435,2,0)</f>
        <v>14</v>
      </c>
      <c r="E15" s="142" t="str">
        <f t="shared" si="0"/>
        <v>3-2-14</v>
      </c>
      <c r="F15" s="142">
        <f>INDEX(SuiteCatSub!$E$2:$E$55,MATCH(_xlfn.CONCAT(B15,"-",C15),SuiteCatSub!$F$2:$F$55,0))</f>
        <v>16</v>
      </c>
      <c r="G15" s="142">
        <f>VLOOKUP(E15,SuiteCatSubElem!F15:G680,2,0)</f>
        <v>151</v>
      </c>
      <c r="H15" s="142">
        <f>VLOOKUP(G15,SuiteCatSubElem_Version!$I$2:$J$667,2,0)</f>
        <v>14</v>
      </c>
      <c r="I15" s="139" t="s">
        <v>1398</v>
      </c>
      <c r="J15" s="140" t="s">
        <v>1399</v>
      </c>
      <c r="K15" s="140" t="s">
        <v>1400</v>
      </c>
      <c r="L15" s="140" t="s">
        <v>6</v>
      </c>
      <c r="M15" s="140" t="s">
        <v>52</v>
      </c>
      <c r="N15" s="143" t="s">
        <v>1100</v>
      </c>
    </row>
    <row r="16" spans="1:14" ht="42">
      <c r="A16" s="138">
        <v>16</v>
      </c>
      <c r="B16" s="142">
        <v>3</v>
      </c>
      <c r="C16" s="142">
        <f>INDEX(Subcategories!$A$2:$A$29,MATCH(L16,Subcategories!$B$2:$B$29,0))</f>
        <v>2</v>
      </c>
      <c r="D16" s="142">
        <f>VLOOKUP(M16,Elements!$A$2:$B$435,2,0)</f>
        <v>15</v>
      </c>
      <c r="E16" s="142" t="str">
        <f t="shared" si="0"/>
        <v>3-2-15</v>
      </c>
      <c r="F16" s="142">
        <f>INDEX(SuiteCatSub!$E$2:$E$55,MATCH(_xlfn.CONCAT(B16,"-",C16),SuiteCatSub!$F$2:$F$55,0))</f>
        <v>16</v>
      </c>
      <c r="G16" s="142">
        <f>VLOOKUP(E16,SuiteCatSubElem!F16:G681,2,0)</f>
        <v>152</v>
      </c>
      <c r="H16" s="142">
        <f>VLOOKUP(G16,SuiteCatSubElem_Version!$I$2:$J$667,2,0)</f>
        <v>15</v>
      </c>
      <c r="I16" s="139" t="s">
        <v>1398</v>
      </c>
      <c r="J16" s="140" t="s">
        <v>1399</v>
      </c>
      <c r="K16" s="140" t="s">
        <v>1400</v>
      </c>
      <c r="L16" s="140" t="s">
        <v>6</v>
      </c>
      <c r="M16" s="140" t="s">
        <v>507</v>
      </c>
      <c r="N16" s="143" t="s">
        <v>1101</v>
      </c>
    </row>
    <row r="17" spans="1:14" ht="28">
      <c r="A17" s="138">
        <v>17</v>
      </c>
      <c r="B17" s="142">
        <v>3</v>
      </c>
      <c r="C17" s="142">
        <f>INDEX(Subcategories!$A$2:$A$29,MATCH(L17,Subcategories!$B$2:$B$29,0))</f>
        <v>2</v>
      </c>
      <c r="D17" s="142">
        <f>VLOOKUP(M17,Elements!$A$2:$B$435,2,0)</f>
        <v>16</v>
      </c>
      <c r="E17" s="142" t="str">
        <f t="shared" si="0"/>
        <v>3-2-16</v>
      </c>
      <c r="F17" s="142">
        <f>INDEX(SuiteCatSub!$E$2:$E$55,MATCH(_xlfn.CONCAT(B17,"-",C17),SuiteCatSub!$F$2:$F$55,0))</f>
        <v>16</v>
      </c>
      <c r="G17" s="142">
        <f>VLOOKUP(E17,SuiteCatSubElem!F17:G682,2,0)</f>
        <v>153</v>
      </c>
      <c r="H17" s="142">
        <f>VLOOKUP(G17,SuiteCatSubElem_Version!$I$2:$J$667,2,0)</f>
        <v>16</v>
      </c>
      <c r="I17" s="139" t="s">
        <v>1398</v>
      </c>
      <c r="J17" s="140" t="s">
        <v>1399</v>
      </c>
      <c r="K17" s="140" t="s">
        <v>1400</v>
      </c>
      <c r="L17" s="140" t="s">
        <v>6</v>
      </c>
      <c r="M17" s="140" t="s">
        <v>54</v>
      </c>
      <c r="N17" s="143" t="s">
        <v>1102</v>
      </c>
    </row>
    <row r="18" spans="1:14" ht="84">
      <c r="A18" s="138">
        <v>18</v>
      </c>
      <c r="B18" s="142">
        <v>3</v>
      </c>
      <c r="C18" s="142">
        <f>INDEX(Subcategories!$A$2:$A$29,MATCH(L18,Subcategories!$B$2:$B$29,0))</f>
        <v>2</v>
      </c>
      <c r="D18" s="142">
        <f>VLOOKUP(M18,Elements!$A$2:$B$435,2,0)</f>
        <v>17</v>
      </c>
      <c r="E18" s="142" t="str">
        <f t="shared" si="0"/>
        <v>3-2-17</v>
      </c>
      <c r="F18" s="142">
        <f>INDEX(SuiteCatSub!$E$2:$E$55,MATCH(_xlfn.CONCAT(B18,"-",C18),SuiteCatSub!$F$2:$F$55,0))</f>
        <v>16</v>
      </c>
      <c r="G18" s="142">
        <f>VLOOKUP(E18,SuiteCatSubElem!F18:G683,2,0)</f>
        <v>154</v>
      </c>
      <c r="H18" s="142">
        <f>VLOOKUP(G18,SuiteCatSubElem_Version!$I$2:$J$667,2,0)</f>
        <v>17</v>
      </c>
      <c r="I18" s="139" t="s">
        <v>1398</v>
      </c>
      <c r="J18" s="140" t="s">
        <v>1399</v>
      </c>
      <c r="K18" s="140" t="s">
        <v>1400</v>
      </c>
      <c r="L18" s="140" t="s">
        <v>6</v>
      </c>
      <c r="M18" s="140" t="s">
        <v>55</v>
      </c>
      <c r="N18" s="143" t="s">
        <v>1103</v>
      </c>
    </row>
    <row r="19" spans="1:14" ht="42">
      <c r="A19" s="138">
        <v>19</v>
      </c>
      <c r="B19" s="142">
        <v>3</v>
      </c>
      <c r="C19" s="142">
        <f>INDEX(Subcategories!$A$2:$A$29,MATCH(L19,Subcategories!$B$2:$B$29,0))</f>
        <v>2</v>
      </c>
      <c r="D19" s="142">
        <f>VLOOKUP(M19,Elements!$A$2:$B$435,2,0)</f>
        <v>18</v>
      </c>
      <c r="E19" s="142" t="str">
        <f t="shared" si="0"/>
        <v>3-2-18</v>
      </c>
      <c r="F19" s="142">
        <f>INDEX(SuiteCatSub!$E$2:$E$55,MATCH(_xlfn.CONCAT(B19,"-",C19),SuiteCatSub!$F$2:$F$55,0))</f>
        <v>16</v>
      </c>
      <c r="G19" s="142">
        <f>VLOOKUP(E19,SuiteCatSubElem!F19:G684,2,0)</f>
        <v>155</v>
      </c>
      <c r="H19" s="142">
        <f>VLOOKUP(G19,SuiteCatSubElem_Version!$I$2:$J$667,2,0)</f>
        <v>18</v>
      </c>
      <c r="I19" s="139" t="s">
        <v>1398</v>
      </c>
      <c r="J19" s="140" t="s">
        <v>1399</v>
      </c>
      <c r="K19" s="140" t="s">
        <v>1400</v>
      </c>
      <c r="L19" s="140" t="s">
        <v>6</v>
      </c>
      <c r="M19" s="140" t="s">
        <v>56</v>
      </c>
      <c r="N19" s="143" t="s">
        <v>1104</v>
      </c>
    </row>
    <row r="20" spans="1:14" ht="210">
      <c r="A20" s="138">
        <v>20</v>
      </c>
      <c r="B20" s="142">
        <v>3</v>
      </c>
      <c r="C20" s="142">
        <f>INDEX(Subcategories!$A$2:$A$29,MATCH(L20,Subcategories!$B$2:$B$29,0))</f>
        <v>2</v>
      </c>
      <c r="D20" s="142">
        <f>VLOOKUP(M20,Elements!$A$2:$B$435,2,0)</f>
        <v>19</v>
      </c>
      <c r="E20" s="142" t="str">
        <f t="shared" si="0"/>
        <v>3-2-19</v>
      </c>
      <c r="F20" s="142">
        <f>INDEX(SuiteCatSub!$E$2:$E$55,MATCH(_xlfn.CONCAT(B20,"-",C20),SuiteCatSub!$F$2:$F$55,0))</f>
        <v>16</v>
      </c>
      <c r="G20" s="142">
        <f>VLOOKUP(E20,SuiteCatSubElem!F20:G685,2,0)</f>
        <v>156</v>
      </c>
      <c r="H20" s="142">
        <f>VLOOKUP(G20,SuiteCatSubElem_Version!$I$2:$J$667,2,0)</f>
        <v>19</v>
      </c>
      <c r="I20" s="139" t="s">
        <v>1398</v>
      </c>
      <c r="J20" s="140" t="s">
        <v>1399</v>
      </c>
      <c r="K20" s="140" t="s">
        <v>1400</v>
      </c>
      <c r="L20" s="140" t="s">
        <v>6</v>
      </c>
      <c r="M20" s="140" t="s">
        <v>57</v>
      </c>
      <c r="N20" s="143" t="s">
        <v>1105</v>
      </c>
    </row>
    <row r="21" spans="1:14" ht="28">
      <c r="A21" s="138">
        <v>21</v>
      </c>
      <c r="B21" s="142">
        <v>3</v>
      </c>
      <c r="C21" s="142">
        <f>INDEX(Subcategories!$A$2:$A$29,MATCH(L21,Subcategories!$B$2:$B$29,0))</f>
        <v>2</v>
      </c>
      <c r="D21" s="142">
        <f>VLOOKUP(M21,Elements!$A$2:$B$435,2,0)</f>
        <v>20</v>
      </c>
      <c r="E21" s="142" t="str">
        <f t="shared" si="0"/>
        <v>3-2-20</v>
      </c>
      <c r="F21" s="142">
        <f>INDEX(SuiteCatSub!$E$2:$E$55,MATCH(_xlfn.CONCAT(B21,"-",C21),SuiteCatSub!$F$2:$F$55,0))</f>
        <v>16</v>
      </c>
      <c r="G21" s="142">
        <f>VLOOKUP(E21,SuiteCatSubElem!F21:G686,2,0)</f>
        <v>157</v>
      </c>
      <c r="H21" s="142">
        <f>VLOOKUP(G21,SuiteCatSubElem_Version!$I$2:$J$667,2,0)</f>
        <v>20</v>
      </c>
      <c r="I21" s="139" t="s">
        <v>1398</v>
      </c>
      <c r="J21" s="140" t="s">
        <v>1399</v>
      </c>
      <c r="K21" s="140" t="s">
        <v>1400</v>
      </c>
      <c r="L21" s="140" t="s">
        <v>6</v>
      </c>
      <c r="M21" s="140" t="s">
        <v>58</v>
      </c>
      <c r="N21" s="143" t="s">
        <v>1106</v>
      </c>
    </row>
    <row r="22" spans="1:14" ht="112">
      <c r="A22" s="138">
        <v>22</v>
      </c>
      <c r="B22" s="142">
        <v>3</v>
      </c>
      <c r="C22" s="142">
        <f>INDEX(Subcategories!$A$2:$A$29,MATCH(L22,Subcategories!$B$2:$B$29,0))</f>
        <v>2</v>
      </c>
      <c r="D22" s="142">
        <f>VLOOKUP(M22,Elements!$A$2:$B$435,2,0)</f>
        <v>21</v>
      </c>
      <c r="E22" s="142" t="str">
        <f t="shared" si="0"/>
        <v>3-2-21</v>
      </c>
      <c r="F22" s="142">
        <f>INDEX(SuiteCatSub!$E$2:$E$55,MATCH(_xlfn.CONCAT(B22,"-",C22),SuiteCatSub!$F$2:$F$55,0))</f>
        <v>16</v>
      </c>
      <c r="G22" s="142">
        <f>VLOOKUP(E22,SuiteCatSubElem!F22:G687,2,0)</f>
        <v>158</v>
      </c>
      <c r="H22" s="142">
        <f>VLOOKUP(G22,SuiteCatSubElem_Version!$I$2:$J$667,2,0)</f>
        <v>21</v>
      </c>
      <c r="I22" s="139" t="s">
        <v>1398</v>
      </c>
      <c r="J22" s="140" t="s">
        <v>1399</v>
      </c>
      <c r="K22" s="140" t="s">
        <v>1400</v>
      </c>
      <c r="L22" s="140" t="s">
        <v>6</v>
      </c>
      <c r="M22" s="140" t="s">
        <v>59</v>
      </c>
      <c r="N22" s="143" t="s">
        <v>1107</v>
      </c>
    </row>
    <row r="23" spans="1:14" ht="28">
      <c r="A23" s="138">
        <v>23</v>
      </c>
      <c r="B23" s="142">
        <v>3</v>
      </c>
      <c r="C23" s="142">
        <f>INDEX(Subcategories!$A$2:$A$29,MATCH(L23,Subcategories!$B$2:$B$29,0))</f>
        <v>2</v>
      </c>
      <c r="D23" s="142">
        <f>VLOOKUP(M23,Elements!$A$2:$B$435,2,0)</f>
        <v>22</v>
      </c>
      <c r="E23" s="142" t="str">
        <f t="shared" si="0"/>
        <v>3-2-22</v>
      </c>
      <c r="F23" s="142">
        <f>INDEX(SuiteCatSub!$E$2:$E$55,MATCH(_xlfn.CONCAT(B23,"-",C23),SuiteCatSub!$F$2:$F$55,0))</f>
        <v>16</v>
      </c>
      <c r="G23" s="142">
        <f>VLOOKUP(E23,SuiteCatSubElem!F23:G688,2,0)</f>
        <v>159</v>
      </c>
      <c r="H23" s="142">
        <f>VLOOKUP(G23,SuiteCatSubElem_Version!$I$2:$J$667,2,0)</f>
        <v>22</v>
      </c>
      <c r="I23" s="139" t="s">
        <v>1398</v>
      </c>
      <c r="J23" s="140" t="s">
        <v>1399</v>
      </c>
      <c r="K23" s="140" t="s">
        <v>1400</v>
      </c>
      <c r="L23" s="140" t="s">
        <v>6</v>
      </c>
      <c r="M23" s="140" t="s">
        <v>60</v>
      </c>
      <c r="N23" s="143" t="s">
        <v>1108</v>
      </c>
    </row>
    <row r="24" spans="1:14" ht="42">
      <c r="A24" s="138">
        <v>24</v>
      </c>
      <c r="B24" s="142">
        <v>3</v>
      </c>
      <c r="C24" s="142">
        <f>INDEX(Subcategories!$A$2:$A$29,MATCH(L24,Subcategories!$B$2:$B$29,0))</f>
        <v>2</v>
      </c>
      <c r="D24" s="142">
        <f>VLOOKUP(M24,Elements!$A$2:$B$435,2,0)</f>
        <v>23</v>
      </c>
      <c r="E24" s="142" t="str">
        <f t="shared" si="0"/>
        <v>3-2-23</v>
      </c>
      <c r="F24" s="142">
        <f>INDEX(SuiteCatSub!$E$2:$E$55,MATCH(_xlfn.CONCAT(B24,"-",C24),SuiteCatSub!$F$2:$F$55,0))</f>
        <v>16</v>
      </c>
      <c r="G24" s="142">
        <f>VLOOKUP(E24,SuiteCatSubElem!F24:G689,2,0)</f>
        <v>160</v>
      </c>
      <c r="H24" s="142">
        <f>VLOOKUP(G24,SuiteCatSubElem_Version!$I$2:$J$667,2,0)</f>
        <v>23</v>
      </c>
      <c r="I24" s="139" t="s">
        <v>1398</v>
      </c>
      <c r="J24" s="140" t="s">
        <v>1399</v>
      </c>
      <c r="K24" s="140" t="s">
        <v>1400</v>
      </c>
      <c r="L24" s="140" t="s">
        <v>6</v>
      </c>
      <c r="M24" s="140" t="s">
        <v>61</v>
      </c>
      <c r="N24" s="143" t="s">
        <v>1109</v>
      </c>
    </row>
    <row r="25" spans="1:14" ht="42">
      <c r="A25" s="138">
        <v>25</v>
      </c>
      <c r="B25" s="142">
        <v>3</v>
      </c>
      <c r="C25" s="142">
        <f>INDEX(Subcategories!$A$2:$A$29,MATCH(L25,Subcategories!$B$2:$B$29,0))</f>
        <v>2</v>
      </c>
      <c r="D25" s="142">
        <f>VLOOKUP(M25,Elements!$A$2:$B$435,2,0)</f>
        <v>24</v>
      </c>
      <c r="E25" s="142" t="str">
        <f t="shared" si="0"/>
        <v>3-2-24</v>
      </c>
      <c r="F25" s="142">
        <f>INDEX(SuiteCatSub!$E$2:$E$55,MATCH(_xlfn.CONCAT(B25,"-",C25),SuiteCatSub!$F$2:$F$55,0))</f>
        <v>16</v>
      </c>
      <c r="G25" s="142">
        <f>VLOOKUP(E25,SuiteCatSubElem!F25:G690,2,0)</f>
        <v>161</v>
      </c>
      <c r="H25" s="142">
        <f>VLOOKUP(G25,SuiteCatSubElem_Version!$I$2:$J$667,2,0)</f>
        <v>24</v>
      </c>
      <c r="I25" s="139" t="s">
        <v>1398</v>
      </c>
      <c r="J25" s="140" t="s">
        <v>1399</v>
      </c>
      <c r="K25" s="140" t="s">
        <v>1400</v>
      </c>
      <c r="L25" s="140" t="s">
        <v>6</v>
      </c>
      <c r="M25" s="140" t="s">
        <v>525</v>
      </c>
      <c r="N25" s="143" t="s">
        <v>1110</v>
      </c>
    </row>
    <row r="26" spans="1:14" ht="70">
      <c r="A26" s="138">
        <v>26</v>
      </c>
      <c r="B26" s="142">
        <v>3</v>
      </c>
      <c r="C26" s="142">
        <f>INDEX(Subcategories!$A$2:$A$29,MATCH(L26,Subcategories!$B$2:$B$29,0))</f>
        <v>2</v>
      </c>
      <c r="D26" s="142">
        <f>VLOOKUP(M26,Elements!$A$2:$B$435,2,0)</f>
        <v>25</v>
      </c>
      <c r="E26" s="142" t="str">
        <f t="shared" si="0"/>
        <v>3-2-25</v>
      </c>
      <c r="F26" s="142">
        <f>INDEX(SuiteCatSub!$E$2:$E$55,MATCH(_xlfn.CONCAT(B26,"-",C26),SuiteCatSub!$F$2:$F$55,0))</f>
        <v>16</v>
      </c>
      <c r="G26" s="142">
        <f>VLOOKUP(E26,SuiteCatSubElem!F26:G691,2,0)</f>
        <v>162</v>
      </c>
      <c r="H26" s="142">
        <f>VLOOKUP(G26,SuiteCatSubElem_Version!$I$2:$J$667,2,0)</f>
        <v>25</v>
      </c>
      <c r="I26" s="139" t="s">
        <v>1398</v>
      </c>
      <c r="J26" s="140" t="s">
        <v>1399</v>
      </c>
      <c r="K26" s="140" t="s">
        <v>1400</v>
      </c>
      <c r="L26" s="140" t="s">
        <v>6</v>
      </c>
      <c r="M26" s="140" t="s">
        <v>63</v>
      </c>
      <c r="N26" s="143" t="s">
        <v>1111</v>
      </c>
    </row>
    <row r="27" spans="1:14" ht="56">
      <c r="A27" s="138">
        <v>27</v>
      </c>
      <c r="B27" s="142">
        <v>3</v>
      </c>
      <c r="C27" s="142">
        <f>INDEX(Subcategories!$A$2:$A$29,MATCH(L27,Subcategories!$B$2:$B$29,0))</f>
        <v>2</v>
      </c>
      <c r="D27" s="142">
        <f>VLOOKUP(M27,Elements!$A$2:$B$435,2,0)</f>
        <v>26</v>
      </c>
      <c r="E27" s="142" t="str">
        <f t="shared" si="0"/>
        <v>3-2-26</v>
      </c>
      <c r="F27" s="142">
        <f>INDEX(SuiteCatSub!$E$2:$E$55,MATCH(_xlfn.CONCAT(B27,"-",C27),SuiteCatSub!$F$2:$F$55,0))</f>
        <v>16</v>
      </c>
      <c r="G27" s="142">
        <f>VLOOKUP(E27,SuiteCatSubElem!F27:G692,2,0)</f>
        <v>163</v>
      </c>
      <c r="H27" s="142">
        <f>VLOOKUP(G27,SuiteCatSubElem_Version!$I$2:$J$667,2,0)</f>
        <v>26</v>
      </c>
      <c r="I27" s="139" t="s">
        <v>1398</v>
      </c>
      <c r="J27" s="140" t="s">
        <v>1399</v>
      </c>
      <c r="K27" s="140" t="s">
        <v>1400</v>
      </c>
      <c r="L27" s="140" t="s">
        <v>6</v>
      </c>
      <c r="M27" s="140" t="s">
        <v>64</v>
      </c>
      <c r="N27" s="143" t="s">
        <v>1112</v>
      </c>
    </row>
    <row r="28" spans="1:14" ht="126">
      <c r="A28" s="138">
        <v>28</v>
      </c>
      <c r="B28" s="142">
        <v>3</v>
      </c>
      <c r="C28" s="142">
        <f>INDEX(Subcategories!$A$2:$A$29,MATCH(L28,Subcategories!$B$2:$B$29,0))</f>
        <v>2</v>
      </c>
      <c r="D28" s="142">
        <f>VLOOKUP(M28,Elements!$A$2:$B$435,2,0)</f>
        <v>27</v>
      </c>
      <c r="E28" s="142" t="str">
        <f t="shared" si="0"/>
        <v>3-2-27</v>
      </c>
      <c r="F28" s="142">
        <f>INDEX(SuiteCatSub!$E$2:$E$55,MATCH(_xlfn.CONCAT(B28,"-",C28),SuiteCatSub!$F$2:$F$55,0))</f>
        <v>16</v>
      </c>
      <c r="G28" s="142">
        <f>VLOOKUP(E28,SuiteCatSubElem!F28:G693,2,0)</f>
        <v>164</v>
      </c>
      <c r="H28" s="142">
        <f>VLOOKUP(G28,SuiteCatSubElem_Version!$I$2:$J$667,2,0)</f>
        <v>27</v>
      </c>
      <c r="I28" s="139" t="s">
        <v>1398</v>
      </c>
      <c r="J28" s="140" t="s">
        <v>1399</v>
      </c>
      <c r="K28" s="140" t="s">
        <v>1400</v>
      </c>
      <c r="L28" s="140" t="s">
        <v>6</v>
      </c>
      <c r="M28" s="140" t="s">
        <v>524</v>
      </c>
      <c r="N28" s="143" t="s">
        <v>1113</v>
      </c>
    </row>
    <row r="29" spans="1:14" ht="42">
      <c r="A29" s="138">
        <v>29</v>
      </c>
      <c r="B29" s="142">
        <v>3</v>
      </c>
      <c r="C29" s="142">
        <f>INDEX(Subcategories!$A$2:$A$29,MATCH(L29,Subcategories!$B$2:$B$29,0))</f>
        <v>2</v>
      </c>
      <c r="D29" s="142">
        <f>VLOOKUP(M29,Elements!$A$2:$B$435,2,0)</f>
        <v>28</v>
      </c>
      <c r="E29" s="142" t="str">
        <f t="shared" si="0"/>
        <v>3-2-28</v>
      </c>
      <c r="F29" s="142">
        <f>INDEX(SuiteCatSub!$E$2:$E$55,MATCH(_xlfn.CONCAT(B29,"-",C29),SuiteCatSub!$F$2:$F$55,0))</f>
        <v>16</v>
      </c>
      <c r="G29" s="142">
        <f>VLOOKUP(E29,SuiteCatSubElem!F29:G694,2,0)</f>
        <v>165</v>
      </c>
      <c r="H29" s="142">
        <f>VLOOKUP(G29,SuiteCatSubElem_Version!$I$2:$J$667,2,0)</f>
        <v>28</v>
      </c>
      <c r="I29" s="139" t="s">
        <v>1398</v>
      </c>
      <c r="J29" s="140" t="s">
        <v>1399</v>
      </c>
      <c r="K29" s="140" t="s">
        <v>1400</v>
      </c>
      <c r="L29" s="140" t="s">
        <v>6</v>
      </c>
      <c r="M29" s="140" t="s">
        <v>66</v>
      </c>
      <c r="N29" s="143" t="s">
        <v>1401</v>
      </c>
    </row>
    <row r="30" spans="1:14" ht="56">
      <c r="A30" s="138">
        <v>30</v>
      </c>
      <c r="B30" s="142">
        <v>3</v>
      </c>
      <c r="C30" s="142">
        <f>INDEX(Subcategories!$A$2:$A$29,MATCH(L30,Subcategories!$B$2:$B$29,0))</f>
        <v>2</v>
      </c>
      <c r="D30" s="142">
        <f>VLOOKUP(M30,Elements!$A$2:$B$435,2,0)</f>
        <v>29</v>
      </c>
      <c r="E30" s="142" t="str">
        <f t="shared" si="0"/>
        <v>3-2-29</v>
      </c>
      <c r="F30" s="142">
        <f>INDEX(SuiteCatSub!$E$2:$E$55,MATCH(_xlfn.CONCAT(B30,"-",C30),SuiteCatSub!$F$2:$F$55,0))</f>
        <v>16</v>
      </c>
      <c r="G30" s="142">
        <f>VLOOKUP(E30,SuiteCatSubElem!F30:G695,2,0)</f>
        <v>166</v>
      </c>
      <c r="H30" s="142">
        <f>VLOOKUP(G30,SuiteCatSubElem_Version!$I$2:$J$667,2,0)</f>
        <v>29</v>
      </c>
      <c r="I30" s="139" t="s">
        <v>1398</v>
      </c>
      <c r="J30" s="140" t="s">
        <v>1399</v>
      </c>
      <c r="K30" s="140" t="s">
        <v>1400</v>
      </c>
      <c r="L30" s="140" t="s">
        <v>6</v>
      </c>
      <c r="M30" s="140" t="s">
        <v>67</v>
      </c>
      <c r="N30" s="143" t="s">
        <v>1115</v>
      </c>
    </row>
    <row r="31" spans="1:14" ht="56">
      <c r="A31" s="138">
        <v>31</v>
      </c>
      <c r="B31" s="142">
        <v>3</v>
      </c>
      <c r="C31" s="142">
        <f>INDEX(Subcategories!$A$2:$A$29,MATCH(L31,Subcategories!$B$2:$B$29,0))</f>
        <v>2</v>
      </c>
      <c r="D31" s="142">
        <f>VLOOKUP(M31,Elements!$A$2:$B$435,2,0)</f>
        <v>30</v>
      </c>
      <c r="E31" s="142" t="str">
        <f t="shared" si="0"/>
        <v>3-2-30</v>
      </c>
      <c r="F31" s="142">
        <f>INDEX(SuiteCatSub!$E$2:$E$55,MATCH(_xlfn.CONCAT(B31,"-",C31),SuiteCatSub!$F$2:$F$55,0))</f>
        <v>16</v>
      </c>
      <c r="G31" s="142">
        <f>VLOOKUP(E31,SuiteCatSubElem!F31:G696,2,0)</f>
        <v>167</v>
      </c>
      <c r="H31" s="142">
        <f>VLOOKUP(G31,SuiteCatSubElem_Version!$I$2:$J$667,2,0)</f>
        <v>30</v>
      </c>
      <c r="I31" s="139" t="s">
        <v>1398</v>
      </c>
      <c r="J31" s="140" t="s">
        <v>1399</v>
      </c>
      <c r="K31" s="140" t="s">
        <v>1400</v>
      </c>
      <c r="L31" s="140" t="s">
        <v>6</v>
      </c>
      <c r="M31" s="140" t="s">
        <v>68</v>
      </c>
      <c r="N31" s="143" t="s">
        <v>1116</v>
      </c>
    </row>
    <row r="32" spans="1:14" ht="28">
      <c r="A32" s="138">
        <v>32</v>
      </c>
      <c r="B32" s="142">
        <v>3</v>
      </c>
      <c r="C32" s="142">
        <f>INDEX(Subcategories!$A$2:$A$29,MATCH(L32,Subcategories!$B$2:$B$29,0))</f>
        <v>2</v>
      </c>
      <c r="D32" s="142">
        <f>VLOOKUP(M32,Elements!$A$2:$B$435,2,0)</f>
        <v>31</v>
      </c>
      <c r="E32" s="142" t="str">
        <f t="shared" si="0"/>
        <v>3-2-31</v>
      </c>
      <c r="F32" s="142">
        <f>INDEX(SuiteCatSub!$E$2:$E$55,MATCH(_xlfn.CONCAT(B32,"-",C32),SuiteCatSub!$F$2:$F$55,0))</f>
        <v>16</v>
      </c>
      <c r="G32" s="142">
        <f>VLOOKUP(E32,SuiteCatSubElem!F32:G697,2,0)</f>
        <v>168</v>
      </c>
      <c r="H32" s="142">
        <f>VLOOKUP(G32,SuiteCatSubElem_Version!$I$2:$J$667,2,0)</f>
        <v>31</v>
      </c>
      <c r="I32" s="139" t="s">
        <v>1398</v>
      </c>
      <c r="J32" s="140" t="s">
        <v>1399</v>
      </c>
      <c r="K32" s="140" t="s">
        <v>1400</v>
      </c>
      <c r="L32" s="140" t="s">
        <v>6</v>
      </c>
      <c r="M32" s="140" t="s">
        <v>69</v>
      </c>
      <c r="N32" s="143" t="s">
        <v>544</v>
      </c>
    </row>
    <row r="33" spans="1:14" ht="42">
      <c r="A33" s="138">
        <v>33</v>
      </c>
      <c r="B33" s="142">
        <v>3</v>
      </c>
      <c r="C33" s="142">
        <f>INDEX(Subcategories!$A$2:$A$29,MATCH(L33,Subcategories!$B$2:$B$29,0))</f>
        <v>2</v>
      </c>
      <c r="D33" s="142">
        <f>VLOOKUP(M33,Elements!$A$2:$B$435,2,0)</f>
        <v>32</v>
      </c>
      <c r="E33" s="142" t="str">
        <f t="shared" si="0"/>
        <v>3-2-32</v>
      </c>
      <c r="F33" s="142">
        <f>INDEX(SuiteCatSub!$E$2:$E$55,MATCH(_xlfn.CONCAT(B33,"-",C33),SuiteCatSub!$F$2:$F$55,0))</f>
        <v>16</v>
      </c>
      <c r="G33" s="142">
        <f>VLOOKUP(E33,SuiteCatSubElem!F33:G698,2,0)</f>
        <v>169</v>
      </c>
      <c r="H33" s="142">
        <f>VLOOKUP(G33,SuiteCatSubElem_Version!$I$2:$J$667,2,0)</f>
        <v>32</v>
      </c>
      <c r="I33" s="139" t="s">
        <v>1398</v>
      </c>
      <c r="J33" s="140" t="s">
        <v>1399</v>
      </c>
      <c r="K33" s="140" t="s">
        <v>1400</v>
      </c>
      <c r="L33" s="140" t="s">
        <v>6</v>
      </c>
      <c r="M33" s="140" t="s">
        <v>32</v>
      </c>
      <c r="N33" s="143" t="s">
        <v>1117</v>
      </c>
    </row>
    <row r="34" spans="1:14" ht="28">
      <c r="A34" s="138">
        <v>34</v>
      </c>
      <c r="B34" s="142">
        <v>3</v>
      </c>
      <c r="C34" s="142">
        <f>INDEX(Subcategories!$A$2:$A$29,MATCH(L34,Subcategories!$B$2:$B$29,0))</f>
        <v>2</v>
      </c>
      <c r="D34" s="142">
        <f>VLOOKUP(M34,Elements!$A$2:$B$435,2,0)</f>
        <v>33</v>
      </c>
      <c r="E34" s="142" t="str">
        <f t="shared" si="0"/>
        <v>3-2-33</v>
      </c>
      <c r="F34" s="142">
        <f>INDEX(SuiteCatSub!$E$2:$E$55,MATCH(_xlfn.CONCAT(B34,"-",C34),SuiteCatSub!$F$2:$F$55,0))</f>
        <v>16</v>
      </c>
      <c r="G34" s="142">
        <f>VLOOKUP(E34,SuiteCatSubElem!F34:G699,2,0)</f>
        <v>170</v>
      </c>
      <c r="H34" s="142">
        <f>VLOOKUP(G34,SuiteCatSubElem_Version!$I$2:$J$667,2,0)</f>
        <v>33</v>
      </c>
      <c r="I34" s="139" t="s">
        <v>1398</v>
      </c>
      <c r="J34" s="140" t="s">
        <v>1399</v>
      </c>
      <c r="K34" s="140" t="s">
        <v>1400</v>
      </c>
      <c r="L34" s="140" t="s">
        <v>6</v>
      </c>
      <c r="M34" s="140" t="s">
        <v>70</v>
      </c>
      <c r="N34" s="143" t="s">
        <v>1118</v>
      </c>
    </row>
    <row r="35" spans="1:14" ht="28">
      <c r="A35" s="138">
        <v>35</v>
      </c>
      <c r="B35" s="142">
        <v>3</v>
      </c>
      <c r="C35" s="142">
        <f>INDEX(Subcategories!$A$2:$A$29,MATCH(L35,Subcategories!$B$2:$B$29,0))</f>
        <v>2</v>
      </c>
      <c r="D35" s="142">
        <f>VLOOKUP(M35,Elements!$A$2:$B$435,2,0)</f>
        <v>34</v>
      </c>
      <c r="E35" s="142" t="str">
        <f t="shared" si="0"/>
        <v>3-2-34</v>
      </c>
      <c r="F35" s="142">
        <f>INDEX(SuiteCatSub!$E$2:$E$55,MATCH(_xlfn.CONCAT(B35,"-",C35),SuiteCatSub!$F$2:$F$55,0))</f>
        <v>16</v>
      </c>
      <c r="G35" s="142">
        <f>VLOOKUP(E35,SuiteCatSubElem!F35:G700,2,0)</f>
        <v>171</v>
      </c>
      <c r="H35" s="142">
        <f>VLOOKUP(G35,SuiteCatSubElem_Version!$I$2:$J$667,2,0)</f>
        <v>34</v>
      </c>
      <c r="I35" s="139" t="s">
        <v>1398</v>
      </c>
      <c r="J35" s="140" t="s">
        <v>1399</v>
      </c>
      <c r="K35" s="140" t="s">
        <v>1400</v>
      </c>
      <c r="L35" s="140" t="s">
        <v>6</v>
      </c>
      <c r="M35" s="140" t="s">
        <v>71</v>
      </c>
      <c r="N35" s="143" t="s">
        <v>1120</v>
      </c>
    </row>
    <row r="36" spans="1:14" ht="28">
      <c r="A36" s="138">
        <v>36</v>
      </c>
      <c r="B36" s="142">
        <v>3</v>
      </c>
      <c r="C36" s="142">
        <f>INDEX(Subcategories!$A$2:$A$29,MATCH(L36,Subcategories!$B$2:$B$29,0))</f>
        <v>2</v>
      </c>
      <c r="D36" s="142">
        <f>VLOOKUP(M36,Elements!$A$2:$B$435,2,0)</f>
        <v>10</v>
      </c>
      <c r="E36" s="142" t="str">
        <f t="shared" si="0"/>
        <v>3-2-10</v>
      </c>
      <c r="F36" s="142">
        <f>INDEX(SuiteCatSub!$E$2:$E$55,MATCH(_xlfn.CONCAT(B36,"-",C36),SuiteCatSub!$F$2:$F$55,0))</f>
        <v>16</v>
      </c>
      <c r="G36" s="142">
        <f>VLOOKUP(E36,SuiteCatSubElem!F36:G701,2,0)</f>
        <v>172</v>
      </c>
      <c r="H36" s="142">
        <f>VLOOKUP(G36,SuiteCatSubElem_Version!$I$2:$J$667,2,0)</f>
        <v>10</v>
      </c>
      <c r="I36" s="139" t="s">
        <v>1398</v>
      </c>
      <c r="J36" s="140" t="s">
        <v>1399</v>
      </c>
      <c r="K36" s="140" t="s">
        <v>1400</v>
      </c>
      <c r="L36" s="140" t="s">
        <v>6</v>
      </c>
      <c r="M36" s="140" t="s">
        <v>47</v>
      </c>
      <c r="N36" s="143" t="s">
        <v>910</v>
      </c>
    </row>
    <row r="37" spans="1:14" ht="56">
      <c r="A37" s="138">
        <v>37</v>
      </c>
      <c r="B37" s="142">
        <v>3</v>
      </c>
      <c r="C37" s="142">
        <f>INDEX(Subcategories!$A$2:$A$29,MATCH(L37,Subcategories!$B$2:$B$29,0))</f>
        <v>3</v>
      </c>
      <c r="D37" s="142">
        <f>VLOOKUP(M37,Elements!$A$2:$B$435,2,0)</f>
        <v>35</v>
      </c>
      <c r="E37" s="142" t="str">
        <f t="shared" si="0"/>
        <v>3-3-35</v>
      </c>
      <c r="F37" s="142">
        <f>INDEX(SuiteCatSub!$E$2:$E$55,MATCH(_xlfn.CONCAT(B37,"-",C37),SuiteCatSub!$F$2:$F$55,0))</f>
        <v>17</v>
      </c>
      <c r="G37" s="142">
        <f>VLOOKUP(E37,SuiteCatSubElem!F37:G702,2,0)</f>
        <v>173</v>
      </c>
      <c r="H37" s="142">
        <f>VLOOKUP(G37,SuiteCatSubElem_Version!$I$2:$J$667,2,0)</f>
        <v>35</v>
      </c>
      <c r="I37" s="139" t="s">
        <v>1398</v>
      </c>
      <c r="J37" s="140" t="s">
        <v>1399</v>
      </c>
      <c r="K37" s="140" t="s">
        <v>1400</v>
      </c>
      <c r="L37" s="140" t="s">
        <v>7</v>
      </c>
      <c r="M37" s="140" t="s">
        <v>510</v>
      </c>
      <c r="N37" s="143" t="s">
        <v>1121</v>
      </c>
    </row>
    <row r="38" spans="1:14" ht="140">
      <c r="A38" s="138">
        <v>38</v>
      </c>
      <c r="B38" s="142">
        <v>3</v>
      </c>
      <c r="C38" s="142">
        <f>INDEX(Subcategories!$A$2:$A$29,MATCH(L38,Subcategories!$B$2:$B$29,0))</f>
        <v>3</v>
      </c>
      <c r="D38" s="142">
        <f>VLOOKUP(M38,Elements!$A$2:$B$435,2,0)</f>
        <v>36</v>
      </c>
      <c r="E38" s="142" t="str">
        <f t="shared" si="0"/>
        <v>3-3-36</v>
      </c>
      <c r="F38" s="142">
        <f>INDEX(SuiteCatSub!$E$2:$E$55,MATCH(_xlfn.CONCAT(B38,"-",C38),SuiteCatSub!$F$2:$F$55,0))</f>
        <v>17</v>
      </c>
      <c r="G38" s="142">
        <f>VLOOKUP(E38,SuiteCatSubElem!F38:G703,2,0)</f>
        <v>174</v>
      </c>
      <c r="H38" s="142">
        <f>VLOOKUP(G38,SuiteCatSubElem_Version!$I$2:$J$667,2,0)</f>
        <v>36</v>
      </c>
      <c r="I38" s="139" t="s">
        <v>1398</v>
      </c>
      <c r="J38" s="140" t="s">
        <v>1399</v>
      </c>
      <c r="K38" s="140" t="s">
        <v>1400</v>
      </c>
      <c r="L38" s="140" t="s">
        <v>7</v>
      </c>
      <c r="M38" s="140" t="s">
        <v>509</v>
      </c>
      <c r="N38" s="143" t="s">
        <v>1122</v>
      </c>
    </row>
    <row r="39" spans="1:14" ht="28">
      <c r="A39" s="138">
        <v>39</v>
      </c>
      <c r="B39" s="142">
        <v>3</v>
      </c>
      <c r="C39" s="142">
        <f>INDEX(Subcategories!$A$2:$A$29,MATCH(L39,Subcategories!$B$2:$B$29,0))</f>
        <v>3</v>
      </c>
      <c r="D39" s="142">
        <f>VLOOKUP(M39,Elements!$A$2:$B$435,2,0)</f>
        <v>37</v>
      </c>
      <c r="E39" s="142" t="str">
        <f t="shared" si="0"/>
        <v>3-3-37</v>
      </c>
      <c r="F39" s="142">
        <f>INDEX(SuiteCatSub!$E$2:$E$55,MATCH(_xlfn.CONCAT(B39,"-",C39),SuiteCatSub!$F$2:$F$55,0))</f>
        <v>17</v>
      </c>
      <c r="G39" s="142">
        <f>VLOOKUP(E39,SuiteCatSubElem!F39:G704,2,0)</f>
        <v>175</v>
      </c>
      <c r="H39" s="142">
        <f>VLOOKUP(G39,SuiteCatSubElem_Version!$I$2:$J$667,2,0)</f>
        <v>37</v>
      </c>
      <c r="I39" s="139" t="s">
        <v>1398</v>
      </c>
      <c r="J39" s="140" t="s">
        <v>1399</v>
      </c>
      <c r="K39" s="140" t="s">
        <v>1400</v>
      </c>
      <c r="L39" s="140" t="s">
        <v>7</v>
      </c>
      <c r="M39" s="140" t="s">
        <v>74</v>
      </c>
      <c r="N39" s="143" t="s">
        <v>1123</v>
      </c>
    </row>
    <row r="40" spans="1:14" ht="28">
      <c r="A40" s="138">
        <v>40</v>
      </c>
      <c r="B40" s="142">
        <v>3</v>
      </c>
      <c r="C40" s="142">
        <f>INDEX(Subcategories!$A$2:$A$29,MATCH(L40,Subcategories!$B$2:$B$29,0))</f>
        <v>3</v>
      </c>
      <c r="D40" s="142">
        <f>VLOOKUP(M40,Elements!$A$2:$B$435,2,0)</f>
        <v>38</v>
      </c>
      <c r="E40" s="142" t="str">
        <f t="shared" si="0"/>
        <v>3-3-38</v>
      </c>
      <c r="F40" s="142">
        <f>INDEX(SuiteCatSub!$E$2:$E$55,MATCH(_xlfn.CONCAT(B40,"-",C40),SuiteCatSub!$F$2:$F$55,0))</f>
        <v>17</v>
      </c>
      <c r="G40" s="142">
        <f>VLOOKUP(E40,SuiteCatSubElem!F40:G705,2,0)</f>
        <v>176</v>
      </c>
      <c r="H40" s="142">
        <f>VLOOKUP(G40,SuiteCatSubElem_Version!$I$2:$J$667,2,0)</f>
        <v>38</v>
      </c>
      <c r="I40" s="139" t="s">
        <v>1398</v>
      </c>
      <c r="J40" s="140" t="s">
        <v>1399</v>
      </c>
      <c r="K40" s="140" t="s">
        <v>1400</v>
      </c>
      <c r="L40" s="140" t="s">
        <v>7</v>
      </c>
      <c r="M40" s="140" t="s">
        <v>75</v>
      </c>
      <c r="N40" s="143" t="s">
        <v>1124</v>
      </c>
    </row>
    <row r="41" spans="1:14" ht="56">
      <c r="A41" s="138">
        <v>41</v>
      </c>
      <c r="B41" s="142">
        <v>3</v>
      </c>
      <c r="C41" s="142">
        <f>INDEX(Subcategories!$A$2:$A$29,MATCH(L41,Subcategories!$B$2:$B$29,0))</f>
        <v>3</v>
      </c>
      <c r="D41" s="142">
        <f>VLOOKUP(M41,Elements!$A$2:$B$435,2,0)</f>
        <v>39</v>
      </c>
      <c r="E41" s="142" t="str">
        <f t="shared" si="0"/>
        <v>3-3-39</v>
      </c>
      <c r="F41" s="142">
        <f>INDEX(SuiteCatSub!$E$2:$E$55,MATCH(_xlfn.CONCAT(B41,"-",C41),SuiteCatSub!$F$2:$F$55,0))</f>
        <v>17</v>
      </c>
      <c r="G41" s="142">
        <f>VLOOKUP(E41,SuiteCatSubElem!F41:G706,2,0)</f>
        <v>177</v>
      </c>
      <c r="H41" s="142">
        <f>VLOOKUP(G41,SuiteCatSubElem_Version!$I$2:$J$667,2,0)</f>
        <v>39</v>
      </c>
      <c r="I41" s="139" t="s">
        <v>1398</v>
      </c>
      <c r="J41" s="140" t="s">
        <v>1399</v>
      </c>
      <c r="K41" s="140" t="s">
        <v>1400</v>
      </c>
      <c r="L41" s="140" t="s">
        <v>7</v>
      </c>
      <c r="M41" s="140" t="s">
        <v>76</v>
      </c>
      <c r="N41" s="143" t="s">
        <v>1125</v>
      </c>
    </row>
    <row r="42" spans="1:14" ht="70">
      <c r="A42" s="138">
        <v>42</v>
      </c>
      <c r="B42" s="142">
        <v>3</v>
      </c>
      <c r="C42" s="142">
        <f>INDEX(Subcategories!$A$2:$A$29,MATCH(L42,Subcategories!$B$2:$B$29,0))</f>
        <v>3</v>
      </c>
      <c r="D42" s="142">
        <f>VLOOKUP(M42,Elements!$A$2:$B$435,2,0)</f>
        <v>40</v>
      </c>
      <c r="E42" s="142" t="str">
        <f t="shared" si="0"/>
        <v>3-3-40</v>
      </c>
      <c r="F42" s="142">
        <f>INDEX(SuiteCatSub!$E$2:$E$55,MATCH(_xlfn.CONCAT(B42,"-",C42),SuiteCatSub!$F$2:$F$55,0))</f>
        <v>17</v>
      </c>
      <c r="G42" s="142">
        <f>VLOOKUP(E42,SuiteCatSubElem!F42:G707,2,0)</f>
        <v>178</v>
      </c>
      <c r="H42" s="142">
        <f>VLOOKUP(G42,SuiteCatSubElem_Version!$I$2:$J$667,2,0)</f>
        <v>40</v>
      </c>
      <c r="I42" s="139" t="s">
        <v>1398</v>
      </c>
      <c r="J42" s="140" t="s">
        <v>1399</v>
      </c>
      <c r="K42" s="140" t="s">
        <v>1400</v>
      </c>
      <c r="L42" s="140" t="s">
        <v>7</v>
      </c>
      <c r="M42" s="140" t="s">
        <v>77</v>
      </c>
      <c r="N42" s="143" t="s">
        <v>1126</v>
      </c>
    </row>
    <row r="43" spans="1:14" ht="42">
      <c r="A43" s="138">
        <v>43</v>
      </c>
      <c r="B43" s="142">
        <v>3</v>
      </c>
      <c r="C43" s="142">
        <f>INDEX(Subcategories!$A$2:$A$29,MATCH(L43,Subcategories!$B$2:$B$29,0))</f>
        <v>3</v>
      </c>
      <c r="D43" s="142">
        <f>VLOOKUP(M43,Elements!$A$2:$B$435,2,0)</f>
        <v>41</v>
      </c>
      <c r="E43" s="142" t="str">
        <f t="shared" si="0"/>
        <v>3-3-41</v>
      </c>
      <c r="F43" s="142">
        <f>INDEX(SuiteCatSub!$E$2:$E$55,MATCH(_xlfn.CONCAT(B43,"-",C43),SuiteCatSub!$F$2:$F$55,0))</f>
        <v>17</v>
      </c>
      <c r="G43" s="142">
        <f>VLOOKUP(E43,SuiteCatSubElem!F43:G708,2,0)</f>
        <v>179</v>
      </c>
      <c r="H43" s="142">
        <f>VLOOKUP(G43,SuiteCatSubElem_Version!$I$2:$J$667,2,0)</f>
        <v>41</v>
      </c>
      <c r="I43" s="139" t="s">
        <v>1398</v>
      </c>
      <c r="J43" s="140" t="s">
        <v>1399</v>
      </c>
      <c r="K43" s="140" t="s">
        <v>1400</v>
      </c>
      <c r="L43" s="140" t="s">
        <v>7</v>
      </c>
      <c r="M43" s="140" t="s">
        <v>78</v>
      </c>
      <c r="N43" s="143" t="s">
        <v>1127</v>
      </c>
    </row>
    <row r="44" spans="1:14" ht="28">
      <c r="A44" s="138">
        <v>44</v>
      </c>
      <c r="B44" s="142">
        <v>3</v>
      </c>
      <c r="C44" s="142">
        <f>INDEX(Subcategories!$A$2:$A$29,MATCH(L44,Subcategories!$B$2:$B$29,0))</f>
        <v>3</v>
      </c>
      <c r="D44" s="142">
        <f>VLOOKUP(M44,Elements!$A$2:$B$435,2,0)</f>
        <v>42</v>
      </c>
      <c r="E44" s="142" t="str">
        <f t="shared" si="0"/>
        <v>3-3-42</v>
      </c>
      <c r="F44" s="142">
        <f>INDEX(SuiteCatSub!$E$2:$E$55,MATCH(_xlfn.CONCAT(B44,"-",C44),SuiteCatSub!$F$2:$F$55,0))</f>
        <v>17</v>
      </c>
      <c r="G44" s="142">
        <f>VLOOKUP(E44,SuiteCatSubElem!F44:G709,2,0)</f>
        <v>180</v>
      </c>
      <c r="H44" s="142">
        <f>VLOOKUP(G44,SuiteCatSubElem_Version!$I$2:$J$667,2,0)</f>
        <v>42</v>
      </c>
      <c r="I44" s="139" t="s">
        <v>1398</v>
      </c>
      <c r="J44" s="140" t="s">
        <v>1399</v>
      </c>
      <c r="K44" s="140" t="s">
        <v>1400</v>
      </c>
      <c r="L44" s="140" t="s">
        <v>7</v>
      </c>
      <c r="M44" s="140" t="s">
        <v>79</v>
      </c>
      <c r="N44" s="143" t="s">
        <v>1128</v>
      </c>
    </row>
    <row r="45" spans="1:14" ht="56">
      <c r="A45" s="138">
        <v>45</v>
      </c>
      <c r="B45" s="142">
        <v>3</v>
      </c>
      <c r="C45" s="142">
        <f>INDEX(Subcategories!$A$2:$A$29,MATCH(L45,Subcategories!$B$2:$B$29,0))</f>
        <v>3</v>
      </c>
      <c r="D45" s="142">
        <f>VLOOKUP(M45,Elements!$A$2:$B$435,2,0)</f>
        <v>43</v>
      </c>
      <c r="E45" s="142" t="str">
        <f t="shared" si="0"/>
        <v>3-3-43</v>
      </c>
      <c r="F45" s="142">
        <f>INDEX(SuiteCatSub!$E$2:$E$55,MATCH(_xlfn.CONCAT(B45,"-",C45),SuiteCatSub!$F$2:$F$55,0))</f>
        <v>17</v>
      </c>
      <c r="G45" s="142">
        <f>VLOOKUP(E45,SuiteCatSubElem!F45:G710,2,0)</f>
        <v>181</v>
      </c>
      <c r="H45" s="142">
        <f>VLOOKUP(G45,SuiteCatSubElem_Version!$I$2:$J$667,2,0)</f>
        <v>43</v>
      </c>
      <c r="I45" s="139" t="s">
        <v>1398</v>
      </c>
      <c r="J45" s="140" t="s">
        <v>1399</v>
      </c>
      <c r="K45" s="140" t="s">
        <v>1400</v>
      </c>
      <c r="L45" s="140" t="s">
        <v>7</v>
      </c>
      <c r="M45" s="140" t="s">
        <v>80</v>
      </c>
      <c r="N45" s="143" t="s">
        <v>1129</v>
      </c>
    </row>
    <row r="46" spans="1:14" ht="42">
      <c r="A46" s="138">
        <v>46</v>
      </c>
      <c r="B46" s="142">
        <v>3</v>
      </c>
      <c r="C46" s="142">
        <f>INDEX(Subcategories!$A$2:$A$29,MATCH(L46,Subcategories!$B$2:$B$29,0))</f>
        <v>3</v>
      </c>
      <c r="D46" s="142">
        <f>VLOOKUP(M46,Elements!$A$2:$B$435,2,0)</f>
        <v>44</v>
      </c>
      <c r="E46" s="142" t="str">
        <f t="shared" si="0"/>
        <v>3-3-44</v>
      </c>
      <c r="F46" s="142">
        <f>INDEX(SuiteCatSub!$E$2:$E$55,MATCH(_xlfn.CONCAT(B46,"-",C46),SuiteCatSub!$F$2:$F$55,0))</f>
        <v>17</v>
      </c>
      <c r="G46" s="142">
        <f>VLOOKUP(E46,SuiteCatSubElem!F46:G711,2,0)</f>
        <v>182</v>
      </c>
      <c r="H46" s="142">
        <f>VLOOKUP(G46,SuiteCatSubElem_Version!$I$2:$J$667,2,0)</f>
        <v>44</v>
      </c>
      <c r="I46" s="139" t="s">
        <v>1398</v>
      </c>
      <c r="J46" s="140" t="s">
        <v>1399</v>
      </c>
      <c r="K46" s="140" t="s">
        <v>1400</v>
      </c>
      <c r="L46" s="140" t="s">
        <v>7</v>
      </c>
      <c r="M46" s="140" t="s">
        <v>81</v>
      </c>
      <c r="N46" s="143" t="s">
        <v>1130</v>
      </c>
    </row>
    <row r="47" spans="1:14" ht="28">
      <c r="A47" s="138">
        <v>47</v>
      </c>
      <c r="B47" s="142">
        <v>3</v>
      </c>
      <c r="C47" s="142">
        <f>INDEX(Subcategories!$A$2:$A$29,MATCH(L47,Subcategories!$B$2:$B$29,0))</f>
        <v>3</v>
      </c>
      <c r="D47" s="142">
        <f>VLOOKUP(M47,Elements!$A$2:$B$435,2,0)</f>
        <v>45</v>
      </c>
      <c r="E47" s="142" t="str">
        <f t="shared" si="0"/>
        <v>3-3-45</v>
      </c>
      <c r="F47" s="142">
        <f>INDEX(SuiteCatSub!$E$2:$E$55,MATCH(_xlfn.CONCAT(B47,"-",C47),SuiteCatSub!$F$2:$F$55,0))</f>
        <v>17</v>
      </c>
      <c r="G47" s="142">
        <f>VLOOKUP(E47,SuiteCatSubElem!F47:G712,2,0)</f>
        <v>183</v>
      </c>
      <c r="H47" s="142">
        <f>VLOOKUP(G47,SuiteCatSubElem_Version!$I$2:$J$667,2,0)</f>
        <v>45</v>
      </c>
      <c r="I47" s="139" t="s">
        <v>1398</v>
      </c>
      <c r="J47" s="140" t="s">
        <v>1399</v>
      </c>
      <c r="K47" s="140" t="s">
        <v>1400</v>
      </c>
      <c r="L47" s="140" t="s">
        <v>7</v>
      </c>
      <c r="M47" s="140" t="s">
        <v>82</v>
      </c>
      <c r="N47" s="143" t="s">
        <v>1131</v>
      </c>
    </row>
    <row r="48" spans="1:14">
      <c r="A48" s="138">
        <v>48</v>
      </c>
      <c r="B48" s="142">
        <v>3</v>
      </c>
      <c r="C48" s="142">
        <f>INDEX(Subcategories!$A$2:$A$29,MATCH(L48,Subcategories!$B$2:$B$29,0))</f>
        <v>3</v>
      </c>
      <c r="D48" s="142">
        <f>VLOOKUP(M48,Elements!$A$2:$B$435,2,0)</f>
        <v>46</v>
      </c>
      <c r="E48" s="142" t="str">
        <f t="shared" si="0"/>
        <v>3-3-46</v>
      </c>
      <c r="F48" s="142">
        <f>INDEX(SuiteCatSub!$E$2:$E$55,MATCH(_xlfn.CONCAT(B48,"-",C48),SuiteCatSub!$F$2:$F$55,0))</f>
        <v>17</v>
      </c>
      <c r="G48" s="142">
        <f>VLOOKUP(E48,SuiteCatSubElem!F48:G713,2,0)</f>
        <v>184</v>
      </c>
      <c r="H48" s="142">
        <f>VLOOKUP(G48,SuiteCatSubElem_Version!$I$2:$J$667,2,0)</f>
        <v>46</v>
      </c>
      <c r="I48" s="139" t="s">
        <v>1398</v>
      </c>
      <c r="J48" s="140" t="s">
        <v>1399</v>
      </c>
      <c r="K48" s="140" t="s">
        <v>1400</v>
      </c>
      <c r="L48" s="140" t="s">
        <v>7</v>
      </c>
      <c r="M48" s="140" t="s">
        <v>83</v>
      </c>
      <c r="N48" s="143" t="s">
        <v>1132</v>
      </c>
    </row>
    <row r="49" spans="1:14" ht="28">
      <c r="A49" s="138">
        <v>49</v>
      </c>
      <c r="B49" s="142">
        <v>3</v>
      </c>
      <c r="C49" s="142">
        <f>INDEX(Subcategories!$A$2:$A$29,MATCH(L49,Subcategories!$B$2:$B$29,0))</f>
        <v>3</v>
      </c>
      <c r="D49" s="142">
        <f>VLOOKUP(M49,Elements!$A$2:$B$435,2,0)</f>
        <v>33</v>
      </c>
      <c r="E49" s="142" t="str">
        <f t="shared" si="0"/>
        <v>3-3-33</v>
      </c>
      <c r="F49" s="142">
        <f>INDEX(SuiteCatSub!$E$2:$E$55,MATCH(_xlfn.CONCAT(B49,"-",C49),SuiteCatSub!$F$2:$F$55,0))</f>
        <v>17</v>
      </c>
      <c r="G49" s="142">
        <f>VLOOKUP(E49,SuiteCatSubElem!F49:G714,2,0)</f>
        <v>185</v>
      </c>
      <c r="H49" s="142">
        <f>VLOOKUP(G49,SuiteCatSubElem_Version!$I$2:$J$667,2,0)</f>
        <v>438</v>
      </c>
      <c r="I49" s="139" t="s">
        <v>1398</v>
      </c>
      <c r="J49" s="140" t="s">
        <v>1399</v>
      </c>
      <c r="K49" s="140" t="s">
        <v>1400</v>
      </c>
      <c r="L49" s="140" t="s">
        <v>7</v>
      </c>
      <c r="M49" s="140" t="s">
        <v>70</v>
      </c>
      <c r="N49" s="143" t="s">
        <v>1119</v>
      </c>
    </row>
    <row r="50" spans="1:14" ht="28">
      <c r="A50" s="138">
        <v>50</v>
      </c>
      <c r="B50" s="142">
        <v>3</v>
      </c>
      <c r="C50" s="142">
        <f>INDEX(Subcategories!$A$2:$A$29,MATCH(L50,Subcategories!$B$2:$B$29,0))</f>
        <v>3</v>
      </c>
      <c r="D50" s="142">
        <f>VLOOKUP(M50,Elements!$A$2:$B$435,2,0)</f>
        <v>47</v>
      </c>
      <c r="E50" s="142" t="str">
        <f t="shared" si="0"/>
        <v>3-3-47</v>
      </c>
      <c r="F50" s="142">
        <f>INDEX(SuiteCatSub!$E$2:$E$55,MATCH(_xlfn.CONCAT(B50,"-",C50),SuiteCatSub!$F$2:$F$55,0))</f>
        <v>17</v>
      </c>
      <c r="G50" s="142">
        <f>VLOOKUP(E50,SuiteCatSubElem!F50:G715,2,0)</f>
        <v>186</v>
      </c>
      <c r="H50" s="142">
        <f>VLOOKUP(G50,SuiteCatSubElem_Version!$I$2:$J$667,2,0)</f>
        <v>47</v>
      </c>
      <c r="I50" s="139" t="s">
        <v>1398</v>
      </c>
      <c r="J50" s="140" t="s">
        <v>1399</v>
      </c>
      <c r="K50" s="140" t="s">
        <v>1400</v>
      </c>
      <c r="L50" s="140" t="s">
        <v>7</v>
      </c>
      <c r="M50" s="140" t="s">
        <v>85</v>
      </c>
      <c r="N50" s="143" t="s">
        <v>1133</v>
      </c>
    </row>
    <row r="51" spans="1:14" ht="42">
      <c r="A51" s="138">
        <v>51</v>
      </c>
      <c r="B51" s="142">
        <v>3</v>
      </c>
      <c r="C51" s="142">
        <f>INDEX(Subcategories!$A$2:$A$29,MATCH(L51,Subcategories!$B$2:$B$29,0))</f>
        <v>4</v>
      </c>
      <c r="D51" s="142">
        <f>VLOOKUP(M51,Elements!$A$2:$B$435,2,0)</f>
        <v>48</v>
      </c>
      <c r="E51" s="142" t="str">
        <f t="shared" si="0"/>
        <v>3-4-48</v>
      </c>
      <c r="F51" s="142">
        <f>INDEX(SuiteCatSub!$E$2:$E$55,MATCH(_xlfn.CONCAT(B51,"-",C51),SuiteCatSub!$F$2:$F$55,0))</f>
        <v>18</v>
      </c>
      <c r="G51" s="142">
        <f>VLOOKUP(E51,SuiteCatSubElem!F51:G716,2,0)</f>
        <v>187</v>
      </c>
      <c r="H51" s="142">
        <f>VLOOKUP(G51,SuiteCatSubElem_Version!$I$2:$J$667,2,0)</f>
        <v>48</v>
      </c>
      <c r="I51" s="139" t="s">
        <v>1398</v>
      </c>
      <c r="J51" s="140" t="s">
        <v>1399</v>
      </c>
      <c r="K51" s="140" t="s">
        <v>1400</v>
      </c>
      <c r="L51" s="140" t="s">
        <v>8</v>
      </c>
      <c r="M51" s="140" t="s">
        <v>513</v>
      </c>
      <c r="N51" s="143" t="s">
        <v>1134</v>
      </c>
    </row>
    <row r="52" spans="1:14" ht="28">
      <c r="A52" s="138">
        <v>52</v>
      </c>
      <c r="B52" s="142">
        <v>3</v>
      </c>
      <c r="C52" s="142">
        <f>INDEX(Subcategories!$A$2:$A$29,MATCH(L52,Subcategories!$B$2:$B$29,0))</f>
        <v>4</v>
      </c>
      <c r="D52" s="142">
        <f>VLOOKUP(M52,Elements!$A$2:$B$435,2,0)</f>
        <v>49</v>
      </c>
      <c r="E52" s="142" t="str">
        <f t="shared" si="0"/>
        <v>3-4-49</v>
      </c>
      <c r="F52" s="142">
        <f>INDEX(SuiteCatSub!$E$2:$E$55,MATCH(_xlfn.CONCAT(B52,"-",C52),SuiteCatSub!$F$2:$F$55,0))</f>
        <v>18</v>
      </c>
      <c r="G52" s="142">
        <f>VLOOKUP(E52,SuiteCatSubElem!F52:G717,2,0)</f>
        <v>188</v>
      </c>
      <c r="H52" s="142">
        <f>VLOOKUP(G52,SuiteCatSubElem_Version!$I$2:$J$667,2,0)</f>
        <v>49</v>
      </c>
      <c r="I52" s="139" t="s">
        <v>1398</v>
      </c>
      <c r="J52" s="140" t="s">
        <v>1399</v>
      </c>
      <c r="K52" s="140" t="s">
        <v>1400</v>
      </c>
      <c r="L52" s="140" t="s">
        <v>8</v>
      </c>
      <c r="M52" s="140" t="s">
        <v>523</v>
      </c>
      <c r="N52" s="143" t="s">
        <v>1135</v>
      </c>
    </row>
    <row r="53" spans="1:14" ht="98">
      <c r="A53" s="138">
        <v>53</v>
      </c>
      <c r="B53" s="142">
        <v>3</v>
      </c>
      <c r="C53" s="142">
        <f>INDEX(Subcategories!$A$2:$A$29,MATCH(L53,Subcategories!$B$2:$B$29,0))</f>
        <v>4</v>
      </c>
      <c r="D53" s="142">
        <f>VLOOKUP(M53,Elements!$A$2:$B$435,2,0)</f>
        <v>50</v>
      </c>
      <c r="E53" s="142" t="str">
        <f t="shared" si="0"/>
        <v>3-4-50</v>
      </c>
      <c r="F53" s="142">
        <f>INDEX(SuiteCatSub!$E$2:$E$55,MATCH(_xlfn.CONCAT(B53,"-",C53),SuiteCatSub!$F$2:$F$55,0))</f>
        <v>18</v>
      </c>
      <c r="G53" s="142">
        <f>VLOOKUP(E53,SuiteCatSubElem!F53:G718,2,0)</f>
        <v>189</v>
      </c>
      <c r="H53" s="142">
        <f>VLOOKUP(G53,SuiteCatSubElem_Version!$I$2:$J$667,2,0)</f>
        <v>50</v>
      </c>
      <c r="I53" s="139" t="s">
        <v>1398</v>
      </c>
      <c r="J53" s="140" t="s">
        <v>1399</v>
      </c>
      <c r="K53" s="140" t="s">
        <v>1400</v>
      </c>
      <c r="L53" s="140" t="s">
        <v>8</v>
      </c>
      <c r="M53" s="140" t="s">
        <v>88</v>
      </c>
      <c r="N53" s="143" t="s">
        <v>1136</v>
      </c>
    </row>
    <row r="54" spans="1:14" ht="42">
      <c r="A54" s="138">
        <v>54</v>
      </c>
      <c r="B54" s="142">
        <v>3</v>
      </c>
      <c r="C54" s="142">
        <f>INDEX(Subcategories!$A$2:$A$29,MATCH(L54,Subcategories!$B$2:$B$29,0))</f>
        <v>4</v>
      </c>
      <c r="D54" s="142">
        <f>VLOOKUP(M54,Elements!$A$2:$B$435,2,0)</f>
        <v>51</v>
      </c>
      <c r="E54" s="142" t="str">
        <f t="shared" si="0"/>
        <v>3-4-51</v>
      </c>
      <c r="F54" s="142">
        <f>INDEX(SuiteCatSub!$E$2:$E$55,MATCH(_xlfn.CONCAT(B54,"-",C54),SuiteCatSub!$F$2:$F$55,0))</f>
        <v>18</v>
      </c>
      <c r="G54" s="142">
        <f>VLOOKUP(E54,SuiteCatSubElem!F54:G719,2,0)</f>
        <v>190</v>
      </c>
      <c r="H54" s="142">
        <f>VLOOKUP(G54,SuiteCatSubElem_Version!$I$2:$J$667,2,0)</f>
        <v>51</v>
      </c>
      <c r="I54" s="139" t="s">
        <v>1398</v>
      </c>
      <c r="J54" s="140" t="s">
        <v>1399</v>
      </c>
      <c r="K54" s="140" t="s">
        <v>1400</v>
      </c>
      <c r="L54" s="140" t="s">
        <v>8</v>
      </c>
      <c r="M54" s="140" t="s">
        <v>512</v>
      </c>
      <c r="N54" s="143" t="s">
        <v>1137</v>
      </c>
    </row>
    <row r="55" spans="1:14">
      <c r="A55" s="138">
        <v>55</v>
      </c>
      <c r="B55" s="142">
        <v>3</v>
      </c>
      <c r="C55" s="142">
        <f>INDEX(Subcategories!$A$2:$A$29,MATCH(L55,Subcategories!$B$2:$B$29,0))</f>
        <v>4</v>
      </c>
      <c r="D55" s="142">
        <f>VLOOKUP(M55,Elements!$A$2:$B$435,2,0)</f>
        <v>52</v>
      </c>
      <c r="E55" s="142" t="str">
        <f t="shared" si="0"/>
        <v>3-4-52</v>
      </c>
      <c r="F55" s="142">
        <f>INDEX(SuiteCatSub!$E$2:$E$55,MATCH(_xlfn.CONCAT(B55,"-",C55),SuiteCatSub!$F$2:$F$55,0))</f>
        <v>18</v>
      </c>
      <c r="G55" s="142">
        <f>VLOOKUP(E55,SuiteCatSubElem!F55:G720,2,0)</f>
        <v>191</v>
      </c>
      <c r="H55" s="142">
        <f>VLOOKUP(G55,SuiteCatSubElem_Version!$I$2:$J$667,2,0)</f>
        <v>52</v>
      </c>
      <c r="I55" s="139" t="s">
        <v>1398</v>
      </c>
      <c r="J55" s="140" t="s">
        <v>1399</v>
      </c>
      <c r="K55" s="140" t="s">
        <v>1400</v>
      </c>
      <c r="L55" s="140" t="s">
        <v>8</v>
      </c>
      <c r="M55" s="140" t="s">
        <v>90</v>
      </c>
      <c r="N55" s="143" t="s">
        <v>1138</v>
      </c>
    </row>
    <row r="56" spans="1:14" ht="28">
      <c r="A56" s="138">
        <v>56</v>
      </c>
      <c r="B56" s="142">
        <v>3</v>
      </c>
      <c r="C56" s="142">
        <f>INDEX(Subcategories!$A$2:$A$29,MATCH(L56,Subcategories!$B$2:$B$29,0))</f>
        <v>4</v>
      </c>
      <c r="D56" s="142">
        <f>VLOOKUP(M56,Elements!$A$2:$B$435,2,0)</f>
        <v>53</v>
      </c>
      <c r="E56" s="142" t="str">
        <f t="shared" si="0"/>
        <v>3-4-53</v>
      </c>
      <c r="F56" s="142">
        <f>INDEX(SuiteCatSub!$E$2:$E$55,MATCH(_xlfn.CONCAT(B56,"-",C56),SuiteCatSub!$F$2:$F$55,0))</f>
        <v>18</v>
      </c>
      <c r="G56" s="142">
        <f>VLOOKUP(E56,SuiteCatSubElem!F56:G721,2,0)</f>
        <v>192</v>
      </c>
      <c r="H56" s="142">
        <f>VLOOKUP(G56,SuiteCatSubElem_Version!$I$2:$J$667,2,0)</f>
        <v>53</v>
      </c>
      <c r="I56" s="139" t="s">
        <v>1398</v>
      </c>
      <c r="J56" s="140" t="s">
        <v>1399</v>
      </c>
      <c r="K56" s="140" t="s">
        <v>1400</v>
      </c>
      <c r="L56" s="140" t="s">
        <v>8</v>
      </c>
      <c r="M56" s="140" t="s">
        <v>91</v>
      </c>
      <c r="N56" s="143" t="s">
        <v>1139</v>
      </c>
    </row>
    <row r="57" spans="1:14" ht="28">
      <c r="A57" s="138">
        <v>57</v>
      </c>
      <c r="B57" s="142">
        <v>3</v>
      </c>
      <c r="C57" s="142">
        <f>INDEX(Subcategories!$A$2:$A$29,MATCH(L57,Subcategories!$B$2:$B$29,0))</f>
        <v>4</v>
      </c>
      <c r="D57" s="142">
        <f>VLOOKUP(M57,Elements!$A$2:$B$435,2,0)</f>
        <v>54</v>
      </c>
      <c r="E57" s="142" t="str">
        <f t="shared" si="0"/>
        <v>3-4-54</v>
      </c>
      <c r="F57" s="142">
        <f>INDEX(SuiteCatSub!$E$2:$E$55,MATCH(_xlfn.CONCAT(B57,"-",C57),SuiteCatSub!$F$2:$F$55,0))</f>
        <v>18</v>
      </c>
      <c r="G57" s="142">
        <f>VLOOKUP(E57,SuiteCatSubElem!F57:G722,2,0)</f>
        <v>193</v>
      </c>
      <c r="H57" s="142">
        <f>VLOOKUP(G57,SuiteCatSubElem_Version!$I$2:$J$667,2,0)</f>
        <v>54</v>
      </c>
      <c r="I57" s="139" t="s">
        <v>1398</v>
      </c>
      <c r="J57" s="140" t="s">
        <v>1399</v>
      </c>
      <c r="K57" s="140" t="s">
        <v>1400</v>
      </c>
      <c r="L57" s="140" t="s">
        <v>8</v>
      </c>
      <c r="M57" s="140" t="s">
        <v>92</v>
      </c>
      <c r="N57" s="143" t="s">
        <v>1140</v>
      </c>
    </row>
    <row r="58" spans="1:14" ht="42">
      <c r="A58" s="138">
        <v>58</v>
      </c>
      <c r="B58" s="142">
        <v>3</v>
      </c>
      <c r="C58" s="142">
        <f>INDEX(Subcategories!$A$2:$A$29,MATCH(L58,Subcategories!$B$2:$B$29,0))</f>
        <v>4</v>
      </c>
      <c r="D58" s="142">
        <f>VLOOKUP(M58,Elements!$A$2:$B$435,2,0)</f>
        <v>44</v>
      </c>
      <c r="E58" s="142" t="str">
        <f t="shared" si="0"/>
        <v>3-4-44</v>
      </c>
      <c r="F58" s="142">
        <f>INDEX(SuiteCatSub!$E$2:$E$55,MATCH(_xlfn.CONCAT(B58,"-",C58),SuiteCatSub!$F$2:$F$55,0))</f>
        <v>18</v>
      </c>
      <c r="G58" s="142">
        <f>VLOOKUP(E58,SuiteCatSubElem!F58:G723,2,0)</f>
        <v>194</v>
      </c>
      <c r="H58" s="142">
        <f>VLOOKUP(G58,SuiteCatSubElem_Version!$I$2:$J$667,2,0)</f>
        <v>44</v>
      </c>
      <c r="I58" s="139" t="s">
        <v>1398</v>
      </c>
      <c r="J58" s="140" t="s">
        <v>1399</v>
      </c>
      <c r="K58" s="140" t="s">
        <v>1400</v>
      </c>
      <c r="L58" s="140" t="s">
        <v>8</v>
      </c>
      <c r="M58" s="140" t="s">
        <v>81</v>
      </c>
      <c r="N58" s="143" t="s">
        <v>1130</v>
      </c>
    </row>
    <row r="59" spans="1:14" ht="154">
      <c r="A59" s="138">
        <v>59</v>
      </c>
      <c r="B59" s="142">
        <v>3</v>
      </c>
      <c r="C59" s="142">
        <f>INDEX(Subcategories!$A$2:$A$29,MATCH(L59,Subcategories!$B$2:$B$29,0))</f>
        <v>5</v>
      </c>
      <c r="D59" s="142">
        <f>VLOOKUP(M59,Elements!$A$2:$B$435,2,0)</f>
        <v>55</v>
      </c>
      <c r="E59" s="142" t="str">
        <f t="shared" si="0"/>
        <v>3-5-55</v>
      </c>
      <c r="F59" s="142">
        <f>INDEX(SuiteCatSub!$E$2:$E$55,MATCH(_xlfn.CONCAT(B59,"-",C59),SuiteCatSub!$F$2:$F$55,0))</f>
        <v>19</v>
      </c>
      <c r="G59" s="142">
        <f>VLOOKUP(E59,SuiteCatSubElem!F59:G724,2,0)</f>
        <v>195</v>
      </c>
      <c r="H59" s="142">
        <f>VLOOKUP(G59,SuiteCatSubElem_Version!$I$2:$J$667,2,0)</f>
        <v>55</v>
      </c>
      <c r="I59" s="139" t="s">
        <v>1398</v>
      </c>
      <c r="J59" s="140" t="s">
        <v>1398</v>
      </c>
      <c r="K59" s="140" t="s">
        <v>1402</v>
      </c>
      <c r="L59" s="140" t="s">
        <v>9</v>
      </c>
      <c r="M59" s="140" t="s">
        <v>93</v>
      </c>
      <c r="N59" s="143" t="s">
        <v>1141</v>
      </c>
    </row>
    <row r="60" spans="1:14" ht="84">
      <c r="A60" s="138">
        <v>60</v>
      </c>
      <c r="B60" s="142">
        <v>3</v>
      </c>
      <c r="C60" s="142">
        <f>INDEX(Subcategories!$A$2:$A$29,MATCH(L60,Subcategories!$B$2:$B$29,0))</f>
        <v>5</v>
      </c>
      <c r="D60" s="142">
        <f>VLOOKUP(M60,Elements!$A$2:$B$435,2,0)</f>
        <v>56</v>
      </c>
      <c r="E60" s="142" t="str">
        <f t="shared" si="0"/>
        <v>3-5-56</v>
      </c>
      <c r="F60" s="142">
        <f>INDEX(SuiteCatSub!$E$2:$E$55,MATCH(_xlfn.CONCAT(B60,"-",C60),SuiteCatSub!$F$2:$F$55,0))</f>
        <v>19</v>
      </c>
      <c r="G60" s="142">
        <f>VLOOKUP(E60,SuiteCatSubElem!F60:G725,2,0)</f>
        <v>196</v>
      </c>
      <c r="H60" s="142">
        <f>VLOOKUP(G60,SuiteCatSubElem_Version!$I$2:$J$667,2,0)</f>
        <v>56</v>
      </c>
      <c r="I60" s="139" t="s">
        <v>1398</v>
      </c>
      <c r="J60" s="140" t="s">
        <v>1398</v>
      </c>
      <c r="K60" s="140" t="s">
        <v>1402</v>
      </c>
      <c r="L60" s="140" t="s">
        <v>9</v>
      </c>
      <c r="M60" s="140" t="s">
        <v>94</v>
      </c>
      <c r="N60" s="143" t="s">
        <v>1142</v>
      </c>
    </row>
    <row r="61" spans="1:14" ht="42">
      <c r="A61" s="138">
        <v>61</v>
      </c>
      <c r="B61" s="142">
        <v>3</v>
      </c>
      <c r="C61" s="142">
        <f>INDEX(Subcategories!$A$2:$A$29,MATCH(L61,Subcategories!$B$2:$B$29,0))</f>
        <v>5</v>
      </c>
      <c r="D61" s="142">
        <f>VLOOKUP(M61,Elements!$A$2:$B$435,2,0)</f>
        <v>57</v>
      </c>
      <c r="E61" s="142" t="str">
        <f t="shared" si="0"/>
        <v>3-5-57</v>
      </c>
      <c r="F61" s="142">
        <f>INDEX(SuiteCatSub!$E$2:$E$55,MATCH(_xlfn.CONCAT(B61,"-",C61),SuiteCatSub!$F$2:$F$55,0))</f>
        <v>19</v>
      </c>
      <c r="G61" s="142">
        <f>VLOOKUP(E61,SuiteCatSubElem!F61:G726,2,0)</f>
        <v>197</v>
      </c>
      <c r="H61" s="142">
        <f>VLOOKUP(G61,SuiteCatSubElem_Version!$I$2:$J$667,2,0)</f>
        <v>57</v>
      </c>
      <c r="I61" s="139" t="s">
        <v>1398</v>
      </c>
      <c r="J61" s="140" t="s">
        <v>1398</v>
      </c>
      <c r="K61" s="140" t="s">
        <v>1402</v>
      </c>
      <c r="L61" s="140" t="s">
        <v>9</v>
      </c>
      <c r="M61" s="140" t="s">
        <v>95</v>
      </c>
      <c r="N61" s="143" t="s">
        <v>1143</v>
      </c>
    </row>
    <row r="62" spans="1:14" ht="28">
      <c r="A62" s="138">
        <v>62</v>
      </c>
      <c r="B62" s="142">
        <v>3</v>
      </c>
      <c r="C62" s="142">
        <f>INDEX(Subcategories!$A$2:$A$29,MATCH(L62,Subcategories!$B$2:$B$29,0))</f>
        <v>5</v>
      </c>
      <c r="D62" s="142">
        <f>VLOOKUP(M62,Elements!$A$2:$B$435,2,0)</f>
        <v>58</v>
      </c>
      <c r="E62" s="142" t="str">
        <f t="shared" si="0"/>
        <v>3-5-58</v>
      </c>
      <c r="F62" s="142">
        <f>INDEX(SuiteCatSub!$E$2:$E$55,MATCH(_xlfn.CONCAT(B62,"-",C62),SuiteCatSub!$F$2:$F$55,0))</f>
        <v>19</v>
      </c>
      <c r="G62" s="142">
        <f>VLOOKUP(E62,SuiteCatSubElem!F62:G727,2,0)</f>
        <v>198</v>
      </c>
      <c r="H62" s="142">
        <f>VLOOKUP(G62,SuiteCatSubElem_Version!$I$2:$J$667,2,0)</f>
        <v>58</v>
      </c>
      <c r="I62" s="139" t="s">
        <v>1398</v>
      </c>
      <c r="J62" s="140" t="s">
        <v>1398</v>
      </c>
      <c r="K62" s="140" t="s">
        <v>1402</v>
      </c>
      <c r="L62" s="140" t="s">
        <v>9</v>
      </c>
      <c r="M62" s="140" t="s">
        <v>96</v>
      </c>
      <c r="N62" s="143" t="s">
        <v>1144</v>
      </c>
    </row>
    <row r="63" spans="1:14" ht="28">
      <c r="A63" s="138">
        <v>63</v>
      </c>
      <c r="B63" s="142">
        <v>3</v>
      </c>
      <c r="C63" s="142">
        <f>INDEX(Subcategories!$A$2:$A$29,MATCH(L63,Subcategories!$B$2:$B$29,0))</f>
        <v>5</v>
      </c>
      <c r="D63" s="142">
        <f>VLOOKUP(M63,Elements!$A$2:$B$435,2,0)</f>
        <v>59</v>
      </c>
      <c r="E63" s="142" t="str">
        <f t="shared" si="0"/>
        <v>3-5-59</v>
      </c>
      <c r="F63" s="142">
        <f>INDEX(SuiteCatSub!$E$2:$E$55,MATCH(_xlfn.CONCAT(B63,"-",C63),SuiteCatSub!$F$2:$F$55,0))</f>
        <v>19</v>
      </c>
      <c r="G63" s="142">
        <f>VLOOKUP(E63,SuiteCatSubElem!F63:G728,2,0)</f>
        <v>199</v>
      </c>
      <c r="H63" s="142">
        <f>VLOOKUP(G63,SuiteCatSubElem_Version!$I$2:$J$667,2,0)</f>
        <v>59</v>
      </c>
      <c r="I63" s="139" t="s">
        <v>1398</v>
      </c>
      <c r="J63" s="140" t="s">
        <v>1398</v>
      </c>
      <c r="K63" s="140" t="s">
        <v>1402</v>
      </c>
      <c r="L63" s="140" t="s">
        <v>9</v>
      </c>
      <c r="M63" s="140" t="s">
        <v>97</v>
      </c>
      <c r="N63" s="143" t="s">
        <v>1145</v>
      </c>
    </row>
    <row r="64" spans="1:14" ht="28">
      <c r="A64" s="138">
        <v>64</v>
      </c>
      <c r="B64" s="142">
        <v>3</v>
      </c>
      <c r="C64" s="142">
        <f>INDEX(Subcategories!$A$2:$A$29,MATCH(L64,Subcategories!$B$2:$B$29,0))</f>
        <v>5</v>
      </c>
      <c r="D64" s="142">
        <f>VLOOKUP(M64,Elements!$A$2:$B$435,2,0)</f>
        <v>60</v>
      </c>
      <c r="E64" s="142" t="str">
        <f t="shared" si="0"/>
        <v>3-5-60</v>
      </c>
      <c r="F64" s="142">
        <f>INDEX(SuiteCatSub!$E$2:$E$55,MATCH(_xlfn.CONCAT(B64,"-",C64),SuiteCatSub!$F$2:$F$55,0))</f>
        <v>19</v>
      </c>
      <c r="G64" s="142">
        <f>VLOOKUP(E64,SuiteCatSubElem!F64:G729,2,0)</f>
        <v>200</v>
      </c>
      <c r="H64" s="142">
        <f>VLOOKUP(G64,SuiteCatSubElem_Version!$I$2:$J$667,2,0)</f>
        <v>60</v>
      </c>
      <c r="I64" s="139" t="s">
        <v>1398</v>
      </c>
      <c r="J64" s="140" t="s">
        <v>1398</v>
      </c>
      <c r="K64" s="140" t="s">
        <v>1402</v>
      </c>
      <c r="L64" s="140" t="s">
        <v>9</v>
      </c>
      <c r="M64" s="140" t="s">
        <v>13</v>
      </c>
      <c r="N64" s="143" t="s">
        <v>1146</v>
      </c>
    </row>
    <row r="65" spans="1:14" ht="56">
      <c r="A65" s="138">
        <v>65</v>
      </c>
      <c r="B65" s="142">
        <v>3</v>
      </c>
      <c r="C65" s="142">
        <f>INDEX(Subcategories!$A$2:$A$29,MATCH(L65,Subcategories!$B$2:$B$29,0))</f>
        <v>5</v>
      </c>
      <c r="D65" s="142">
        <f>VLOOKUP(M65,Elements!$A$2:$B$435,2,0)</f>
        <v>61</v>
      </c>
      <c r="E65" s="142" t="str">
        <f t="shared" si="0"/>
        <v>3-5-61</v>
      </c>
      <c r="F65" s="142">
        <f>INDEX(SuiteCatSub!$E$2:$E$55,MATCH(_xlfn.CONCAT(B65,"-",C65),SuiteCatSub!$F$2:$F$55,0))</f>
        <v>19</v>
      </c>
      <c r="G65" s="142">
        <f>VLOOKUP(E65,SuiteCatSubElem!F65:G730,2,0)</f>
        <v>201</v>
      </c>
      <c r="H65" s="142">
        <f>VLOOKUP(G65,SuiteCatSubElem_Version!$I$2:$J$667,2,0)</f>
        <v>61</v>
      </c>
      <c r="I65" s="139" t="s">
        <v>1398</v>
      </c>
      <c r="J65" s="140" t="s">
        <v>1398</v>
      </c>
      <c r="K65" s="140" t="s">
        <v>1402</v>
      </c>
      <c r="L65" s="140" t="s">
        <v>9</v>
      </c>
      <c r="M65" s="140" t="s">
        <v>98</v>
      </c>
      <c r="N65" s="143" t="s">
        <v>1147</v>
      </c>
    </row>
    <row r="66" spans="1:14" ht="56">
      <c r="A66" s="138">
        <v>66</v>
      </c>
      <c r="B66" s="142">
        <v>3</v>
      </c>
      <c r="C66" s="142">
        <f>INDEX(Subcategories!$A$2:$A$29,MATCH(L66,Subcategories!$B$2:$B$29,0))</f>
        <v>5</v>
      </c>
      <c r="D66" s="142">
        <f>VLOOKUP(M66,Elements!$A$2:$B$435,2,0)</f>
        <v>62</v>
      </c>
      <c r="E66" s="142" t="str">
        <f t="shared" si="0"/>
        <v>3-5-62</v>
      </c>
      <c r="F66" s="142">
        <f>INDEX(SuiteCatSub!$E$2:$E$55,MATCH(_xlfn.CONCAT(B66,"-",C66),SuiteCatSub!$F$2:$F$55,0))</f>
        <v>19</v>
      </c>
      <c r="G66" s="142">
        <f>VLOOKUP(E66,SuiteCatSubElem!F66:G731,2,0)</f>
        <v>202</v>
      </c>
      <c r="H66" s="142">
        <f>VLOOKUP(G66,SuiteCatSubElem_Version!$I$2:$J$667,2,0)</f>
        <v>62</v>
      </c>
      <c r="I66" s="139" t="s">
        <v>1398</v>
      </c>
      <c r="J66" s="140" t="s">
        <v>1398</v>
      </c>
      <c r="K66" s="140" t="s">
        <v>1402</v>
      </c>
      <c r="L66" s="140" t="s">
        <v>9</v>
      </c>
      <c r="M66" s="140" t="s">
        <v>99</v>
      </c>
      <c r="N66" s="143" t="s">
        <v>1148</v>
      </c>
    </row>
    <row r="67" spans="1:14" ht="42">
      <c r="A67" s="138">
        <v>67</v>
      </c>
      <c r="B67" s="142">
        <v>3</v>
      </c>
      <c r="C67" s="142">
        <f>INDEX(Subcategories!$A$2:$A$29,MATCH(L67,Subcategories!$B$2:$B$29,0))</f>
        <v>5</v>
      </c>
      <c r="D67" s="142">
        <f>VLOOKUP(M67,Elements!$A$2:$B$435,2,0)</f>
        <v>63</v>
      </c>
      <c r="E67" s="142" t="str">
        <f t="shared" ref="E67:E107" si="1">_xlfn.CONCAT(B67,"-",C67,"-",D67)</f>
        <v>3-5-63</v>
      </c>
      <c r="F67" s="142">
        <f>INDEX(SuiteCatSub!$E$2:$E$55,MATCH(_xlfn.CONCAT(B67,"-",C67),SuiteCatSub!$F$2:$F$55,0))</f>
        <v>19</v>
      </c>
      <c r="G67" s="142">
        <f>VLOOKUP(E67,SuiteCatSubElem!F67:G732,2,0)</f>
        <v>203</v>
      </c>
      <c r="H67" s="142">
        <f>VLOOKUP(G67,SuiteCatSubElem_Version!$I$2:$J$667,2,0)</f>
        <v>63</v>
      </c>
      <c r="I67" s="139" t="s">
        <v>1398</v>
      </c>
      <c r="J67" s="140" t="s">
        <v>1398</v>
      </c>
      <c r="K67" s="140" t="s">
        <v>1402</v>
      </c>
      <c r="L67" s="140" t="s">
        <v>9</v>
      </c>
      <c r="M67" s="140" t="s">
        <v>100</v>
      </c>
      <c r="N67" s="143" t="s">
        <v>1403</v>
      </c>
    </row>
    <row r="68" spans="1:14" ht="70">
      <c r="A68" s="138">
        <v>68</v>
      </c>
      <c r="B68" s="142">
        <v>3</v>
      </c>
      <c r="C68" s="142">
        <f>INDEX(Subcategories!$A$2:$A$29,MATCH(L68,Subcategories!$B$2:$B$29,0))</f>
        <v>9</v>
      </c>
      <c r="D68" s="142">
        <f>VLOOKUP(M68,Elements!$A$2:$B$435,2,0)</f>
        <v>86</v>
      </c>
      <c r="E68" s="142" t="str">
        <f t="shared" si="1"/>
        <v>3-9-86</v>
      </c>
      <c r="F68" s="142">
        <f>INDEX(SuiteCatSub!$E$2:$E$55,MATCH(_xlfn.CONCAT(B68,"-",C68),SuiteCatSub!$F$2:$F$55,0))</f>
        <v>23</v>
      </c>
      <c r="G68" s="142">
        <f>VLOOKUP(E68,SuiteCatSubElem!F68:G733,2,0)</f>
        <v>227</v>
      </c>
      <c r="H68" s="142">
        <f>VLOOKUP(G68,SuiteCatSubElem_Version!$I$2:$J$667,2,0)</f>
        <v>86</v>
      </c>
      <c r="I68" s="139" t="s">
        <v>1398</v>
      </c>
      <c r="J68" s="140" t="s">
        <v>1374</v>
      </c>
      <c r="K68" s="140" t="s">
        <v>1400</v>
      </c>
      <c r="L68" s="140" t="s">
        <v>13</v>
      </c>
      <c r="M68" s="140" t="s">
        <v>527</v>
      </c>
      <c r="N68" s="140" t="s">
        <v>1404</v>
      </c>
    </row>
    <row r="69" spans="1:14" ht="112">
      <c r="A69" s="138">
        <v>69</v>
      </c>
      <c r="B69" s="142">
        <v>3</v>
      </c>
      <c r="C69" s="142">
        <f>INDEX(Subcategories!$A$2:$A$29,MATCH(L69,Subcategories!$B$2:$B$29,0))</f>
        <v>9</v>
      </c>
      <c r="D69" s="142">
        <f>VLOOKUP(M69,Elements!$A$2:$B$435,2,0)</f>
        <v>87</v>
      </c>
      <c r="E69" s="142" t="str">
        <f t="shared" si="1"/>
        <v>3-9-87</v>
      </c>
      <c r="F69" s="142">
        <f>INDEX(SuiteCatSub!$E$2:$E$55,MATCH(_xlfn.CONCAT(B69,"-",C69),SuiteCatSub!$F$2:$F$55,0))</f>
        <v>23</v>
      </c>
      <c r="G69" s="142">
        <f>VLOOKUP(E69,SuiteCatSubElem!F69:G734,2,0)</f>
        <v>228</v>
      </c>
      <c r="H69" s="142">
        <f>VLOOKUP(G69,SuiteCatSubElem_Version!$I$2:$J$667,2,0)</f>
        <v>87</v>
      </c>
      <c r="I69" s="139" t="s">
        <v>1398</v>
      </c>
      <c r="J69" s="140" t="s">
        <v>1374</v>
      </c>
      <c r="K69" s="140" t="s">
        <v>1400</v>
      </c>
      <c r="L69" s="140" t="s">
        <v>13</v>
      </c>
      <c r="M69" s="140" t="s">
        <v>121</v>
      </c>
      <c r="N69" s="140" t="s">
        <v>1405</v>
      </c>
    </row>
    <row r="70" spans="1:14" ht="42">
      <c r="A70" s="138">
        <v>70</v>
      </c>
      <c r="B70" s="142">
        <v>3</v>
      </c>
      <c r="C70" s="142">
        <f>INDEX(Subcategories!$A$2:$A$29,MATCH(L70,Subcategories!$B$2:$B$29,0))</f>
        <v>9</v>
      </c>
      <c r="D70" s="142">
        <f>VLOOKUP(M70,Elements!$A$2:$B$435,2,0)</f>
        <v>88</v>
      </c>
      <c r="E70" s="142" t="str">
        <f t="shared" si="1"/>
        <v>3-9-88</v>
      </c>
      <c r="F70" s="142">
        <f>INDEX(SuiteCatSub!$E$2:$E$55,MATCH(_xlfn.CONCAT(B70,"-",C70),SuiteCatSub!$F$2:$F$55,0))</f>
        <v>23</v>
      </c>
      <c r="G70" s="142">
        <f>VLOOKUP(E70,SuiteCatSubElem!F70:G735,2,0)</f>
        <v>229</v>
      </c>
      <c r="H70" s="142">
        <f>VLOOKUP(G70,SuiteCatSubElem_Version!$I$2:$J$667,2,0)</f>
        <v>88</v>
      </c>
      <c r="I70" s="139" t="s">
        <v>1398</v>
      </c>
      <c r="J70" s="140" t="s">
        <v>1374</v>
      </c>
      <c r="K70" s="140" t="s">
        <v>1400</v>
      </c>
      <c r="L70" s="140" t="s">
        <v>13</v>
      </c>
      <c r="M70" s="140" t="s">
        <v>122</v>
      </c>
      <c r="N70" s="140" t="s">
        <v>1406</v>
      </c>
    </row>
    <row r="71" spans="1:14" ht="56">
      <c r="A71" s="138">
        <v>71</v>
      </c>
      <c r="B71" s="142">
        <v>3</v>
      </c>
      <c r="C71" s="142">
        <f>INDEX(Subcategories!$A$2:$A$29,MATCH(L71,Subcategories!$B$2:$B$29,0))</f>
        <v>9</v>
      </c>
      <c r="D71" s="142">
        <f>VLOOKUP(M71,Elements!$A$2:$B$435,2,0)</f>
        <v>89</v>
      </c>
      <c r="E71" s="142" t="str">
        <f t="shared" si="1"/>
        <v>3-9-89</v>
      </c>
      <c r="F71" s="142">
        <f>INDEX(SuiteCatSub!$E$2:$E$55,MATCH(_xlfn.CONCAT(B71,"-",C71),SuiteCatSub!$F$2:$F$55,0))</f>
        <v>23</v>
      </c>
      <c r="G71" s="142">
        <f>VLOOKUP(E71,SuiteCatSubElem!F71:G736,2,0)</f>
        <v>230</v>
      </c>
      <c r="H71" s="142">
        <f>VLOOKUP(G71,SuiteCatSubElem_Version!$I$2:$J$667,2,0)</f>
        <v>89</v>
      </c>
      <c r="I71" s="139" t="s">
        <v>1398</v>
      </c>
      <c r="J71" s="140" t="s">
        <v>1374</v>
      </c>
      <c r="K71" s="140" t="s">
        <v>1400</v>
      </c>
      <c r="L71" s="140" t="s">
        <v>13</v>
      </c>
      <c r="M71" s="140" t="s">
        <v>123</v>
      </c>
      <c r="N71" s="140" t="s">
        <v>1407</v>
      </c>
    </row>
    <row r="72" spans="1:14" ht="112">
      <c r="A72" s="138">
        <v>72</v>
      </c>
      <c r="B72" s="142">
        <v>3</v>
      </c>
      <c r="C72" s="142">
        <f>INDEX(Subcategories!$A$2:$A$29,MATCH(L72,Subcategories!$B$2:$B$29,0))</f>
        <v>9</v>
      </c>
      <c r="D72" s="142">
        <f>VLOOKUP(M72,Elements!$A$2:$B$435,2,0)</f>
        <v>90</v>
      </c>
      <c r="E72" s="142" t="str">
        <f t="shared" si="1"/>
        <v>3-9-90</v>
      </c>
      <c r="F72" s="142">
        <f>INDEX(SuiteCatSub!$E$2:$E$55,MATCH(_xlfn.CONCAT(B72,"-",C72),SuiteCatSub!$F$2:$F$55,0))</f>
        <v>23</v>
      </c>
      <c r="G72" s="142">
        <f>VLOOKUP(E72,SuiteCatSubElem!F72:G737,2,0)</f>
        <v>231</v>
      </c>
      <c r="H72" s="142">
        <f>VLOOKUP(G72,SuiteCatSubElem_Version!$I$2:$J$667,2,0)</f>
        <v>90</v>
      </c>
      <c r="I72" s="139" t="s">
        <v>1398</v>
      </c>
      <c r="J72" s="140" t="s">
        <v>1374</v>
      </c>
      <c r="K72" s="140" t="s">
        <v>1400</v>
      </c>
      <c r="L72" s="140" t="s">
        <v>13</v>
      </c>
      <c r="M72" s="140" t="s">
        <v>124</v>
      </c>
      <c r="N72" s="140" t="s">
        <v>1408</v>
      </c>
    </row>
    <row r="73" spans="1:14" ht="98">
      <c r="A73" s="138">
        <v>73</v>
      </c>
      <c r="B73" s="142">
        <v>3</v>
      </c>
      <c r="C73" s="142">
        <f>INDEX(Subcategories!$A$2:$A$29,MATCH(L73,Subcategories!$B$2:$B$29,0))</f>
        <v>9</v>
      </c>
      <c r="D73" s="142">
        <f>VLOOKUP(M73,Elements!$A$2:$B$435,2,0)</f>
        <v>91</v>
      </c>
      <c r="E73" s="142" t="str">
        <f t="shared" si="1"/>
        <v>3-9-91</v>
      </c>
      <c r="F73" s="142">
        <f>INDEX(SuiteCatSub!$E$2:$E$55,MATCH(_xlfn.CONCAT(B73,"-",C73),SuiteCatSub!$F$2:$F$55,0))</f>
        <v>23</v>
      </c>
      <c r="G73" s="142">
        <f>VLOOKUP(E73,SuiteCatSubElem!F73:G738,2,0)</f>
        <v>232</v>
      </c>
      <c r="H73" s="142">
        <f>VLOOKUP(G73,SuiteCatSubElem_Version!$I$2:$J$667,2,0)</f>
        <v>91</v>
      </c>
      <c r="I73" s="139" t="s">
        <v>1398</v>
      </c>
      <c r="J73" s="140" t="s">
        <v>1374</v>
      </c>
      <c r="K73" s="140" t="s">
        <v>1400</v>
      </c>
      <c r="L73" s="140" t="s">
        <v>13</v>
      </c>
      <c r="M73" s="140" t="s">
        <v>526</v>
      </c>
      <c r="N73" s="140" t="s">
        <v>1409</v>
      </c>
    </row>
    <row r="74" spans="1:14" ht="126">
      <c r="A74" s="138">
        <v>74</v>
      </c>
      <c r="B74" s="142">
        <v>3</v>
      </c>
      <c r="C74" s="142">
        <f>INDEX(Subcategories!$A$2:$A$29,MATCH(L74,Subcategories!$B$2:$B$29,0))</f>
        <v>9</v>
      </c>
      <c r="D74" s="142">
        <f>VLOOKUP(M74,Elements!$A$2:$B$435,2,0)</f>
        <v>92</v>
      </c>
      <c r="E74" s="142" t="str">
        <f t="shared" si="1"/>
        <v>3-9-92</v>
      </c>
      <c r="F74" s="142">
        <f>INDEX(SuiteCatSub!$E$2:$E$55,MATCH(_xlfn.CONCAT(B74,"-",C74),SuiteCatSub!$F$2:$F$55,0))</f>
        <v>23</v>
      </c>
      <c r="G74" s="142">
        <f>VLOOKUP(E74,SuiteCatSubElem!F74:G739,2,0)</f>
        <v>233</v>
      </c>
      <c r="H74" s="142">
        <f>VLOOKUP(G74,SuiteCatSubElem_Version!$I$2:$J$667,2,0)</f>
        <v>92</v>
      </c>
      <c r="I74" s="139" t="s">
        <v>1398</v>
      </c>
      <c r="J74" s="140" t="s">
        <v>1374</v>
      </c>
      <c r="K74" s="140" t="s">
        <v>1400</v>
      </c>
      <c r="L74" s="140" t="s">
        <v>13</v>
      </c>
      <c r="M74" s="140" t="s">
        <v>126</v>
      </c>
      <c r="N74" s="140" t="s">
        <v>1410</v>
      </c>
    </row>
    <row r="75" spans="1:14" ht="42">
      <c r="A75" s="138">
        <v>75</v>
      </c>
      <c r="B75" s="142">
        <v>3</v>
      </c>
      <c r="C75" s="142">
        <f>INDEX(Subcategories!$A$2:$A$29,MATCH(L75,Subcategories!$B$2:$B$29,0))</f>
        <v>9</v>
      </c>
      <c r="D75" s="142">
        <f>VLOOKUP(M75,Elements!$A$2:$B$435,2,0)</f>
        <v>93</v>
      </c>
      <c r="E75" s="142" t="str">
        <f t="shared" si="1"/>
        <v>3-9-93</v>
      </c>
      <c r="F75" s="142">
        <f>INDEX(SuiteCatSub!$E$2:$E$55,MATCH(_xlfn.CONCAT(B75,"-",C75),SuiteCatSub!$F$2:$F$55,0))</f>
        <v>23</v>
      </c>
      <c r="G75" s="142">
        <f>VLOOKUP(E75,SuiteCatSubElem!F75:G740,2,0)</f>
        <v>234</v>
      </c>
      <c r="H75" s="142">
        <f>VLOOKUP(G75,SuiteCatSubElem_Version!$I$2:$J$667,2,0)</f>
        <v>93</v>
      </c>
      <c r="I75" s="139" t="s">
        <v>1398</v>
      </c>
      <c r="J75" s="140" t="s">
        <v>1374</v>
      </c>
      <c r="K75" s="140" t="s">
        <v>1400</v>
      </c>
      <c r="L75" s="140" t="s">
        <v>13</v>
      </c>
      <c r="M75" s="140" t="s">
        <v>127</v>
      </c>
      <c r="N75" s="143" t="s">
        <v>1411</v>
      </c>
    </row>
    <row r="76" spans="1:14" ht="98">
      <c r="A76" s="138">
        <v>76</v>
      </c>
      <c r="B76" s="142">
        <v>3</v>
      </c>
      <c r="C76" s="142">
        <f>INDEX(Subcategories!$A$2:$A$29,MATCH(L76,Subcategories!$B$2:$B$29,0))</f>
        <v>9</v>
      </c>
      <c r="D76" s="142">
        <f>VLOOKUP(M76,Elements!$A$2:$B$435,2,0)</f>
        <v>94</v>
      </c>
      <c r="E76" s="142" t="str">
        <f t="shared" si="1"/>
        <v>3-9-94</v>
      </c>
      <c r="F76" s="142">
        <f>INDEX(SuiteCatSub!$E$2:$E$55,MATCH(_xlfn.CONCAT(B76,"-",C76),SuiteCatSub!$F$2:$F$55,0))</f>
        <v>23</v>
      </c>
      <c r="G76" s="142">
        <f>VLOOKUP(E76,SuiteCatSubElem!F76:G741,2,0)</f>
        <v>235</v>
      </c>
      <c r="H76" s="142">
        <f>VLOOKUP(G76,SuiteCatSubElem_Version!$I$2:$J$667,2,0)</f>
        <v>94</v>
      </c>
      <c r="I76" s="139" t="s">
        <v>1398</v>
      </c>
      <c r="J76" s="140" t="s">
        <v>1374</v>
      </c>
      <c r="K76" s="140" t="s">
        <v>1400</v>
      </c>
      <c r="L76" s="140" t="s">
        <v>13</v>
      </c>
      <c r="M76" s="140" t="s">
        <v>128</v>
      </c>
      <c r="N76" s="140" t="s">
        <v>1412</v>
      </c>
    </row>
    <row r="77" spans="1:14" ht="28">
      <c r="A77" s="138">
        <v>77</v>
      </c>
      <c r="B77" s="142">
        <v>3</v>
      </c>
      <c r="C77" s="142">
        <f>INDEX(Subcategories!$A$2:$A$29,MATCH(L77,Subcategories!$B$2:$B$29,0))</f>
        <v>9</v>
      </c>
      <c r="D77" s="142">
        <f>VLOOKUP(M77,Elements!$A$2:$B$435,2,0)</f>
        <v>95</v>
      </c>
      <c r="E77" s="142" t="str">
        <f t="shared" si="1"/>
        <v>3-9-95</v>
      </c>
      <c r="F77" s="142">
        <f>INDEX(SuiteCatSub!$E$2:$E$55,MATCH(_xlfn.CONCAT(B77,"-",C77),SuiteCatSub!$F$2:$F$55,0))</f>
        <v>23</v>
      </c>
      <c r="G77" s="142">
        <f>VLOOKUP(E77,SuiteCatSubElem!F77:G742,2,0)</f>
        <v>236</v>
      </c>
      <c r="H77" s="142">
        <f>VLOOKUP(G77,SuiteCatSubElem_Version!$I$2:$J$667,2,0)</f>
        <v>95</v>
      </c>
      <c r="I77" s="139" t="s">
        <v>1398</v>
      </c>
      <c r="J77" s="140" t="s">
        <v>1374</v>
      </c>
      <c r="K77" s="140" t="s">
        <v>1400</v>
      </c>
      <c r="L77" s="140" t="s">
        <v>13</v>
      </c>
      <c r="M77" s="140" t="s">
        <v>129</v>
      </c>
      <c r="N77" s="140" t="s">
        <v>1413</v>
      </c>
    </row>
    <row r="78" spans="1:14" ht="28">
      <c r="A78" s="138">
        <v>78</v>
      </c>
      <c r="B78" s="142">
        <v>3</v>
      </c>
      <c r="C78" s="142">
        <f>INDEX(Subcategories!$A$2:$A$29,MATCH(L78,Subcategories!$B$2:$B$29,0))</f>
        <v>10</v>
      </c>
      <c r="D78" s="142">
        <f>VLOOKUP(M78,Elements!$A$2:$B$435,2,0)</f>
        <v>96</v>
      </c>
      <c r="E78" s="142" t="str">
        <f t="shared" si="1"/>
        <v>3-10-96</v>
      </c>
      <c r="F78" s="142">
        <f>INDEX(SuiteCatSub!$E$2:$E$55,MATCH(_xlfn.CONCAT(B78,"-",C78),SuiteCatSub!$F$2:$F$55,0))</f>
        <v>24</v>
      </c>
      <c r="G78" s="142">
        <f>VLOOKUP(E78,SuiteCatSubElem!F78:G743,2,0)</f>
        <v>237</v>
      </c>
      <c r="H78" s="142">
        <f>VLOOKUP(G78,SuiteCatSubElem_Version!$I$2:$J$667,2,0)</f>
        <v>96</v>
      </c>
      <c r="I78" s="139" t="s">
        <v>1398</v>
      </c>
      <c r="J78" s="140" t="s">
        <v>1374</v>
      </c>
      <c r="K78" s="140" t="s">
        <v>1400</v>
      </c>
      <c r="L78" s="140" t="s">
        <v>14</v>
      </c>
      <c r="M78" s="140" t="s">
        <v>511</v>
      </c>
      <c r="N78" s="140" t="s">
        <v>1414</v>
      </c>
    </row>
    <row r="79" spans="1:14" ht="70">
      <c r="A79" s="138">
        <v>79</v>
      </c>
      <c r="B79" s="142">
        <v>3</v>
      </c>
      <c r="C79" s="142">
        <f>INDEX(Subcategories!$A$2:$A$29,MATCH(L79,Subcategories!$B$2:$B$29,0))</f>
        <v>10</v>
      </c>
      <c r="D79" s="142">
        <f>VLOOKUP(M79,Elements!$A$2:$B$435,2,0)</f>
        <v>97</v>
      </c>
      <c r="E79" s="142" t="str">
        <f t="shared" si="1"/>
        <v>3-10-97</v>
      </c>
      <c r="F79" s="142">
        <f>INDEX(SuiteCatSub!$E$2:$E$55,MATCH(_xlfn.CONCAT(B79,"-",C79),SuiteCatSub!$F$2:$F$55,0))</f>
        <v>24</v>
      </c>
      <c r="G79" s="142">
        <f>VLOOKUP(E79,SuiteCatSubElem!F79:G744,2,0)</f>
        <v>238</v>
      </c>
      <c r="H79" s="142">
        <f>VLOOKUP(G79,SuiteCatSubElem_Version!$I$2:$J$667,2,0)</f>
        <v>97</v>
      </c>
      <c r="I79" s="139" t="s">
        <v>1398</v>
      </c>
      <c r="J79" s="140" t="s">
        <v>1374</v>
      </c>
      <c r="K79" s="140" t="s">
        <v>1400</v>
      </c>
      <c r="L79" s="140" t="s">
        <v>14</v>
      </c>
      <c r="M79" s="140" t="s">
        <v>131</v>
      </c>
      <c r="N79" s="140" t="s">
        <v>1415</v>
      </c>
    </row>
    <row r="80" spans="1:14" ht="28">
      <c r="A80" s="138">
        <v>80</v>
      </c>
      <c r="B80" s="142">
        <v>3</v>
      </c>
      <c r="C80" s="142">
        <f>INDEX(Subcategories!$A$2:$A$29,MATCH(L80,Subcategories!$B$2:$B$29,0))</f>
        <v>10</v>
      </c>
      <c r="D80" s="142">
        <f>VLOOKUP(M80,Elements!$A$2:$B$435,2,0)</f>
        <v>98</v>
      </c>
      <c r="E80" s="142" t="str">
        <f t="shared" si="1"/>
        <v>3-10-98</v>
      </c>
      <c r="F80" s="142">
        <f>INDEX(SuiteCatSub!$E$2:$E$55,MATCH(_xlfn.CONCAT(B80,"-",C80),SuiteCatSub!$F$2:$F$55,0))</f>
        <v>24</v>
      </c>
      <c r="G80" s="142">
        <f>VLOOKUP(E80,SuiteCatSubElem!F80:G745,2,0)</f>
        <v>239</v>
      </c>
      <c r="H80" s="142">
        <f>VLOOKUP(G80,SuiteCatSubElem_Version!$I$2:$J$667,2,0)</f>
        <v>98</v>
      </c>
      <c r="I80" s="139" t="s">
        <v>1398</v>
      </c>
      <c r="J80" s="140" t="s">
        <v>1374</v>
      </c>
      <c r="K80" s="140" t="s">
        <v>1400</v>
      </c>
      <c r="L80" s="140" t="s">
        <v>14</v>
      </c>
      <c r="M80" s="140" t="s">
        <v>132</v>
      </c>
      <c r="N80" s="140" t="s">
        <v>1416</v>
      </c>
    </row>
    <row r="81" spans="1:14" ht="28">
      <c r="A81" s="138">
        <v>81</v>
      </c>
      <c r="B81" s="142">
        <v>3</v>
      </c>
      <c r="C81" s="142">
        <f>INDEX(Subcategories!$A$2:$A$29,MATCH(L81,Subcategories!$B$2:$B$29,0))</f>
        <v>10</v>
      </c>
      <c r="D81" s="142">
        <f>VLOOKUP(M81,Elements!$A$2:$B$435,2,0)</f>
        <v>99</v>
      </c>
      <c r="E81" s="142" t="str">
        <f t="shared" si="1"/>
        <v>3-10-99</v>
      </c>
      <c r="F81" s="142">
        <f>INDEX(SuiteCatSub!$E$2:$E$55,MATCH(_xlfn.CONCAT(B81,"-",C81),SuiteCatSub!$F$2:$F$55,0))</f>
        <v>24</v>
      </c>
      <c r="G81" s="142">
        <f>VLOOKUP(E81,SuiteCatSubElem!F81:G746,2,0)</f>
        <v>240</v>
      </c>
      <c r="H81" s="142">
        <f>VLOOKUP(G81,SuiteCatSubElem_Version!$I$2:$J$667,2,0)</f>
        <v>99</v>
      </c>
      <c r="I81" s="139" t="s">
        <v>1398</v>
      </c>
      <c r="J81" s="140" t="s">
        <v>1374</v>
      </c>
      <c r="K81" s="140" t="s">
        <v>1400</v>
      </c>
      <c r="L81" s="140" t="s">
        <v>14</v>
      </c>
      <c r="M81" s="140" t="s">
        <v>133</v>
      </c>
      <c r="N81" s="140" t="s">
        <v>1179</v>
      </c>
    </row>
    <row r="82" spans="1:14" ht="168">
      <c r="A82" s="138">
        <v>82</v>
      </c>
      <c r="B82" s="142">
        <v>3</v>
      </c>
      <c r="C82" s="142">
        <f>INDEX(Subcategories!$A$2:$A$29,MATCH(L82,Subcategories!$B$2:$B$29,0))</f>
        <v>10</v>
      </c>
      <c r="D82" s="142">
        <f>VLOOKUP(M82,Elements!$A$2:$B$435,2,0)</f>
        <v>100</v>
      </c>
      <c r="E82" s="142" t="str">
        <f t="shared" si="1"/>
        <v>3-10-100</v>
      </c>
      <c r="F82" s="142">
        <f>INDEX(SuiteCatSub!$E$2:$E$55,MATCH(_xlfn.CONCAT(B82,"-",C82),SuiteCatSub!$F$2:$F$55,0))</f>
        <v>24</v>
      </c>
      <c r="G82" s="142">
        <f>VLOOKUP(E82,SuiteCatSubElem!F82:G747,2,0)</f>
        <v>241</v>
      </c>
      <c r="H82" s="142">
        <f>VLOOKUP(G82,SuiteCatSubElem_Version!$I$2:$J$667,2,0)</f>
        <v>100</v>
      </c>
      <c r="I82" s="139" t="s">
        <v>1398</v>
      </c>
      <c r="J82" s="140" t="s">
        <v>1374</v>
      </c>
      <c r="K82" s="140" t="s">
        <v>1400</v>
      </c>
      <c r="L82" s="140" t="s">
        <v>14</v>
      </c>
      <c r="M82" s="140" t="s">
        <v>514</v>
      </c>
      <c r="N82" s="140" t="s">
        <v>1417</v>
      </c>
    </row>
    <row r="83" spans="1:14" ht="28">
      <c r="A83" s="138">
        <v>83</v>
      </c>
      <c r="B83" s="142">
        <v>3</v>
      </c>
      <c r="C83" s="142">
        <f>INDEX(Subcategories!$A$2:$A$29,MATCH(L83,Subcategories!$B$2:$B$29,0))</f>
        <v>10</v>
      </c>
      <c r="D83" s="142">
        <f>VLOOKUP(M83,Elements!$A$2:$B$435,2,0)</f>
        <v>101</v>
      </c>
      <c r="E83" s="142" t="str">
        <f t="shared" si="1"/>
        <v>3-10-101</v>
      </c>
      <c r="F83" s="142">
        <f>INDEX(SuiteCatSub!$E$2:$E$55,MATCH(_xlfn.CONCAT(B83,"-",C83),SuiteCatSub!$F$2:$F$55,0))</f>
        <v>24</v>
      </c>
      <c r="G83" s="142">
        <f>VLOOKUP(E83,SuiteCatSubElem!F83:G748,2,0)</f>
        <v>242</v>
      </c>
      <c r="H83" s="142">
        <f>VLOOKUP(G83,SuiteCatSubElem_Version!$I$2:$J$667,2,0)</f>
        <v>101</v>
      </c>
      <c r="I83" s="139" t="s">
        <v>1398</v>
      </c>
      <c r="J83" s="140" t="s">
        <v>1374</v>
      </c>
      <c r="K83" s="140" t="s">
        <v>1400</v>
      </c>
      <c r="L83" s="140" t="s">
        <v>14</v>
      </c>
      <c r="M83" s="140" t="s">
        <v>135</v>
      </c>
      <c r="N83" s="140" t="s">
        <v>1418</v>
      </c>
    </row>
    <row r="84" spans="1:14" ht="28">
      <c r="A84" s="138">
        <v>84</v>
      </c>
      <c r="B84" s="142">
        <v>3</v>
      </c>
      <c r="C84" s="142">
        <f>INDEX(Subcategories!$A$2:$A$29,MATCH(L84,Subcategories!$B$2:$B$29,0))</f>
        <v>10</v>
      </c>
      <c r="D84" s="142">
        <f>VLOOKUP(M84,Elements!$A$2:$B$435,2,0)</f>
        <v>102</v>
      </c>
      <c r="E84" s="142" t="str">
        <f t="shared" si="1"/>
        <v>3-10-102</v>
      </c>
      <c r="F84" s="142">
        <f>INDEX(SuiteCatSub!$E$2:$E$55,MATCH(_xlfn.CONCAT(B84,"-",C84),SuiteCatSub!$F$2:$F$55,0))</f>
        <v>24</v>
      </c>
      <c r="G84" s="142">
        <f>VLOOKUP(E84,SuiteCatSubElem!F84:G749,2,0)</f>
        <v>243</v>
      </c>
      <c r="H84" s="142">
        <f>VLOOKUP(G84,SuiteCatSubElem_Version!$I$2:$J$667,2,0)</f>
        <v>102</v>
      </c>
      <c r="I84" s="139" t="s">
        <v>1398</v>
      </c>
      <c r="J84" s="140" t="s">
        <v>1374</v>
      </c>
      <c r="K84" s="140" t="s">
        <v>1400</v>
      </c>
      <c r="L84" s="140" t="s">
        <v>14</v>
      </c>
      <c r="M84" s="140" t="s">
        <v>136</v>
      </c>
      <c r="N84" s="140" t="s">
        <v>1419</v>
      </c>
    </row>
    <row r="85" spans="1:14" ht="112">
      <c r="A85" s="138">
        <v>85</v>
      </c>
      <c r="B85" s="142">
        <v>3</v>
      </c>
      <c r="C85" s="142">
        <f>INDEX(Subcategories!$A$2:$A$29,MATCH(L85,Subcategories!$B$2:$B$29,0))</f>
        <v>6</v>
      </c>
      <c r="D85" s="142">
        <f>VLOOKUP(M85,Elements!$A$2:$B$435,2,0)</f>
        <v>64</v>
      </c>
      <c r="E85" s="142" t="str">
        <f t="shared" si="1"/>
        <v>3-6-64</v>
      </c>
      <c r="F85" s="142">
        <f>INDEX(SuiteCatSub!$E$2:$E$55,MATCH(_xlfn.CONCAT(B85,"-",C85),SuiteCatSub!$F$2:$F$55,0))</f>
        <v>20</v>
      </c>
      <c r="G85" s="142">
        <f>VLOOKUP(E85,SuiteCatSubElem!F85:G750,2,0)</f>
        <v>204</v>
      </c>
      <c r="H85" s="142">
        <f>VLOOKUP(G85,SuiteCatSubElem_Version!$I$2:$J$667,2,0)</f>
        <v>64</v>
      </c>
      <c r="I85" s="139" t="s">
        <v>1398</v>
      </c>
      <c r="J85" s="140" t="s">
        <v>1398</v>
      </c>
      <c r="K85" s="140" t="s">
        <v>1402</v>
      </c>
      <c r="L85" s="140" t="s">
        <v>10</v>
      </c>
      <c r="M85" s="140" t="s">
        <v>101</v>
      </c>
      <c r="N85" s="143" t="s">
        <v>1150</v>
      </c>
    </row>
    <row r="86" spans="1:14" ht="28">
      <c r="A86" s="138">
        <v>86</v>
      </c>
      <c r="B86" s="142">
        <v>3</v>
      </c>
      <c r="C86" s="142">
        <f>INDEX(Subcategories!$A$2:$A$29,MATCH(L86,Subcategories!$B$2:$B$29,0))</f>
        <v>6</v>
      </c>
      <c r="D86" s="142">
        <f>VLOOKUP(M86,Elements!$A$2:$B$435,2,0)</f>
        <v>65</v>
      </c>
      <c r="E86" s="142" t="str">
        <f t="shared" si="1"/>
        <v>3-6-65</v>
      </c>
      <c r="F86" s="142">
        <f>INDEX(SuiteCatSub!$E$2:$E$55,MATCH(_xlfn.CONCAT(B86,"-",C86),SuiteCatSub!$F$2:$F$55,0))</f>
        <v>20</v>
      </c>
      <c r="G86" s="142">
        <f>VLOOKUP(E86,SuiteCatSubElem!F86:G751,2,0)</f>
        <v>205</v>
      </c>
      <c r="H86" s="142">
        <f>VLOOKUP(G86,SuiteCatSubElem_Version!$I$2:$J$667,2,0)</f>
        <v>65</v>
      </c>
      <c r="I86" s="139" t="s">
        <v>1398</v>
      </c>
      <c r="J86" s="140" t="s">
        <v>1398</v>
      </c>
      <c r="K86" s="140" t="s">
        <v>1402</v>
      </c>
      <c r="L86" s="140" t="s">
        <v>10</v>
      </c>
      <c r="M86" s="140" t="s">
        <v>362</v>
      </c>
      <c r="N86" s="143" t="s">
        <v>1151</v>
      </c>
    </row>
    <row r="87" spans="1:14" ht="28">
      <c r="A87" s="138">
        <v>87</v>
      </c>
      <c r="B87" s="142">
        <v>3</v>
      </c>
      <c r="C87" s="142">
        <f>INDEX(Subcategories!$A$2:$A$29,MATCH(L87,Subcategories!$B$2:$B$29,0))</f>
        <v>6</v>
      </c>
      <c r="D87" s="142">
        <f>VLOOKUP(M87,Elements!$A$2:$B$435,2,0)</f>
        <v>66</v>
      </c>
      <c r="E87" s="142" t="str">
        <f t="shared" si="1"/>
        <v>3-6-66</v>
      </c>
      <c r="F87" s="142">
        <f>INDEX(SuiteCatSub!$E$2:$E$55,MATCH(_xlfn.CONCAT(B87,"-",C87),SuiteCatSub!$F$2:$F$55,0))</f>
        <v>20</v>
      </c>
      <c r="G87" s="142">
        <f>VLOOKUP(E87,SuiteCatSubElem!F87:G752,2,0)</f>
        <v>206</v>
      </c>
      <c r="H87" s="142">
        <f>VLOOKUP(G87,SuiteCatSubElem_Version!$I$2:$J$667,2,0)</f>
        <v>66</v>
      </c>
      <c r="I87" s="139" t="s">
        <v>1398</v>
      </c>
      <c r="J87" s="140" t="s">
        <v>1398</v>
      </c>
      <c r="K87" s="140" t="s">
        <v>1402</v>
      </c>
      <c r="L87" s="140" t="s">
        <v>10</v>
      </c>
      <c r="M87" s="140" t="s">
        <v>286</v>
      </c>
      <c r="N87" s="143" t="s">
        <v>836</v>
      </c>
    </row>
    <row r="88" spans="1:14" ht="42">
      <c r="A88" s="138">
        <v>88</v>
      </c>
      <c r="B88" s="142">
        <v>3</v>
      </c>
      <c r="C88" s="142">
        <f>INDEX(Subcategories!$A$2:$A$29,MATCH(L88,Subcategories!$B$2:$B$29,0))</f>
        <v>6</v>
      </c>
      <c r="D88" s="142">
        <f>VLOOKUP(M88,Elements!$A$2:$B$435,2,0)</f>
        <v>67</v>
      </c>
      <c r="E88" s="142" t="str">
        <f t="shared" si="1"/>
        <v>3-6-67</v>
      </c>
      <c r="F88" s="142">
        <f>INDEX(SuiteCatSub!$E$2:$E$55,MATCH(_xlfn.CONCAT(B88,"-",C88),SuiteCatSub!$F$2:$F$55,0))</f>
        <v>20</v>
      </c>
      <c r="G88" s="142">
        <f>VLOOKUP(E88,SuiteCatSubElem!F88:G753,2,0)</f>
        <v>207</v>
      </c>
      <c r="H88" s="142">
        <f>VLOOKUP(G88,SuiteCatSubElem_Version!$I$2:$J$667,2,0)</f>
        <v>67</v>
      </c>
      <c r="I88" s="139" t="s">
        <v>1398</v>
      </c>
      <c r="J88" s="140" t="s">
        <v>1398</v>
      </c>
      <c r="K88" s="140" t="s">
        <v>1402</v>
      </c>
      <c r="L88" s="140" t="s">
        <v>10</v>
      </c>
      <c r="M88" s="140" t="s">
        <v>288</v>
      </c>
      <c r="N88" s="143" t="s">
        <v>1153</v>
      </c>
    </row>
    <row r="89" spans="1:14" ht="28">
      <c r="A89" s="138">
        <v>89</v>
      </c>
      <c r="B89" s="142">
        <v>3</v>
      </c>
      <c r="C89" s="142">
        <f>INDEX(Subcategories!$A$2:$A$29,MATCH(L89,Subcategories!$B$2:$B$29,0))</f>
        <v>6</v>
      </c>
      <c r="D89" s="142">
        <f>VLOOKUP(M89,Elements!$A$2:$B$435,2,0)</f>
        <v>68</v>
      </c>
      <c r="E89" s="142" t="str">
        <f t="shared" si="1"/>
        <v>3-6-68</v>
      </c>
      <c r="F89" s="142">
        <f>INDEX(SuiteCatSub!$E$2:$E$55,MATCH(_xlfn.CONCAT(B89,"-",C89),SuiteCatSub!$F$2:$F$55,0))</f>
        <v>20</v>
      </c>
      <c r="G89" s="142">
        <f>VLOOKUP(E89,SuiteCatSubElem!F89:G754,2,0)</f>
        <v>208</v>
      </c>
      <c r="H89" s="142">
        <f>VLOOKUP(G89,SuiteCatSubElem_Version!$I$2:$J$667,2,0)</f>
        <v>68</v>
      </c>
      <c r="I89" s="139" t="s">
        <v>1398</v>
      </c>
      <c r="J89" s="140" t="s">
        <v>1398</v>
      </c>
      <c r="K89" s="140" t="s">
        <v>1402</v>
      </c>
      <c r="L89" s="140" t="s">
        <v>10</v>
      </c>
      <c r="M89" s="140" t="s">
        <v>104</v>
      </c>
      <c r="N89" s="143" t="s">
        <v>1154</v>
      </c>
    </row>
    <row r="90" spans="1:14" ht="28">
      <c r="A90" s="138">
        <v>90</v>
      </c>
      <c r="B90" s="142">
        <v>3</v>
      </c>
      <c r="C90" s="142">
        <f>INDEX(Subcategories!$A$2:$A$29,MATCH(L90,Subcategories!$B$2:$B$29,0))</f>
        <v>6</v>
      </c>
      <c r="D90" s="142">
        <f>VLOOKUP(M90,Elements!$A$2:$B$435,2,0)</f>
        <v>69</v>
      </c>
      <c r="E90" s="142" t="str">
        <f t="shared" si="1"/>
        <v>3-6-69</v>
      </c>
      <c r="F90" s="142">
        <f>INDEX(SuiteCatSub!$E$2:$E$55,MATCH(_xlfn.CONCAT(B90,"-",C90),SuiteCatSub!$F$2:$F$55,0))</f>
        <v>20</v>
      </c>
      <c r="G90" s="142">
        <f>VLOOKUP(E90,SuiteCatSubElem!F90:G755,2,0)</f>
        <v>209</v>
      </c>
      <c r="H90" s="142">
        <f>VLOOKUP(G90,SuiteCatSubElem_Version!$I$2:$J$667,2,0)</f>
        <v>69</v>
      </c>
      <c r="I90" s="139" t="s">
        <v>1398</v>
      </c>
      <c r="J90" s="140" t="s">
        <v>1398</v>
      </c>
      <c r="K90" s="140" t="s">
        <v>1402</v>
      </c>
      <c r="L90" s="140" t="s">
        <v>10</v>
      </c>
      <c r="M90" s="140" t="s">
        <v>105</v>
      </c>
      <c r="N90" s="143" t="s">
        <v>1155</v>
      </c>
    </row>
    <row r="91" spans="1:14" ht="28">
      <c r="A91" s="138">
        <v>91</v>
      </c>
      <c r="B91" s="142">
        <v>3</v>
      </c>
      <c r="C91" s="142">
        <f>INDEX(Subcategories!$A$2:$A$29,MATCH(L91,Subcategories!$B$2:$B$29,0))</f>
        <v>6</v>
      </c>
      <c r="D91" s="142">
        <f>VLOOKUP(M91,Elements!$A$2:$B$435,2,0)</f>
        <v>70</v>
      </c>
      <c r="E91" s="142" t="str">
        <f t="shared" si="1"/>
        <v>3-6-70</v>
      </c>
      <c r="F91" s="142">
        <f>INDEX(SuiteCatSub!$E$2:$E$55,MATCH(_xlfn.CONCAT(B91,"-",C91),SuiteCatSub!$F$2:$F$55,0))</f>
        <v>20</v>
      </c>
      <c r="G91" s="142">
        <f>VLOOKUP(E91,SuiteCatSubElem!F91:G756,2,0)</f>
        <v>210</v>
      </c>
      <c r="H91" s="142">
        <f>VLOOKUP(G91,SuiteCatSubElem_Version!$I$2:$J$667,2,0)</f>
        <v>70</v>
      </c>
      <c r="I91" s="139" t="s">
        <v>1398</v>
      </c>
      <c r="J91" s="140" t="s">
        <v>1398</v>
      </c>
      <c r="K91" s="140" t="s">
        <v>1402</v>
      </c>
      <c r="L91" s="140" t="s">
        <v>10</v>
      </c>
      <c r="M91" s="140" t="s">
        <v>106</v>
      </c>
      <c r="N91" s="143" t="s">
        <v>1156</v>
      </c>
    </row>
    <row r="92" spans="1:14" ht="84">
      <c r="A92" s="138">
        <v>92</v>
      </c>
      <c r="B92" s="142">
        <v>3</v>
      </c>
      <c r="C92" s="142">
        <f>INDEX(Subcategories!$A$2:$A$29,MATCH(L92,Subcategories!$B$2:$B$29,0))</f>
        <v>7</v>
      </c>
      <c r="D92" s="142">
        <f>VLOOKUP(M92,Elements!$A$2:$B$435,2,0)</f>
        <v>71</v>
      </c>
      <c r="E92" s="142" t="str">
        <f t="shared" si="1"/>
        <v>3-7-71</v>
      </c>
      <c r="F92" s="142">
        <f>INDEX(SuiteCatSub!$E$2:$E$55,MATCH(_xlfn.CONCAT(B92,"-",C92),SuiteCatSub!$F$2:$F$55,0))</f>
        <v>21</v>
      </c>
      <c r="G92" s="142">
        <f>VLOOKUP(E92,SuiteCatSubElem!F92:G757,2,0)</f>
        <v>211</v>
      </c>
      <c r="H92" s="142">
        <f>VLOOKUP(G92,SuiteCatSubElem_Version!$I$2:$J$667,2,0)</f>
        <v>71</v>
      </c>
      <c r="I92" s="139" t="s">
        <v>1398</v>
      </c>
      <c r="J92" s="140" t="s">
        <v>1398</v>
      </c>
      <c r="K92" s="140" t="s">
        <v>1402</v>
      </c>
      <c r="L92" s="140" t="s">
        <v>11</v>
      </c>
      <c r="M92" s="140" t="s">
        <v>522</v>
      </c>
      <c r="N92" s="143" t="s">
        <v>1157</v>
      </c>
    </row>
    <row r="93" spans="1:14" ht="28">
      <c r="A93" s="138">
        <v>93</v>
      </c>
      <c r="B93" s="142">
        <v>3</v>
      </c>
      <c r="C93" s="142">
        <f>INDEX(Subcategories!$A$2:$A$29,MATCH(L93,Subcategories!$B$2:$B$29,0))</f>
        <v>7</v>
      </c>
      <c r="D93" s="142">
        <f>VLOOKUP(M93,Elements!$A$2:$B$435,2,0)</f>
        <v>10</v>
      </c>
      <c r="E93" s="142" t="str">
        <f t="shared" si="1"/>
        <v>3-7-10</v>
      </c>
      <c r="F93" s="142">
        <f>INDEX(SuiteCatSub!$E$2:$E$55,MATCH(_xlfn.CONCAT(B93,"-",C93),SuiteCatSub!$F$2:$F$55,0))</f>
        <v>21</v>
      </c>
      <c r="G93" s="142">
        <f>VLOOKUP(E93,SuiteCatSubElem!F93:G758,2,0)</f>
        <v>212</v>
      </c>
      <c r="H93" s="142">
        <f>VLOOKUP(G93,SuiteCatSubElem_Version!$I$2:$J$667,2,0)</f>
        <v>10</v>
      </c>
      <c r="I93" s="139" t="s">
        <v>1398</v>
      </c>
      <c r="J93" s="140" t="s">
        <v>1398</v>
      </c>
      <c r="K93" s="140" t="s">
        <v>1402</v>
      </c>
      <c r="L93" s="140" t="s">
        <v>11</v>
      </c>
      <c r="M93" s="140" t="s">
        <v>47</v>
      </c>
      <c r="N93" s="143" t="s">
        <v>910</v>
      </c>
    </row>
    <row r="94" spans="1:14" ht="28">
      <c r="A94" s="138">
        <v>94</v>
      </c>
      <c r="B94" s="142">
        <v>3</v>
      </c>
      <c r="C94" s="142">
        <f>INDEX(Subcategories!$A$2:$A$29,MATCH(L94,Subcategories!$B$2:$B$29,0))</f>
        <v>7</v>
      </c>
      <c r="D94" s="142">
        <f>VLOOKUP(M94,Elements!$A$2:$B$435,2,0)</f>
        <v>72</v>
      </c>
      <c r="E94" s="142" t="str">
        <f t="shared" si="1"/>
        <v>3-7-72</v>
      </c>
      <c r="F94" s="142">
        <f>INDEX(SuiteCatSub!$E$2:$E$55,MATCH(_xlfn.CONCAT(B94,"-",C94),SuiteCatSub!$F$2:$F$55,0))</f>
        <v>21</v>
      </c>
      <c r="G94" s="142">
        <f>VLOOKUP(E94,SuiteCatSubElem!F94:G759,2,0)</f>
        <v>213</v>
      </c>
      <c r="H94" s="142">
        <f>VLOOKUP(G94,SuiteCatSubElem_Version!$I$2:$J$667,2,0)</f>
        <v>72</v>
      </c>
      <c r="I94" s="139" t="s">
        <v>1398</v>
      </c>
      <c r="J94" s="140" t="s">
        <v>1398</v>
      </c>
      <c r="K94" s="140" t="s">
        <v>1402</v>
      </c>
      <c r="L94" s="140" t="s">
        <v>11</v>
      </c>
      <c r="M94" s="140" t="s">
        <v>108</v>
      </c>
      <c r="N94" s="143" t="s">
        <v>1158</v>
      </c>
    </row>
    <row r="95" spans="1:14" ht="28">
      <c r="A95" s="138">
        <v>95</v>
      </c>
      <c r="B95" s="142">
        <v>3</v>
      </c>
      <c r="C95" s="142">
        <f>INDEX(Subcategories!$A$2:$A$29,MATCH(L95,Subcategories!$B$2:$B$29,0))</f>
        <v>7</v>
      </c>
      <c r="D95" s="142">
        <f>VLOOKUP(M95,Elements!$A$2:$B$435,2,0)</f>
        <v>73</v>
      </c>
      <c r="E95" s="142" t="str">
        <f t="shared" si="1"/>
        <v>3-7-73</v>
      </c>
      <c r="F95" s="142">
        <f>INDEX(SuiteCatSub!$E$2:$E$55,MATCH(_xlfn.CONCAT(B95,"-",C95),SuiteCatSub!$F$2:$F$55,0))</f>
        <v>21</v>
      </c>
      <c r="G95" s="142">
        <f>VLOOKUP(E95,SuiteCatSubElem!F95:G760,2,0)</f>
        <v>214</v>
      </c>
      <c r="H95" s="142">
        <f>VLOOKUP(G95,SuiteCatSubElem_Version!$I$2:$J$667,2,0)</f>
        <v>73</v>
      </c>
      <c r="I95" s="139" t="s">
        <v>1398</v>
      </c>
      <c r="J95" s="140" t="s">
        <v>1398</v>
      </c>
      <c r="K95" s="140" t="s">
        <v>1402</v>
      </c>
      <c r="L95" s="140" t="s">
        <v>11</v>
      </c>
      <c r="M95" s="140" t="s">
        <v>353</v>
      </c>
      <c r="N95" s="143" t="s">
        <v>1159</v>
      </c>
    </row>
    <row r="96" spans="1:14" ht="28">
      <c r="A96" s="138">
        <v>96</v>
      </c>
      <c r="B96" s="142">
        <v>3</v>
      </c>
      <c r="C96" s="142">
        <f>INDEX(Subcategories!$A$2:$A$29,MATCH(L96,Subcategories!$B$2:$B$29,0))</f>
        <v>7</v>
      </c>
      <c r="D96" s="142">
        <f>VLOOKUP(M96,Elements!$A$2:$B$435,2,0)</f>
        <v>74</v>
      </c>
      <c r="E96" s="142" t="str">
        <f t="shared" si="1"/>
        <v>3-7-74</v>
      </c>
      <c r="F96" s="142">
        <f>INDEX(SuiteCatSub!$E$2:$E$55,MATCH(_xlfn.CONCAT(B96,"-",C96),SuiteCatSub!$F$2:$F$55,0))</f>
        <v>21</v>
      </c>
      <c r="G96" s="142">
        <f>VLOOKUP(E96,SuiteCatSubElem!F96:G761,2,0)</f>
        <v>215</v>
      </c>
      <c r="H96" s="142">
        <f>VLOOKUP(G96,SuiteCatSubElem_Version!$I$2:$J$667,2,0)</f>
        <v>74</v>
      </c>
      <c r="I96" s="139" t="s">
        <v>1398</v>
      </c>
      <c r="J96" s="140" t="s">
        <v>1398</v>
      </c>
      <c r="K96" s="140" t="s">
        <v>1402</v>
      </c>
      <c r="L96" s="140" t="s">
        <v>11</v>
      </c>
      <c r="M96" s="140" t="s">
        <v>109</v>
      </c>
      <c r="N96" s="143" t="s">
        <v>804</v>
      </c>
    </row>
    <row r="97" spans="1:14" ht="28">
      <c r="A97" s="138">
        <v>97</v>
      </c>
      <c r="B97" s="142">
        <v>3</v>
      </c>
      <c r="C97" s="142">
        <f>INDEX(Subcategories!$A$2:$A$29,MATCH(L97,Subcategories!$B$2:$B$29,0))</f>
        <v>7</v>
      </c>
      <c r="D97" s="142">
        <f>VLOOKUP(M97,Elements!$A$2:$B$435,2,0)</f>
        <v>75</v>
      </c>
      <c r="E97" s="142" t="str">
        <f t="shared" si="1"/>
        <v>3-7-75</v>
      </c>
      <c r="F97" s="142">
        <f>INDEX(SuiteCatSub!$E$2:$E$55,MATCH(_xlfn.CONCAT(B97,"-",C97),SuiteCatSub!$F$2:$F$55,0))</f>
        <v>21</v>
      </c>
      <c r="G97" s="142">
        <f>VLOOKUP(E97,SuiteCatSubElem!F97:G762,2,0)</f>
        <v>216</v>
      </c>
      <c r="H97" s="142">
        <f>VLOOKUP(G97,SuiteCatSubElem_Version!$I$2:$J$667,2,0)</f>
        <v>75</v>
      </c>
      <c r="I97" s="139" t="s">
        <v>1398</v>
      </c>
      <c r="J97" s="140" t="s">
        <v>1398</v>
      </c>
      <c r="K97" s="140" t="s">
        <v>1402</v>
      </c>
      <c r="L97" s="140" t="s">
        <v>11</v>
      </c>
      <c r="M97" s="140" t="s">
        <v>355</v>
      </c>
      <c r="N97" s="143" t="s">
        <v>802</v>
      </c>
    </row>
    <row r="98" spans="1:14" ht="28">
      <c r="A98" s="138">
        <v>98</v>
      </c>
      <c r="B98" s="142">
        <v>3</v>
      </c>
      <c r="C98" s="142">
        <f>INDEX(Subcategories!$A$2:$A$29,MATCH(L98,Subcategories!$B$2:$B$29,0))</f>
        <v>7</v>
      </c>
      <c r="D98" s="142">
        <f>VLOOKUP(M98,Elements!$A$2:$B$435,2,0)</f>
        <v>76</v>
      </c>
      <c r="E98" s="142" t="str">
        <f t="shared" si="1"/>
        <v>3-7-76</v>
      </c>
      <c r="F98" s="142">
        <f>INDEX(SuiteCatSub!$E$2:$E$55,MATCH(_xlfn.CONCAT(B98,"-",C98),SuiteCatSub!$F$2:$F$55,0))</f>
        <v>21</v>
      </c>
      <c r="G98" s="142">
        <f>VLOOKUP(E98,SuiteCatSubElem!F98:G763,2,0)</f>
        <v>217</v>
      </c>
      <c r="H98" s="142">
        <f>VLOOKUP(G98,SuiteCatSubElem_Version!$I$2:$J$667,2,0)</f>
        <v>76</v>
      </c>
      <c r="I98" s="139" t="s">
        <v>1398</v>
      </c>
      <c r="J98" s="140" t="s">
        <v>1398</v>
      </c>
      <c r="K98" s="140" t="s">
        <v>1402</v>
      </c>
      <c r="L98" s="140" t="s">
        <v>11</v>
      </c>
      <c r="M98" s="140" t="s">
        <v>110</v>
      </c>
      <c r="N98" s="143" t="s">
        <v>1161</v>
      </c>
    </row>
    <row r="99" spans="1:14" ht="28">
      <c r="A99" s="138">
        <v>99</v>
      </c>
      <c r="B99" s="142">
        <v>3</v>
      </c>
      <c r="C99" s="142">
        <f>INDEX(Subcategories!$A$2:$A$29,MATCH(L99,Subcategories!$B$2:$B$29,0))</f>
        <v>7</v>
      </c>
      <c r="D99" s="142">
        <f>VLOOKUP(M99,Elements!$A$2:$B$435,2,0)</f>
        <v>77</v>
      </c>
      <c r="E99" s="142" t="str">
        <f t="shared" si="1"/>
        <v>3-7-77</v>
      </c>
      <c r="F99" s="142">
        <f>INDEX(SuiteCatSub!$E$2:$E$55,MATCH(_xlfn.CONCAT(B99,"-",C99),SuiteCatSub!$F$2:$F$55,0))</f>
        <v>21</v>
      </c>
      <c r="G99" s="142">
        <f>VLOOKUP(E99,SuiteCatSubElem!F99:G764,2,0)</f>
        <v>218</v>
      </c>
      <c r="H99" s="142">
        <f>VLOOKUP(G99,SuiteCatSubElem_Version!$I$2:$J$667,2,0)</f>
        <v>77</v>
      </c>
      <c r="I99" s="139" t="s">
        <v>1398</v>
      </c>
      <c r="J99" s="140" t="s">
        <v>1398</v>
      </c>
      <c r="K99" s="140" t="s">
        <v>1402</v>
      </c>
      <c r="L99" s="140" t="s">
        <v>11</v>
      </c>
      <c r="M99" s="140" t="s">
        <v>111</v>
      </c>
      <c r="N99" s="143" t="s">
        <v>806</v>
      </c>
    </row>
    <row r="100" spans="1:14" ht="28">
      <c r="A100" s="138">
        <v>100</v>
      </c>
      <c r="B100" s="142">
        <v>3</v>
      </c>
      <c r="C100" s="142">
        <f>INDEX(Subcategories!$A$2:$A$29,MATCH(L100,Subcategories!$B$2:$B$29,0))</f>
        <v>7</v>
      </c>
      <c r="D100" s="142">
        <f>VLOOKUP(M100,Elements!$A$2:$B$435,2,0)</f>
        <v>78</v>
      </c>
      <c r="E100" s="142" t="str">
        <f t="shared" si="1"/>
        <v>3-7-78</v>
      </c>
      <c r="F100" s="142">
        <f>INDEX(SuiteCatSub!$E$2:$E$55,MATCH(_xlfn.CONCAT(B100,"-",C100),SuiteCatSub!$F$2:$F$55,0))</f>
        <v>21</v>
      </c>
      <c r="G100" s="142">
        <f>VLOOKUP(E100,SuiteCatSubElem!F100:G765,2,0)</f>
        <v>219</v>
      </c>
      <c r="H100" s="142">
        <f>VLOOKUP(G100,SuiteCatSubElem_Version!$I$2:$J$667,2,0)</f>
        <v>78</v>
      </c>
      <c r="I100" s="139" t="s">
        <v>1398</v>
      </c>
      <c r="J100" s="140" t="s">
        <v>1398</v>
      </c>
      <c r="K100" s="140" t="s">
        <v>1402</v>
      </c>
      <c r="L100" s="140" t="s">
        <v>11</v>
      </c>
      <c r="M100" s="140" t="s">
        <v>112</v>
      </c>
      <c r="N100" s="143" t="s">
        <v>808</v>
      </c>
    </row>
    <row r="101" spans="1:14" ht="28">
      <c r="A101" s="138">
        <v>101</v>
      </c>
      <c r="B101" s="142">
        <v>3</v>
      </c>
      <c r="C101" s="142">
        <f>INDEX(Subcategories!$A$2:$A$29,MATCH(L101,Subcategories!$B$2:$B$29,0))</f>
        <v>7</v>
      </c>
      <c r="D101" s="142">
        <f>VLOOKUP(M101,Elements!$A$2:$B$435,2,0)</f>
        <v>79</v>
      </c>
      <c r="E101" s="142" t="str">
        <f t="shared" si="1"/>
        <v>3-7-79</v>
      </c>
      <c r="F101" s="142">
        <f>INDEX(SuiteCatSub!$E$2:$E$55,MATCH(_xlfn.CONCAT(B101,"-",C101),SuiteCatSub!$F$2:$F$55,0))</f>
        <v>21</v>
      </c>
      <c r="G101" s="142">
        <f>VLOOKUP(E101,SuiteCatSubElem!F101:G766,2,0)</f>
        <v>220</v>
      </c>
      <c r="H101" s="142">
        <f>VLOOKUP(G101,SuiteCatSubElem_Version!$I$2:$J$667,2,0)</f>
        <v>79</v>
      </c>
      <c r="I101" s="139" t="s">
        <v>1398</v>
      </c>
      <c r="J101" s="140" t="s">
        <v>1398</v>
      </c>
      <c r="K101" s="140" t="s">
        <v>1402</v>
      </c>
      <c r="L101" s="140" t="s">
        <v>11</v>
      </c>
      <c r="M101" s="140" t="s">
        <v>113</v>
      </c>
      <c r="N101" s="143" t="s">
        <v>1162</v>
      </c>
    </row>
    <row r="102" spans="1:14" ht="28">
      <c r="A102" s="138">
        <v>102</v>
      </c>
      <c r="B102" s="142">
        <v>3</v>
      </c>
      <c r="C102" s="142">
        <f>INDEX(Subcategories!$A$2:$A$29,MATCH(L102,Subcategories!$B$2:$B$29,0))</f>
        <v>7</v>
      </c>
      <c r="D102" s="142">
        <f>VLOOKUP(M102,Elements!$A$2:$B$435,2,0)</f>
        <v>80</v>
      </c>
      <c r="E102" s="142" t="str">
        <f t="shared" si="1"/>
        <v>3-7-80</v>
      </c>
      <c r="F102" s="142">
        <f>INDEX(SuiteCatSub!$E$2:$E$55,MATCH(_xlfn.CONCAT(B102,"-",C102),SuiteCatSub!$F$2:$F$55,0))</f>
        <v>21</v>
      </c>
      <c r="G102" s="142">
        <f>VLOOKUP(E102,SuiteCatSubElem!F102:G767,2,0)</f>
        <v>221</v>
      </c>
      <c r="H102" s="142">
        <f>VLOOKUP(G102,SuiteCatSubElem_Version!$I$2:$J$667,2,0)</f>
        <v>80</v>
      </c>
      <c r="I102" s="139" t="s">
        <v>1398</v>
      </c>
      <c r="J102" s="140" t="s">
        <v>1398</v>
      </c>
      <c r="K102" s="140" t="s">
        <v>1402</v>
      </c>
      <c r="L102" s="140" t="s">
        <v>11</v>
      </c>
      <c r="M102" s="140" t="s">
        <v>114</v>
      </c>
      <c r="N102" s="143" t="s">
        <v>810</v>
      </c>
    </row>
    <row r="103" spans="1:14" ht="42">
      <c r="A103" s="138">
        <v>103</v>
      </c>
      <c r="B103" s="142">
        <v>3</v>
      </c>
      <c r="C103" s="142">
        <f>INDEX(Subcategories!$A$2:$A$29,MATCH(L103,Subcategories!$B$2:$B$29,0))</f>
        <v>7</v>
      </c>
      <c r="D103" s="142">
        <f>VLOOKUP(M103,Elements!$A$2:$B$435,2,0)</f>
        <v>81</v>
      </c>
      <c r="E103" s="142" t="str">
        <f t="shared" si="1"/>
        <v>3-7-81</v>
      </c>
      <c r="F103" s="142">
        <f>INDEX(SuiteCatSub!$E$2:$E$55,MATCH(_xlfn.CONCAT(B103,"-",C103),SuiteCatSub!$F$2:$F$55,0))</f>
        <v>21</v>
      </c>
      <c r="G103" s="142">
        <f>VLOOKUP(E103,SuiteCatSubElem!F103:G768,2,0)</f>
        <v>222</v>
      </c>
      <c r="H103" s="142">
        <f>VLOOKUP(G103,SuiteCatSubElem_Version!$I$2:$J$667,2,0)</f>
        <v>81</v>
      </c>
      <c r="I103" s="139" t="s">
        <v>1398</v>
      </c>
      <c r="J103" s="140" t="s">
        <v>1398</v>
      </c>
      <c r="K103" s="140" t="s">
        <v>1402</v>
      </c>
      <c r="L103" s="140" t="s">
        <v>11</v>
      </c>
      <c r="M103" s="140" t="s">
        <v>115</v>
      </c>
      <c r="N103" s="143" t="s">
        <v>1163</v>
      </c>
    </row>
    <row r="104" spans="1:14" ht="42">
      <c r="A104" s="138">
        <v>104</v>
      </c>
      <c r="B104" s="142">
        <v>3</v>
      </c>
      <c r="C104" s="142">
        <f>INDEX(Subcategories!$A$2:$A$29,MATCH(L104,Subcategories!$B$2:$B$29,0))</f>
        <v>7</v>
      </c>
      <c r="D104" s="142">
        <f>VLOOKUP(M104,Elements!$A$2:$B$435,2,0)</f>
        <v>82</v>
      </c>
      <c r="E104" s="142" t="str">
        <f t="shared" si="1"/>
        <v>3-7-82</v>
      </c>
      <c r="F104" s="142">
        <f>INDEX(SuiteCatSub!$E$2:$E$55,MATCH(_xlfn.CONCAT(B104,"-",C104),SuiteCatSub!$F$2:$F$55,0))</f>
        <v>21</v>
      </c>
      <c r="G104" s="142">
        <f>VLOOKUP(E104,SuiteCatSubElem!F104:G769,2,0)</f>
        <v>223</v>
      </c>
      <c r="H104" s="142">
        <f>VLOOKUP(G104,SuiteCatSubElem_Version!$I$2:$J$667,2,0)</f>
        <v>82</v>
      </c>
      <c r="I104" s="139" t="s">
        <v>1398</v>
      </c>
      <c r="J104" s="140" t="s">
        <v>1398</v>
      </c>
      <c r="K104" s="140" t="s">
        <v>1402</v>
      </c>
      <c r="L104" s="140" t="s">
        <v>11</v>
      </c>
      <c r="M104" s="140" t="s">
        <v>116</v>
      </c>
      <c r="N104" s="143" t="s">
        <v>1164</v>
      </c>
    </row>
    <row r="105" spans="1:14" ht="42">
      <c r="A105" s="138">
        <v>105</v>
      </c>
      <c r="B105" s="142">
        <v>3</v>
      </c>
      <c r="C105" s="142">
        <f>INDEX(Subcategories!$A$2:$A$29,MATCH(L105,Subcategories!$B$2:$B$29,0))</f>
        <v>8</v>
      </c>
      <c r="D105" s="142">
        <f>VLOOKUP(M105,Elements!$A$2:$B$435,2,0)</f>
        <v>83</v>
      </c>
      <c r="E105" s="142" t="str">
        <f t="shared" si="1"/>
        <v>3-8-83</v>
      </c>
      <c r="F105" s="142">
        <f>INDEX(SuiteCatSub!$E$2:$E$55,MATCH(_xlfn.CONCAT(B105,"-",C105),SuiteCatSub!$F$2:$F$55,0))</f>
        <v>22</v>
      </c>
      <c r="G105" s="142">
        <f>VLOOKUP(E105,SuiteCatSubElem!F105:G770,2,0)</f>
        <v>224</v>
      </c>
      <c r="H105" s="142">
        <f>VLOOKUP(G105,SuiteCatSubElem_Version!$I$2:$J$667,2,0)</f>
        <v>83</v>
      </c>
      <c r="I105" s="139" t="s">
        <v>1398</v>
      </c>
      <c r="J105" s="140" t="s">
        <v>1398</v>
      </c>
      <c r="K105" s="140" t="s">
        <v>33</v>
      </c>
      <c r="L105" s="140" t="s">
        <v>12</v>
      </c>
      <c r="M105" s="140" t="s">
        <v>117</v>
      </c>
      <c r="N105" s="143" t="s">
        <v>1165</v>
      </c>
    </row>
    <row r="106" spans="1:14" ht="42">
      <c r="A106" s="138">
        <v>106</v>
      </c>
      <c r="B106" s="142">
        <v>3</v>
      </c>
      <c r="C106" s="142">
        <f>INDEX(Subcategories!$A$2:$A$29,MATCH(L106,Subcategories!$B$2:$B$29,0))</f>
        <v>8</v>
      </c>
      <c r="D106" s="142">
        <f>VLOOKUP(M106,Elements!$A$2:$B$435,2,0)</f>
        <v>84</v>
      </c>
      <c r="E106" s="142" t="str">
        <f t="shared" si="1"/>
        <v>3-8-84</v>
      </c>
      <c r="F106" s="142">
        <f>INDEX(SuiteCatSub!$E$2:$E$55,MATCH(_xlfn.CONCAT(B106,"-",C106),SuiteCatSub!$F$2:$F$55,0))</f>
        <v>22</v>
      </c>
      <c r="G106" s="142">
        <f>VLOOKUP(E106,SuiteCatSubElem!F106:G771,2,0)</f>
        <v>225</v>
      </c>
      <c r="H106" s="142">
        <f>VLOOKUP(G106,SuiteCatSubElem_Version!$I$2:$J$667,2,0)</f>
        <v>84</v>
      </c>
      <c r="I106" s="139" t="s">
        <v>1398</v>
      </c>
      <c r="J106" s="140" t="s">
        <v>1398</v>
      </c>
      <c r="K106" s="140" t="s">
        <v>33</v>
      </c>
      <c r="L106" s="140" t="s">
        <v>12</v>
      </c>
      <c r="M106" s="140" t="s">
        <v>118</v>
      </c>
      <c r="N106" s="143" t="s">
        <v>850</v>
      </c>
    </row>
    <row r="107" spans="1:14" ht="56">
      <c r="A107" s="138">
        <v>107</v>
      </c>
      <c r="B107" s="142">
        <v>3</v>
      </c>
      <c r="C107" s="142">
        <f>INDEX(Subcategories!$A$2:$A$29,MATCH(L107,Subcategories!$B$2:$B$29,0))</f>
        <v>8</v>
      </c>
      <c r="D107" s="142">
        <f>VLOOKUP(M107,Elements!$A$2:$B$435,2,0)</f>
        <v>85</v>
      </c>
      <c r="E107" s="142" t="str">
        <f t="shared" si="1"/>
        <v>3-8-85</v>
      </c>
      <c r="F107" s="142">
        <f>INDEX(SuiteCatSub!$E$2:$E$55,MATCH(_xlfn.CONCAT(B107,"-",C107),SuiteCatSub!$F$2:$F$55,0))</f>
        <v>22</v>
      </c>
      <c r="G107" s="142">
        <f>VLOOKUP(E107,SuiteCatSubElem!F107:G772,2,0)</f>
        <v>226</v>
      </c>
      <c r="H107" s="142">
        <f>VLOOKUP(G107,SuiteCatSubElem_Version!$I$2:$J$667,2,0)</f>
        <v>85</v>
      </c>
      <c r="I107" s="139" t="s">
        <v>1398</v>
      </c>
      <c r="J107" s="140" t="s">
        <v>1398</v>
      </c>
      <c r="K107" s="140" t="s">
        <v>33</v>
      </c>
      <c r="L107" s="140" t="s">
        <v>12</v>
      </c>
      <c r="M107" s="140" t="s">
        <v>119</v>
      </c>
      <c r="N107" s="143" t="s">
        <v>851</v>
      </c>
    </row>
    <row r="108" spans="1:14" ht="60">
      <c r="A108" s="138">
        <v>108</v>
      </c>
      <c r="B108" s="142">
        <v>4</v>
      </c>
      <c r="C108" s="142">
        <v>11</v>
      </c>
      <c r="D108" s="142">
        <v>103</v>
      </c>
      <c r="E108" s="142" t="s">
        <v>1425</v>
      </c>
      <c r="F108" s="142">
        <f>INDEX(SuiteCatSub!$E$2:$E$55,MATCH(_xlfn.CONCAT(B108,"-",C108),SuiteCatSub!$F$2:$F$55,0))</f>
        <v>25</v>
      </c>
      <c r="G108" s="142">
        <v>244</v>
      </c>
      <c r="H108" s="142">
        <f>VLOOKUP(G108,SuiteCatSubElem_Version!$I$2:$J$667,2,0)</f>
        <v>103</v>
      </c>
      <c r="I108" s="146" t="s">
        <v>1423</v>
      </c>
      <c r="J108" s="144" t="str">
        <f>VLOOKUP(B108,Categories!$A$2:$C$8,3,0)</f>
        <v>Sourcing</v>
      </c>
      <c r="K108" s="147"/>
      <c r="L108" s="144" t="str">
        <f>VLOOKUP(C108,Subcategories!$A$2:$B$29,2,0)</f>
        <v>Opportunity</v>
      </c>
      <c r="M108" s="144" t="str">
        <f>VLOOKUP(D108,Elements!$B$2:$C$435,2,0)</f>
        <v>Arbitrary Categorization in Spend Analysis</v>
      </c>
      <c r="N108" s="144" t="str">
        <f>VLOOKUP(H108,ElementVariants!$A$2:$B$460,2,0)</f>
        <v>This is the ability to do category spend analysis within an analytics environment against default, built in, and arbitrary (what-if) categorizations.</v>
      </c>
    </row>
    <row r="109" spans="1:14" ht="30">
      <c r="A109" s="138">
        <v>109</v>
      </c>
      <c r="B109" s="142">
        <v>4</v>
      </c>
      <c r="C109" s="142">
        <v>11</v>
      </c>
      <c r="D109" s="142">
        <v>104</v>
      </c>
      <c r="E109" s="142" t="s">
        <v>1426</v>
      </c>
      <c r="F109" s="142">
        <f>INDEX(SuiteCatSub!$E$2:$E$55,MATCH(_xlfn.CONCAT(B109,"-",C109),SuiteCatSub!$F$2:$F$55,0))</f>
        <v>25</v>
      </c>
      <c r="G109" s="142">
        <v>245</v>
      </c>
      <c r="H109" s="142">
        <f>VLOOKUP(G109,SuiteCatSubElem_Version!$I$2:$J$667,2,0)</f>
        <v>104</v>
      </c>
      <c r="I109" s="146" t="s">
        <v>1423</v>
      </c>
      <c r="J109" s="144" t="str">
        <f>VLOOKUP(B109,Categories!$A$2:$C$8,3,0)</f>
        <v>Sourcing</v>
      </c>
      <c r="K109" s="147"/>
      <c r="L109" s="144" t="str">
        <f>VLOOKUP(C109,Subcategories!$A$2:$B$29,2,0)</f>
        <v>Opportunity</v>
      </c>
      <c r="M109" s="144" t="str">
        <f>VLOOKUP(D109,Elements!$B$2:$C$435,2,0)</f>
        <v>Category Benchmarks</v>
      </c>
      <c r="N109" s="144" t="str">
        <f>VLOOKUP(H109,ElementVariants!$A$2:$B$460,2,0)</f>
        <v>Does the tool contain built in category benchmarks based on real world data, market pricing, real-time updates based on anonymized community events, and/or should-cost models.</v>
      </c>
    </row>
    <row r="110" spans="1:14" ht="45">
      <c r="A110" s="138">
        <v>110</v>
      </c>
      <c r="B110" s="142">
        <v>4</v>
      </c>
      <c r="C110" s="142">
        <v>11</v>
      </c>
      <c r="D110" s="142">
        <v>105</v>
      </c>
      <c r="E110" s="142" t="s">
        <v>1427</v>
      </c>
      <c r="F110" s="142">
        <f>INDEX(SuiteCatSub!$E$2:$E$55,MATCH(_xlfn.CONCAT(B110,"-",C110),SuiteCatSub!$F$2:$F$55,0))</f>
        <v>25</v>
      </c>
      <c r="G110" s="142">
        <v>246</v>
      </c>
      <c r="H110" s="142">
        <f>VLOOKUP(G110,SuiteCatSubElem_Version!$I$2:$J$667,2,0)</f>
        <v>105</v>
      </c>
      <c r="I110" s="146" t="s">
        <v>1423</v>
      </c>
      <c r="J110" s="144" t="str">
        <f>VLOOKUP(B110,Categories!$A$2:$C$8,3,0)</f>
        <v>Sourcing</v>
      </c>
      <c r="K110" s="147"/>
      <c r="L110" s="144" t="str">
        <f>VLOOKUP(C110,Subcategories!$A$2:$B$29,2,0)</f>
        <v>Opportunity</v>
      </c>
      <c r="M110" s="144" t="str">
        <f>VLOOKUP(D110,Elements!$B$2:$C$435,2,0)</f>
        <v>Trend Analysis and Demand Forecasting</v>
      </c>
      <c r="N110" s="144" t="str">
        <f>VLOOKUP(H110,ElementVariants!$A$2:$B$460,2,0)</f>
        <v>Does the tool contain the ability to plot historical (benchmark) prices, project future pricing trends, market demands, and company demands?</v>
      </c>
    </row>
    <row r="111" spans="1:14" ht="45">
      <c r="A111" s="138">
        <v>111</v>
      </c>
      <c r="B111" s="142">
        <v>4</v>
      </c>
      <c r="C111" s="142">
        <v>11</v>
      </c>
      <c r="D111" s="142">
        <v>106</v>
      </c>
      <c r="E111" s="142" t="s">
        <v>1428</v>
      </c>
      <c r="F111" s="142">
        <f>INDEX(SuiteCatSub!$E$2:$E$55,MATCH(_xlfn.CONCAT(B111,"-",C111),SuiteCatSub!$F$2:$F$55,0))</f>
        <v>25</v>
      </c>
      <c r="G111" s="142">
        <v>247</v>
      </c>
      <c r="H111" s="142">
        <f>VLOOKUP(G111,SuiteCatSubElem_Version!$I$2:$J$667,2,0)</f>
        <v>106</v>
      </c>
      <c r="I111" s="146" t="s">
        <v>1423</v>
      </c>
      <c r="J111" s="144" t="str">
        <f>VLOOKUP(B111,Categories!$A$2:$C$8,3,0)</f>
        <v>Sourcing</v>
      </c>
      <c r="K111" s="147"/>
      <c r="L111" s="144" t="str">
        <f>VLOOKUP(C111,Subcategories!$A$2:$B$29,2,0)</f>
        <v>Opportunity</v>
      </c>
      <c r="M111" s="144" t="str">
        <f>VLOOKUP(D111,Elements!$B$2:$C$435,2,0)</f>
        <v>Category Sourcing Plans/Templates</v>
      </c>
      <c r="N111" s="144" t="str">
        <f>VLOOKUP(H111,ElementVariants!$A$2:$B$460,2,0)</f>
        <v>Does the tool contain built-in category sourcing plans based on templates built by experts (internal or external to your organization: please specify) and guide a user through the creation and execution of category-based sourcing events?</v>
      </c>
    </row>
    <row r="112" spans="1:14" ht="30">
      <c r="A112" s="138">
        <v>112</v>
      </c>
      <c r="B112" s="142">
        <v>4</v>
      </c>
      <c r="C112" s="142">
        <v>11</v>
      </c>
      <c r="D112" s="142">
        <v>107</v>
      </c>
      <c r="E112" s="142" t="s">
        <v>1429</v>
      </c>
      <c r="F112" s="142">
        <f>INDEX(SuiteCatSub!$E$2:$E$55,MATCH(_xlfn.CONCAT(B112,"-",C112),SuiteCatSub!$F$2:$F$55,0))</f>
        <v>25</v>
      </c>
      <c r="G112" s="142">
        <v>248</v>
      </c>
      <c r="H112" s="142">
        <f>VLOOKUP(G112,SuiteCatSubElem_Version!$I$2:$J$667,2,0)</f>
        <v>107</v>
      </c>
      <c r="I112" s="146" t="s">
        <v>1423</v>
      </c>
      <c r="J112" s="144" t="str">
        <f>VLOOKUP(B112,Categories!$A$2:$C$8,3,0)</f>
        <v>Sourcing</v>
      </c>
      <c r="K112" s="147"/>
      <c r="L112" s="144" t="str">
        <f>VLOOKUP(C112,Subcategories!$A$2:$B$29,2,0)</f>
        <v>Opportunity</v>
      </c>
      <c r="M112" s="144" t="str">
        <f>VLOOKUP(D112,Elements!$B$2:$C$435,2,0)</f>
        <v>Benchmarking</v>
      </c>
      <c r="N112" s="144" t="str">
        <f>VLOOKUP(H112,ElementVariants!$A$2:$B$460,2,0)</f>
        <v>Does the tool contain the ability for the organization to create and maintain their own benchmarks and (if market benchmarks are included) compare those to market/community benchmarks?</v>
      </c>
    </row>
    <row r="113" spans="1:14" ht="45">
      <c r="A113" s="138">
        <v>113</v>
      </c>
      <c r="B113" s="142">
        <v>4</v>
      </c>
      <c r="C113" s="142">
        <v>11</v>
      </c>
      <c r="D113" s="142">
        <v>108</v>
      </c>
      <c r="E113" s="142" t="s">
        <v>1430</v>
      </c>
      <c r="F113" s="142">
        <f>INDEX(SuiteCatSub!$E$2:$E$55,MATCH(_xlfn.CONCAT(B113,"-",C113),SuiteCatSub!$F$2:$F$55,0))</f>
        <v>25</v>
      </c>
      <c r="G113" s="142">
        <v>249</v>
      </c>
      <c r="H113" s="142">
        <f>VLOOKUP(G113,SuiteCatSubElem_Version!$I$2:$J$667,2,0)</f>
        <v>108</v>
      </c>
      <c r="I113" s="146" t="s">
        <v>1423</v>
      </c>
      <c r="J113" s="144" t="str">
        <f>VLOOKUP(B113,Categories!$A$2:$C$8,3,0)</f>
        <v>Sourcing</v>
      </c>
      <c r="K113" s="147"/>
      <c r="L113" s="144" t="str">
        <f>VLOOKUP(C113,Subcategories!$A$2:$B$29,2,0)</f>
        <v>Opportunity</v>
      </c>
      <c r="M113" s="144" t="str">
        <f>VLOOKUP(D113,Elements!$B$2:$C$435,2,0)</f>
        <v>Tracking / Scorecard Integration</v>
      </c>
      <c r="N113" s="144" t="str">
        <f>VLOOKUP(H113,ElementVariants!$A$2:$B$460,2,0)</f>
        <v>Does the tool contain the ability to create scorecards and track sourcing success against the category plan / opportunity analysis?</v>
      </c>
    </row>
    <row r="114" spans="1:14" ht="60">
      <c r="A114" s="138">
        <v>114</v>
      </c>
      <c r="B114" s="142">
        <v>4</v>
      </c>
      <c r="C114" s="142">
        <v>11</v>
      </c>
      <c r="D114" s="142">
        <v>109</v>
      </c>
      <c r="E114" s="142" t="s">
        <v>1431</v>
      </c>
      <c r="F114" s="142">
        <f>INDEX(SuiteCatSub!$E$2:$E$55,MATCH(_xlfn.CONCAT(B114,"-",C114),SuiteCatSub!$F$2:$F$55,0))</f>
        <v>25</v>
      </c>
      <c r="G114" s="142">
        <v>250</v>
      </c>
      <c r="H114" s="142">
        <f>VLOOKUP(G114,SuiteCatSubElem_Version!$I$2:$J$667,2,0)</f>
        <v>109</v>
      </c>
      <c r="I114" s="146" t="s">
        <v>1423</v>
      </c>
      <c r="J114" s="144" t="str">
        <f>VLOOKUP(B114,Categories!$A$2:$C$8,3,0)</f>
        <v>Sourcing</v>
      </c>
      <c r="K114" s="147"/>
      <c r="L114" s="144" t="str">
        <f>VLOOKUP(C114,Subcategories!$A$2:$B$29,2,0)</f>
        <v>Opportunity</v>
      </c>
      <c r="M114" s="144" t="str">
        <f>VLOOKUP(D114,Elements!$B$2:$C$435,2,0)</f>
        <v>Prescriptive Analytics</v>
      </c>
      <c r="N114" s="144" t="str">
        <f>VLOOKUP(H114,ElementVariants!$A$2:$B$460,2,0)</f>
        <v>Does the tool support prescriptive analytics that can analyze current market conditions, organizational demands, and projected trends and guide the user into the identification of an appropriate category for sourcing and/or the selection of the appropriate sourcing event type and template among multiple built-in options built by industry experts? Can it assist with demand management? Lean Process Improvements? To what extent? Please describe.</v>
      </c>
    </row>
    <row r="115" spans="1:14" ht="30">
      <c r="A115" s="138">
        <v>115</v>
      </c>
      <c r="B115" s="142">
        <v>4</v>
      </c>
      <c r="C115" s="142">
        <v>11</v>
      </c>
      <c r="D115" s="142">
        <v>110</v>
      </c>
      <c r="E115" s="142" t="s">
        <v>1432</v>
      </c>
      <c r="F115" s="142">
        <f>INDEX(SuiteCatSub!$E$2:$E$55,MATCH(_xlfn.CONCAT(B115,"-",C115),SuiteCatSub!$F$2:$F$55,0))</f>
        <v>25</v>
      </c>
      <c r="G115" s="142">
        <v>251</v>
      </c>
      <c r="H115" s="142">
        <f>VLOOKUP(G115,SuiteCatSubElem_Version!$I$2:$J$667,2,0)</f>
        <v>110</v>
      </c>
      <c r="I115" s="146" t="s">
        <v>1423</v>
      </c>
      <c r="J115" s="144" t="str">
        <f>VLOOKUP(B115,Categories!$A$2:$C$8,3,0)</f>
        <v>Sourcing</v>
      </c>
      <c r="K115" s="147"/>
      <c r="L115" s="144" t="str">
        <f>VLOOKUP(C115,Subcategories!$A$2:$B$29,2,0)</f>
        <v>Opportunity</v>
      </c>
      <c r="M115" s="144" t="str">
        <f>VLOOKUP(D115,Elements!$B$2:$C$435,2,0)</f>
        <v>Basic Should Cost Modelling</v>
      </c>
      <c r="N115" s="144" t="str">
        <f>VLOOKUP(H115,ElementVariants!$A$2:$B$460,2,0)</f>
        <v>Does the tool support the creation and maintenance of should cost models?</v>
      </c>
    </row>
    <row r="116" spans="1:14" ht="30">
      <c r="A116" s="138">
        <v>116</v>
      </c>
      <c r="B116" s="142">
        <v>4</v>
      </c>
      <c r="C116" s="142">
        <v>11</v>
      </c>
      <c r="D116" s="142">
        <v>111</v>
      </c>
      <c r="E116" s="142" t="s">
        <v>1433</v>
      </c>
      <c r="F116" s="142">
        <f>INDEX(SuiteCatSub!$E$2:$E$55,MATCH(_xlfn.CONCAT(B116,"-",C116),SuiteCatSub!$F$2:$F$55,0))</f>
        <v>25</v>
      </c>
      <c r="G116" s="142">
        <v>252</v>
      </c>
      <c r="H116" s="142">
        <f>VLOOKUP(G116,SuiteCatSubElem_Version!$I$2:$J$667,2,0)</f>
        <v>111</v>
      </c>
      <c r="I116" s="146" t="s">
        <v>1423</v>
      </c>
      <c r="J116" s="144" t="str">
        <f>VLOOKUP(B116,Categories!$A$2:$C$8,3,0)</f>
        <v>Sourcing</v>
      </c>
      <c r="K116" s="147"/>
      <c r="L116" s="144" t="str">
        <f>VLOOKUP(C116,Subcategories!$A$2:$B$29,2,0)</f>
        <v>Opportunity</v>
      </c>
      <c r="M116" s="144" t="str">
        <f>VLOOKUP(D116,Elements!$B$2:$C$435,2,0)</f>
        <v>Market Data Feeds</v>
      </c>
      <c r="N116" s="144" t="str">
        <f>VLOOKUP(H116,ElementVariants!$A$2:$B$460,2,0)</f>
        <v>Does the tool support the integration of market data to support should-cost model creation?</v>
      </c>
    </row>
    <row r="117" spans="1:14" ht="45">
      <c r="A117" s="138">
        <v>117</v>
      </c>
      <c r="B117" s="142">
        <v>4</v>
      </c>
      <c r="C117" s="142">
        <v>11</v>
      </c>
      <c r="D117" s="142">
        <v>112</v>
      </c>
      <c r="E117" s="142" t="s">
        <v>1434</v>
      </c>
      <c r="F117" s="142">
        <f>INDEX(SuiteCatSub!$E$2:$E$55,MATCH(_xlfn.CONCAT(B117,"-",C117),SuiteCatSub!$F$2:$F$55,0))</f>
        <v>25</v>
      </c>
      <c r="G117" s="142">
        <v>253</v>
      </c>
      <c r="H117" s="142">
        <f>VLOOKUP(G117,SuiteCatSubElem_Version!$I$2:$J$667,2,0)</f>
        <v>112</v>
      </c>
      <c r="I117" s="146" t="s">
        <v>1423</v>
      </c>
      <c r="J117" s="144" t="str">
        <f>VLOOKUP(B117,Categories!$A$2:$C$8,3,0)</f>
        <v>Sourcing</v>
      </c>
      <c r="K117" s="147"/>
      <c r="L117" s="144" t="str">
        <f>VLOOKUP(C117,Subcategories!$A$2:$B$29,2,0)</f>
        <v>Opportunity</v>
      </c>
      <c r="M117" s="144" t="str">
        <f>VLOOKUP(D117,Elements!$B$2:$C$435,2,0)</f>
        <v>Benchmarks</v>
      </c>
      <c r="N117" s="144" t="str">
        <f>VLOOKUP(H117,ElementVariants!$A$2:$B$460,2,0)</f>
        <v>Does the platform support the calculation and/or integration of benchmarks? Can these benchmarks be used to support the calculation of overhead / internal production costs not easily obtainable from market data? Can they be performance based as well as cost based? If so, describe the type (industry, category, performance, etc.) and the extent?</v>
      </c>
    </row>
    <row r="118" spans="1:14" ht="30">
      <c r="A118" s="138">
        <v>118</v>
      </c>
      <c r="B118" s="142">
        <v>4</v>
      </c>
      <c r="C118" s="142">
        <v>11</v>
      </c>
      <c r="D118" s="142">
        <v>113</v>
      </c>
      <c r="E118" s="142" t="s">
        <v>1435</v>
      </c>
      <c r="F118" s="142">
        <f>INDEX(SuiteCatSub!$E$2:$E$55,MATCH(_xlfn.CONCAT(B118,"-",C118),SuiteCatSub!$F$2:$F$55,0))</f>
        <v>25</v>
      </c>
      <c r="G118" s="142">
        <v>254</v>
      </c>
      <c r="H118" s="142">
        <f>VLOOKUP(G118,SuiteCatSubElem_Version!$I$2:$J$667,2,0)</f>
        <v>113</v>
      </c>
      <c r="I118" s="146" t="s">
        <v>1423</v>
      </c>
      <c r="J118" s="144" t="str">
        <f>VLOOKUP(B118,Categories!$A$2:$C$8,3,0)</f>
        <v>Sourcing</v>
      </c>
      <c r="K118" s="147"/>
      <c r="L118" s="144" t="str">
        <f>VLOOKUP(C118,Subcategories!$A$2:$B$29,2,0)</f>
        <v>Opportunity</v>
      </c>
      <c r="M118" s="144" t="str">
        <f>VLOOKUP(D118,Elements!$B$2:$C$435,2,0)</f>
        <v>Bill of Material Support</v>
      </c>
      <c r="N118" s="144" t="str">
        <f>VLOOKUP(H118,ElementVariants!$A$2:$B$460,2,0)</f>
        <v>Does the tool support the creation of detailed bills of material and can the bill of materials be imported from ERP/MRP solutions?</v>
      </c>
    </row>
    <row r="119" spans="1:14" ht="30">
      <c r="A119" s="138">
        <v>119</v>
      </c>
      <c r="B119" s="142">
        <v>4</v>
      </c>
      <c r="C119" s="142">
        <v>11</v>
      </c>
      <c r="D119" s="142">
        <v>114</v>
      </c>
      <c r="E119" s="142" t="s">
        <v>1436</v>
      </c>
      <c r="F119" s="142">
        <f>INDEX(SuiteCatSub!$E$2:$E$55,MATCH(_xlfn.CONCAT(B119,"-",C119),SuiteCatSub!$F$2:$F$55,0))</f>
        <v>25</v>
      </c>
      <c r="G119" s="142">
        <v>255</v>
      </c>
      <c r="H119" s="142">
        <f>VLOOKUP(G119,SuiteCatSubElem_Version!$I$2:$J$667,2,0)</f>
        <v>114</v>
      </c>
      <c r="I119" s="146" t="s">
        <v>1423</v>
      </c>
      <c r="J119" s="144" t="str">
        <f>VLOOKUP(B119,Categories!$A$2:$C$8,3,0)</f>
        <v>Sourcing</v>
      </c>
      <c r="K119" s="147"/>
      <c r="L119" s="144" t="str">
        <f>VLOOKUP(C119,Subcategories!$A$2:$B$29,2,0)</f>
        <v>Opportunity</v>
      </c>
      <c r="M119" s="144" t="str">
        <f>VLOOKUP(D119,Elements!$B$2:$C$435,2,0)</f>
        <v>Formula Support</v>
      </c>
      <c r="N119" s="144" t="str">
        <f>VLOOKUP(H119,ElementVariants!$A$2:$B$460,2,0)</f>
        <v>Does the tool support the creation of complex formulas (with mathematical functions and not just basic arithmetic operators) in the creation of should-cost models?</v>
      </c>
    </row>
    <row r="120" spans="1:14" ht="30">
      <c r="A120" s="138">
        <v>120</v>
      </c>
      <c r="B120" s="142">
        <v>4</v>
      </c>
      <c r="C120" s="142">
        <v>11</v>
      </c>
      <c r="D120" s="142">
        <v>115</v>
      </c>
      <c r="E120" s="142" t="s">
        <v>1437</v>
      </c>
      <c r="F120" s="142">
        <f>INDEX(SuiteCatSub!$E$2:$E$55,MATCH(_xlfn.CONCAT(B120,"-",C120),SuiteCatSub!$F$2:$F$55,0))</f>
        <v>25</v>
      </c>
      <c r="G120" s="142">
        <v>256</v>
      </c>
      <c r="H120" s="142">
        <f>VLOOKUP(G120,SuiteCatSubElem_Version!$I$2:$J$667,2,0)</f>
        <v>115</v>
      </c>
      <c r="I120" s="146" t="s">
        <v>1423</v>
      </c>
      <c r="J120" s="144" t="str">
        <f>VLOOKUP(B120,Categories!$A$2:$C$8,3,0)</f>
        <v>Sourcing</v>
      </c>
      <c r="K120" s="147"/>
      <c r="L120" s="144" t="str">
        <f>VLOOKUP(C120,Subcategories!$A$2:$B$29,2,0)</f>
        <v>Opportunity</v>
      </c>
      <c r="M120" s="144" t="str">
        <f>VLOOKUP(D120,Elements!$B$2:$C$435,2,0)</f>
        <v>Templates</v>
      </c>
      <c r="N120" s="144" t="str">
        <f>VLOOKUP(H120,ElementVariants!$A$2:$B$460,2,0)</f>
        <v>Does the tool come with a set of templates for the products and services require by the organization, grouped into the categories supported by the organization?</v>
      </c>
    </row>
    <row r="121" spans="1:14" ht="45">
      <c r="A121" s="138">
        <v>121</v>
      </c>
      <c r="B121" s="142">
        <v>4</v>
      </c>
      <c r="C121" s="142">
        <v>12</v>
      </c>
      <c r="D121" s="142">
        <v>116</v>
      </c>
      <c r="E121" s="142" t="s">
        <v>1438</v>
      </c>
      <c r="F121" s="142">
        <f>INDEX(SuiteCatSub!$E$2:$E$55,MATCH(_xlfn.CONCAT(B121,"-",C121),SuiteCatSub!$F$2:$F$55,0))</f>
        <v>26</v>
      </c>
      <c r="G121" s="142">
        <v>257</v>
      </c>
      <c r="H121" s="142">
        <f>VLOOKUP(G121,SuiteCatSubElem_Version!$I$2:$J$667,2,0)</f>
        <v>116</v>
      </c>
      <c r="I121" s="146" t="s">
        <v>1423</v>
      </c>
      <c r="J121" s="144" t="str">
        <f>VLOOKUP(B121,Categories!$A$2:$C$8,3,0)</f>
        <v>Sourcing</v>
      </c>
      <c r="K121" s="147"/>
      <c r="L121" s="144" t="str">
        <f>VLOOKUP(C121,Subcategories!$A$2:$B$29,2,0)</f>
        <v>Project Management</v>
      </c>
      <c r="M121" s="144" t="str">
        <f>VLOOKUP(D121,Elements!$B$2:$C$435,2,0)</f>
        <v>Sourcing Strategy Definition</v>
      </c>
      <c r="N121" s="144" t="str">
        <f>VLOOKUP(H121,ElementVariants!$A$2:$B$460,2,0)</f>
        <v>Does the tool support the creation of sourcing strategies based on the sourcing project / category needs that can be documented, archived, and accessed at any time?</v>
      </c>
    </row>
    <row r="122" spans="1:14" ht="45">
      <c r="A122" s="138">
        <v>122</v>
      </c>
      <c r="B122" s="142">
        <v>4</v>
      </c>
      <c r="C122" s="142">
        <v>12</v>
      </c>
      <c r="D122" s="142">
        <v>117</v>
      </c>
      <c r="E122" s="142" t="s">
        <v>1439</v>
      </c>
      <c r="F122" s="142">
        <f>INDEX(SuiteCatSub!$E$2:$E$55,MATCH(_xlfn.CONCAT(B122,"-",C122),SuiteCatSub!$F$2:$F$55,0))</f>
        <v>26</v>
      </c>
      <c r="G122" s="142">
        <v>258</v>
      </c>
      <c r="H122" s="142">
        <f>VLOOKUP(G122,SuiteCatSubElem_Version!$I$2:$J$667,2,0)</f>
        <v>117</v>
      </c>
      <c r="I122" s="146" t="s">
        <v>1423</v>
      </c>
      <c r="J122" s="144" t="str">
        <f>VLOOKUP(B122,Categories!$A$2:$C$8,3,0)</f>
        <v>Sourcing</v>
      </c>
      <c r="K122" s="147"/>
      <c r="L122" s="144" t="str">
        <f>VLOOKUP(C122,Subcategories!$A$2:$B$29,2,0)</f>
        <v>Project Management</v>
      </c>
      <c r="M122" s="144" t="str">
        <f>VLOOKUP(D122,Elements!$B$2:$C$435,2,0)</f>
        <v>Task, Timeline, and Milestone Definition</v>
      </c>
      <c r="N122" s="144" t="str">
        <f>VLOOKUP(H122,ElementVariants!$A$2:$B$460,2,0)</f>
        <v>Does the tool support the definition of detailed tasks, milestones, and timelines that can be used to define the project, walk the team through each step, and allow the senior buyer to track progress at each step of the way?</v>
      </c>
    </row>
    <row r="123" spans="1:14" ht="45">
      <c r="A123" s="138">
        <v>123</v>
      </c>
      <c r="B123" s="142">
        <v>4</v>
      </c>
      <c r="C123" s="142">
        <v>12</v>
      </c>
      <c r="D123" s="142">
        <v>118</v>
      </c>
      <c r="E123" s="142" t="s">
        <v>1440</v>
      </c>
      <c r="F123" s="142">
        <f>INDEX(SuiteCatSub!$E$2:$E$55,MATCH(_xlfn.CONCAT(B123,"-",C123),SuiteCatSub!$F$2:$F$55,0))</f>
        <v>26</v>
      </c>
      <c r="G123" s="142">
        <v>259</v>
      </c>
      <c r="H123" s="142">
        <f>VLOOKUP(G123,SuiteCatSubElem_Version!$I$2:$J$667,2,0)</f>
        <v>118</v>
      </c>
      <c r="I123" s="146" t="s">
        <v>1423</v>
      </c>
      <c r="J123" s="144" t="str">
        <f>VLOOKUP(B123,Categories!$A$2:$C$8,3,0)</f>
        <v>Sourcing</v>
      </c>
      <c r="K123" s="147"/>
      <c r="L123" s="144" t="str">
        <f>VLOOKUP(C123,Subcategories!$A$2:$B$29,2,0)</f>
        <v>Project Management</v>
      </c>
      <c r="M123" s="144" t="str">
        <f>VLOOKUP(D123,Elements!$B$2:$C$435,2,0)</f>
        <v>Role-Based Team Definition</v>
      </c>
      <c r="N123" s="144" t="str">
        <f>VLOOKUP(H123,ElementVariants!$A$2:$B$460,2,0)</f>
        <v>Does the tool support role-based team-definition that not only defines a project team but the roles and associated responsibilities and access rights that they will have throughout the sourcing project?</v>
      </c>
    </row>
    <row r="124" spans="1:14" ht="45">
      <c r="A124" s="138">
        <v>124</v>
      </c>
      <c r="B124" s="142">
        <v>4</v>
      </c>
      <c r="C124" s="142">
        <v>12</v>
      </c>
      <c r="D124" s="142">
        <v>119</v>
      </c>
      <c r="E124" s="142" t="s">
        <v>1441</v>
      </c>
      <c r="F124" s="142">
        <f>INDEX(SuiteCatSub!$E$2:$E$55,MATCH(_xlfn.CONCAT(B124,"-",C124),SuiteCatSub!$F$2:$F$55,0))</f>
        <v>26</v>
      </c>
      <c r="G124" s="142">
        <v>260</v>
      </c>
      <c r="H124" s="142">
        <f>VLOOKUP(G124,SuiteCatSubElem_Version!$I$2:$J$667,2,0)</f>
        <v>119</v>
      </c>
      <c r="I124" s="146" t="s">
        <v>1423</v>
      </c>
      <c r="J124" s="144" t="str">
        <f>VLOOKUP(B124,Categories!$A$2:$C$8,3,0)</f>
        <v>Sourcing</v>
      </c>
      <c r="K124" s="147"/>
      <c r="L124" s="144" t="str">
        <f>VLOOKUP(C124,Subcategories!$A$2:$B$29,2,0)</f>
        <v>Project Management</v>
      </c>
      <c r="M124" s="144" t="str">
        <f>VLOOKUP(D124,Elements!$B$2:$C$435,2,0)</f>
        <v>Workflow Integration</v>
      </c>
      <c r="N124" s="144" t="str">
        <f>VLOOKUP(H124,ElementVariants!$A$2:$B$460,2,0)</f>
        <v>Does the project management functionality support, and integrate with, a configurable, variable, workflow that integrates with each module and function on the sourcing plan?</v>
      </c>
    </row>
    <row r="125" spans="1:14" ht="45">
      <c r="A125" s="138">
        <v>125</v>
      </c>
      <c r="B125" s="142">
        <v>4</v>
      </c>
      <c r="C125" s="142">
        <v>12</v>
      </c>
      <c r="D125" s="142">
        <v>120</v>
      </c>
      <c r="E125" s="142" t="s">
        <v>1442</v>
      </c>
      <c r="F125" s="142">
        <f>INDEX(SuiteCatSub!$E$2:$E$55,MATCH(_xlfn.CONCAT(B125,"-",C125),SuiteCatSub!$F$2:$F$55,0))</f>
        <v>26</v>
      </c>
      <c r="G125" s="142">
        <v>261</v>
      </c>
      <c r="H125" s="142">
        <f>VLOOKUP(G125,SuiteCatSubElem_Version!$I$2:$J$667,2,0)</f>
        <v>120</v>
      </c>
      <c r="I125" s="146" t="s">
        <v>1423</v>
      </c>
      <c r="J125" s="144" t="str">
        <f>VLOOKUP(B125,Categories!$A$2:$C$8,3,0)</f>
        <v>Sourcing</v>
      </c>
      <c r="K125" s="147"/>
      <c r="L125" s="144" t="str">
        <f>VLOOKUP(C125,Subcategories!$A$2:$B$29,2,0)</f>
        <v>Project Management</v>
      </c>
      <c r="M125" s="144" t="str">
        <f>VLOOKUP(D125,Elements!$B$2:$C$435,2,0)</f>
        <v>Approvals and Sign-Offs</v>
      </c>
      <c r="N125" s="144" t="str">
        <f>VLOOKUP(H125,ElementVariants!$A$2:$B$460,2,0)</f>
        <v>Does the project management tool support the definition of necessary go/no go breakpoints that require one or more staggered sign offs to continue?</v>
      </c>
    </row>
    <row r="126" spans="1:14" ht="45">
      <c r="A126" s="138">
        <v>126</v>
      </c>
      <c r="B126" s="142">
        <v>4</v>
      </c>
      <c r="C126" s="142">
        <v>12</v>
      </c>
      <c r="D126" s="142">
        <v>121</v>
      </c>
      <c r="E126" s="142" t="s">
        <v>1443</v>
      </c>
      <c r="F126" s="142">
        <f>INDEX(SuiteCatSub!$E$2:$E$55,MATCH(_xlfn.CONCAT(B126,"-",C126),SuiteCatSub!$F$2:$F$55,0))</f>
        <v>26</v>
      </c>
      <c r="G126" s="142">
        <v>262</v>
      </c>
      <c r="H126" s="142">
        <f>VLOOKUP(G126,SuiteCatSubElem_Version!$I$2:$J$667,2,0)</f>
        <v>121</v>
      </c>
      <c r="I126" s="146" t="s">
        <v>1423</v>
      </c>
      <c r="J126" s="144" t="str">
        <f>VLOOKUP(B126,Categories!$A$2:$C$8,3,0)</f>
        <v>Sourcing</v>
      </c>
      <c r="K126" s="147"/>
      <c r="L126" s="144" t="str">
        <f>VLOOKUP(C126,Subcategories!$A$2:$B$29,2,0)</f>
        <v>Project Management</v>
      </c>
      <c r="M126" s="144" t="str">
        <f>VLOOKUP(D126,Elements!$B$2:$C$435,2,0)</f>
        <v>Budget and Demand Definition</v>
      </c>
      <c r="N126" s="144" t="str">
        <f>VLOOKUP(H126,ElementVariants!$A$2:$B$460,2,0)</f>
        <v>Does the tool support the definition of budgets and point-in-time demand definition over the course of the project award window?</v>
      </c>
    </row>
    <row r="127" spans="1:14" ht="45">
      <c r="A127" s="138">
        <v>127</v>
      </c>
      <c r="B127" s="142">
        <v>4</v>
      </c>
      <c r="C127" s="142">
        <v>12</v>
      </c>
      <c r="D127" s="142">
        <v>122</v>
      </c>
      <c r="E127" s="142" t="s">
        <v>1444</v>
      </c>
      <c r="F127" s="142">
        <f>INDEX(SuiteCatSub!$E$2:$E$55,MATCH(_xlfn.CONCAT(B127,"-",C127),SuiteCatSub!$F$2:$F$55,0))</f>
        <v>26</v>
      </c>
      <c r="G127" s="142">
        <v>263</v>
      </c>
      <c r="H127" s="142">
        <f>VLOOKUP(G127,SuiteCatSubElem_Version!$I$2:$J$667,2,0)</f>
        <v>122</v>
      </c>
      <c r="I127" s="146" t="s">
        <v>1423</v>
      </c>
      <c r="J127" s="144" t="str">
        <f>VLOOKUP(B127,Categories!$A$2:$C$8,3,0)</f>
        <v>Sourcing</v>
      </c>
      <c r="K127" s="147"/>
      <c r="L127" s="144" t="str">
        <f>VLOOKUP(C127,Subcategories!$A$2:$B$29,2,0)</f>
        <v>Project Management</v>
      </c>
      <c r="M127" s="144" t="str">
        <f>VLOOKUP(D127,Elements!$B$2:$C$435,2,0)</f>
        <v>Execution Support</v>
      </c>
      <c r="N127" s="144" t="str">
        <f>VLOOKUP(H127,ElementVariants!$A$2:$B$460,2,0)</f>
        <v>Does the tool support the execution of the project through collaboration, document tracking, negotiation, or other non-critical, but beneficial capabilities?</v>
      </c>
    </row>
    <row r="128" spans="1:14" ht="45">
      <c r="A128" s="138">
        <v>128</v>
      </c>
      <c r="B128" s="142">
        <v>4</v>
      </c>
      <c r="C128" s="142">
        <v>13</v>
      </c>
      <c r="D128" s="142">
        <v>123</v>
      </c>
      <c r="E128" s="142" t="s">
        <v>1445</v>
      </c>
      <c r="F128" s="142">
        <f>INDEX(SuiteCatSub!$E$2:$E$55,MATCH(_xlfn.CONCAT(B128,"-",C128),SuiteCatSub!$F$2:$F$55,0))</f>
        <v>27</v>
      </c>
      <c r="G128" s="142">
        <v>264</v>
      </c>
      <c r="H128" s="142">
        <f>VLOOKUP(G128,SuiteCatSubElem_Version!$I$2:$J$667,2,0)</f>
        <v>123</v>
      </c>
      <c r="I128" s="146" t="s">
        <v>1423</v>
      </c>
      <c r="J128" s="144" t="str">
        <f>VLOOKUP(B128,Categories!$A$2:$C$8,3,0)</f>
        <v>Sourcing</v>
      </c>
      <c r="K128" s="147"/>
      <c r="L128" s="144" t="str">
        <f>VLOOKUP(C128,Subcategories!$A$2:$B$29,2,0)</f>
        <v>Supplier Portal</v>
      </c>
      <c r="M128" s="144" t="str">
        <f>VLOOKUP(D128,Elements!$B$2:$C$435,2,0)</f>
        <v>Single Sign-On</v>
      </c>
      <c r="N128" s="144" t="str">
        <f>VLOOKUP(H128,ElementVariants!$A$2:$B$460,2,0)</f>
        <v>Does the platform support single-sign on for the supplier -- and by this we mean that regardless of how many customers use the supplier, it has one, single, integrated portal to manage all of its customer relationships with one single sign-on for all related activities in the platform</v>
      </c>
    </row>
    <row r="129" spans="1:14" ht="60">
      <c r="A129" s="138">
        <v>129</v>
      </c>
      <c r="B129" s="142">
        <v>4</v>
      </c>
      <c r="C129" s="142">
        <v>13</v>
      </c>
      <c r="D129" s="142">
        <v>124</v>
      </c>
      <c r="E129" s="142" t="s">
        <v>1446</v>
      </c>
      <c r="F129" s="142">
        <f>INDEX(SuiteCatSub!$E$2:$E$55,MATCH(_xlfn.CONCAT(B129,"-",C129),SuiteCatSub!$F$2:$F$55,0))</f>
        <v>27</v>
      </c>
      <c r="G129" s="142">
        <v>265</v>
      </c>
      <c r="H129" s="142">
        <f>VLOOKUP(G129,SuiteCatSubElem_Version!$I$2:$J$667,2,0)</f>
        <v>124</v>
      </c>
      <c r="I129" s="146" t="s">
        <v>1423</v>
      </c>
      <c r="J129" s="144" t="str">
        <f>VLOOKUP(B129,Categories!$A$2:$C$8,3,0)</f>
        <v>Sourcing</v>
      </c>
      <c r="K129" s="147"/>
      <c r="L129" s="144" t="str">
        <f>VLOOKUP(C129,Subcategories!$A$2:$B$29,2,0)</f>
        <v>Supplier Portal</v>
      </c>
      <c r="M129" s="144" t="str">
        <f>VLOOKUP(D129,Elements!$B$2:$C$435,2,0)</f>
        <v>Distributed Supplier RFX Response Management</v>
      </c>
      <c r="N129" s="144" t="str">
        <f>VLOOKUP(H129,ElementVariants!$A$2:$B$460,2,0)</f>
        <v>Does the portal integrate with the RFX application and allow distributed or multiple responses that are completely controlled by the supplier, who can add team members with restricted access at will?</v>
      </c>
    </row>
    <row r="130" spans="1:14" ht="45">
      <c r="A130" s="138">
        <v>130</v>
      </c>
      <c r="B130" s="142">
        <v>4</v>
      </c>
      <c r="C130" s="142">
        <v>13</v>
      </c>
      <c r="D130" s="142">
        <v>125</v>
      </c>
      <c r="E130" s="142" t="s">
        <v>1447</v>
      </c>
      <c r="F130" s="142">
        <f>INDEX(SuiteCatSub!$E$2:$E$55,MATCH(_xlfn.CONCAT(B130,"-",C130),SuiteCatSub!$F$2:$F$55,0))</f>
        <v>27</v>
      </c>
      <c r="G130" s="142">
        <v>266</v>
      </c>
      <c r="H130" s="142">
        <f>VLOOKUP(G130,SuiteCatSubElem_Version!$I$2:$J$667,2,0)</f>
        <v>125</v>
      </c>
      <c r="I130" s="146" t="s">
        <v>1423</v>
      </c>
      <c r="J130" s="144" t="str">
        <f>VLOOKUP(B130,Categories!$A$2:$C$8,3,0)</f>
        <v>Sourcing</v>
      </c>
      <c r="K130" s="147"/>
      <c r="L130" s="144" t="str">
        <f>VLOOKUP(C130,Subcategories!$A$2:$B$29,2,0)</f>
        <v>Supplier Portal</v>
      </c>
      <c r="M130" s="144" t="str">
        <f>VLOOKUP(D130,Elements!$B$2:$C$435,2,0)</f>
        <v>Distributed Supplier Auction Management</v>
      </c>
      <c r="N130" s="144" t="str">
        <f>VLOOKUP(H130,ElementVariants!$A$2:$B$460,2,0)</f>
        <v>Does the portal integrate with the auction application and allow for distributed or multiple responses that are completely controlled by the supplier who can add team members and proxies with restricted access down to the item level?</v>
      </c>
    </row>
    <row r="131" spans="1:14" ht="30">
      <c r="A131" s="138">
        <v>131</v>
      </c>
      <c r="B131" s="142">
        <v>4</v>
      </c>
      <c r="C131" s="142">
        <v>13</v>
      </c>
      <c r="D131" s="142">
        <v>126</v>
      </c>
      <c r="E131" s="142" t="s">
        <v>1448</v>
      </c>
      <c r="F131" s="142">
        <f>INDEX(SuiteCatSub!$E$2:$E$55,MATCH(_xlfn.CONCAT(B131,"-",C131),SuiteCatSub!$F$2:$F$55,0))</f>
        <v>27</v>
      </c>
      <c r="G131" s="142">
        <v>267</v>
      </c>
      <c r="H131" s="142">
        <f>VLOOKUP(G131,SuiteCatSubElem_Version!$I$2:$J$667,2,0)</f>
        <v>126</v>
      </c>
      <c r="I131" s="146" t="s">
        <v>1423</v>
      </c>
      <c r="J131" s="144" t="str">
        <f>VLOOKUP(B131,Categories!$A$2:$C$8,3,0)</f>
        <v>Sourcing</v>
      </c>
      <c r="K131" s="147"/>
      <c r="L131" s="144" t="str">
        <f>VLOOKUP(C131,Subcategories!$A$2:$B$29,2,0)</f>
        <v>Supplier Portal</v>
      </c>
      <c r="M131" s="144" t="str">
        <f>VLOOKUP(D131,Elements!$B$2:$C$435,2,0)</f>
        <v>Result/Award Notification</v>
      </c>
      <c r="N131" s="144" t="str">
        <f>VLOOKUP(H131,ElementVariants!$A$2:$B$460,2,0)</f>
        <v>Does the portal allow for the secured and controlled distribution of (optimized) RFX or Auction results with authorized supplier personnel only, allowing for verification of receipt, and secure responses.</v>
      </c>
    </row>
    <row r="132" spans="1:14" ht="45">
      <c r="A132" s="138">
        <v>132</v>
      </c>
      <c r="B132" s="142">
        <v>4</v>
      </c>
      <c r="C132" s="142">
        <v>13</v>
      </c>
      <c r="D132" s="142">
        <v>127</v>
      </c>
      <c r="E132" s="142" t="s">
        <v>1449</v>
      </c>
      <c r="F132" s="142">
        <f>INDEX(SuiteCatSub!$E$2:$E$55,MATCH(_xlfn.CONCAT(B132,"-",C132),SuiteCatSub!$F$2:$F$55,0))</f>
        <v>27</v>
      </c>
      <c r="G132" s="142">
        <v>268</v>
      </c>
      <c r="H132" s="142">
        <f>VLOOKUP(G132,SuiteCatSubElem_Version!$I$2:$J$667,2,0)</f>
        <v>127</v>
      </c>
      <c r="I132" s="146" t="s">
        <v>1423</v>
      </c>
      <c r="J132" s="144" t="str">
        <f>VLOOKUP(B132,Categories!$A$2:$C$8,3,0)</f>
        <v>Sourcing</v>
      </c>
      <c r="K132" s="147"/>
      <c r="L132" s="144" t="str">
        <f>VLOOKUP(C132,Subcategories!$A$2:$B$29,2,0)</f>
        <v>Supplier Portal</v>
      </c>
      <c r="M132" s="144" t="str">
        <f>VLOOKUP(D132,Elements!$B$2:$C$435,2,0)</f>
        <v>Contract Negotiation Management</v>
      </c>
      <c r="N132" s="144" t="str">
        <f>VLOOKUP(H132,ElementVariants!$A$2:$B$460,2,0)</f>
        <v>Does the portal allow for secure, tracked, and versioned e-negotiation with contract offer and counter offer version control and tracking?</v>
      </c>
    </row>
    <row r="133" spans="1:14" ht="45">
      <c r="A133" s="138">
        <v>133</v>
      </c>
      <c r="B133" s="142">
        <v>4</v>
      </c>
      <c r="C133" s="142">
        <v>13</v>
      </c>
      <c r="D133" s="142">
        <v>56</v>
      </c>
      <c r="E133" s="142" t="s">
        <v>1450</v>
      </c>
      <c r="F133" s="142">
        <f>INDEX(SuiteCatSub!$E$2:$E$55,MATCH(_xlfn.CONCAT(B133,"-",C133),SuiteCatSub!$F$2:$F$55,0))</f>
        <v>27</v>
      </c>
      <c r="G133" s="142">
        <v>269</v>
      </c>
      <c r="H133" s="142">
        <f>VLOOKUP(G133,SuiteCatSubElem_Version!$I$2:$J$667,2,0)</f>
        <v>440</v>
      </c>
      <c r="I133" s="146" t="s">
        <v>1423</v>
      </c>
      <c r="J133" s="144" t="str">
        <f>VLOOKUP(B133,Categories!$A$2:$C$8,3,0)</f>
        <v>Sourcing</v>
      </c>
      <c r="K133" s="147"/>
      <c r="L133" s="144" t="str">
        <f>VLOOKUP(C133,Subcategories!$A$2:$B$29,2,0)</f>
        <v>Supplier Portal</v>
      </c>
      <c r="M133" s="144" t="str">
        <f>VLOOKUP(D133,Elements!$B$2:$C$435,2,0)</f>
        <v>Supplier Information Management</v>
      </c>
      <c r="N133" s="144" t="str">
        <f>VLOOKUP(H133,ElementVariants!$A$2:$B$460,2,0)</f>
        <v>Does the portal allow for the collection of all tracked supplier information, controlled updates where new information and documents must be first verified, and communications tracked and archived?</v>
      </c>
    </row>
    <row r="134" spans="1:14" ht="30">
      <c r="A134" s="138">
        <v>134</v>
      </c>
      <c r="B134" s="142">
        <v>4</v>
      </c>
      <c r="C134" s="142">
        <v>13</v>
      </c>
      <c r="D134" s="142">
        <v>128</v>
      </c>
      <c r="E134" s="142" t="s">
        <v>1451</v>
      </c>
      <c r="F134" s="142">
        <f>INDEX(SuiteCatSub!$E$2:$E$55,MATCH(_xlfn.CONCAT(B134,"-",C134),SuiteCatSub!$F$2:$F$55,0))</f>
        <v>27</v>
      </c>
      <c r="G134" s="142">
        <v>270</v>
      </c>
      <c r="H134" s="142">
        <f>VLOOKUP(G134,SuiteCatSubElem_Version!$I$2:$J$667,2,0)</f>
        <v>128</v>
      </c>
      <c r="I134" s="146" t="s">
        <v>1423</v>
      </c>
      <c r="J134" s="144" t="str">
        <f>VLOOKUP(B134,Categories!$A$2:$C$8,3,0)</f>
        <v>Sourcing</v>
      </c>
      <c r="K134" s="147"/>
      <c r="L134" s="144" t="str">
        <f>VLOOKUP(C134,Subcategories!$A$2:$B$29,2,0)</f>
        <v>Supplier Portal</v>
      </c>
      <c r="M134" s="144" t="str">
        <f>VLOOKUP(D134,Elements!$B$2:$C$435,2,0)</f>
        <v>Scorecards</v>
      </c>
      <c r="N134" s="144" t="str">
        <f>VLOOKUP(H134,ElementVariants!$A$2:$B$460,2,0)</f>
        <v>Does the platform allow for the creation and distribution of 360-degree supplier scorecards?</v>
      </c>
    </row>
    <row r="135" spans="1:14" ht="45">
      <c r="A135" s="138">
        <v>135</v>
      </c>
      <c r="B135" s="142">
        <v>4</v>
      </c>
      <c r="C135" s="142">
        <v>13</v>
      </c>
      <c r="D135" s="142">
        <v>129</v>
      </c>
      <c r="E135" s="142" t="s">
        <v>1452</v>
      </c>
      <c r="F135" s="142">
        <f>INDEX(SuiteCatSub!$E$2:$E$55,MATCH(_xlfn.CONCAT(B135,"-",C135),SuiteCatSub!$F$2:$F$55,0))</f>
        <v>27</v>
      </c>
      <c r="G135" s="142">
        <v>271</v>
      </c>
      <c r="H135" s="142">
        <f>VLOOKUP(G135,SuiteCatSubElem_Version!$I$2:$J$667,2,0)</f>
        <v>129</v>
      </c>
      <c r="I135" s="146" t="s">
        <v>1423</v>
      </c>
      <c r="J135" s="144" t="str">
        <f>VLOOKUP(B135,Categories!$A$2:$C$8,3,0)</f>
        <v>Sourcing</v>
      </c>
      <c r="K135" s="147"/>
      <c r="L135" s="144" t="str">
        <f>VLOOKUP(C135,Subcategories!$A$2:$B$29,2,0)</f>
        <v>Supplier Portal</v>
      </c>
      <c r="M135" s="144" t="str">
        <f>VLOOKUP(D135,Elements!$B$2:$C$435,2,0)</f>
        <v>Corrective Action Management</v>
      </c>
      <c r="N135" s="144" t="str">
        <f>VLOOKUP(H135,ElementVariants!$A$2:$B$460,2,0)</f>
        <v>Does the platform allow buyers to notify suppliers of issues, create and manage corrective action plans in a collaborative fashion?</v>
      </c>
    </row>
    <row r="136" spans="1:14" ht="30">
      <c r="A136" s="138">
        <v>136</v>
      </c>
      <c r="B136" s="142">
        <v>4</v>
      </c>
      <c r="C136" s="142">
        <v>13</v>
      </c>
      <c r="D136" s="142">
        <v>55</v>
      </c>
      <c r="E136" s="142" t="s">
        <v>1453</v>
      </c>
      <c r="F136" s="142">
        <f>INDEX(SuiteCatSub!$E$2:$E$55,MATCH(_xlfn.CONCAT(B136,"-",C136),SuiteCatSub!$F$2:$F$55,0))</f>
        <v>27</v>
      </c>
      <c r="G136" s="142">
        <v>272</v>
      </c>
      <c r="H136" s="142">
        <f>VLOOKUP(G136,SuiteCatSubElem_Version!$I$2:$J$667,2,0)</f>
        <v>439</v>
      </c>
      <c r="I136" s="146" t="s">
        <v>1423</v>
      </c>
      <c r="J136" s="144" t="str">
        <f>VLOOKUP(B136,Categories!$A$2:$C$8,3,0)</f>
        <v>Sourcing</v>
      </c>
      <c r="K136" s="147"/>
      <c r="L136" s="144" t="str">
        <f>VLOOKUP(C136,Subcategories!$A$2:$B$29,2,0)</f>
        <v>Supplier Portal</v>
      </c>
      <c r="M136" s="144" t="str">
        <f>VLOOKUP(D136,Elements!$B$2:$C$435,2,0)</f>
        <v>Supplier Onboarding</v>
      </c>
      <c r="N136" s="144" t="str">
        <f>VLOOKUP(H136,ElementVariants!$A$2:$B$460,2,0)</f>
        <v>Does the platform facilitate the onboarding of new suppliers? Are multi-channel onboarding events supported across categories, industries, and geographies? Is there any supplier network support?</v>
      </c>
    </row>
    <row r="137" spans="1:14" ht="60">
      <c r="A137" s="138">
        <v>137</v>
      </c>
      <c r="B137" s="142">
        <v>4</v>
      </c>
      <c r="C137" s="142">
        <v>13</v>
      </c>
      <c r="D137" s="142">
        <v>130</v>
      </c>
      <c r="E137" s="142" t="s">
        <v>1454</v>
      </c>
      <c r="F137" s="142">
        <f>INDEX(SuiteCatSub!$E$2:$E$55,MATCH(_xlfn.CONCAT(B137,"-",C137),SuiteCatSub!$F$2:$F$55,0))</f>
        <v>27</v>
      </c>
      <c r="G137" s="142">
        <v>273</v>
      </c>
      <c r="H137" s="142">
        <f>VLOOKUP(G137,SuiteCatSubElem_Version!$I$2:$J$667,2,0)</f>
        <v>130</v>
      </c>
      <c r="I137" s="146" t="s">
        <v>1423</v>
      </c>
      <c r="J137" s="144" t="str">
        <f>VLOOKUP(B137,Categories!$A$2:$C$8,3,0)</f>
        <v>Sourcing</v>
      </c>
      <c r="K137" s="147"/>
      <c r="L137" s="144" t="str">
        <f>VLOOKUP(C137,Subcategories!$A$2:$B$29,2,0)</f>
        <v>Supplier Portal</v>
      </c>
      <c r="M137" s="144" t="str">
        <f>VLOOKUP(D137,Elements!$B$2:$C$435,2,0)</f>
        <v>Invitation Management</v>
      </c>
      <c r="N137" s="144" t="str">
        <f>VLOOKUP(H137,ElementVariants!$A$2:$B$460,2,0)</f>
        <v>To what degree is invitation management, possibly as part of supplier onboarding campaigns, in particular supported? Can campaigns be set-up for easy supplier response? Can invitations be sent out over multiple channels? Can they be automatically resent as reminders? Can buyers be notified when a supplier has seen or responded? Can the buyer controll the onboarding of the suppliers at every distinct, logical, step?</v>
      </c>
    </row>
    <row r="138" spans="1:14" ht="45">
      <c r="A138" s="138">
        <v>138</v>
      </c>
      <c r="B138" s="142">
        <v>4</v>
      </c>
      <c r="C138" s="142">
        <v>13</v>
      </c>
      <c r="D138" s="142">
        <v>131</v>
      </c>
      <c r="E138" s="142" t="s">
        <v>1455</v>
      </c>
      <c r="F138" s="142">
        <f>INDEX(SuiteCatSub!$E$2:$E$55,MATCH(_xlfn.CONCAT(B138,"-",C138),SuiteCatSub!$F$2:$F$55,0))</f>
        <v>27</v>
      </c>
      <c r="G138" s="142">
        <v>274</v>
      </c>
      <c r="H138" s="142">
        <f>VLOOKUP(G138,SuiteCatSubElem_Version!$I$2:$J$667,2,0)</f>
        <v>131</v>
      </c>
      <c r="I138" s="146" t="s">
        <v>1423</v>
      </c>
      <c r="J138" s="144" t="str">
        <f>VLOOKUP(B138,Categories!$A$2:$C$8,3,0)</f>
        <v>Sourcing</v>
      </c>
      <c r="K138" s="147"/>
      <c r="L138" s="144" t="str">
        <f>VLOOKUP(C138,Subcategories!$A$2:$B$29,2,0)</f>
        <v>Supplier Portal</v>
      </c>
      <c r="M138" s="144" t="str">
        <f>VLOOKUP(D138,Elements!$B$2:$C$435,2,0)</f>
        <v>Self-Registration</v>
      </c>
      <c r="N138" s="144" t="str">
        <f>VLOOKUP(H138,ElementVariants!$A$2:$B$460,2,0)</f>
        <v>Does the platform support, and how extensible is, the supplier self-registration process? Does it support conditional workflows that lead the supplier down the appropriate paths to capture the relevant information, documentation, certifications, and customer/industry references?</v>
      </c>
    </row>
    <row r="139" spans="1:14" ht="30">
      <c r="A139" s="138">
        <v>139</v>
      </c>
      <c r="B139" s="142">
        <v>4</v>
      </c>
      <c r="C139" s="142">
        <v>14</v>
      </c>
      <c r="D139" s="142">
        <v>132</v>
      </c>
      <c r="E139" s="142" t="s">
        <v>1456</v>
      </c>
      <c r="F139" s="142">
        <f>INDEX(SuiteCatSub!$E$2:$E$55,MATCH(_xlfn.CONCAT(B139,"-",C139),SuiteCatSub!$F$2:$F$55,0))</f>
        <v>28</v>
      </c>
      <c r="G139" s="142">
        <v>275</v>
      </c>
      <c r="H139" s="142">
        <f>VLOOKUP(G139,SuiteCatSubElem_Version!$I$2:$J$667,2,0)</f>
        <v>132</v>
      </c>
      <c r="I139" s="146" t="s">
        <v>1423</v>
      </c>
      <c r="J139" s="144" t="str">
        <f>VLOOKUP(B139,Categories!$A$2:$C$8,3,0)</f>
        <v>Sourcing</v>
      </c>
      <c r="K139" s="147"/>
      <c r="L139" s="144" t="str">
        <f>VLOOKUP(C139,Subcategories!$A$2:$B$29,2,0)</f>
        <v>Spend Analysis</v>
      </c>
      <c r="M139" s="144" t="str">
        <f>VLOOKUP(D139,Elements!$B$2:$C$435,2,0)</f>
        <v>ETL Support</v>
      </c>
      <c r="N139" s="144" t="str">
        <f>VLOOKUP(H139,ElementVariants!$A$2:$B$460,2,0)</f>
        <v>To what extent does the platform support extract, transform and load from other systems?</v>
      </c>
    </row>
    <row r="140" spans="1:14" ht="30">
      <c r="A140" s="138">
        <v>140</v>
      </c>
      <c r="B140" s="142">
        <v>4</v>
      </c>
      <c r="C140" s="142">
        <v>14</v>
      </c>
      <c r="D140" s="142">
        <v>133</v>
      </c>
      <c r="E140" s="142" t="s">
        <v>1457</v>
      </c>
      <c r="F140" s="142">
        <f>INDEX(SuiteCatSub!$E$2:$E$55,MATCH(_xlfn.CONCAT(B140,"-",C140),SuiteCatSub!$F$2:$F$55,0))</f>
        <v>28</v>
      </c>
      <c r="G140" s="142">
        <v>276</v>
      </c>
      <c r="H140" s="142">
        <f>VLOOKUP(G140,SuiteCatSubElem_Version!$I$2:$J$667,2,0)</f>
        <v>133</v>
      </c>
      <c r="I140" s="146" t="s">
        <v>1423</v>
      </c>
      <c r="J140" s="144" t="str">
        <f>VLOOKUP(B140,Categories!$A$2:$C$8,3,0)</f>
        <v>Sourcing</v>
      </c>
      <c r="K140" s="147"/>
      <c r="L140" s="144" t="str">
        <f>VLOOKUP(C140,Subcategories!$A$2:$B$29,2,0)</f>
        <v>Spend Analysis</v>
      </c>
      <c r="M140" s="144" t="str">
        <f>VLOOKUP(D140,Elements!$B$2:$C$435,2,0)</f>
        <v>ERP Integration</v>
      </c>
      <c r="N140" s="144" t="str">
        <f>VLOOKUP(H140,ElementVariants!$A$2:$B$460,2,0)</f>
        <v>Does the tool support ERP integration out-of-the-box (with ERP systems such as Oracle, SAP, JDE, etc.) for populating lots and bill of materials?</v>
      </c>
    </row>
    <row r="141" spans="1:14" ht="30">
      <c r="A141" s="138">
        <v>141</v>
      </c>
      <c r="B141" s="142">
        <v>4</v>
      </c>
      <c r="C141" s="142">
        <v>14</v>
      </c>
      <c r="D141" s="142">
        <v>134</v>
      </c>
      <c r="E141" s="142" t="s">
        <v>1458</v>
      </c>
      <c r="F141" s="142">
        <f>INDEX(SuiteCatSub!$E$2:$E$55,MATCH(_xlfn.CONCAT(B141,"-",C141),SuiteCatSub!$F$2:$F$55,0))</f>
        <v>28</v>
      </c>
      <c r="G141" s="142">
        <v>277</v>
      </c>
      <c r="H141" s="142">
        <f>VLOOKUP(G141,SuiteCatSubElem_Version!$I$2:$J$667,2,0)</f>
        <v>134</v>
      </c>
      <c r="I141" s="146" t="s">
        <v>1423</v>
      </c>
      <c r="J141" s="144" t="str">
        <f>VLOOKUP(B141,Categories!$A$2:$C$8,3,0)</f>
        <v>Sourcing</v>
      </c>
      <c r="K141" s="147"/>
      <c r="L141" s="144" t="str">
        <f>VLOOKUP(C141,Subcategories!$A$2:$B$29,2,0)</f>
        <v>Spend Analysis</v>
      </c>
      <c r="M141" s="144" t="str">
        <f>VLOOKUP(D141,Elements!$B$2:$C$435,2,0)</f>
        <v>P2P/S2P Integration</v>
      </c>
      <c r="N141" s="144" t="str">
        <f>VLOOKUP(H141,ElementVariants!$A$2:$B$460,2,0)</f>
        <v>To what extent does the platform support out-of-the-box integration with other P2P/S2P systems that the organization may already have in place for transactional procurement?</v>
      </c>
    </row>
    <row r="142" spans="1:14" ht="30">
      <c r="A142" s="138">
        <v>142</v>
      </c>
      <c r="B142" s="142">
        <v>4</v>
      </c>
      <c r="C142" s="142">
        <v>14</v>
      </c>
      <c r="D142" s="142">
        <v>135</v>
      </c>
      <c r="E142" s="142" t="s">
        <v>1459</v>
      </c>
      <c r="F142" s="142">
        <f>INDEX(SuiteCatSub!$E$2:$E$55,MATCH(_xlfn.CONCAT(B142,"-",C142),SuiteCatSub!$F$2:$F$55,0))</f>
        <v>28</v>
      </c>
      <c r="G142" s="142">
        <v>278</v>
      </c>
      <c r="H142" s="142">
        <f>VLOOKUP(G142,SuiteCatSubElem_Version!$I$2:$J$667,2,0)</f>
        <v>135</v>
      </c>
      <c r="I142" s="146" t="s">
        <v>1423</v>
      </c>
      <c r="J142" s="144" t="str">
        <f>VLOOKUP(B142,Categories!$A$2:$C$8,3,0)</f>
        <v>Sourcing</v>
      </c>
      <c r="K142" s="147"/>
      <c r="L142" s="144" t="str">
        <f>VLOOKUP(C142,Subcategories!$A$2:$B$29,2,0)</f>
        <v>Spend Analysis</v>
      </c>
      <c r="M142" s="144" t="str">
        <f>VLOOKUP(D142,Elements!$B$2:$C$435,2,0)</f>
        <v>3rd Party Feeds</v>
      </c>
      <c r="N142" s="144" t="str">
        <f>VLOOKUP(H142,ElementVariants!$A$2:$B$460,2,0)</f>
        <v>To what extent does the platform support integration with 3rd party data feeds that are relevant for data enrichment and analysis?</v>
      </c>
    </row>
    <row r="143" spans="1:14" ht="30">
      <c r="A143" s="138">
        <v>143</v>
      </c>
      <c r="B143" s="142">
        <v>4</v>
      </c>
      <c r="C143" s="142">
        <v>14</v>
      </c>
      <c r="D143" s="142">
        <v>136</v>
      </c>
      <c r="E143" s="142" t="s">
        <v>1460</v>
      </c>
      <c r="F143" s="142">
        <f>INDEX(SuiteCatSub!$E$2:$E$55,MATCH(_xlfn.CONCAT(B143,"-",C143),SuiteCatSub!$F$2:$F$55,0))</f>
        <v>28</v>
      </c>
      <c r="G143" s="142">
        <v>279</v>
      </c>
      <c r="H143" s="142">
        <f>VLOOKUP(G143,SuiteCatSubElem_Version!$I$2:$J$667,2,0)</f>
        <v>136</v>
      </c>
      <c r="I143" s="146" t="s">
        <v>1423</v>
      </c>
      <c r="J143" s="144" t="str">
        <f>VLOOKUP(B143,Categories!$A$2:$C$8,3,0)</f>
        <v>Sourcing</v>
      </c>
      <c r="K143" s="147"/>
      <c r="L143" s="144" t="str">
        <f>VLOOKUP(C143,Subcategories!$A$2:$B$29,2,0)</f>
        <v>Spend Analysis</v>
      </c>
      <c r="M143" s="144" t="str">
        <f>VLOOKUP(D143,Elements!$B$2:$C$435,2,0)</f>
        <v>Cleansing</v>
      </c>
      <c r="N143" s="144" t="str">
        <f>VLOOKUP(H143,ElementVariants!$A$2:$B$460,2,0)</f>
        <v>To what extent does the platform support the cleansing of data required for analytics?</v>
      </c>
    </row>
    <row r="144" spans="1:14" ht="45">
      <c r="A144" s="138">
        <v>144</v>
      </c>
      <c r="B144" s="142">
        <v>4</v>
      </c>
      <c r="C144" s="142">
        <v>14</v>
      </c>
      <c r="D144" s="142">
        <v>137</v>
      </c>
      <c r="E144" s="142" t="s">
        <v>1461</v>
      </c>
      <c r="F144" s="142">
        <f>INDEX(SuiteCatSub!$E$2:$E$55,MATCH(_xlfn.CONCAT(B144,"-",C144),SuiteCatSub!$F$2:$F$55,0))</f>
        <v>28</v>
      </c>
      <c r="G144" s="142">
        <v>280</v>
      </c>
      <c r="H144" s="142">
        <f>VLOOKUP(G144,SuiteCatSubElem_Version!$I$2:$J$667,2,0)</f>
        <v>137</v>
      </c>
      <c r="I144" s="146" t="s">
        <v>1423</v>
      </c>
      <c r="J144" s="144" t="str">
        <f>VLOOKUP(B144,Categories!$A$2:$C$8,3,0)</f>
        <v>Sourcing</v>
      </c>
      <c r="K144" s="147"/>
      <c r="L144" s="144" t="str">
        <f>VLOOKUP(C144,Subcategories!$A$2:$B$29,2,0)</f>
        <v>Spend Analysis</v>
      </c>
      <c r="M144" s="144" t="str">
        <f>VLOOKUP(D144,Elements!$B$2:$C$435,2,0)</f>
        <v>Automatic data correction based on known fields</v>
      </c>
      <c r="N144" s="144" t="str">
        <f>VLOOKUP(H144,ElementVariants!$A$2:$B$460,2,0)</f>
        <v>Does the platform support the automatic correction of data pulled from a system with correct data pulled from a master system?</v>
      </c>
    </row>
    <row r="145" spans="1:14" ht="75">
      <c r="A145" s="138">
        <v>145</v>
      </c>
      <c r="B145" s="142">
        <v>4</v>
      </c>
      <c r="C145" s="142">
        <v>14</v>
      </c>
      <c r="D145" s="142">
        <v>138</v>
      </c>
      <c r="E145" s="142" t="s">
        <v>1462</v>
      </c>
      <c r="F145" s="142">
        <f>INDEX(SuiteCatSub!$E$2:$E$55,MATCH(_xlfn.CONCAT(B145,"-",C145),SuiteCatSub!$F$2:$F$55,0))</f>
        <v>28</v>
      </c>
      <c r="G145" s="142">
        <v>281</v>
      </c>
      <c r="H145" s="142">
        <f>VLOOKUP(G145,SuiteCatSubElem_Version!$I$2:$J$667,2,0)</f>
        <v>138</v>
      </c>
      <c r="I145" s="146" t="s">
        <v>1423</v>
      </c>
      <c r="J145" s="144" t="str">
        <f>VLOOKUP(B145,Categories!$A$2:$C$8,3,0)</f>
        <v>Sourcing</v>
      </c>
      <c r="K145" s="147"/>
      <c r="L145" s="144" t="str">
        <f>VLOOKUP(C145,Subcategories!$A$2:$B$29,2,0)</f>
        <v>Spend Analysis</v>
      </c>
      <c r="M145" s="144" t="str">
        <f>VLOOKUP(D145,Elements!$B$2:$C$435,2,0)</f>
        <v>Simple rules for automatic correction based on common errors</v>
      </c>
      <c r="N145" s="144" t="str">
        <f>VLOOKUP(H145,ElementVariants!$A$2:$B$460,2,0)</f>
        <v>Does the platform support the creation of rules for automatic correction of data based on common errors that can easily be encoded in rules by end users?</v>
      </c>
    </row>
    <row r="146" spans="1:14" ht="60">
      <c r="A146" s="138">
        <v>146</v>
      </c>
      <c r="B146" s="142">
        <v>4</v>
      </c>
      <c r="C146" s="142">
        <v>14</v>
      </c>
      <c r="D146" s="142">
        <v>139</v>
      </c>
      <c r="E146" s="142" t="s">
        <v>1463</v>
      </c>
      <c r="F146" s="142">
        <f>INDEX(SuiteCatSub!$E$2:$E$55,MATCH(_xlfn.CONCAT(B146,"-",C146),SuiteCatSub!$F$2:$F$55,0))</f>
        <v>28</v>
      </c>
      <c r="G146" s="142">
        <v>282</v>
      </c>
      <c r="H146" s="142">
        <f>VLOOKUP(G146,SuiteCatSubElem_Version!$I$2:$J$667,2,0)</f>
        <v>139</v>
      </c>
      <c r="I146" s="146" t="s">
        <v>1423</v>
      </c>
      <c r="J146" s="144" t="str">
        <f>VLOOKUP(B146,Categories!$A$2:$C$8,3,0)</f>
        <v>Sourcing</v>
      </c>
      <c r="K146" s="147"/>
      <c r="L146" s="144" t="str">
        <f>VLOOKUP(C146,Subcategories!$A$2:$B$29,2,0)</f>
        <v>Spend Analysis</v>
      </c>
      <c r="M146" s="144" t="str">
        <f>VLOOKUP(D146,Elements!$B$2:$C$435,2,0)</f>
        <v>Advanced rules for correction based on industry data</v>
      </c>
      <c r="N146" s="144" t="str">
        <f>VLOOKUP(H146,ElementVariants!$A$2:$B$460,2,0)</f>
        <v>Does the platform support the creation of rules for error correction based on industry data?</v>
      </c>
    </row>
    <row r="147" spans="1:14" ht="30">
      <c r="A147" s="138">
        <v>147</v>
      </c>
      <c r="B147" s="142">
        <v>4</v>
      </c>
      <c r="C147" s="142">
        <v>14</v>
      </c>
      <c r="D147" s="142">
        <v>140</v>
      </c>
      <c r="E147" s="142" t="s">
        <v>1464</v>
      </c>
      <c r="F147" s="142">
        <f>INDEX(SuiteCatSub!$E$2:$E$55,MATCH(_xlfn.CONCAT(B147,"-",C147),SuiteCatSub!$F$2:$F$55,0))</f>
        <v>28</v>
      </c>
      <c r="G147" s="142">
        <v>283</v>
      </c>
      <c r="H147" s="142">
        <f>VLOOKUP(G147,SuiteCatSubElem_Version!$I$2:$J$667,2,0)</f>
        <v>140</v>
      </c>
      <c r="I147" s="146" t="s">
        <v>1423</v>
      </c>
      <c r="J147" s="144" t="str">
        <f>VLOOKUP(B147,Categories!$A$2:$C$8,3,0)</f>
        <v>Sourcing</v>
      </c>
      <c r="K147" s="147"/>
      <c r="L147" s="144" t="str">
        <f>VLOOKUP(C147,Subcategories!$A$2:$B$29,2,0)</f>
        <v>Spend Analysis</v>
      </c>
      <c r="M147" s="144" t="str">
        <f>VLOOKUP(D147,Elements!$B$2:$C$435,2,0)</f>
        <v>Categorization</v>
      </c>
      <c r="N147" s="144" t="str">
        <f>VLOOKUP(H147,ElementVariants!$A$2:$B$460,2,0)</f>
        <v>To what extent does the platform support categorization?</v>
      </c>
    </row>
    <row r="148" spans="1:14" ht="45">
      <c r="A148" s="138">
        <v>148</v>
      </c>
      <c r="B148" s="142">
        <v>4</v>
      </c>
      <c r="C148" s="142">
        <v>14</v>
      </c>
      <c r="D148" s="142">
        <v>141</v>
      </c>
      <c r="E148" s="142" t="s">
        <v>1465</v>
      </c>
      <c r="F148" s="142">
        <f>INDEX(SuiteCatSub!$E$2:$E$55,MATCH(_xlfn.CONCAT(B148,"-",C148),SuiteCatSub!$F$2:$F$55,0))</f>
        <v>28</v>
      </c>
      <c r="G148" s="142">
        <v>284</v>
      </c>
      <c r="H148" s="142">
        <f>VLOOKUP(G148,SuiteCatSubElem_Version!$I$2:$J$667,2,0)</f>
        <v>141</v>
      </c>
      <c r="I148" s="146" t="s">
        <v>1423</v>
      </c>
      <c r="J148" s="144" t="str">
        <f>VLOOKUP(B148,Categories!$A$2:$C$8,3,0)</f>
        <v>Sourcing</v>
      </c>
      <c r="K148" s="147"/>
      <c r="L148" s="144" t="str">
        <f>VLOOKUP(C148,Subcategories!$A$2:$B$29,2,0)</f>
        <v>Spend Analysis</v>
      </c>
      <c r="M148" s="144" t="str">
        <f>VLOOKUP(D148,Elements!$B$2:$C$435,2,0)</f>
        <v>Built in Schemas (UNSPSC, Best in Class, etc.)</v>
      </c>
      <c r="N148" s="144" t="str">
        <f>VLOOKUP(H148,ElementVariants!$A$2:$B$460,2,0)</f>
        <v>Does the platform support (automatic) categorization against one or more built in schemas such as UNSPSC, Best-in-Class schemas created by consultants, or other industry classifications?</v>
      </c>
    </row>
    <row r="149" spans="1:14" ht="30">
      <c r="A149" s="138">
        <v>149</v>
      </c>
      <c r="B149" s="142">
        <v>4</v>
      </c>
      <c r="C149" s="142">
        <v>14</v>
      </c>
      <c r="D149" s="142">
        <v>142</v>
      </c>
      <c r="E149" s="142" t="s">
        <v>1466</v>
      </c>
      <c r="F149" s="142">
        <f>INDEX(SuiteCatSub!$E$2:$E$55,MATCH(_xlfn.CONCAT(B149,"-",C149),SuiteCatSub!$F$2:$F$55,0))</f>
        <v>28</v>
      </c>
      <c r="G149" s="142">
        <v>285</v>
      </c>
      <c r="H149" s="142">
        <f>VLOOKUP(G149,SuiteCatSubElem_Version!$I$2:$J$667,2,0)</f>
        <v>142</v>
      </c>
      <c r="I149" s="146" t="s">
        <v>1423</v>
      </c>
      <c r="J149" s="144" t="str">
        <f>VLOOKUP(B149,Categories!$A$2:$C$8,3,0)</f>
        <v>Sourcing</v>
      </c>
      <c r="K149" s="147"/>
      <c r="L149" s="144" t="str">
        <f>VLOOKUP(C149,Subcategories!$A$2:$B$29,2,0)</f>
        <v>Spend Analysis</v>
      </c>
      <c r="M149" s="144" t="str">
        <f>VLOOKUP(D149,Elements!$B$2:$C$435,2,0)</f>
        <v>AI</v>
      </c>
      <c r="N149" s="144" t="str">
        <f>VLOOKUP(H149,ElementVariants!$A$2:$B$460,2,0)</f>
        <v>Does the platform support categorization using one or more AI technologies?</v>
      </c>
    </row>
    <row r="150" spans="1:14" ht="45">
      <c r="A150" s="138">
        <v>150</v>
      </c>
      <c r="B150" s="142">
        <v>4</v>
      </c>
      <c r="C150" s="142">
        <v>14</v>
      </c>
      <c r="D150" s="142">
        <v>143</v>
      </c>
      <c r="E150" s="142" t="s">
        <v>1467</v>
      </c>
      <c r="F150" s="142">
        <f>INDEX(SuiteCatSub!$E$2:$E$55,MATCH(_xlfn.CONCAT(B150,"-",C150),SuiteCatSub!$F$2:$F$55,0))</f>
        <v>28</v>
      </c>
      <c r="G150" s="142">
        <v>286</v>
      </c>
      <c r="H150" s="142">
        <f>VLOOKUP(G150,SuiteCatSubElem_Version!$I$2:$J$667,2,0)</f>
        <v>143</v>
      </c>
      <c r="I150" s="146" t="s">
        <v>1423</v>
      </c>
      <c r="J150" s="144" t="str">
        <f>VLOOKUP(B150,Categories!$A$2:$C$8,3,0)</f>
        <v>Sourcing</v>
      </c>
      <c r="K150" s="147"/>
      <c r="L150" s="144" t="str">
        <f>VLOOKUP(C150,Subcategories!$A$2:$B$29,2,0)</f>
        <v>Spend Analysis</v>
      </c>
      <c r="M150" s="144" t="str">
        <f>VLOOKUP(D150,Elements!$B$2:$C$435,2,0)</f>
        <v>Out-of-the-Box Reports and Analytics</v>
      </c>
      <c r="N150" s="144" t="str">
        <f>VLOOKUP(H150,ElementVariants!$A$2:$B$460,2,0)</f>
        <v>To what extent is out-of-the-box reporting supported?</v>
      </c>
    </row>
    <row r="151" spans="1:14" ht="30">
      <c r="A151" s="138">
        <v>151</v>
      </c>
      <c r="B151" s="142">
        <v>4</v>
      </c>
      <c r="C151" s="142">
        <v>14</v>
      </c>
      <c r="D151" s="142">
        <v>144</v>
      </c>
      <c r="E151" s="142" t="s">
        <v>1468</v>
      </c>
      <c r="F151" s="142">
        <f>INDEX(SuiteCatSub!$E$2:$E$55,MATCH(_xlfn.CONCAT(B151,"-",C151),SuiteCatSub!$F$2:$F$55,0))</f>
        <v>28</v>
      </c>
      <c r="G151" s="142">
        <v>287</v>
      </c>
      <c r="H151" s="142">
        <f>VLOOKUP(G151,SuiteCatSubElem_Version!$I$2:$J$667,2,0)</f>
        <v>144</v>
      </c>
      <c r="I151" s="146" t="s">
        <v>1423</v>
      </c>
      <c r="J151" s="144" t="str">
        <f>VLOOKUP(B151,Categories!$A$2:$C$8,3,0)</f>
        <v>Sourcing</v>
      </c>
      <c r="K151" s="147"/>
      <c r="L151" s="144" t="str">
        <f>VLOOKUP(C151,Subcategories!$A$2:$B$29,2,0)</f>
        <v>Spend Analysis</v>
      </c>
      <c r="M151" s="144" t="str">
        <f>VLOOKUP(D151,Elements!$B$2:$C$435,2,0)</f>
        <v>Standard Spend Reports</v>
      </c>
      <c r="N151" s="144" t="str">
        <f>VLOOKUP(H151,ElementVariants!$A$2:$B$460,2,0)</f>
        <v>To what extent does the platform support standard spend reports? How many are included and to what extent is end-to-end coverage supported?</v>
      </c>
    </row>
    <row r="152" spans="1:14" ht="30">
      <c r="A152" s="138">
        <v>152</v>
      </c>
      <c r="B152" s="142">
        <v>4</v>
      </c>
      <c r="C152" s="142">
        <v>14</v>
      </c>
      <c r="D152" s="142">
        <v>145</v>
      </c>
      <c r="E152" s="142" t="s">
        <v>1469</v>
      </c>
      <c r="F152" s="142">
        <f>INDEX(SuiteCatSub!$E$2:$E$55,MATCH(_xlfn.CONCAT(B152,"-",C152),SuiteCatSub!$F$2:$F$55,0))</f>
        <v>28</v>
      </c>
      <c r="G152" s="142">
        <v>288</v>
      </c>
      <c r="H152" s="142">
        <f>VLOOKUP(G152,SuiteCatSubElem_Version!$I$2:$J$667,2,0)</f>
        <v>145</v>
      </c>
      <c r="I152" s="146" t="s">
        <v>1423</v>
      </c>
      <c r="J152" s="144" t="str">
        <f>VLOOKUP(B152,Categories!$A$2:$C$8,3,0)</f>
        <v>Sourcing</v>
      </c>
      <c r="K152" s="147"/>
      <c r="L152" s="144" t="str">
        <f>VLOOKUP(C152,Subcategories!$A$2:$B$29,2,0)</f>
        <v>Spend Analysis</v>
      </c>
      <c r="M152" s="144" t="str">
        <f>VLOOKUP(D152,Elements!$B$2:$C$435,2,0)</f>
        <v>Customization Capability</v>
      </c>
      <c r="N152" s="144" t="str">
        <f>VLOOKUP(H152,ElementVariants!$A$2:$B$460,2,0)</f>
        <v>To what extent does the built-in reporting and analytics support end-user customization?</v>
      </c>
    </row>
    <row r="153" spans="1:14" ht="45">
      <c r="A153" s="138">
        <v>153</v>
      </c>
      <c r="B153" s="142">
        <v>4</v>
      </c>
      <c r="C153" s="142">
        <v>14</v>
      </c>
      <c r="D153" s="142">
        <v>146</v>
      </c>
      <c r="E153" s="142" t="s">
        <v>1470</v>
      </c>
      <c r="F153" s="142">
        <f>INDEX(SuiteCatSub!$E$2:$E$55,MATCH(_xlfn.CONCAT(B153,"-",C153),SuiteCatSub!$F$2:$F$55,0))</f>
        <v>28</v>
      </c>
      <c r="G153" s="142">
        <v>289</v>
      </c>
      <c r="H153" s="142">
        <f>VLOOKUP(G153,SuiteCatSubElem_Version!$I$2:$J$667,2,0)</f>
        <v>146</v>
      </c>
      <c r="I153" s="146" t="s">
        <v>1423</v>
      </c>
      <c r="J153" s="144" t="str">
        <f>VLOOKUP(B153,Categories!$A$2:$C$8,3,0)</f>
        <v>Sourcing</v>
      </c>
      <c r="K153" s="147"/>
      <c r="L153" s="144" t="str">
        <f>VLOOKUP(C153,Subcategories!$A$2:$B$29,2,0)</f>
        <v>Spend Analysis</v>
      </c>
      <c r="M153" s="144" t="str">
        <f>VLOOKUP(D153,Elements!$B$2:$C$435,2,0)</f>
        <v>Report Builder</v>
      </c>
      <c r="N153" s="144" t="str">
        <f>VLOOKUP(H153,ElementVariants!$A$2:$B$460,2,0)</f>
        <v>Does the tool come with a built-in report builder that allows end-users to create the reports they want on the data they want, regardless of the source of such data? Can it work on all data elements? How extensible is it? Please describe, and focus on any competitive differentiators.</v>
      </c>
    </row>
    <row r="154" spans="1:14" ht="30">
      <c r="A154" s="138">
        <v>154</v>
      </c>
      <c r="B154" s="142">
        <v>4</v>
      </c>
      <c r="C154" s="142">
        <v>15</v>
      </c>
      <c r="D154" s="142">
        <v>147</v>
      </c>
      <c r="E154" s="142" t="s">
        <v>1471</v>
      </c>
      <c r="F154" s="142">
        <f>INDEX(SuiteCatSub!$E$2:$E$55,MATCH(_xlfn.CONCAT(B154,"-",C154),SuiteCatSub!$F$2:$F$55,0))</f>
        <v>29</v>
      </c>
      <c r="G154" s="142">
        <v>290</v>
      </c>
      <c r="H154" s="142">
        <f>VLOOKUP(G154,SuiteCatSubElem_Version!$I$2:$J$667,2,0)</f>
        <v>147</v>
      </c>
      <c r="I154" s="146" t="s">
        <v>1423</v>
      </c>
      <c r="J154" s="144" t="str">
        <f>VLOOKUP(B154,Categories!$A$2:$C$8,3,0)</f>
        <v>Sourcing</v>
      </c>
      <c r="K154" s="147"/>
      <c r="L154" s="144" t="str">
        <f>VLOOKUP(C154,Subcategories!$A$2:$B$29,2,0)</f>
        <v>RFX Auction</v>
      </c>
      <c r="M154" s="144" t="str">
        <f>VLOOKUP(D154,Elements!$B$2:$C$435,2,0)</f>
        <v>Creation Methodology</v>
      </c>
      <c r="N154" s="144" t="str">
        <f>VLOOKUP(H154,ElementVariants!$A$2:$B$460,2,0)</f>
        <v>How flexible is the RFP creation methodology and can it be customized to the needs of the buyer?</v>
      </c>
    </row>
    <row r="155" spans="1:14" ht="30">
      <c r="A155" s="138">
        <v>155</v>
      </c>
      <c r="B155" s="142">
        <v>4</v>
      </c>
      <c r="C155" s="142">
        <v>15</v>
      </c>
      <c r="D155" s="142">
        <v>148</v>
      </c>
      <c r="E155" s="142" t="s">
        <v>1472</v>
      </c>
      <c r="F155" s="142">
        <f>INDEX(SuiteCatSub!$E$2:$E$55,MATCH(_xlfn.CONCAT(B155,"-",C155),SuiteCatSub!$F$2:$F$55,0))</f>
        <v>29</v>
      </c>
      <c r="G155" s="142">
        <v>291</v>
      </c>
      <c r="H155" s="142">
        <f>VLOOKUP(G155,SuiteCatSubElem_Version!$I$2:$J$667,2,0)</f>
        <v>148</v>
      </c>
      <c r="I155" s="146" t="s">
        <v>1423</v>
      </c>
      <c r="J155" s="144" t="str">
        <f>VLOOKUP(B155,Categories!$A$2:$C$8,3,0)</f>
        <v>Sourcing</v>
      </c>
      <c r="K155" s="147"/>
      <c r="L155" s="144" t="str">
        <f>VLOOKUP(C155,Subcategories!$A$2:$B$29,2,0)</f>
        <v>RFX Auction</v>
      </c>
      <c r="M155" s="144" t="str">
        <f>VLOOKUP(D155,Elements!$B$2:$C$435,2,0)</f>
        <v>Components</v>
      </c>
      <c r="N155" s="144" t="str">
        <f>VLOOKUP(H155,ElementVariants!$A$2:$B$460,2,0)</f>
        <v>Does the RFX / Survey tool support all of the standard components including, but not limited to, free form entry, configurable drop-down lists, multi-selects, and other components?</v>
      </c>
    </row>
    <row r="156" spans="1:14">
      <c r="A156" s="138">
        <v>156</v>
      </c>
      <c r="B156" s="142">
        <v>4</v>
      </c>
      <c r="C156" s="142">
        <v>15</v>
      </c>
      <c r="D156" s="142">
        <v>115</v>
      </c>
      <c r="E156" s="142" t="s">
        <v>1473</v>
      </c>
      <c r="F156" s="142">
        <f>INDEX(SuiteCatSub!$E$2:$E$55,MATCH(_xlfn.CONCAT(B156,"-",C156),SuiteCatSub!$F$2:$F$55,0))</f>
        <v>29</v>
      </c>
      <c r="G156" s="142">
        <v>292</v>
      </c>
      <c r="H156" s="142">
        <f>VLOOKUP(G156,SuiteCatSubElem_Version!$I$2:$J$667,2,0)</f>
        <v>453</v>
      </c>
      <c r="I156" s="146" t="s">
        <v>1423</v>
      </c>
      <c r="J156" s="144" t="str">
        <f>VLOOKUP(B156,Categories!$A$2:$C$8,3,0)</f>
        <v>Sourcing</v>
      </c>
      <c r="K156" s="147"/>
      <c r="L156" s="144" t="str">
        <f>VLOOKUP(C156,Subcategories!$A$2:$B$29,2,0)</f>
        <v>RFX Auction</v>
      </c>
      <c r="M156" s="144" t="str">
        <f>VLOOKUP(D156,Elements!$B$2:$C$435,2,0)</f>
        <v>Templates</v>
      </c>
      <c r="N156" s="144" t="str">
        <f>VLOOKUP(H156,ElementVariants!$A$2:$B$460,2,0)</f>
        <v>Does the tool support the creation of RFX/Surveys from configurable and customizable templates?</v>
      </c>
    </row>
    <row r="157" spans="1:14">
      <c r="A157" s="138">
        <v>157</v>
      </c>
      <c r="B157" s="142">
        <v>4</v>
      </c>
      <c r="C157" s="142">
        <v>15</v>
      </c>
      <c r="D157" s="142">
        <v>149</v>
      </c>
      <c r="E157" s="142" t="s">
        <v>1474</v>
      </c>
      <c r="F157" s="142">
        <f>INDEX(SuiteCatSub!$E$2:$E$55,MATCH(_xlfn.CONCAT(B157,"-",C157),SuiteCatSub!$F$2:$F$55,0))</f>
        <v>29</v>
      </c>
      <c r="G157" s="142">
        <v>293</v>
      </c>
      <c r="H157" s="142">
        <f>VLOOKUP(G157,SuiteCatSubElem_Version!$I$2:$J$667,2,0)</f>
        <v>149</v>
      </c>
      <c r="I157" s="146" t="s">
        <v>1423</v>
      </c>
      <c r="J157" s="144" t="str">
        <f>VLOOKUP(B157,Categories!$A$2:$C$8,3,0)</f>
        <v>Sourcing</v>
      </c>
      <c r="K157" s="147"/>
      <c r="L157" s="144" t="str">
        <f>VLOOKUP(C157,Subcategories!$A$2:$B$29,2,0)</f>
        <v>RFX Auction</v>
      </c>
      <c r="M157" s="144" t="str">
        <f>VLOOKUP(D157,Elements!$B$2:$C$435,2,0)</f>
        <v>Template Library</v>
      </c>
      <c r="N157" s="144" t="str">
        <f>VLOOKUP(H157,ElementVariants!$A$2:$B$460,2,0)</f>
        <v>To what extent does the solution support a template library?</v>
      </c>
    </row>
    <row r="158" spans="1:14">
      <c r="A158" s="138">
        <v>158</v>
      </c>
      <c r="B158" s="142">
        <v>4</v>
      </c>
      <c r="C158" s="142">
        <v>15</v>
      </c>
      <c r="D158" s="142">
        <v>150</v>
      </c>
      <c r="E158" s="142" t="s">
        <v>1475</v>
      </c>
      <c r="F158" s="142">
        <f>INDEX(SuiteCatSub!$E$2:$E$55,MATCH(_xlfn.CONCAT(B158,"-",C158),SuiteCatSub!$F$2:$F$55,0))</f>
        <v>29</v>
      </c>
      <c r="G158" s="142">
        <v>294</v>
      </c>
      <c r="H158" s="142">
        <f>VLOOKUP(G158,SuiteCatSubElem_Version!$I$2:$J$667,2,0)</f>
        <v>150</v>
      </c>
      <c r="I158" s="146" t="s">
        <v>1423</v>
      </c>
      <c r="J158" s="144" t="str">
        <f>VLOOKUP(B158,Categories!$A$2:$C$8,3,0)</f>
        <v>Sourcing</v>
      </c>
      <c r="K158" s="147"/>
      <c r="L158" s="144" t="str">
        <f>VLOOKUP(C158,Subcategories!$A$2:$B$29,2,0)</f>
        <v>RFX Auction</v>
      </c>
      <c r="M158" s="144" t="str">
        <f>VLOOKUP(D158,Elements!$B$2:$C$435,2,0)</f>
        <v>Category</v>
      </c>
      <c r="N158" s="144" t="str">
        <f>VLOOKUP(H158,ElementVariants!$A$2:$B$460,2,0)</f>
        <v>Does the solution support the creation of templates by category and/or come with an extensive library of category templates?</v>
      </c>
    </row>
    <row r="159" spans="1:14">
      <c r="A159" s="138">
        <v>159</v>
      </c>
      <c r="B159" s="142">
        <v>4</v>
      </c>
      <c r="C159" s="142">
        <v>15</v>
      </c>
      <c r="D159" s="142">
        <v>151</v>
      </c>
      <c r="E159" s="142" t="s">
        <v>1476</v>
      </c>
      <c r="F159" s="142">
        <f>INDEX(SuiteCatSub!$E$2:$E$55,MATCH(_xlfn.CONCAT(B159,"-",C159),SuiteCatSub!$F$2:$F$55,0))</f>
        <v>29</v>
      </c>
      <c r="G159" s="142">
        <v>295</v>
      </c>
      <c r="H159" s="142">
        <f>VLOOKUP(G159,SuiteCatSubElem_Version!$I$2:$J$667,2,0)</f>
        <v>151</v>
      </c>
      <c r="I159" s="146" t="s">
        <v>1423</v>
      </c>
      <c r="J159" s="144" t="str">
        <f>VLOOKUP(B159,Categories!$A$2:$C$8,3,0)</f>
        <v>Sourcing</v>
      </c>
      <c r="K159" s="147"/>
      <c r="L159" s="144" t="str">
        <f>VLOOKUP(C159,Subcategories!$A$2:$B$29,2,0)</f>
        <v>RFX Auction</v>
      </c>
      <c r="M159" s="144" t="str">
        <f>VLOOKUP(D159,Elements!$B$2:$C$435,2,0)</f>
        <v>Industry</v>
      </c>
      <c r="N159" s="144" t="str">
        <f>VLOOKUP(H159,ElementVariants!$A$2:$B$460,2,0)</f>
        <v>Does the solution support the relation of templates by industry and/or come with an extensive library of category templates?</v>
      </c>
    </row>
    <row r="160" spans="1:14">
      <c r="A160" s="138">
        <v>160</v>
      </c>
      <c r="B160" s="142">
        <v>4</v>
      </c>
      <c r="C160" s="142">
        <v>15</v>
      </c>
      <c r="D160" s="142">
        <v>152</v>
      </c>
      <c r="E160" s="142" t="s">
        <v>1477</v>
      </c>
      <c r="F160" s="142">
        <f>INDEX(SuiteCatSub!$E$2:$E$55,MATCH(_xlfn.CONCAT(B160,"-",C160),SuiteCatSub!$F$2:$F$55,0))</f>
        <v>29</v>
      </c>
      <c r="G160" s="142">
        <v>296</v>
      </c>
      <c r="H160" s="142">
        <f>VLOOKUP(G160,SuiteCatSubElem_Version!$I$2:$J$667,2,0)</f>
        <v>152</v>
      </c>
      <c r="I160" s="146" t="s">
        <v>1423</v>
      </c>
      <c r="J160" s="144" t="str">
        <f>VLOOKUP(B160,Categories!$A$2:$C$8,3,0)</f>
        <v>Sourcing</v>
      </c>
      <c r="K160" s="147"/>
      <c r="L160" s="144" t="str">
        <f>VLOOKUP(C160,Subcategories!$A$2:$B$29,2,0)</f>
        <v>RFX Auction</v>
      </c>
      <c r="M160" s="144" t="str">
        <f>VLOOKUP(D160,Elements!$B$2:$C$435,2,0)</f>
        <v>Weighting</v>
      </c>
      <c r="N160" s="144" t="str">
        <f>VLOOKUP(H160,ElementVariants!$A$2:$B$460,2,0)</f>
        <v>To what extent does the RFX tool support weighting?</v>
      </c>
    </row>
    <row r="161" spans="1:14">
      <c r="A161" s="138">
        <v>161</v>
      </c>
      <c r="B161" s="142">
        <v>4</v>
      </c>
      <c r="C161" s="142">
        <v>15</v>
      </c>
      <c r="D161" s="142">
        <v>153</v>
      </c>
      <c r="E161" s="142" t="s">
        <v>1478</v>
      </c>
      <c r="F161" s="142">
        <f>INDEX(SuiteCatSub!$E$2:$E$55,MATCH(_xlfn.CONCAT(B161,"-",C161),SuiteCatSub!$F$2:$F$55,0))</f>
        <v>29</v>
      </c>
      <c r="G161" s="142">
        <v>297</v>
      </c>
      <c r="H161" s="142">
        <f>VLOOKUP(G161,SuiteCatSubElem_Version!$I$2:$J$667,2,0)</f>
        <v>153</v>
      </c>
      <c r="I161" s="146" t="s">
        <v>1423</v>
      </c>
      <c r="J161" s="144" t="str">
        <f>VLOOKUP(B161,Categories!$A$2:$C$8,3,0)</f>
        <v>Sourcing</v>
      </c>
      <c r="K161" s="147"/>
      <c r="L161" s="144" t="str">
        <f>VLOOKUP(C161,Subcategories!$A$2:$B$29,2,0)</f>
        <v>RFX Auction</v>
      </c>
      <c r="M161" s="144" t="str">
        <f>VLOOKUP(D161,Elements!$B$2:$C$435,2,0)</f>
        <v>Formula Based</v>
      </c>
      <c r="N161" s="144" t="str">
        <f>VLOOKUP(H161,ElementVariants!$A$2:$B$460,2,0)</f>
        <v>Does the RFX support the creation of weighting formulas across elements?</v>
      </c>
    </row>
    <row r="162" spans="1:14" ht="30">
      <c r="A162" s="138">
        <v>162</v>
      </c>
      <c r="B162" s="142">
        <v>4</v>
      </c>
      <c r="C162" s="142">
        <v>15</v>
      </c>
      <c r="D162" s="142">
        <v>154</v>
      </c>
      <c r="E162" s="142" t="s">
        <v>1479</v>
      </c>
      <c r="F162" s="142">
        <f>INDEX(SuiteCatSub!$E$2:$E$55,MATCH(_xlfn.CONCAT(B162,"-",C162),SuiteCatSub!$F$2:$F$55,0))</f>
        <v>29</v>
      </c>
      <c r="G162" s="142">
        <v>298</v>
      </c>
      <c r="H162" s="142">
        <f>VLOOKUP(G162,SuiteCatSubElem_Version!$I$2:$J$667,2,0)</f>
        <v>154</v>
      </c>
      <c r="I162" s="146" t="s">
        <v>1423</v>
      </c>
      <c r="J162" s="144" t="str">
        <f>VLOOKUP(B162,Categories!$A$2:$C$8,3,0)</f>
        <v>Sourcing</v>
      </c>
      <c r="K162" s="147"/>
      <c r="L162" s="144" t="str">
        <f>VLOOKUP(C162,Subcategories!$A$2:$B$29,2,0)</f>
        <v>RFX Auction</v>
      </c>
      <c r="M162" s="144" t="str">
        <f>VLOOKUP(D162,Elements!$B$2:$C$435,2,0)</f>
        <v>Optimization Backed</v>
      </c>
      <c r="N162" s="144" t="str">
        <f>VLOOKUP(H162,ElementVariants!$A$2:$B$460,2,0)</f>
        <v>Does the RFX integrate with an optimization platform or is it optimization backed (that allows for constraints to be taken into account during weightings)?</v>
      </c>
    </row>
    <row r="163" spans="1:14">
      <c r="A163" s="138">
        <v>163</v>
      </c>
      <c r="B163" s="142">
        <v>4</v>
      </c>
      <c r="C163" s="142">
        <v>15</v>
      </c>
      <c r="D163" s="142">
        <v>155</v>
      </c>
      <c r="E163" s="142" t="s">
        <v>1480</v>
      </c>
      <c r="F163" s="142">
        <f>INDEX(SuiteCatSub!$E$2:$E$55,MATCH(_xlfn.CONCAT(B163,"-",C163),SuiteCatSub!$F$2:$F$55,0))</f>
        <v>29</v>
      </c>
      <c r="G163" s="142">
        <v>299</v>
      </c>
      <c r="H163" s="142">
        <f>VLOOKUP(G163,SuiteCatSubElem_Version!$I$2:$J$667,2,0)</f>
        <v>155</v>
      </c>
      <c r="I163" s="146" t="s">
        <v>1423</v>
      </c>
      <c r="J163" s="144" t="str">
        <f>VLOOKUP(B163,Categories!$A$2:$C$8,3,0)</f>
        <v>Sourcing</v>
      </c>
      <c r="K163" s="147"/>
      <c r="L163" s="144" t="str">
        <f>VLOOKUP(C163,Subcategories!$A$2:$B$29,2,0)</f>
        <v>RFX Auction</v>
      </c>
      <c r="M163" s="144" t="str">
        <f>VLOOKUP(D163,Elements!$B$2:$C$435,2,0)</f>
        <v>Multi-Party</v>
      </c>
      <c r="N163" s="144" t="str">
        <f>VLOOKUP(H163,ElementVariants!$A$2:$B$460,2,0)</f>
        <v>Does the RFX support multi-party evaluations with variable rankings?</v>
      </c>
    </row>
    <row r="164" spans="1:14" ht="30">
      <c r="A164" s="138">
        <v>164</v>
      </c>
      <c r="B164" s="142">
        <v>4</v>
      </c>
      <c r="C164" s="142">
        <v>15</v>
      </c>
      <c r="D164" s="142">
        <v>156</v>
      </c>
      <c r="E164" s="142" t="s">
        <v>1481</v>
      </c>
      <c r="F164" s="142">
        <f>INDEX(SuiteCatSub!$E$2:$E$55,MATCH(_xlfn.CONCAT(B164,"-",C164),SuiteCatSub!$F$2:$F$55,0))</f>
        <v>29</v>
      </c>
      <c r="G164" s="142">
        <v>300</v>
      </c>
      <c r="H164" s="142">
        <f>VLOOKUP(G164,SuiteCatSubElem_Version!$I$2:$J$667,2,0)</f>
        <v>156</v>
      </c>
      <c r="I164" s="146" t="s">
        <v>1423</v>
      </c>
      <c r="J164" s="144" t="str">
        <f>VLOOKUP(B164,Categories!$A$2:$C$8,3,0)</f>
        <v>Sourcing</v>
      </c>
      <c r="K164" s="147"/>
      <c r="L164" s="144" t="str">
        <f>VLOOKUP(C164,Subcategories!$A$2:$B$29,2,0)</f>
        <v>RFX Auction</v>
      </c>
      <c r="M164" s="144" t="str">
        <f>VLOOKUP(D164,Elements!$B$2:$C$435,2,0)</f>
        <v>Advanced Scoring</v>
      </c>
      <c r="N164" s="144" t="str">
        <f>VLOOKUP(H164,ElementVariants!$A$2:$B$460,2,0)</f>
        <v>Does the RFX support advanced scoring evaluation methodologies such as statistical, net promotor, on-target, and other methodologies?</v>
      </c>
    </row>
    <row r="165" spans="1:14" ht="30">
      <c r="A165" s="138">
        <v>165</v>
      </c>
      <c r="B165" s="142">
        <v>4</v>
      </c>
      <c r="C165" s="142">
        <v>15</v>
      </c>
      <c r="D165" s="142">
        <v>157</v>
      </c>
      <c r="E165" s="142" t="s">
        <v>1482</v>
      </c>
      <c r="F165" s="142">
        <f>INDEX(SuiteCatSub!$E$2:$E$55,MATCH(_xlfn.CONCAT(B165,"-",C165),SuiteCatSub!$F$2:$F$55,0))</f>
        <v>29</v>
      </c>
      <c r="G165" s="142">
        <v>301</v>
      </c>
      <c r="H165" s="142">
        <f>VLOOKUP(G165,SuiteCatSubElem_Version!$I$2:$J$667,2,0)</f>
        <v>157</v>
      </c>
      <c r="I165" s="146" t="s">
        <v>1423</v>
      </c>
      <c r="J165" s="144" t="str">
        <f>VLOOKUP(B165,Categories!$A$2:$C$8,3,0)</f>
        <v>Sourcing</v>
      </c>
      <c r="K165" s="147"/>
      <c r="L165" s="144" t="str">
        <f>VLOOKUP(C165,Subcategories!$A$2:$B$29,2,0)</f>
        <v>RFX Auction</v>
      </c>
      <c r="M165" s="144" t="str">
        <f>VLOOKUP(D165,Elements!$B$2:$C$435,2,0)</f>
        <v>Documentary Support</v>
      </c>
      <c r="N165" s="144" t="str">
        <f>VLOOKUP(H165,ElementVariants!$A$2:$B$460,2,0)</f>
        <v>To what extent does the RFX tool support document attachments?</v>
      </c>
    </row>
    <row r="166" spans="1:14" ht="45">
      <c r="A166" s="138">
        <v>166</v>
      </c>
      <c r="B166" s="142">
        <v>4</v>
      </c>
      <c r="C166" s="142">
        <v>15</v>
      </c>
      <c r="D166" s="142">
        <v>158</v>
      </c>
      <c r="E166" s="142" t="s">
        <v>1483</v>
      </c>
      <c r="F166" s="142">
        <f>INDEX(SuiteCatSub!$E$2:$E$55,MATCH(_xlfn.CONCAT(B166,"-",C166),SuiteCatSub!$F$2:$F$55,0))</f>
        <v>29</v>
      </c>
      <c r="G166" s="142">
        <v>302</v>
      </c>
      <c r="H166" s="142">
        <f>VLOOKUP(G166,SuiteCatSubElem_Version!$I$2:$J$667,2,0)</f>
        <v>158</v>
      </c>
      <c r="I166" s="146" t="s">
        <v>1423</v>
      </c>
      <c r="J166" s="144" t="str">
        <f>VLOOKUP(B166,Categories!$A$2:$C$8,3,0)</f>
        <v>Sourcing</v>
      </c>
      <c r="K166" s="147"/>
      <c r="L166" s="144" t="str">
        <f>VLOOKUP(C166,Subcategories!$A$2:$B$29,2,0)</f>
        <v>RFX Auction</v>
      </c>
      <c r="M166" s="144" t="str">
        <f>VLOOKUP(D166,Elements!$B$2:$C$435,2,0)</f>
        <v>Unlimited Attachments w/ Revision Control</v>
      </c>
      <c r="N166" s="144" t="str">
        <f>VLOOKUP(H166,ElementVariants!$A$2:$B$460,2,0)</f>
        <v>Can the RFX tool support unlimited attachments with detailed meta-data index and version/revision control?</v>
      </c>
    </row>
    <row r="167" spans="1:14" ht="30">
      <c r="A167" s="138">
        <v>167</v>
      </c>
      <c r="B167" s="142">
        <v>4</v>
      </c>
      <c r="C167" s="142">
        <v>15</v>
      </c>
      <c r="D167" s="142">
        <v>159</v>
      </c>
      <c r="E167" s="142" t="s">
        <v>1484</v>
      </c>
      <c r="F167" s="142">
        <f>INDEX(SuiteCatSub!$E$2:$E$55,MATCH(_xlfn.CONCAT(B167,"-",C167),SuiteCatSub!$F$2:$F$55,0))</f>
        <v>29</v>
      </c>
      <c r="G167" s="142">
        <v>303</v>
      </c>
      <c r="H167" s="142">
        <f>VLOOKUP(G167,SuiteCatSubElem_Version!$I$2:$J$667,2,0)</f>
        <v>159</v>
      </c>
      <c r="I167" s="146" t="s">
        <v>1423</v>
      </c>
      <c r="J167" s="144" t="str">
        <f>VLOOKUP(B167,Categories!$A$2:$C$8,3,0)</f>
        <v>Sourcing</v>
      </c>
      <c r="K167" s="147"/>
      <c r="L167" s="144" t="str">
        <f>VLOOKUP(C167,Subcategories!$A$2:$B$29,2,0)</f>
        <v>RFX Auction</v>
      </c>
      <c r="M167" s="144" t="str">
        <f>VLOOKUP(D167,Elements!$B$2:$C$435,2,0)</f>
        <v>Bulk Upload and Association</v>
      </c>
      <c r="N167" s="144" t="str">
        <f>VLOOKUP(H167,ElementVariants!$A$2:$B$460,2,0)</f>
        <v>Can the RFX tool support bulk upload and automatic association with suppliers, lots and line items using a standard naming convention?</v>
      </c>
    </row>
    <row r="168" spans="1:14" ht="45">
      <c r="A168" s="138">
        <v>168</v>
      </c>
      <c r="B168" s="142">
        <v>4</v>
      </c>
      <c r="C168" s="142">
        <v>15</v>
      </c>
      <c r="D168" s="142">
        <v>160</v>
      </c>
      <c r="E168" s="142" t="s">
        <v>1485</v>
      </c>
      <c r="F168" s="142">
        <f>INDEX(SuiteCatSub!$E$2:$E$55,MATCH(_xlfn.CONCAT(B168,"-",C168),SuiteCatSub!$F$2:$F$55,0))</f>
        <v>29</v>
      </c>
      <c r="G168" s="142">
        <v>304</v>
      </c>
      <c r="H168" s="142">
        <f>VLOOKUP(G168,SuiteCatSubElem_Version!$I$2:$J$667,2,0)</f>
        <v>160</v>
      </c>
      <c r="I168" s="146" t="s">
        <v>1423</v>
      </c>
      <c r="J168" s="144" t="str">
        <f>VLOOKUP(B168,Categories!$A$2:$C$8,3,0)</f>
        <v>Sourcing</v>
      </c>
      <c r="K168" s="147"/>
      <c r="L168" s="144" t="str">
        <f>VLOOKUP(C168,Subcategories!$A$2:$B$29,2,0)</f>
        <v>RFX Auction</v>
      </c>
      <c r="M168" s="144" t="str">
        <f>VLOOKUP(D168,Elements!$B$2:$C$435,2,0)</f>
        <v>CAD/CAM Visualization Support</v>
      </c>
      <c r="N168" s="144" t="str">
        <f>VLOOKUP(H168,ElementVariants!$A$2:$B$460,2,0)</f>
        <v>Can the RFX tool support CAD/CAM diagrams and allow them to be visualized within the tool?</v>
      </c>
    </row>
    <row r="169" spans="1:14">
      <c r="A169" s="138">
        <v>169</v>
      </c>
      <c r="B169" s="142">
        <v>4</v>
      </c>
      <c r="C169" s="142">
        <v>15</v>
      </c>
      <c r="D169" s="142">
        <v>101</v>
      </c>
      <c r="E169" s="142" t="s">
        <v>1486</v>
      </c>
      <c r="F169" s="142">
        <f>INDEX(SuiteCatSub!$E$2:$E$55,MATCH(_xlfn.CONCAT(B169,"-",C169),SuiteCatSub!$F$2:$F$55,0))</f>
        <v>29</v>
      </c>
      <c r="G169" s="142">
        <v>305</v>
      </c>
      <c r="H169" s="142">
        <f>VLOOKUP(G169,SuiteCatSubElem_Version!$I$2:$J$667,2,0)</f>
        <v>448</v>
      </c>
      <c r="I169" s="146" t="s">
        <v>1423</v>
      </c>
      <c r="J169" s="144" t="str">
        <f>VLOOKUP(B169,Categories!$A$2:$C$8,3,0)</f>
        <v>Sourcing</v>
      </c>
      <c r="K169" s="147"/>
      <c r="L169" s="144" t="str">
        <f>VLOOKUP(C169,Subcategories!$A$2:$B$29,2,0)</f>
        <v>RFX Auction</v>
      </c>
      <c r="M169" s="144" t="str">
        <f>VLOOKUP(D169,Elements!$B$2:$C$435,2,0)</f>
        <v>Collaboration</v>
      </c>
      <c r="N169" s="144" t="str">
        <f>VLOOKUP(H169,ElementVariants!$A$2:$B$460,2,0)</f>
        <v>To what extent does the RFX tool support collaboration?</v>
      </c>
    </row>
    <row r="170" spans="1:14" ht="30">
      <c r="A170" s="138">
        <v>170</v>
      </c>
      <c r="B170" s="142">
        <v>4</v>
      </c>
      <c r="C170" s="142">
        <v>15</v>
      </c>
      <c r="D170" s="142">
        <v>161</v>
      </c>
      <c r="E170" s="142" t="s">
        <v>1487</v>
      </c>
      <c r="F170" s="142">
        <f>INDEX(SuiteCatSub!$E$2:$E$55,MATCH(_xlfn.CONCAT(B170,"-",C170),SuiteCatSub!$F$2:$F$55,0))</f>
        <v>29</v>
      </c>
      <c r="G170" s="142">
        <v>306</v>
      </c>
      <c r="H170" s="142">
        <f>VLOOKUP(G170,SuiteCatSubElem_Version!$I$2:$J$667,2,0)</f>
        <v>161</v>
      </c>
      <c r="I170" s="146" t="s">
        <v>1423</v>
      </c>
      <c r="J170" s="144" t="str">
        <f>VLOOKUP(B170,Categories!$A$2:$C$8,3,0)</f>
        <v>Sourcing</v>
      </c>
      <c r="K170" s="147"/>
      <c r="L170" s="144" t="str">
        <f>VLOOKUP(C170,Subcategories!$A$2:$B$29,2,0)</f>
        <v>RFX Auction</v>
      </c>
      <c r="M170" s="144" t="str">
        <f>VLOOKUP(D170,Elements!$B$2:$C$435,2,0)</f>
        <v>Real-Time Messaging</v>
      </c>
      <c r="N170" s="144" t="str">
        <f>VLOOKUP(H170,ElementVariants!$A$2:$B$460,2,0)</f>
        <v>Does the tool support integrated real-time (group) messaging between all parties with compete archival, audit trails, and indexing for association with different data elements and platform functionality?</v>
      </c>
    </row>
    <row r="171" spans="1:14" ht="45">
      <c r="A171" s="138">
        <v>171</v>
      </c>
      <c r="B171" s="142">
        <v>4</v>
      </c>
      <c r="C171" s="142">
        <v>15</v>
      </c>
      <c r="D171" s="142">
        <v>162</v>
      </c>
      <c r="E171" s="142" t="s">
        <v>1488</v>
      </c>
      <c r="F171" s="142">
        <f>INDEX(SuiteCatSub!$E$2:$E$55,MATCH(_xlfn.CONCAT(B171,"-",C171),SuiteCatSub!$F$2:$F$55,0))</f>
        <v>29</v>
      </c>
      <c r="G171" s="142">
        <v>307</v>
      </c>
      <c r="H171" s="142">
        <f>VLOOKUP(G171,SuiteCatSubElem_Version!$I$2:$J$667,2,0)</f>
        <v>162</v>
      </c>
      <c r="I171" s="146" t="s">
        <v>1423</v>
      </c>
      <c r="J171" s="144" t="str">
        <f>VLOOKUP(B171,Categories!$A$2:$C$8,3,0)</f>
        <v>Sourcing</v>
      </c>
      <c r="K171" s="147"/>
      <c r="L171" s="144" t="str">
        <f>VLOOKUP(C171,Subcategories!$A$2:$B$29,2,0)</f>
        <v>RFX Auction</v>
      </c>
      <c r="M171" s="144" t="str">
        <f>VLOOKUP(D171,Elements!$B$2:$C$435,2,0)</f>
        <v>Virtual Whiteboard Integration</v>
      </c>
      <c r="N171" s="144" t="str">
        <f>VLOOKUP(H171,ElementVariants!$A$2:$B$460,2,0)</f>
        <v>Does the tool support integrated virtual whiteboards that allow all parties to collaborate free-form in the creation of RFXs and RFX responses?</v>
      </c>
    </row>
    <row r="172" spans="1:14" ht="30">
      <c r="A172" s="138">
        <v>172</v>
      </c>
      <c r="B172" s="142">
        <v>4</v>
      </c>
      <c r="C172" s="142">
        <v>15</v>
      </c>
      <c r="D172" s="142">
        <v>163</v>
      </c>
      <c r="E172" s="142" t="s">
        <v>1489</v>
      </c>
      <c r="F172" s="142">
        <f>INDEX(SuiteCatSub!$E$2:$E$55,MATCH(_xlfn.CONCAT(B172,"-",C172),SuiteCatSub!$F$2:$F$55,0))</f>
        <v>29</v>
      </c>
      <c r="G172" s="142">
        <v>308</v>
      </c>
      <c r="H172" s="142">
        <f>VLOOKUP(G172,SuiteCatSubElem_Version!$I$2:$J$667,2,0)</f>
        <v>163</v>
      </c>
      <c r="I172" s="146" t="s">
        <v>1423</v>
      </c>
      <c r="J172" s="144" t="str">
        <f>VLOOKUP(B172,Categories!$A$2:$C$8,3,0)</f>
        <v>Sourcing</v>
      </c>
      <c r="K172" s="147"/>
      <c r="L172" s="144" t="str">
        <f>VLOOKUP(C172,Subcategories!$A$2:$B$29,2,0)</f>
        <v>RFX Auction</v>
      </c>
      <c r="M172" s="144" t="str">
        <f>VLOOKUP(D172,Elements!$B$2:$C$435,2,0)</f>
        <v>Other Party View Support</v>
      </c>
      <c r="N172" s="144" t="str">
        <f>VLOOKUP(H172,ElementVariants!$A$2:$B$460,2,0)</f>
        <v>Does the tool allow a buyer to see exactly what a supplier will see and vice versa before sending an RFX or a response?</v>
      </c>
    </row>
    <row r="173" spans="1:14">
      <c r="A173" s="138">
        <v>173</v>
      </c>
      <c r="B173" s="142">
        <v>4</v>
      </c>
      <c r="C173" s="142">
        <v>15</v>
      </c>
      <c r="D173" s="142">
        <v>164</v>
      </c>
      <c r="E173" s="142" t="s">
        <v>1490</v>
      </c>
      <c r="F173" s="142">
        <f>INDEX(SuiteCatSub!$E$2:$E$55,MATCH(_xlfn.CONCAT(B173,"-",C173),SuiteCatSub!$F$2:$F$55,0))</f>
        <v>29</v>
      </c>
      <c r="G173" s="142">
        <v>309</v>
      </c>
      <c r="H173" s="142">
        <f>VLOOKUP(G173,SuiteCatSubElem_Version!$I$2:$J$667,2,0)</f>
        <v>164</v>
      </c>
      <c r="I173" s="146" t="s">
        <v>1423</v>
      </c>
      <c r="J173" s="144" t="str">
        <f>VLOOKUP(B173,Categories!$A$2:$C$8,3,0)</f>
        <v>Sourcing</v>
      </c>
      <c r="K173" s="147"/>
      <c r="L173" s="144" t="str">
        <f>VLOOKUP(C173,Subcategories!$A$2:$B$29,2,0)</f>
        <v>RFX Auction</v>
      </c>
      <c r="M173" s="144" t="str">
        <f>VLOOKUP(D173,Elements!$B$2:$C$435,2,0)</f>
        <v>Screen Sharing</v>
      </c>
      <c r="N173" s="144" t="str">
        <f>VLOOKUP(H173,ElementVariants!$A$2:$B$460,2,0)</f>
        <v>Does the tool allow multiple parties to see the same screen during collaboration construction of an RFX, a scoring, or a response?</v>
      </c>
    </row>
    <row r="174" spans="1:14" ht="30">
      <c r="A174" s="138">
        <v>174</v>
      </c>
      <c r="B174" s="142">
        <v>4</v>
      </c>
      <c r="C174" s="142">
        <v>15</v>
      </c>
      <c r="D174" s="142">
        <v>113</v>
      </c>
      <c r="E174" s="142" t="s">
        <v>1491</v>
      </c>
      <c r="F174" s="142">
        <f>INDEX(SuiteCatSub!$E$2:$E$55,MATCH(_xlfn.CONCAT(B174,"-",C174),SuiteCatSub!$F$2:$F$55,0))</f>
        <v>29</v>
      </c>
      <c r="G174" s="142">
        <v>310</v>
      </c>
      <c r="H174" s="142">
        <f>VLOOKUP(G174,SuiteCatSubElem_Version!$I$2:$J$667,2,0)</f>
        <v>451</v>
      </c>
      <c r="I174" s="146" t="s">
        <v>1423</v>
      </c>
      <c r="J174" s="144" t="str">
        <f>VLOOKUP(B174,Categories!$A$2:$C$8,3,0)</f>
        <v>Sourcing</v>
      </c>
      <c r="K174" s="147"/>
      <c r="L174" s="144" t="str">
        <f>VLOOKUP(C174,Subcategories!$A$2:$B$29,2,0)</f>
        <v>RFX Auction</v>
      </c>
      <c r="M174" s="144" t="str">
        <f>VLOOKUP(D174,Elements!$B$2:$C$435,2,0)</f>
        <v>Bill of Material Support</v>
      </c>
      <c r="N174" s="144" t="str">
        <f>VLOOKUP(H174,ElementVariants!$A$2:$B$460,2,0)</f>
        <v>Does the tool support bill of materials capabilities for direct sourcing? And can the bill of materials be imported from ERP/MRP solutions? Is the capability built on "lots" or is it separate from lots?</v>
      </c>
    </row>
    <row r="175" spans="1:14" ht="30">
      <c r="A175" s="138">
        <v>175</v>
      </c>
      <c r="B175" s="142">
        <v>4</v>
      </c>
      <c r="C175" s="142">
        <v>15</v>
      </c>
      <c r="D175" s="142">
        <v>133</v>
      </c>
      <c r="E175" s="142" t="s">
        <v>1492</v>
      </c>
      <c r="F175" s="142">
        <f>INDEX(SuiteCatSub!$E$2:$E$55,MATCH(_xlfn.CONCAT(B175,"-",C175),SuiteCatSub!$F$2:$F$55,0))</f>
        <v>29</v>
      </c>
      <c r="G175" s="142">
        <v>311</v>
      </c>
      <c r="H175" s="142">
        <f>VLOOKUP(G175,SuiteCatSubElem_Version!$I$2:$J$667,2,0)</f>
        <v>133</v>
      </c>
      <c r="I175" s="146" t="s">
        <v>1423</v>
      </c>
      <c r="J175" s="144" t="str">
        <f>VLOOKUP(B175,Categories!$A$2:$C$8,3,0)</f>
        <v>Sourcing</v>
      </c>
      <c r="K175" s="147"/>
      <c r="L175" s="144" t="str">
        <f>VLOOKUP(C175,Subcategories!$A$2:$B$29,2,0)</f>
        <v>RFX Auction</v>
      </c>
      <c r="M175" s="144" t="str">
        <f>VLOOKUP(D175,Elements!$B$2:$C$435,2,0)</f>
        <v>ERP Integration</v>
      </c>
      <c r="N175" s="144" t="str">
        <f>VLOOKUP(H175,ElementVariants!$A$2:$B$460,2,0)</f>
        <v>Does the tool support ERP integration out-of-the-box (with ERP systems such as Oracle, SAP, JDE, etc.) for populating lots and bill of materials?</v>
      </c>
    </row>
    <row r="176" spans="1:14" ht="30">
      <c r="A176" s="138">
        <v>176</v>
      </c>
      <c r="B176" s="142">
        <v>4</v>
      </c>
      <c r="C176" s="142">
        <v>15</v>
      </c>
      <c r="D176" s="142">
        <v>165</v>
      </c>
      <c r="E176" s="142" t="s">
        <v>1493</v>
      </c>
      <c r="F176" s="142">
        <f>INDEX(SuiteCatSub!$E$2:$E$55,MATCH(_xlfn.CONCAT(B176,"-",C176),SuiteCatSub!$F$2:$F$55,0))</f>
        <v>29</v>
      </c>
      <c r="G176" s="142">
        <v>312</v>
      </c>
      <c r="H176" s="142">
        <f>VLOOKUP(G176,SuiteCatSubElem_Version!$I$2:$J$667,2,0)</f>
        <v>165</v>
      </c>
      <c r="I176" s="146" t="s">
        <v>1423</v>
      </c>
      <c r="J176" s="144" t="str">
        <f>VLOOKUP(B176,Categories!$A$2:$C$8,3,0)</f>
        <v>Sourcing</v>
      </c>
      <c r="K176" s="147"/>
      <c r="L176" s="144" t="str">
        <f>VLOOKUP(C176,Subcategories!$A$2:$B$29,2,0)</f>
        <v>RFX Auction</v>
      </c>
      <c r="M176" s="144" t="str">
        <f>VLOOKUP(D176,Elements!$B$2:$C$435,2,0)</f>
        <v>Multi-SKU Mapping</v>
      </c>
      <c r="N176" s="144" t="str">
        <f>VLOOKUP(H176,ElementVariants!$A$2:$B$460,2,0)</f>
        <v>Does the tool support multi-sku mapping and support the mapping of buyer SKUs to distinct supplier SKUs?</v>
      </c>
    </row>
    <row r="177" spans="1:14" ht="45">
      <c r="A177" s="138">
        <v>177</v>
      </c>
      <c r="B177" s="142">
        <v>4</v>
      </c>
      <c r="C177" s="142">
        <v>15</v>
      </c>
      <c r="D177" s="142">
        <v>166</v>
      </c>
      <c r="E177" s="142" t="s">
        <v>1494</v>
      </c>
      <c r="F177" s="142">
        <f>INDEX(SuiteCatSub!$E$2:$E$55,MATCH(_xlfn.CONCAT(B177,"-",C177),SuiteCatSub!$F$2:$F$55,0))</f>
        <v>29</v>
      </c>
      <c r="G177" s="142">
        <v>313</v>
      </c>
      <c r="H177" s="142">
        <f>VLOOKUP(G177,SuiteCatSubElem_Version!$I$2:$J$667,2,0)</f>
        <v>166</v>
      </c>
      <c r="I177" s="146" t="s">
        <v>1423</v>
      </c>
      <c r="J177" s="144" t="str">
        <f>VLOOKUP(B177,Categories!$A$2:$C$8,3,0)</f>
        <v>Sourcing</v>
      </c>
      <c r="K177" s="147"/>
      <c r="L177" s="144" t="str">
        <f>VLOOKUP(C177,Subcategories!$A$2:$B$29,2,0)</f>
        <v>RFX Auction</v>
      </c>
      <c r="M177" s="144" t="str">
        <f>VLOOKUP(D177,Elements!$B$2:$C$435,2,0)</f>
        <v>Automatic Supplier Identification</v>
      </c>
      <c r="N177" s="144" t="str">
        <f>VLOOKUP(H177,ElementVariants!$A$2:$B$460,2,0)</f>
        <v>Does the tool support the appropriate identification of appropriate suppliers?</v>
      </c>
    </row>
    <row r="178" spans="1:14" ht="30">
      <c r="A178" s="138">
        <v>178</v>
      </c>
      <c r="B178" s="142">
        <v>4</v>
      </c>
      <c r="C178" s="142">
        <v>15</v>
      </c>
      <c r="D178" s="142">
        <v>167</v>
      </c>
      <c r="E178" s="142" t="s">
        <v>1495</v>
      </c>
      <c r="F178" s="142">
        <f>INDEX(SuiteCatSub!$E$2:$E$55,MATCH(_xlfn.CONCAT(B178,"-",C178),SuiteCatSub!$F$2:$F$55,0))</f>
        <v>29</v>
      </c>
      <c r="G178" s="142">
        <v>314</v>
      </c>
      <c r="H178" s="142">
        <f>VLOOKUP(G178,SuiteCatSubElem_Version!$I$2:$J$667,2,0)</f>
        <v>167</v>
      </c>
      <c r="I178" s="146" t="s">
        <v>1423</v>
      </c>
      <c r="J178" s="144" t="str">
        <f>VLOOKUP(B178,Categories!$A$2:$C$8,3,0)</f>
        <v>Sourcing</v>
      </c>
      <c r="K178" s="147"/>
      <c r="L178" s="144" t="str">
        <f>VLOOKUP(C178,Subcategories!$A$2:$B$29,2,0)</f>
        <v>RFX Auction</v>
      </c>
      <c r="M178" s="144" t="str">
        <f>VLOOKUP(D178,Elements!$B$2:$C$435,2,0)</f>
        <v>from SIM</v>
      </c>
      <c r="N178" s="144" t="str">
        <f>VLOOKUP(H178,ElementVariants!$A$2:$B$460,2,0)</f>
        <v>Does the tool integrate with the organization's SIM solution for the identification of current and potential suppliers based upon the line items / bill of materials?</v>
      </c>
    </row>
    <row r="179" spans="1:14" ht="30">
      <c r="A179" s="138">
        <v>179</v>
      </c>
      <c r="B179" s="142">
        <v>4</v>
      </c>
      <c r="C179" s="142">
        <v>15</v>
      </c>
      <c r="D179" s="142">
        <v>168</v>
      </c>
      <c r="E179" s="142" t="s">
        <v>1496</v>
      </c>
      <c r="F179" s="142">
        <f>INDEX(SuiteCatSub!$E$2:$E$55,MATCH(_xlfn.CONCAT(B179,"-",C179),SuiteCatSub!$F$2:$F$55,0))</f>
        <v>29</v>
      </c>
      <c r="G179" s="142">
        <v>315</v>
      </c>
      <c r="H179" s="142">
        <f>VLOOKUP(G179,SuiteCatSubElem_Version!$I$2:$J$667,2,0)</f>
        <v>168</v>
      </c>
      <c r="I179" s="146" t="s">
        <v>1423</v>
      </c>
      <c r="J179" s="144" t="str">
        <f>VLOOKUP(B179,Categories!$A$2:$C$8,3,0)</f>
        <v>Sourcing</v>
      </c>
      <c r="K179" s="147"/>
      <c r="L179" s="144" t="str">
        <f>VLOOKUP(C179,Subcategories!$A$2:$B$29,2,0)</f>
        <v>RFX Auction</v>
      </c>
      <c r="M179" s="144" t="str">
        <f>VLOOKUP(D179,Elements!$B$2:$C$435,2,0)</f>
        <v>from Supplier Network</v>
      </c>
      <c r="N179" s="144" t="str">
        <f>VLOOKUP(H179,ElementVariants!$A$2:$B$460,2,0)</f>
        <v>Does the tool integrate with one or more external supplier network offerings that can be used to find new potential suppliers based upon the line items and/or bill of materials?</v>
      </c>
    </row>
    <row r="180" spans="1:14">
      <c r="A180" s="138">
        <v>180</v>
      </c>
      <c r="B180" s="142">
        <v>4</v>
      </c>
      <c r="C180" s="142">
        <v>15</v>
      </c>
      <c r="D180" s="142">
        <v>169</v>
      </c>
      <c r="E180" s="142" t="s">
        <v>1497</v>
      </c>
      <c r="F180" s="142">
        <f>INDEX(SuiteCatSub!$E$2:$E$55,MATCH(_xlfn.CONCAT(B180,"-",C180),SuiteCatSub!$F$2:$F$55,0))</f>
        <v>29</v>
      </c>
      <c r="G180" s="142">
        <v>316</v>
      </c>
      <c r="H180" s="142">
        <f>VLOOKUP(G180,SuiteCatSubElem_Version!$I$2:$J$667,2,0)</f>
        <v>169</v>
      </c>
      <c r="I180" s="146" t="s">
        <v>1423</v>
      </c>
      <c r="J180" s="144" t="str">
        <f>VLOOKUP(B180,Categories!$A$2:$C$8,3,0)</f>
        <v>Sourcing</v>
      </c>
      <c r="K180" s="147"/>
      <c r="L180" s="144" t="str">
        <f>VLOOKUP(C180,Subcategories!$A$2:$B$29,2,0)</f>
        <v>RFX Auction</v>
      </c>
      <c r="M180" s="144" t="str">
        <f>VLOOKUP(D180,Elements!$B$2:$C$435,2,0)</f>
        <v>Bidding</v>
      </c>
      <c r="N180" s="144" t="str">
        <f>VLOOKUP(H180,ElementVariants!$A$2:$B$460,2,0)</f>
        <v>To what extent is bidding supported?</v>
      </c>
    </row>
    <row r="181" spans="1:14" ht="30">
      <c r="A181" s="138">
        <v>181</v>
      </c>
      <c r="B181" s="142">
        <v>4</v>
      </c>
      <c r="C181" s="142">
        <v>15</v>
      </c>
      <c r="D181" s="142">
        <v>170</v>
      </c>
      <c r="E181" s="142" t="s">
        <v>1498</v>
      </c>
      <c r="F181" s="142">
        <f>INDEX(SuiteCatSub!$E$2:$E$55,MATCH(_xlfn.CONCAT(B181,"-",C181),SuiteCatSub!$F$2:$F$55,0))</f>
        <v>29</v>
      </c>
      <c r="G181" s="142">
        <v>317</v>
      </c>
      <c r="H181" s="142">
        <f>VLOOKUP(G181,SuiteCatSubElem_Version!$I$2:$J$667,2,0)</f>
        <v>170</v>
      </c>
      <c r="I181" s="146" t="s">
        <v>1423</v>
      </c>
      <c r="J181" s="144" t="str">
        <f>VLOOKUP(B181,Categories!$A$2:$C$8,3,0)</f>
        <v>Sourcing</v>
      </c>
      <c r="K181" s="147"/>
      <c r="L181" s="144" t="str">
        <f>VLOOKUP(C181,Subcategories!$A$2:$B$29,2,0)</f>
        <v>RFX Auction</v>
      </c>
      <c r="M181" s="144" t="str">
        <f>VLOOKUP(D181,Elements!$B$2:$C$435,2,0)</f>
        <v>Open, Blind, or Closed</v>
      </c>
      <c r="N181" s="144" t="str">
        <f>VLOOKUP(H181,ElementVariants!$A$2:$B$460,2,0)</f>
        <v>Does the tool support multiple types of bidding, including open, blind, or closed bids?</v>
      </c>
    </row>
    <row r="182" spans="1:14" ht="30">
      <c r="A182" s="138">
        <v>182</v>
      </c>
      <c r="B182" s="142">
        <v>4</v>
      </c>
      <c r="C182" s="142">
        <v>15</v>
      </c>
      <c r="D182" s="142">
        <v>171</v>
      </c>
      <c r="E182" s="142" t="s">
        <v>1499</v>
      </c>
      <c r="F182" s="142">
        <f>INDEX(SuiteCatSub!$E$2:$E$55,MATCH(_xlfn.CONCAT(B182,"-",C182),SuiteCatSub!$F$2:$F$55,0))</f>
        <v>29</v>
      </c>
      <c r="G182" s="142">
        <v>318</v>
      </c>
      <c r="H182" s="142">
        <f>VLOOKUP(G182,SuiteCatSubElem_Version!$I$2:$J$667,2,0)</f>
        <v>171</v>
      </c>
      <c r="I182" s="146" t="s">
        <v>1423</v>
      </c>
      <c r="J182" s="144" t="str">
        <f>VLOOKUP(B182,Categories!$A$2:$C$8,3,0)</f>
        <v>Sourcing</v>
      </c>
      <c r="K182" s="147"/>
      <c r="L182" s="144" t="str">
        <f>VLOOKUP(C182,Subcategories!$A$2:$B$29,2,0)</f>
        <v>RFX Auction</v>
      </c>
      <c r="M182" s="144" t="str">
        <f>VLOOKUP(D182,Elements!$B$2:$C$435,2,0)</f>
        <v>Multiple Offers Per Line</v>
      </c>
      <c r="N182" s="144" t="str">
        <f>VLOOKUP(H182,ElementVariants!$A$2:$B$460,2,0)</f>
        <v>Does the tool support multiple offers per line item from the same supplier? To what extent?</v>
      </c>
    </row>
    <row r="183" spans="1:14" ht="30">
      <c r="A183" s="138">
        <v>183</v>
      </c>
      <c r="B183" s="142">
        <v>4</v>
      </c>
      <c r="C183" s="142">
        <v>15</v>
      </c>
      <c r="D183" s="142">
        <v>172</v>
      </c>
      <c r="E183" s="142" t="s">
        <v>1500</v>
      </c>
      <c r="F183" s="142">
        <f>INDEX(SuiteCatSub!$E$2:$E$55,MATCH(_xlfn.CONCAT(B183,"-",C183),SuiteCatSub!$F$2:$F$55,0))</f>
        <v>29</v>
      </c>
      <c r="G183" s="142">
        <v>319</v>
      </c>
      <c r="H183" s="142">
        <f>VLOOKUP(G183,SuiteCatSubElem_Version!$I$2:$J$667,2,0)</f>
        <v>172</v>
      </c>
      <c r="I183" s="146" t="s">
        <v>1423</v>
      </c>
      <c r="J183" s="144" t="str">
        <f>VLOOKUP(B183,Categories!$A$2:$C$8,3,0)</f>
        <v>Sourcing</v>
      </c>
      <c r="K183" s="147"/>
      <c r="L183" s="144" t="str">
        <f>VLOOKUP(C183,Subcategories!$A$2:$B$29,2,0)</f>
        <v>RFX Auction</v>
      </c>
      <c r="M183" s="144" t="str">
        <f>VLOOKUP(D183,Elements!$B$2:$C$435,2,0)</f>
        <v>Multi-Party Support</v>
      </c>
      <c r="N183" s="144" t="str">
        <f>VLOOKUP(H183,ElementVariants!$A$2:$B$460,2,0)</f>
        <v>How extensible is the multi-party evaluation -- can it be configured on a section by section basis?</v>
      </c>
    </row>
    <row r="184" spans="1:14" ht="45">
      <c r="A184" s="138">
        <v>184</v>
      </c>
      <c r="B184" s="142">
        <v>4</v>
      </c>
      <c r="C184" s="142">
        <v>15</v>
      </c>
      <c r="D184" s="142">
        <v>173</v>
      </c>
      <c r="E184" s="142" t="s">
        <v>1501</v>
      </c>
      <c r="F184" s="142">
        <f>INDEX(SuiteCatSub!$E$2:$E$55,MATCH(_xlfn.CONCAT(B184,"-",C184),SuiteCatSub!$F$2:$F$55,0))</f>
        <v>29</v>
      </c>
      <c r="G184" s="142">
        <v>320</v>
      </c>
      <c r="H184" s="142">
        <f>VLOOKUP(G184,SuiteCatSubElem_Version!$I$2:$J$667,2,0)</f>
        <v>173</v>
      </c>
      <c r="I184" s="146" t="s">
        <v>1423</v>
      </c>
      <c r="J184" s="144" t="str">
        <f>VLOOKUP(B184,Categories!$A$2:$C$8,3,0)</f>
        <v>Sourcing</v>
      </c>
      <c r="K184" s="147"/>
      <c r="L184" s="144" t="str">
        <f>VLOOKUP(C184,Subcategories!$A$2:$B$29,2,0)</f>
        <v>RFX Auction</v>
      </c>
      <c r="M184" s="144" t="str">
        <f>VLOOKUP(D184,Elements!$B$2:$C$435,2,0)</f>
        <v>Each Field Single or Multi-User Rank</v>
      </c>
      <c r="N184" s="144" t="str">
        <f>VLOOKUP(H184,ElementVariants!$A$2:$B$460,2,0)</f>
        <v>Can the weighting algorithms be configured to allow a variable number of users to rank each section and field?</v>
      </c>
    </row>
    <row r="185" spans="1:14" ht="30">
      <c r="A185" s="138">
        <v>185</v>
      </c>
      <c r="B185" s="142">
        <v>4</v>
      </c>
      <c r="C185" s="142">
        <v>15</v>
      </c>
      <c r="D185" s="142">
        <v>174</v>
      </c>
      <c r="E185" s="142" t="s">
        <v>1502</v>
      </c>
      <c r="F185" s="142">
        <f>INDEX(SuiteCatSub!$E$2:$E$55,MATCH(_xlfn.CONCAT(B185,"-",C185),SuiteCatSub!$F$2:$F$55,0))</f>
        <v>29</v>
      </c>
      <c r="G185" s="142">
        <v>321</v>
      </c>
      <c r="H185" s="142">
        <f>VLOOKUP(G185,SuiteCatSubElem_Version!$I$2:$J$667,2,0)</f>
        <v>174</v>
      </c>
      <c r="I185" s="146" t="s">
        <v>1423</v>
      </c>
      <c r="J185" s="144" t="str">
        <f>VLOOKUP(B185,Categories!$A$2:$C$8,3,0)</f>
        <v>Sourcing</v>
      </c>
      <c r="K185" s="147"/>
      <c r="L185" s="144" t="str">
        <f>VLOOKUP(C185,Subcategories!$A$2:$B$29,2,0)</f>
        <v>RFX Auction</v>
      </c>
      <c r="M185" s="144" t="str">
        <f>VLOOKUP(D185,Elements!$B$2:$C$435,2,0)</f>
        <v>Side-by-Side Comparison</v>
      </c>
      <c r="N185" s="144" t="str">
        <f>VLOOKUP(H185,ElementVariants!$A$2:$B$460,2,0)</f>
        <v>To what extent are configurable side-by-side comparisons supported in the tool?</v>
      </c>
    </row>
    <row r="186" spans="1:14" ht="30">
      <c r="A186" s="138">
        <v>186</v>
      </c>
      <c r="B186" s="142">
        <v>4</v>
      </c>
      <c r="C186" s="142">
        <v>15</v>
      </c>
      <c r="D186" s="142">
        <v>175</v>
      </c>
      <c r="E186" s="142" t="s">
        <v>1503</v>
      </c>
      <c r="F186" s="142">
        <f>INDEX(SuiteCatSub!$E$2:$E$55,MATCH(_xlfn.CONCAT(B186,"-",C186),SuiteCatSub!$F$2:$F$55,0))</f>
        <v>29</v>
      </c>
      <c r="G186" s="142">
        <v>322</v>
      </c>
      <c r="H186" s="142">
        <f>VLOOKUP(G186,SuiteCatSubElem_Version!$I$2:$J$667,2,0)</f>
        <v>175</v>
      </c>
      <c r="I186" s="146" t="s">
        <v>1423</v>
      </c>
      <c r="J186" s="144" t="str">
        <f>VLOOKUP(B186,Categories!$A$2:$C$8,3,0)</f>
        <v>Sourcing</v>
      </c>
      <c r="K186" s="147"/>
      <c r="L186" s="144" t="str">
        <f>VLOOKUP(C186,Subcategories!$A$2:$B$29,2,0)</f>
        <v>RFX Auction</v>
      </c>
      <c r="M186" s="144" t="str">
        <f>VLOOKUP(D186,Elements!$B$2:$C$435,2,0)</f>
        <v>Pause, Edit, Re-Issue</v>
      </c>
      <c r="N186" s="144" t="str">
        <f>VLOOKUP(H186,ElementVariants!$A$2:$B$460,2,0)</f>
        <v>Can buyers pause, edit, and re-issue RFXs and / or partial RFXs during an event if one or more issues are detected?</v>
      </c>
    </row>
    <row r="187" spans="1:14" ht="30">
      <c r="A187" s="138">
        <v>187</v>
      </c>
      <c r="B187" s="142">
        <v>4</v>
      </c>
      <c r="C187" s="142">
        <v>15</v>
      </c>
      <c r="D187" s="142">
        <v>176</v>
      </c>
      <c r="E187" s="142" t="s">
        <v>1504</v>
      </c>
      <c r="F187" s="142">
        <f>INDEX(SuiteCatSub!$E$2:$E$55,MATCH(_xlfn.CONCAT(B187,"-",C187),SuiteCatSub!$F$2:$F$55,0))</f>
        <v>29</v>
      </c>
      <c r="G187" s="142">
        <v>323</v>
      </c>
      <c r="H187" s="142">
        <f>VLOOKUP(G187,SuiteCatSubElem_Version!$I$2:$J$667,2,0)</f>
        <v>176</v>
      </c>
      <c r="I187" s="146" t="s">
        <v>1423</v>
      </c>
      <c r="J187" s="144" t="str">
        <f>VLOOKUP(B187,Categories!$A$2:$C$8,3,0)</f>
        <v>Sourcing</v>
      </c>
      <c r="K187" s="147"/>
      <c r="L187" s="144" t="str">
        <f>VLOOKUP(C187,Subcategories!$A$2:$B$29,2,0)</f>
        <v>RFX Auction</v>
      </c>
      <c r="M187" s="144" t="str">
        <f>VLOOKUP(D187,Elements!$B$2:$C$435,2,0)</f>
        <v>Multi-Round Support</v>
      </c>
      <c r="N187" s="144" t="str">
        <f>VLOOKUP(H187,ElementVariants!$A$2:$B$460,2,0)</f>
        <v>Does the tool support the easy creation of multiple-round RFXs?</v>
      </c>
    </row>
    <row r="188" spans="1:14" ht="30">
      <c r="A188" s="138">
        <v>188</v>
      </c>
      <c r="B188" s="142">
        <v>4</v>
      </c>
      <c r="C188" s="142">
        <v>15</v>
      </c>
      <c r="D188" s="142">
        <v>177</v>
      </c>
      <c r="E188" s="142" t="s">
        <v>1505</v>
      </c>
      <c r="F188" s="142">
        <f>INDEX(SuiteCatSub!$E$2:$E$55,MATCH(_xlfn.CONCAT(B188,"-",C188),SuiteCatSub!$F$2:$F$55,0))</f>
        <v>29</v>
      </c>
      <c r="G188" s="142">
        <v>324</v>
      </c>
      <c r="H188" s="142">
        <f>VLOOKUP(G188,SuiteCatSubElem_Version!$I$2:$J$667,2,0)</f>
        <v>177</v>
      </c>
      <c r="I188" s="146" t="s">
        <v>1423</v>
      </c>
      <c r="J188" s="144" t="str">
        <f>VLOOKUP(B188,Categories!$A$2:$C$8,3,0)</f>
        <v>Sourcing</v>
      </c>
      <c r="K188" s="147"/>
      <c r="L188" s="144" t="str">
        <f>VLOOKUP(C188,Subcategories!$A$2:$B$29,2,0)</f>
        <v>RFX Auction</v>
      </c>
      <c r="M188" s="144" t="str">
        <f>VLOOKUP(D188,Elements!$B$2:$C$435,2,0)</f>
        <v>Out-of-the-Box Auction Formats</v>
      </c>
      <c r="N188" s="144" t="str">
        <f>VLOOKUP(H188,ElementVariants!$A$2:$B$460,2,0)</f>
        <v>There are a number of types of auctions: Dutch, Yankee, Japanese, etc. How many are supported out of the box?</v>
      </c>
    </row>
    <row r="189" spans="1:14" ht="30">
      <c r="A189" s="138">
        <v>189</v>
      </c>
      <c r="B189" s="142">
        <v>4</v>
      </c>
      <c r="C189" s="142">
        <v>15</v>
      </c>
      <c r="D189" s="142">
        <v>178</v>
      </c>
      <c r="E189" s="142" t="s">
        <v>1506</v>
      </c>
      <c r="F189" s="142">
        <f>INDEX(SuiteCatSub!$E$2:$E$55,MATCH(_xlfn.CONCAT(B189,"-",C189),SuiteCatSub!$F$2:$F$55,0))</f>
        <v>29</v>
      </c>
      <c r="G189" s="142">
        <v>325</v>
      </c>
      <c r="H189" s="142">
        <f>VLOOKUP(G189,SuiteCatSubElem_Version!$I$2:$J$667,2,0)</f>
        <v>178</v>
      </c>
      <c r="I189" s="146" t="s">
        <v>1423</v>
      </c>
      <c r="J189" s="144" t="str">
        <f>VLOOKUP(B189,Categories!$A$2:$C$8,3,0)</f>
        <v>Sourcing</v>
      </c>
      <c r="K189" s="147"/>
      <c r="L189" s="144" t="str">
        <f>VLOOKUP(C189,Subcategories!$A$2:$B$29,2,0)</f>
        <v>RFX Auction</v>
      </c>
      <c r="M189" s="144" t="str">
        <f>VLOOKUP(D189,Elements!$B$2:$C$435,2,0)</f>
        <v>Configuration Options</v>
      </c>
      <c r="N189" s="144" t="str">
        <f>VLOOKUP(H189,ElementVariants!$A$2:$B$460,2,0)</f>
        <v>What degree of configuration is available for each auction? Floors, ceiling, minimum increments, blind, ranked, open? Describe in detail.</v>
      </c>
    </row>
    <row r="190" spans="1:14" ht="30">
      <c r="A190" s="138">
        <v>190</v>
      </c>
      <c r="B190" s="142">
        <v>4</v>
      </c>
      <c r="C190" s="142">
        <v>15</v>
      </c>
      <c r="D190" s="142">
        <v>179</v>
      </c>
      <c r="E190" s="142" t="s">
        <v>1507</v>
      </c>
      <c r="F190" s="142">
        <f>INDEX(SuiteCatSub!$E$2:$E$55,MATCH(_xlfn.CONCAT(B190,"-",C190),SuiteCatSub!$F$2:$F$55,0))</f>
        <v>29</v>
      </c>
      <c r="G190" s="142">
        <v>326</v>
      </c>
      <c r="H190" s="142">
        <f>VLOOKUP(G190,SuiteCatSubElem_Version!$I$2:$J$667,2,0)</f>
        <v>179</v>
      </c>
      <c r="I190" s="146" t="s">
        <v>1423</v>
      </c>
      <c r="J190" s="144" t="str">
        <f>VLOOKUP(B190,Categories!$A$2:$C$8,3,0)</f>
        <v>Sourcing</v>
      </c>
      <c r="K190" s="147"/>
      <c r="L190" s="144" t="str">
        <f>VLOOKUP(C190,Subcategories!$A$2:$B$29,2,0)</f>
        <v>RFX Auction</v>
      </c>
      <c r="M190" s="144" t="str">
        <f>VLOOKUP(D190,Elements!$B$2:$C$435,2,0)</f>
        <v>Saved Market Baskets</v>
      </c>
      <c r="N190" s="144" t="str">
        <f>VLOOKUP(H190,ElementVariants!$A$2:$B$460,2,0)</f>
        <v>Can auctions be quickly instantiated from saved market baskets of items and lots that are re-sourced on a regular basis?</v>
      </c>
    </row>
    <row r="191" spans="1:14">
      <c r="A191" s="138">
        <v>191</v>
      </c>
      <c r="B191" s="142">
        <v>4</v>
      </c>
      <c r="C191" s="142">
        <v>15</v>
      </c>
      <c r="D191" s="142">
        <v>180</v>
      </c>
      <c r="E191" s="142" t="s">
        <v>1508</v>
      </c>
      <c r="F191" s="142">
        <f>INDEX(SuiteCatSub!$E$2:$E$55,MATCH(_xlfn.CONCAT(B191,"-",C191),SuiteCatSub!$F$2:$F$55,0))</f>
        <v>29</v>
      </c>
      <c r="G191" s="142">
        <v>327</v>
      </c>
      <c r="H191" s="142">
        <f>VLOOKUP(G191,SuiteCatSubElem_Version!$I$2:$J$667,2,0)</f>
        <v>180</v>
      </c>
      <c r="I191" s="146" t="s">
        <v>1423</v>
      </c>
      <c r="J191" s="144" t="str">
        <f>VLOOKUP(B191,Categories!$A$2:$C$8,3,0)</f>
        <v>Sourcing</v>
      </c>
      <c r="K191" s="147"/>
      <c r="L191" s="144" t="str">
        <f>VLOOKUP(C191,Subcategories!$A$2:$B$29,2,0)</f>
        <v>RFX Auction</v>
      </c>
      <c r="M191" s="144" t="str">
        <f>VLOOKUP(D191,Elements!$B$2:$C$435,2,0)</f>
        <v>RFX Integration</v>
      </c>
      <c r="N191" s="144" t="str">
        <f>VLOOKUP(H191,ElementVariants!$A$2:$B$460,2,0)</f>
        <v>Does the auction integrate with the RFX for initial population?</v>
      </c>
    </row>
    <row r="192" spans="1:14" ht="45">
      <c r="A192" s="138">
        <v>192</v>
      </c>
      <c r="B192" s="142">
        <v>4</v>
      </c>
      <c r="C192" s="142">
        <v>15</v>
      </c>
      <c r="D192" s="142">
        <v>181</v>
      </c>
      <c r="E192" s="142" t="s">
        <v>1509</v>
      </c>
      <c r="F192" s="142">
        <f>INDEX(SuiteCatSub!$E$2:$E$55,MATCH(_xlfn.CONCAT(B192,"-",C192),SuiteCatSub!$F$2:$F$55,0))</f>
        <v>29</v>
      </c>
      <c r="G192" s="142">
        <v>328</v>
      </c>
      <c r="H192" s="142">
        <f>VLOOKUP(G192,SuiteCatSubElem_Version!$I$2:$J$667,2,0)</f>
        <v>181</v>
      </c>
      <c r="I192" s="146" t="s">
        <v>1423</v>
      </c>
      <c r="J192" s="144" t="str">
        <f>VLOOKUP(B192,Categories!$A$2:$C$8,3,0)</f>
        <v>Sourcing</v>
      </c>
      <c r="K192" s="147"/>
      <c r="L192" s="144" t="str">
        <f>VLOOKUP(C192,Subcategories!$A$2:$B$29,2,0)</f>
        <v>RFX Auction</v>
      </c>
      <c r="M192" s="144" t="str">
        <f>VLOOKUP(D192,Elements!$B$2:$C$435,2,0)</f>
        <v>Real-Time Control Mechanisms</v>
      </c>
      <c r="N192" s="144" t="str">
        <f>VLOOKUP(H192,ElementVariants!$A$2:$B$460,2,0)</f>
        <v>What degree of control is available once the auction begins? Can it be paused if issues are detected? Can bidding privileges automatically be switched from primary to proxy bidders if a connection is lost? Describe in detail.</v>
      </c>
    </row>
    <row r="193" spans="1:14" ht="30">
      <c r="A193" s="138">
        <v>193</v>
      </c>
      <c r="B193" s="142">
        <v>4</v>
      </c>
      <c r="C193" s="142">
        <v>15</v>
      </c>
      <c r="D193" s="142">
        <v>182</v>
      </c>
      <c r="E193" s="142" t="s">
        <v>1510</v>
      </c>
      <c r="F193" s="142">
        <f>INDEX(SuiteCatSub!$E$2:$E$55,MATCH(_xlfn.CONCAT(B193,"-",C193),SuiteCatSub!$F$2:$F$55,0))</f>
        <v>29</v>
      </c>
      <c r="G193" s="142">
        <v>329</v>
      </c>
      <c r="H193" s="142">
        <f>VLOOKUP(G193,SuiteCatSubElem_Version!$I$2:$J$667,2,0)</f>
        <v>182</v>
      </c>
      <c r="I193" s="146" t="s">
        <v>1423</v>
      </c>
      <c r="J193" s="144" t="str">
        <f>VLOOKUP(B193,Categories!$A$2:$C$8,3,0)</f>
        <v>Sourcing</v>
      </c>
      <c r="K193" s="147"/>
      <c r="L193" s="144" t="str">
        <f>VLOOKUP(C193,Subcategories!$A$2:$B$29,2,0)</f>
        <v>RFX Auction</v>
      </c>
      <c r="M193" s="144" t="str">
        <f>VLOOKUP(D193,Elements!$B$2:$C$435,2,0)</f>
        <v>Proxy Support</v>
      </c>
      <c r="N193" s="144" t="str">
        <f>VLOOKUP(H193,ElementVariants!$A$2:$B$460,2,0)</f>
        <v>How powerful and configurable is the proxy support? Can the suppliers define their own proxies and prevent buyers from changing bids without their express permission?</v>
      </c>
    </row>
    <row r="194" spans="1:14">
      <c r="A194" s="138">
        <v>194</v>
      </c>
      <c r="B194" s="142">
        <v>4</v>
      </c>
      <c r="C194" s="142">
        <v>15</v>
      </c>
      <c r="D194" s="142">
        <v>183</v>
      </c>
      <c r="E194" s="142" t="s">
        <v>1511</v>
      </c>
      <c r="F194" s="142">
        <f>INDEX(SuiteCatSub!$E$2:$E$55,MATCH(_xlfn.CONCAT(B194,"-",C194),SuiteCatSub!$F$2:$F$55,0))</f>
        <v>29</v>
      </c>
      <c r="G194" s="142">
        <v>330</v>
      </c>
      <c r="H194" s="142">
        <f>VLOOKUP(G194,SuiteCatSubElem_Version!$I$2:$J$667,2,0)</f>
        <v>183</v>
      </c>
      <c r="I194" s="146" t="s">
        <v>1423</v>
      </c>
      <c r="J194" s="144" t="str">
        <f>VLOOKUP(B194,Categories!$A$2:$C$8,3,0)</f>
        <v>Sourcing</v>
      </c>
      <c r="K194" s="147"/>
      <c r="L194" s="144" t="str">
        <f>VLOOKUP(C194,Subcategories!$A$2:$B$29,2,0)</f>
        <v>RFX Auction</v>
      </c>
      <c r="M194" s="144" t="str">
        <f>VLOOKUP(D194,Elements!$B$2:$C$435,2,0)</f>
        <v>Messaging</v>
      </c>
      <c r="N194" s="144" t="str">
        <f>VLOOKUP(H194,ElementVariants!$A$2:$B$460,2,0)</f>
        <v>To what extent is real-time messaging supported during the auction?</v>
      </c>
    </row>
    <row r="195" spans="1:14" ht="30">
      <c r="A195" s="138">
        <v>195</v>
      </c>
      <c r="B195" s="142">
        <v>4</v>
      </c>
      <c r="C195" s="142">
        <v>15</v>
      </c>
      <c r="D195" s="142">
        <v>184</v>
      </c>
      <c r="E195" s="142" t="s">
        <v>1512</v>
      </c>
      <c r="F195" s="142">
        <f>INDEX(SuiteCatSub!$E$2:$E$55,MATCH(_xlfn.CONCAT(B195,"-",C195),SuiteCatSub!$F$2:$F$55,0))</f>
        <v>29</v>
      </c>
      <c r="G195" s="142">
        <v>331</v>
      </c>
      <c r="H195" s="142">
        <f>VLOOKUP(G195,SuiteCatSubElem_Version!$I$2:$J$667,2,0)</f>
        <v>184</v>
      </c>
      <c r="I195" s="146" t="s">
        <v>1423</v>
      </c>
      <c r="J195" s="144" t="str">
        <f>VLOOKUP(B195,Categories!$A$2:$C$8,3,0)</f>
        <v>Sourcing</v>
      </c>
      <c r="K195" s="147"/>
      <c r="L195" s="144" t="str">
        <f>VLOOKUP(C195,Subcategories!$A$2:$B$29,2,0)</f>
        <v>RFX Auction</v>
      </c>
      <c r="M195" s="144" t="str">
        <f>VLOOKUP(D195,Elements!$B$2:$C$435,2,0)</f>
        <v>Real-Time Monitoring</v>
      </c>
      <c r="N195" s="144" t="str">
        <f>VLOOKUP(H195,ElementVariants!$A$2:$B$460,2,0)</f>
        <v>How powerful is the real-time monitoring? Can it detect when bidders are dropped, when bidders are bidding too fast (and might be represented by prohibited bots), when their might be security issues, alert he buyers, and allow the auction to be paused if necessary?</v>
      </c>
    </row>
    <row r="196" spans="1:14" ht="45">
      <c r="A196" s="138">
        <v>196</v>
      </c>
      <c r="B196" s="142">
        <v>4</v>
      </c>
      <c r="C196" s="142">
        <v>15</v>
      </c>
      <c r="D196" s="142">
        <v>185</v>
      </c>
      <c r="E196" s="142" t="s">
        <v>1513</v>
      </c>
      <c r="F196" s="142">
        <f>INDEX(SuiteCatSub!$E$2:$E$55,MATCH(_xlfn.CONCAT(B196,"-",C196),SuiteCatSub!$F$2:$F$55,0))</f>
        <v>29</v>
      </c>
      <c r="G196" s="142">
        <v>332</v>
      </c>
      <c r="H196" s="142">
        <f>VLOOKUP(G196,SuiteCatSubElem_Version!$I$2:$J$667,2,0)</f>
        <v>185</v>
      </c>
      <c r="I196" s="146" t="s">
        <v>1423</v>
      </c>
      <c r="J196" s="144" t="str">
        <f>VLOOKUP(B196,Categories!$A$2:$C$8,3,0)</f>
        <v>Sourcing</v>
      </c>
      <c r="K196" s="147"/>
      <c r="L196" s="144" t="str">
        <f>VLOOKUP(C196,Subcategories!$A$2:$B$29,2,0)</f>
        <v>RFX Auction</v>
      </c>
      <c r="M196" s="144" t="str">
        <f>VLOOKUP(D196,Elements!$B$2:$C$435,2,0)</f>
        <v>Integrated Optimization Capability</v>
      </c>
      <c r="N196" s="144" t="str">
        <f>VLOOKUP(H196,ElementVariants!$A$2:$B$460,2,0)</f>
        <v>Is the auction tool integrated with optimization to allow for real-time constraint based optimization?</v>
      </c>
    </row>
    <row r="197" spans="1:14" ht="60">
      <c r="A197" s="138">
        <v>197</v>
      </c>
      <c r="B197" s="142">
        <v>4</v>
      </c>
      <c r="C197" s="142">
        <v>15</v>
      </c>
      <c r="D197" s="142">
        <v>186</v>
      </c>
      <c r="E197" s="142" t="s">
        <v>1514</v>
      </c>
      <c r="F197" s="142">
        <f>INDEX(SuiteCatSub!$E$2:$E$55,MATCH(_xlfn.CONCAT(B197,"-",C197),SuiteCatSub!$F$2:$F$55,0))</f>
        <v>29</v>
      </c>
      <c r="G197" s="142">
        <v>333</v>
      </c>
      <c r="H197" s="142">
        <f>VLOOKUP(G197,SuiteCatSubElem_Version!$I$2:$J$667,2,0)</f>
        <v>186</v>
      </c>
      <c r="I197" s="146" t="s">
        <v>1423</v>
      </c>
      <c r="J197" s="144" t="str">
        <f>VLOOKUP(B197,Categories!$A$2:$C$8,3,0)</f>
        <v>Sourcing</v>
      </c>
      <c r="K197" s="147"/>
      <c r="L197" s="144" t="str">
        <f>VLOOKUP(C197,Subcategories!$A$2:$B$29,2,0)</f>
        <v>RFX Auction</v>
      </c>
      <c r="M197" s="144" t="str">
        <f>VLOOKUP(D197,Elements!$B$2:$C$435,2,0)</f>
        <v>Automatic Supplier Identification/Invitation</v>
      </c>
      <c r="N197" s="144" t="str">
        <f>VLOOKUP(H197,ElementVariants!$A$2:$B$460,2,0)</f>
        <v>Does the tool integrate with the SIM module and/or supplier networks for the automatic identification of suppliers who should be invited to bid?</v>
      </c>
    </row>
    <row r="198" spans="1:14" ht="45">
      <c r="A198" s="138">
        <v>198</v>
      </c>
      <c r="B198" s="142">
        <v>4</v>
      </c>
      <c r="C198" s="142">
        <v>16</v>
      </c>
      <c r="D198" s="142">
        <v>187</v>
      </c>
      <c r="E198" s="142" t="s">
        <v>1515</v>
      </c>
      <c r="F198" s="142">
        <f>INDEX(SuiteCatSub!$E$2:$E$55,MATCH(_xlfn.CONCAT(B198,"-",C198),SuiteCatSub!$F$2:$F$55,0))</f>
        <v>30</v>
      </c>
      <c r="G198" s="142">
        <v>334</v>
      </c>
      <c r="H198" s="142">
        <f>VLOOKUP(G198,SuiteCatSubElem_Version!$I$2:$J$667,2,0)</f>
        <v>187</v>
      </c>
      <c r="I198" s="146" t="s">
        <v>1423</v>
      </c>
      <c r="J198" s="144" t="str">
        <f>VLOOKUP(B198,Categories!$A$2:$C$8,3,0)</f>
        <v>Sourcing</v>
      </c>
      <c r="K198" s="147"/>
      <c r="L198" s="144" t="str">
        <f>VLOOKUP(C198,Subcategories!$A$2:$B$29,2,0)</f>
        <v>Optimization</v>
      </c>
      <c r="M198" s="144" t="str">
        <f>VLOOKUP(D198,Elements!$B$2:$C$435,2,0)</f>
        <v>Solid Mathematical Foundations</v>
      </c>
      <c r="N198" s="144" t="str">
        <f>VLOOKUP(H198,ElementVariants!$A$2:$B$460,2,0)</f>
        <v>What is the foundation of the solver? Is it a sound and complete MILP solver that is guaranteed to find an optimal answer if sufficient time is given? Is it an evolutionary algorithm that is likely to find a great answer but not complete? Is it a hybrid approach that can augment branch-and-bound / decomposition MILP with a technique that quickly finds good starting solutions?</v>
      </c>
    </row>
    <row r="199" spans="1:14" ht="30">
      <c r="A199" s="138">
        <v>199</v>
      </c>
      <c r="B199" s="142">
        <v>4</v>
      </c>
      <c r="C199" s="142">
        <v>16</v>
      </c>
      <c r="D199" s="142">
        <v>188</v>
      </c>
      <c r="E199" s="142" t="s">
        <v>1516</v>
      </c>
      <c r="F199" s="142">
        <f>INDEX(SuiteCatSub!$E$2:$E$55,MATCH(_xlfn.CONCAT(B199,"-",C199),SuiteCatSub!$F$2:$F$55,0))</f>
        <v>30</v>
      </c>
      <c r="G199" s="142">
        <v>335</v>
      </c>
      <c r="H199" s="142">
        <f>VLOOKUP(G199,SuiteCatSubElem_Version!$I$2:$J$667,2,0)</f>
        <v>188</v>
      </c>
      <c r="I199" s="146" t="s">
        <v>1423</v>
      </c>
      <c r="J199" s="144" t="str">
        <f>VLOOKUP(B199,Categories!$A$2:$C$8,3,0)</f>
        <v>Sourcing</v>
      </c>
      <c r="K199" s="147"/>
      <c r="L199" s="144" t="str">
        <f>VLOOKUP(C199,Subcategories!$A$2:$B$29,2,0)</f>
        <v>Optimization</v>
      </c>
      <c r="M199" s="144" t="str">
        <f>VLOOKUP(D199,Elements!$B$2:$C$435,2,0)</f>
        <v>True Cost Modelling</v>
      </c>
      <c r="N199" s="144" t="str">
        <f>VLOOKUP(H199,ElementVariants!$A$2:$B$460,2,0)</f>
        <v>Does the solution support true cost modelling? In other words, can the buyer define any and all cost components that are part of the lifecycle cost model, and not a fixed set of cost components combined in a pre-defined cost formula?</v>
      </c>
    </row>
    <row r="200" spans="1:14" ht="30">
      <c r="A200" s="138">
        <v>200</v>
      </c>
      <c r="B200" s="142">
        <v>4</v>
      </c>
      <c r="C200" s="142">
        <v>16</v>
      </c>
      <c r="D200" s="142">
        <v>189</v>
      </c>
      <c r="E200" s="142" t="s">
        <v>1517</v>
      </c>
      <c r="F200" s="142">
        <f>INDEX(SuiteCatSub!$E$2:$E$55,MATCH(_xlfn.CONCAT(B200,"-",C200),SuiteCatSub!$F$2:$F$55,0))</f>
        <v>30</v>
      </c>
      <c r="G200" s="142">
        <v>336</v>
      </c>
      <c r="H200" s="142">
        <f>VLOOKUP(G200,SuiteCatSubElem_Version!$I$2:$J$667,2,0)</f>
        <v>189</v>
      </c>
      <c r="I200" s="146" t="s">
        <v>1423</v>
      </c>
      <c r="J200" s="144" t="str">
        <f>VLOOKUP(B200,Categories!$A$2:$C$8,3,0)</f>
        <v>Sourcing</v>
      </c>
      <c r="K200" s="147"/>
      <c r="L200" s="144" t="str">
        <f>VLOOKUP(C200,Subcategories!$A$2:$B$29,2,0)</f>
        <v>Optimization</v>
      </c>
      <c r="M200" s="144" t="str">
        <f>VLOOKUP(D200,Elements!$B$2:$C$435,2,0)</f>
        <v>Capacity</v>
      </c>
      <c r="N200" s="144" t="str">
        <f>VLOOKUP(H200,ElementVariants!$A$2:$B$460,2,0)</f>
        <v>Can it support capacity constraints that define minimums and/or maximums on each product, location, lane, etc. so that all allocation models are feasible (and respectful of hard business constraints)?</v>
      </c>
    </row>
    <row r="201" spans="1:14" ht="30">
      <c r="A201" s="138">
        <v>201</v>
      </c>
      <c r="B201" s="142">
        <v>4</v>
      </c>
      <c r="C201" s="142">
        <v>16</v>
      </c>
      <c r="D201" s="142">
        <v>190</v>
      </c>
      <c r="E201" s="142" t="s">
        <v>1518</v>
      </c>
      <c r="F201" s="142">
        <f>INDEX(SuiteCatSub!$E$2:$E$55,MATCH(_xlfn.CONCAT(B201,"-",C201),SuiteCatSub!$F$2:$F$55,0))</f>
        <v>30</v>
      </c>
      <c r="G201" s="142">
        <v>337</v>
      </c>
      <c r="H201" s="142">
        <f>VLOOKUP(G201,SuiteCatSubElem_Version!$I$2:$J$667,2,0)</f>
        <v>190</v>
      </c>
      <c r="I201" s="146" t="s">
        <v>1423</v>
      </c>
      <c r="J201" s="144" t="str">
        <f>VLOOKUP(B201,Categories!$A$2:$C$8,3,0)</f>
        <v>Sourcing</v>
      </c>
      <c r="K201" s="147"/>
      <c r="L201" s="144" t="str">
        <f>VLOOKUP(C201,Subcategories!$A$2:$B$29,2,0)</f>
        <v>Optimization</v>
      </c>
      <c r="M201" s="144" t="str">
        <f>VLOOKUP(D201,Elements!$B$2:$C$435,2,0)</f>
        <v>Allocation</v>
      </c>
      <c r="N201" s="144" t="str">
        <f>VLOOKUP(H201,ElementVariants!$A$2:$B$460,2,0)</f>
        <v>Can it support minimum or maximum allocation requirements that take into account existing contracts or acquisition requirements from strategic suppliers?</v>
      </c>
    </row>
    <row r="202" spans="1:14" ht="30">
      <c r="A202" s="138">
        <v>202</v>
      </c>
      <c r="B202" s="142">
        <v>4</v>
      </c>
      <c r="C202" s="142">
        <v>16</v>
      </c>
      <c r="D202" s="142">
        <v>191</v>
      </c>
      <c r="E202" s="142" t="s">
        <v>1519</v>
      </c>
      <c r="F202" s="142">
        <f>INDEX(SuiteCatSub!$E$2:$E$55,MATCH(_xlfn.CONCAT(B202,"-",C202),SuiteCatSub!$F$2:$F$55,0))</f>
        <v>30</v>
      </c>
      <c r="G202" s="142">
        <v>338</v>
      </c>
      <c r="H202" s="142">
        <f>VLOOKUP(G202,SuiteCatSubElem_Version!$I$2:$J$667,2,0)</f>
        <v>191</v>
      </c>
      <c r="I202" s="146" t="s">
        <v>1423</v>
      </c>
      <c r="J202" s="144" t="str">
        <f>VLOOKUP(B202,Categories!$A$2:$C$8,3,0)</f>
        <v>Sourcing</v>
      </c>
      <c r="K202" s="147"/>
      <c r="L202" s="144" t="str">
        <f>VLOOKUP(C202,Subcategories!$A$2:$B$29,2,0)</f>
        <v>Optimization</v>
      </c>
      <c r="M202" s="144" t="str">
        <f>VLOOKUP(D202,Elements!$B$2:$C$435,2,0)</f>
        <v>Risk Mitigation</v>
      </c>
      <c r="N202" s="144" t="str">
        <f>VLOOKUP(H202,ElementVariants!$A$2:$B$460,2,0)</f>
        <v>Can it support risk mitigation constraints which insure that a maximum allocation is given to a certain supplier (set), geography, etc. and that allocations are split in accordance with corporate risk mitigation objectives?</v>
      </c>
    </row>
    <row r="203" spans="1:14" ht="30">
      <c r="A203" s="138">
        <v>203</v>
      </c>
      <c r="B203" s="142">
        <v>4</v>
      </c>
      <c r="C203" s="142">
        <v>16</v>
      </c>
      <c r="D203" s="142">
        <v>192</v>
      </c>
      <c r="E203" s="142" t="s">
        <v>1520</v>
      </c>
      <c r="F203" s="142">
        <f>INDEX(SuiteCatSub!$E$2:$E$55,MATCH(_xlfn.CONCAT(B203,"-",C203),SuiteCatSub!$F$2:$F$55,0))</f>
        <v>30</v>
      </c>
      <c r="G203" s="142">
        <v>339</v>
      </c>
      <c r="H203" s="142">
        <f>VLOOKUP(G203,SuiteCatSubElem_Version!$I$2:$J$667,2,0)</f>
        <v>192</v>
      </c>
      <c r="I203" s="146" t="s">
        <v>1423</v>
      </c>
      <c r="J203" s="144" t="str">
        <f>VLOOKUP(B203,Categories!$A$2:$C$8,3,0)</f>
        <v>Sourcing</v>
      </c>
      <c r="K203" s="147"/>
      <c r="L203" s="144" t="str">
        <f>VLOOKUP(C203,Subcategories!$A$2:$B$29,2,0)</f>
        <v>Optimization</v>
      </c>
      <c r="M203" s="144" t="str">
        <f>VLOOKUP(D203,Elements!$B$2:$C$435,2,0)</f>
        <v>Qualitative</v>
      </c>
      <c r="N203" s="144" t="str">
        <f>VLOOKUP(H203,ElementVariants!$A$2:$B$460,2,0)</f>
        <v>Can it support qualitative constraints that insure the minimum or average or weighted award meets a certain qualitative requirement (such as defect rate, average lifetime, etc.)?</v>
      </c>
    </row>
    <row r="204" spans="1:14" ht="30">
      <c r="A204" s="138">
        <v>204</v>
      </c>
      <c r="B204" s="142">
        <v>4</v>
      </c>
      <c r="C204" s="142">
        <v>16</v>
      </c>
      <c r="D204" s="142">
        <v>193</v>
      </c>
      <c r="E204" s="142" t="s">
        <v>1521</v>
      </c>
      <c r="F204" s="142">
        <f>INDEX(SuiteCatSub!$E$2:$E$55,MATCH(_xlfn.CONCAT(B204,"-",C204),SuiteCatSub!$F$2:$F$55,0))</f>
        <v>30</v>
      </c>
      <c r="G204" s="142">
        <v>340</v>
      </c>
      <c r="H204" s="142">
        <f>VLOOKUP(G204,SuiteCatSubElem_Version!$I$2:$J$667,2,0)</f>
        <v>193</v>
      </c>
      <c r="I204" s="146" t="s">
        <v>1423</v>
      </c>
      <c r="J204" s="144" t="str">
        <f>VLOOKUP(B204,Categories!$A$2:$C$8,3,0)</f>
        <v>Sourcing</v>
      </c>
      <c r="K204" s="147"/>
      <c r="L204" s="144" t="str">
        <f>VLOOKUP(C204,Subcategories!$A$2:$B$29,2,0)</f>
        <v>Optimization</v>
      </c>
      <c r="M204" s="144" t="str">
        <f>VLOOKUP(D204,Elements!$B$2:$C$435,2,0)</f>
        <v>What If? Capability</v>
      </c>
      <c r="N204" s="144" t="str">
        <f>VLOOKUP(H204,ElementVariants!$A$2:$B$460,2,0)</f>
        <v>Can it support the creation of unlimited what-if scenarios?</v>
      </c>
    </row>
    <row r="205" spans="1:14" ht="30">
      <c r="A205" s="138">
        <v>205</v>
      </c>
      <c r="B205" s="142">
        <v>4</v>
      </c>
      <c r="C205" s="142">
        <v>16</v>
      </c>
      <c r="D205" s="142">
        <v>194</v>
      </c>
      <c r="E205" s="142" t="s">
        <v>1522</v>
      </c>
      <c r="F205" s="142">
        <f>INDEX(SuiteCatSub!$E$2:$E$55,MATCH(_xlfn.CONCAT(B205,"-",C205),SuiteCatSub!$F$2:$F$55,0))</f>
        <v>30</v>
      </c>
      <c r="G205" s="142">
        <v>341</v>
      </c>
      <c r="H205" s="142">
        <f>VLOOKUP(G205,SuiteCatSubElem_Version!$I$2:$J$667,2,0)</f>
        <v>194</v>
      </c>
      <c r="I205" s="146" t="s">
        <v>1423</v>
      </c>
      <c r="J205" s="144" t="str">
        <f>VLOOKUP(B205,Categories!$A$2:$C$8,3,0)</f>
        <v>Sourcing</v>
      </c>
      <c r="K205" s="147"/>
      <c r="L205" s="144" t="str">
        <f>VLOOKUP(C205,Subcategories!$A$2:$B$29,2,0)</f>
        <v>Optimization</v>
      </c>
      <c r="M205" s="144" t="str">
        <f>VLOOKUP(D205,Elements!$B$2:$C$435,2,0)</f>
        <v>Out-of-the-Box</v>
      </c>
      <c r="N205" s="144" t="str">
        <f>VLOOKUP(H205,ElementVariants!$A$2:$B$460,2,0)</f>
        <v>Does it support automatic creation of a suite of basic minimum cost, maximum supplier, minimum geographic risk, and other out of the box scenarios that are automatically created and allocated?</v>
      </c>
    </row>
    <row r="206" spans="1:14" ht="30">
      <c r="A206" s="138">
        <v>206</v>
      </c>
      <c r="B206" s="142">
        <v>4</v>
      </c>
      <c r="C206" s="142">
        <v>16</v>
      </c>
      <c r="D206" s="142">
        <v>195</v>
      </c>
      <c r="E206" s="142" t="s">
        <v>1523</v>
      </c>
      <c r="F206" s="142">
        <f>INDEX(SuiteCatSub!$E$2:$E$55,MATCH(_xlfn.CONCAT(B206,"-",C206),SuiteCatSub!$F$2:$F$55,0))</f>
        <v>30</v>
      </c>
      <c r="G206" s="142">
        <v>342</v>
      </c>
      <c r="H206" s="142">
        <f>VLOOKUP(G206,SuiteCatSubElem_Version!$I$2:$J$667,2,0)</f>
        <v>195</v>
      </c>
      <c r="I206" s="146" t="s">
        <v>1423</v>
      </c>
      <c r="J206" s="144" t="str">
        <f>VLOOKUP(B206,Categories!$A$2:$C$8,3,0)</f>
        <v>Sourcing</v>
      </c>
      <c r="K206" s="147"/>
      <c r="L206" s="144" t="str">
        <f>VLOOKUP(C206,Subcategories!$A$2:$B$29,2,0)</f>
        <v>Optimization</v>
      </c>
      <c r="M206" s="144" t="str">
        <f>VLOOKUP(D206,Elements!$B$2:$C$435,2,0)</f>
        <v>Constraint Relaxation</v>
      </c>
      <c r="N206" s="144" t="str">
        <f>VLOOKUP(H206,ElementVariants!$A$2:$B$460,2,0)</f>
        <v>Does it support the creation of what-if scenarios by (automatically) relaxing one or more potentially limiting constraints that prevents a scenario from being solved or that has been determined to be increasing the cost by more than a minimum percentage?</v>
      </c>
    </row>
    <row r="207" spans="1:14" ht="30">
      <c r="A207" s="138">
        <v>207</v>
      </c>
      <c r="B207" s="142">
        <v>4</v>
      </c>
      <c r="C207" s="142">
        <v>16</v>
      </c>
      <c r="D207" s="142">
        <v>196</v>
      </c>
      <c r="E207" s="142" t="s">
        <v>1524</v>
      </c>
      <c r="F207" s="142">
        <f>INDEX(SuiteCatSub!$E$2:$E$55,MATCH(_xlfn.CONCAT(B207,"-",C207),SuiteCatSub!$F$2:$F$55,0))</f>
        <v>30</v>
      </c>
      <c r="G207" s="142">
        <v>343</v>
      </c>
      <c r="H207" s="142">
        <f>VLOOKUP(G207,SuiteCatSubElem_Version!$I$2:$J$667,2,0)</f>
        <v>196</v>
      </c>
      <c r="I207" s="146" t="s">
        <v>1423</v>
      </c>
      <c r="J207" s="144" t="str">
        <f>VLOOKUP(B207,Categories!$A$2:$C$8,3,0)</f>
        <v>Sourcing</v>
      </c>
      <c r="K207" s="147"/>
      <c r="L207" s="144" t="str">
        <f>VLOOKUP(C207,Subcategories!$A$2:$B$29,2,0)</f>
        <v>Optimization</v>
      </c>
      <c r="M207" s="144" t="str">
        <f>VLOOKUP(D207,Elements!$B$2:$C$435,2,0)</f>
        <v>Scenario Comparison</v>
      </c>
      <c r="N207" s="144" t="str">
        <f>VLOOKUP(H207,ElementVariants!$A$2:$B$460,2,0)</f>
        <v>How powerful is the scenario comparison capability?</v>
      </c>
    </row>
    <row r="208" spans="1:14" ht="30">
      <c r="A208" s="138">
        <v>208</v>
      </c>
      <c r="B208" s="142">
        <v>4</v>
      </c>
      <c r="C208" s="142">
        <v>16</v>
      </c>
      <c r="D208" s="142">
        <v>197</v>
      </c>
      <c r="E208" s="142" t="s">
        <v>1525</v>
      </c>
      <c r="F208" s="142">
        <f>INDEX(SuiteCatSub!$E$2:$E$55,MATCH(_xlfn.CONCAT(B208,"-",C208),SuiteCatSub!$F$2:$F$55,0))</f>
        <v>30</v>
      </c>
      <c r="G208" s="142">
        <v>344</v>
      </c>
      <c r="H208" s="142">
        <f>VLOOKUP(G208,SuiteCatSubElem_Version!$I$2:$J$667,2,0)</f>
        <v>197</v>
      </c>
      <c r="I208" s="146" t="s">
        <v>1423</v>
      </c>
      <c r="J208" s="144" t="str">
        <f>VLOOKUP(B208,Categories!$A$2:$C$8,3,0)</f>
        <v>Sourcing</v>
      </c>
      <c r="K208" s="147"/>
      <c r="L208" s="144" t="str">
        <f>VLOOKUP(C208,Subcategories!$A$2:$B$29,2,0)</f>
        <v>Optimization</v>
      </c>
      <c r="M208" s="144" t="str">
        <f>VLOOKUP(D208,Elements!$B$2:$C$435,2,0)</f>
        <v>Sensitivity Analysis</v>
      </c>
      <c r="N208" s="144" t="str">
        <f>VLOOKUP(H208,ElementVariants!$A$2:$B$460,2,0)</f>
        <v>Does the optimization engine support sensitivity analysis?</v>
      </c>
    </row>
    <row r="209" spans="1:14" ht="30">
      <c r="A209" s="138">
        <v>209</v>
      </c>
      <c r="B209" s="142">
        <v>4</v>
      </c>
      <c r="C209" s="142">
        <v>16</v>
      </c>
      <c r="D209" s="142">
        <v>198</v>
      </c>
      <c r="E209" s="142" t="s">
        <v>1526</v>
      </c>
      <c r="F209" s="142">
        <f>INDEX(SuiteCatSub!$E$2:$E$55,MATCH(_xlfn.CONCAT(B209,"-",C209),SuiteCatSub!$F$2:$F$55,0))</f>
        <v>30</v>
      </c>
      <c r="G209" s="142">
        <v>345</v>
      </c>
      <c r="H209" s="142">
        <f>VLOOKUP(G209,SuiteCatSubElem_Version!$I$2:$J$667,2,0)</f>
        <v>198</v>
      </c>
      <c r="I209" s="146" t="s">
        <v>1423</v>
      </c>
      <c r="J209" s="144" t="str">
        <f>VLOOKUP(B209,Categories!$A$2:$C$8,3,0)</f>
        <v>Sourcing</v>
      </c>
      <c r="K209" s="147"/>
      <c r="L209" s="144" t="str">
        <f>VLOOKUP(C209,Subcategories!$A$2:$B$29,2,0)</f>
        <v>Optimization</v>
      </c>
      <c r="M209" s="144" t="str">
        <f>VLOOKUP(D209,Elements!$B$2:$C$435,2,0)</f>
        <v>Hard Constraint Identification</v>
      </c>
      <c r="N209" s="144" t="str">
        <f>VLOOKUP(H209,ElementVariants!$A$2:$B$460,2,0)</f>
        <v>Can it identify all of the "hard" constraints that are preventing the solver from finding a lower cost solution and the approximate degree or potential range to which they are limiting the solution?</v>
      </c>
    </row>
    <row r="210" spans="1:14" ht="30">
      <c r="A210" s="138">
        <v>210</v>
      </c>
      <c r="B210" s="142">
        <v>4</v>
      </c>
      <c r="C210" s="142">
        <v>16</v>
      </c>
      <c r="D210" s="142">
        <v>199</v>
      </c>
      <c r="E210" s="142" t="s">
        <v>1527</v>
      </c>
      <c r="F210" s="142">
        <f>INDEX(SuiteCatSub!$E$2:$E$55,MATCH(_xlfn.CONCAT(B210,"-",C210),SuiteCatSub!$F$2:$F$55,0))</f>
        <v>30</v>
      </c>
      <c r="G210" s="142">
        <v>346</v>
      </c>
      <c r="H210" s="142">
        <f>VLOOKUP(G210,SuiteCatSubElem_Version!$I$2:$J$667,2,0)</f>
        <v>199</v>
      </c>
      <c r="I210" s="146" t="s">
        <v>1423</v>
      </c>
      <c r="J210" s="144" t="str">
        <f>VLOOKUP(B210,Categories!$A$2:$C$8,3,0)</f>
        <v>Sourcing</v>
      </c>
      <c r="K210" s="147"/>
      <c r="L210" s="144" t="str">
        <f>VLOOKUP(C210,Subcategories!$A$2:$B$29,2,0)</f>
        <v>Optimization</v>
      </c>
      <c r="M210" s="144" t="str">
        <f>VLOOKUP(D210,Elements!$B$2:$C$435,2,0)</f>
        <v>Soft Constraint Support</v>
      </c>
      <c r="N210" s="144" t="str">
        <f>VLOOKUP(H210,ElementVariants!$A$2:$B$460,2,0)</f>
        <v>Can the tool support the creation of soft constraints that can be relaxed to allow an unsolvable model to otherwise solve and can the constraints be relaxed more if the relaxation would save more than the relaxation would cost?</v>
      </c>
    </row>
    <row r="211" spans="1:14" ht="30">
      <c r="A211" s="138">
        <v>211</v>
      </c>
      <c r="B211" s="142">
        <v>4</v>
      </c>
      <c r="C211" s="142">
        <v>16</v>
      </c>
      <c r="D211" s="142">
        <v>200</v>
      </c>
      <c r="E211" s="142" t="s">
        <v>1528</v>
      </c>
      <c r="F211" s="142">
        <f>INDEX(SuiteCatSub!$E$2:$E$55,MATCH(_xlfn.CONCAT(B211,"-",C211),SuiteCatSub!$F$2:$F$55,0))</f>
        <v>30</v>
      </c>
      <c r="G211" s="142">
        <v>347</v>
      </c>
      <c r="H211" s="142">
        <f>VLOOKUP(G211,SuiteCatSubElem_Version!$I$2:$J$667,2,0)</f>
        <v>200</v>
      </c>
      <c r="I211" s="146" t="s">
        <v>1423</v>
      </c>
      <c r="J211" s="144" t="str">
        <f>VLOOKUP(B211,Categories!$A$2:$C$8,3,0)</f>
        <v>Sourcing</v>
      </c>
      <c r="K211" s="147"/>
      <c r="L211" s="144" t="str">
        <f>VLOOKUP(C211,Subcategories!$A$2:$B$29,2,0)</f>
        <v>Optimization</v>
      </c>
      <c r="M211" s="144" t="str">
        <f>VLOOKUP(D211,Elements!$B$2:$C$435,2,0)</f>
        <v>Model Templates</v>
      </c>
      <c r="N211" s="144" t="str">
        <f>VLOOKUP(H211,ElementVariants!$A$2:$B$460,2,0)</f>
        <v>Does the optimization capability support the creation of advanced model templates that can be used to instantiate a new optimization event?</v>
      </c>
    </row>
    <row r="212" spans="1:14" ht="30">
      <c r="A212" s="138">
        <v>212</v>
      </c>
      <c r="B212" s="142">
        <v>4</v>
      </c>
      <c r="C212" s="142">
        <v>16</v>
      </c>
      <c r="D212" s="142">
        <v>201</v>
      </c>
      <c r="E212" s="142" t="s">
        <v>1529</v>
      </c>
      <c r="F212" s="142">
        <f>INDEX(SuiteCatSub!$E$2:$E$55,MATCH(_xlfn.CONCAT(B212,"-",C212),SuiteCatSub!$F$2:$F$55,0))</f>
        <v>30</v>
      </c>
      <c r="G212" s="142">
        <v>348</v>
      </c>
      <c r="H212" s="142">
        <f>VLOOKUP(G212,SuiteCatSubElem_Version!$I$2:$J$667,2,0)</f>
        <v>201</v>
      </c>
      <c r="I212" s="146" t="s">
        <v>1423</v>
      </c>
      <c r="J212" s="144" t="str">
        <f>VLOOKUP(B212,Categories!$A$2:$C$8,3,0)</f>
        <v>Sourcing</v>
      </c>
      <c r="K212" s="147"/>
      <c r="L212" s="144" t="str">
        <f>VLOOKUP(C212,Subcategories!$A$2:$B$29,2,0)</f>
        <v>Optimization</v>
      </c>
      <c r="M212" s="144" t="str">
        <f>VLOOKUP(D212,Elements!$B$2:$C$435,2,0)</f>
        <v>RFX/Auction Integration</v>
      </c>
      <c r="N212" s="144" t="str">
        <f>VLOOKUP(H212,ElementVariants!$A$2:$B$460,2,0)</f>
        <v>Does the optimization engine integrate with RFX and/or Auctions to allow for initial population of the optimization model?</v>
      </c>
    </row>
    <row r="213" spans="1:14" ht="30">
      <c r="A213" s="138">
        <v>213</v>
      </c>
      <c r="B213" s="142">
        <v>4</v>
      </c>
      <c r="C213" s="142">
        <v>16</v>
      </c>
      <c r="D213" s="142">
        <v>202</v>
      </c>
      <c r="E213" s="142" t="s">
        <v>1530</v>
      </c>
      <c r="F213" s="142">
        <f>INDEX(SuiteCatSub!$E$2:$E$55,MATCH(_xlfn.CONCAT(B213,"-",C213),SuiteCatSub!$F$2:$F$55,0))</f>
        <v>30</v>
      </c>
      <c r="G213" s="142">
        <v>349</v>
      </c>
      <c r="H213" s="142">
        <f>VLOOKUP(G213,SuiteCatSubElem_Version!$I$2:$J$667,2,0)</f>
        <v>202</v>
      </c>
      <c r="I213" s="146" t="s">
        <v>1423</v>
      </c>
      <c r="J213" s="144" t="str">
        <f>VLOOKUP(B213,Categories!$A$2:$C$8,3,0)</f>
        <v>Sourcing</v>
      </c>
      <c r="K213" s="147"/>
      <c r="L213" s="144" t="str">
        <f>VLOOKUP(C213,Subcategories!$A$2:$B$29,2,0)</f>
        <v>Optimization</v>
      </c>
      <c r="M213" s="144" t="str">
        <f>VLOOKUP(D213,Elements!$B$2:$C$435,2,0)</f>
        <v>Scalability</v>
      </c>
      <c r="N213" s="144" t="str">
        <f>VLOOKUP(H213,ElementVariants!$A$2:$B$460,2,0)</f>
        <v>How does the optimization solution scale up? How big can models get before the exponential solver slow down becomes noticeable?</v>
      </c>
    </row>
    <row r="214" spans="1:14" ht="30">
      <c r="A214" s="138">
        <v>214</v>
      </c>
      <c r="B214" s="142">
        <v>4</v>
      </c>
      <c r="C214" s="142">
        <v>17</v>
      </c>
      <c r="D214" s="142">
        <v>203</v>
      </c>
      <c r="E214" s="142" t="s">
        <v>1531</v>
      </c>
      <c r="F214" s="142">
        <f>INDEX(SuiteCatSub!$E$2:$E$55,MATCH(_xlfn.CONCAT(B214,"-",C214),SuiteCatSub!$F$2:$F$55,0))</f>
        <v>31</v>
      </c>
      <c r="G214" s="142">
        <v>350</v>
      </c>
      <c r="H214" s="142">
        <f>VLOOKUP(G214,SuiteCatSubElem_Version!$I$2:$J$667,2,0)</f>
        <v>203</v>
      </c>
      <c r="I214" s="146" t="s">
        <v>1423</v>
      </c>
      <c r="J214" s="144" t="str">
        <f>VLOOKUP(B214,Categories!$A$2:$C$8,3,0)</f>
        <v>Sourcing</v>
      </c>
      <c r="K214" s="147"/>
      <c r="L214" s="144" t="str">
        <f>VLOOKUP(C214,Subcategories!$A$2:$B$29,2,0)</f>
        <v>Contracts</v>
      </c>
      <c r="M214" s="144" t="str">
        <f>VLOOKUP(D214,Elements!$B$2:$C$435,2,0)</f>
        <v>Negotiation Management</v>
      </c>
      <c r="N214" s="144" t="str">
        <f>VLOOKUP(H214,ElementVariants!$A$2:$B$460,2,0)</f>
        <v>To what extent does the platform support e-Negotiation Management?</v>
      </c>
    </row>
    <row r="215" spans="1:14" ht="45">
      <c r="A215" s="138">
        <v>215</v>
      </c>
      <c r="B215" s="142">
        <v>4</v>
      </c>
      <c r="C215" s="142">
        <v>17</v>
      </c>
      <c r="D215" s="142">
        <v>204</v>
      </c>
      <c r="E215" s="142" t="s">
        <v>1532</v>
      </c>
      <c r="F215" s="142">
        <f>INDEX(SuiteCatSub!$E$2:$E$55,MATCH(_xlfn.CONCAT(B215,"-",C215),SuiteCatSub!$F$2:$F$55,0))</f>
        <v>31</v>
      </c>
      <c r="G215" s="142">
        <v>351</v>
      </c>
      <c r="H215" s="142">
        <f>VLOOKUP(G215,SuiteCatSubElem_Version!$I$2:$J$667,2,0)</f>
        <v>204</v>
      </c>
      <c r="I215" s="146" t="s">
        <v>1423</v>
      </c>
      <c r="J215" s="144" t="str">
        <f>VLOOKUP(B215,Categories!$A$2:$C$8,3,0)</f>
        <v>Sourcing</v>
      </c>
      <c r="K215" s="147"/>
      <c r="L215" s="144" t="str">
        <f>VLOOKUP(C215,Subcategories!$A$2:$B$29,2,0)</f>
        <v>Contracts</v>
      </c>
      <c r="M215" s="144" t="str">
        <f>VLOOKUP(D215,Elements!$B$2:$C$435,2,0)</f>
        <v>Auditable, Unalterable, Messaging</v>
      </c>
      <c r="N215" s="144" t="str">
        <f>VLOOKUP(H215,ElementVariants!$A$2:$B$460,2,0)</f>
        <v>Can both parties create secure, unalterable, auditable, persistent messages?</v>
      </c>
    </row>
    <row r="216" spans="1:14" ht="30">
      <c r="A216" s="138">
        <v>216</v>
      </c>
      <c r="B216" s="142">
        <v>4</v>
      </c>
      <c r="C216" s="142">
        <v>17</v>
      </c>
      <c r="D216" s="142">
        <v>205</v>
      </c>
      <c r="E216" s="142" t="s">
        <v>1533</v>
      </c>
      <c r="F216" s="142">
        <f>INDEX(SuiteCatSub!$E$2:$E$55,MATCH(_xlfn.CONCAT(B216,"-",C216),SuiteCatSub!$F$2:$F$55,0))</f>
        <v>31</v>
      </c>
      <c r="G216" s="142">
        <v>352</v>
      </c>
      <c r="H216" s="142">
        <f>VLOOKUP(G216,SuiteCatSubElem_Version!$I$2:$J$667,2,0)</f>
        <v>205</v>
      </c>
      <c r="I216" s="146" t="s">
        <v>1423</v>
      </c>
      <c r="J216" s="144" t="str">
        <f>VLOOKUP(B216,Categories!$A$2:$C$8,3,0)</f>
        <v>Sourcing</v>
      </c>
      <c r="K216" s="147"/>
      <c r="L216" s="144" t="str">
        <f>VLOOKUP(C216,Subcategories!$A$2:$B$29,2,0)</f>
        <v>Contracts</v>
      </c>
      <c r="M216" s="144" t="str">
        <f>VLOOKUP(D216,Elements!$B$2:$C$435,2,0)</f>
        <v>Contract Creation</v>
      </c>
      <c r="N216" s="144" t="str">
        <f>VLOOKUP(H216,ElementVariants!$A$2:$B$460,2,0)</f>
        <v>To what extent does the platform support contract creation?</v>
      </c>
    </row>
    <row r="217" spans="1:14">
      <c r="A217" s="138">
        <v>217</v>
      </c>
      <c r="B217" s="142">
        <v>4</v>
      </c>
      <c r="C217" s="142">
        <v>17</v>
      </c>
      <c r="D217" s="142">
        <v>115</v>
      </c>
      <c r="E217" s="142" t="s">
        <v>1534</v>
      </c>
      <c r="F217" s="142">
        <f>INDEX(SuiteCatSub!$E$2:$E$55,MATCH(_xlfn.CONCAT(B217,"-",C217),SuiteCatSub!$F$2:$F$55,0))</f>
        <v>31</v>
      </c>
      <c r="G217" s="142">
        <v>353</v>
      </c>
      <c r="H217" s="142">
        <f>VLOOKUP(G217,SuiteCatSubElem_Version!$I$2:$J$667,2,0)</f>
        <v>454</v>
      </c>
      <c r="I217" s="146" t="s">
        <v>1423</v>
      </c>
      <c r="J217" s="144" t="str">
        <f>VLOOKUP(B217,Categories!$A$2:$C$8,3,0)</f>
        <v>Sourcing</v>
      </c>
      <c r="K217" s="147"/>
      <c r="L217" s="144" t="str">
        <f>VLOOKUP(C217,Subcategories!$A$2:$B$29,2,0)</f>
        <v>Contracts</v>
      </c>
      <c r="M217" s="144" t="str">
        <f>VLOOKUP(D217,Elements!$B$2:$C$435,2,0)</f>
        <v>Templates</v>
      </c>
      <c r="N217" s="144" t="str">
        <f>VLOOKUP(H217,ElementVariants!$A$2:$B$460,2,0)</f>
        <v>Does the platform allow templates that can be used for initial contract creation?</v>
      </c>
    </row>
    <row r="218" spans="1:14" ht="30">
      <c r="A218" s="138">
        <v>218</v>
      </c>
      <c r="B218" s="142">
        <v>4</v>
      </c>
      <c r="C218" s="142">
        <v>17</v>
      </c>
      <c r="D218" s="142">
        <v>206</v>
      </c>
      <c r="E218" s="142" t="s">
        <v>1535</v>
      </c>
      <c r="F218" s="142">
        <f>INDEX(SuiteCatSub!$E$2:$E$55,MATCH(_xlfn.CONCAT(B218,"-",C218),SuiteCatSub!$F$2:$F$55,0))</f>
        <v>31</v>
      </c>
      <c r="G218" s="142">
        <v>354</v>
      </c>
      <c r="H218" s="142">
        <f>VLOOKUP(G218,SuiteCatSubElem_Version!$I$2:$J$667,2,0)</f>
        <v>206</v>
      </c>
      <c r="I218" s="146" t="s">
        <v>1423</v>
      </c>
      <c r="J218" s="144" t="str">
        <f>VLOOKUP(B218,Categories!$A$2:$C$8,3,0)</f>
        <v>Sourcing</v>
      </c>
      <c r="K218" s="147"/>
      <c r="L218" s="144" t="str">
        <f>VLOOKUP(C218,Subcategories!$A$2:$B$29,2,0)</f>
        <v>Contracts</v>
      </c>
      <c r="M218" s="144" t="str">
        <f>VLOOKUP(D218,Elements!$B$2:$C$435,2,0)</f>
        <v>Clauses</v>
      </c>
      <c r="N218" s="144" t="str">
        <f>VLOOKUP(H218,ElementVariants!$A$2:$B$460,2,0)</f>
        <v>Does the platform allow Legal to define standard clauses and variations (across geographies, industries, etc.) that can be automatically included in the template used to cut the contract?</v>
      </c>
    </row>
    <row r="219" spans="1:14" ht="30">
      <c r="A219" s="138">
        <v>219</v>
      </c>
      <c r="B219" s="142">
        <v>4</v>
      </c>
      <c r="C219" s="142">
        <v>17</v>
      </c>
      <c r="D219" s="142">
        <v>207</v>
      </c>
      <c r="E219" s="142" t="s">
        <v>1536</v>
      </c>
      <c r="F219" s="142">
        <f>INDEX(SuiteCatSub!$E$2:$E$55,MATCH(_xlfn.CONCAT(B219,"-",C219),SuiteCatSub!$F$2:$F$55,0))</f>
        <v>31</v>
      </c>
      <c r="G219" s="142">
        <v>355</v>
      </c>
      <c r="H219" s="142">
        <f>VLOOKUP(G219,SuiteCatSubElem_Version!$I$2:$J$667,2,0)</f>
        <v>207</v>
      </c>
      <c r="I219" s="146" t="s">
        <v>1423</v>
      </c>
      <c r="J219" s="144" t="str">
        <f>VLOOKUP(B219,Categories!$A$2:$C$8,3,0)</f>
        <v>Sourcing</v>
      </c>
      <c r="K219" s="147"/>
      <c r="L219" s="144" t="str">
        <f>VLOOKUP(C219,Subcategories!$A$2:$B$29,2,0)</f>
        <v>Contracts</v>
      </c>
      <c r="M219" s="144" t="str">
        <f>VLOOKUP(D219,Elements!$B$2:$C$435,2,0)</f>
        <v>Attachments</v>
      </c>
      <c r="N219" s="144" t="str">
        <f>VLOOKUP(H219,ElementVariants!$A$2:$B$460,2,0)</f>
        <v>Does the platform allow the buyer to attach as many attachments (NDAs, specs, etc.) as necessary in a secure fashion and allow for supplier verification / e-Signature confirmation of receipt?</v>
      </c>
    </row>
    <row r="220" spans="1:14" ht="30">
      <c r="A220" s="138">
        <v>220</v>
      </c>
      <c r="B220" s="142">
        <v>4</v>
      </c>
      <c r="C220" s="142">
        <v>17</v>
      </c>
      <c r="D220" s="142">
        <v>208</v>
      </c>
      <c r="E220" s="142" t="s">
        <v>1537</v>
      </c>
      <c r="F220" s="142">
        <f>INDEX(SuiteCatSub!$E$2:$E$55,MATCH(_xlfn.CONCAT(B220,"-",C220),SuiteCatSub!$F$2:$F$55,0))</f>
        <v>31</v>
      </c>
      <c r="G220" s="142">
        <v>356</v>
      </c>
      <c r="H220" s="142">
        <f>VLOOKUP(G220,SuiteCatSubElem_Version!$I$2:$J$667,2,0)</f>
        <v>208</v>
      </c>
      <c r="I220" s="146" t="s">
        <v>1423</v>
      </c>
      <c r="J220" s="144" t="str">
        <f>VLOOKUP(B220,Categories!$A$2:$C$8,3,0)</f>
        <v>Sourcing</v>
      </c>
      <c r="K220" s="147"/>
      <c r="L220" s="144" t="str">
        <f>VLOOKUP(C220,Subcategories!$A$2:$B$29,2,0)</f>
        <v>Contracts</v>
      </c>
      <c r="M220" s="144" t="str">
        <f>VLOOKUP(D220,Elements!$B$2:$C$435,2,0)</f>
        <v>Word Integration</v>
      </c>
      <c r="N220" s="144" t="str">
        <f>VLOOKUP(H220,ElementVariants!$A$2:$B$460,2,0)</f>
        <v>Does the solution integrate with Microsoft Word to enable both parties to build and edit documents within Microsoft, but with full security and version tracking?</v>
      </c>
    </row>
    <row r="221" spans="1:14" ht="30">
      <c r="A221" s="138">
        <v>221</v>
      </c>
      <c r="B221" s="142">
        <v>4</v>
      </c>
      <c r="C221" s="142">
        <v>17</v>
      </c>
      <c r="D221" s="142">
        <v>209</v>
      </c>
      <c r="E221" s="142" t="s">
        <v>1538</v>
      </c>
      <c r="F221" s="142">
        <f>INDEX(SuiteCatSub!$E$2:$E$55,MATCH(_xlfn.CONCAT(B221,"-",C221),SuiteCatSub!$F$2:$F$55,0))</f>
        <v>31</v>
      </c>
      <c r="G221" s="142">
        <v>357</v>
      </c>
      <c r="H221" s="142">
        <f>VLOOKUP(G221,SuiteCatSubElem_Version!$I$2:$J$667,2,0)</f>
        <v>209</v>
      </c>
      <c r="I221" s="146" t="s">
        <v>1423</v>
      </c>
      <c r="J221" s="144" t="str">
        <f>VLOOKUP(B221,Categories!$A$2:$C$8,3,0)</f>
        <v>Sourcing</v>
      </c>
      <c r="K221" s="147"/>
      <c r="L221" s="144" t="str">
        <f>VLOOKUP(C221,Subcategories!$A$2:$B$29,2,0)</f>
        <v>Contracts</v>
      </c>
      <c r="M221" s="144" t="str">
        <f>VLOOKUP(D221,Elements!$B$2:$C$435,2,0)</f>
        <v>Version Control</v>
      </c>
      <c r="N221" s="144" t="str">
        <f>VLOOKUP(H221,ElementVariants!$A$2:$B$460,2,0)</f>
        <v>Does the solution have extensive version control capabilities with complete tracking of who did each individual change (if collaborative editing was enabled)?</v>
      </c>
    </row>
    <row r="222" spans="1:14" ht="30">
      <c r="A222" s="138">
        <v>222</v>
      </c>
      <c r="B222" s="142">
        <v>4</v>
      </c>
      <c r="C222" s="142">
        <v>17</v>
      </c>
      <c r="D222" s="142">
        <v>210</v>
      </c>
      <c r="E222" s="142" t="s">
        <v>1539</v>
      </c>
      <c r="F222" s="142">
        <f>INDEX(SuiteCatSub!$E$2:$E$55,MATCH(_xlfn.CONCAT(B222,"-",C222),SuiteCatSub!$F$2:$F$55,0))</f>
        <v>31</v>
      </c>
      <c r="G222" s="142">
        <v>358</v>
      </c>
      <c r="H222" s="142">
        <f>VLOOKUP(G222,SuiteCatSubElem_Version!$I$2:$J$667,2,0)</f>
        <v>210</v>
      </c>
      <c r="I222" s="146" t="s">
        <v>1423</v>
      </c>
      <c r="J222" s="144" t="str">
        <f>VLOOKUP(B222,Categories!$A$2:$C$8,3,0)</f>
        <v>Sourcing</v>
      </c>
      <c r="K222" s="147"/>
      <c r="L222" s="144" t="str">
        <f>VLOOKUP(C222,Subcategories!$A$2:$B$29,2,0)</f>
        <v>Contracts</v>
      </c>
      <c r="M222" s="144" t="str">
        <f>VLOOKUP(D222,Elements!$B$2:$C$435,2,0)</f>
        <v>e-Signatures</v>
      </c>
      <c r="N222" s="144" t="str">
        <f>VLOOKUP(H222,ElementVariants!$A$2:$B$460,2,0)</f>
        <v>Does the solution support, and preferably integrate with, an e-Signature solution that can be used to not only sign contracts, but other agreements and even confirm receipt and acceptance of NDAs and other critical documents?</v>
      </c>
    </row>
    <row r="223" spans="1:14" ht="30">
      <c r="A223" s="138">
        <v>223</v>
      </c>
      <c r="B223" s="142">
        <v>4</v>
      </c>
      <c r="C223" s="142">
        <v>18</v>
      </c>
      <c r="D223" s="142">
        <v>211</v>
      </c>
      <c r="E223" s="142" t="s">
        <v>1540</v>
      </c>
      <c r="F223" s="142">
        <f>INDEX(SuiteCatSub!$E$2:$E$55,MATCH(_xlfn.CONCAT(B223,"-",C223),SuiteCatSub!$F$2:$F$55,0))</f>
        <v>32</v>
      </c>
      <c r="G223" s="142">
        <v>359</v>
      </c>
      <c r="H223" s="142">
        <f>VLOOKUP(G223,SuiteCatSubElem_Version!$I$2:$J$667,2,0)</f>
        <v>211</v>
      </c>
      <c r="I223" s="146" t="s">
        <v>1423</v>
      </c>
      <c r="J223" s="144" t="str">
        <f>VLOOKUP(B223,Categories!$A$2:$C$8,3,0)</f>
        <v>Sourcing</v>
      </c>
      <c r="K223" s="147"/>
      <c r="L223" s="144" t="str">
        <f>VLOOKUP(C223,Subcategories!$A$2:$B$29,2,0)</f>
        <v>Execution</v>
      </c>
      <c r="M223" s="144" t="str">
        <f>VLOOKUP(D223,Elements!$B$2:$C$435,2,0)</f>
        <v>ETL for Key Metrics</v>
      </c>
      <c r="N223" s="144" t="str">
        <f>VLOOKUP(H223,ElementVariants!$A$2:$B$460,2,0)</f>
        <v>Does the tool support the import of key metrics for contract / award performance management from external tools?</v>
      </c>
    </row>
    <row r="224" spans="1:14" ht="30">
      <c r="A224" s="138">
        <v>224</v>
      </c>
      <c r="B224" s="142">
        <v>4</v>
      </c>
      <c r="C224" s="142">
        <v>18</v>
      </c>
      <c r="D224" s="142">
        <v>212</v>
      </c>
      <c r="E224" s="142" t="s">
        <v>1541</v>
      </c>
      <c r="F224" s="142">
        <f>INDEX(SuiteCatSub!$E$2:$E$55,MATCH(_xlfn.CONCAT(B224,"-",C224),SuiteCatSub!$F$2:$F$55,0))</f>
        <v>32</v>
      </c>
      <c r="G224" s="142">
        <v>360</v>
      </c>
      <c r="H224" s="142">
        <f>VLOOKUP(G224,SuiteCatSubElem_Version!$I$2:$J$667,2,0)</f>
        <v>212</v>
      </c>
      <c r="I224" s="146" t="s">
        <v>1423</v>
      </c>
      <c r="J224" s="144" t="str">
        <f>VLOOKUP(B224,Categories!$A$2:$C$8,3,0)</f>
        <v>Sourcing</v>
      </c>
      <c r="K224" s="147"/>
      <c r="L224" s="144" t="str">
        <f>VLOOKUP(C224,Subcategories!$A$2:$B$29,2,0)</f>
        <v>Execution</v>
      </c>
      <c r="M224" s="144" t="str">
        <f>VLOOKUP(D224,Elements!$B$2:$C$435,2,0)</f>
        <v>RFX/Survey Integration</v>
      </c>
      <c r="N224" s="144" t="str">
        <f>VLOOKUP(H224,ElementVariants!$A$2:$B$460,2,0)</f>
        <v>Does the tool integrate RFX/Survey capability with the performance tracking capability that allows for the team to provide feedback on more subjective metrics?</v>
      </c>
    </row>
    <row r="225" spans="1:14">
      <c r="A225" s="138">
        <v>225</v>
      </c>
      <c r="B225" s="142">
        <v>4</v>
      </c>
      <c r="C225" s="142">
        <v>18</v>
      </c>
      <c r="D225" s="142">
        <v>128</v>
      </c>
      <c r="E225" s="142" t="s">
        <v>1542</v>
      </c>
      <c r="F225" s="142">
        <f>INDEX(SuiteCatSub!$E$2:$E$55,MATCH(_xlfn.CONCAT(B225,"-",C225),SuiteCatSub!$F$2:$F$55,0))</f>
        <v>32</v>
      </c>
      <c r="G225" s="142">
        <v>361</v>
      </c>
      <c r="H225" s="142">
        <f>VLOOKUP(G225,SuiteCatSubElem_Version!$I$2:$J$667,2,0)</f>
        <v>455</v>
      </c>
      <c r="I225" s="146" t="s">
        <v>1423</v>
      </c>
      <c r="J225" s="144" t="str">
        <f>VLOOKUP(B225,Categories!$A$2:$C$8,3,0)</f>
        <v>Sourcing</v>
      </c>
      <c r="K225" s="147"/>
      <c r="L225" s="144" t="str">
        <f>VLOOKUP(C225,Subcategories!$A$2:$B$29,2,0)</f>
        <v>Execution</v>
      </c>
      <c r="M225" s="144" t="str">
        <f>VLOOKUP(D225,Elements!$B$2:$C$435,2,0)</f>
        <v>Scorecards</v>
      </c>
      <c r="N225" s="144" t="str">
        <f>VLOOKUP(H225,ElementVariants!$A$2:$B$460,2,0)</f>
        <v>To what extent does the tool support scorecards?</v>
      </c>
    </row>
    <row r="226" spans="1:14" ht="30">
      <c r="A226" s="138">
        <v>226</v>
      </c>
      <c r="B226" s="142">
        <v>4</v>
      </c>
      <c r="C226" s="142">
        <v>18</v>
      </c>
      <c r="D226" s="142">
        <v>367</v>
      </c>
      <c r="E226" s="142" t="s">
        <v>1543</v>
      </c>
      <c r="F226" s="142">
        <f>INDEX(SuiteCatSub!$E$2:$E$55,MATCH(_xlfn.CONCAT(B226,"-",C226),SuiteCatSub!$F$2:$F$55,0))</f>
        <v>32</v>
      </c>
      <c r="G226" s="142">
        <v>362</v>
      </c>
      <c r="H226" s="142">
        <f>VLOOKUP(G226,SuiteCatSubElem_Version!$I$2:$J$667,2,0)</f>
        <v>368</v>
      </c>
      <c r="I226" s="146" t="s">
        <v>1423</v>
      </c>
      <c r="J226" s="144" t="str">
        <f>VLOOKUP(B226,Categories!$A$2:$C$8,3,0)</f>
        <v>Sourcing</v>
      </c>
      <c r="K226" s="147"/>
      <c r="L226" s="144" t="str">
        <f>VLOOKUP(C226,Subcategories!$A$2:$B$29,2,0)</f>
        <v>Execution</v>
      </c>
      <c r="M226" s="144" t="str">
        <f>VLOOKUP(D226,Elements!$B$2:$C$435,2,0)</f>
        <v>Out-of-the-Box Scorecards</v>
      </c>
      <c r="N226" s="144" t="str">
        <f>VLOOKUP(H226,ElementVariants!$A$2:$B$460,2,0)</f>
        <v>Are there a number of scorecards that are available out of the box? Preferably built on best-practice, actionable, KPIs?</v>
      </c>
    </row>
    <row r="227" spans="1:14" ht="30">
      <c r="A227" s="138">
        <v>227</v>
      </c>
      <c r="B227" s="142">
        <v>4</v>
      </c>
      <c r="C227" s="142">
        <v>18</v>
      </c>
      <c r="D227" s="142">
        <v>213</v>
      </c>
      <c r="E227" s="142" t="s">
        <v>1544</v>
      </c>
      <c r="F227" s="142">
        <f>INDEX(SuiteCatSub!$E$2:$E$55,MATCH(_xlfn.CONCAT(B227,"-",C227),SuiteCatSub!$F$2:$F$55,0))</f>
        <v>32</v>
      </c>
      <c r="G227" s="142">
        <v>363</v>
      </c>
      <c r="H227" s="142">
        <f>VLOOKUP(G227,SuiteCatSubElem_Version!$I$2:$J$667,2,0)</f>
        <v>213</v>
      </c>
      <c r="I227" s="146" t="s">
        <v>1423</v>
      </c>
      <c r="J227" s="144" t="str">
        <f>VLOOKUP(B227,Categories!$A$2:$C$8,3,0)</f>
        <v>Sourcing</v>
      </c>
      <c r="K227" s="147"/>
      <c r="L227" s="144" t="str">
        <f>VLOOKUP(C227,Subcategories!$A$2:$B$29,2,0)</f>
        <v>Execution</v>
      </c>
      <c r="M227" s="144" t="str">
        <f>VLOOKUP(D227,Elements!$B$2:$C$435,2,0)</f>
        <v>KPIs</v>
      </c>
      <c r="N227" s="144" t="str">
        <f>VLOOKUP(H227,ElementVariants!$A$2:$B$460,2,0)</f>
        <v>Does the platform support the definition of KPIs that can be used and re-used as needed in the creation of scorecards? Can they be defined formulaically on data elements or are they simply preselected / single value (populated from an external source)?</v>
      </c>
    </row>
    <row r="228" spans="1:14">
      <c r="A228" s="138">
        <v>228</v>
      </c>
      <c r="B228" s="142">
        <v>4</v>
      </c>
      <c r="C228" s="142">
        <v>18</v>
      </c>
      <c r="D228" s="142">
        <v>194</v>
      </c>
      <c r="E228" s="142" t="s">
        <v>1545</v>
      </c>
      <c r="F228" s="142">
        <f>INDEX(SuiteCatSub!$E$2:$E$55,MATCH(_xlfn.CONCAT(B228,"-",C228),SuiteCatSub!$F$2:$F$55,0))</f>
        <v>32</v>
      </c>
      <c r="G228" s="142">
        <v>364</v>
      </c>
      <c r="H228" s="142">
        <f>VLOOKUP(G228,SuiteCatSubElem_Version!$I$2:$J$667,2,0)</f>
        <v>248</v>
      </c>
      <c r="I228" s="146" t="s">
        <v>1423</v>
      </c>
      <c r="J228" s="144" t="str">
        <f>VLOOKUP(B228,Categories!$A$2:$C$8,3,0)</f>
        <v>Sourcing</v>
      </c>
      <c r="K228" s="147"/>
      <c r="L228" s="144" t="str">
        <f>VLOOKUP(C228,Subcategories!$A$2:$B$29,2,0)</f>
        <v>Execution</v>
      </c>
      <c r="M228" s="144" t="str">
        <f>VLOOKUP(D228,Elements!$B$2:$C$435,2,0)</f>
        <v>Out-of-the-Box</v>
      </c>
      <c r="N228" s="144" t="str">
        <f>VLOOKUP(H228,ElementVariants!$A$2:$B$460,2,0)</f>
        <v>How many KPIs are available out of the box? How extensive do they cover operational needs?</v>
      </c>
    </row>
    <row r="229" spans="1:14" ht="30">
      <c r="A229" s="138">
        <v>229</v>
      </c>
      <c r="B229" s="142">
        <v>4</v>
      </c>
      <c r="C229" s="142">
        <v>18</v>
      </c>
      <c r="D229" s="142">
        <v>214</v>
      </c>
      <c r="E229" s="142" t="s">
        <v>1546</v>
      </c>
      <c r="F229" s="142">
        <f>INDEX(SuiteCatSub!$E$2:$E$55,MATCH(_xlfn.CONCAT(B229,"-",C229),SuiteCatSub!$F$2:$F$55,0))</f>
        <v>32</v>
      </c>
      <c r="G229" s="142">
        <v>365</v>
      </c>
      <c r="H229" s="142">
        <f>VLOOKUP(G229,SuiteCatSubElem_Version!$I$2:$J$667,2,0)</f>
        <v>214</v>
      </c>
      <c r="I229" s="146" t="s">
        <v>1423</v>
      </c>
      <c r="J229" s="144" t="str">
        <f>VLOOKUP(B229,Categories!$A$2:$C$8,3,0)</f>
        <v>Sourcing</v>
      </c>
      <c r="K229" s="147"/>
      <c r="L229" s="144" t="str">
        <f>VLOOKUP(C229,Subcategories!$A$2:$B$29,2,0)</f>
        <v>Execution</v>
      </c>
      <c r="M229" s="144" t="str">
        <f>VLOOKUP(D229,Elements!$B$2:$C$435,2,0)</f>
        <v>Advanced Definition</v>
      </c>
      <c r="N229" s="144" t="str">
        <f>VLOOKUP(H229,ElementVariants!$A$2:$B$460,2,0)</f>
        <v>Does the platform allow the definition of KPIs based on nested measurements, advanced formulas, and rollups?</v>
      </c>
    </row>
    <row r="230" spans="1:14" ht="30">
      <c r="A230" s="138">
        <v>230</v>
      </c>
      <c r="B230" s="142">
        <v>4</v>
      </c>
      <c r="C230" s="142">
        <v>18</v>
      </c>
      <c r="D230" s="142">
        <v>215</v>
      </c>
      <c r="E230" s="142" t="s">
        <v>1547</v>
      </c>
      <c r="F230" s="142">
        <f>INDEX(SuiteCatSub!$E$2:$E$55,MATCH(_xlfn.CONCAT(B230,"-",C230),SuiteCatSub!$F$2:$F$55,0))</f>
        <v>32</v>
      </c>
      <c r="G230" s="142">
        <v>366</v>
      </c>
      <c r="H230" s="142">
        <f>VLOOKUP(G230,SuiteCatSubElem_Version!$I$2:$J$667,2,0)</f>
        <v>215</v>
      </c>
      <c r="I230" s="146" t="s">
        <v>1423</v>
      </c>
      <c r="J230" s="144" t="str">
        <f>VLOOKUP(B230,Categories!$A$2:$C$8,3,0)</f>
        <v>Sourcing</v>
      </c>
      <c r="K230" s="147"/>
      <c r="L230" s="144" t="str">
        <f>VLOOKUP(C230,Subcategories!$A$2:$B$29,2,0)</f>
        <v>Execution</v>
      </c>
      <c r="M230" s="144" t="str">
        <f>VLOOKUP(D230,Elements!$B$2:$C$435,2,0)</f>
        <v>Budget Management</v>
      </c>
      <c r="N230" s="144" t="str">
        <f>VLOOKUP(H230,ElementVariants!$A$2:$B$460,2,0)</f>
        <v>Does the tool support the creation and tracking of budgets and spend against budgets?</v>
      </c>
    </row>
    <row r="231" spans="1:14" ht="30">
      <c r="A231" s="138">
        <v>231</v>
      </c>
      <c r="B231" s="142">
        <v>4</v>
      </c>
      <c r="C231" s="142">
        <v>18</v>
      </c>
      <c r="D231" s="142">
        <v>216</v>
      </c>
      <c r="E231" s="142" t="s">
        <v>1548</v>
      </c>
      <c r="F231" s="142">
        <f>INDEX(SuiteCatSub!$E$2:$E$55,MATCH(_xlfn.CONCAT(B231,"-",C231),SuiteCatSub!$F$2:$F$55,0))</f>
        <v>32</v>
      </c>
      <c r="G231" s="142">
        <v>367</v>
      </c>
      <c r="H231" s="142">
        <f>VLOOKUP(G231,SuiteCatSubElem_Version!$I$2:$J$667,2,0)</f>
        <v>216</v>
      </c>
      <c r="I231" s="146" t="s">
        <v>1423</v>
      </c>
      <c r="J231" s="144" t="str">
        <f>VLOOKUP(B231,Categories!$A$2:$C$8,3,0)</f>
        <v>Sourcing</v>
      </c>
      <c r="K231" s="147"/>
      <c r="L231" s="144" t="str">
        <f>VLOOKUP(C231,Subcategories!$A$2:$B$29,2,0)</f>
        <v>Execution</v>
      </c>
      <c r="M231" s="144" t="str">
        <f>VLOOKUP(D231,Elements!$B$2:$C$435,2,0)</f>
        <v>Finance Integration</v>
      </c>
      <c r="N231" s="144" t="str">
        <f>VLOOKUP(H231,ElementVariants!$A$2:$B$460,2,0)</f>
        <v>Does the tool integrate with one or more Finance platforms for extrication of budget and spend to date?</v>
      </c>
    </row>
    <row r="232" spans="1:14" ht="30">
      <c r="A232" s="138">
        <v>232</v>
      </c>
      <c r="B232" s="142">
        <v>4</v>
      </c>
      <c r="C232" s="142">
        <v>18</v>
      </c>
      <c r="D232" s="142">
        <v>217</v>
      </c>
      <c r="E232" s="142" t="s">
        <v>1549</v>
      </c>
      <c r="F232" s="142">
        <f>INDEX(SuiteCatSub!$E$2:$E$55,MATCH(_xlfn.CONCAT(B232,"-",C232),SuiteCatSub!$F$2:$F$55,0))</f>
        <v>32</v>
      </c>
      <c r="G232" s="142">
        <v>368</v>
      </c>
      <c r="H232" s="142">
        <f>VLOOKUP(G232,SuiteCatSubElem_Version!$I$2:$J$667,2,0)</f>
        <v>217</v>
      </c>
      <c r="I232" s="146" t="s">
        <v>1423</v>
      </c>
      <c r="J232" s="144" t="str">
        <f>VLOOKUP(B232,Categories!$A$2:$C$8,3,0)</f>
        <v>Sourcing</v>
      </c>
      <c r="K232" s="147"/>
      <c r="L232" s="144" t="str">
        <f>VLOOKUP(C232,Subcategories!$A$2:$B$29,2,0)</f>
        <v>Execution</v>
      </c>
      <c r="M232" s="144" t="str">
        <f>VLOOKUP(D232,Elements!$B$2:$C$435,2,0)</f>
        <v>Demand Management</v>
      </c>
      <c r="N232" s="144" t="str">
        <f>VLOOKUP(H232,ElementVariants!$A$2:$B$460,2,0)</f>
        <v>Does the platform contain any capability to support demand management?</v>
      </c>
    </row>
    <row r="233" spans="1:14" ht="30">
      <c r="A233" s="138">
        <v>233</v>
      </c>
      <c r="B233" s="142">
        <v>4</v>
      </c>
      <c r="C233" s="142">
        <v>18</v>
      </c>
      <c r="D233" s="142">
        <v>218</v>
      </c>
      <c r="E233" s="142" t="s">
        <v>1550</v>
      </c>
      <c r="F233" s="142">
        <f>INDEX(SuiteCatSub!$E$2:$E$55,MATCH(_xlfn.CONCAT(B233,"-",C233),SuiteCatSub!$F$2:$F$55,0))</f>
        <v>32</v>
      </c>
      <c r="G233" s="142">
        <v>369</v>
      </c>
      <c r="H233" s="142">
        <f>VLOOKUP(G233,SuiteCatSubElem_Version!$I$2:$J$667,2,0)</f>
        <v>218</v>
      </c>
      <c r="I233" s="146" t="s">
        <v>1423</v>
      </c>
      <c r="J233" s="144" t="str">
        <f>VLOOKUP(B233,Categories!$A$2:$C$8,3,0)</f>
        <v>Sourcing</v>
      </c>
      <c r="K233" s="147"/>
      <c r="L233" s="144" t="str">
        <f>VLOOKUP(C233,Subcategories!$A$2:$B$29,2,0)</f>
        <v>Execution</v>
      </c>
      <c r="M233" s="144" t="str">
        <f>VLOOKUP(D233,Elements!$B$2:$C$435,2,0)</f>
        <v>3rd Party Data Integration</v>
      </c>
      <c r="N233" s="144" t="str">
        <f>VLOOKUP(H233,ElementVariants!$A$2:$B$460,2,0)</f>
        <v>What is the capability to integrate 3rd party data feeds, preferably as needed, in real time, for updates as often as daily (if available), and how many feeds are integrated out-of-the-box?</v>
      </c>
    </row>
    <row r="234" spans="1:14" ht="45">
      <c r="A234" s="138">
        <v>234</v>
      </c>
      <c r="B234" s="142">
        <v>4</v>
      </c>
      <c r="C234" s="142">
        <v>18</v>
      </c>
      <c r="D234" s="142">
        <v>219</v>
      </c>
      <c r="E234" s="142" t="s">
        <v>1551</v>
      </c>
      <c r="F234" s="142">
        <f>INDEX(SuiteCatSub!$E$2:$E$55,MATCH(_xlfn.CONCAT(B234,"-",C234),SuiteCatSub!$F$2:$F$55,0))</f>
        <v>32</v>
      </c>
      <c r="G234" s="142">
        <v>370</v>
      </c>
      <c r="H234" s="142">
        <f>VLOOKUP(G234,SuiteCatSubElem_Version!$I$2:$J$667,2,0)</f>
        <v>219</v>
      </c>
      <c r="I234" s="146" t="s">
        <v>1423</v>
      </c>
      <c r="J234" s="144" t="str">
        <f>VLOOKUP(B234,Categories!$A$2:$C$8,3,0)</f>
        <v>Sourcing</v>
      </c>
      <c r="K234" s="147"/>
      <c r="L234" s="144" t="str">
        <f>VLOOKUP(C234,Subcategories!$A$2:$B$29,2,0)</f>
        <v>Execution</v>
      </c>
      <c r="M234" s="144" t="str">
        <f>VLOOKUP(D234,Elements!$B$2:$C$435,2,0)</f>
        <v>Scorecard Based Alerts/Notifications</v>
      </c>
      <c r="N234" s="144" t="str">
        <f>VLOOKUP(H234,ElementVariants!$A$2:$B$460,2,0)</f>
        <v>Does the platform allow for the creation of scorecard based alerts and the automatic notification of risk managers if a(n imported) metric drops below a threshold?</v>
      </c>
    </row>
    <row r="235" spans="1:14">
      <c r="A235" s="138">
        <v>235</v>
      </c>
      <c r="B235" s="142">
        <v>4</v>
      </c>
      <c r="C235" s="142">
        <v>18</v>
      </c>
      <c r="D235" s="142">
        <v>220</v>
      </c>
      <c r="E235" s="142" t="s">
        <v>1552</v>
      </c>
      <c r="F235" s="142">
        <f>INDEX(SuiteCatSub!$E$2:$E$55,MATCH(_xlfn.CONCAT(B235,"-",C235),SuiteCatSub!$F$2:$F$55,0))</f>
        <v>32</v>
      </c>
      <c r="G235" s="142">
        <v>371</v>
      </c>
      <c r="H235" s="142">
        <f>VLOOKUP(G235,SuiteCatSubElem_Version!$I$2:$J$667,2,0)</f>
        <v>220</v>
      </c>
      <c r="I235" s="146" t="s">
        <v>1423</v>
      </c>
      <c r="J235" s="144" t="str">
        <f>VLOOKUP(B235,Categories!$A$2:$C$8,3,0)</f>
        <v>Sourcing</v>
      </c>
      <c r="K235" s="147"/>
      <c r="L235" s="144" t="str">
        <f>VLOOKUP(C235,Subcategories!$A$2:$B$29,2,0)</f>
        <v>Execution</v>
      </c>
      <c r="M235" s="144" t="str">
        <f>VLOOKUP(D235,Elements!$B$2:$C$435,2,0)</f>
        <v>Trend Detection</v>
      </c>
      <c r="N235" s="144" t="str">
        <f>VLOOKUP(H235,ElementVariants!$A$2:$B$460,2,0)</f>
        <v>Can the platform track (upward or) downward trends that could indicate potential risks?</v>
      </c>
    </row>
    <row r="236" spans="1:14" ht="45">
      <c r="A236" s="138">
        <v>236</v>
      </c>
      <c r="B236" s="142">
        <v>4</v>
      </c>
      <c r="C236" s="142">
        <v>18</v>
      </c>
      <c r="D236" s="142">
        <v>221</v>
      </c>
      <c r="E236" s="142" t="s">
        <v>1553</v>
      </c>
      <c r="F236" s="142">
        <f>INDEX(SuiteCatSub!$E$2:$E$55,MATCH(_xlfn.CONCAT(B236,"-",C236),SuiteCatSub!$F$2:$F$55,0))</f>
        <v>32</v>
      </c>
      <c r="G236" s="142">
        <v>372</v>
      </c>
      <c r="H236" s="142">
        <f>VLOOKUP(G236,SuiteCatSubElem_Version!$I$2:$J$667,2,0)</f>
        <v>221</v>
      </c>
      <c r="I236" s="146" t="s">
        <v>1423</v>
      </c>
      <c r="J236" s="144" t="str">
        <f>VLOOKUP(B236,Categories!$A$2:$C$8,3,0)</f>
        <v>Sourcing</v>
      </c>
      <c r="K236" s="147"/>
      <c r="L236" s="144" t="str">
        <f>VLOOKUP(C236,Subcategories!$A$2:$B$29,2,0)</f>
        <v>Execution</v>
      </c>
      <c r="M236" s="144" t="str">
        <f>VLOOKUP(D236,Elements!$B$2:$C$435,2,0)</f>
        <v>Event Monitoring</v>
      </c>
      <c r="N236" s="144" t="str">
        <f>VLOOKUP(H236,ElementVariants!$A$2:$B$460,2,0)</f>
        <v>What is the extent of event monitoring in the platform? Is it limited to external data feed integration, or does it support semantic monitoring of news sources? What about sentiment analysis and third party evaluations and projections? Are the technologies embedded or integrated 3rd party platforms (through APIs). To what extent, if any, is risk monitoring supported?</v>
      </c>
    </row>
    <row r="237" spans="1:14" ht="30">
      <c r="A237" s="138">
        <v>237</v>
      </c>
      <c r="B237" s="142">
        <v>4</v>
      </c>
      <c r="C237" s="142">
        <v>18</v>
      </c>
      <c r="D237" s="142">
        <v>222</v>
      </c>
      <c r="E237" s="142" t="s">
        <v>1554</v>
      </c>
      <c r="F237" s="142">
        <f>INDEX(SuiteCatSub!$E$2:$E$55,MATCH(_xlfn.CONCAT(B237,"-",C237),SuiteCatSub!$F$2:$F$55,0))</f>
        <v>32</v>
      </c>
      <c r="G237" s="142">
        <v>373</v>
      </c>
      <c r="H237" s="142">
        <f>VLOOKUP(G237,SuiteCatSubElem_Version!$I$2:$J$667,2,0)</f>
        <v>222</v>
      </c>
      <c r="I237" s="146" t="s">
        <v>1423</v>
      </c>
      <c r="J237" s="144" t="str">
        <f>VLOOKUP(B237,Categories!$A$2:$C$8,3,0)</f>
        <v>Sourcing</v>
      </c>
      <c r="K237" s="147"/>
      <c r="L237" s="144" t="str">
        <f>VLOOKUP(C237,Subcategories!$A$2:$B$29,2,0)</f>
        <v>Execution</v>
      </c>
      <c r="M237" s="144" t="str">
        <f>VLOOKUP(D237,Elements!$B$2:$C$435,2,0)</f>
        <v>Issue Identification</v>
      </c>
      <c r="N237" s="144" t="str">
        <f>VLOOKUP(H237,ElementVariants!$A$2:$B$460,2,0)</f>
        <v>Does the platform allow the buyers to identify and track issues that need to be collected?</v>
      </c>
    </row>
    <row r="238" spans="1:14" ht="30">
      <c r="A238" s="138">
        <v>238</v>
      </c>
      <c r="B238" s="142">
        <v>4</v>
      </c>
      <c r="C238" s="142">
        <v>18</v>
      </c>
      <c r="D238" s="142">
        <v>223</v>
      </c>
      <c r="E238" s="142" t="s">
        <v>1555</v>
      </c>
      <c r="F238" s="142">
        <f>INDEX(SuiteCatSub!$E$2:$E$55,MATCH(_xlfn.CONCAT(B238,"-",C238),SuiteCatSub!$F$2:$F$55,0))</f>
        <v>32</v>
      </c>
      <c r="G238" s="142">
        <v>374</v>
      </c>
      <c r="H238" s="142">
        <f>VLOOKUP(G238,SuiteCatSubElem_Version!$I$2:$J$667,2,0)</f>
        <v>223</v>
      </c>
      <c r="I238" s="146" t="s">
        <v>1423</v>
      </c>
      <c r="J238" s="144" t="str">
        <f>VLOOKUP(B238,Categories!$A$2:$C$8,3,0)</f>
        <v>Sourcing</v>
      </c>
      <c r="K238" s="147"/>
      <c r="L238" s="144" t="str">
        <f>VLOOKUP(C238,Subcategories!$A$2:$B$29,2,0)</f>
        <v>Execution</v>
      </c>
      <c r="M238" s="144" t="str">
        <f>VLOOKUP(D238,Elements!$B$2:$C$435,2,0)</f>
        <v>Collaborative Plan Creation</v>
      </c>
      <c r="N238" s="144" t="str">
        <f>VLOOKUP(H238,ElementVariants!$A$2:$B$460,2,0)</f>
        <v>Does the platform support collaborative, team-based, creation, including supplier representation, of corrective action plans and track acceptance of all parties?</v>
      </c>
    </row>
    <row r="239" spans="1:14" ht="30">
      <c r="A239" s="138">
        <v>239</v>
      </c>
      <c r="B239" s="142">
        <v>4</v>
      </c>
      <c r="C239" s="142">
        <v>18</v>
      </c>
      <c r="D239" s="142">
        <v>224</v>
      </c>
      <c r="E239" s="142" t="s">
        <v>1556</v>
      </c>
      <c r="F239" s="142">
        <f>INDEX(SuiteCatSub!$E$2:$E$55,MATCH(_xlfn.CONCAT(B239,"-",C239),SuiteCatSub!$F$2:$F$55,0))</f>
        <v>32</v>
      </c>
      <c r="G239" s="142">
        <v>375</v>
      </c>
      <c r="H239" s="142">
        <f>VLOOKUP(G239,SuiteCatSubElem_Version!$I$2:$J$667,2,0)</f>
        <v>224</v>
      </c>
      <c r="I239" s="146" t="s">
        <v>1423</v>
      </c>
      <c r="J239" s="144" t="str">
        <f>VLOOKUP(B239,Categories!$A$2:$C$8,3,0)</f>
        <v>Sourcing</v>
      </c>
      <c r="K239" s="147"/>
      <c r="L239" s="144" t="str">
        <f>VLOOKUP(C239,Subcategories!$A$2:$B$29,2,0)</f>
        <v>Execution</v>
      </c>
      <c r="M239" s="144" t="str">
        <f>VLOOKUP(D239,Elements!$B$2:$C$435,2,0)</f>
        <v>Milestone Tracking</v>
      </c>
      <c r="N239" s="144" t="str">
        <f>VLOOKUP(H239,ElementVariants!$A$2:$B$460,2,0)</f>
        <v>Does it support the creation of milestones and the tracking, and verification, of progress by both parties?</v>
      </c>
    </row>
    <row r="240" spans="1:14" ht="30">
      <c r="A240" s="138">
        <v>240</v>
      </c>
      <c r="B240" s="142">
        <v>4</v>
      </c>
      <c r="C240" s="142">
        <v>7</v>
      </c>
      <c r="D240" s="142">
        <v>225</v>
      </c>
      <c r="E240" s="142" t="s">
        <v>1557</v>
      </c>
      <c r="F240" s="142">
        <f>INDEX(SuiteCatSub!$E$2:$E$55,MATCH(_xlfn.CONCAT(B240,"-",C240),SuiteCatSub!$F$2:$F$55,0))</f>
        <v>34</v>
      </c>
      <c r="G240" s="142">
        <v>376</v>
      </c>
      <c r="H240" s="142">
        <f>VLOOKUP(G240,SuiteCatSubElem_Version!$I$2:$J$667,2,0)</f>
        <v>225</v>
      </c>
      <c r="I240" s="146" t="s">
        <v>1423</v>
      </c>
      <c r="J240" s="144" t="str">
        <f>VLOOKUP(B240,Categories!$A$2:$C$8,3,0)</f>
        <v>Sourcing</v>
      </c>
      <c r="K240" s="147"/>
      <c r="L240" s="144" t="str">
        <f>VLOOKUP(C240,Subcategories!$A$2:$B$29,2,0)</f>
        <v>Technology</v>
      </c>
      <c r="M240" s="144" t="str">
        <f>VLOOKUP(D240,Elements!$B$2:$C$435,2,0)</f>
        <v>Core Tech Platform</v>
      </c>
      <c r="N240" s="144" t="str">
        <f>VLOOKUP(H240,ElementVariants!$A$2:$B$460,2,0)</f>
        <v>Please describe your core software architecture? Is it a modern MVC architecture? What are the primary languages (C++/Java/Ruby) and technologies used?</v>
      </c>
    </row>
    <row r="241" spans="1:14" ht="105">
      <c r="A241" s="138">
        <v>241</v>
      </c>
      <c r="B241" s="142">
        <v>4</v>
      </c>
      <c r="C241" s="142">
        <v>7</v>
      </c>
      <c r="D241" s="142">
        <v>226</v>
      </c>
      <c r="E241" s="142" t="s">
        <v>1558</v>
      </c>
      <c r="F241" s="142">
        <f>INDEX(SuiteCatSub!$E$2:$E$55,MATCH(_xlfn.CONCAT(B241,"-",C241),SuiteCatSub!$F$2:$F$55,0))</f>
        <v>34</v>
      </c>
      <c r="G241" s="142">
        <v>377</v>
      </c>
      <c r="H241" s="142">
        <f>VLOOKUP(G241,SuiteCatSubElem_Version!$I$2:$J$667,2,0)</f>
        <v>226</v>
      </c>
      <c r="I241" s="146" t="s">
        <v>1423</v>
      </c>
      <c r="J241" s="144" t="str">
        <f>VLOOKUP(B241,Categories!$A$2:$C$8,3,0)</f>
        <v>Sourcing</v>
      </c>
      <c r="K241" s="147"/>
      <c r="L241" s="144" t="str">
        <f>VLOOKUP(C241,Subcategories!$A$2:$B$29,2,0)</f>
        <v>Technology</v>
      </c>
      <c r="M241" s="144" t="str">
        <f>VLOOKUP(D241,Elements!$B$2:$C$435,2,0)</f>
        <v>SaaS / Cloud</v>
      </c>
      <c r="N241" s="144" t="str">
        <f>VLOOKUP(H241,ElementVariants!$A$2:$B$460,2,0)</f>
        <v>Please describe your cloud architecture (e.g., single-instance multi-tenant application run on a 'virtualized' and elastic platform). Is your SaaS approach only true multi-tenant, or can separate app instances be maintained (e.g., residing with data on servers that can be run in different countries)?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v>
      </c>
    </row>
    <row r="242" spans="1:14" ht="45">
      <c r="A242" s="138">
        <v>242</v>
      </c>
      <c r="B242" s="142">
        <v>4</v>
      </c>
      <c r="C242" s="142">
        <v>7</v>
      </c>
      <c r="D242" s="142">
        <v>10</v>
      </c>
      <c r="E242" s="142" t="s">
        <v>1559</v>
      </c>
      <c r="F242" s="142">
        <f>INDEX(SuiteCatSub!$E$2:$E$55,MATCH(_xlfn.CONCAT(B242,"-",C242),SuiteCatSub!$F$2:$F$55,0))</f>
        <v>34</v>
      </c>
      <c r="G242" s="142">
        <v>378</v>
      </c>
      <c r="H242" s="142">
        <f>VLOOKUP(G242,SuiteCatSubElem_Version!$I$2:$J$667,2,0)</f>
        <v>10</v>
      </c>
      <c r="I242" s="146" t="s">
        <v>1423</v>
      </c>
      <c r="J242" s="144" t="str">
        <f>VLOOKUP(B242,Categories!$A$2:$C$8,3,0)</f>
        <v>Sourcing</v>
      </c>
      <c r="K242" s="147"/>
      <c r="L242" s="144" t="str">
        <f>VLOOKUP(C242,Subcategories!$A$2:$B$29,2,0)</f>
        <v>Technology</v>
      </c>
      <c r="M242" s="144" t="str">
        <f>VLOOKUP(D242,Elements!$B$2:$C$435,2,0)</f>
        <v>On-Premise Software Option</v>
      </c>
      <c r="N242" s="144" t="str">
        <f>VLOOKUP(H242,ElementVariants!$A$2:$B$460,2,0)</f>
        <v>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v>
      </c>
    </row>
    <row r="243" spans="1:14" ht="30">
      <c r="A243" s="138">
        <v>243</v>
      </c>
      <c r="B243" s="142">
        <v>4</v>
      </c>
      <c r="C243" s="142">
        <v>7</v>
      </c>
      <c r="D243" s="142">
        <v>227</v>
      </c>
      <c r="E243" s="142" t="s">
        <v>1560</v>
      </c>
      <c r="F243" s="142">
        <f>INDEX(SuiteCatSub!$E$2:$E$55,MATCH(_xlfn.CONCAT(B243,"-",C243),SuiteCatSub!$F$2:$F$55,0))</f>
        <v>34</v>
      </c>
      <c r="G243" s="142">
        <v>379</v>
      </c>
      <c r="H243" s="142">
        <f>VLOOKUP(G243,SuiteCatSubElem_Version!$I$2:$J$667,2,0)</f>
        <v>227</v>
      </c>
      <c r="I243" s="146" t="s">
        <v>1423</v>
      </c>
      <c r="J243" s="144" t="str">
        <f>VLOOKUP(B243,Categories!$A$2:$C$8,3,0)</f>
        <v>Sourcing</v>
      </c>
      <c r="K243" s="147"/>
      <c r="L243" s="144" t="str">
        <f>VLOOKUP(C243,Subcategories!$A$2:$B$29,2,0)</f>
        <v>Technology</v>
      </c>
      <c r="M243" s="144" t="str">
        <f>VLOOKUP(D243,Elements!$B$2:$C$435,2,0)</f>
        <v>Mobile Support</v>
      </c>
      <c r="N243" s="144" t="str">
        <f>VLOOKUP(H243,ElementVariants!$A$2:$B$460,2,0)</f>
        <v>Explain the use of mobile technology within your solutions overall and your roadmap for future mobile adoption. What percentage of system interactions today are driven by mobile clients? 2015? 2016? Forecast 2017?</v>
      </c>
    </row>
    <row r="244" spans="1:14" ht="30">
      <c r="A244" s="138">
        <v>244</v>
      </c>
      <c r="B244" s="142">
        <v>4</v>
      </c>
      <c r="C244" s="142">
        <v>7</v>
      </c>
      <c r="D244" s="142">
        <v>228</v>
      </c>
      <c r="E244" s="142" t="s">
        <v>1561</v>
      </c>
      <c r="F244" s="142">
        <f>INDEX(SuiteCatSub!$E$2:$E$55,MATCH(_xlfn.CONCAT(B244,"-",C244),SuiteCatSub!$F$2:$F$55,0))</f>
        <v>34</v>
      </c>
      <c r="G244" s="142">
        <v>380</v>
      </c>
      <c r="H244" s="142">
        <f>VLOOKUP(G244,SuiteCatSubElem_Version!$I$2:$J$667,2,0)</f>
        <v>228</v>
      </c>
      <c r="I244" s="146" t="s">
        <v>1423</v>
      </c>
      <c r="J244" s="144" t="str">
        <f>VLOOKUP(B244,Categories!$A$2:$C$8,3,0)</f>
        <v>Sourcing</v>
      </c>
      <c r="K244" s="147"/>
      <c r="L244" s="144" t="str">
        <f>VLOOKUP(C244,Subcategories!$A$2:$B$29,2,0)</f>
        <v>Technology</v>
      </c>
      <c r="M244" s="144" t="str">
        <f>VLOOKUP(D244,Elements!$B$2:$C$435,2,0)</f>
        <v>Block Chain Support</v>
      </c>
      <c r="N244" s="144" t="str">
        <f>VLOOKUP(H244,ElementVariants!$A$2:$B$460,2,0)</f>
        <v>Explain the use of block chain technology within your solutions or plans to deploy block chain in future releases. Are you working with a customer advisory council in this area, and if so, what is their willingness to support a distributed ledger model?</v>
      </c>
    </row>
    <row r="245" spans="1:14">
      <c r="A245" s="138">
        <v>245</v>
      </c>
      <c r="B245" s="142">
        <v>4</v>
      </c>
      <c r="C245" s="142">
        <v>7</v>
      </c>
      <c r="D245" s="142">
        <v>229</v>
      </c>
      <c r="E245" s="142" t="s">
        <v>1562</v>
      </c>
      <c r="F245" s="142">
        <f>INDEX(SuiteCatSub!$E$2:$E$55,MATCH(_xlfn.CONCAT(B245,"-",C245),SuiteCatSub!$F$2:$F$55,0))</f>
        <v>34</v>
      </c>
      <c r="G245" s="142">
        <v>381</v>
      </c>
      <c r="H245" s="142">
        <f>VLOOKUP(G245,SuiteCatSubElem_Version!$I$2:$J$667,2,0)</f>
        <v>229</v>
      </c>
      <c r="I245" s="146" t="s">
        <v>1423</v>
      </c>
      <c r="J245" s="144" t="str">
        <f>VLOOKUP(B245,Categories!$A$2:$C$8,3,0)</f>
        <v>Sourcing</v>
      </c>
      <c r="K245" s="147"/>
      <c r="L245" s="144" t="str">
        <f>VLOOKUP(C245,Subcategories!$A$2:$B$29,2,0)</f>
        <v>Technology</v>
      </c>
      <c r="M245" s="144" t="str">
        <f>VLOOKUP(D245,Elements!$B$2:$C$435,2,0)</f>
        <v>OCR Support</v>
      </c>
      <c r="N245" s="144" t="str">
        <f>VLOOKUP(H245,ElementVariants!$A$2:$B$460,2,0)</f>
        <v>Explain the use of OCR/Scanning technology within your solutions (if used) and roadmap plans</v>
      </c>
    </row>
    <row r="246" spans="1:14" ht="30">
      <c r="A246" s="138">
        <v>246</v>
      </c>
      <c r="B246" s="142">
        <v>4</v>
      </c>
      <c r="C246" s="142">
        <v>7</v>
      </c>
      <c r="D246" s="142">
        <v>78</v>
      </c>
      <c r="E246" s="142" t="s">
        <v>1563</v>
      </c>
      <c r="F246" s="142">
        <f>INDEX(SuiteCatSub!$E$2:$E$55,MATCH(_xlfn.CONCAT(B246,"-",C246),SuiteCatSub!$F$2:$F$55,0))</f>
        <v>34</v>
      </c>
      <c r="G246" s="142">
        <v>382</v>
      </c>
      <c r="H246" s="142">
        <f>VLOOKUP(G246,SuiteCatSubElem_Version!$I$2:$J$667,2,0)</f>
        <v>78</v>
      </c>
      <c r="I246" s="146" t="s">
        <v>1423</v>
      </c>
      <c r="J246" s="144" t="str">
        <f>VLOOKUP(B246,Categories!$A$2:$C$8,3,0)</f>
        <v>Sourcing</v>
      </c>
      <c r="K246" s="147"/>
      <c r="L246" s="144" t="str">
        <f>VLOOKUP(C246,Subcategories!$A$2:$B$29,2,0)</f>
        <v>Technology</v>
      </c>
      <c r="M246" s="144" t="str">
        <f>VLOOKUP(D246,Elements!$B$2:$C$435,2,0)</f>
        <v>Intelligent Apps</v>
      </c>
      <c r="N246" s="144" t="str">
        <f>VLOOKUP(H246,ElementVariants!$A$2:$B$460,2,0)</f>
        <v>Explain the use of "intelligent apps" within your solutions. Examples include: Siri, Alexa, Google, etc. Do you work with partners in this area?</v>
      </c>
    </row>
    <row r="247" spans="1:14" ht="30">
      <c r="A247" s="138">
        <v>247</v>
      </c>
      <c r="B247" s="142">
        <v>4</v>
      </c>
      <c r="C247" s="142">
        <v>7</v>
      </c>
      <c r="D247" s="142">
        <v>230</v>
      </c>
      <c r="E247" s="142" t="s">
        <v>1564</v>
      </c>
      <c r="F247" s="142">
        <f>INDEX(SuiteCatSub!$E$2:$E$55,MATCH(_xlfn.CONCAT(B247,"-",C247),SuiteCatSub!$F$2:$F$55,0))</f>
        <v>34</v>
      </c>
      <c r="G247" s="142">
        <v>383</v>
      </c>
      <c r="H247" s="142">
        <f>VLOOKUP(G247,SuiteCatSubElem_Version!$I$2:$J$667,2,0)</f>
        <v>230</v>
      </c>
      <c r="I247" s="146" t="s">
        <v>1423</v>
      </c>
      <c r="J247" s="144" t="str">
        <f>VLOOKUP(B247,Categories!$A$2:$C$8,3,0)</f>
        <v>Sourcing</v>
      </c>
      <c r="K247" s="147"/>
      <c r="L247" s="144" t="str">
        <f>VLOOKUP(C247,Subcategories!$A$2:$B$29,2,0)</f>
        <v>Technology</v>
      </c>
      <c r="M247" s="144" t="str">
        <f>VLOOKUP(D247,Elements!$B$2:$C$435,2,0)</f>
        <v>Personalization Technology</v>
      </c>
      <c r="N247" s="144" t="str">
        <f>VLOOKUP(H247,ElementVariants!$A$2:$B$460,2,0)</f>
        <v>Describe your ability to customize/tailor terminology to business-specific terminology using data dictionaries or other approaches</v>
      </c>
    </row>
    <row r="248" spans="1:14" ht="60">
      <c r="A248" s="138">
        <v>248</v>
      </c>
      <c r="B248" s="142">
        <v>4</v>
      </c>
      <c r="C248" s="142">
        <v>7</v>
      </c>
      <c r="D248" s="142">
        <v>81</v>
      </c>
      <c r="E248" s="142" t="s">
        <v>1565</v>
      </c>
      <c r="F248" s="142">
        <f>INDEX(SuiteCatSub!$E$2:$E$55,MATCH(_xlfn.CONCAT(B248,"-",C248),SuiteCatSub!$F$2:$F$55,0))</f>
        <v>34</v>
      </c>
      <c r="G248" s="142">
        <v>384</v>
      </c>
      <c r="H248" s="142">
        <f>VLOOKUP(G248,SuiteCatSubElem_Version!$I$2:$J$667,2,0)</f>
        <v>81</v>
      </c>
      <c r="I248" s="146" t="s">
        <v>1423</v>
      </c>
      <c r="J248" s="144" t="str">
        <f>VLOOKUP(B248,Categories!$A$2:$C$8,3,0)</f>
        <v>Sourcing</v>
      </c>
      <c r="K248" s="147"/>
      <c r="L248" s="144" t="str">
        <f>VLOOKUP(C248,Subcategories!$A$2:$B$29,2,0)</f>
        <v>Technology</v>
      </c>
      <c r="M248" s="144" t="str">
        <f>VLOOKUP(D248,Elements!$B$2:$C$435,2,0)</f>
        <v>Open Standards</v>
      </c>
      <c r="N248" s="144" t="str">
        <f>VLOOKUP(H248,ElementVariants!$A$2:$B$460,2,0)</f>
        <v>Describe your support for open standards, particularly surrounding document/data standards. How this has been developed / implemented? Are you working with / driving any standards-body initiatives? Do you provide a platform that enables others to develop or co-develop capabilities? Do you provide a platform for supplier to integrate their financial and accounting systems through a standards-driven environment?</v>
      </c>
    </row>
    <row r="249" spans="1:14" ht="45">
      <c r="A249" s="138">
        <v>249</v>
      </c>
      <c r="B249" s="142">
        <v>4</v>
      </c>
      <c r="C249" s="142">
        <v>7</v>
      </c>
      <c r="D249" s="142">
        <v>82</v>
      </c>
      <c r="E249" s="142" t="s">
        <v>1566</v>
      </c>
      <c r="F249" s="142">
        <f>INDEX(SuiteCatSub!$E$2:$E$55,MATCH(_xlfn.CONCAT(B249,"-",C249),SuiteCatSub!$F$2:$F$55,0))</f>
        <v>34</v>
      </c>
      <c r="G249" s="142">
        <v>385</v>
      </c>
      <c r="H249" s="142">
        <f>VLOOKUP(G249,SuiteCatSubElem_Version!$I$2:$J$667,2,0)</f>
        <v>82</v>
      </c>
      <c r="I249" s="146" t="s">
        <v>1423</v>
      </c>
      <c r="J249" s="144" t="str">
        <f>VLOOKUP(B249,Categories!$A$2:$C$8,3,0)</f>
        <v>Sourcing</v>
      </c>
      <c r="K249" s="147"/>
      <c r="L249" s="144" t="str">
        <f>VLOOKUP(C249,Subcategories!$A$2:$B$29,2,0)</f>
        <v>Technology</v>
      </c>
      <c r="M249" s="144" t="str">
        <f>VLOOKUP(D249,Elements!$B$2:$C$435,2,0)</f>
        <v>Integrations</v>
      </c>
      <c r="N249" s="144" t="str">
        <f>VLOOKUP(H249,ElementVariants!$A$2:$B$460,2,0)</f>
        <v>Describe typical (and atypical) system integration options. Describe how the platform and service provider handles multiple instances. For example, if an organization has multiple ERPs but wants a shared Procurement/Sourcing/Analytics/etc. deployment, do you typically deploy a single instance of your software for them, or typically multiple instances? Describe any integrations not addressed below.</v>
      </c>
    </row>
    <row r="250" spans="1:14" ht="30">
      <c r="A250" s="138">
        <v>250</v>
      </c>
      <c r="B250" s="142">
        <v>4</v>
      </c>
      <c r="C250" s="142">
        <v>7</v>
      </c>
      <c r="D250" s="142">
        <v>231</v>
      </c>
      <c r="E250" s="142" t="s">
        <v>1567</v>
      </c>
      <c r="F250" s="142">
        <f>INDEX(SuiteCatSub!$E$2:$E$55,MATCH(_xlfn.CONCAT(B250,"-",C250),SuiteCatSub!$F$2:$F$55,0))</f>
        <v>34</v>
      </c>
      <c r="G250" s="142">
        <v>386</v>
      </c>
      <c r="H250" s="142">
        <f>VLOOKUP(G250,SuiteCatSubElem_Version!$I$2:$J$667,2,0)</f>
        <v>231</v>
      </c>
      <c r="I250" s="146" t="s">
        <v>1423</v>
      </c>
      <c r="J250" s="144" t="str">
        <f>VLOOKUP(B250,Categories!$A$2:$C$8,3,0)</f>
        <v>Sourcing</v>
      </c>
      <c r="K250" s="147"/>
      <c r="L250" s="144" t="str">
        <f>VLOOKUP(C250,Subcategories!$A$2:$B$29,2,0)</f>
        <v>Technology</v>
      </c>
      <c r="M250" s="144" t="str">
        <f>VLOOKUP(D250,Elements!$B$2:$C$435,2,0)</f>
        <v>ERP</v>
      </c>
      <c r="N250" s="144" t="str">
        <f>VLOOKUP(H250,ElementVariants!$A$2:$B$460,2,0)</f>
        <v>Describe the out-of-the-box ERP integrations supported, how configurable they are, whether they are real-time, and other relevant factors</v>
      </c>
    </row>
    <row r="251" spans="1:14" ht="30">
      <c r="A251" s="138">
        <v>251</v>
      </c>
      <c r="B251" s="142">
        <v>4</v>
      </c>
      <c r="C251" s="142">
        <v>7</v>
      </c>
      <c r="D251" s="142">
        <v>232</v>
      </c>
      <c r="E251" s="142" t="s">
        <v>1568</v>
      </c>
      <c r="F251" s="142">
        <f>INDEX(SuiteCatSub!$E$2:$E$55,MATCH(_xlfn.CONCAT(B251,"-",C251),SuiteCatSub!$F$2:$F$55,0))</f>
        <v>34</v>
      </c>
      <c r="G251" s="142">
        <v>387</v>
      </c>
      <c r="H251" s="142">
        <f>VLOOKUP(G251,SuiteCatSubElem_Version!$I$2:$J$667,2,0)</f>
        <v>232</v>
      </c>
      <c r="I251" s="146" t="s">
        <v>1423</v>
      </c>
      <c r="J251" s="144" t="str">
        <f>VLOOKUP(B251,Categories!$A$2:$C$8,3,0)</f>
        <v>Sourcing</v>
      </c>
      <c r="K251" s="147"/>
      <c r="L251" s="144" t="str">
        <f>VLOOKUP(C251,Subcategories!$A$2:$B$29,2,0)</f>
        <v>Technology</v>
      </c>
      <c r="M251" s="144" t="str">
        <f>VLOOKUP(D251,Elements!$B$2:$C$435,2,0)</f>
        <v>P2P</v>
      </c>
      <c r="N251" s="144" t="str">
        <f>VLOOKUP(H251,ElementVariants!$A$2:$B$460,2,0)</f>
        <v>Describe out-of-the-box P2P and related technology integrations, how configurable they are, whether they are real-time, and other relevant factors</v>
      </c>
    </row>
    <row r="252" spans="1:14">
      <c r="A252" s="138">
        <v>252</v>
      </c>
      <c r="B252" s="142">
        <v>4</v>
      </c>
      <c r="C252" s="142">
        <v>7</v>
      </c>
      <c r="D252" s="142">
        <v>233</v>
      </c>
      <c r="E252" s="142" t="s">
        <v>1569</v>
      </c>
      <c r="F252" s="142">
        <f>INDEX(SuiteCatSub!$E$2:$E$55,MATCH(_xlfn.CONCAT(B252,"-",C252),SuiteCatSub!$F$2:$F$55,0))</f>
        <v>34</v>
      </c>
      <c r="G252" s="142">
        <v>388</v>
      </c>
      <c r="H252" s="142">
        <f>VLOOKUP(G252,SuiteCatSubElem_Version!$I$2:$J$667,2,0)</f>
        <v>233</v>
      </c>
      <c r="I252" s="146" t="s">
        <v>1423</v>
      </c>
      <c r="J252" s="144" t="str">
        <f>VLOOKUP(B252,Categories!$A$2:$C$8,3,0)</f>
        <v>Sourcing</v>
      </c>
      <c r="K252" s="147"/>
      <c r="L252" s="144" t="str">
        <f>VLOOKUP(C252,Subcategories!$A$2:$B$29,2,0)</f>
        <v>Technology</v>
      </c>
      <c r="M252" s="144" t="str">
        <f>VLOOKUP(D252,Elements!$B$2:$C$435,2,0)</f>
        <v>Other</v>
      </c>
      <c r="N252" s="144" t="str">
        <f>VLOOKUP(H252,ElementVariants!$A$2:$B$460,2,0)</f>
        <v>Describe other relevant, best-of-breed, systems that the platform integrates with and the extent of the integration</v>
      </c>
    </row>
    <row r="253" spans="1:14" ht="45">
      <c r="A253" s="138">
        <v>253</v>
      </c>
      <c r="B253" s="142">
        <v>4</v>
      </c>
      <c r="C253" s="142">
        <v>7</v>
      </c>
      <c r="D253" s="142">
        <v>234</v>
      </c>
      <c r="E253" s="142" t="s">
        <v>1570</v>
      </c>
      <c r="F253" s="142">
        <f>INDEX(SuiteCatSub!$E$2:$E$55,MATCH(_xlfn.CONCAT(B253,"-",C253),SuiteCatSub!$F$2:$F$55,0))</f>
        <v>34</v>
      </c>
      <c r="G253" s="142">
        <v>389</v>
      </c>
      <c r="H253" s="142">
        <f>VLOOKUP(G253,SuiteCatSubElem_Version!$I$2:$J$667,2,0)</f>
        <v>234</v>
      </c>
      <c r="I253" s="146" t="s">
        <v>1423</v>
      </c>
      <c r="J253" s="144" t="str">
        <f>VLOOKUP(B253,Categories!$A$2:$C$8,3,0)</f>
        <v>Sourcing</v>
      </c>
      <c r="K253" s="147"/>
      <c r="L253" s="144" t="str">
        <f>VLOOKUP(C253,Subcategories!$A$2:$B$29,2,0)</f>
        <v>Technology</v>
      </c>
      <c r="M253" s="144" t="str">
        <f>VLOOKUP(D253,Elements!$B$2:$C$435,2,0)</f>
        <v>Fine Grained Role/Data/Action Based Security</v>
      </c>
      <c r="N253" s="144" t="str">
        <f>VLOOKUP(H253,ElementVariants!$A$2:$B$460,2,0)</f>
        <v>How fine grained is the role/data/action based security options on the platform and how configurable are they?</v>
      </c>
    </row>
    <row r="254" spans="1:14" ht="90">
      <c r="A254" s="138">
        <v>254</v>
      </c>
      <c r="B254" s="142">
        <v>4</v>
      </c>
      <c r="C254" s="142">
        <v>6</v>
      </c>
      <c r="D254" s="142">
        <v>235</v>
      </c>
      <c r="E254" s="142" t="s">
        <v>1571</v>
      </c>
      <c r="F254" s="142">
        <f>INDEX(SuiteCatSub!$E$2:$E$55,MATCH(_xlfn.CONCAT(B254,"-",C254),SuiteCatSub!$F$2:$F$55,0))</f>
        <v>33</v>
      </c>
      <c r="G254" s="142">
        <v>390</v>
      </c>
      <c r="H254" s="142">
        <f>VLOOKUP(G254,SuiteCatSubElem_Version!$I$2:$J$667,2,0)</f>
        <v>235</v>
      </c>
      <c r="I254" s="146" t="s">
        <v>1423</v>
      </c>
      <c r="J254" s="144" t="str">
        <f>VLOOKUP(B254,Categories!$A$2:$C$8,3,0)</f>
        <v>Sourcing</v>
      </c>
      <c r="K254" s="147"/>
      <c r="L254" s="144" t="str">
        <f>VLOOKUP(C254,Subcategories!$A$2:$B$29,2,0)</f>
        <v>Configurability</v>
      </c>
      <c r="M254" s="144" t="str">
        <f>VLOOKUP(D254,Elements!$B$2:$C$435,2,0)</f>
        <v>Sourcing Process</v>
      </c>
      <c r="N254" s="144" t="str">
        <f>VLOOKUP(H254,ElementVariants!$A$2:$B$460,2,0)</f>
        <v>Describe your approach to customized Sourcing Process configuration as well as both basic and advanced configuration scenarios.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categorizations and/or accounting structures. Describe the process for configuring custom fields/web forms (and what are the limitations/constraints in terms of what can be enabled).</v>
      </c>
    </row>
    <row r="255" spans="1:14" ht="30">
      <c r="A255" s="138">
        <v>255</v>
      </c>
      <c r="B255" s="142">
        <v>4</v>
      </c>
      <c r="C255" s="142">
        <v>6</v>
      </c>
      <c r="D255" s="142">
        <v>236</v>
      </c>
      <c r="E255" s="142" t="s">
        <v>1572</v>
      </c>
      <c r="F255" s="142">
        <f>INDEX(SuiteCatSub!$E$2:$E$55,MATCH(_xlfn.CONCAT(B255,"-",C255),SuiteCatSub!$F$2:$F$55,0))</f>
        <v>33</v>
      </c>
      <c r="G255" s="142">
        <v>391</v>
      </c>
      <c r="H255" s="142">
        <f>VLOOKUP(G255,SuiteCatSubElem_Version!$I$2:$J$667,2,0)</f>
        <v>236</v>
      </c>
      <c r="I255" s="146" t="s">
        <v>1423</v>
      </c>
      <c r="J255" s="144" t="str">
        <f>VLOOKUP(B255,Categories!$A$2:$C$8,3,0)</f>
        <v>Sourcing</v>
      </c>
      <c r="K255" s="147"/>
      <c r="L255" s="144" t="str">
        <f>VLOOKUP(C255,Subcategories!$A$2:$B$29,2,0)</f>
        <v>Configurability</v>
      </c>
      <c r="M255" s="144" t="str">
        <f>VLOOKUP(D255,Elements!$B$2:$C$435,2,0)</f>
        <v>Workflow</v>
      </c>
      <c r="N255" s="144" t="str">
        <f>VLOOKUP(H255,ElementVariants!$A$2:$B$460,2,0)</f>
        <v>Describe the extent of workflow configuration across the modules and functionality and any integrated third party applications.</v>
      </c>
    </row>
    <row r="256" spans="1:14" ht="30">
      <c r="A256" s="138">
        <v>256</v>
      </c>
      <c r="B256" s="142">
        <v>4</v>
      </c>
      <c r="C256" s="142">
        <v>6</v>
      </c>
      <c r="D256" s="142">
        <v>237</v>
      </c>
      <c r="E256" s="142" t="s">
        <v>1573</v>
      </c>
      <c r="F256" s="142">
        <f>INDEX(SuiteCatSub!$E$2:$E$55,MATCH(_xlfn.CONCAT(B256,"-",C256),SuiteCatSub!$F$2:$F$55,0))</f>
        <v>33</v>
      </c>
      <c r="G256" s="142">
        <v>392</v>
      </c>
      <c r="H256" s="142">
        <f>VLOOKUP(G256,SuiteCatSubElem_Version!$I$2:$J$667,2,0)</f>
        <v>237</v>
      </c>
      <c r="I256" s="146" t="s">
        <v>1423</v>
      </c>
      <c r="J256" s="144" t="str">
        <f>VLOOKUP(B256,Categories!$A$2:$C$8,3,0)</f>
        <v>Sourcing</v>
      </c>
      <c r="K256" s="147"/>
      <c r="L256" s="144" t="str">
        <f>VLOOKUP(C256,Subcategories!$A$2:$B$29,2,0)</f>
        <v>Configurability</v>
      </c>
      <c r="M256" s="144" t="str">
        <f>VLOOKUP(D256,Elements!$B$2:$C$435,2,0)</f>
        <v>Configurable Rules</v>
      </c>
      <c r="N256" s="144" t="str">
        <f>VLOOKUP(H256,ElementVariants!$A$2:$B$460,2,0)</f>
        <v>Describe the extent of rule creation across the workflow and within the modules and functions.</v>
      </c>
    </row>
    <row r="257" spans="1:14" ht="30">
      <c r="A257" s="138">
        <v>257</v>
      </c>
      <c r="B257" s="142">
        <v>4</v>
      </c>
      <c r="C257" s="142">
        <v>6</v>
      </c>
      <c r="D257" s="142">
        <v>238</v>
      </c>
      <c r="E257" s="142" t="s">
        <v>1574</v>
      </c>
      <c r="F257" s="142">
        <f>INDEX(SuiteCatSub!$E$2:$E$55,MATCH(_xlfn.CONCAT(B257,"-",C257),SuiteCatSub!$F$2:$F$55,0))</f>
        <v>33</v>
      </c>
      <c r="G257" s="142">
        <v>393</v>
      </c>
      <c r="H257" s="142">
        <f>VLOOKUP(G257,SuiteCatSubElem_Version!$I$2:$J$667,2,0)</f>
        <v>238</v>
      </c>
      <c r="I257" s="146" t="s">
        <v>1423</v>
      </c>
      <c r="J257" s="144" t="str">
        <f>VLOOKUP(B257,Categories!$A$2:$C$8,3,0)</f>
        <v>Sourcing</v>
      </c>
      <c r="K257" s="147"/>
      <c r="L257" s="144" t="str">
        <f>VLOOKUP(C257,Subcategories!$A$2:$B$29,2,0)</f>
        <v>Configurability</v>
      </c>
      <c r="M257" s="144" t="str">
        <f>VLOOKUP(D257,Elements!$B$2:$C$435,2,0)</f>
        <v>Team Management</v>
      </c>
      <c r="N257" s="144" t="str">
        <f>VLOOKUP(H257,ElementVariants!$A$2:$B$460,2,0)</f>
        <v>Describe the extent of team management across the platform and the integration with fine-grained roles/action based security.</v>
      </c>
    </row>
    <row r="258" spans="1:14" ht="30">
      <c r="A258" s="138">
        <v>258</v>
      </c>
      <c r="B258" s="142">
        <v>4</v>
      </c>
      <c r="C258" s="142">
        <v>6</v>
      </c>
      <c r="D258" s="142">
        <v>239</v>
      </c>
      <c r="E258" s="142" t="s">
        <v>1575</v>
      </c>
      <c r="F258" s="142">
        <f>INDEX(SuiteCatSub!$E$2:$E$55,MATCH(_xlfn.CONCAT(B258,"-",C258),SuiteCatSub!$F$2:$F$55,0))</f>
        <v>33</v>
      </c>
      <c r="G258" s="142">
        <v>394</v>
      </c>
      <c r="H258" s="142">
        <f>VLOOKUP(G258,SuiteCatSubElem_Version!$I$2:$J$667,2,0)</f>
        <v>239</v>
      </c>
      <c r="I258" s="146" t="s">
        <v>1423</v>
      </c>
      <c r="J258" s="144" t="str">
        <f>VLOOKUP(B258,Categories!$A$2:$C$8,3,0)</f>
        <v>Sourcing</v>
      </c>
      <c r="K258" s="147"/>
      <c r="L258" s="144" t="str">
        <f>VLOOKUP(C258,Subcategories!$A$2:$B$29,2,0)</f>
        <v>Configurability</v>
      </c>
      <c r="M258" s="144" t="str">
        <f>VLOOKUP(D258,Elements!$B$2:$C$435,2,0)</f>
        <v>Project Integration</v>
      </c>
      <c r="N258" s="144" t="str">
        <f>VLOOKUP(H258,ElementVariants!$A$2:$B$460,2,0)</f>
        <v>Describe the integration of each module/function with the overall project management capability of the platform or an integrated platform?</v>
      </c>
    </row>
    <row r="259" spans="1:14" ht="30">
      <c r="A259" s="138">
        <v>259</v>
      </c>
      <c r="B259" s="142">
        <v>4</v>
      </c>
      <c r="C259" s="142">
        <v>6</v>
      </c>
      <c r="D259" s="142">
        <v>240</v>
      </c>
      <c r="E259" s="142" t="s">
        <v>1576</v>
      </c>
      <c r="F259" s="142">
        <f>INDEX(SuiteCatSub!$E$2:$E$55,MATCH(_xlfn.CONCAT(B259,"-",C259),SuiteCatSub!$F$2:$F$55,0))</f>
        <v>33</v>
      </c>
      <c r="G259" s="142">
        <v>395</v>
      </c>
      <c r="H259" s="142">
        <f>VLOOKUP(G259,SuiteCatSubElem_Version!$I$2:$J$667,2,0)</f>
        <v>240</v>
      </c>
      <c r="I259" s="146" t="s">
        <v>1423</v>
      </c>
      <c r="J259" s="144" t="str">
        <f>VLOOKUP(B259,Categories!$A$2:$C$8,3,0)</f>
        <v>Sourcing</v>
      </c>
      <c r="K259" s="147"/>
      <c r="L259" s="144" t="str">
        <f>VLOOKUP(C259,Subcategories!$A$2:$B$29,2,0)</f>
        <v>Configurability</v>
      </c>
      <c r="M259" s="144" t="str">
        <f>VLOOKUP(D259,Elements!$B$2:$C$435,2,0)</f>
        <v>Globalization</v>
      </c>
      <c r="N259" s="144" t="str">
        <f>VLOOKUP(H259,ElementVariants!$A$2:$B$460,2,0)</f>
        <v>Describe the globalization capabilities, paying particular attention to capabilities beyond multi-currency and multi-lingual</v>
      </c>
    </row>
    <row r="260" spans="1:14" ht="30">
      <c r="A260" s="138">
        <v>260</v>
      </c>
      <c r="B260" s="142">
        <v>4</v>
      </c>
      <c r="C260" s="142">
        <v>6</v>
      </c>
      <c r="D260" s="142">
        <v>66</v>
      </c>
      <c r="E260" s="142" t="s">
        <v>1577</v>
      </c>
      <c r="F260" s="142">
        <f>INDEX(SuiteCatSub!$E$2:$E$55,MATCH(_xlfn.CONCAT(B260,"-",C260),SuiteCatSub!$F$2:$F$55,0))</f>
        <v>33</v>
      </c>
      <c r="G260" s="142">
        <v>396</v>
      </c>
      <c r="H260" s="142">
        <f>VLOOKUP(G260,SuiteCatSubElem_Version!$I$2:$J$667,2,0)</f>
        <v>66</v>
      </c>
      <c r="I260" s="146" t="s">
        <v>1423</v>
      </c>
      <c r="J260" s="144" t="str">
        <f>VLOOKUP(B260,Categories!$A$2:$C$8,3,0)</f>
        <v>Sourcing</v>
      </c>
      <c r="K260" s="147"/>
      <c r="L260" s="144" t="str">
        <f>VLOOKUP(C260,Subcategories!$A$2:$B$29,2,0)</f>
        <v>Configurability</v>
      </c>
      <c r="M260" s="144" t="str">
        <f>VLOOKUP(D260,Elements!$B$2:$C$435,2,0)</f>
        <v>Multi-Currency</v>
      </c>
      <c r="N260" s="144" t="str">
        <f>VLOOKUP(H260,ElementVariants!$A$2:$B$460,2,0)</f>
        <v>Describe your support for multiple currencies and supporting functionality for conversions, rounding, etc. Describe how external currency tables are used (e.g., automated conversions, manual, third-party only or if internal master tables are supported, etc.)</v>
      </c>
    </row>
    <row r="261" spans="1:14" ht="30">
      <c r="A261" s="138">
        <v>261</v>
      </c>
      <c r="B261" s="142">
        <v>4</v>
      </c>
      <c r="C261" s="142">
        <v>6</v>
      </c>
      <c r="D261" s="142">
        <v>241</v>
      </c>
      <c r="E261" s="142" t="s">
        <v>1578</v>
      </c>
      <c r="F261" s="142">
        <f>INDEX(SuiteCatSub!$E$2:$E$55,MATCH(_xlfn.CONCAT(B261,"-",C261),SuiteCatSub!$F$2:$F$55,0))</f>
        <v>33</v>
      </c>
      <c r="G261" s="142">
        <v>397</v>
      </c>
      <c r="H261" s="142">
        <f>VLOOKUP(G261,SuiteCatSubElem_Version!$I$2:$J$667,2,0)</f>
        <v>241</v>
      </c>
      <c r="I261" s="146" t="s">
        <v>1423</v>
      </c>
      <c r="J261" s="144" t="str">
        <f>VLOOKUP(B261,Categories!$A$2:$C$8,3,0)</f>
        <v>Sourcing</v>
      </c>
      <c r="K261" s="147"/>
      <c r="L261" s="144" t="str">
        <f>VLOOKUP(C261,Subcategories!$A$2:$B$29,2,0)</f>
        <v>Configurability</v>
      </c>
      <c r="M261" s="144" t="str">
        <f>VLOOKUP(D261,Elements!$B$2:$C$435,2,0)</f>
        <v>Multi-Lingual</v>
      </c>
      <c r="N261" s="144" t="str">
        <f>VLOOKUP(H261,ElementVariants!$A$2:$B$460,2,0)</f>
        <v>Describe your support for multiple languages and for instruction / communication translation. Describe how third parties are used to support translation efforts</v>
      </c>
    </row>
    <row r="262" spans="1:14" ht="30">
      <c r="A262" s="138">
        <v>262</v>
      </c>
      <c r="B262" s="142">
        <v>4</v>
      </c>
      <c r="C262" s="142">
        <v>6</v>
      </c>
      <c r="D262" s="142">
        <v>67</v>
      </c>
      <c r="E262" s="142" t="s">
        <v>1579</v>
      </c>
      <c r="F262" s="142">
        <f>INDEX(SuiteCatSub!$E$2:$E$55,MATCH(_xlfn.CONCAT(B262,"-",C262),SuiteCatSub!$F$2:$F$55,0))</f>
        <v>33</v>
      </c>
      <c r="G262" s="142">
        <v>398</v>
      </c>
      <c r="H262" s="142">
        <f>VLOOKUP(G262,SuiteCatSubElem_Version!$I$2:$J$667,2,0)</f>
        <v>443</v>
      </c>
      <c r="I262" s="146" t="s">
        <v>1423</v>
      </c>
      <c r="J262" s="144" t="str">
        <f>VLOOKUP(B262,Categories!$A$2:$C$8,3,0)</f>
        <v>Sourcing</v>
      </c>
      <c r="K262" s="147"/>
      <c r="L262" s="144" t="str">
        <f>VLOOKUP(C262,Subcategories!$A$2:$B$29,2,0)</f>
        <v>Configurability</v>
      </c>
      <c r="M262" s="144" t="str">
        <f>VLOOKUP(D262,Elements!$B$2:$C$435,2,0)</f>
        <v>Business User Configuration</v>
      </c>
      <c r="N262" s="144" t="str">
        <f>VLOOKUP(H262,ElementVariants!$A$2:$B$460,2,0)</f>
        <v>To what extent are (out-of-the-box) configuration options available for business users?</v>
      </c>
    </row>
    <row r="263" spans="1:14" ht="30">
      <c r="A263" s="138">
        <v>263</v>
      </c>
      <c r="B263" s="142">
        <v>4</v>
      </c>
      <c r="C263" s="142">
        <v>6</v>
      </c>
      <c r="D263" s="142">
        <v>242</v>
      </c>
      <c r="E263" s="142" t="s">
        <v>1580</v>
      </c>
      <c r="F263" s="142">
        <f>INDEX(SuiteCatSub!$E$2:$E$55,MATCH(_xlfn.CONCAT(B263,"-",C263),SuiteCatSub!$F$2:$F$55,0))</f>
        <v>33</v>
      </c>
      <c r="G263" s="142">
        <v>399</v>
      </c>
      <c r="H263" s="142">
        <f>VLOOKUP(G263,SuiteCatSubElem_Version!$I$2:$J$667,2,0)</f>
        <v>242</v>
      </c>
      <c r="I263" s="146" t="s">
        <v>1423</v>
      </c>
      <c r="J263" s="144" t="str">
        <f>VLOOKUP(B263,Categories!$A$2:$C$8,3,0)</f>
        <v>Sourcing</v>
      </c>
      <c r="K263" s="147"/>
      <c r="L263" s="144" t="str">
        <f>VLOOKUP(C263,Subcategories!$A$2:$B$29,2,0)</f>
        <v>Configurability</v>
      </c>
      <c r="M263" s="144" t="str">
        <f>VLOOKUP(D263,Elements!$B$2:$C$435,2,0)</f>
        <v>Manager Configuration</v>
      </c>
      <c r="N263" s="144" t="str">
        <f>VLOOKUP(H263,ElementVariants!$A$2:$B$460,2,0)</f>
        <v>To what extent are (out-of-the-box) configuration options available for managers?</v>
      </c>
    </row>
    <row r="264" spans="1:14" ht="30">
      <c r="A264" s="138">
        <v>264</v>
      </c>
      <c r="B264" s="142">
        <v>4</v>
      </c>
      <c r="C264" s="142">
        <v>6</v>
      </c>
      <c r="D264" s="142">
        <v>243</v>
      </c>
      <c r="E264" s="142" t="s">
        <v>1581</v>
      </c>
      <c r="F264" s="142">
        <f>INDEX(SuiteCatSub!$E$2:$E$55,MATCH(_xlfn.CONCAT(B264,"-",C264),SuiteCatSub!$F$2:$F$55,0))</f>
        <v>33</v>
      </c>
      <c r="G264" s="142">
        <v>400</v>
      </c>
      <c r="H264" s="142">
        <f>VLOOKUP(G264,SuiteCatSubElem_Version!$I$2:$J$667,2,0)</f>
        <v>243</v>
      </c>
      <c r="I264" s="146" t="s">
        <v>1423</v>
      </c>
      <c r="J264" s="144" t="str">
        <f>VLOOKUP(B264,Categories!$A$2:$C$8,3,0)</f>
        <v>Sourcing</v>
      </c>
      <c r="K264" s="147"/>
      <c r="L264" s="144" t="str">
        <f>VLOOKUP(C264,Subcategories!$A$2:$B$29,2,0)</f>
        <v>Configurability</v>
      </c>
      <c r="M264" s="144" t="str">
        <f>VLOOKUP(D264,Elements!$B$2:$C$435,2,0)</f>
        <v>Stakeholder Configuration</v>
      </c>
      <c r="N264" s="144" t="str">
        <f>VLOOKUP(H264,ElementVariants!$A$2:$B$460,2,0)</f>
        <v>To what extent are (out-of-the-box) configuration options available for stakeholders?</v>
      </c>
    </row>
    <row r="265" spans="1:14" ht="45">
      <c r="A265" s="138">
        <v>265</v>
      </c>
      <c r="B265" s="142">
        <v>4</v>
      </c>
      <c r="C265" s="142">
        <v>6</v>
      </c>
      <c r="D265" s="142">
        <v>69</v>
      </c>
      <c r="E265" s="142" t="s">
        <v>1582</v>
      </c>
      <c r="F265" s="142">
        <f>INDEX(SuiteCatSub!$E$2:$E$55,MATCH(_xlfn.CONCAT(B265,"-",C265),SuiteCatSub!$F$2:$F$55,0))</f>
        <v>33</v>
      </c>
      <c r="G265" s="142">
        <v>401</v>
      </c>
      <c r="H265" s="142">
        <f>VLOOKUP(G265,SuiteCatSubElem_Version!$I$2:$J$667,2,0)</f>
        <v>444</v>
      </c>
      <c r="I265" s="146" t="s">
        <v>1423</v>
      </c>
      <c r="J265" s="144" t="str">
        <f>VLOOKUP(B265,Categories!$A$2:$C$8,3,0)</f>
        <v>Sourcing</v>
      </c>
      <c r="K265" s="147"/>
      <c r="L265" s="144" t="str">
        <f>VLOOKUP(C265,Subcategories!$A$2:$B$29,2,0)</f>
        <v>Configurability</v>
      </c>
      <c r="M265" s="144" t="str">
        <f>VLOOKUP(D265,Elements!$B$2:$C$435,2,0)</f>
        <v>Vendor/Consultant Configuration</v>
      </c>
      <c r="N265" s="144" t="str">
        <f>VLOOKUP(H265,ElementVariants!$A$2:$B$460,2,0)</f>
        <v>To what extent are (out-of-the-box) configuration options available for vendors/consultant/partners?</v>
      </c>
    </row>
    <row r="266" spans="1:14" ht="45">
      <c r="A266" s="138">
        <v>266</v>
      </c>
      <c r="B266" s="142">
        <v>4</v>
      </c>
      <c r="C266" s="142">
        <v>8</v>
      </c>
      <c r="D266" s="142">
        <v>83</v>
      </c>
      <c r="E266" s="142" t="s">
        <v>1583</v>
      </c>
      <c r="F266" s="142">
        <f>INDEX(SuiteCatSub!$E$2:$E$55,MATCH(_xlfn.CONCAT(B266,"-",C266),SuiteCatSub!$F$2:$F$55,0))</f>
        <v>35</v>
      </c>
      <c r="G266" s="142">
        <v>402</v>
      </c>
      <c r="H266" s="142">
        <f>VLOOKUP(G266,SuiteCatSubElem_Version!$I$2:$J$667,2,0)</f>
        <v>83</v>
      </c>
      <c r="I266" s="146" t="s">
        <v>1423</v>
      </c>
      <c r="J266" s="144" t="str">
        <f>VLOOKUP(B266,Categories!$A$2:$C$8,3,0)</f>
        <v>Sourcing</v>
      </c>
      <c r="K266" s="147"/>
      <c r="L266" s="144" t="str">
        <f>VLOOKUP(C266,Subcategories!$A$2:$B$29,2,0)</f>
        <v>General Services</v>
      </c>
      <c r="M266" s="144" t="str">
        <f>VLOOKUP(D266,Elements!$B$2:$C$435,2,0)</f>
        <v>Data Management Services</v>
      </c>
      <c r="N266" s="144" t="str">
        <f>VLOOKUP(H266,ElementVariants!$A$2:$B$460,2,0)</f>
        <v>Describe your ability to natively (or through partners) aggregate, cleanse, classify, enrich, and harmonize existing data to make it timely and accurate to drive sourcing, category management and strategic sourcing efforts. Describe existing abilities to also validate data against external sources (tax authorities, prohibited/denied parties lists, certifying ISO authorities, etc.)</v>
      </c>
    </row>
    <row r="267" spans="1:14" ht="45">
      <c r="A267" s="138">
        <v>267</v>
      </c>
      <c r="B267" s="142">
        <v>4</v>
      </c>
      <c r="C267" s="142">
        <v>8</v>
      </c>
      <c r="D267" s="142">
        <v>244</v>
      </c>
      <c r="E267" s="142" t="s">
        <v>1584</v>
      </c>
      <c r="F267" s="142">
        <f>INDEX(SuiteCatSub!$E$2:$E$55,MATCH(_xlfn.CONCAT(B267,"-",C267),SuiteCatSub!$F$2:$F$55,0))</f>
        <v>35</v>
      </c>
      <c r="G267" s="142">
        <v>403</v>
      </c>
      <c r="H267" s="142">
        <f>VLOOKUP(G267,SuiteCatSubElem_Version!$I$2:$J$667,2,0)</f>
        <v>244</v>
      </c>
      <c r="I267" s="146" t="s">
        <v>1423</v>
      </c>
      <c r="J267" s="144" t="str">
        <f>VLOOKUP(B267,Categories!$A$2:$C$8,3,0)</f>
        <v>Sourcing</v>
      </c>
      <c r="K267" s="147"/>
      <c r="L267" s="144" t="str">
        <f>VLOOKUP(C267,Subcategories!$A$2:$B$29,2,0)</f>
        <v>General Services</v>
      </c>
      <c r="M267" s="144" t="str">
        <f>VLOOKUP(D267,Elements!$B$2:$C$435,2,0)</f>
        <v>Category Specific Consulting</v>
      </c>
      <c r="N267" s="144" t="str">
        <f>VLOOKUP(H267,ElementVariants!$A$2:$B$460,2,0)</f>
        <v>Describe your ability to do category / industry specific consulting in various stages of strategic sourcing projects.</v>
      </c>
    </row>
    <row r="268" spans="1:14" ht="30">
      <c r="A268" s="138">
        <v>268</v>
      </c>
      <c r="B268" s="142">
        <v>4</v>
      </c>
      <c r="C268" s="142">
        <v>8</v>
      </c>
      <c r="D268" s="142">
        <v>245</v>
      </c>
      <c r="E268" s="142" t="s">
        <v>1585</v>
      </c>
      <c r="F268" s="142">
        <f>INDEX(SuiteCatSub!$E$2:$E$55,MATCH(_xlfn.CONCAT(B268,"-",C268),SuiteCatSub!$F$2:$F$55,0))</f>
        <v>35</v>
      </c>
      <c r="G268" s="142">
        <v>404</v>
      </c>
      <c r="H268" s="142">
        <f>VLOOKUP(G268,SuiteCatSubElem_Version!$I$2:$J$667,2,0)</f>
        <v>245</v>
      </c>
      <c r="I268" s="146" t="s">
        <v>1423</v>
      </c>
      <c r="J268" s="144" t="str">
        <f>VLOOKUP(B268,Categories!$A$2:$C$8,3,0)</f>
        <v>Sourcing</v>
      </c>
      <c r="K268" s="147"/>
      <c r="L268" s="144" t="str">
        <f>VLOOKUP(C268,Subcategories!$A$2:$B$29,2,0)</f>
        <v>General Services</v>
      </c>
      <c r="M268" s="144" t="str">
        <f>VLOOKUP(D268,Elements!$B$2:$C$435,2,0)</f>
        <v>Spend/Opportunity Analysis</v>
      </c>
      <c r="N268" s="144" t="str">
        <f>VLOOKUP(H268,ElementVariants!$A$2:$B$460,2,0)</f>
        <v>Describe your ability to do detailed spend / opportunity analysis across categories / industries / geographies, within and outside of the platform you provide.</v>
      </c>
    </row>
    <row r="269" spans="1:14" ht="60">
      <c r="A269" s="138">
        <v>269</v>
      </c>
      <c r="B269" s="142">
        <v>4</v>
      </c>
      <c r="C269" s="142">
        <v>8</v>
      </c>
      <c r="D269" s="142">
        <v>246</v>
      </c>
      <c r="E269" s="142" t="s">
        <v>1586</v>
      </c>
      <c r="F269" s="142">
        <f>INDEX(SuiteCatSub!$E$2:$E$55,MATCH(_xlfn.CONCAT(B269,"-",C269),SuiteCatSub!$F$2:$F$55,0))</f>
        <v>35</v>
      </c>
      <c r="G269" s="142">
        <v>405</v>
      </c>
      <c r="H269" s="142">
        <f>VLOOKUP(G269,SuiteCatSubElem_Version!$I$2:$J$667,2,0)</f>
        <v>246</v>
      </c>
      <c r="I269" s="146" t="s">
        <v>1423</v>
      </c>
      <c r="J269" s="144" t="str">
        <f>VLOOKUP(B269,Categories!$A$2:$C$8,3,0)</f>
        <v>Sourcing</v>
      </c>
      <c r="K269" s="147"/>
      <c r="L269" s="144" t="str">
        <f>VLOOKUP(C269,Subcategories!$A$2:$B$29,2,0)</f>
        <v>General Services</v>
      </c>
      <c r="M269" s="144" t="str">
        <f>VLOOKUP(D269,Elements!$B$2:$C$435,2,0)</f>
        <v>Sourcing Events (managed RFX/Auction/Optimization)</v>
      </c>
      <c r="N269" s="144" t="str">
        <f>VLOOKUP(H269,ElementVariants!$A$2:$B$460,2,0)</f>
        <v>Describe your ability to do managed sourcing events on behalf of your client.</v>
      </c>
    </row>
    <row r="270" spans="1:14" ht="60">
      <c r="A270" s="138">
        <v>270</v>
      </c>
      <c r="B270" s="142">
        <v>4</v>
      </c>
      <c r="C270" s="142">
        <v>8</v>
      </c>
      <c r="D270" s="142">
        <v>247</v>
      </c>
      <c r="E270" s="142" t="s">
        <v>1587</v>
      </c>
      <c r="F270" s="142">
        <f>INDEX(SuiteCatSub!$E$2:$E$55,MATCH(_xlfn.CONCAT(B270,"-",C270),SuiteCatSub!$F$2:$F$55,0))</f>
        <v>35</v>
      </c>
      <c r="G270" s="142">
        <v>406</v>
      </c>
      <c r="H270" s="142">
        <f>VLOOKUP(G270,SuiteCatSubElem_Version!$I$2:$J$667,2,0)</f>
        <v>247</v>
      </c>
      <c r="I270" s="146" t="s">
        <v>1423</v>
      </c>
      <c r="J270" s="144" t="str">
        <f>VLOOKUP(B270,Categories!$A$2:$C$8,3,0)</f>
        <v>Sourcing</v>
      </c>
      <c r="K270" s="147"/>
      <c r="L270" s="144" t="str">
        <f>VLOOKUP(C270,Subcategories!$A$2:$B$29,2,0)</f>
        <v>General Services</v>
      </c>
      <c r="M270" s="144" t="str">
        <f>VLOOKUP(D270,Elements!$B$2:$C$435,2,0)</f>
        <v>Risk Identification and Management</v>
      </c>
      <c r="N270" s="144" t="str">
        <f>VLOOKUP(H270,ElementVariants!$A$2:$B$460,2,0)</f>
        <v>Describe your ability to do risk identification, analysis, tracking, and mitigation across the platform.</v>
      </c>
    </row>
    <row r="271" spans="1:14" ht="60">
      <c r="A271" s="138">
        <v>271</v>
      </c>
      <c r="B271" s="142">
        <v>4</v>
      </c>
      <c r="C271" s="142">
        <v>8</v>
      </c>
      <c r="D271" s="142">
        <v>84</v>
      </c>
      <c r="E271" s="142" t="s">
        <v>1588</v>
      </c>
      <c r="F271" s="142">
        <f>INDEX(SuiteCatSub!$E$2:$E$55,MATCH(_xlfn.CONCAT(B271,"-",C271),SuiteCatSub!$F$2:$F$55,0))</f>
        <v>35</v>
      </c>
      <c r="G271" s="142">
        <v>407</v>
      </c>
      <c r="H271" s="142">
        <f>VLOOKUP(G271,SuiteCatSubElem_Version!$I$2:$J$667,2,0)</f>
        <v>84</v>
      </c>
      <c r="I271" s="146" t="s">
        <v>1423</v>
      </c>
      <c r="J271" s="144" t="str">
        <f>VLOOKUP(B271,Categories!$A$2:$C$8,3,0)</f>
        <v>Sourcing</v>
      </c>
      <c r="K271" s="147"/>
      <c r="L271" s="144" t="str">
        <f>VLOOKUP(C271,Subcategories!$A$2:$B$29,2,0)</f>
        <v>General Services</v>
      </c>
      <c r="M271" s="144" t="str">
        <f>VLOOKUP(D271,Elements!$B$2:$C$435,2,0)</f>
        <v>Managed Services / Co-Sourcing / Outsourcing</v>
      </c>
      <c r="N271" s="144" t="str">
        <f>VLOOKUP(H271,ElementVariants!$A$2:$B$460,2,0)</f>
        <v>Describe any BPO partner deployments outside of supporting customers that are hosted in your native cloud instance. Describe your ability to support business process related services or information/intelligence services in areas such as risk management, compliance (e.g., supplier audits), market intelligence, etc.</v>
      </c>
    </row>
    <row r="272" spans="1:14" ht="60">
      <c r="A272" s="138">
        <v>272</v>
      </c>
      <c r="B272" s="142">
        <v>4</v>
      </c>
      <c r="C272" s="142">
        <v>8</v>
      </c>
      <c r="D272" s="142">
        <v>85</v>
      </c>
      <c r="E272" s="142" t="s">
        <v>1589</v>
      </c>
      <c r="F272" s="142">
        <f>INDEX(SuiteCatSub!$E$2:$E$55,MATCH(_xlfn.CONCAT(B272,"-",C272),SuiteCatSub!$F$2:$F$55,0))</f>
        <v>35</v>
      </c>
      <c r="G272" s="142">
        <v>408</v>
      </c>
      <c r="H272" s="142">
        <f>VLOOKUP(G272,SuiteCatSubElem_Version!$I$2:$J$667,2,0)</f>
        <v>85</v>
      </c>
      <c r="I272" s="146" t="s">
        <v>1423</v>
      </c>
      <c r="J272" s="144" t="str">
        <f>VLOOKUP(B272,Categories!$A$2:$C$8,3,0)</f>
        <v>Sourcing</v>
      </c>
      <c r="K272" s="147"/>
      <c r="L272" s="144" t="str">
        <f>VLOOKUP(C272,Subcategories!$A$2:$B$29,2,0)</f>
        <v>General Services</v>
      </c>
      <c r="M272" s="144" t="str">
        <f>VLOOKUP(D272,Elements!$B$2:$C$435,2,0)</f>
        <v>Consulting / Change Management</v>
      </c>
      <c r="N272" s="144" t="str">
        <f>VLOOKUP(H272,ElementVariants!$A$2:$B$460,2,0)</f>
        <v>Describe the depth of your professional services teams and partner professional services firms to assist in operational/IT strategy, implementation planning, and implementation execution (process re-design, system tailoring/customization, testing, training, post implementation support, etc.) How many internal FTEs are on your team in this area? How many partner FTEs are certified in total (if a certification program exists)? How many partner FTEs are trained (outside of a formal certification program)?</v>
      </c>
    </row>
    <row r="273" spans="1:14" ht="30">
      <c r="A273" s="138">
        <v>273</v>
      </c>
      <c r="B273" s="142">
        <v>5</v>
      </c>
      <c r="C273" s="142">
        <v>19</v>
      </c>
      <c r="D273" s="142">
        <v>248</v>
      </c>
      <c r="E273" s="142" t="s">
        <v>1590</v>
      </c>
      <c r="F273" s="142">
        <f>INDEX(SuiteCatSub!$E$2:$E$55,MATCH(_xlfn.CONCAT(B273,"-",C273),SuiteCatSub!$F$2:$F$55,0))</f>
        <v>36</v>
      </c>
      <c r="G273" s="142">
        <v>409</v>
      </c>
      <c r="H273" s="142">
        <f>VLOOKUP(G273,SuiteCatSubElem_Version!$I$2:$J$667,2,0)</f>
        <v>249</v>
      </c>
      <c r="I273" s="146" t="s">
        <v>1423</v>
      </c>
      <c r="J273" s="144" t="str">
        <f>VLOOKUP(B273,Categories!$A$2:$C$8,3,0)</f>
        <v>Spend Analytics</v>
      </c>
      <c r="K273" s="147"/>
      <c r="L273" s="144" t="str">
        <f>VLOOKUP(C273,Subcategories!$A$2:$B$29,2,0)</f>
        <v>Data Layer</v>
      </c>
      <c r="M273" s="144" t="str">
        <f>VLOOKUP(D273,Elements!$B$2:$C$435,2,0)</f>
        <v>Schema Support (general)</v>
      </c>
      <c r="N273" s="144" t="str">
        <f>VLOOKUP(H273,ElementVariants!$A$2:$B$460,2,0)</f>
        <v>How extensive is the schema support? Is it fixed, or can it be customer defined? Are there any limits on size? Can multiple schemas be supported? Simultaneously?</v>
      </c>
    </row>
    <row r="274" spans="1:14" ht="30">
      <c r="A274" s="138">
        <v>274</v>
      </c>
      <c r="B274" s="142">
        <v>5</v>
      </c>
      <c r="C274" s="142">
        <v>19</v>
      </c>
      <c r="D274" s="142">
        <v>249</v>
      </c>
      <c r="E274" s="142" t="s">
        <v>1591</v>
      </c>
      <c r="F274" s="142">
        <f>INDEX(SuiteCatSub!$E$2:$E$55,MATCH(_xlfn.CONCAT(B274,"-",C274),SuiteCatSub!$F$2:$F$55,0))</f>
        <v>36</v>
      </c>
      <c r="G274" s="142">
        <v>410</v>
      </c>
      <c r="H274" s="142">
        <f>VLOOKUP(G274,SuiteCatSubElem_Version!$I$2:$J$667,2,0)</f>
        <v>250</v>
      </c>
      <c r="I274" s="146" t="s">
        <v>1423</v>
      </c>
      <c r="J274" s="144" t="str">
        <f>VLOOKUP(B274,Categories!$A$2:$C$8,3,0)</f>
        <v>Spend Analytics</v>
      </c>
      <c r="K274" s="147"/>
      <c r="L274" s="144" t="str">
        <f>VLOOKUP(C274,Subcategories!$A$2:$B$29,2,0)</f>
        <v>Data Layer</v>
      </c>
      <c r="M274" s="144" t="str">
        <f>VLOOKUP(D274,Elements!$B$2:$C$435,2,0)</f>
        <v>Schema Support (out-of-the-box)</v>
      </c>
      <c r="N274" s="144" t="str">
        <f>VLOOKUP(H274,ElementVariants!$A$2:$B$460,2,0)</f>
        <v>What schemas are supported out of the box? How many are standard? How many are built on industry / category expertise? Are they customizable?</v>
      </c>
    </row>
    <row r="275" spans="1:14" ht="30">
      <c r="A275" s="138">
        <v>275</v>
      </c>
      <c r="B275" s="142">
        <v>5</v>
      </c>
      <c r="C275" s="142">
        <v>19</v>
      </c>
      <c r="D275" s="142">
        <v>250</v>
      </c>
      <c r="E275" s="142" t="s">
        <v>1592</v>
      </c>
      <c r="F275" s="142">
        <f>INDEX(SuiteCatSub!$E$2:$E$55,MATCH(_xlfn.CONCAT(B275,"-",C275),SuiteCatSub!$F$2:$F$55,0))</f>
        <v>36</v>
      </c>
      <c r="G275" s="142">
        <v>411</v>
      </c>
      <c r="H275" s="142">
        <f>VLOOKUP(G275,SuiteCatSubElem_Version!$I$2:$J$667,2,0)</f>
        <v>251</v>
      </c>
      <c r="I275" s="146" t="s">
        <v>1423</v>
      </c>
      <c r="J275" s="144" t="str">
        <f>VLOOKUP(B275,Categories!$A$2:$C$8,3,0)</f>
        <v>Spend Analytics</v>
      </c>
      <c r="K275" s="147"/>
      <c r="L275" s="144" t="str">
        <f>VLOOKUP(C275,Subcategories!$A$2:$B$29,2,0)</f>
        <v>Data Layer</v>
      </c>
      <c r="M275" s="144" t="str">
        <f>VLOOKUP(D275,Elements!$B$2:$C$435,2,0)</f>
        <v>Schema Support (custom)</v>
      </c>
      <c r="N275" s="144" t="str">
        <f>VLOOKUP(H275,ElementVariants!$A$2:$B$460,2,0)</f>
        <v>What is the extent of custom schema creation and how easy is it for the customer to define their own schemas? Is there a suite of templates to start from? Are validation rules supported?</v>
      </c>
    </row>
    <row r="276" spans="1:14" ht="30">
      <c r="A276" s="138">
        <v>276</v>
      </c>
      <c r="B276" s="142">
        <v>5</v>
      </c>
      <c r="C276" s="142">
        <v>19</v>
      </c>
      <c r="D276" s="142">
        <v>251</v>
      </c>
      <c r="E276" s="142" t="s">
        <v>1593</v>
      </c>
      <c r="F276" s="142">
        <f>INDEX(SuiteCatSub!$E$2:$E$55,MATCH(_xlfn.CONCAT(B276,"-",C276),SuiteCatSub!$F$2:$F$55,0))</f>
        <v>36</v>
      </c>
      <c r="G276" s="142">
        <v>412</v>
      </c>
      <c r="H276" s="142">
        <f>VLOOKUP(G276,SuiteCatSubElem_Version!$I$2:$J$667,2,0)</f>
        <v>252</v>
      </c>
      <c r="I276" s="146" t="s">
        <v>1423</v>
      </c>
      <c r="J276" s="144" t="str">
        <f>VLOOKUP(B276,Categories!$A$2:$C$8,3,0)</f>
        <v>Spend Analytics</v>
      </c>
      <c r="K276" s="147"/>
      <c r="L276" s="144" t="str">
        <f>VLOOKUP(C276,Subcategories!$A$2:$B$29,2,0)</f>
        <v>Data Layer</v>
      </c>
      <c r="M276" s="144" t="str">
        <f>VLOOKUP(D276,Elements!$B$2:$C$435,2,0)</f>
        <v>Schema Support (multi)</v>
      </c>
      <c r="N276" s="144" t="str">
        <f>VLOOKUP(H276,ElementVariants!$A$2:$B$460,2,0)</f>
        <v>To what extent can the solution support multiple schemas simultaneously, supporting multiple views and multiple cubes?</v>
      </c>
    </row>
    <row r="277" spans="1:14" ht="30">
      <c r="A277" s="138">
        <v>277</v>
      </c>
      <c r="B277" s="142">
        <v>5</v>
      </c>
      <c r="C277" s="142">
        <v>19</v>
      </c>
      <c r="D277" s="142">
        <v>252</v>
      </c>
      <c r="E277" s="142" t="s">
        <v>1594</v>
      </c>
      <c r="F277" s="142">
        <f>INDEX(SuiteCatSub!$E$2:$E$55,MATCH(_xlfn.CONCAT(B277,"-",C277),SuiteCatSub!$F$2:$F$55,0))</f>
        <v>36</v>
      </c>
      <c r="G277" s="142">
        <v>413</v>
      </c>
      <c r="H277" s="142">
        <f>VLOOKUP(G277,SuiteCatSubElem_Version!$I$2:$J$667,2,0)</f>
        <v>253</v>
      </c>
      <c r="I277" s="146" t="s">
        <v>1423</v>
      </c>
      <c r="J277" s="144" t="str">
        <f>VLOOKUP(B277,Categories!$A$2:$C$8,3,0)</f>
        <v>Spend Analytics</v>
      </c>
      <c r="K277" s="147"/>
      <c r="L277" s="144" t="str">
        <f>VLOOKUP(C277,Subcategories!$A$2:$B$29,2,0)</f>
        <v>Data Layer</v>
      </c>
      <c r="M277" s="144" t="str">
        <f>VLOOKUP(D277,Elements!$B$2:$C$435,2,0)</f>
        <v>Cube Capability</v>
      </c>
      <c r="N277" s="144" t="str">
        <f>VLOOKUP(H277,ElementVariants!$A$2:$B$460,2,0)</f>
        <v>How easy is it for the customer organization to define multiple cubes on any and all dimensions of interest, create derived and roll-up dimensions, and share those cubes?</v>
      </c>
    </row>
    <row r="278" spans="1:14" ht="30">
      <c r="A278" s="138">
        <v>278</v>
      </c>
      <c r="B278" s="142">
        <v>5</v>
      </c>
      <c r="C278" s="142">
        <v>19</v>
      </c>
      <c r="D278" s="142">
        <v>253</v>
      </c>
      <c r="E278" s="142" t="s">
        <v>1595</v>
      </c>
      <c r="F278" s="142">
        <f>INDEX(SuiteCatSub!$E$2:$E$55,MATCH(_xlfn.CONCAT(B278,"-",C278),SuiteCatSub!$F$2:$F$55,0))</f>
        <v>36</v>
      </c>
      <c r="G278" s="142">
        <v>414</v>
      </c>
      <c r="H278" s="142">
        <f>VLOOKUP(G278,SuiteCatSubElem_Version!$I$2:$J$667,2,0)</f>
        <v>254</v>
      </c>
      <c r="I278" s="146" t="s">
        <v>1423</v>
      </c>
      <c r="J278" s="144" t="str">
        <f>VLOOKUP(B278,Categories!$A$2:$C$8,3,0)</f>
        <v>Spend Analytics</v>
      </c>
      <c r="K278" s="147"/>
      <c r="L278" s="144" t="str">
        <f>VLOOKUP(C278,Subcategories!$A$2:$B$29,2,0)</f>
        <v>Data Layer</v>
      </c>
      <c r="M278" s="144" t="str">
        <f>VLOOKUP(D278,Elements!$B$2:$C$435,2,0)</f>
        <v>Familying/Normalization</v>
      </c>
      <c r="N278" s="144" t="str">
        <f>VLOOKUP(H278,ElementVariants!$A$2:$B$460,2,0)</f>
        <v>To what extent does the solution support familying of suppliers, products, and other entities that need to be familied and related in the solution? To what extent can multiple instances of the same entity be normalized to one?</v>
      </c>
    </row>
    <row r="279" spans="1:14" ht="30">
      <c r="A279" s="138">
        <v>279</v>
      </c>
      <c r="B279" s="142">
        <v>5</v>
      </c>
      <c r="C279" s="142">
        <v>19</v>
      </c>
      <c r="D279" s="142">
        <v>114</v>
      </c>
      <c r="E279" s="142" t="s">
        <v>1596</v>
      </c>
      <c r="F279" s="142">
        <f>INDEX(SuiteCatSub!$E$2:$E$55,MATCH(_xlfn.CONCAT(B279,"-",C279),SuiteCatSub!$F$2:$F$55,0))</f>
        <v>36</v>
      </c>
      <c r="G279" s="142">
        <v>415</v>
      </c>
      <c r="H279" s="142">
        <f>VLOOKUP(G279,SuiteCatSubElem_Version!$I$2:$J$667,2,0)</f>
        <v>452</v>
      </c>
      <c r="I279" s="146" t="s">
        <v>1423</v>
      </c>
      <c r="J279" s="144" t="str">
        <f>VLOOKUP(B279,Categories!$A$2:$C$8,3,0)</f>
        <v>Spend Analytics</v>
      </c>
      <c r="K279" s="147"/>
      <c r="L279" s="144" t="str">
        <f>VLOOKUP(C279,Subcategories!$A$2:$B$29,2,0)</f>
        <v>Data Layer</v>
      </c>
      <c r="M279" s="144" t="str">
        <f>VLOOKUP(D279,Elements!$B$2:$C$435,2,0)</f>
        <v>Formula Support</v>
      </c>
      <c r="N279" s="144" t="str">
        <f>VLOOKUP(H279,ElementVariants!$A$2:$B$460,2,0)</f>
        <v>How extensive is the formula support for creating ranged and derived dimensions, creating (roll-up) reports, and creating classification/cleansing rules?</v>
      </c>
    </row>
    <row r="280" spans="1:14" ht="30">
      <c r="A280" s="138">
        <v>280</v>
      </c>
      <c r="B280" s="142">
        <v>5</v>
      </c>
      <c r="C280" s="142">
        <v>19</v>
      </c>
      <c r="D280" s="142">
        <v>254</v>
      </c>
      <c r="E280" s="142" t="s">
        <v>1597</v>
      </c>
      <c r="F280" s="142">
        <f>INDEX(SuiteCatSub!$E$2:$E$55,MATCH(_xlfn.CONCAT(B280,"-",C280),SuiteCatSub!$F$2:$F$55,0))</f>
        <v>36</v>
      </c>
      <c r="G280" s="142">
        <v>416</v>
      </c>
      <c r="H280" s="142">
        <f>VLOOKUP(G280,SuiteCatSubElem_Version!$I$2:$J$667,2,0)</f>
        <v>255</v>
      </c>
      <c r="I280" s="146" t="s">
        <v>1423</v>
      </c>
      <c r="J280" s="144" t="str">
        <f>VLOOKUP(B280,Categories!$A$2:$C$8,3,0)</f>
        <v>Spend Analytics</v>
      </c>
      <c r="K280" s="147"/>
      <c r="L280" s="144" t="str">
        <f>VLOOKUP(C280,Subcategories!$A$2:$B$29,2,0)</f>
        <v>Data Layer</v>
      </c>
      <c r="M280" s="144" t="str">
        <f>VLOOKUP(D280,Elements!$B$2:$C$435,2,0)</f>
        <v>Rule/Knowledge Model Editor</v>
      </c>
      <c r="N280" s="144" t="str">
        <f>VLOOKUP(H280,ElementVariants!$A$2:$B$460,2,0)</f>
        <v>How extensible is the rule and/or model editor? Can it be used to create cleansing, classification, and normalization rules as well as schemas, cubes, and reports? Does it support advanced formula for calculations and reg-ex for text-based formulas and cleansing rules?</v>
      </c>
    </row>
    <row r="281" spans="1:14" ht="45">
      <c r="A281" s="138">
        <v>281</v>
      </c>
      <c r="B281" s="142">
        <v>5</v>
      </c>
      <c r="C281" s="142">
        <v>20</v>
      </c>
      <c r="D281" s="142">
        <v>255</v>
      </c>
      <c r="E281" s="142" t="s">
        <v>1598</v>
      </c>
      <c r="F281" s="142">
        <f>INDEX(SuiteCatSub!$E$2:$E$55,MATCH(_xlfn.CONCAT(B281,"-",C281),SuiteCatSub!$F$2:$F$55,0))</f>
        <v>37</v>
      </c>
      <c r="G281" s="142">
        <v>417</v>
      </c>
      <c r="H281" s="142">
        <f>VLOOKUP(G281,SuiteCatSubElem_Version!$I$2:$J$667,2,0)</f>
        <v>256</v>
      </c>
      <c r="I281" s="146" t="s">
        <v>1423</v>
      </c>
      <c r="J281" s="144" t="str">
        <f>VLOOKUP(B281,Categories!$A$2:$C$8,3,0)</f>
        <v>Spend Analytics</v>
      </c>
      <c r="K281" s="147"/>
      <c r="L281" s="144" t="str">
        <f>VLOOKUP(C281,Subcategories!$A$2:$B$29,2,0)</f>
        <v>Process Support</v>
      </c>
      <c r="M281" s="144" t="str">
        <f>VLOOKUP(D281,Elements!$B$2:$C$435,2,0)</f>
        <v>ETL (Extract / Transform / Load)</v>
      </c>
      <c r="N281" s="144" t="str">
        <f>VLOOKUP(H281,ElementVariants!$A$2:$B$460,2,0)</f>
        <v>How extensive is the extract-transform-load functionality in the tool?</v>
      </c>
    </row>
    <row r="282" spans="1:14" ht="30">
      <c r="A282" s="138">
        <v>282</v>
      </c>
      <c r="B282" s="142">
        <v>5</v>
      </c>
      <c r="C282" s="142">
        <v>20</v>
      </c>
      <c r="D282" s="142">
        <v>256</v>
      </c>
      <c r="E282" s="142" t="s">
        <v>1599</v>
      </c>
      <c r="F282" s="142">
        <f>INDEX(SuiteCatSub!$E$2:$E$55,MATCH(_xlfn.CONCAT(B282,"-",C282),SuiteCatSub!$F$2:$F$55,0))</f>
        <v>37</v>
      </c>
      <c r="G282" s="142">
        <v>418</v>
      </c>
      <c r="H282" s="142">
        <f>VLOOKUP(G282,SuiteCatSubElem_Version!$I$2:$J$667,2,0)</f>
        <v>257</v>
      </c>
      <c r="I282" s="146" t="s">
        <v>1423</v>
      </c>
      <c r="J282" s="144" t="str">
        <f>VLOOKUP(B282,Categories!$A$2:$C$8,3,0)</f>
        <v>Spend Analytics</v>
      </c>
      <c r="K282" s="147"/>
      <c r="L282" s="144" t="str">
        <f>VLOOKUP(C282,Subcategories!$A$2:$B$29,2,0)</f>
        <v>Process Support</v>
      </c>
      <c r="M282" s="144" t="str">
        <f>VLOOKUP(D282,Elements!$B$2:$C$435,2,0)</f>
        <v>Out of the box ERP integrations</v>
      </c>
      <c r="N282" s="144" t="str">
        <f>VLOOKUP(H282,ElementVariants!$A$2:$B$460,2,0)</f>
        <v>How many ERP integrations are available out-of-the-box? How extensive are these integrations? How easy is it to add more ERPs through the API?</v>
      </c>
    </row>
    <row r="283" spans="1:14" ht="45">
      <c r="A283" s="138">
        <v>283</v>
      </c>
      <c r="B283" s="142">
        <v>5</v>
      </c>
      <c r="C283" s="142">
        <v>20</v>
      </c>
      <c r="D283" s="142">
        <v>257</v>
      </c>
      <c r="E283" s="142" t="s">
        <v>1600</v>
      </c>
      <c r="F283" s="142">
        <f>INDEX(SuiteCatSub!$E$2:$E$55,MATCH(_xlfn.CONCAT(B283,"-",C283),SuiteCatSub!$F$2:$F$55,0))</f>
        <v>37</v>
      </c>
      <c r="G283" s="142">
        <v>419</v>
      </c>
      <c r="H283" s="142">
        <f>VLOOKUP(G283,SuiteCatSubElem_Version!$I$2:$J$667,2,0)</f>
        <v>258</v>
      </c>
      <c r="I283" s="146" t="s">
        <v>1423</v>
      </c>
      <c r="J283" s="144" t="str">
        <f>VLOOKUP(B283,Categories!$A$2:$C$8,3,0)</f>
        <v>Spend Analytics</v>
      </c>
      <c r="K283" s="147"/>
      <c r="L283" s="144" t="str">
        <f>VLOOKUP(C283,Subcategories!$A$2:$B$29,2,0)</f>
        <v>Process Support</v>
      </c>
      <c r="M283" s="144" t="str">
        <f>VLOOKUP(D283,Elements!$B$2:$C$435,2,0)</f>
        <v>Source-to-Pay Integrations (out-of-the-box )</v>
      </c>
      <c r="N283" s="144" t="str">
        <f>VLOOKUP(H283,ElementVariants!$A$2:$B$460,2,0)</f>
        <v>How many S2P integrations are available out-of-the-box? How extensive are these integrations? How easy is it to add more S2Ps through the API?</v>
      </c>
    </row>
    <row r="284" spans="1:14" ht="45">
      <c r="A284" s="138">
        <v>284</v>
      </c>
      <c r="B284" s="142">
        <v>5</v>
      </c>
      <c r="C284" s="142">
        <v>20</v>
      </c>
      <c r="D284" s="142">
        <v>258</v>
      </c>
      <c r="E284" s="142" t="s">
        <v>1601</v>
      </c>
      <c r="F284" s="142">
        <f>INDEX(SuiteCatSub!$E$2:$E$55,MATCH(_xlfn.CONCAT(B284,"-",C284),SuiteCatSub!$F$2:$F$55,0))</f>
        <v>37</v>
      </c>
      <c r="G284" s="142">
        <v>420</v>
      </c>
      <c r="H284" s="142">
        <f>VLOOKUP(G284,SuiteCatSubElem_Version!$I$2:$J$667,2,0)</f>
        <v>259</v>
      </c>
      <c r="I284" s="146" t="s">
        <v>1423</v>
      </c>
      <c r="J284" s="144" t="str">
        <f>VLOOKUP(B284,Categories!$A$2:$C$8,3,0)</f>
        <v>Spend Analytics</v>
      </c>
      <c r="K284" s="147"/>
      <c r="L284" s="144" t="str">
        <f>VLOOKUP(C284,Subcategories!$A$2:$B$29,2,0)</f>
        <v>Process Support</v>
      </c>
      <c r="M284" s="144" t="str">
        <f>VLOOKUP(D284,Elements!$B$2:$C$435,2,0)</f>
        <v>Rules Set</v>
      </c>
      <c r="N284" s="144" t="str">
        <f>VLOOKUP(H284,ElementVariants!$A$2:$B$460,2,0)</f>
        <v>To what extent can rule sets be defined that do automatic cleansing, enrichment, and even classification during load? How powerful are the rules? Can they be ordered (uniquely or in groups) to prevent conflicts? Can conflicts be detected (and reordering suggestions offered to prevent conflicts)?</v>
      </c>
    </row>
    <row r="285" spans="1:14" ht="60">
      <c r="A285" s="138">
        <v>285</v>
      </c>
      <c r="B285" s="142">
        <v>5</v>
      </c>
      <c r="C285" s="142">
        <v>20</v>
      </c>
      <c r="D285" s="142">
        <v>259</v>
      </c>
      <c r="E285" s="142" t="s">
        <v>1602</v>
      </c>
      <c r="F285" s="142">
        <f>INDEX(SuiteCatSub!$E$2:$E$55,MATCH(_xlfn.CONCAT(B285,"-",C285),SuiteCatSub!$F$2:$F$55,0))</f>
        <v>37</v>
      </c>
      <c r="G285" s="142">
        <v>421</v>
      </c>
      <c r="H285" s="142">
        <f>VLOOKUP(G285,SuiteCatSubElem_Version!$I$2:$J$667,2,0)</f>
        <v>260</v>
      </c>
      <c r="I285" s="146" t="s">
        <v>1423</v>
      </c>
      <c r="J285" s="144" t="str">
        <f>VLOOKUP(B285,Categories!$A$2:$C$8,3,0)</f>
        <v>Spend Analytics</v>
      </c>
      <c r="K285" s="147"/>
      <c r="L285" s="144" t="str">
        <f>VLOOKUP(C285,Subcategories!$A$2:$B$29,2,0)</f>
        <v>Process Support</v>
      </c>
      <c r="M285" s="144" t="str">
        <f>VLOOKUP(D285,Elements!$B$2:$C$435,2,0)</f>
        <v>Rule Groups (including reg-ex / formula support)</v>
      </c>
      <c r="N285" s="144" t="str">
        <f>VLOOKUP(H285,ElementVariants!$A$2:$B$460,2,0)</f>
        <v>Can these rules be organized into groups? Can the groups be selected as needed? Can alternate groups be created and selected for what-if analysis on temporary/throwaway cubes? Can the rules be ordered and prioritized within the group?</v>
      </c>
    </row>
    <row r="286" spans="1:14" ht="30">
      <c r="A286" s="138">
        <v>286</v>
      </c>
      <c r="B286" s="142">
        <v>5</v>
      </c>
      <c r="C286" s="142">
        <v>20</v>
      </c>
      <c r="D286" s="142">
        <v>260</v>
      </c>
      <c r="E286" s="142" t="s">
        <v>1603</v>
      </c>
      <c r="F286" s="142">
        <f>INDEX(SuiteCatSub!$E$2:$E$55,MATCH(_xlfn.CONCAT(B286,"-",C286),SuiteCatSub!$F$2:$F$55,0))</f>
        <v>37</v>
      </c>
      <c r="G286" s="142">
        <v>422</v>
      </c>
      <c r="H286" s="142">
        <f>VLOOKUP(G286,SuiteCatSubElem_Version!$I$2:$J$667,2,0)</f>
        <v>261</v>
      </c>
      <c r="I286" s="146" t="s">
        <v>1423</v>
      </c>
      <c r="J286" s="144" t="str">
        <f>VLOOKUP(B286,Categories!$A$2:$C$8,3,0)</f>
        <v>Spend Analytics</v>
      </c>
      <c r="K286" s="147"/>
      <c r="L286" s="144" t="str">
        <f>VLOOKUP(C286,Subcategories!$A$2:$B$29,2,0)</f>
        <v>Process Support</v>
      </c>
      <c r="M286" s="144" t="str">
        <f>VLOOKUP(D286,Elements!$B$2:$C$435,2,0)</f>
        <v>Enrich</v>
      </c>
      <c r="N286" s="144" t="str">
        <f>VLOOKUP(H286,ElementVariants!$A$2:$B$460,2,0)</f>
        <v>How extensive are the enrichment options available out of the box? Does the solution come with a large database of known, clean, and enriched supplier and product records? What about services? What about support for bill of materials?</v>
      </c>
    </row>
    <row r="287" spans="1:14" ht="60">
      <c r="A287" s="138">
        <v>287</v>
      </c>
      <c r="B287" s="142">
        <v>5</v>
      </c>
      <c r="C287" s="142">
        <v>20</v>
      </c>
      <c r="D287" s="142">
        <v>261</v>
      </c>
      <c r="E287" s="142" t="s">
        <v>1604</v>
      </c>
      <c r="F287" s="142">
        <f>INDEX(SuiteCatSub!$E$2:$E$55,MATCH(_xlfn.CONCAT(B287,"-",C287),SuiteCatSub!$F$2:$F$55,0))</f>
        <v>37</v>
      </c>
      <c r="G287" s="142">
        <v>423</v>
      </c>
      <c r="H287" s="142">
        <f>VLOOKUP(G287,SuiteCatSubElem_Version!$I$2:$J$667,2,0)</f>
        <v>262</v>
      </c>
      <c r="I287" s="146" t="s">
        <v>1423</v>
      </c>
      <c r="J287" s="144" t="str">
        <f>VLOOKUP(B287,Categories!$A$2:$C$8,3,0)</f>
        <v>Spend Analytics</v>
      </c>
      <c r="K287" s="147"/>
      <c r="L287" s="144" t="str">
        <f>VLOOKUP(C287,Subcategories!$A$2:$B$29,2,0)</f>
        <v>Process Support</v>
      </c>
      <c r="M287" s="144" t="str">
        <f>VLOOKUP(D287,Elements!$B$2:$C$435,2,0)</f>
        <v>3rd Party Data Feed Integrations (out-of-the-box)</v>
      </c>
      <c r="N287" s="144" t="str">
        <f>VLOOKUP(H287,ElementVariants!$A$2:$B$460,2,0)</f>
        <v>Does the solution integrate with 3rd party data feeds out of the box? Can additional 3rd party data feeds be added easily through an API? How extensible are the rules to make sure the right data is selected for the right records?</v>
      </c>
    </row>
    <row r="288" spans="1:14" ht="30">
      <c r="A288" s="138">
        <v>288</v>
      </c>
      <c r="B288" s="142">
        <v>5</v>
      </c>
      <c r="C288" s="142">
        <v>20</v>
      </c>
      <c r="D288" s="142">
        <v>262</v>
      </c>
      <c r="E288" s="142" t="s">
        <v>1605</v>
      </c>
      <c r="F288" s="142">
        <f>INDEX(SuiteCatSub!$E$2:$E$55,MATCH(_xlfn.CONCAT(B288,"-",C288),SuiteCatSub!$F$2:$F$55,0))</f>
        <v>37</v>
      </c>
      <c r="G288" s="142">
        <v>424</v>
      </c>
      <c r="H288" s="142">
        <f>VLOOKUP(G288,SuiteCatSubElem_Version!$I$2:$J$667,2,0)</f>
        <v>263</v>
      </c>
      <c r="I288" s="146" t="s">
        <v>1423</v>
      </c>
      <c r="J288" s="144" t="str">
        <f>VLOOKUP(B288,Categories!$A$2:$C$8,3,0)</f>
        <v>Spend Analytics</v>
      </c>
      <c r="K288" s="147"/>
      <c r="L288" s="144" t="str">
        <f>VLOOKUP(C288,Subcategories!$A$2:$B$29,2,0)</f>
        <v>Process Support</v>
      </c>
      <c r="M288" s="144" t="str">
        <f>VLOOKUP(D288,Elements!$B$2:$C$435,2,0)</f>
        <v>Multi-Source Cross-Joins</v>
      </c>
      <c r="N288" s="144" t="str">
        <f>VLOOKUP(H288,ElementVariants!$A$2:$B$460,2,0)</f>
        <v>Does the solutions support multi-source cross-joins to make sure only the needed data is imported and the right data matched based on values from multiple sources, joined on common, cleansed fields? How extensible are these cross-joins?</v>
      </c>
    </row>
    <row r="289" spans="1:14" ht="30">
      <c r="A289" s="138">
        <v>289</v>
      </c>
      <c r="B289" s="142">
        <v>5</v>
      </c>
      <c r="C289" s="142">
        <v>20</v>
      </c>
      <c r="D289" s="142">
        <v>263</v>
      </c>
      <c r="E289" s="142" t="s">
        <v>1606</v>
      </c>
      <c r="F289" s="142">
        <f>INDEX(SuiteCatSub!$E$2:$E$55,MATCH(_xlfn.CONCAT(B289,"-",C289),SuiteCatSub!$F$2:$F$55,0))</f>
        <v>37</v>
      </c>
      <c r="G289" s="142">
        <v>425</v>
      </c>
      <c r="H289" s="142">
        <f>VLOOKUP(G289,SuiteCatSubElem_Version!$I$2:$J$667,2,0)</f>
        <v>264</v>
      </c>
      <c r="I289" s="146" t="s">
        <v>1423</v>
      </c>
      <c r="J289" s="144" t="str">
        <f>VLOOKUP(B289,Categories!$A$2:$C$8,3,0)</f>
        <v>Spend Analytics</v>
      </c>
      <c r="K289" s="147"/>
      <c r="L289" s="144" t="str">
        <f>VLOOKUP(C289,Subcategories!$A$2:$B$29,2,0)</f>
        <v>Process Support</v>
      </c>
      <c r="M289" s="144" t="str">
        <f>VLOOKUP(D289,Elements!$B$2:$C$435,2,0)</f>
        <v>Classification / Categorization</v>
      </c>
      <c r="N289" s="144" t="str">
        <f>VLOOKUP(H289,ElementVariants!$A$2:$B$460,2,0)</f>
        <v>How extensive, and useable, are the classification and categorization capability? Can rules be defined and map data in real-time? Can they be modified quickly and easily? Can their impact be analyzed before they are committed?</v>
      </c>
    </row>
    <row r="290" spans="1:14" ht="30">
      <c r="A290" s="138">
        <v>290</v>
      </c>
      <c r="B290" s="142">
        <v>5</v>
      </c>
      <c r="C290" s="142">
        <v>20</v>
      </c>
      <c r="D290" s="142">
        <v>264</v>
      </c>
      <c r="E290" s="142" t="s">
        <v>1607</v>
      </c>
      <c r="F290" s="142">
        <f>INDEX(SuiteCatSub!$E$2:$E$55,MATCH(_xlfn.CONCAT(B290,"-",C290),SuiteCatSub!$F$2:$F$55,0))</f>
        <v>37</v>
      </c>
      <c r="G290" s="142">
        <v>426</v>
      </c>
      <c r="H290" s="142">
        <f>VLOOKUP(G290,SuiteCatSubElem_Version!$I$2:$J$667,2,0)</f>
        <v>265</v>
      </c>
      <c r="I290" s="146" t="s">
        <v>1423</v>
      </c>
      <c r="J290" s="144" t="str">
        <f>VLOOKUP(B290,Categories!$A$2:$C$8,3,0)</f>
        <v>Spend Analytics</v>
      </c>
      <c r="K290" s="147"/>
      <c r="L290" s="144" t="str">
        <f>VLOOKUP(C290,Subcategories!$A$2:$B$29,2,0)</f>
        <v>Process Support</v>
      </c>
      <c r="M290" s="144" t="str">
        <f>VLOOKUP(D290,Elements!$B$2:$C$435,2,0)</f>
        <v>Manual Support</v>
      </c>
      <c r="N290" s="144" t="str">
        <f>VLOOKUP(H290,ElementVariants!$A$2:$B$460,2,0)</f>
        <v>Describe the depth of support for manual data classification and categorization. How easy is it to accomplish the task manually? Do rules have to be defined in a formula or language? Can they be identified from a user-defined set of data? Can they be modified from templates?</v>
      </c>
    </row>
    <row r="291" spans="1:14" ht="45">
      <c r="A291" s="138">
        <v>291</v>
      </c>
      <c r="B291" s="142">
        <v>5</v>
      </c>
      <c r="C291" s="142">
        <v>20</v>
      </c>
      <c r="D291" s="142">
        <v>265</v>
      </c>
      <c r="E291" s="142" t="s">
        <v>1608</v>
      </c>
      <c r="F291" s="142">
        <f>INDEX(SuiteCatSub!$E$2:$E$55,MATCH(_xlfn.CONCAT(B291,"-",C291),SuiteCatSub!$F$2:$F$55,0))</f>
        <v>37</v>
      </c>
      <c r="G291" s="142">
        <v>427</v>
      </c>
      <c r="H291" s="142">
        <f>VLOOKUP(G291,SuiteCatSubElem_Version!$I$2:$J$667,2,0)</f>
        <v>266</v>
      </c>
      <c r="I291" s="146" t="s">
        <v>1423</v>
      </c>
      <c r="J291" s="144" t="str">
        <f>VLOOKUP(B291,Categories!$A$2:$C$8,3,0)</f>
        <v>Spend Analytics</v>
      </c>
      <c r="K291" s="147"/>
      <c r="L291" s="144" t="str">
        <f>VLOOKUP(C291,Subcategories!$A$2:$B$29,2,0)</f>
        <v>Process Support</v>
      </c>
      <c r="M291" s="144" t="str">
        <f>VLOOKUP(D291,Elements!$B$2:$C$435,2,0)</f>
        <v>Arbitrary Dimensions in Rules</v>
      </c>
      <c r="N291" s="144" t="str">
        <f>VLOOKUP(H291,ElementVariants!$A$2:$B$460,2,0)</f>
        <v>Does the mapping functionality support the classification and/or categorization of rules based on arbitrary dimensions? Can the mapping be done by formulas, value sets, regular expressions, or a combination of -- applied to arbitrary dimensions?</v>
      </c>
    </row>
    <row r="292" spans="1:14" ht="45">
      <c r="A292" s="138">
        <v>292</v>
      </c>
      <c r="B292" s="142">
        <v>5</v>
      </c>
      <c r="C292" s="142">
        <v>20</v>
      </c>
      <c r="D292" s="142">
        <v>101</v>
      </c>
      <c r="E292" s="142" t="s">
        <v>1609</v>
      </c>
      <c r="F292" s="142">
        <f>INDEX(SuiteCatSub!$E$2:$E$55,MATCH(_xlfn.CONCAT(B292,"-",C292),SuiteCatSub!$F$2:$F$55,0))</f>
        <v>37</v>
      </c>
      <c r="G292" s="142">
        <v>428</v>
      </c>
      <c r="H292" s="142">
        <f>VLOOKUP(G292,SuiteCatSubElem_Version!$I$2:$J$667,2,0)</f>
        <v>449</v>
      </c>
      <c r="I292" s="146" t="s">
        <v>1423</v>
      </c>
      <c r="J292" s="144" t="str">
        <f>VLOOKUP(B292,Categories!$A$2:$C$8,3,0)</f>
        <v>Spend Analytics</v>
      </c>
      <c r="K292" s="147"/>
      <c r="L292" s="144" t="str">
        <f>VLOOKUP(C292,Subcategories!$A$2:$B$29,2,0)</f>
        <v>Process Support</v>
      </c>
      <c r="M292" s="144" t="str">
        <f>VLOOKUP(D292,Elements!$B$2:$C$435,2,0)</f>
        <v>Collaboration</v>
      </c>
      <c r="N292" s="144" t="str">
        <f>VLOOKUP(H292,ElementVariants!$A$2:$B$460,2,0)</f>
        <v>Can the classification and collaboration be done in a collaborative fashion, or is it limited to one user creating one rule set for the (master) cube? If collaboration classification is supported, can multiple users share the same view, and work on the data on the same time, or are they limited to individual views, and must classify in succession?</v>
      </c>
    </row>
    <row r="293" spans="1:14" ht="30">
      <c r="A293" s="138">
        <v>293</v>
      </c>
      <c r="B293" s="142">
        <v>5</v>
      </c>
      <c r="C293" s="142">
        <v>20</v>
      </c>
      <c r="D293" s="142">
        <v>266</v>
      </c>
      <c r="E293" s="142" t="s">
        <v>1610</v>
      </c>
      <c r="F293" s="142">
        <f>INDEX(SuiteCatSub!$E$2:$E$55,MATCH(_xlfn.CONCAT(B293,"-",C293),SuiteCatSub!$F$2:$F$55,0))</f>
        <v>37</v>
      </c>
      <c r="G293" s="142">
        <v>429</v>
      </c>
      <c r="H293" s="142">
        <f>VLOOKUP(G293,SuiteCatSubElem_Version!$I$2:$J$667,2,0)</f>
        <v>267</v>
      </c>
      <c r="I293" s="146" t="s">
        <v>1423</v>
      </c>
      <c r="J293" s="144" t="str">
        <f>VLOOKUP(B293,Categories!$A$2:$C$8,3,0)</f>
        <v>Spend Analytics</v>
      </c>
      <c r="K293" s="147"/>
      <c r="L293" s="144" t="str">
        <f>VLOOKUP(C293,Subcategories!$A$2:$B$29,2,0)</f>
        <v>Process Support</v>
      </c>
      <c r="M293" s="144" t="str">
        <f>VLOOKUP(D293,Elements!$B$2:$C$435,2,0)</f>
        <v>Query Capability</v>
      </c>
      <c r="N293" s="144" t="str">
        <f>VLOOKUP(H293,ElementVariants!$A$2:$B$460,2,0)</f>
        <v>Can the classification be accomplished using queries that specify subsets of the data as opposed to static, complicated, regex rule sets? How advanced is the query capability that can be supported?</v>
      </c>
    </row>
    <row r="294" spans="1:14" ht="60">
      <c r="A294" s="138">
        <v>294</v>
      </c>
      <c r="B294" s="142">
        <v>5</v>
      </c>
      <c r="C294" s="142">
        <v>20</v>
      </c>
      <c r="D294" s="142">
        <v>142</v>
      </c>
      <c r="E294" s="142" t="s">
        <v>1611</v>
      </c>
      <c r="F294" s="142">
        <f>INDEX(SuiteCatSub!$E$2:$E$55,MATCH(_xlfn.CONCAT(B294,"-",C294),SuiteCatSub!$F$2:$F$55,0))</f>
        <v>37</v>
      </c>
      <c r="G294" s="142">
        <v>430</v>
      </c>
      <c r="H294" s="142">
        <f>VLOOKUP(G294,SuiteCatSubElem_Version!$I$2:$J$667,2,0)</f>
        <v>457</v>
      </c>
      <c r="I294" s="146" t="s">
        <v>1423</v>
      </c>
      <c r="J294" s="144" t="str">
        <f>VLOOKUP(B294,Categories!$A$2:$C$8,3,0)</f>
        <v>Spend Analytics</v>
      </c>
      <c r="K294" s="147"/>
      <c r="L294" s="144" t="str">
        <f>VLOOKUP(C294,Subcategories!$A$2:$B$29,2,0)</f>
        <v>Process Support</v>
      </c>
      <c r="M294" s="144" t="str">
        <f>VLOOKUP(D294,Elements!$B$2:$C$435,2,0)</f>
        <v>AI</v>
      </c>
      <c r="N294" s="144" t="str">
        <f>VLOOKUP(H294,ElementVariants!$A$2:$B$460,2,0)</f>
        <v>Does the solution support AI / AR algorithms and techniques for automated classification and categorization? If so, what types? How advanced? What is the typical accuracy on a first pass before extensive training takes place on the client's data set? How large of a training set is required and how long does it take to get to 90%? 95%? 98%+ for auto classification. How easy is it to do manual overrides and fix mapping errors?</v>
      </c>
    </row>
    <row r="295" spans="1:14" ht="60">
      <c r="A295" s="138">
        <v>295</v>
      </c>
      <c r="B295" s="142">
        <v>5</v>
      </c>
      <c r="C295" s="142">
        <v>20</v>
      </c>
      <c r="D295" s="142">
        <v>267</v>
      </c>
      <c r="E295" s="142" t="s">
        <v>1612</v>
      </c>
      <c r="F295" s="142">
        <f>INDEX(SuiteCatSub!$E$2:$E$55,MATCH(_xlfn.CONCAT(B295,"-",C295),SuiteCatSub!$F$2:$F$55,0))</f>
        <v>37</v>
      </c>
      <c r="G295" s="142">
        <v>431</v>
      </c>
      <c r="H295" s="142">
        <f>VLOOKUP(G295,SuiteCatSubElem_Version!$I$2:$J$667,2,0)</f>
        <v>268</v>
      </c>
      <c r="I295" s="146" t="s">
        <v>1423</v>
      </c>
      <c r="J295" s="144" t="str">
        <f>VLOOKUP(B295,Categories!$A$2:$C$8,3,0)</f>
        <v>Spend Analytics</v>
      </c>
      <c r="K295" s="147"/>
      <c r="L295" s="144" t="str">
        <f>VLOOKUP(C295,Subcategories!$A$2:$B$29,2,0)</f>
        <v>Process Support</v>
      </c>
      <c r="M295" s="144" t="str">
        <f>VLOOKUP(D295,Elements!$B$2:$C$435,2,0)</f>
        <v>Hybrid</v>
      </c>
      <c r="N295" s="144" t="str">
        <f>VLOOKUP(H295,ElementVariants!$A$2:$B$460,2,0)</f>
        <v>Does the solution support hybrid classification where a user can augment auto-classification with manual classification and categorization? Can the user first define domain-specific knowledge models which are used to aid in the auto classification and categorization? Do these models evolve and learn over time as manual classification corrections are made to correct auto-classification? Can the corrections happen in real time?</v>
      </c>
    </row>
    <row r="296" spans="1:14" ht="30">
      <c r="A296" s="138">
        <v>296</v>
      </c>
      <c r="B296" s="142">
        <v>5</v>
      </c>
      <c r="C296" s="142">
        <v>20</v>
      </c>
      <c r="D296" s="142">
        <v>268</v>
      </c>
      <c r="E296" s="142" t="s">
        <v>1613</v>
      </c>
      <c r="F296" s="142">
        <f>INDEX(SuiteCatSub!$E$2:$E$55,MATCH(_xlfn.CONCAT(B296,"-",C296),SuiteCatSub!$F$2:$F$55,0))</f>
        <v>37</v>
      </c>
      <c r="G296" s="142">
        <v>432</v>
      </c>
      <c r="H296" s="142">
        <f>VLOOKUP(G296,SuiteCatSubElem_Version!$I$2:$J$667,2,0)</f>
        <v>269</v>
      </c>
      <c r="I296" s="146" t="s">
        <v>1423</v>
      </c>
      <c r="J296" s="144" t="str">
        <f>VLOOKUP(B296,Categories!$A$2:$C$8,3,0)</f>
        <v>Spend Analytics</v>
      </c>
      <c r="K296" s="147"/>
      <c r="L296" s="144" t="str">
        <f>VLOOKUP(C296,Subcategories!$A$2:$B$29,2,0)</f>
        <v>Process Support</v>
      </c>
      <c r="M296" s="144" t="str">
        <f>VLOOKUP(D296,Elements!$B$2:$C$435,2,0)</f>
        <v>Data Integrity Analytics</v>
      </c>
      <c r="N296" s="144" t="str">
        <f>VLOOKUP(H296,ElementVariants!$A$2:$B$460,2,0)</f>
        <v>Does the solution support data integrity analytics that can analyze the quality and completeness and likely correctness of the data being loaded?</v>
      </c>
    </row>
    <row r="297" spans="1:14" ht="30">
      <c r="A297" s="138">
        <v>297</v>
      </c>
      <c r="B297" s="142">
        <v>5</v>
      </c>
      <c r="C297" s="142">
        <v>20</v>
      </c>
      <c r="D297" s="142">
        <v>269</v>
      </c>
      <c r="E297" s="142" t="s">
        <v>1614</v>
      </c>
      <c r="F297" s="142">
        <f>INDEX(SuiteCatSub!$E$2:$E$55,MATCH(_xlfn.CONCAT(B297,"-",C297),SuiteCatSub!$F$2:$F$55,0))</f>
        <v>37</v>
      </c>
      <c r="G297" s="142">
        <v>433</v>
      </c>
      <c r="H297" s="142">
        <f>VLOOKUP(G297,SuiteCatSubElem_Version!$I$2:$J$667,2,0)</f>
        <v>270</v>
      </c>
      <c r="I297" s="146" t="s">
        <v>1423</v>
      </c>
      <c r="J297" s="144" t="str">
        <f>VLOOKUP(B297,Categories!$A$2:$C$8,3,0)</f>
        <v>Spend Analytics</v>
      </c>
      <c r="K297" s="147"/>
      <c r="L297" s="144" t="str">
        <f>VLOOKUP(C297,Subcategories!$A$2:$B$29,2,0)</f>
        <v>Process Support</v>
      </c>
      <c r="M297" s="144" t="str">
        <f>VLOOKUP(D297,Elements!$B$2:$C$435,2,0)</f>
        <v>Outlier Identification</v>
      </c>
      <c r="N297" s="144" t="str">
        <f>VLOOKUP(H297,ElementVariants!$A$2:$B$460,2,0)</f>
        <v>Can the solution automatically detect outlier data and bring it to the attention of the user? Be it a value (dollar amount, unit count, etc.), a time (too far from an expected range), a location, etc. -- anything not consistent with the bulk of the data (and the typical clusters)?</v>
      </c>
    </row>
    <row r="298" spans="1:14" ht="60">
      <c r="A298" s="138">
        <v>298</v>
      </c>
      <c r="B298" s="142">
        <v>5</v>
      </c>
      <c r="C298" s="142">
        <v>20</v>
      </c>
      <c r="D298" s="142">
        <v>270</v>
      </c>
      <c r="E298" s="142" t="s">
        <v>1615</v>
      </c>
      <c r="F298" s="142">
        <f>INDEX(SuiteCatSub!$E$2:$E$55,MATCH(_xlfn.CONCAT(B298,"-",C298),SuiteCatSub!$F$2:$F$55,0))</f>
        <v>37</v>
      </c>
      <c r="G298" s="142">
        <v>434</v>
      </c>
      <c r="H298" s="142">
        <f>VLOOKUP(G298,SuiteCatSubElem_Version!$I$2:$J$667,2,0)</f>
        <v>271</v>
      </c>
      <c r="I298" s="146" t="s">
        <v>1423</v>
      </c>
      <c r="J298" s="144" t="str">
        <f>VLOOKUP(B298,Categories!$A$2:$C$8,3,0)</f>
        <v>Spend Analytics</v>
      </c>
      <c r="K298" s="147"/>
      <c r="L298" s="144" t="str">
        <f>VLOOKUP(C298,Subcategories!$A$2:$B$29,2,0)</f>
        <v>Process Support</v>
      </c>
      <c r="M298" s="144" t="str">
        <f>VLOOKUP(D298,Elements!$B$2:$C$435,2,0)</f>
        <v>Statistical Analysis / Frequency Mapping</v>
      </c>
      <c r="N298" s="144" t="str">
        <f>VLOOKUP(H298,ElementVariants!$A$2:$B$460,2,0)</f>
        <v>What is the degree of built-in statistical analysis that can be applied to the data to get a general sense of completeness, correctness, and categorization accuracy? Is one limited to check-sums or can entire array of statically techniques be applied?</v>
      </c>
    </row>
    <row r="299" spans="1:14" ht="45">
      <c r="A299" s="138">
        <v>299</v>
      </c>
      <c r="B299" s="142">
        <v>5</v>
      </c>
      <c r="C299" s="142">
        <v>20</v>
      </c>
      <c r="D299" s="142">
        <v>271</v>
      </c>
      <c r="E299" s="142" t="s">
        <v>1616</v>
      </c>
      <c r="F299" s="142">
        <f>INDEX(SuiteCatSub!$E$2:$E$55,MATCH(_xlfn.CONCAT(B299,"-",C299),SuiteCatSub!$F$2:$F$55,0))</f>
        <v>37</v>
      </c>
      <c r="G299" s="142">
        <v>435</v>
      </c>
      <c r="H299" s="142">
        <f>VLOOKUP(G299,SuiteCatSubElem_Version!$I$2:$J$667,2,0)</f>
        <v>272</v>
      </c>
      <c r="I299" s="146" t="s">
        <v>1423</v>
      </c>
      <c r="J299" s="144" t="str">
        <f>VLOOKUP(B299,Categories!$A$2:$C$8,3,0)</f>
        <v>Spend Analytics</v>
      </c>
      <c r="K299" s="147"/>
      <c r="L299" s="144" t="str">
        <f>VLOOKUP(C299,Subcategories!$A$2:$B$29,2,0)</f>
        <v>Process Support</v>
      </c>
      <c r="M299" s="144" t="str">
        <f>VLOOKUP(D299,Elements!$B$2:$C$435,2,0)</f>
        <v>Sliding Time-Scale</v>
      </c>
      <c r="N299" s="144" t="str">
        <f>VLOOKUP(H299,ElementVariants!$A$2:$B$460,2,0)</f>
        <v>Does the solution support a sliding time-scale that allows the data integrity analysis to be restricted to a user-defined range (to zero in on potential issues and correct them)? If so, can the sliding be done in real time or do the windows have to be defined and the cube(s)/view(s) reloaded with every definition / change?</v>
      </c>
    </row>
    <row r="300" spans="1:14" ht="30">
      <c r="A300" s="138">
        <v>300</v>
      </c>
      <c r="B300" s="142">
        <v>5</v>
      </c>
      <c r="C300" s="142">
        <v>20</v>
      </c>
      <c r="D300" s="142">
        <v>272</v>
      </c>
      <c r="E300" s="142" t="s">
        <v>1617</v>
      </c>
      <c r="F300" s="142">
        <f>INDEX(SuiteCatSub!$E$2:$E$55,MATCH(_xlfn.CONCAT(B300,"-",C300),SuiteCatSub!$F$2:$F$55,0))</f>
        <v>37</v>
      </c>
      <c r="G300" s="142">
        <v>436</v>
      </c>
      <c r="H300" s="142">
        <f>VLOOKUP(G300,SuiteCatSubElem_Version!$I$2:$J$667,2,0)</f>
        <v>273</v>
      </c>
      <c r="I300" s="146" t="s">
        <v>1423</v>
      </c>
      <c r="J300" s="144" t="str">
        <f>VLOOKUP(B300,Categories!$A$2:$C$8,3,0)</f>
        <v>Spend Analytics</v>
      </c>
      <c r="K300" s="147"/>
      <c r="L300" s="144" t="str">
        <f>VLOOKUP(C300,Subcategories!$A$2:$B$29,2,0)</f>
        <v>Process Support</v>
      </c>
      <c r="M300" s="144" t="str">
        <f>VLOOKUP(D300,Elements!$B$2:$C$435,2,0)</f>
        <v>VAR: Visualize, Analyze, Report</v>
      </c>
      <c r="N300" s="144" t="str">
        <f>VLOOKUP(H300,ElementVariants!$A$2:$B$460,2,0)</f>
        <v>What is the extent of the visualization, analysis, and reporting capability in the tool?</v>
      </c>
    </row>
    <row r="301" spans="1:14" ht="30">
      <c r="A301" s="138">
        <v>301</v>
      </c>
      <c r="B301" s="142">
        <v>5</v>
      </c>
      <c r="C301" s="142">
        <v>20</v>
      </c>
      <c r="D301" s="142">
        <v>273</v>
      </c>
      <c r="E301" s="142" t="s">
        <v>1618</v>
      </c>
      <c r="F301" s="142">
        <f>INDEX(SuiteCatSub!$E$2:$E$55,MATCH(_xlfn.CONCAT(B301,"-",C301),SuiteCatSub!$F$2:$F$55,0))</f>
        <v>37</v>
      </c>
      <c r="G301" s="142">
        <v>437</v>
      </c>
      <c r="H301" s="142">
        <f>VLOOKUP(G301,SuiteCatSubElem_Version!$I$2:$J$667,2,0)</f>
        <v>274</v>
      </c>
      <c r="I301" s="146" t="s">
        <v>1423</v>
      </c>
      <c r="J301" s="144" t="str">
        <f>VLOOKUP(B301,Categories!$A$2:$C$8,3,0)</f>
        <v>Spend Analytics</v>
      </c>
      <c r="K301" s="147"/>
      <c r="L301" s="144" t="str">
        <f>VLOOKUP(C301,Subcategories!$A$2:$B$29,2,0)</f>
        <v>Process Support</v>
      </c>
      <c r="M301" s="144" t="str">
        <f>VLOOKUP(D301,Elements!$B$2:$C$435,2,0)</f>
        <v>Filter Support</v>
      </c>
      <c r="N301" s="144" t="str">
        <f>VLOOKUP(H301,ElementVariants!$A$2:$B$460,2,0)</f>
        <v>Do the reports support (real-time) filter definition and application? If so, are the filters limited to a fixed set of dimensions or can they be defined on any dimensions? Do they support ranged / derived dimensions?</v>
      </c>
    </row>
    <row r="302" spans="1:14" ht="60">
      <c r="A302" s="138">
        <v>302</v>
      </c>
      <c r="B302" s="142">
        <v>5</v>
      </c>
      <c r="C302" s="142">
        <v>20</v>
      </c>
      <c r="D302" s="142">
        <v>274</v>
      </c>
      <c r="E302" s="142" t="s">
        <v>1619</v>
      </c>
      <c r="F302" s="142">
        <f>INDEX(SuiteCatSub!$E$2:$E$55,MATCH(_xlfn.CONCAT(B302,"-",C302),SuiteCatSub!$F$2:$F$55,0))</f>
        <v>37</v>
      </c>
      <c r="G302" s="142">
        <v>438</v>
      </c>
      <c r="H302" s="142">
        <f>VLOOKUP(G302,SuiteCatSubElem_Version!$I$2:$J$667,2,0)</f>
        <v>275</v>
      </c>
      <c r="I302" s="146" t="s">
        <v>1423</v>
      </c>
      <c r="J302" s="144" t="str">
        <f>VLOOKUP(B302,Categories!$A$2:$C$8,3,0)</f>
        <v>Spend Analytics</v>
      </c>
      <c r="K302" s="147"/>
      <c r="L302" s="144" t="str">
        <f>VLOOKUP(C302,Subcategories!$A$2:$B$29,2,0)</f>
        <v>Process Support</v>
      </c>
      <c r="M302" s="144" t="str">
        <f>VLOOKUP(D302,Elements!$B$2:$C$435,2,0)</f>
        <v>Formula / Derived Dimension Support</v>
      </c>
      <c r="N302" s="144" t="str">
        <f>VLOOKUP(H302,ElementVariants!$A$2:$B$460,2,0)</f>
        <v>How extensive is the formula support in the creation of dimensions, filters, and views?</v>
      </c>
    </row>
    <row r="303" spans="1:14" ht="60">
      <c r="A303" s="138">
        <v>303</v>
      </c>
      <c r="B303" s="142">
        <v>5</v>
      </c>
      <c r="C303" s="142">
        <v>20</v>
      </c>
      <c r="D303" s="142">
        <v>275</v>
      </c>
      <c r="E303" s="142" t="s">
        <v>1620</v>
      </c>
      <c r="F303" s="142">
        <f>INDEX(SuiteCatSub!$E$2:$E$55,MATCH(_xlfn.CONCAT(B303,"-",C303),SuiteCatSub!$F$2:$F$55,0))</f>
        <v>37</v>
      </c>
      <c r="G303" s="142">
        <v>439</v>
      </c>
      <c r="H303" s="142">
        <f>VLOOKUP(G303,SuiteCatSubElem_Version!$I$2:$J$667,2,0)</f>
        <v>276</v>
      </c>
      <c r="I303" s="146" t="s">
        <v>1423</v>
      </c>
      <c r="J303" s="144" t="str">
        <f>VLOOKUP(B303,Categories!$A$2:$C$8,3,0)</f>
        <v>Spend Analytics</v>
      </c>
      <c r="K303" s="147"/>
      <c r="L303" s="144" t="str">
        <f>VLOOKUP(C303,Subcategories!$A$2:$B$29,2,0)</f>
        <v>Process Support</v>
      </c>
      <c r="M303" s="144" t="str">
        <f>VLOOKUP(D303,Elements!$B$2:$C$435,2,0)</f>
        <v>Extent of Charting / Graphing Capability</v>
      </c>
      <c r="N303" s="144" t="str">
        <f>VLOOKUP(H303,ElementVariants!$A$2:$B$460,2,0)</f>
        <v>How extensive is the charting and graphing capability? Is it basic pie charts, bar charts, and other standard Excel fare, or does it support treemaps, scheniderman diagrams, extensive, modern, 3D graph capabilities, and so on?</v>
      </c>
    </row>
    <row r="304" spans="1:14" ht="45">
      <c r="A304" s="138">
        <v>304</v>
      </c>
      <c r="B304" s="142">
        <v>5</v>
      </c>
      <c r="C304" s="142">
        <v>20</v>
      </c>
      <c r="D304" s="142">
        <v>276</v>
      </c>
      <c r="E304" s="142" t="s">
        <v>1621</v>
      </c>
      <c r="F304" s="142">
        <f>INDEX(SuiteCatSub!$E$2:$E$55,MATCH(_xlfn.CONCAT(B304,"-",C304),SuiteCatSub!$F$2:$F$55,0))</f>
        <v>37</v>
      </c>
      <c r="G304" s="142">
        <v>440</v>
      </c>
      <c r="H304" s="142">
        <f>VLOOKUP(G304,SuiteCatSubElem_Version!$I$2:$J$667,2,0)</f>
        <v>277</v>
      </c>
      <c r="I304" s="146" t="s">
        <v>1423</v>
      </c>
      <c r="J304" s="144" t="str">
        <f>VLOOKUP(B304,Categories!$A$2:$C$8,3,0)</f>
        <v>Spend Analytics</v>
      </c>
      <c r="K304" s="147"/>
      <c r="L304" s="144" t="str">
        <f>VLOOKUP(C304,Subcategories!$A$2:$B$29,2,0)</f>
        <v>Process Support</v>
      </c>
      <c r="M304" s="144" t="str">
        <f>VLOOKUP(D304,Elements!$B$2:$C$435,2,0)</f>
        <v>Extent of Report Definition / Building</v>
      </c>
      <c r="N304" s="144" t="str">
        <f>VLOOKUP(H304,ElementVariants!$A$2:$B$460,2,0)</f>
        <v>How extensive and powerful is the report building and definition capability? Is it limited to just modification of templates or can new templates be built? Are the reports limited to pre-defined dimensions, or can they be defined on any dimensions? Is the full range of formulaic support provided?</v>
      </c>
    </row>
    <row r="305" spans="1:14" ht="45">
      <c r="A305" s="138">
        <v>305</v>
      </c>
      <c r="B305" s="142">
        <v>5</v>
      </c>
      <c r="C305" s="142">
        <v>20</v>
      </c>
      <c r="D305" s="142">
        <v>277</v>
      </c>
      <c r="E305" s="142" t="s">
        <v>1622</v>
      </c>
      <c r="F305" s="142">
        <f>INDEX(SuiteCatSub!$E$2:$E$55,MATCH(_xlfn.CONCAT(B305,"-",C305),SuiteCatSub!$F$2:$F$55,0))</f>
        <v>37</v>
      </c>
      <c r="G305" s="142">
        <v>441</v>
      </c>
      <c r="H305" s="142">
        <f>VLOOKUP(G305,SuiteCatSubElem_Version!$I$2:$J$667,2,0)</f>
        <v>278</v>
      </c>
      <c r="I305" s="146" t="s">
        <v>1423</v>
      </c>
      <c r="J305" s="144" t="str">
        <f>VLOOKUP(B305,Categories!$A$2:$C$8,3,0)</f>
        <v>Spend Analytics</v>
      </c>
      <c r="K305" s="147"/>
      <c r="L305" s="144" t="str">
        <f>VLOOKUP(C305,Subcategories!$A$2:$B$29,2,0)</f>
        <v>Process Support</v>
      </c>
      <c r="M305" s="144" t="str">
        <f>VLOOKUP(D305,Elements!$B$2:$C$435,2,0)</f>
        <v>ETD (extract / transform / dump)</v>
      </c>
      <c r="N305" s="144" t="str">
        <f>VLOOKUP(H305,ElementVariants!$A$2:$B$460,2,0)</f>
        <v>How extensive is the extract / transform / dump capability for exporting data (and pushing it into other systems)?</v>
      </c>
    </row>
    <row r="306" spans="1:14" ht="30">
      <c r="A306" s="138">
        <v>306</v>
      </c>
      <c r="B306" s="142">
        <v>5</v>
      </c>
      <c r="C306" s="142">
        <v>20</v>
      </c>
      <c r="D306" s="142">
        <v>278</v>
      </c>
      <c r="E306" s="142" t="s">
        <v>1623</v>
      </c>
      <c r="F306" s="142">
        <f>INDEX(SuiteCatSub!$E$2:$E$55,MATCH(_xlfn.CONCAT(B306,"-",C306),SuiteCatSub!$F$2:$F$55,0))</f>
        <v>37</v>
      </c>
      <c r="G306" s="142">
        <v>442</v>
      </c>
      <c r="H306" s="142">
        <f>VLOOKUP(G306,SuiteCatSubElem_Version!$I$2:$J$667,2,0)</f>
        <v>279</v>
      </c>
      <c r="I306" s="146" t="s">
        <v>1423</v>
      </c>
      <c r="J306" s="144" t="str">
        <f>VLOOKUP(B306,Categories!$A$2:$C$8,3,0)</f>
        <v>Spend Analytics</v>
      </c>
      <c r="K306" s="147"/>
      <c r="L306" s="144" t="str">
        <f>VLOOKUP(C306,Subcategories!$A$2:$B$29,2,0)</f>
        <v>Process Support</v>
      </c>
      <c r="M306" s="144" t="str">
        <f>VLOOKUP(D306,Elements!$B$2:$C$435,2,0)</f>
        <v>Flat File / FTP</v>
      </c>
      <c r="N306" s="144" t="str">
        <f>VLOOKUP(H306,ElementVariants!$A$2:$B$460,2,0)</f>
        <v>Does the system support flat-file exports in necessary formats and auto-push to FTP sites where other systems can upload the files from the FTP to import?</v>
      </c>
    </row>
    <row r="307" spans="1:14" ht="30">
      <c r="A307" s="138">
        <v>307</v>
      </c>
      <c r="B307" s="142">
        <v>5</v>
      </c>
      <c r="C307" s="142">
        <v>20</v>
      </c>
      <c r="D307" s="142">
        <v>279</v>
      </c>
      <c r="E307" s="142" t="s">
        <v>1624</v>
      </c>
      <c r="F307" s="142">
        <f>INDEX(SuiteCatSub!$E$2:$E$55,MATCH(_xlfn.CONCAT(B307,"-",C307),SuiteCatSub!$F$2:$F$55,0))</f>
        <v>37</v>
      </c>
      <c r="G307" s="142">
        <v>443</v>
      </c>
      <c r="H307" s="142">
        <f>VLOOKUP(G307,SuiteCatSubElem_Version!$I$2:$J$667,2,0)</f>
        <v>280</v>
      </c>
      <c r="I307" s="146" t="s">
        <v>1423</v>
      </c>
      <c r="J307" s="144" t="str">
        <f>VLOOKUP(B307,Categories!$A$2:$C$8,3,0)</f>
        <v>Spend Analytics</v>
      </c>
      <c r="K307" s="147"/>
      <c r="L307" s="144" t="str">
        <f>VLOOKUP(C307,Subcategories!$A$2:$B$29,2,0)</f>
        <v>Process Support</v>
      </c>
      <c r="M307" s="144" t="str">
        <f>VLOOKUP(D307,Elements!$B$2:$C$435,2,0)</f>
        <v>Real-Time Integration</v>
      </c>
      <c r="N307" s="144" t="str">
        <f>VLOOKUP(H307,ElementVariants!$A$2:$B$460,2,0)</f>
        <v>To what extent does it support integration to third party systems that it needs to push raw / cleansed / summarized data too? Is there a full-featured API? How difficult is it to configure?</v>
      </c>
    </row>
    <row r="308" spans="1:14" ht="30">
      <c r="A308" s="138">
        <v>308</v>
      </c>
      <c r="B308" s="142">
        <v>5</v>
      </c>
      <c r="C308" s="142">
        <v>21</v>
      </c>
      <c r="D308" s="142">
        <v>280</v>
      </c>
      <c r="E308" s="142" t="s">
        <v>1625</v>
      </c>
      <c r="F308" s="142">
        <f>INDEX(SuiteCatSub!$E$2:$E$55,MATCH(_xlfn.CONCAT(B308,"-",C308),SuiteCatSub!$F$2:$F$55,0))</f>
        <v>38</v>
      </c>
      <c r="G308" s="142">
        <v>444</v>
      </c>
      <c r="H308" s="142">
        <f>VLOOKUP(G308,SuiteCatSubElem_Version!$I$2:$J$667,2,0)</f>
        <v>281</v>
      </c>
      <c r="I308" s="146" t="s">
        <v>1423</v>
      </c>
      <c r="J308" s="144" t="str">
        <f>VLOOKUP(B308,Categories!$A$2:$C$8,3,0)</f>
        <v>Spend Analytics</v>
      </c>
      <c r="K308" s="147"/>
      <c r="L308" s="144" t="str">
        <f>VLOOKUP(C308,Subcategories!$A$2:$B$29,2,0)</f>
        <v>Function Support</v>
      </c>
      <c r="M308" s="144" t="str">
        <f>VLOOKUP(D308,Elements!$B$2:$C$435,2,0)</f>
        <v>Advanced Analytics</v>
      </c>
      <c r="N308" s="144" t="str">
        <f>VLOOKUP(H308,ElementVariants!$A$2:$B$460,2,0)</f>
        <v>If you are unsure of the difference between descriptive, predictive, prescriptive, and permissive analytics, see the following posts:</v>
      </c>
    </row>
    <row r="309" spans="1:14" ht="30">
      <c r="A309" s="138">
        <v>309</v>
      </c>
      <c r="B309" s="142">
        <v>5</v>
      </c>
      <c r="C309" s="142">
        <v>21</v>
      </c>
      <c r="D309" s="142">
        <v>281</v>
      </c>
      <c r="E309" s="142" t="s">
        <v>1626</v>
      </c>
      <c r="F309" s="142">
        <f>INDEX(SuiteCatSub!$E$2:$E$55,MATCH(_xlfn.CONCAT(B309,"-",C309),SuiteCatSub!$F$2:$F$55,0))</f>
        <v>38</v>
      </c>
      <c r="G309" s="142">
        <v>445</v>
      </c>
      <c r="H309" s="142">
        <f>VLOOKUP(G309,SuiteCatSubElem_Version!$I$2:$J$667,2,0)</f>
        <v>282</v>
      </c>
      <c r="I309" s="146" t="s">
        <v>1423</v>
      </c>
      <c r="J309" s="144" t="str">
        <f>VLOOKUP(B309,Categories!$A$2:$C$8,3,0)</f>
        <v>Spend Analytics</v>
      </c>
      <c r="K309" s="147"/>
      <c r="L309" s="144" t="str">
        <f>VLOOKUP(C309,Subcategories!$A$2:$B$29,2,0)</f>
        <v>Function Support</v>
      </c>
      <c r="M309" s="144" t="str">
        <f>VLOOKUP(D309,Elements!$B$2:$C$435,2,0)</f>
        <v>Predictive Analytics</v>
      </c>
      <c r="N309" s="144" t="str">
        <f>VLOOKUP(H309,ElementVariants!$A$2:$B$460,2,0)</f>
        <v>Does the platform support predictive analytics? To what extent? Please describe.</v>
      </c>
    </row>
    <row r="310" spans="1:14" ht="60">
      <c r="A310" s="138">
        <v>310</v>
      </c>
      <c r="B310" s="142">
        <v>5</v>
      </c>
      <c r="C310" s="142">
        <v>21</v>
      </c>
      <c r="D310" s="142">
        <v>109</v>
      </c>
      <c r="E310" s="142" t="s">
        <v>1627</v>
      </c>
      <c r="F310" s="142">
        <f>INDEX(SuiteCatSub!$E$2:$E$55,MATCH(_xlfn.CONCAT(B310,"-",C310),SuiteCatSub!$F$2:$F$55,0))</f>
        <v>38</v>
      </c>
      <c r="G310" s="142">
        <v>446</v>
      </c>
      <c r="H310" s="142">
        <f>VLOOKUP(G310,SuiteCatSubElem_Version!$I$2:$J$667,2,0)</f>
        <v>109</v>
      </c>
      <c r="I310" s="146" t="s">
        <v>1423</v>
      </c>
      <c r="J310" s="144" t="str">
        <f>VLOOKUP(B310,Categories!$A$2:$C$8,3,0)</f>
        <v>Spend Analytics</v>
      </c>
      <c r="K310" s="147"/>
      <c r="L310" s="144" t="str">
        <f>VLOOKUP(C310,Subcategories!$A$2:$B$29,2,0)</f>
        <v>Function Support</v>
      </c>
      <c r="M310" s="144" t="str">
        <f>VLOOKUP(D310,Elements!$B$2:$C$435,2,0)</f>
        <v>Prescriptive Analytics</v>
      </c>
      <c r="N310" s="144" t="str">
        <f>VLOOKUP(H310,ElementVariants!$A$2:$B$460,2,0)</f>
        <v>Does the tool support prescriptive analytics that can analyze current market conditions, organizational demands, and projected trends and guide the user into the identification of an appropriate category for sourcing and/or the selection of the appropriate sourcing event type and template among multiple built-in options built by industry experts? Can it assist with demand management? Lean Process Improvements? To what extent? Please describe.</v>
      </c>
    </row>
    <row r="311" spans="1:14" ht="30">
      <c r="A311" s="138">
        <v>311</v>
      </c>
      <c r="B311" s="142">
        <v>5</v>
      </c>
      <c r="C311" s="142">
        <v>21</v>
      </c>
      <c r="D311" s="142">
        <v>282</v>
      </c>
      <c r="E311" s="142" t="s">
        <v>1628</v>
      </c>
      <c r="F311" s="142">
        <f>INDEX(SuiteCatSub!$E$2:$E$55,MATCH(_xlfn.CONCAT(B311,"-",C311),SuiteCatSub!$F$2:$F$55,0))</f>
        <v>38</v>
      </c>
      <c r="G311" s="142">
        <v>447</v>
      </c>
      <c r="H311" s="142">
        <f>VLOOKUP(G311,SuiteCatSubElem_Version!$I$2:$J$667,2,0)</f>
        <v>283</v>
      </c>
      <c r="I311" s="146" t="s">
        <v>1423</v>
      </c>
      <c r="J311" s="144" t="str">
        <f>VLOOKUP(B311,Categories!$A$2:$C$8,3,0)</f>
        <v>Spend Analytics</v>
      </c>
      <c r="K311" s="147"/>
      <c r="L311" s="144" t="str">
        <f>VLOOKUP(C311,Subcategories!$A$2:$B$29,2,0)</f>
        <v>Function Support</v>
      </c>
      <c r="M311" s="144" t="str">
        <f>VLOOKUP(D311,Elements!$B$2:$C$435,2,0)</f>
        <v>Permissive Analytics</v>
      </c>
      <c r="N311" s="144" t="str">
        <f>VLOOKUP(H311,ElementVariants!$A$2:$B$460,2,0)</f>
        <v>Does the platform support permissive analytics? To what extent? Please describe.</v>
      </c>
    </row>
    <row r="312" spans="1:14" ht="30">
      <c r="A312" s="138">
        <v>312</v>
      </c>
      <c r="B312" s="142">
        <v>5</v>
      </c>
      <c r="C312" s="142">
        <v>21</v>
      </c>
      <c r="D312" s="142">
        <v>128</v>
      </c>
      <c r="E312" s="142" t="s">
        <v>1629</v>
      </c>
      <c r="F312" s="142">
        <f>INDEX(SuiteCatSub!$E$2:$E$55,MATCH(_xlfn.CONCAT(B312,"-",C312),SuiteCatSub!$F$2:$F$55,0))</f>
        <v>38</v>
      </c>
      <c r="G312" s="142">
        <v>448</v>
      </c>
      <c r="H312" s="142">
        <f>VLOOKUP(G312,SuiteCatSubElem_Version!$I$2:$J$667,2,0)</f>
        <v>456</v>
      </c>
      <c r="I312" s="146" t="s">
        <v>1423</v>
      </c>
      <c r="J312" s="144" t="str">
        <f>VLOOKUP(B312,Categories!$A$2:$C$8,3,0)</f>
        <v>Spend Analytics</v>
      </c>
      <c r="K312" s="147"/>
      <c r="L312" s="144" t="str">
        <f>VLOOKUP(C312,Subcategories!$A$2:$B$29,2,0)</f>
        <v>Function Support</v>
      </c>
      <c r="M312" s="144" t="str">
        <f>VLOOKUP(D312,Elements!$B$2:$C$435,2,0)</f>
        <v>Scorecards</v>
      </c>
      <c r="N312" s="144" t="str">
        <f>VLOOKUP(H312,ElementVariants!$A$2:$B$460,2,0)</f>
        <v>Does the platform support scorecards? If so, to what extent? Is the creation mechanism as complete and extensible as it is for reports? Is the full range of formula definition supported? Can scorecards be filtered and drilled-down to the same extent as a report dashboard?</v>
      </c>
    </row>
    <row r="313" spans="1:14" ht="30">
      <c r="A313" s="138">
        <v>313</v>
      </c>
      <c r="B313" s="142">
        <v>5</v>
      </c>
      <c r="C313" s="142">
        <v>21</v>
      </c>
      <c r="D313" s="142">
        <v>149</v>
      </c>
      <c r="E313" s="142" t="s">
        <v>1630</v>
      </c>
      <c r="F313" s="142">
        <f>INDEX(SuiteCatSub!$E$2:$E$55,MATCH(_xlfn.CONCAT(B313,"-",C313),SuiteCatSub!$F$2:$F$55,0))</f>
        <v>38</v>
      </c>
      <c r="G313" s="142">
        <v>449</v>
      </c>
      <c r="H313" s="142">
        <f>VLOOKUP(G313,SuiteCatSubElem_Version!$I$2:$J$667,2,0)</f>
        <v>458</v>
      </c>
      <c r="I313" s="146" t="s">
        <v>1423</v>
      </c>
      <c r="J313" s="144" t="str">
        <f>VLOOKUP(B313,Categories!$A$2:$C$8,3,0)</f>
        <v>Spend Analytics</v>
      </c>
      <c r="K313" s="147"/>
      <c r="L313" s="144" t="str">
        <f>VLOOKUP(C313,Subcategories!$A$2:$B$29,2,0)</f>
        <v>Function Support</v>
      </c>
      <c r="M313" s="144" t="str">
        <f>VLOOKUP(D313,Elements!$B$2:$C$435,2,0)</f>
        <v>Template Library</v>
      </c>
      <c r="N313" s="144" t="str">
        <f>VLOOKUP(H313,ElementVariants!$A$2:$B$460,2,0)</f>
        <v>Does the platform come with a template library of scorecards? If so, how extensive is it?</v>
      </c>
    </row>
    <row r="314" spans="1:14" ht="30">
      <c r="A314" s="138">
        <v>314</v>
      </c>
      <c r="B314" s="142">
        <v>5</v>
      </c>
      <c r="C314" s="142">
        <v>21</v>
      </c>
      <c r="D314" s="142">
        <v>213</v>
      </c>
      <c r="E314" s="142" t="s">
        <v>1631</v>
      </c>
      <c r="F314" s="142">
        <f>INDEX(SuiteCatSub!$E$2:$E$55,MATCH(_xlfn.CONCAT(B314,"-",C314),SuiteCatSub!$F$2:$F$55,0))</f>
        <v>38</v>
      </c>
      <c r="G314" s="142">
        <v>450</v>
      </c>
      <c r="H314" s="142">
        <f>VLOOKUP(G314,SuiteCatSubElem_Version!$I$2:$J$667,2,0)</f>
        <v>459</v>
      </c>
      <c r="I314" s="146" t="s">
        <v>1423</v>
      </c>
      <c r="J314" s="144" t="str">
        <f>VLOOKUP(B314,Categories!$A$2:$C$8,3,0)</f>
        <v>Spend Analytics</v>
      </c>
      <c r="K314" s="147"/>
      <c r="L314" s="144" t="str">
        <f>VLOOKUP(C314,Subcategories!$A$2:$B$29,2,0)</f>
        <v>Function Support</v>
      </c>
      <c r="M314" s="144" t="str">
        <f>VLOOKUP(D314,Elements!$B$2:$C$435,2,0)</f>
        <v>KPIs</v>
      </c>
      <c r="N314" s="144" t="str">
        <f>VLOOKUP(H314,ElementVariants!$A$2:$B$460,2,0)</f>
        <v>Does the platform support the definition of KPIs that can be used and re-used as needed in the creation of scorecards? Can they be defined formulaically on data elements or are they simply preselected / single value (populated from an external source)?</v>
      </c>
    </row>
    <row r="315" spans="1:14" ht="30">
      <c r="A315" s="138">
        <v>315</v>
      </c>
      <c r="B315" s="142">
        <v>5</v>
      </c>
      <c r="C315" s="142">
        <v>21</v>
      </c>
      <c r="D315" s="142">
        <v>283</v>
      </c>
      <c r="E315" s="142" t="s">
        <v>1632</v>
      </c>
      <c r="F315" s="142">
        <f>INDEX(SuiteCatSub!$E$2:$E$55,MATCH(_xlfn.CONCAT(B315,"-",C315),SuiteCatSub!$F$2:$F$55,0))</f>
        <v>38</v>
      </c>
      <c r="G315" s="142">
        <v>451</v>
      </c>
      <c r="H315" s="142">
        <f>VLOOKUP(G315,SuiteCatSubElem_Version!$I$2:$J$667,2,0)</f>
        <v>284</v>
      </c>
      <c r="I315" s="146" t="s">
        <v>1423</v>
      </c>
      <c r="J315" s="144" t="str">
        <f>VLOOKUP(B315,Categories!$A$2:$C$8,3,0)</f>
        <v>Spend Analytics</v>
      </c>
      <c r="K315" s="147"/>
      <c r="L315" s="144" t="str">
        <f>VLOOKUP(C315,Subcategories!$A$2:$B$29,2,0)</f>
        <v>Function Support</v>
      </c>
      <c r="M315" s="144" t="str">
        <f>VLOOKUP(D315,Elements!$B$2:$C$435,2,0)</f>
        <v>KPI Library</v>
      </c>
      <c r="N315" s="144" t="str">
        <f>VLOOKUP(H315,ElementVariants!$A$2:$B$460,2,0)</f>
        <v>Does the platform come with a library of KPIs that can be used in the construction of scorecards?</v>
      </c>
    </row>
    <row r="316" spans="1:14" ht="45">
      <c r="A316" s="138">
        <v>316</v>
      </c>
      <c r="B316" s="142">
        <v>5</v>
      </c>
      <c r="C316" s="142">
        <v>21</v>
      </c>
      <c r="D316" s="142">
        <v>112</v>
      </c>
      <c r="E316" s="142" t="s">
        <v>1633</v>
      </c>
      <c r="F316" s="142">
        <f>INDEX(SuiteCatSub!$E$2:$E$55,MATCH(_xlfn.CONCAT(B316,"-",C316),SuiteCatSub!$F$2:$F$55,0))</f>
        <v>38</v>
      </c>
      <c r="G316" s="142">
        <v>452</v>
      </c>
      <c r="H316" s="142">
        <f>VLOOKUP(G316,SuiteCatSubElem_Version!$I$2:$J$667,2,0)</f>
        <v>112</v>
      </c>
      <c r="I316" s="146" t="s">
        <v>1423</v>
      </c>
      <c r="J316" s="144" t="str">
        <f>VLOOKUP(B316,Categories!$A$2:$C$8,3,0)</f>
        <v>Spend Analytics</v>
      </c>
      <c r="K316" s="147"/>
      <c r="L316" s="144" t="str">
        <f>VLOOKUP(C316,Subcategories!$A$2:$B$29,2,0)</f>
        <v>Function Support</v>
      </c>
      <c r="M316" s="144" t="str">
        <f>VLOOKUP(D316,Elements!$B$2:$C$435,2,0)</f>
        <v>Benchmarks</v>
      </c>
      <c r="N316" s="144" t="str">
        <f>VLOOKUP(H316,ElementVariants!$A$2:$B$460,2,0)</f>
        <v>Does the platform support the calculation and/or integration of benchmarks? Can these benchmarks be used to support the calculation of overhead / internal production costs not easily obtainable from market data? Can they be performance based as well as cost based? If so, describe the type (industry, category, performance, etc.) and the extent?</v>
      </c>
    </row>
    <row r="317" spans="1:14" ht="30">
      <c r="A317" s="138">
        <v>317</v>
      </c>
      <c r="B317" s="142">
        <v>5</v>
      </c>
      <c r="C317" s="142">
        <v>21</v>
      </c>
      <c r="D317" s="142">
        <v>284</v>
      </c>
      <c r="E317" s="142" t="s">
        <v>1634</v>
      </c>
      <c r="F317" s="142">
        <f>INDEX(SuiteCatSub!$E$2:$E$55,MATCH(_xlfn.CONCAT(B317,"-",C317),SuiteCatSub!$F$2:$F$55,0))</f>
        <v>38</v>
      </c>
      <c r="G317" s="142">
        <v>453</v>
      </c>
      <c r="H317" s="142">
        <f>VLOOKUP(G317,SuiteCatSubElem_Version!$I$2:$J$667,2,0)</f>
        <v>285</v>
      </c>
      <c r="I317" s="146" t="s">
        <v>1423</v>
      </c>
      <c r="J317" s="144" t="str">
        <f>VLOOKUP(B317,Categories!$A$2:$C$8,3,0)</f>
        <v>Spend Analytics</v>
      </c>
      <c r="K317" s="147"/>
      <c r="L317" s="144" t="str">
        <f>VLOOKUP(C317,Subcategories!$A$2:$B$29,2,0)</f>
        <v>Function Support</v>
      </c>
      <c r="M317" s="144" t="str">
        <f>VLOOKUP(D317,Elements!$B$2:$C$435,2,0)</f>
        <v>Internal</v>
      </c>
      <c r="N317" s="144" t="str">
        <f>VLOOKUP(H317,ElementVariants!$A$2:$B$460,2,0)</f>
        <v>Describe the extent of internal benchmarks supported by the platform. What is the extent of out of the box support for internal benchmarks? Are they dynamically updated over time?</v>
      </c>
    </row>
    <row r="318" spans="1:14" ht="30">
      <c r="A318" s="138">
        <v>318</v>
      </c>
      <c r="B318" s="142">
        <v>5</v>
      </c>
      <c r="C318" s="142">
        <v>21</v>
      </c>
      <c r="D318" s="142">
        <v>285</v>
      </c>
      <c r="E318" s="142" t="s">
        <v>1635</v>
      </c>
      <c r="F318" s="142">
        <f>INDEX(SuiteCatSub!$E$2:$E$55,MATCH(_xlfn.CONCAT(B318,"-",C318),SuiteCatSub!$F$2:$F$55,0))</f>
        <v>38</v>
      </c>
      <c r="G318" s="142">
        <v>454</v>
      </c>
      <c r="H318" s="142">
        <f>VLOOKUP(G318,SuiteCatSubElem_Version!$I$2:$J$667,2,0)</f>
        <v>286</v>
      </c>
      <c r="I318" s="146" t="s">
        <v>1423</v>
      </c>
      <c r="J318" s="144" t="str">
        <f>VLOOKUP(B318,Categories!$A$2:$C$8,3,0)</f>
        <v>Spend Analytics</v>
      </c>
      <c r="K318" s="147"/>
      <c r="L318" s="144" t="str">
        <f>VLOOKUP(C318,Subcategories!$A$2:$B$29,2,0)</f>
        <v>Function Support</v>
      </c>
      <c r="M318" s="144" t="str">
        <f>VLOOKUP(D318,Elements!$B$2:$C$435,2,0)</f>
        <v>External</v>
      </c>
      <c r="N318" s="144" t="str">
        <f>VLOOKUP(H318,ElementVariants!$A$2:$B$460,2,0)</f>
        <v>Describe the extent of external benchmarks supported by the platform. What 3rd party feeds are integrated and how often are the external benchmarks updated?</v>
      </c>
    </row>
    <row r="319" spans="1:14" ht="60">
      <c r="A319" s="138">
        <v>319</v>
      </c>
      <c r="B319" s="142">
        <v>5</v>
      </c>
      <c r="C319" s="142">
        <v>21</v>
      </c>
      <c r="D319" s="142">
        <v>286</v>
      </c>
      <c r="E319" s="142" t="s">
        <v>1636</v>
      </c>
      <c r="F319" s="142">
        <f>INDEX(SuiteCatSub!$E$2:$E$55,MATCH(_xlfn.CONCAT(B319,"-",C319),SuiteCatSub!$F$2:$F$55,0))</f>
        <v>38</v>
      </c>
      <c r="G319" s="142">
        <v>455</v>
      </c>
      <c r="H319" s="142">
        <f>VLOOKUP(G319,SuiteCatSubElem_Version!$I$2:$J$667,2,0)</f>
        <v>287</v>
      </c>
      <c r="I319" s="146" t="s">
        <v>1423</v>
      </c>
      <c r="J319" s="144" t="str">
        <f>VLOOKUP(B319,Categories!$A$2:$C$8,3,0)</f>
        <v>Spend Analytics</v>
      </c>
      <c r="K319" s="147"/>
      <c r="L319" s="144" t="str">
        <f>VLOOKUP(C319,Subcategories!$A$2:$B$29,2,0)</f>
        <v>Function Support</v>
      </c>
      <c r="M319" s="144" t="str">
        <f>VLOOKUP(D319,Elements!$B$2:$C$435,2,0)</f>
        <v>Cost Avoidance / Opportunity Program Management</v>
      </c>
      <c r="N319" s="144" t="str">
        <f>VLOOKUP(H319,ElementVariants!$A$2:$B$460,2,0)</f>
        <v>Describe the ability of the toolset to create and maintain cost avoidance / opportunity programs and manage those over time.</v>
      </c>
    </row>
    <row r="320" spans="1:14" ht="45">
      <c r="A320" s="138">
        <v>320</v>
      </c>
      <c r="B320" s="142">
        <v>5</v>
      </c>
      <c r="C320" s="142">
        <v>21</v>
      </c>
      <c r="D320" s="142">
        <v>287</v>
      </c>
      <c r="E320" s="142" t="s">
        <v>1637</v>
      </c>
      <c r="F320" s="142">
        <f>INDEX(SuiteCatSub!$E$2:$E$55,MATCH(_xlfn.CONCAT(B320,"-",C320),SuiteCatSub!$F$2:$F$55,0))</f>
        <v>38</v>
      </c>
      <c r="G320" s="142">
        <v>456</v>
      </c>
      <c r="H320" s="142">
        <f>VLOOKUP(G320,SuiteCatSubElem_Version!$I$2:$J$667,2,0)</f>
        <v>288</v>
      </c>
      <c r="I320" s="146" t="s">
        <v>1423</v>
      </c>
      <c r="J320" s="144" t="str">
        <f>VLOOKUP(B320,Categories!$A$2:$C$8,3,0)</f>
        <v>Spend Analytics</v>
      </c>
      <c r="K320" s="147"/>
      <c r="L320" s="144" t="str">
        <f>VLOOKUP(C320,Subcategories!$A$2:$B$29,2,0)</f>
        <v>Function Support</v>
      </c>
      <c r="M320" s="144" t="str">
        <f>VLOOKUP(D320,Elements!$B$2:$C$435,2,0)</f>
        <v>Out-of-the-Box Sourcing Support</v>
      </c>
      <c r="N320" s="144" t="str">
        <f>VLOOKUP(H320,ElementVariants!$A$2:$B$460,2,0)</f>
        <v>What is the extent of out-of-the-box sourcing support provided in terms of opportunity analysis and bid analysis? Reports? Scorecards? Benchmarks? Predictive/Prescriptive Analytics? Please describe in detail.</v>
      </c>
    </row>
    <row r="321" spans="1:14" ht="45">
      <c r="A321" s="138">
        <v>321</v>
      </c>
      <c r="B321" s="142">
        <v>5</v>
      </c>
      <c r="C321" s="142">
        <v>21</v>
      </c>
      <c r="D321" s="142">
        <v>288</v>
      </c>
      <c r="E321" s="142" t="s">
        <v>1638</v>
      </c>
      <c r="F321" s="142">
        <f>INDEX(SuiteCatSub!$E$2:$E$55,MATCH(_xlfn.CONCAT(B321,"-",C321),SuiteCatSub!$F$2:$F$55,0))</f>
        <v>38</v>
      </c>
      <c r="G321" s="142">
        <v>457</v>
      </c>
      <c r="H321" s="142">
        <f>VLOOKUP(G321,SuiteCatSubElem_Version!$I$2:$J$667,2,0)</f>
        <v>289</v>
      </c>
      <c r="I321" s="146" t="s">
        <v>1423</v>
      </c>
      <c r="J321" s="144" t="str">
        <f>VLOOKUP(B321,Categories!$A$2:$C$8,3,0)</f>
        <v>Spend Analytics</v>
      </c>
      <c r="K321" s="147"/>
      <c r="L321" s="144" t="str">
        <f>VLOOKUP(C321,Subcategories!$A$2:$B$29,2,0)</f>
        <v>Function Support</v>
      </c>
      <c r="M321" s="144" t="str">
        <f>VLOOKUP(D321,Elements!$B$2:$C$435,2,0)</f>
        <v>Out-of-the-Box Procurement Support</v>
      </c>
      <c r="N321" s="144" t="str">
        <f>VLOOKUP(H321,ElementVariants!$A$2:$B$460,2,0)</f>
        <v>What is the extent of out-of-the-box procurement support for purchase order, invoice, and similar analysis? Reports? Scorecards? Benchmarks? Outlier/Risk Analytics? Please describe in detail.</v>
      </c>
    </row>
    <row r="322" spans="1:14" ht="45">
      <c r="A322" s="138">
        <v>322</v>
      </c>
      <c r="B322" s="142">
        <v>5</v>
      </c>
      <c r="C322" s="142">
        <v>21</v>
      </c>
      <c r="D322" s="142">
        <v>289</v>
      </c>
      <c r="E322" s="142" t="s">
        <v>1639</v>
      </c>
      <c r="F322" s="142">
        <f>INDEX(SuiteCatSub!$E$2:$E$55,MATCH(_xlfn.CONCAT(B322,"-",C322),SuiteCatSub!$F$2:$F$55,0))</f>
        <v>38</v>
      </c>
      <c r="G322" s="142">
        <v>458</v>
      </c>
      <c r="H322" s="142">
        <f>VLOOKUP(G322,SuiteCatSubElem_Version!$I$2:$J$667,2,0)</f>
        <v>290</v>
      </c>
      <c r="I322" s="146" t="s">
        <v>1423</v>
      </c>
      <c r="J322" s="144" t="str">
        <f>VLOOKUP(B322,Categories!$A$2:$C$8,3,0)</f>
        <v>Spend Analytics</v>
      </c>
      <c r="K322" s="147"/>
      <c r="L322" s="144" t="str">
        <f>VLOOKUP(C322,Subcategories!$A$2:$B$29,2,0)</f>
        <v>Function Support</v>
      </c>
      <c r="M322" s="144" t="str">
        <f>VLOOKUP(D322,Elements!$B$2:$C$435,2,0)</f>
        <v>Out-of-the-Box Travel &amp; Expense Support</v>
      </c>
      <c r="N322" s="144" t="str">
        <f>VLOOKUP(H322,ElementVariants!$A$2:$B$460,2,0)</f>
        <v>What is the extent of out-of-the-box T&amp;E support for travel, expense, and p-card analysis? Reports? Scorecards? Benchmarks? Outlier/Risk Analytics? Please describe in detail.</v>
      </c>
    </row>
    <row r="323" spans="1:14" ht="30">
      <c r="A323" s="138">
        <v>323</v>
      </c>
      <c r="B323" s="142">
        <v>5</v>
      </c>
      <c r="C323" s="142">
        <v>21</v>
      </c>
      <c r="D323" s="142">
        <v>290</v>
      </c>
      <c r="E323" s="142" t="s">
        <v>1640</v>
      </c>
      <c r="F323" s="142">
        <f>INDEX(SuiteCatSub!$E$2:$E$55,MATCH(_xlfn.CONCAT(B323,"-",C323),SuiteCatSub!$F$2:$F$55,0))</f>
        <v>38</v>
      </c>
      <c r="G323" s="142">
        <v>459</v>
      </c>
      <c r="H323" s="142">
        <f>VLOOKUP(G323,SuiteCatSubElem_Version!$I$2:$J$667,2,0)</f>
        <v>291</v>
      </c>
      <c r="I323" s="146" t="s">
        <v>1423</v>
      </c>
      <c r="J323" s="144" t="str">
        <f>VLOOKUP(B323,Categories!$A$2:$C$8,3,0)</f>
        <v>Spend Analytics</v>
      </c>
      <c r="K323" s="147"/>
      <c r="L323" s="144" t="str">
        <f>VLOOKUP(C323,Subcategories!$A$2:$B$29,2,0)</f>
        <v>Function Support</v>
      </c>
      <c r="M323" s="144" t="str">
        <f>VLOOKUP(D323,Elements!$B$2:$C$435,2,0)</f>
        <v>Out-of-the-Box Finance Support</v>
      </c>
      <c r="N323" s="144" t="str">
        <f>VLOOKUP(H323,ElementVariants!$A$2:$B$460,2,0)</f>
        <v>What is the extent of out-of-the-box finance support with respect to, but not limited to, payment, working capital, cash-flow, and discount analysis? Scorecards? Reports? Benchmarks? Predictive Analytics? Risk Analytics? Please describe in detail.</v>
      </c>
    </row>
    <row r="324" spans="1:14" ht="60">
      <c r="A324" s="138">
        <v>324</v>
      </c>
      <c r="B324" s="142">
        <v>5</v>
      </c>
      <c r="C324" s="142">
        <v>21</v>
      </c>
      <c r="D324" s="142">
        <v>291</v>
      </c>
      <c r="E324" s="142" t="s">
        <v>1641</v>
      </c>
      <c r="F324" s="142">
        <f>INDEX(SuiteCatSub!$E$2:$E$55,MATCH(_xlfn.CONCAT(B324,"-",C324),SuiteCatSub!$F$2:$F$55,0))</f>
        <v>38</v>
      </c>
      <c r="G324" s="142">
        <v>460</v>
      </c>
      <c r="H324" s="142">
        <f>VLOOKUP(G324,SuiteCatSubElem_Version!$I$2:$J$667,2,0)</f>
        <v>292</v>
      </c>
      <c r="I324" s="146" t="s">
        <v>1423</v>
      </c>
      <c r="J324" s="144" t="str">
        <f>VLOOKUP(B324,Categories!$A$2:$C$8,3,0)</f>
        <v>Spend Analytics</v>
      </c>
      <c r="K324" s="147"/>
      <c r="L324" s="144" t="str">
        <f>VLOOKUP(C324,Subcategories!$A$2:$B$29,2,0)</f>
        <v>Function Support</v>
      </c>
      <c r="M324" s="144" t="str">
        <f>VLOOKUP(D324,Elements!$B$2:$C$435,2,0)</f>
        <v>Out-of-the-Box Product (Lifecycle) Support</v>
      </c>
      <c r="N324" s="144" t="str">
        <f>VLOOKUP(H324,ElementVariants!$A$2:$B$460,2,0)</f>
        <v>What is the extent of out-of-the-box support for product lifecycle management, bill of materials management, raw material analysis, etc.? Scorecards? Reports? Benchmarks? Drilldown analytics? Predictive analytics? Risk Analytics? Please describe in detail.</v>
      </c>
    </row>
    <row r="325" spans="1:14" ht="30">
      <c r="A325" s="138">
        <v>325</v>
      </c>
      <c r="B325" s="142">
        <v>5</v>
      </c>
      <c r="C325" s="142">
        <v>21</v>
      </c>
      <c r="D325" s="142">
        <v>292</v>
      </c>
      <c r="E325" s="142" t="s">
        <v>1642</v>
      </c>
      <c r="F325" s="142">
        <f>INDEX(SuiteCatSub!$E$2:$E$55,MATCH(_xlfn.CONCAT(B325,"-",C325),SuiteCatSub!$F$2:$F$55,0))</f>
        <v>38</v>
      </c>
      <c r="G325" s="142">
        <v>461</v>
      </c>
      <c r="H325" s="142">
        <f>VLOOKUP(G325,SuiteCatSubElem_Version!$I$2:$J$667,2,0)</f>
        <v>293</v>
      </c>
      <c r="I325" s="146" t="s">
        <v>1423</v>
      </c>
      <c r="J325" s="144" t="str">
        <f>VLOOKUP(B325,Categories!$A$2:$C$8,3,0)</f>
        <v>Spend Analytics</v>
      </c>
      <c r="K325" s="147"/>
      <c r="L325" s="144" t="str">
        <f>VLOOKUP(C325,Subcategories!$A$2:$B$29,2,0)</f>
        <v>Function Support</v>
      </c>
      <c r="M325" s="144" t="str">
        <f>VLOOKUP(D325,Elements!$B$2:$C$435,2,0)</f>
        <v>Out-of-the-Box Services Support</v>
      </c>
      <c r="N325" s="144" t="str">
        <f>VLOOKUP(H325,ElementVariants!$A$2:$B$460,2,0)</f>
        <v>What is the extent of out-of-the-box support for services analysis? Scorecards? Reports? Benchmarks? Predictive Analytics? Prescriptive Analytics? Compliance Analytics? Please describe in detail.</v>
      </c>
    </row>
    <row r="326" spans="1:14" ht="30">
      <c r="A326" s="138">
        <v>326</v>
      </c>
      <c r="B326" s="142">
        <v>5</v>
      </c>
      <c r="C326" s="142">
        <v>21</v>
      </c>
      <c r="D326" s="142">
        <v>293</v>
      </c>
      <c r="E326" s="142" t="s">
        <v>1643</v>
      </c>
      <c r="F326" s="142">
        <f>INDEX(SuiteCatSub!$E$2:$E$55,MATCH(_xlfn.CONCAT(B326,"-",C326),SuiteCatSub!$F$2:$F$55,0))</f>
        <v>38</v>
      </c>
      <c r="G326" s="142">
        <v>462</v>
      </c>
      <c r="H326" s="142">
        <f>VLOOKUP(G326,SuiteCatSubElem_Version!$I$2:$J$667,2,0)</f>
        <v>294</v>
      </c>
      <c r="I326" s="146" t="s">
        <v>1423</v>
      </c>
      <c r="J326" s="144" t="str">
        <f>VLOOKUP(B326,Categories!$A$2:$C$8,3,0)</f>
        <v>Spend Analytics</v>
      </c>
      <c r="K326" s="147"/>
      <c r="L326" s="144" t="str">
        <f>VLOOKUP(C326,Subcategories!$A$2:$B$29,2,0)</f>
        <v>Function Support</v>
      </c>
      <c r="M326" s="144" t="str">
        <f>VLOOKUP(D326,Elements!$B$2:$C$435,2,0)</f>
        <v>Out-of-the-Box CWM Support</v>
      </c>
      <c r="N326" s="144" t="str">
        <f>VLOOKUP(H326,ElementVariants!$A$2:$B$460,2,0)</f>
        <v>What is the extent of out-of-the-box support for CWM (Contingent Worker Management) analysis? Scorecards? Reports? Benchmarks? Predictive Analytics? Prescriptive Analytics? Compliance Analytics? Please describe in detail.</v>
      </c>
    </row>
    <row r="327" spans="1:14" ht="45">
      <c r="A327" s="138">
        <v>327</v>
      </c>
      <c r="B327" s="142">
        <v>5</v>
      </c>
      <c r="C327" s="142">
        <v>21</v>
      </c>
      <c r="D327" s="142">
        <v>294</v>
      </c>
      <c r="E327" s="142" t="s">
        <v>1644</v>
      </c>
      <c r="F327" s="142">
        <f>INDEX(SuiteCatSub!$E$2:$E$55,MATCH(_xlfn.CONCAT(B327,"-",C327),SuiteCatSub!$F$2:$F$55,0))</f>
        <v>38</v>
      </c>
      <c r="G327" s="142">
        <v>463</v>
      </c>
      <c r="H327" s="142">
        <f>VLOOKUP(G327,SuiteCatSubElem_Version!$I$2:$J$667,2,0)</f>
        <v>295</v>
      </c>
      <c r="I327" s="146" t="s">
        <v>1423</v>
      </c>
      <c r="J327" s="144" t="str">
        <f>VLOOKUP(B327,Categories!$A$2:$C$8,3,0)</f>
        <v>Spend Analytics</v>
      </c>
      <c r="K327" s="147"/>
      <c r="L327" s="144" t="str">
        <f>VLOOKUP(C327,Subcategories!$A$2:$B$29,2,0)</f>
        <v>Function Support</v>
      </c>
      <c r="M327" s="144" t="str">
        <f>VLOOKUP(D327,Elements!$B$2:$C$435,2,0)</f>
        <v>Out-of-the-Box Logistics Support</v>
      </c>
      <c r="N327" s="144" t="str">
        <f>VLOOKUP(H327,ElementVariants!$A$2:$B$460,2,0)</f>
        <v>What is the extent of out-of-the-box logistics analytics? Scorecards? Reports? Benchmarks? Predictive Analytics? Prescriptive Analytics? Please describe in detail.</v>
      </c>
    </row>
    <row r="328" spans="1:14" ht="45">
      <c r="A328" s="138">
        <v>328</v>
      </c>
      <c r="B328" s="142">
        <v>5</v>
      </c>
      <c r="C328" s="142">
        <v>21</v>
      </c>
      <c r="D328" s="142">
        <v>295</v>
      </c>
      <c r="E328" s="142" t="s">
        <v>1645</v>
      </c>
      <c r="F328" s="142">
        <f>INDEX(SuiteCatSub!$E$2:$E$55,MATCH(_xlfn.CONCAT(B328,"-",C328),SuiteCatSub!$F$2:$F$55,0))</f>
        <v>38</v>
      </c>
      <c r="G328" s="142">
        <v>464</v>
      </c>
      <c r="H328" s="142">
        <f>VLOOKUP(G328,SuiteCatSubElem_Version!$I$2:$J$667,2,0)</f>
        <v>296</v>
      </c>
      <c r="I328" s="146" t="s">
        <v>1423</v>
      </c>
      <c r="J328" s="144" t="str">
        <f>VLOOKUP(B328,Categories!$A$2:$C$8,3,0)</f>
        <v>Spend Analytics</v>
      </c>
      <c r="K328" s="147"/>
      <c r="L328" s="144" t="str">
        <f>VLOOKUP(C328,Subcategories!$A$2:$B$29,2,0)</f>
        <v>Function Support</v>
      </c>
      <c r="M328" s="144" t="str">
        <f>VLOOKUP(D328,Elements!$B$2:$C$435,2,0)</f>
        <v>Out-of-the-Box Inventory/MRO Support</v>
      </c>
      <c r="N328" s="144" t="str">
        <f>VLOOKUP(H328,ElementVariants!$A$2:$B$460,2,0)</f>
        <v>What is the extent of out-of-the-box inventory/MRO analytics? Scorecards? Reports? Benchmarks? Predictive Analytics? Prescriptive Analytics? Please describe in detail.</v>
      </c>
    </row>
    <row r="329" spans="1:14" ht="45">
      <c r="A329" s="138">
        <v>329</v>
      </c>
      <c r="B329" s="142">
        <v>5</v>
      </c>
      <c r="C329" s="142">
        <v>21</v>
      </c>
      <c r="D329" s="142">
        <v>296</v>
      </c>
      <c r="E329" s="142" t="s">
        <v>1646</v>
      </c>
      <c r="F329" s="142">
        <f>INDEX(SuiteCatSub!$E$2:$E$55,MATCH(_xlfn.CONCAT(B329,"-",C329),SuiteCatSub!$F$2:$F$55,0))</f>
        <v>38</v>
      </c>
      <c r="G329" s="142">
        <v>465</v>
      </c>
      <c r="H329" s="142">
        <f>VLOOKUP(G329,SuiteCatSubElem_Version!$I$2:$J$667,2,0)</f>
        <v>297</v>
      </c>
      <c r="I329" s="146" t="s">
        <v>1423</v>
      </c>
      <c r="J329" s="144" t="str">
        <f>VLOOKUP(B329,Categories!$A$2:$C$8,3,0)</f>
        <v>Spend Analytics</v>
      </c>
      <c r="K329" s="147"/>
      <c r="L329" s="144" t="str">
        <f>VLOOKUP(C329,Subcategories!$A$2:$B$29,2,0)</f>
        <v>Function Support</v>
      </c>
      <c r="M329" s="144" t="str">
        <f>VLOOKUP(D329,Elements!$B$2:$C$435,2,0)</f>
        <v>Out-of-the-Box Supplier Analysis Support</v>
      </c>
      <c r="N329" s="144" t="str">
        <f>VLOOKUP(H329,ElementVariants!$A$2:$B$460,2,0)</f>
        <v>What is the extent of out-of-the-box supplier analytics? Scorecards? Reports? Benchmarks? Predictive Analytics? Prescriptive Analytics? Trend Analysis? Please describe in detail.</v>
      </c>
    </row>
    <row r="330" spans="1:14" ht="60">
      <c r="A330" s="138">
        <v>330</v>
      </c>
      <c r="B330" s="142">
        <v>5</v>
      </c>
      <c r="C330" s="142">
        <v>21</v>
      </c>
      <c r="D330" s="142">
        <v>297</v>
      </c>
      <c r="E330" s="142" t="s">
        <v>1647</v>
      </c>
      <c r="F330" s="142">
        <f>INDEX(SuiteCatSub!$E$2:$E$55,MATCH(_xlfn.CONCAT(B330,"-",C330),SuiteCatSub!$F$2:$F$55,0))</f>
        <v>38</v>
      </c>
      <c r="G330" s="142">
        <v>466</v>
      </c>
      <c r="H330" s="142">
        <f>VLOOKUP(G330,SuiteCatSubElem_Version!$I$2:$J$667,2,0)</f>
        <v>298</v>
      </c>
      <c r="I330" s="146" t="s">
        <v>1423</v>
      </c>
      <c r="J330" s="144" t="str">
        <f>VLOOKUP(B330,Categories!$A$2:$C$8,3,0)</f>
        <v>Spend Analytics</v>
      </c>
      <c r="K330" s="147"/>
      <c r="L330" s="144" t="str">
        <f>VLOOKUP(C330,Subcategories!$A$2:$B$29,2,0)</f>
        <v>Function Support</v>
      </c>
      <c r="M330" s="144" t="str">
        <f>VLOOKUP(D330,Elements!$B$2:$C$435,2,0)</f>
        <v>Out-of-the-Box Risk Management Support</v>
      </c>
      <c r="N330" s="144" t="str">
        <f>VLOOKUP(H330,ElementVariants!$A$2:$B$460,2,0)</f>
        <v>What is the extent of out-of-the-box risk analysis? Scorecards? Reports? Benchmarks? Predictive Analytics? Prescriptive Analytics? And across what functions can the risk management be applied? Please describe in detail.</v>
      </c>
    </row>
    <row r="331" spans="1:14" ht="30">
      <c r="A331" s="138">
        <v>331</v>
      </c>
      <c r="B331" s="142">
        <v>5</v>
      </c>
      <c r="C331" s="142">
        <v>7</v>
      </c>
      <c r="D331" s="142">
        <v>298</v>
      </c>
      <c r="E331" s="142" t="s">
        <v>1648</v>
      </c>
      <c r="F331" s="142">
        <f>INDEX(SuiteCatSub!$E$2:$E$55,MATCH(_xlfn.CONCAT(B331,"-",C331),SuiteCatSub!$F$2:$F$55,0))</f>
        <v>40</v>
      </c>
      <c r="G331" s="142">
        <v>467</v>
      </c>
      <c r="H331" s="142">
        <f>VLOOKUP(G331,SuiteCatSubElem_Version!$I$2:$J$667,2,0)</f>
        <v>299</v>
      </c>
      <c r="I331" s="146" t="s">
        <v>1423</v>
      </c>
      <c r="J331" s="144" t="str">
        <f>VLOOKUP(B331,Categories!$A$2:$C$8,3,0)</f>
        <v>Spend Analytics</v>
      </c>
      <c r="K331" s="147"/>
      <c r="L331" s="144" t="str">
        <f>VLOOKUP(C331,Subcategories!$A$2:$B$29,2,0)</f>
        <v>Technology</v>
      </c>
      <c r="M331" s="144" t="str">
        <f>VLOOKUP(D331,Elements!$B$2:$C$435,2,0)</f>
        <v>3rd Party BI Integration</v>
      </c>
      <c r="N331" s="144" t="str">
        <f>VLOOKUP(H331,ElementVariants!$A$2:$B$460,2,0)</f>
        <v>What is the extent of integration with 3rd Party BI tools? Is there an API? Is there out-of-the-box integration with market leading tools like Tableau or QlikView? Is the integration bi-directional allowing for easy push-and-pull of data?</v>
      </c>
    </row>
    <row r="332" spans="1:14" ht="105">
      <c r="A332" s="138">
        <v>332</v>
      </c>
      <c r="B332" s="142">
        <v>5</v>
      </c>
      <c r="C332" s="142">
        <v>7</v>
      </c>
      <c r="D332" s="142">
        <v>226</v>
      </c>
      <c r="E332" s="142" t="s">
        <v>1649</v>
      </c>
      <c r="F332" s="142">
        <f>INDEX(SuiteCatSub!$E$2:$E$55,MATCH(_xlfn.CONCAT(B332,"-",C332),SuiteCatSub!$F$2:$F$55,0))</f>
        <v>40</v>
      </c>
      <c r="G332" s="142">
        <v>468</v>
      </c>
      <c r="H332" s="142">
        <f>VLOOKUP(G332,SuiteCatSubElem_Version!$I$2:$J$667,2,0)</f>
        <v>226</v>
      </c>
      <c r="I332" s="146" t="s">
        <v>1423</v>
      </c>
      <c r="J332" s="144" t="str">
        <f>VLOOKUP(B332,Categories!$A$2:$C$8,3,0)</f>
        <v>Spend Analytics</v>
      </c>
      <c r="K332" s="147"/>
      <c r="L332" s="144" t="str">
        <f>VLOOKUP(C332,Subcategories!$A$2:$B$29,2,0)</f>
        <v>Technology</v>
      </c>
      <c r="M332" s="144" t="str">
        <f>VLOOKUP(D332,Elements!$B$2:$C$435,2,0)</f>
        <v>SaaS / Cloud</v>
      </c>
      <c r="N332" s="144" t="str">
        <f>VLOOKUP(H332,ElementVariants!$A$2:$B$460,2,0)</f>
        <v>Please describe your cloud architecture (e.g., single-instance multi-tenant application run on a 'virtualized' and elastic platform). Is your SaaS approach only true multi-tenant, or can separate app instances be maintained (e.g., residing with data on servers that can be run in different countries)?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v>
      </c>
    </row>
    <row r="333" spans="1:14" ht="45">
      <c r="A333" s="138">
        <v>333</v>
      </c>
      <c r="B333" s="142">
        <v>5</v>
      </c>
      <c r="C333" s="142">
        <v>7</v>
      </c>
      <c r="D333" s="142">
        <v>10</v>
      </c>
      <c r="E333" s="142" t="s">
        <v>1650</v>
      </c>
      <c r="F333" s="142">
        <f>INDEX(SuiteCatSub!$E$2:$E$55,MATCH(_xlfn.CONCAT(B333,"-",C333),SuiteCatSub!$F$2:$F$55,0))</f>
        <v>40</v>
      </c>
      <c r="G333" s="142">
        <v>469</v>
      </c>
      <c r="H333" s="142">
        <f>VLOOKUP(G333,SuiteCatSubElem_Version!$I$2:$J$667,2,0)</f>
        <v>10</v>
      </c>
      <c r="I333" s="146" t="s">
        <v>1423</v>
      </c>
      <c r="J333" s="144" t="str">
        <f>VLOOKUP(B333,Categories!$A$2:$C$8,3,0)</f>
        <v>Spend Analytics</v>
      </c>
      <c r="K333" s="147"/>
      <c r="L333" s="144" t="str">
        <f>VLOOKUP(C333,Subcategories!$A$2:$B$29,2,0)</f>
        <v>Technology</v>
      </c>
      <c r="M333" s="144" t="str">
        <f>VLOOKUP(D333,Elements!$B$2:$C$435,2,0)</f>
        <v>On-Premise Software Option</v>
      </c>
      <c r="N333" s="144" t="str">
        <f>VLOOKUP(H333,ElementVariants!$A$2:$B$460,2,0)</f>
        <v>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v>
      </c>
    </row>
    <row r="334" spans="1:14" ht="45">
      <c r="A334" s="138">
        <v>334</v>
      </c>
      <c r="B334" s="142">
        <v>5</v>
      </c>
      <c r="C334" s="142">
        <v>7</v>
      </c>
      <c r="D334" s="142">
        <v>299</v>
      </c>
      <c r="E334" s="142" t="s">
        <v>1651</v>
      </c>
      <c r="F334" s="142">
        <f>INDEX(SuiteCatSub!$E$2:$E$55,MATCH(_xlfn.CONCAT(B334,"-",C334),SuiteCatSub!$F$2:$F$55,0))</f>
        <v>40</v>
      </c>
      <c r="G334" s="142">
        <v>470</v>
      </c>
      <c r="H334" s="142">
        <f>VLOOKUP(G334,SuiteCatSubElem_Version!$I$2:$J$667,2,0)</f>
        <v>300</v>
      </c>
      <c r="I334" s="146" t="s">
        <v>1423</v>
      </c>
      <c r="J334" s="144" t="str">
        <f>VLOOKUP(B334,Categories!$A$2:$C$8,3,0)</f>
        <v>Spend Analytics</v>
      </c>
      <c r="K334" s="147"/>
      <c r="L334" s="144" t="str">
        <f>VLOOKUP(C334,Subcategories!$A$2:$B$29,2,0)</f>
        <v>Technology</v>
      </c>
      <c r="M334" s="144" t="str">
        <f>VLOOKUP(D334,Elements!$B$2:$C$435,2,0)</f>
        <v>AI / Machine Learning</v>
      </c>
      <c r="N334" s="144" t="str">
        <f>VLOOKUP(H334,ElementVariants!$A$2:$B$460,2,0)</f>
        <v>Please describe the degree of AI / Machine Learning with a focus on capabilities outside of cleansing and categorization, predictive, and prescriptive analytics (as this should have been covered in detail in previous tabs). Focus on the ability to integrate with arbitrary data streams and/or other business / supply management applications to apply the AI capabilities to non out-of-the-box functions.</v>
      </c>
    </row>
    <row r="335" spans="1:14" ht="30">
      <c r="A335" s="138">
        <v>335</v>
      </c>
      <c r="B335" s="142">
        <v>5</v>
      </c>
      <c r="C335" s="142">
        <v>7</v>
      </c>
      <c r="D335" s="142">
        <v>73</v>
      </c>
      <c r="E335" s="142" t="s">
        <v>1652</v>
      </c>
      <c r="F335" s="142">
        <f>INDEX(SuiteCatSub!$E$2:$E$55,MATCH(_xlfn.CONCAT(B335,"-",C335),SuiteCatSub!$F$2:$F$55,0))</f>
        <v>40</v>
      </c>
      <c r="G335" s="142">
        <v>471</v>
      </c>
      <c r="H335" s="142">
        <f>VLOOKUP(G335,SuiteCatSubElem_Version!$I$2:$J$667,2,0)</f>
        <v>445</v>
      </c>
      <c r="I335" s="146" t="s">
        <v>1423</v>
      </c>
      <c r="J335" s="144" t="str">
        <f>VLOOKUP(B335,Categories!$A$2:$C$8,3,0)</f>
        <v>Spend Analytics</v>
      </c>
      <c r="K335" s="147"/>
      <c r="L335" s="144" t="str">
        <f>VLOOKUP(C335,Subcategories!$A$2:$B$29,2,0)</f>
        <v>Technology</v>
      </c>
      <c r="M335" s="144" t="str">
        <f>VLOOKUP(D335,Elements!$B$2:$C$435,2,0)</f>
        <v>Big Data</v>
      </c>
      <c r="N335" s="144" t="str">
        <f>VLOOKUP(H335,ElementVariants!$A$2:$B$460,2,0)</f>
        <v>To what extent does the platform support "big data"? How scalable is it? How much control over separation and data store mapping does the buyer have?</v>
      </c>
    </row>
    <row r="336" spans="1:14" ht="45">
      <c r="A336" s="138">
        <v>336</v>
      </c>
      <c r="B336" s="142">
        <v>5</v>
      </c>
      <c r="C336" s="142">
        <v>7</v>
      </c>
      <c r="D336" s="142">
        <v>74</v>
      </c>
      <c r="E336" s="142" t="s">
        <v>1653</v>
      </c>
      <c r="F336" s="142">
        <f>INDEX(SuiteCatSub!$E$2:$E$55,MATCH(_xlfn.CONCAT(B336,"-",C336),SuiteCatSub!$F$2:$F$55,0))</f>
        <v>40</v>
      </c>
      <c r="G336" s="142">
        <v>472</v>
      </c>
      <c r="H336" s="142">
        <f>VLOOKUP(G336,SuiteCatSubElem_Version!$I$2:$J$667,2,0)</f>
        <v>74</v>
      </c>
      <c r="I336" s="146" t="s">
        <v>1423</v>
      </c>
      <c r="J336" s="144" t="str">
        <f>VLOOKUP(B336,Categories!$A$2:$C$8,3,0)</f>
        <v>Spend Analytics</v>
      </c>
      <c r="K336" s="147"/>
      <c r="L336" s="144" t="str">
        <f>VLOOKUP(C336,Subcategories!$A$2:$B$29,2,0)</f>
        <v>Technology</v>
      </c>
      <c r="M336" s="144" t="str">
        <f>VLOOKUP(D336,Elements!$B$2:$C$435,2,0)</f>
        <v>Block chain</v>
      </c>
      <c r="N336" s="144" t="str">
        <f>VLOOKUP(H336,ElementVariants!$A$2:$B$460,2,0)</f>
        <v>Explain the use of block chain technology within your solutions or plans to deploy block chain in future releases. What type of block chain capabilities are you actively researching and/or developing (e.g., "smart contracts")? Are you working with a customer advisory council in this area, and if so, what is their willingness to support a distributed ledger model?</v>
      </c>
    </row>
    <row r="337" spans="1:14" ht="45">
      <c r="A337" s="138">
        <v>337</v>
      </c>
      <c r="B337" s="142">
        <v>5</v>
      </c>
      <c r="C337" s="142">
        <v>7</v>
      </c>
      <c r="D337" s="142">
        <v>75</v>
      </c>
      <c r="E337" s="142" t="s">
        <v>1654</v>
      </c>
      <c r="F337" s="142">
        <f>INDEX(SuiteCatSub!$E$2:$E$55,MATCH(_xlfn.CONCAT(B337,"-",C337),SuiteCatSub!$F$2:$F$55,0))</f>
        <v>40</v>
      </c>
      <c r="G337" s="142">
        <v>473</v>
      </c>
      <c r="H337" s="142">
        <f>VLOOKUP(G337,SuiteCatSubElem_Version!$I$2:$J$667,2,0)</f>
        <v>75</v>
      </c>
      <c r="I337" s="146" t="s">
        <v>1423</v>
      </c>
      <c r="J337" s="144" t="str">
        <f>VLOOKUP(B337,Categories!$A$2:$C$8,3,0)</f>
        <v>Spend Analytics</v>
      </c>
      <c r="K337" s="147"/>
      <c r="L337" s="144" t="str">
        <f>VLOOKUP(C337,Subcategories!$A$2:$B$29,2,0)</f>
        <v>Technology</v>
      </c>
      <c r="M337" s="144" t="str">
        <f>VLOOKUP(D337,Elements!$B$2:$C$435,2,0)</f>
        <v>Mobile</v>
      </c>
      <c r="N337" s="144" t="str">
        <f>VLOOKUP(H337,ElementVariants!$A$2:$B$460,2,0)</f>
        <v>Explain the use of mobile technology within your solutions overall and your roadmap for future mobile adoption. Please highlight how you support mobile users (e.g., responsive design to work across all devices or mobile app for basic functionality like approvals). What percentage of system interactions today are driven by mobile clients? What do you forecast for the next 12 months? 24 months?</v>
      </c>
    </row>
    <row r="338" spans="1:14" ht="45">
      <c r="A338" s="138">
        <v>338</v>
      </c>
      <c r="B338" s="142">
        <v>5</v>
      </c>
      <c r="C338" s="142">
        <v>7</v>
      </c>
      <c r="D338" s="142">
        <v>300</v>
      </c>
      <c r="E338" s="142" t="s">
        <v>1655</v>
      </c>
      <c r="F338" s="142">
        <f>INDEX(SuiteCatSub!$E$2:$E$55,MATCH(_xlfn.CONCAT(B338,"-",C338),SuiteCatSub!$F$2:$F$55,0))</f>
        <v>40</v>
      </c>
      <c r="G338" s="142">
        <v>474</v>
      </c>
      <c r="H338" s="142">
        <f>VLOOKUP(G338,SuiteCatSubElem_Version!$I$2:$J$667,2,0)</f>
        <v>301</v>
      </c>
      <c r="I338" s="146" t="s">
        <v>1423</v>
      </c>
      <c r="J338" s="144" t="str">
        <f>VLOOKUP(B338,Categories!$A$2:$C$8,3,0)</f>
        <v>Spend Analytics</v>
      </c>
      <c r="K338" s="147"/>
      <c r="L338" s="144" t="str">
        <f>VLOOKUP(C338,Subcategories!$A$2:$B$29,2,0)</f>
        <v>Technology</v>
      </c>
      <c r="M338" s="144" t="str">
        <f>VLOOKUP(D338,Elements!$B$2:$C$435,2,0)</f>
        <v>Semi-Structured / Unstructured Data</v>
      </c>
      <c r="N338" s="144" t="str">
        <f>VLOOKUP(H338,ElementVariants!$A$2:$B$460,2,0)</f>
        <v>What is the extent of support for semi-structured and unstructured data in the platform, especially from an analytics standpoint? Please describe in detail!</v>
      </c>
    </row>
    <row r="339" spans="1:14" ht="45">
      <c r="A339" s="138">
        <v>339</v>
      </c>
      <c r="B339" s="142">
        <v>5</v>
      </c>
      <c r="C339" s="142">
        <v>7</v>
      </c>
      <c r="D339" s="142">
        <v>301</v>
      </c>
      <c r="E339" s="142" t="s">
        <v>1656</v>
      </c>
      <c r="F339" s="142">
        <f>INDEX(SuiteCatSub!$E$2:$E$55,MATCH(_xlfn.CONCAT(B339,"-",C339),SuiteCatSub!$F$2:$F$55,0))</f>
        <v>40</v>
      </c>
      <c r="G339" s="142">
        <v>475</v>
      </c>
      <c r="H339" s="142">
        <f>VLOOKUP(G339,SuiteCatSubElem_Version!$I$2:$J$667,2,0)</f>
        <v>302</v>
      </c>
      <c r="I339" s="146" t="s">
        <v>1423</v>
      </c>
      <c r="J339" s="144" t="str">
        <f>VLOOKUP(B339,Categories!$A$2:$C$8,3,0)</f>
        <v>Spend Analytics</v>
      </c>
      <c r="K339" s="147"/>
      <c r="L339" s="144" t="str">
        <f>VLOOKUP(C339,Subcategories!$A$2:$B$29,2,0)</f>
        <v>Technology</v>
      </c>
      <c r="M339" s="144" t="str">
        <f>VLOOKUP(D339,Elements!$B$2:$C$435,2,0)</f>
        <v>OCR</v>
      </c>
      <c r="N339" s="144" t="str">
        <f>VLOOKUP(H339,ElementVariants!$A$2:$B$460,2,0)</f>
        <v>Explain the use of OCR/Scanning technology within your solutions (if used) and roadmap plans. Focus on the ability to covert data to semi-structured and structured data that can be normalized, cleansed, categorized, enriched, and used for workflow management and/or new types of analytics previously unavailable to the business.</v>
      </c>
    </row>
    <row r="340" spans="1:14" ht="60">
      <c r="A340" s="138">
        <v>340</v>
      </c>
      <c r="B340" s="142">
        <v>5</v>
      </c>
      <c r="C340" s="142">
        <v>7</v>
      </c>
      <c r="D340" s="142">
        <v>78</v>
      </c>
      <c r="E340" s="142" t="s">
        <v>1657</v>
      </c>
      <c r="F340" s="142">
        <f>INDEX(SuiteCatSub!$E$2:$E$55,MATCH(_xlfn.CONCAT(B340,"-",C340),SuiteCatSub!$F$2:$F$55,0))</f>
        <v>40</v>
      </c>
      <c r="G340" s="142">
        <v>476</v>
      </c>
      <c r="H340" s="142">
        <f>VLOOKUP(G340,SuiteCatSubElem_Version!$I$2:$J$667,2,0)</f>
        <v>446</v>
      </c>
      <c r="I340" s="146" t="s">
        <v>1423</v>
      </c>
      <c r="J340" s="144" t="str">
        <f>VLOOKUP(B340,Categories!$A$2:$C$8,3,0)</f>
        <v>Spend Analytics</v>
      </c>
      <c r="K340" s="147"/>
      <c r="L340" s="144" t="str">
        <f>VLOOKUP(C340,Subcategories!$A$2:$B$29,2,0)</f>
        <v>Technology</v>
      </c>
      <c r="M340" s="144" t="str">
        <f>VLOOKUP(D340,Elements!$B$2:$C$435,2,0)</f>
        <v>Intelligent Apps</v>
      </c>
      <c r="N340" s="144" t="str">
        <f>VLOOKUP(H340,ElementVariants!$A$2:$B$460,2,0)</f>
        <v>Explain the use of "intelligent apps" within your solutions. Examples include: Siri, Alexa, Google, etc. Do you work with partners in this area? By this, we don't mean AI/AR for cleansing / categorization / enrichment or predictive / prescriptive analytics, but AI that can guide a user down a meaningful analytics path, simplify the user experience while enhancing it, or other non-standard applications of AI/AR in spend analysis.</v>
      </c>
    </row>
    <row r="341" spans="1:14" ht="30">
      <c r="A341" s="138">
        <v>341</v>
      </c>
      <c r="B341" s="142">
        <v>5</v>
      </c>
      <c r="C341" s="142">
        <v>7</v>
      </c>
      <c r="D341" s="142">
        <v>80</v>
      </c>
      <c r="E341" s="142" t="s">
        <v>1658</v>
      </c>
      <c r="F341" s="142">
        <f>INDEX(SuiteCatSub!$E$2:$E$55,MATCH(_xlfn.CONCAT(B341,"-",C341),SuiteCatSub!$F$2:$F$55,0))</f>
        <v>40</v>
      </c>
      <c r="G341" s="142">
        <v>477</v>
      </c>
      <c r="H341" s="142">
        <f>VLOOKUP(G341,SuiteCatSubElem_Version!$I$2:$J$667,2,0)</f>
        <v>80</v>
      </c>
      <c r="I341" s="146" t="s">
        <v>1423</v>
      </c>
      <c r="J341" s="144" t="str">
        <f>VLOOKUP(B341,Categories!$A$2:$C$8,3,0)</f>
        <v>Spend Analytics</v>
      </c>
      <c r="K341" s="147"/>
      <c r="L341" s="144" t="str">
        <f>VLOOKUP(C341,Subcategories!$A$2:$B$29,2,0)</f>
        <v>Technology</v>
      </c>
      <c r="M341" s="144" t="str">
        <f>VLOOKUP(D341,Elements!$B$2:$C$435,2,0)</f>
        <v>Personalization</v>
      </c>
      <c r="N341" s="144" t="str">
        <f>VLOOKUP(H341,ElementVariants!$A$2:$B$460,2,0)</f>
        <v>Describe your ability to customize/tailor terminology to business-specific terminology using data dictionaries or other approaches</v>
      </c>
    </row>
    <row r="342" spans="1:14" ht="60">
      <c r="A342" s="138">
        <v>342</v>
      </c>
      <c r="B342" s="142">
        <v>5</v>
      </c>
      <c r="C342" s="142">
        <v>7</v>
      </c>
      <c r="D342" s="142">
        <v>81</v>
      </c>
      <c r="E342" s="142" t="s">
        <v>1659</v>
      </c>
      <c r="F342" s="142">
        <f>INDEX(SuiteCatSub!$E$2:$E$55,MATCH(_xlfn.CONCAT(B342,"-",C342),SuiteCatSub!$F$2:$F$55,0))</f>
        <v>40</v>
      </c>
      <c r="G342" s="142">
        <v>478</v>
      </c>
      <c r="H342" s="142">
        <f>VLOOKUP(G342,SuiteCatSubElem_Version!$I$2:$J$667,2,0)</f>
        <v>81</v>
      </c>
      <c r="I342" s="146" t="s">
        <v>1423</v>
      </c>
      <c r="J342" s="144" t="str">
        <f>VLOOKUP(B342,Categories!$A$2:$C$8,3,0)</f>
        <v>Spend Analytics</v>
      </c>
      <c r="K342" s="147"/>
      <c r="L342" s="144" t="str">
        <f>VLOOKUP(C342,Subcategories!$A$2:$B$29,2,0)</f>
        <v>Technology</v>
      </c>
      <c r="M342" s="144" t="str">
        <f>VLOOKUP(D342,Elements!$B$2:$C$435,2,0)</f>
        <v>Open Standards</v>
      </c>
      <c r="N342" s="144" t="str">
        <f>VLOOKUP(H342,ElementVariants!$A$2:$B$460,2,0)</f>
        <v>Describe your support for open standards, particularly surrounding document/data standards. How this has been developed / implemented? Are you working with / driving any standards-body initiatives? Do you provide a platform that enables others to develop or co-develop capabilities? Do you provide a platform for supplier to integrate their financial and accounting systems through a standards-driven environment?</v>
      </c>
    </row>
    <row r="343" spans="1:14" ht="45">
      <c r="A343" s="138">
        <v>343</v>
      </c>
      <c r="B343" s="142">
        <v>5</v>
      </c>
      <c r="C343" s="142">
        <v>7</v>
      </c>
      <c r="D343" s="142">
        <v>82</v>
      </c>
      <c r="E343" s="142" t="s">
        <v>1660</v>
      </c>
      <c r="F343" s="142">
        <f>INDEX(SuiteCatSub!$E$2:$E$55,MATCH(_xlfn.CONCAT(B343,"-",C343),SuiteCatSub!$F$2:$F$55,0))</f>
        <v>40</v>
      </c>
      <c r="G343" s="142">
        <v>479</v>
      </c>
      <c r="H343" s="142">
        <f>VLOOKUP(G343,SuiteCatSubElem_Version!$I$2:$J$667,2,0)</f>
        <v>82</v>
      </c>
      <c r="I343" s="146" t="s">
        <v>1423</v>
      </c>
      <c r="J343" s="144" t="str">
        <f>VLOOKUP(B343,Categories!$A$2:$C$8,3,0)</f>
        <v>Spend Analytics</v>
      </c>
      <c r="K343" s="147"/>
      <c r="L343" s="144" t="str">
        <f>VLOOKUP(C343,Subcategories!$A$2:$B$29,2,0)</f>
        <v>Technology</v>
      </c>
      <c r="M343" s="144" t="str">
        <f>VLOOKUP(D343,Elements!$B$2:$C$435,2,0)</f>
        <v>Integrations</v>
      </c>
      <c r="N343" s="144" t="str">
        <f>VLOOKUP(H343,ElementVariants!$A$2:$B$460,2,0)</f>
        <v>Describe typical (and atypical) system integration options. Describe how the platform and service provider handles multiple instances. For example, if an organization has multiple ERPs but wants a shared Procurement/Sourcing/Analytics/etc. deployment, do you typically deploy a single instance of your software for them, or typically multiple instances? Describe any integrations not addressed below.</v>
      </c>
    </row>
    <row r="344" spans="1:14" ht="45">
      <c r="A344" s="138">
        <v>344</v>
      </c>
      <c r="B344" s="142">
        <v>5</v>
      </c>
      <c r="C344" s="142">
        <v>7</v>
      </c>
      <c r="D344" s="142">
        <v>302</v>
      </c>
      <c r="E344" s="142" t="s">
        <v>1661</v>
      </c>
      <c r="F344" s="142">
        <f>INDEX(SuiteCatSub!$E$2:$E$55,MATCH(_xlfn.CONCAT(B344,"-",C344),SuiteCatSub!$F$2:$F$55,0))</f>
        <v>40</v>
      </c>
      <c r="G344" s="142">
        <v>480</v>
      </c>
      <c r="H344" s="142">
        <f>VLOOKUP(G344,SuiteCatSubElem_Version!$I$2:$J$667,2,0)</f>
        <v>303</v>
      </c>
      <c r="I344" s="146" t="s">
        <v>1423</v>
      </c>
      <c r="J344" s="144" t="str">
        <f>VLOOKUP(B344,Categories!$A$2:$C$8,3,0)</f>
        <v>Spend Analytics</v>
      </c>
      <c r="K344" s="147"/>
      <c r="L344" s="144" t="str">
        <f>VLOOKUP(C344,Subcategories!$A$2:$B$29,2,0)</f>
        <v>Technology</v>
      </c>
      <c r="M344" s="144" t="str">
        <f>VLOOKUP(D344,Elements!$B$2:$C$435,2,0)</f>
        <v>Fine-Grained Role/Data/Action Based Security</v>
      </c>
      <c r="N344" s="144" t="str">
        <f>VLOOKUP(H344,ElementVariants!$A$2:$B$460,2,0)</f>
        <v>How fine grained is the role/data/action based security options on the platform and how configurable are they?</v>
      </c>
    </row>
    <row r="345" spans="1:14" ht="60">
      <c r="A345" s="138">
        <v>345</v>
      </c>
      <c r="B345" s="142">
        <v>5</v>
      </c>
      <c r="C345" s="142">
        <v>6</v>
      </c>
      <c r="D345" s="142">
        <v>303</v>
      </c>
      <c r="E345" s="142" t="s">
        <v>1662</v>
      </c>
      <c r="F345" s="142">
        <f>INDEX(SuiteCatSub!$E$2:$E$55,MATCH(_xlfn.CONCAT(B345,"-",C345),SuiteCatSub!$F$2:$F$55,0))</f>
        <v>39</v>
      </c>
      <c r="G345" s="142">
        <v>481</v>
      </c>
      <c r="H345" s="142">
        <f>VLOOKUP(G345,SuiteCatSubElem_Version!$I$2:$J$667,2,0)</f>
        <v>304</v>
      </c>
      <c r="I345" s="146" t="s">
        <v>1423</v>
      </c>
      <c r="J345" s="144" t="str">
        <f>VLOOKUP(B345,Categories!$A$2:$C$8,3,0)</f>
        <v>Spend Analytics</v>
      </c>
      <c r="K345" s="147"/>
      <c r="L345" s="144" t="str">
        <f>VLOOKUP(C345,Subcategories!$A$2:$B$29,2,0)</f>
        <v>Configurability</v>
      </c>
      <c r="M345" s="144" t="str">
        <f>VLOOKUP(D345,Elements!$B$2:$C$435,2,0)</f>
        <v>Company/Function/Group Configuration</v>
      </c>
      <c r="N345" s="144" t="str">
        <f>VLOOKUP(H345,ElementVariants!$A$2:$B$460,2,0)</f>
        <v>What capabilities are there for configuring the application, and cubes, at multiple levels of views and hierarchies? Can a default view be created at the company level that can then be customized or overridden by department or function and then customized and overridden again by sub-group or user focused on specific functions? Can the user toggle between multiple configurations and views? Can the configuration be done at the user level or is it group / admin level only?</v>
      </c>
    </row>
    <row r="346" spans="1:14" ht="90">
      <c r="A346" s="138">
        <v>346</v>
      </c>
      <c r="B346" s="142">
        <v>5</v>
      </c>
      <c r="C346" s="142">
        <v>6</v>
      </c>
      <c r="D346" s="142">
        <v>304</v>
      </c>
      <c r="E346" s="142" t="s">
        <v>1663</v>
      </c>
      <c r="F346" s="142">
        <f>INDEX(SuiteCatSub!$E$2:$E$55,MATCH(_xlfn.CONCAT(B346,"-",C346),SuiteCatSub!$F$2:$F$55,0))</f>
        <v>39</v>
      </c>
      <c r="G346" s="142">
        <v>482</v>
      </c>
      <c r="H346" s="142">
        <f>VLOOKUP(G346,SuiteCatSubElem_Version!$I$2:$J$667,2,0)</f>
        <v>305</v>
      </c>
      <c r="I346" s="146" t="s">
        <v>1423</v>
      </c>
      <c r="J346" s="144" t="str">
        <f>VLOOKUP(B346,Categories!$A$2:$C$8,3,0)</f>
        <v>Spend Analytics</v>
      </c>
      <c r="K346" s="147"/>
      <c r="L346" s="144" t="str">
        <f>VLOOKUP(C346,Subcategories!$A$2:$B$29,2,0)</f>
        <v>Configurability</v>
      </c>
      <c r="M346" s="144" t="str">
        <f>VLOOKUP(D346,Elements!$B$2:$C$435,2,0)</f>
        <v>Private vs. Public Workspaces</v>
      </c>
      <c r="N346" s="144" t="str">
        <f>VLOOKUP(H346,ElementVariants!$A$2:$B$460,2,0)</f>
        <v>What is the capability to create private vs. public read-only vs. public shared workspaces. The key to a successful analysis is being able to go off the rails, follow instincts, build throw-away cubes, views, and reports, and explore the unexplored. This requires private workspaces. Or, if the team is trying to look cross-category to find raw materials it could buy cheaper on behalf of the supply base, collaborative semi-private public workspaces limited to a small group. If great results are found, then you want to flip those workspaces into public read-only to share results and findings as part of a presentation on why you want to change standard procedures, categorizations, or application views. Flexibility here is key.</v>
      </c>
    </row>
    <row r="347" spans="1:14" ht="45">
      <c r="A347" s="138">
        <v>347</v>
      </c>
      <c r="B347" s="142">
        <v>5</v>
      </c>
      <c r="C347" s="142">
        <v>6</v>
      </c>
      <c r="D347" s="142">
        <v>305</v>
      </c>
      <c r="E347" s="142" t="s">
        <v>1664</v>
      </c>
      <c r="F347" s="142">
        <f>INDEX(SuiteCatSub!$E$2:$E$55,MATCH(_xlfn.CONCAT(B347,"-",C347),SuiteCatSub!$F$2:$F$55,0))</f>
        <v>39</v>
      </c>
      <c r="G347" s="142">
        <v>483</v>
      </c>
      <c r="H347" s="142">
        <f>VLOOKUP(G347,SuiteCatSubElem_Version!$I$2:$J$667,2,0)</f>
        <v>306</v>
      </c>
      <c r="I347" s="146" t="s">
        <v>1423</v>
      </c>
      <c r="J347" s="144" t="str">
        <f>VLOOKUP(B347,Categories!$A$2:$C$8,3,0)</f>
        <v>Spend Analytics</v>
      </c>
      <c r="K347" s="147"/>
      <c r="L347" s="144" t="str">
        <f>VLOOKUP(C347,Subcategories!$A$2:$B$29,2,0)</f>
        <v>Configurability</v>
      </c>
      <c r="M347" s="144" t="str">
        <f>VLOOKUP(D347,Elements!$B$2:$C$435,2,0)</f>
        <v>Built in vs. External Visualization</v>
      </c>
      <c r="N347" s="144" t="str">
        <f>VLOOKUP(H347,ElementVariants!$A$2:$B$460,2,0)</f>
        <v>Is the visualization capability native, built on a third party tool (like QlikView or Tableau), or hybrid? If hybrid, what's the split? How does it compare to the standard offerings and typical customer expectations? Any new, innovative, capabilities like 3D terrain maps, solar system plots, etc.?</v>
      </c>
    </row>
    <row r="348" spans="1:14" ht="60">
      <c r="A348" s="138">
        <v>348</v>
      </c>
      <c r="B348" s="142">
        <v>5</v>
      </c>
      <c r="C348" s="142">
        <v>6</v>
      </c>
      <c r="D348" s="142">
        <v>65</v>
      </c>
      <c r="E348" s="142" t="s">
        <v>1665</v>
      </c>
      <c r="F348" s="142">
        <f>INDEX(SuiteCatSub!$E$2:$E$55,MATCH(_xlfn.CONCAT(B348,"-",C348),SuiteCatSub!$F$2:$F$55,0))</f>
        <v>39</v>
      </c>
      <c r="G348" s="142">
        <v>484</v>
      </c>
      <c r="H348" s="142">
        <f>VLOOKUP(G348,SuiteCatSubElem_Version!$I$2:$J$667,2,0)</f>
        <v>441</v>
      </c>
      <c r="I348" s="146" t="s">
        <v>1423</v>
      </c>
      <c r="J348" s="144" t="str">
        <f>VLOOKUP(B348,Categories!$A$2:$C$8,3,0)</f>
        <v>Spend Analytics</v>
      </c>
      <c r="K348" s="147"/>
      <c r="L348" s="144" t="str">
        <f>VLOOKUP(C348,Subcategories!$A$2:$B$29,2,0)</f>
        <v>Configurability</v>
      </c>
      <c r="M348" s="144" t="str">
        <f>VLOOKUP(D348,Elements!$B$2:$C$435,2,0)</f>
        <v>Business Rules / Workflow</v>
      </c>
      <c r="N348" s="144" t="str">
        <f>VLOOKUP(H348,ElementVariants!$A$2:$B$460,2,0)</f>
        <v>Please describe the ability for users to create rule-driven analytics workflows (as opposed to rule-driven cleansing, classification, enrichment, and report)? I.e., standard processes to follow when importing, analyzing for integrity, checksum balancing, and initially reporting on, and analyzing, a new data set? Processes for creating custom cubes and views? Cost avoidance program creation and maintenance? Etc.</v>
      </c>
    </row>
    <row r="349" spans="1:14" ht="30">
      <c r="A349" s="138">
        <v>349</v>
      </c>
      <c r="B349" s="142">
        <v>5</v>
      </c>
      <c r="C349" s="142">
        <v>6</v>
      </c>
      <c r="D349" s="142">
        <v>240</v>
      </c>
      <c r="E349" s="142" t="s">
        <v>1666</v>
      </c>
      <c r="F349" s="142">
        <f>INDEX(SuiteCatSub!$E$2:$E$55,MATCH(_xlfn.CONCAT(B349,"-",C349),SuiteCatSub!$F$2:$F$55,0))</f>
        <v>39</v>
      </c>
      <c r="G349" s="142">
        <v>485</v>
      </c>
      <c r="H349" s="142">
        <f>VLOOKUP(G349,SuiteCatSubElem_Version!$I$2:$J$667,2,0)</f>
        <v>240</v>
      </c>
      <c r="I349" s="146" t="s">
        <v>1423</v>
      </c>
      <c r="J349" s="144" t="str">
        <f>VLOOKUP(B349,Categories!$A$2:$C$8,3,0)</f>
        <v>Spend Analytics</v>
      </c>
      <c r="K349" s="147"/>
      <c r="L349" s="144" t="str">
        <f>VLOOKUP(C349,Subcategories!$A$2:$B$29,2,0)</f>
        <v>Configurability</v>
      </c>
      <c r="M349" s="144" t="str">
        <f>VLOOKUP(D349,Elements!$B$2:$C$435,2,0)</f>
        <v>Globalization</v>
      </c>
      <c r="N349" s="144" t="str">
        <f>VLOOKUP(H349,ElementVariants!$A$2:$B$460,2,0)</f>
        <v>Describe the globalization capabilities, paying particular attention to capabilities beyond multi-currency and multi-lingual</v>
      </c>
    </row>
    <row r="350" spans="1:14" ht="30">
      <c r="A350" s="138">
        <v>350</v>
      </c>
      <c r="B350" s="142">
        <v>5</v>
      </c>
      <c r="C350" s="142">
        <v>6</v>
      </c>
      <c r="D350" s="142">
        <v>66</v>
      </c>
      <c r="E350" s="142" t="s">
        <v>1667</v>
      </c>
      <c r="F350" s="142">
        <f>INDEX(SuiteCatSub!$E$2:$E$55,MATCH(_xlfn.CONCAT(B350,"-",C350),SuiteCatSub!$F$2:$F$55,0))</f>
        <v>39</v>
      </c>
      <c r="G350" s="142">
        <v>486</v>
      </c>
      <c r="H350" s="142">
        <f>VLOOKUP(G350,SuiteCatSubElem_Version!$I$2:$J$667,2,0)</f>
        <v>66</v>
      </c>
      <c r="I350" s="146" t="s">
        <v>1423</v>
      </c>
      <c r="J350" s="144" t="str">
        <f>VLOOKUP(B350,Categories!$A$2:$C$8,3,0)</f>
        <v>Spend Analytics</v>
      </c>
      <c r="K350" s="147"/>
      <c r="L350" s="144" t="str">
        <f>VLOOKUP(C350,Subcategories!$A$2:$B$29,2,0)</f>
        <v>Configurability</v>
      </c>
      <c r="M350" s="144" t="str">
        <f>VLOOKUP(D350,Elements!$B$2:$C$435,2,0)</f>
        <v>Multi-Currency</v>
      </c>
      <c r="N350" s="144" t="str">
        <f>VLOOKUP(H350,ElementVariants!$A$2:$B$460,2,0)</f>
        <v>Describe your support for multiple currencies and supporting functionality for conversions, rounding, etc. Describe how external currency tables are used (e.g., automated conversions, manual, third-party only or if internal master tables are supported, etc.)</v>
      </c>
    </row>
    <row r="351" spans="1:14" ht="30">
      <c r="A351" s="138">
        <v>351</v>
      </c>
      <c r="B351" s="142">
        <v>5</v>
      </c>
      <c r="C351" s="142">
        <v>6</v>
      </c>
      <c r="D351" s="142">
        <v>241</v>
      </c>
      <c r="E351" s="142" t="s">
        <v>1668</v>
      </c>
      <c r="F351" s="142">
        <f>INDEX(SuiteCatSub!$E$2:$E$55,MATCH(_xlfn.CONCAT(B351,"-",C351),SuiteCatSub!$F$2:$F$55,0))</f>
        <v>39</v>
      </c>
      <c r="G351" s="142">
        <v>487</v>
      </c>
      <c r="H351" s="142">
        <f>VLOOKUP(G351,SuiteCatSubElem_Version!$I$2:$J$667,2,0)</f>
        <v>241</v>
      </c>
      <c r="I351" s="146" t="s">
        <v>1423</v>
      </c>
      <c r="J351" s="144" t="str">
        <f>VLOOKUP(B351,Categories!$A$2:$C$8,3,0)</f>
        <v>Spend Analytics</v>
      </c>
      <c r="K351" s="147"/>
      <c r="L351" s="144" t="str">
        <f>VLOOKUP(C351,Subcategories!$A$2:$B$29,2,0)</f>
        <v>Configurability</v>
      </c>
      <c r="M351" s="144" t="str">
        <f>VLOOKUP(D351,Elements!$B$2:$C$435,2,0)</f>
        <v>Multi-Lingual</v>
      </c>
      <c r="N351" s="144" t="str">
        <f>VLOOKUP(H351,ElementVariants!$A$2:$B$460,2,0)</f>
        <v>Describe your support for multiple languages and for instruction / communication translation. Describe how third parties are used to support translation efforts</v>
      </c>
    </row>
    <row r="352" spans="1:14" ht="60">
      <c r="A352" s="138">
        <v>352</v>
      </c>
      <c r="B352" s="142">
        <v>5</v>
      </c>
      <c r="C352" s="142">
        <v>8</v>
      </c>
      <c r="D352" s="142">
        <v>306</v>
      </c>
      <c r="E352" s="142" t="s">
        <v>1669</v>
      </c>
      <c r="F352" s="142">
        <f>INDEX(SuiteCatSub!$E$2:$E$55,MATCH(_xlfn.CONCAT(B352,"-",C352),SuiteCatSub!$F$2:$F$55,0))</f>
        <v>41</v>
      </c>
      <c r="G352" s="142">
        <v>488</v>
      </c>
      <c r="H352" s="142">
        <f>VLOOKUP(G352,SuiteCatSubElem_Version!$I$2:$J$667,2,0)</f>
        <v>307</v>
      </c>
      <c r="I352" s="146" t="s">
        <v>1423</v>
      </c>
      <c r="J352" s="144" t="str">
        <f>VLOOKUP(B352,Categories!$A$2:$C$8,3,0)</f>
        <v>Spend Analytics</v>
      </c>
      <c r="K352" s="147"/>
      <c r="L352" s="144" t="str">
        <f>VLOOKUP(C352,Subcategories!$A$2:$B$29,2,0)</f>
        <v>General Services</v>
      </c>
      <c r="M352" s="144" t="str">
        <f>VLOOKUP(D352,Elements!$B$2:$C$435,2,0)</f>
        <v>Implementation / Integration / Maintenance Services</v>
      </c>
      <c r="N352" s="144" t="str">
        <f>VLOOKUP(H352,ElementVariants!$A$2:$B$460,2,0)</f>
        <v>To what extent do you offer basic platform implementation / integration / maintenance services?</v>
      </c>
    </row>
    <row r="353" spans="1:14" ht="60">
      <c r="A353" s="138">
        <v>353</v>
      </c>
      <c r="B353" s="142">
        <v>5</v>
      </c>
      <c r="C353" s="142">
        <v>8</v>
      </c>
      <c r="D353" s="142">
        <v>307</v>
      </c>
      <c r="E353" s="142" t="s">
        <v>1670</v>
      </c>
      <c r="F353" s="142">
        <f>INDEX(SuiteCatSub!$E$2:$E$55,MATCH(_xlfn.CONCAT(B353,"-",C353),SuiteCatSub!$F$2:$F$55,0))</f>
        <v>41</v>
      </c>
      <c r="G353" s="142">
        <v>489</v>
      </c>
      <c r="H353" s="142">
        <f>VLOOKUP(G353,SuiteCatSubElem_Version!$I$2:$J$667,2,0)</f>
        <v>308</v>
      </c>
      <c r="I353" s="146" t="s">
        <v>1423</v>
      </c>
      <c r="J353" s="144" t="str">
        <f>VLOOKUP(B353,Categories!$A$2:$C$8,3,0)</f>
        <v>Spend Analytics</v>
      </c>
      <c r="K353" s="147"/>
      <c r="L353" s="144" t="str">
        <f>VLOOKUP(C353,Subcategories!$A$2:$B$29,2,0)</f>
        <v>General Services</v>
      </c>
      <c r="M353" s="144" t="str">
        <f>VLOOKUP(D353,Elements!$B$2:$C$435,2,0)</f>
        <v>ETL / Cleansing / Classification / Categorization</v>
      </c>
      <c r="N353" s="144" t="str">
        <f>VLOOKUP(H353,ElementVariants!$A$2:$B$460,2,0)</f>
        <v>Describe the extent of your ETL, cleansing, classification, and categorization data services. Describe the expertise that you have here, the industries you are experienced in, and the categories you specialize in. Describe your average mapping accuracy after a first pass before the first client input and how long (and how many man-hours) it takes to get to 90%, 95%, and 99% accuracy. How do you work in "new industries" or new categories? How should accuracy expectations change with new clients in new markets?</v>
      </c>
    </row>
    <row r="354" spans="1:14" ht="45">
      <c r="A354" s="138">
        <v>354</v>
      </c>
      <c r="B354" s="142">
        <v>5</v>
      </c>
      <c r="C354" s="142">
        <v>8</v>
      </c>
      <c r="D354" s="142">
        <v>83</v>
      </c>
      <c r="E354" s="142" t="s">
        <v>1671</v>
      </c>
      <c r="F354" s="142">
        <f>INDEX(SuiteCatSub!$E$2:$E$55,MATCH(_xlfn.CONCAT(B354,"-",C354),SuiteCatSub!$F$2:$F$55,0))</f>
        <v>41</v>
      </c>
      <c r="G354" s="142">
        <v>490</v>
      </c>
      <c r="H354" s="142">
        <f>VLOOKUP(G354,SuiteCatSubElem_Version!$I$2:$J$667,2,0)</f>
        <v>447</v>
      </c>
      <c r="I354" s="146" t="s">
        <v>1423</v>
      </c>
      <c r="J354" s="144" t="str">
        <f>VLOOKUP(B354,Categories!$A$2:$C$8,3,0)</f>
        <v>Spend Analytics</v>
      </c>
      <c r="K354" s="147"/>
      <c r="L354" s="144" t="str">
        <f>VLOOKUP(C354,Subcategories!$A$2:$B$29,2,0)</f>
        <v>General Services</v>
      </c>
      <c r="M354" s="144" t="str">
        <f>VLOOKUP(D354,Elements!$B$2:$C$435,2,0)</f>
        <v>Data Management Services</v>
      </c>
      <c r="N354" s="144" t="str">
        <f>VLOOKUP(H354,ElementVariants!$A$2:$B$460,2,0)</f>
        <v>Describe your on-going data management services -- including refresh, regular cleansing and enrichment, ongoing familying and normalization, etc.</v>
      </c>
    </row>
    <row r="355" spans="1:14" ht="45">
      <c r="A355" s="138">
        <v>355</v>
      </c>
      <c r="B355" s="142">
        <v>5</v>
      </c>
      <c r="C355" s="142">
        <v>8</v>
      </c>
      <c r="D355" s="142">
        <v>308</v>
      </c>
      <c r="E355" s="142" t="s">
        <v>1672</v>
      </c>
      <c r="F355" s="142">
        <f>INDEX(SuiteCatSub!$E$2:$E$55,MATCH(_xlfn.CONCAT(B355,"-",C355),SuiteCatSub!$F$2:$F$55,0))</f>
        <v>41</v>
      </c>
      <c r="G355" s="142">
        <v>491</v>
      </c>
      <c r="H355" s="142">
        <f>VLOOKUP(G355,SuiteCatSubElem_Version!$I$2:$J$667,2,0)</f>
        <v>309</v>
      </c>
      <c r="I355" s="146" t="s">
        <v>1423</v>
      </c>
      <c r="J355" s="144" t="str">
        <f>VLOOKUP(B355,Categories!$A$2:$C$8,3,0)</f>
        <v>Spend Analytics</v>
      </c>
      <c r="K355" s="147"/>
      <c r="L355" s="144" t="str">
        <f>VLOOKUP(C355,Subcategories!$A$2:$B$29,2,0)</f>
        <v>General Services</v>
      </c>
      <c r="M355" s="144" t="str">
        <f>VLOOKUP(D355,Elements!$B$2:$C$435,2,0)</f>
        <v>Analytics / Data Science</v>
      </c>
      <c r="N355" s="144" t="str">
        <f>VLOOKUP(H355,ElementVariants!$A$2:$B$460,2,0)</f>
        <v>Describe your analytics and data science services. Do you offer opportunity identification, deep category analytics, risk analytics, performance analytics, etc.? How specialized are you in each area? What are your typical successes. Please attach at least one case study per specialized area.</v>
      </c>
    </row>
    <row r="356" spans="1:14" ht="45">
      <c r="A356" s="138">
        <v>356</v>
      </c>
      <c r="B356" s="142">
        <v>5</v>
      </c>
      <c r="C356" s="142">
        <v>8</v>
      </c>
      <c r="D356" s="142">
        <v>309</v>
      </c>
      <c r="E356" s="142" t="s">
        <v>1673</v>
      </c>
      <c r="F356" s="142">
        <f>INDEX(SuiteCatSub!$E$2:$E$55,MATCH(_xlfn.CONCAT(B356,"-",C356),SuiteCatSub!$F$2:$F$55,0))</f>
        <v>41</v>
      </c>
      <c r="G356" s="142">
        <v>492</v>
      </c>
      <c r="H356" s="142">
        <f>VLOOKUP(G356,SuiteCatSubElem_Version!$I$2:$J$667,2,0)</f>
        <v>310</v>
      </c>
      <c r="I356" s="146" t="s">
        <v>1423</v>
      </c>
      <c r="J356" s="144" t="str">
        <f>VLOOKUP(B356,Categories!$A$2:$C$8,3,0)</f>
        <v>Spend Analytics</v>
      </c>
      <c r="K356" s="147"/>
      <c r="L356" s="144" t="str">
        <f>VLOOKUP(C356,Subcategories!$A$2:$B$29,2,0)</f>
        <v>General Services</v>
      </c>
      <c r="M356" s="144" t="str">
        <f>VLOOKUP(D356,Elements!$B$2:$C$435,2,0)</f>
        <v>Category / Project Management</v>
      </c>
      <c r="N356" s="144" t="str">
        <f>VLOOKUP(H356,ElementVariants!$A$2:$B$460,2,0)</f>
        <v>Describe your offer ongoing category project / program management and related sourcing / supplier management services on the category for your clients? How deep? Average cost avoidance / value generation? What categories do you excel at? Typical cost avoidance / value generation related to market average?</v>
      </c>
    </row>
    <row r="357" spans="1:14" ht="60">
      <c r="A357" s="138">
        <v>357</v>
      </c>
      <c r="B357" s="142">
        <v>5</v>
      </c>
      <c r="C357" s="142">
        <v>8</v>
      </c>
      <c r="D357" s="142">
        <v>85</v>
      </c>
      <c r="E357" s="142" t="s">
        <v>1674</v>
      </c>
      <c r="F357" s="142">
        <f>INDEX(SuiteCatSub!$E$2:$E$55,MATCH(_xlfn.CONCAT(B357,"-",C357),SuiteCatSub!$F$2:$F$55,0))</f>
        <v>41</v>
      </c>
      <c r="G357" s="142">
        <v>493</v>
      </c>
      <c r="H357" s="142">
        <f>VLOOKUP(G357,SuiteCatSubElem_Version!$I$2:$J$667,2,0)</f>
        <v>85</v>
      </c>
      <c r="I357" s="146" t="s">
        <v>1423</v>
      </c>
      <c r="J357" s="144" t="str">
        <f>VLOOKUP(B357,Categories!$A$2:$C$8,3,0)</f>
        <v>Spend Analytics</v>
      </c>
      <c r="K357" s="147"/>
      <c r="L357" s="144" t="str">
        <f>VLOOKUP(C357,Subcategories!$A$2:$B$29,2,0)</f>
        <v>General Services</v>
      </c>
      <c r="M357" s="144" t="str">
        <f>VLOOKUP(D357,Elements!$B$2:$C$435,2,0)</f>
        <v>Consulting / Change Management</v>
      </c>
      <c r="N357" s="144" t="str">
        <f>VLOOKUP(H357,ElementVariants!$A$2:$B$460,2,0)</f>
        <v>Describe the depth of your professional services teams and partner professional services firms to assist in operational/IT strategy, implementation planning, and implementation execution (process re-design, system tailoring/customization, testing, training, post implementation support, etc.) How many internal FTEs are on your team in this area? How many partner FTEs are certified in total (if a certification program exists)? How many partner FTEs are trained (outside of a formal certification program)?</v>
      </c>
    </row>
    <row r="358" spans="1:14" ht="60">
      <c r="A358" s="138">
        <v>358</v>
      </c>
      <c r="B358" s="142">
        <v>6</v>
      </c>
      <c r="C358" s="142">
        <v>22</v>
      </c>
      <c r="D358" s="142">
        <v>310</v>
      </c>
      <c r="E358" s="142" t="s">
        <v>1675</v>
      </c>
      <c r="F358" s="142">
        <f>INDEX(SuiteCatSub!$E$2:$E$55,MATCH(_xlfn.CONCAT(B358,"-",C358),SuiteCatSub!$F$2:$F$55,0))</f>
        <v>42</v>
      </c>
      <c r="G358" s="142">
        <v>494</v>
      </c>
      <c r="H358" s="142">
        <f>VLOOKUP(G358,SuiteCatSubElem_Version!$I$2:$J$667,2,0)</f>
        <v>311</v>
      </c>
      <c r="I358" s="146" t="s">
        <v>1423</v>
      </c>
      <c r="J358" s="144" t="str">
        <f>VLOOKUP(B358,Categories!$A$2:$C$8,3,0)</f>
        <v>Supplier Relationship Management</v>
      </c>
      <c r="K358" s="147"/>
      <c r="L358" s="144" t="str">
        <f>VLOOKUP(C358,Subcategories!$A$2:$B$29,2,0)</f>
        <v>MDM</v>
      </c>
      <c r="M358" s="144" t="str">
        <f>VLOOKUP(D358,Elements!$B$2:$C$435,2,0)</f>
        <v>Schema Support</v>
      </c>
      <c r="N358" s="144" t="str">
        <f>VLOOKUP(H358,ElementVariants!$A$2:$B$460,2,0)</f>
        <v>Please describe the depth of supplier information management schema support in the application, including out-of-the-box schemas, schema creation capability, a multitude of data formats, verification rules, etc.</v>
      </c>
    </row>
    <row r="359" spans="1:14" ht="60">
      <c r="A359" s="138">
        <v>359</v>
      </c>
      <c r="B359" s="142">
        <v>6</v>
      </c>
      <c r="C359" s="142">
        <v>22</v>
      </c>
      <c r="D359" s="142">
        <v>311</v>
      </c>
      <c r="E359" s="142" t="s">
        <v>1676</v>
      </c>
      <c r="F359" s="142">
        <f>INDEX(SuiteCatSub!$E$2:$E$55,MATCH(_xlfn.CONCAT(B359,"-",C359),SuiteCatSub!$F$2:$F$55,0))</f>
        <v>42</v>
      </c>
      <c r="G359" s="142">
        <v>495</v>
      </c>
      <c r="H359" s="142">
        <f>VLOOKUP(G359,SuiteCatSubElem_Version!$I$2:$J$667,2,0)</f>
        <v>312</v>
      </c>
      <c r="I359" s="146" t="s">
        <v>1423</v>
      </c>
      <c r="J359" s="144" t="str">
        <f>VLOOKUP(B359,Categories!$A$2:$C$8,3,0)</f>
        <v>Supplier Relationship Management</v>
      </c>
      <c r="K359" s="147"/>
      <c r="L359" s="144" t="str">
        <f>VLOOKUP(C359,Subcategories!$A$2:$B$29,2,0)</f>
        <v>MDM</v>
      </c>
      <c r="M359" s="144" t="str">
        <f>VLOOKUP(D359,Elements!$B$2:$C$435,2,0)</f>
        <v>Supplier Information (industry codes)</v>
      </c>
      <c r="N359" s="144" t="str">
        <f>VLOOKUP(H359,ElementVariants!$A$2:$B$460,2,0)</f>
        <v>Please describe the depth of out-of-the-box support for supplier information management by industry against standard, global, industry codes</v>
      </c>
    </row>
    <row r="360" spans="1:14" ht="60">
      <c r="A360" s="138">
        <v>360</v>
      </c>
      <c r="B360" s="142">
        <v>6</v>
      </c>
      <c r="C360" s="142">
        <v>22</v>
      </c>
      <c r="D360" s="142">
        <v>312</v>
      </c>
      <c r="E360" s="142" t="s">
        <v>1677</v>
      </c>
      <c r="F360" s="142">
        <f>INDEX(SuiteCatSub!$E$2:$E$55,MATCH(_xlfn.CONCAT(B360,"-",C360),SuiteCatSub!$F$2:$F$55,0))</f>
        <v>42</v>
      </c>
      <c r="G360" s="142">
        <v>496</v>
      </c>
      <c r="H360" s="142">
        <f>VLOOKUP(G360,SuiteCatSubElem_Version!$I$2:$J$667,2,0)</f>
        <v>313</v>
      </c>
      <c r="I360" s="146" t="s">
        <v>1423</v>
      </c>
      <c r="J360" s="144" t="str">
        <f>VLOOKUP(B360,Categories!$A$2:$C$8,3,0)</f>
        <v>Supplier Relationship Management</v>
      </c>
      <c r="K360" s="147"/>
      <c r="L360" s="144" t="str">
        <f>VLOOKUP(C360,Subcategories!$A$2:$B$29,2,0)</f>
        <v>MDM</v>
      </c>
      <c r="M360" s="144" t="str">
        <f>VLOOKUP(D360,Elements!$B$2:$C$435,2,0)</f>
        <v>Product / Service Information (e.g., UNSPSC)</v>
      </c>
      <c r="N360" s="144" t="str">
        <f>VLOOKUP(H360,ElementVariants!$A$2:$B$460,2,0)</f>
        <v>Please describe the depth of out-of-the-box support for standard product codes including, but not limited to, UNSPSC, H(T)S, etc.</v>
      </c>
    </row>
    <row r="361" spans="1:14" ht="60">
      <c r="A361" s="138">
        <v>361</v>
      </c>
      <c r="B361" s="142">
        <v>6</v>
      </c>
      <c r="C361" s="142">
        <v>22</v>
      </c>
      <c r="D361" s="142">
        <v>313</v>
      </c>
      <c r="E361" s="142" t="s">
        <v>1678</v>
      </c>
      <c r="F361" s="142">
        <f>INDEX(SuiteCatSub!$E$2:$E$55,MATCH(_xlfn.CONCAT(B361,"-",C361),SuiteCatSub!$F$2:$F$55,0))</f>
        <v>42</v>
      </c>
      <c r="G361" s="142">
        <v>497</v>
      </c>
      <c r="H361" s="142">
        <f>VLOOKUP(G361,SuiteCatSubElem_Version!$I$2:$J$667,2,0)</f>
        <v>314</v>
      </c>
      <c r="I361" s="146" t="s">
        <v>1423</v>
      </c>
      <c r="J361" s="144" t="str">
        <f>VLOOKUP(B361,Categories!$A$2:$C$8,3,0)</f>
        <v>Supplier Relationship Management</v>
      </c>
      <c r="K361" s="147"/>
      <c r="L361" s="144" t="str">
        <f>VLOOKUP(C361,Subcategories!$A$2:$B$29,2,0)</f>
        <v>MDM</v>
      </c>
      <c r="M361" s="144" t="str">
        <f>VLOOKUP(D361,Elements!$B$2:$C$435,2,0)</f>
        <v>Multi-Source Integration</v>
      </c>
      <c r="N361" s="144" t="str">
        <f>VLOOKUP(H361,ElementVariants!$A$2:$B$460,2,0)</f>
        <v>Please describe the depth of multi-data-source integration including, but not limited to, ERPs, other MDM systems, other Supply Management systems, etc.</v>
      </c>
    </row>
    <row r="362" spans="1:14" ht="60">
      <c r="A362" s="138">
        <v>362</v>
      </c>
      <c r="B362" s="142">
        <v>6</v>
      </c>
      <c r="C362" s="142">
        <v>22</v>
      </c>
      <c r="D362" s="142">
        <v>314</v>
      </c>
      <c r="E362" s="142" t="s">
        <v>1679</v>
      </c>
      <c r="F362" s="142">
        <f>INDEX(SuiteCatSub!$E$2:$E$55,MATCH(_xlfn.CONCAT(B362,"-",C362),SuiteCatSub!$F$2:$F$55,0))</f>
        <v>42</v>
      </c>
      <c r="G362" s="142">
        <v>498</v>
      </c>
      <c r="H362" s="142">
        <f>VLOOKUP(G362,SuiteCatSubElem_Version!$I$2:$J$667,2,0)</f>
        <v>315</v>
      </c>
      <c r="I362" s="146" t="s">
        <v>1423</v>
      </c>
      <c r="J362" s="144" t="str">
        <f>VLOOKUP(B362,Categories!$A$2:$C$8,3,0)</f>
        <v>Supplier Relationship Management</v>
      </c>
      <c r="K362" s="147"/>
      <c r="L362" s="144" t="str">
        <f>VLOOKUP(C362,Subcategories!$A$2:$B$29,2,0)</f>
        <v>MDM</v>
      </c>
      <c r="M362" s="144" t="str">
        <f>VLOOKUP(D362,Elements!$B$2:$C$435,2,0)</f>
        <v>Multi-Source Federation Control</v>
      </c>
      <c r="N362" s="144" t="str">
        <f>VLOOKUP(H362,ElementVariants!$A$2:$B$460,2,0)</f>
        <v>Please describe the depth of distributed MDM capabilities. Can the MDM system control other MDM systems for distributed master data management across the systems for each type of data (corporate information, product information, operational information, etc.)</v>
      </c>
    </row>
    <row r="363" spans="1:14" ht="60">
      <c r="A363" s="138">
        <v>363</v>
      </c>
      <c r="B363" s="142">
        <v>6</v>
      </c>
      <c r="C363" s="142">
        <v>22</v>
      </c>
      <c r="D363" s="142">
        <v>315</v>
      </c>
      <c r="E363" s="142" t="s">
        <v>1680</v>
      </c>
      <c r="F363" s="142">
        <f>INDEX(SuiteCatSub!$E$2:$E$55,MATCH(_xlfn.CONCAT(B363,"-",C363),SuiteCatSub!$F$2:$F$55,0))</f>
        <v>42</v>
      </c>
      <c r="G363" s="142">
        <v>499</v>
      </c>
      <c r="H363" s="142">
        <f>VLOOKUP(G363,SuiteCatSubElem_Version!$I$2:$J$667,2,0)</f>
        <v>316</v>
      </c>
      <c r="I363" s="146" t="s">
        <v>1423</v>
      </c>
      <c r="J363" s="144" t="str">
        <f>VLOOKUP(B363,Categories!$A$2:$C$8,3,0)</f>
        <v>Supplier Relationship Management</v>
      </c>
      <c r="K363" s="147"/>
      <c r="L363" s="144" t="str">
        <f>VLOOKUP(C363,Subcategories!$A$2:$B$29,2,0)</f>
        <v>MDM</v>
      </c>
      <c r="M363" s="144" t="str">
        <f>VLOOKUP(D363,Elements!$B$2:$C$435,2,0)</f>
        <v>Fine Grained Access / Permission Control</v>
      </c>
      <c r="N363" s="144" t="str">
        <f>VLOOKUP(H363,ElementVariants!$A$2:$B$460,2,0)</f>
        <v>Please describe the level of fine-grained access control implemented by the MDM system. Is it table level, record level, or field level - and how many roles can be defined? Can permissions be defined by queries?</v>
      </c>
    </row>
    <row r="364" spans="1:14" ht="60">
      <c r="A364" s="138">
        <v>364</v>
      </c>
      <c r="B364" s="142">
        <v>6</v>
      </c>
      <c r="C364" s="142">
        <v>22</v>
      </c>
      <c r="D364" s="142">
        <v>316</v>
      </c>
      <c r="E364" s="142" t="s">
        <v>1681</v>
      </c>
      <c r="F364" s="142">
        <f>INDEX(SuiteCatSub!$E$2:$E$55,MATCH(_xlfn.CONCAT(B364,"-",C364),SuiteCatSub!$F$2:$F$55,0))</f>
        <v>42</v>
      </c>
      <c r="G364" s="142">
        <v>500</v>
      </c>
      <c r="H364" s="142">
        <f>VLOOKUP(G364,SuiteCatSubElem_Version!$I$2:$J$667,2,0)</f>
        <v>317</v>
      </c>
      <c r="I364" s="146" t="s">
        <v>1423</v>
      </c>
      <c r="J364" s="144" t="str">
        <f>VLOOKUP(B364,Categories!$A$2:$C$8,3,0)</f>
        <v>Supplier Relationship Management</v>
      </c>
      <c r="K364" s="147"/>
      <c r="L364" s="144" t="str">
        <f>VLOOKUP(C364,Subcategories!$A$2:$B$29,2,0)</f>
        <v>MDM</v>
      </c>
      <c r="M364" s="144" t="str">
        <f>VLOOKUP(D364,Elements!$B$2:$C$435,2,0)</f>
        <v>Form Support</v>
      </c>
      <c r="N364" s="144" t="str">
        <f>VLOOKUP(H364,ElementVariants!$A$2:$B$460,2,0)</f>
        <v>What level of form, and form construction, support is included in the solution? Can users create any form, and conditional workflow, that they need to capture all of the necessary data?</v>
      </c>
    </row>
    <row r="365" spans="1:14" ht="60">
      <c r="A365" s="138">
        <v>365</v>
      </c>
      <c r="B365" s="142">
        <v>6</v>
      </c>
      <c r="C365" s="142">
        <v>22</v>
      </c>
      <c r="D365" s="142">
        <v>317</v>
      </c>
      <c r="E365" s="142" t="s">
        <v>1682</v>
      </c>
      <c r="F365" s="142">
        <f>INDEX(SuiteCatSub!$E$2:$E$55,MATCH(_xlfn.CONCAT(B365,"-",C365),SuiteCatSub!$F$2:$F$55,0))</f>
        <v>42</v>
      </c>
      <c r="G365" s="142">
        <v>501</v>
      </c>
      <c r="H365" s="142">
        <f>VLOOKUP(G365,SuiteCatSubElem_Version!$I$2:$J$667,2,0)</f>
        <v>318</v>
      </c>
      <c r="I365" s="146" t="s">
        <v>1423</v>
      </c>
      <c r="J365" s="144" t="str">
        <f>VLOOKUP(B365,Categories!$A$2:$C$8,3,0)</f>
        <v>Supplier Relationship Management</v>
      </c>
      <c r="K365" s="147"/>
      <c r="L365" s="144" t="str">
        <f>VLOOKUP(C365,Subcategories!$A$2:$B$29,2,0)</f>
        <v>MDM</v>
      </c>
      <c r="M365" s="144" t="str">
        <f>VLOOKUP(D365,Elements!$B$2:$C$435,2,0)</f>
        <v>Data Archival and Auditing</v>
      </c>
      <c r="N365" s="144" t="str">
        <f>VLOOKUP(H365,ElementVariants!$A$2:$B$460,2,0)</f>
        <v>Can the solution maintain the complete edit history of every data element in the system, including who made the change, when, and what their role was at the time?</v>
      </c>
    </row>
    <row r="366" spans="1:14" ht="60">
      <c r="A366" s="138">
        <v>366</v>
      </c>
      <c r="B366" s="142">
        <v>6</v>
      </c>
      <c r="C366" s="142">
        <v>22</v>
      </c>
      <c r="D366" s="142">
        <v>318</v>
      </c>
      <c r="E366" s="142" t="s">
        <v>1683</v>
      </c>
      <c r="F366" s="142">
        <f>INDEX(SuiteCatSub!$E$2:$E$55,MATCH(_xlfn.CONCAT(B366,"-",C366),SuiteCatSub!$F$2:$F$55,0))</f>
        <v>42</v>
      </c>
      <c r="G366" s="142">
        <v>502</v>
      </c>
      <c r="H366" s="142">
        <f>VLOOKUP(G366,SuiteCatSubElem_Version!$I$2:$J$667,2,0)</f>
        <v>319</v>
      </c>
      <c r="I366" s="146" t="s">
        <v>1423</v>
      </c>
      <c r="J366" s="144" t="str">
        <f>VLOOKUP(B366,Categories!$A$2:$C$8,3,0)</f>
        <v>Supplier Relationship Management</v>
      </c>
      <c r="K366" s="147"/>
      <c r="L366" s="144" t="str">
        <f>VLOOKUP(C366,Subcategories!$A$2:$B$29,2,0)</f>
        <v>MDM</v>
      </c>
      <c r="M366" s="144" t="str">
        <f>VLOOKUP(D366,Elements!$B$2:$C$435,2,0)</f>
        <v>Document and Version Management</v>
      </c>
      <c r="N366" s="144" t="str">
        <f>VLOOKUP(H366,ElementVariants!$A$2:$B$460,2,0)</f>
        <v>Can the solution also serve as an advanced document management solution and maintain a detailed document and version history with complete and customizable metadata (history)?</v>
      </c>
    </row>
    <row r="367" spans="1:14" ht="60">
      <c r="A367" s="138">
        <v>367</v>
      </c>
      <c r="B367" s="142">
        <v>6</v>
      </c>
      <c r="C367" s="142">
        <v>22</v>
      </c>
      <c r="D367" s="142">
        <v>319</v>
      </c>
      <c r="E367" s="142" t="s">
        <v>1684</v>
      </c>
      <c r="F367" s="142">
        <f>INDEX(SuiteCatSub!$E$2:$E$55,MATCH(_xlfn.CONCAT(B367,"-",C367),SuiteCatSub!$F$2:$F$55,0))</f>
        <v>42</v>
      </c>
      <c r="G367" s="142">
        <v>503</v>
      </c>
      <c r="H367" s="142">
        <f>VLOOKUP(G367,SuiteCatSubElem_Version!$I$2:$J$667,2,0)</f>
        <v>320</v>
      </c>
      <c r="I367" s="146" t="s">
        <v>1423</v>
      </c>
      <c r="J367" s="144" t="str">
        <f>VLOOKUP(B367,Categories!$A$2:$C$8,3,0)</f>
        <v>Supplier Relationship Management</v>
      </c>
      <c r="K367" s="147"/>
      <c r="L367" s="144" t="str">
        <f>VLOOKUP(C367,Subcategories!$A$2:$B$29,2,0)</f>
        <v>MDM</v>
      </c>
      <c r="M367" s="144" t="str">
        <f>VLOOKUP(D367,Elements!$B$2:$C$435,2,0)</f>
        <v>OCR and Automatic (meta-data) Indexing</v>
      </c>
      <c r="N367" s="144" t="str">
        <f>VLOOKUP(H367,ElementVariants!$A$2:$B$460,2,0)</f>
        <v>Does the solution include, or integrate with, an OCR solution to automatically convert scanned and image documents into text for complete in-document searching and indexing?</v>
      </c>
    </row>
    <row r="368" spans="1:14" ht="60">
      <c r="A368" s="138">
        <v>368</v>
      </c>
      <c r="B368" s="142">
        <v>6</v>
      </c>
      <c r="C368" s="142">
        <v>23</v>
      </c>
      <c r="D368" s="142">
        <v>320</v>
      </c>
      <c r="E368" s="142" t="s">
        <v>1685</v>
      </c>
      <c r="F368" s="142">
        <f>INDEX(SuiteCatSub!$E$2:$E$55,MATCH(_xlfn.CONCAT(B368,"-",C368),SuiteCatSub!$F$2:$F$55,0))</f>
        <v>43</v>
      </c>
      <c r="G368" s="142">
        <v>504</v>
      </c>
      <c r="H368" s="142">
        <f>VLOOKUP(G368,SuiteCatSubElem_Version!$I$2:$J$667,2,0)</f>
        <v>321</v>
      </c>
      <c r="I368" s="146" t="s">
        <v>1423</v>
      </c>
      <c r="J368" s="144" t="str">
        <f>VLOOKUP(B368,Categories!$A$2:$C$8,3,0)</f>
        <v>Supplier Relationship Management</v>
      </c>
      <c r="K368" s="147"/>
      <c r="L368" s="144" t="str">
        <f>VLOOKUP(C368,Subcategories!$A$2:$B$29,2,0)</f>
        <v>SIM</v>
      </c>
      <c r="M368" s="144" t="str">
        <f>VLOOKUP(D368,Elements!$B$2:$C$435,2,0)</f>
        <v>Supplier (Pre) Registration</v>
      </c>
      <c r="N368" s="144" t="str">
        <f>VLOOKUP(H368,ElementVariants!$A$2:$B$460,2,0)</f>
        <v>To what degree does the platform support supplier (pre) registration? This is including, but not limited to invitation management, self-registration, and SIC support. For example, can profiles be imported from supplier networks, expressions of interest be submitted to general category calls, and the system pre-loaded with supplier records from other enterprise systems?</v>
      </c>
    </row>
    <row r="369" spans="1:14" ht="60">
      <c r="A369" s="138">
        <v>369</v>
      </c>
      <c r="B369" s="142">
        <v>6</v>
      </c>
      <c r="C369" s="142">
        <v>23</v>
      </c>
      <c r="D369" s="142">
        <v>130</v>
      </c>
      <c r="E369" s="142" t="s">
        <v>1686</v>
      </c>
      <c r="F369" s="142">
        <f>INDEX(SuiteCatSub!$E$2:$E$55,MATCH(_xlfn.CONCAT(B369,"-",C369),SuiteCatSub!$F$2:$F$55,0))</f>
        <v>43</v>
      </c>
      <c r="G369" s="142">
        <v>505</v>
      </c>
      <c r="H369" s="142">
        <f>VLOOKUP(G369,SuiteCatSubElem_Version!$I$2:$J$667,2,0)</f>
        <v>130</v>
      </c>
      <c r="I369" s="146" t="s">
        <v>1423</v>
      </c>
      <c r="J369" s="144" t="str">
        <f>VLOOKUP(B369,Categories!$A$2:$C$8,3,0)</f>
        <v>Supplier Relationship Management</v>
      </c>
      <c r="K369" s="147"/>
      <c r="L369" s="144" t="str">
        <f>VLOOKUP(C369,Subcategories!$A$2:$B$29,2,0)</f>
        <v>SIM</v>
      </c>
      <c r="M369" s="144" t="str">
        <f>VLOOKUP(D369,Elements!$B$2:$C$435,2,0)</f>
        <v>Invitation Management</v>
      </c>
      <c r="N369" s="144" t="str">
        <f>VLOOKUP(H369,ElementVariants!$A$2:$B$460,2,0)</f>
        <v>To what degree is invitation management, possibly as part of supplier onboarding campaigns, in particular supported? Can campaigns be set-up for easy supplier response? Can invitations be sent out over multiple channels? Can they be automatically resent as reminders? Can buyers be notified when a supplier has seen or responded? Can the buyer controll the onboarding of the suppliers at every distinct, logical, step?</v>
      </c>
    </row>
    <row r="370" spans="1:14" ht="60">
      <c r="A370" s="138">
        <v>370</v>
      </c>
      <c r="B370" s="142">
        <v>6</v>
      </c>
      <c r="C370" s="142">
        <v>23</v>
      </c>
      <c r="D370" s="142">
        <v>131</v>
      </c>
      <c r="E370" s="142" t="s">
        <v>1687</v>
      </c>
      <c r="F370" s="142">
        <f>INDEX(SuiteCatSub!$E$2:$E$55,MATCH(_xlfn.CONCAT(B370,"-",C370),SuiteCatSub!$F$2:$F$55,0))</f>
        <v>43</v>
      </c>
      <c r="G370" s="142">
        <v>506</v>
      </c>
      <c r="H370" s="142">
        <f>VLOOKUP(G370,SuiteCatSubElem_Version!$I$2:$J$667,2,0)</f>
        <v>131</v>
      </c>
      <c r="I370" s="146" t="s">
        <v>1423</v>
      </c>
      <c r="J370" s="144" t="str">
        <f>VLOOKUP(B370,Categories!$A$2:$C$8,3,0)</f>
        <v>Supplier Relationship Management</v>
      </c>
      <c r="K370" s="147"/>
      <c r="L370" s="144" t="str">
        <f>VLOOKUP(C370,Subcategories!$A$2:$B$29,2,0)</f>
        <v>SIM</v>
      </c>
      <c r="M370" s="144" t="str">
        <f>VLOOKUP(D370,Elements!$B$2:$C$435,2,0)</f>
        <v>Self-Registration</v>
      </c>
      <c r="N370" s="144" t="str">
        <f>VLOOKUP(H370,ElementVariants!$A$2:$B$460,2,0)</f>
        <v>Does the platform support, and how extensible is, the supplier self-registration process? Does it support conditional workflows that lead the supplier down the appropriate paths to capture the relevant information, documentation, certifications, and customer/industry references?</v>
      </c>
    </row>
    <row r="371" spans="1:14" ht="60">
      <c r="A371" s="138">
        <v>371</v>
      </c>
      <c r="B371" s="142">
        <v>6</v>
      </c>
      <c r="C371" s="142">
        <v>23</v>
      </c>
      <c r="D371" s="142">
        <v>321</v>
      </c>
      <c r="E371" s="142" t="s">
        <v>1688</v>
      </c>
      <c r="F371" s="142">
        <f>INDEX(SuiteCatSub!$E$2:$E$55,MATCH(_xlfn.CONCAT(B371,"-",C371),SuiteCatSub!$F$2:$F$55,0))</f>
        <v>43</v>
      </c>
      <c r="G371" s="142">
        <v>507</v>
      </c>
      <c r="H371" s="142">
        <f>VLOOKUP(G371,SuiteCatSubElem_Version!$I$2:$J$667,2,0)</f>
        <v>322</v>
      </c>
      <c r="I371" s="146" t="s">
        <v>1423</v>
      </c>
      <c r="J371" s="144" t="str">
        <f>VLOOKUP(B371,Categories!$A$2:$C$8,3,0)</f>
        <v>Supplier Relationship Management</v>
      </c>
      <c r="K371" s="147"/>
      <c r="L371" s="144" t="str">
        <f>VLOOKUP(C371,Subcategories!$A$2:$B$29,2,0)</f>
        <v>SIM</v>
      </c>
      <c r="M371" s="144" t="str">
        <f>VLOOKUP(D371,Elements!$B$2:$C$435,2,0)</f>
        <v>SIC Support</v>
      </c>
      <c r="N371" s="144" t="str">
        <f>VLOOKUP(H371,ElementVariants!$A$2:$B$460,2,0)</f>
        <v>How exstensible is the support for standard industry codes and the identification and collection of data relevant to those industry codes?</v>
      </c>
    </row>
    <row r="372" spans="1:14" ht="60">
      <c r="A372" s="138">
        <v>372</v>
      </c>
      <c r="B372" s="142">
        <v>6</v>
      </c>
      <c r="C372" s="142">
        <v>23</v>
      </c>
      <c r="D372" s="142">
        <v>322</v>
      </c>
      <c r="E372" s="142" t="s">
        <v>1689</v>
      </c>
      <c r="F372" s="142">
        <f>INDEX(SuiteCatSub!$E$2:$E$55,MATCH(_xlfn.CONCAT(B372,"-",C372),SuiteCatSub!$F$2:$F$55,0))</f>
        <v>43</v>
      </c>
      <c r="G372" s="142">
        <v>508</v>
      </c>
      <c r="H372" s="142">
        <f>VLOOKUP(G372,SuiteCatSubElem_Version!$I$2:$J$667,2,0)</f>
        <v>323</v>
      </c>
      <c r="I372" s="146" t="s">
        <v>1423</v>
      </c>
      <c r="J372" s="144" t="str">
        <f>VLOOKUP(B372,Categories!$A$2:$C$8,3,0)</f>
        <v>Supplier Relationship Management</v>
      </c>
      <c r="K372" s="147"/>
      <c r="L372" s="144" t="str">
        <f>VLOOKUP(C372,Subcategories!$A$2:$B$29,2,0)</f>
        <v>SIM</v>
      </c>
      <c r="M372" s="144" t="str">
        <f>VLOOKUP(D372,Elements!$B$2:$C$435,2,0)</f>
        <v>Supplier On-Boarding</v>
      </c>
      <c r="N372" s="144" t="str">
        <f>VLOOKUP(H372,ElementVariants!$A$2:$B$460,2,0)</f>
        <v>To what degree does the platform support full supplier onboarding (once a supplier, already registered, has been selected for participation in an RFX or been given an award)? How far does it go beyond (integrated) reach-out, supplier network integration, and auto data verification?</v>
      </c>
    </row>
    <row r="373" spans="1:14" ht="60">
      <c r="A373" s="138">
        <v>373</v>
      </c>
      <c r="B373" s="142">
        <v>6</v>
      </c>
      <c r="C373" s="142">
        <v>23</v>
      </c>
      <c r="D373" s="142">
        <v>323</v>
      </c>
      <c r="E373" s="142" t="s">
        <v>1690</v>
      </c>
      <c r="F373" s="142">
        <f>INDEX(SuiteCatSub!$E$2:$E$55,MATCH(_xlfn.CONCAT(B373,"-",C373),SuiteCatSub!$F$2:$F$55,0))</f>
        <v>43</v>
      </c>
      <c r="G373" s="142">
        <v>509</v>
      </c>
      <c r="H373" s="142">
        <f>VLOOKUP(G373,SuiteCatSubElem_Version!$I$2:$J$667,2,0)</f>
        <v>324</v>
      </c>
      <c r="I373" s="146" t="s">
        <v>1423</v>
      </c>
      <c r="J373" s="144" t="str">
        <f>VLOOKUP(B373,Categories!$A$2:$C$8,3,0)</f>
        <v>Supplier Relationship Management</v>
      </c>
      <c r="K373" s="147"/>
      <c r="L373" s="144" t="str">
        <f>VLOOKUP(C373,Subcategories!$A$2:$B$29,2,0)</f>
        <v>SIM</v>
      </c>
      <c r="M373" s="144" t="str">
        <f>VLOOKUP(D373,Elements!$B$2:$C$435,2,0)</f>
        <v>On-Boarding Templates</v>
      </c>
      <c r="N373" s="144" t="str">
        <f>VLOOKUP(H373,ElementVariants!$A$2:$B$460,2,0)</f>
        <v>What templates are provided with the application? For example, supplier diversity, anti-corruption, anti-slavery, conflict minerals, etc.</v>
      </c>
    </row>
    <row r="374" spans="1:14" ht="60">
      <c r="A374" s="138">
        <v>374</v>
      </c>
      <c r="B374" s="142">
        <v>6</v>
      </c>
      <c r="C374" s="142">
        <v>23</v>
      </c>
      <c r="D374" s="142">
        <v>324</v>
      </c>
      <c r="E374" s="142" t="s">
        <v>1691</v>
      </c>
      <c r="F374" s="142">
        <f>INDEX(SuiteCatSub!$E$2:$E$55,MATCH(_xlfn.CONCAT(B374,"-",C374),SuiteCatSub!$F$2:$F$55,0))</f>
        <v>43</v>
      </c>
      <c r="G374" s="142">
        <v>510</v>
      </c>
      <c r="H374" s="142">
        <f>VLOOKUP(G374,SuiteCatSubElem_Version!$I$2:$J$667,2,0)</f>
        <v>325</v>
      </c>
      <c r="I374" s="146" t="s">
        <v>1423</v>
      </c>
      <c r="J374" s="144" t="str">
        <f>VLOOKUP(B374,Categories!$A$2:$C$8,3,0)</f>
        <v>Supplier Relationship Management</v>
      </c>
      <c r="K374" s="147"/>
      <c r="L374" s="144" t="str">
        <f>VLOOKUP(C374,Subcategories!$A$2:$B$29,2,0)</f>
        <v>SIM</v>
      </c>
      <c r="M374" s="144" t="str">
        <f>VLOOKUP(D374,Elements!$B$2:$C$435,2,0)</f>
        <v>Integrated Off-Line Reach Out (phone, fax)</v>
      </c>
      <c r="N374" s="144" t="str">
        <f>VLOOKUP(H374,ElementVariants!$A$2:$B$460,2,0)</f>
        <v>Does the platform support reach-out beyond traditional e-mail? Is there social network integration, (e-)fax integration, and/or phone integration?</v>
      </c>
    </row>
    <row r="375" spans="1:14" ht="60">
      <c r="A375" s="138">
        <v>375</v>
      </c>
      <c r="B375" s="142">
        <v>6</v>
      </c>
      <c r="C375" s="142">
        <v>23</v>
      </c>
      <c r="D375" s="142">
        <v>325</v>
      </c>
      <c r="E375" s="142" t="s">
        <v>1692</v>
      </c>
      <c r="F375" s="142">
        <f>INDEX(SuiteCatSub!$E$2:$E$55,MATCH(_xlfn.CONCAT(B375,"-",C375),SuiteCatSub!$F$2:$F$55,0))</f>
        <v>43</v>
      </c>
      <c r="G375" s="142">
        <v>511</v>
      </c>
      <c r="H375" s="142">
        <f>VLOOKUP(G375,SuiteCatSubElem_Version!$I$2:$J$667,2,0)</f>
        <v>326</v>
      </c>
      <c r="I375" s="146" t="s">
        <v>1423</v>
      </c>
      <c r="J375" s="144" t="str">
        <f>VLOOKUP(B375,Categories!$A$2:$C$8,3,0)</f>
        <v>Supplier Relationship Management</v>
      </c>
      <c r="K375" s="147"/>
      <c r="L375" s="144" t="str">
        <f>VLOOKUP(C375,Subcategories!$A$2:$B$29,2,0)</f>
        <v>SIM</v>
      </c>
      <c r="M375" s="144" t="str">
        <f>VLOOKUP(D375,Elements!$B$2:$C$435,2,0)</f>
        <v>Supplier Network Integration</v>
      </c>
      <c r="N375" s="144" t="str">
        <f>VLOOKUP(H375,ElementVariants!$A$2:$B$460,2,0)</f>
        <v>Does the platform integrate with one or more supplier networks, and, if so, to what degree? Simple profile integration? Full profile integration?</v>
      </c>
    </row>
    <row r="376" spans="1:14" ht="60">
      <c r="A376" s="138">
        <v>376</v>
      </c>
      <c r="B376" s="142">
        <v>6</v>
      </c>
      <c r="C376" s="142">
        <v>23</v>
      </c>
      <c r="D376" s="142">
        <v>326</v>
      </c>
      <c r="E376" s="142" t="s">
        <v>1693</v>
      </c>
      <c r="F376" s="142">
        <f>INDEX(SuiteCatSub!$E$2:$E$55,MATCH(_xlfn.CONCAT(B376,"-",C376),SuiteCatSub!$F$2:$F$55,0))</f>
        <v>43</v>
      </c>
      <c r="G376" s="142">
        <v>512</v>
      </c>
      <c r="H376" s="142">
        <f>VLOOKUP(G376,SuiteCatSubElem_Version!$I$2:$J$667,2,0)</f>
        <v>327</v>
      </c>
      <c r="I376" s="146" t="s">
        <v>1423</v>
      </c>
      <c r="J376" s="144" t="str">
        <f>VLOOKUP(B376,Categories!$A$2:$C$8,3,0)</f>
        <v>Supplier Relationship Management</v>
      </c>
      <c r="K376" s="147"/>
      <c r="L376" s="144" t="str">
        <f>VLOOKUP(C376,Subcategories!$A$2:$B$29,2,0)</f>
        <v>SIM</v>
      </c>
      <c r="M376" s="144" t="str">
        <f>VLOOKUP(D376,Elements!$B$2:$C$435,2,0)</f>
        <v>Auto Data Verification</v>
      </c>
      <c r="N376" s="144" t="str">
        <f>VLOOKUP(H376,ElementVariants!$A$2:$B$460,2,0)</f>
        <v>Does the platform integrate with one or more government/third party data sources that can be used to verify the data being provided by suppliers, including, but not limited to, registry numbers, non-appearance on denied party lists, third party evaluations, etc.?</v>
      </c>
    </row>
    <row r="377" spans="1:14" ht="60">
      <c r="A377" s="138">
        <v>377</v>
      </c>
      <c r="B377" s="142">
        <v>6</v>
      </c>
      <c r="C377" s="142">
        <v>23</v>
      </c>
      <c r="D377" s="142">
        <v>327</v>
      </c>
      <c r="E377" s="142" t="s">
        <v>1694</v>
      </c>
      <c r="F377" s="142">
        <f>INDEX(SuiteCatSub!$E$2:$E$55,MATCH(_xlfn.CONCAT(B377,"-",C377),SuiteCatSub!$F$2:$F$55,0))</f>
        <v>43</v>
      </c>
      <c r="G377" s="142">
        <v>513</v>
      </c>
      <c r="H377" s="142">
        <f>VLOOKUP(G377,SuiteCatSubElem_Version!$I$2:$J$667,2,0)</f>
        <v>328</v>
      </c>
      <c r="I377" s="146" t="s">
        <v>1423</v>
      </c>
      <c r="J377" s="144" t="str">
        <f>VLOOKUP(B377,Categories!$A$2:$C$8,3,0)</f>
        <v>Supplier Relationship Management</v>
      </c>
      <c r="K377" s="147"/>
      <c r="L377" s="144" t="str">
        <f>VLOOKUP(C377,Subcategories!$A$2:$B$29,2,0)</f>
        <v>SIM</v>
      </c>
      <c r="M377" s="144" t="str">
        <f>VLOOKUP(D377,Elements!$B$2:$C$435,2,0)</f>
        <v>Supplier Qualification</v>
      </c>
      <c r="N377" s="144" t="str">
        <f>VLOOKUP(H377,ElementVariants!$A$2:$B$460,2,0)</f>
        <v>To what degree can the product be used to qualify suppliers for the organization? And what capabilities does it have beyond data collection, delegation of control, and auto document verification?</v>
      </c>
    </row>
    <row r="378" spans="1:14" ht="60">
      <c r="A378" s="138">
        <v>378</v>
      </c>
      <c r="B378" s="142">
        <v>6</v>
      </c>
      <c r="C378" s="142">
        <v>23</v>
      </c>
      <c r="D378" s="142">
        <v>328</v>
      </c>
      <c r="E378" s="142" t="s">
        <v>1695</v>
      </c>
      <c r="F378" s="142">
        <f>INDEX(SuiteCatSub!$E$2:$E$55,MATCH(_xlfn.CONCAT(B378,"-",C378),SuiteCatSub!$F$2:$F$55,0))</f>
        <v>43</v>
      </c>
      <c r="G378" s="142">
        <v>514</v>
      </c>
      <c r="H378" s="142">
        <f>VLOOKUP(G378,SuiteCatSubElem_Version!$I$2:$J$667,2,0)</f>
        <v>329</v>
      </c>
      <c r="I378" s="146" t="s">
        <v>1423</v>
      </c>
      <c r="J378" s="144" t="str">
        <f>VLOOKUP(B378,Categories!$A$2:$C$8,3,0)</f>
        <v>Supplier Relationship Management</v>
      </c>
      <c r="K378" s="147"/>
      <c r="L378" s="144" t="str">
        <f>VLOOKUP(C378,Subcategories!$A$2:$B$29,2,0)</f>
        <v>SIM</v>
      </c>
      <c r="M378" s="144" t="str">
        <f>VLOOKUP(D378,Elements!$B$2:$C$435,2,0)</f>
        <v>Data Collection / Branching Workflow</v>
      </c>
      <c r="N378" s="144" t="str">
        <f>VLOOKUP(H378,ElementVariants!$A$2:$B$460,2,0)</f>
        <v>How powerful is the data collection capability? Does the workflow branch based on each data element to allow for the appropriate collection of supplier, product, and/or service information?</v>
      </c>
    </row>
    <row r="379" spans="1:14" ht="60">
      <c r="A379" s="138">
        <v>379</v>
      </c>
      <c r="B379" s="142">
        <v>6</v>
      </c>
      <c r="C379" s="142">
        <v>23</v>
      </c>
      <c r="D379" s="142">
        <v>329</v>
      </c>
      <c r="E379" s="142" t="s">
        <v>1696</v>
      </c>
      <c r="F379" s="142">
        <f>INDEX(SuiteCatSub!$E$2:$E$55,MATCH(_xlfn.CONCAT(B379,"-",C379),SuiteCatSub!$F$2:$F$55,0))</f>
        <v>43</v>
      </c>
      <c r="G379" s="142">
        <v>515</v>
      </c>
      <c r="H379" s="142">
        <f>VLOOKUP(G379,SuiteCatSubElem_Version!$I$2:$J$667,2,0)</f>
        <v>330</v>
      </c>
      <c r="I379" s="146" t="s">
        <v>1423</v>
      </c>
      <c r="J379" s="144" t="str">
        <f>VLOOKUP(B379,Categories!$A$2:$C$8,3,0)</f>
        <v>Supplier Relationship Management</v>
      </c>
      <c r="K379" s="147"/>
      <c r="L379" s="144" t="str">
        <f>VLOOKUP(C379,Subcategories!$A$2:$B$29,2,0)</f>
        <v>SIM</v>
      </c>
      <c r="M379" s="144" t="str">
        <f>VLOOKUP(D379,Elements!$B$2:$C$435,2,0)</f>
        <v>Delegation of Control</v>
      </c>
      <c r="N379" s="144" t="str">
        <f>VLOOKUP(H379,ElementVariants!$A$2:$B$460,2,0)</f>
        <v>To what degree does the product support delegation of control? Can the supplier add their own delegates and specify the roles and authorities that each person they authorize on their behalf has, or is user creation and privilege control limited to the lead buyer?</v>
      </c>
    </row>
    <row r="380" spans="1:14" ht="60">
      <c r="A380" s="138">
        <v>380</v>
      </c>
      <c r="B380" s="142">
        <v>6</v>
      </c>
      <c r="C380" s="142">
        <v>23</v>
      </c>
      <c r="D380" s="142">
        <v>330</v>
      </c>
      <c r="E380" s="142" t="s">
        <v>1697</v>
      </c>
      <c r="F380" s="142">
        <f>INDEX(SuiteCatSub!$E$2:$E$55,MATCH(_xlfn.CONCAT(B380,"-",C380),SuiteCatSub!$F$2:$F$55,0))</f>
        <v>43</v>
      </c>
      <c r="G380" s="142">
        <v>516</v>
      </c>
      <c r="H380" s="142">
        <f>VLOOKUP(G380,SuiteCatSubElem_Version!$I$2:$J$667,2,0)</f>
        <v>331</v>
      </c>
      <c r="I380" s="146" t="s">
        <v>1423</v>
      </c>
      <c r="J380" s="144" t="str">
        <f>VLOOKUP(B380,Categories!$A$2:$C$8,3,0)</f>
        <v>Supplier Relationship Management</v>
      </c>
      <c r="K380" s="147"/>
      <c r="L380" s="144" t="str">
        <f>VLOOKUP(C380,Subcategories!$A$2:$B$29,2,0)</f>
        <v>SIM</v>
      </c>
      <c r="M380" s="144" t="str">
        <f>VLOOKUP(D380,Elements!$B$2:$C$435,2,0)</f>
        <v>Auto Document Identification &amp; Verification</v>
      </c>
      <c r="N380" s="144" t="str">
        <f>VLOOKUP(H380,ElementVariants!$A$2:$B$460,2,0)</f>
        <v>To what degree can documents be automatically identified and validated by the platform? For example, can insurance documents be automatically detected, verified for validity, inspected for inclusion of mandatory clauses, etc?</v>
      </c>
    </row>
    <row r="381" spans="1:14" ht="60">
      <c r="A381" s="138">
        <v>381</v>
      </c>
      <c r="B381" s="142">
        <v>6</v>
      </c>
      <c r="C381" s="142">
        <v>23</v>
      </c>
      <c r="D381" s="142">
        <v>331</v>
      </c>
      <c r="E381" s="142" t="s">
        <v>1698</v>
      </c>
      <c r="F381" s="142">
        <f>INDEX(SuiteCatSub!$E$2:$E$55,MATCH(_xlfn.CONCAT(B381,"-",C381),SuiteCatSub!$F$2:$F$55,0))</f>
        <v>43</v>
      </c>
      <c r="G381" s="142">
        <v>517</v>
      </c>
      <c r="H381" s="142">
        <f>VLOOKUP(G381,SuiteCatSubElem_Version!$I$2:$J$667,2,0)</f>
        <v>332</v>
      </c>
      <c r="I381" s="146" t="s">
        <v>1423</v>
      </c>
      <c r="J381" s="144" t="str">
        <f>VLOOKUP(B381,Categories!$A$2:$C$8,3,0)</f>
        <v>Supplier Relationship Management</v>
      </c>
      <c r="K381" s="147"/>
      <c r="L381" s="144" t="str">
        <f>VLOOKUP(C381,Subcategories!$A$2:$B$29,2,0)</f>
        <v>SIM</v>
      </c>
      <c r="M381" s="144" t="str">
        <f>VLOOKUP(D381,Elements!$B$2:$C$435,2,0)</f>
        <v>Supplier Data Management</v>
      </c>
      <c r="N381" s="144" t="str">
        <f>VLOOKUP(H381,ElementVariants!$A$2:$B$460,2,0)</f>
        <v>To what degree of detail is supplier data supported in the SIM portion of the SXM solution, either out-of-the-box, through schema-extensibility, or through custom definition on the client's part?</v>
      </c>
    </row>
    <row r="382" spans="1:14" ht="60">
      <c r="A382" s="138">
        <v>382</v>
      </c>
      <c r="B382" s="142">
        <v>6</v>
      </c>
      <c r="C382" s="142">
        <v>23</v>
      </c>
      <c r="D382" s="142">
        <v>332</v>
      </c>
      <c r="E382" s="142" t="s">
        <v>1699</v>
      </c>
      <c r="F382" s="142">
        <f>INDEX(SuiteCatSub!$E$2:$E$55,MATCH(_xlfn.CONCAT(B382,"-",C382),SuiteCatSub!$F$2:$F$55,0))</f>
        <v>43</v>
      </c>
      <c r="G382" s="142">
        <v>518</v>
      </c>
      <c r="H382" s="142">
        <f>VLOOKUP(G382,SuiteCatSubElem_Version!$I$2:$J$667,2,0)</f>
        <v>333</v>
      </c>
      <c r="I382" s="146" t="s">
        <v>1423</v>
      </c>
      <c r="J382" s="144" t="str">
        <f>VLOOKUP(B382,Categories!$A$2:$C$8,3,0)</f>
        <v>Supplier Relationship Management</v>
      </c>
      <c r="K382" s="147"/>
      <c r="L382" s="144" t="str">
        <f>VLOOKUP(C382,Subcategories!$A$2:$B$29,2,0)</f>
        <v>SIM</v>
      </c>
      <c r="M382" s="144" t="str">
        <f>VLOOKUP(D382,Elements!$B$2:$C$435,2,0)</f>
        <v>Entity Core Data</v>
      </c>
      <c r="N382" s="144" t="str">
        <f>VLOOKUP(H382,ElementVariants!$A$2:$B$460,2,0)</f>
        <v>How extensive is the out-of-the-box support for entity core data -- locations, financial, structure, personnel, industry profiles, category profiles, etc. etc. etc.?</v>
      </c>
    </row>
    <row r="383" spans="1:14" ht="60">
      <c r="A383" s="138">
        <v>383</v>
      </c>
      <c r="B383" s="142">
        <v>6</v>
      </c>
      <c r="C383" s="142">
        <v>23</v>
      </c>
      <c r="D383" s="142">
        <v>333</v>
      </c>
      <c r="E383" s="142" t="s">
        <v>1700</v>
      </c>
      <c r="F383" s="142">
        <f>INDEX(SuiteCatSub!$E$2:$E$55,MATCH(_xlfn.CONCAT(B383,"-",C383),SuiteCatSub!$F$2:$F$55,0))</f>
        <v>43</v>
      </c>
      <c r="G383" s="142">
        <v>519</v>
      </c>
      <c r="H383" s="142">
        <f>VLOOKUP(G383,SuiteCatSubElem_Version!$I$2:$J$667,2,0)</f>
        <v>334</v>
      </c>
      <c r="I383" s="146" t="s">
        <v>1423</v>
      </c>
      <c r="J383" s="144" t="str">
        <f>VLOOKUP(B383,Categories!$A$2:$C$8,3,0)</f>
        <v>Supplier Relationship Management</v>
      </c>
      <c r="K383" s="147"/>
      <c r="L383" s="144" t="str">
        <f>VLOOKUP(C383,Subcategories!$A$2:$B$29,2,0)</f>
        <v>SIM</v>
      </c>
      <c r="M383" s="144" t="str">
        <f>VLOOKUP(D383,Elements!$B$2:$C$435,2,0)</f>
        <v>Financial Data / ACH Integration</v>
      </c>
      <c r="N383" s="144" t="str">
        <f>VLOOKUP(H383,ElementVariants!$A$2:$B$460,2,0)</f>
        <v>How extensive is the support for financial data tracking and is the system capable of integrating with ACH systems to manage payments and transfers?</v>
      </c>
    </row>
    <row r="384" spans="1:14" ht="60">
      <c r="A384" s="138">
        <v>384</v>
      </c>
      <c r="B384" s="142">
        <v>6</v>
      </c>
      <c r="C384" s="142">
        <v>23</v>
      </c>
      <c r="D384" s="142">
        <v>334</v>
      </c>
      <c r="E384" s="142" t="s">
        <v>1701</v>
      </c>
      <c r="F384" s="142">
        <f>INDEX(SuiteCatSub!$E$2:$E$55,MATCH(_xlfn.CONCAT(B384,"-",C384),SuiteCatSub!$F$2:$F$55,0))</f>
        <v>43</v>
      </c>
      <c r="G384" s="142">
        <v>520</v>
      </c>
      <c r="H384" s="142">
        <f>VLOOKUP(G384,SuiteCatSubElem_Version!$I$2:$J$667,2,0)</f>
        <v>335</v>
      </c>
      <c r="I384" s="146" t="s">
        <v>1423</v>
      </c>
      <c r="J384" s="144" t="str">
        <f>VLOOKUP(B384,Categories!$A$2:$C$8,3,0)</f>
        <v>Supplier Relationship Management</v>
      </c>
      <c r="K384" s="147"/>
      <c r="L384" s="144" t="str">
        <f>VLOOKUP(C384,Subcategories!$A$2:$B$29,2,0)</f>
        <v>SIM</v>
      </c>
      <c r="M384" s="144" t="str">
        <f>VLOOKUP(D384,Elements!$B$2:$C$435,2,0)</f>
        <v>3P Data Integration (scores/audits/etc.)</v>
      </c>
      <c r="N384" s="144" t="str">
        <f>VLOOKUP(H384,ElementVariants!$A$2:$B$460,2,0)</f>
        <v>How extensive is the built in support for third party data feed integration for external risk scores, audits, data enrichment, etc?</v>
      </c>
    </row>
    <row r="385" spans="1:14" ht="60">
      <c r="A385" s="138">
        <v>385</v>
      </c>
      <c r="B385" s="142">
        <v>6</v>
      </c>
      <c r="C385" s="142">
        <v>23</v>
      </c>
      <c r="D385" s="142">
        <v>335</v>
      </c>
      <c r="E385" s="142" t="s">
        <v>1702</v>
      </c>
      <c r="F385" s="142">
        <f>INDEX(SuiteCatSub!$E$2:$E$55,MATCH(_xlfn.CONCAT(B385,"-",C385),SuiteCatSub!$F$2:$F$55,0))</f>
        <v>43</v>
      </c>
      <c r="G385" s="142">
        <v>521</v>
      </c>
      <c r="H385" s="142">
        <f>VLOOKUP(G385,SuiteCatSubElem_Version!$I$2:$J$667,2,0)</f>
        <v>336</v>
      </c>
      <c r="I385" s="146" t="s">
        <v>1423</v>
      </c>
      <c r="J385" s="144" t="str">
        <f>VLOOKUP(B385,Categories!$A$2:$C$8,3,0)</f>
        <v>Supplier Relationship Management</v>
      </c>
      <c r="K385" s="147"/>
      <c r="L385" s="144" t="str">
        <f>VLOOKUP(C385,Subcategories!$A$2:$B$29,2,0)</f>
        <v>SIM</v>
      </c>
      <c r="M385" s="144" t="str">
        <f>VLOOKUP(D385,Elements!$B$2:$C$435,2,0)</f>
        <v>Document Management</v>
      </c>
      <c r="N385" s="144" t="str">
        <f>VLOOKUP(H385,ElementVariants!$A$2:$B$460,2,0)</f>
        <v>How deep is the document management compared to a best-in-class document management platforms? Is there word integration for collaborative creation, editing, mark-up, and indexing? Is there support for comments and markup? Is there complete version tracking?</v>
      </c>
    </row>
    <row r="386" spans="1:14" ht="60">
      <c r="A386" s="138">
        <v>386</v>
      </c>
      <c r="B386" s="142">
        <v>6</v>
      </c>
      <c r="C386" s="142">
        <v>23</v>
      </c>
      <c r="D386" s="142">
        <v>336</v>
      </c>
      <c r="E386" s="142" t="s">
        <v>1703</v>
      </c>
      <c r="F386" s="142">
        <f>INDEX(SuiteCatSub!$E$2:$E$55,MATCH(_xlfn.CONCAT(B386,"-",C386),SuiteCatSub!$F$2:$F$55,0))</f>
        <v>43</v>
      </c>
      <c r="G386" s="142">
        <v>522</v>
      </c>
      <c r="H386" s="142">
        <f>VLOOKUP(G386,SuiteCatSubElem_Version!$I$2:$J$667,2,0)</f>
        <v>337</v>
      </c>
      <c r="I386" s="146" t="s">
        <v>1423</v>
      </c>
      <c r="J386" s="144" t="str">
        <f>VLOOKUP(B386,Categories!$A$2:$C$8,3,0)</f>
        <v>Supplier Relationship Management</v>
      </c>
      <c r="K386" s="147"/>
      <c r="L386" s="144" t="str">
        <f>VLOOKUP(C386,Subcategories!$A$2:$B$29,2,0)</f>
        <v>SIM</v>
      </c>
      <c r="M386" s="144" t="str">
        <f>VLOOKUP(D386,Elements!$B$2:$C$435,2,0)</f>
        <v>Certificates / Insurance</v>
      </c>
      <c r="N386" s="144" t="str">
        <f>VLOOKUP(H386,ElementVariants!$A$2:$B$460,2,0)</f>
        <v>Is there extra built-in capability for certification and insurance document management, which organizations need to confirm and be on top off to meet risk and regulatory requirements?</v>
      </c>
    </row>
    <row r="387" spans="1:14" ht="60">
      <c r="A387" s="138">
        <v>387</v>
      </c>
      <c r="B387" s="142">
        <v>6</v>
      </c>
      <c r="C387" s="142">
        <v>23</v>
      </c>
      <c r="D387" s="142">
        <v>337</v>
      </c>
      <c r="E387" s="142" t="s">
        <v>1704</v>
      </c>
      <c r="F387" s="142">
        <f>INDEX(SuiteCatSub!$E$2:$E$55,MATCH(_xlfn.CONCAT(B387,"-",C387),SuiteCatSub!$F$2:$F$55,0))</f>
        <v>43</v>
      </c>
      <c r="G387" s="142">
        <v>523</v>
      </c>
      <c r="H387" s="142">
        <f>VLOOKUP(G387,SuiteCatSubElem_Version!$I$2:$J$667,2,0)</f>
        <v>338</v>
      </c>
      <c r="I387" s="146" t="s">
        <v>1423</v>
      </c>
      <c r="J387" s="144" t="str">
        <f>VLOOKUP(B387,Categories!$A$2:$C$8,3,0)</f>
        <v>Supplier Relationship Management</v>
      </c>
      <c r="K387" s="147"/>
      <c r="L387" s="144" t="str">
        <f>VLOOKUP(C387,Subcategories!$A$2:$B$29,2,0)</f>
        <v>SIM</v>
      </c>
      <c r="M387" s="144" t="str">
        <f>VLOOKUP(D387,Elements!$B$2:$C$435,2,0)</f>
        <v>Product / Catalog Management</v>
      </c>
      <c r="N387" s="144" t="str">
        <f>VLOOKUP(H387,ElementVariants!$A$2:$B$460,2,0)</f>
        <v>Is there extensive catalog management? To what degree can the supplier update, and to what degree does the buyer have to update? Can complete price history be maintained? Can similar SKUs be associated? Can product history be maintained?</v>
      </c>
    </row>
    <row r="388" spans="1:14" ht="60">
      <c r="A388" s="138">
        <v>388</v>
      </c>
      <c r="B388" s="142">
        <v>6</v>
      </c>
      <c r="C388" s="142">
        <v>23</v>
      </c>
      <c r="D388" s="142">
        <v>338</v>
      </c>
      <c r="E388" s="142" t="s">
        <v>1705</v>
      </c>
      <c r="F388" s="142">
        <f>INDEX(SuiteCatSub!$E$2:$E$55,MATCH(_xlfn.CONCAT(B388,"-",C388),SuiteCatSub!$F$2:$F$55,0))</f>
        <v>43</v>
      </c>
      <c r="G388" s="142">
        <v>524</v>
      </c>
      <c r="H388" s="142">
        <f>VLOOKUP(G388,SuiteCatSubElem_Version!$I$2:$J$667,2,0)</f>
        <v>339</v>
      </c>
      <c r="I388" s="146" t="s">
        <v>1423</v>
      </c>
      <c r="J388" s="144" t="str">
        <f>VLOOKUP(B388,Categories!$A$2:$C$8,3,0)</f>
        <v>Supplier Relationship Management</v>
      </c>
      <c r="K388" s="147"/>
      <c r="L388" s="144" t="str">
        <f>VLOOKUP(C388,Subcategories!$A$2:$B$29,2,0)</f>
        <v>SIM</v>
      </c>
      <c r="M388" s="144" t="str">
        <f>VLOOKUP(D388,Elements!$B$2:$C$435,2,0)</f>
        <v>Ratings, Approvals, &amp; Preferred Suppliers</v>
      </c>
      <c r="N388" s="144" t="str">
        <f>VLOOKUP(H388,ElementVariants!$A$2:$B$460,2,0)</f>
        <v>How extensive is the rating and approval system? Can the ratings be defined as group-based weightings? Can approvals be defined as bifurcating workflows with overrides? And what about preferred status -- does it have to be supplier level, or can it be product/service level and can it be limited to certain locales and even production locations?</v>
      </c>
    </row>
    <row r="389" spans="1:14" ht="60">
      <c r="A389" s="138">
        <v>389</v>
      </c>
      <c r="B389" s="142">
        <v>6</v>
      </c>
      <c r="C389" s="142">
        <v>23</v>
      </c>
      <c r="D389" s="142">
        <v>339</v>
      </c>
      <c r="E389" s="142" t="s">
        <v>1706</v>
      </c>
      <c r="F389" s="142">
        <f>INDEX(SuiteCatSub!$E$2:$E$55,MATCH(_xlfn.CONCAT(B389,"-",C389),SuiteCatSub!$F$2:$F$55,0))</f>
        <v>43</v>
      </c>
      <c r="G389" s="142">
        <v>525</v>
      </c>
      <c r="H389" s="142">
        <f>VLOOKUP(G389,SuiteCatSubElem_Version!$I$2:$J$667,2,0)</f>
        <v>340</v>
      </c>
      <c r="I389" s="146" t="s">
        <v>1423</v>
      </c>
      <c r="J389" s="144" t="str">
        <f>VLOOKUP(B389,Categories!$A$2:$C$8,3,0)</f>
        <v>Supplier Relationship Management</v>
      </c>
      <c r="K389" s="147"/>
      <c r="L389" s="144" t="str">
        <f>VLOOKUP(C389,Subcategories!$A$2:$B$29,2,0)</f>
        <v>SIM</v>
      </c>
      <c r="M389" s="144" t="str">
        <f>VLOOKUP(D389,Elements!$B$2:$C$435,2,0)</f>
        <v>Supplier Collaboration</v>
      </c>
      <c r="N389" s="144" t="str">
        <f>VLOOKUP(H389,ElementVariants!$A$2:$B$460,2,0)</f>
        <v>How extensive is the built-in supplier collaboration capability?</v>
      </c>
    </row>
    <row r="390" spans="1:14" ht="60">
      <c r="A390" s="138">
        <v>390</v>
      </c>
      <c r="B390" s="142">
        <v>6</v>
      </c>
      <c r="C390" s="142">
        <v>23</v>
      </c>
      <c r="D390" s="142">
        <v>161</v>
      </c>
      <c r="E390" s="142" t="s">
        <v>1707</v>
      </c>
      <c r="F390" s="142">
        <f>INDEX(SuiteCatSub!$E$2:$E$55,MATCH(_xlfn.CONCAT(B390,"-",C390),SuiteCatSub!$F$2:$F$55,0))</f>
        <v>43</v>
      </c>
      <c r="G390" s="142">
        <v>526</v>
      </c>
      <c r="H390" s="142">
        <f>VLOOKUP(G390,SuiteCatSubElem_Version!$I$2:$J$667,2,0)</f>
        <v>161</v>
      </c>
      <c r="I390" s="146" t="s">
        <v>1423</v>
      </c>
      <c r="J390" s="144" t="str">
        <f>VLOOKUP(B390,Categories!$A$2:$C$8,3,0)</f>
        <v>Supplier Relationship Management</v>
      </c>
      <c r="K390" s="147"/>
      <c r="L390" s="144" t="str">
        <f>VLOOKUP(C390,Subcategories!$A$2:$B$29,2,0)</f>
        <v>SIM</v>
      </c>
      <c r="M390" s="144" t="str">
        <f>VLOOKUP(D390,Elements!$B$2:$C$435,2,0)</f>
        <v>Real-Time Messaging</v>
      </c>
      <c r="N390" s="144" t="str">
        <f>VLOOKUP(H390,ElementVariants!$A$2:$B$460,2,0)</f>
        <v>Does the tool support integrated real-time (group) messaging between all parties with compete archival, audit trails, and indexing for association with different data elements and platform functionality?</v>
      </c>
    </row>
    <row r="391" spans="1:14" ht="60">
      <c r="A391" s="138">
        <v>391</v>
      </c>
      <c r="B391" s="142">
        <v>6</v>
      </c>
      <c r="C391" s="142">
        <v>23</v>
      </c>
      <c r="D391" s="142">
        <v>340</v>
      </c>
      <c r="E391" s="142" t="s">
        <v>1708</v>
      </c>
      <c r="F391" s="142">
        <f>INDEX(SuiteCatSub!$E$2:$E$55,MATCH(_xlfn.CONCAT(B391,"-",C391),SuiteCatSub!$F$2:$F$55,0))</f>
        <v>43</v>
      </c>
      <c r="G391" s="142">
        <v>527</v>
      </c>
      <c r="H391" s="142">
        <f>VLOOKUP(G391,SuiteCatSubElem_Version!$I$2:$J$667,2,0)</f>
        <v>341</v>
      </c>
      <c r="I391" s="146" t="s">
        <v>1423</v>
      </c>
      <c r="J391" s="144" t="str">
        <f>VLOOKUP(B391,Categories!$A$2:$C$8,3,0)</f>
        <v>Supplier Relationship Management</v>
      </c>
      <c r="K391" s="147"/>
      <c r="L391" s="144" t="str">
        <f>VLOOKUP(C391,Subcategories!$A$2:$B$29,2,0)</f>
        <v>SIM</v>
      </c>
      <c r="M391" s="144" t="str">
        <f>VLOOKUP(D391,Elements!$B$2:$C$435,2,0)</f>
        <v>Collaborative Whiteboards</v>
      </c>
      <c r="N391" s="144" t="str">
        <f>VLOOKUP(H391,ElementVariants!$A$2:$B$460,2,0)</f>
        <v>Does the platform contain collaborative white-boards that allow both parties to co-develop plans, work on innovations, and other collaborative projects?</v>
      </c>
    </row>
    <row r="392" spans="1:14" ht="60">
      <c r="A392" s="138">
        <v>392</v>
      </c>
      <c r="B392" s="142">
        <v>6</v>
      </c>
      <c r="C392" s="142">
        <v>24</v>
      </c>
      <c r="D392" s="142">
        <v>341</v>
      </c>
      <c r="E392" s="142" t="s">
        <v>1709</v>
      </c>
      <c r="F392" s="142">
        <f>INDEX(SuiteCatSub!$E$2:$E$55,MATCH(_xlfn.CONCAT(B392,"-",C392),SuiteCatSub!$F$2:$F$55,0))</f>
        <v>44</v>
      </c>
      <c r="G392" s="142">
        <v>528</v>
      </c>
      <c r="H392" s="142">
        <f>VLOOKUP(G392,SuiteCatSubElem_Version!$I$2:$J$667,2,0)</f>
        <v>342</v>
      </c>
      <c r="I392" s="146" t="s">
        <v>1423</v>
      </c>
      <c r="J392" s="144" t="str">
        <f>VLOOKUP(B392,Categories!$A$2:$C$8,3,0)</f>
        <v>Supplier Relationship Management</v>
      </c>
      <c r="K392" s="147"/>
      <c r="L392" s="144" t="str">
        <f>VLOOKUP(C392,Subcategories!$A$2:$B$29,2,0)</f>
        <v>SXM</v>
      </c>
      <c r="M392" s="144" t="str">
        <f>VLOOKUP(D392,Elements!$B$2:$C$435,2,0)</f>
        <v>Conflict Resolution CAR/CAM</v>
      </c>
      <c r="N392" s="144" t="str">
        <f>VLOOKUP(H392,ElementVariants!$A$2:$B$460,2,0)</f>
        <v>How deep is the corrective action management / corrective action resolution capability in the product? How deep is the collaborative dispute resolution functionality?</v>
      </c>
    </row>
    <row r="393" spans="1:14" ht="60">
      <c r="A393" s="138">
        <v>393</v>
      </c>
      <c r="B393" s="142">
        <v>6</v>
      </c>
      <c r="C393" s="142">
        <v>24</v>
      </c>
      <c r="D393" s="142">
        <v>342</v>
      </c>
      <c r="E393" s="142" t="s">
        <v>1710</v>
      </c>
      <c r="F393" s="142">
        <f>INDEX(SuiteCatSub!$E$2:$E$55,MATCH(_xlfn.CONCAT(B393,"-",C393),SuiteCatSub!$F$2:$F$55,0))</f>
        <v>44</v>
      </c>
      <c r="G393" s="142">
        <v>529</v>
      </c>
      <c r="H393" s="142">
        <f>VLOOKUP(G393,SuiteCatSubElem_Version!$I$2:$J$667,2,0)</f>
        <v>343</v>
      </c>
      <c r="I393" s="146" t="s">
        <v>1423</v>
      </c>
      <c r="J393" s="144" t="str">
        <f>VLOOKUP(B393,Categories!$A$2:$C$8,3,0)</f>
        <v>Supplier Relationship Management</v>
      </c>
      <c r="K393" s="147"/>
      <c r="L393" s="144" t="str">
        <f>VLOOKUP(C393,Subcategories!$A$2:$B$29,2,0)</f>
        <v>SXM</v>
      </c>
      <c r="M393" s="144" t="str">
        <f>VLOOKUP(D393,Elements!$B$2:$C$435,2,0)</f>
        <v>Issue Identification and Tracking</v>
      </c>
      <c r="N393" s="144" t="str">
        <f>VLOOKUP(H393,ElementVariants!$A$2:$B$460,2,0)</f>
        <v>What is the capability provided to identify issues, from whichever view the user is in and associated with whatever data the issues relate to, in the product, track them over time, and use the history and data as the basis for an issue and a corrective action plan?</v>
      </c>
    </row>
    <row r="394" spans="1:14" ht="60">
      <c r="A394" s="138">
        <v>394</v>
      </c>
      <c r="B394" s="142">
        <v>6</v>
      </c>
      <c r="C394" s="142">
        <v>24</v>
      </c>
      <c r="D394" s="142">
        <v>343</v>
      </c>
      <c r="E394" s="142" t="s">
        <v>1711</v>
      </c>
      <c r="F394" s="142">
        <f>INDEX(SuiteCatSub!$E$2:$E$55,MATCH(_xlfn.CONCAT(B394,"-",C394),SuiteCatSub!$F$2:$F$55,0))</f>
        <v>44</v>
      </c>
      <c r="G394" s="142">
        <v>530</v>
      </c>
      <c r="H394" s="142">
        <f>VLOOKUP(G394,SuiteCatSubElem_Version!$I$2:$J$667,2,0)</f>
        <v>344</v>
      </c>
      <c r="I394" s="146" t="s">
        <v>1423</v>
      </c>
      <c r="J394" s="144" t="str">
        <f>VLOOKUP(B394,Categories!$A$2:$C$8,3,0)</f>
        <v>Supplier Relationship Management</v>
      </c>
      <c r="K394" s="147"/>
      <c r="L394" s="144" t="str">
        <f>VLOOKUP(C394,Subcategories!$A$2:$B$29,2,0)</f>
        <v>SXM</v>
      </c>
      <c r="M394" s="144" t="str">
        <f>VLOOKUP(D394,Elements!$B$2:$C$435,2,0)</f>
        <v>Plan Development &amp; Milestone Definition</v>
      </c>
      <c r="N394" s="144" t="str">
        <f>VLOOKUP(H394,ElementVariants!$A$2:$B$460,2,0)</f>
        <v>How easy is it to create detailed project plans built around milestones, tasks, and team members? And how powerful is the capability?</v>
      </c>
    </row>
    <row r="395" spans="1:14" ht="60">
      <c r="A395" s="138">
        <v>395</v>
      </c>
      <c r="B395" s="142">
        <v>6</v>
      </c>
      <c r="C395" s="142">
        <v>24</v>
      </c>
      <c r="D395" s="142">
        <v>344</v>
      </c>
      <c r="E395" s="142" t="s">
        <v>1712</v>
      </c>
      <c r="F395" s="142">
        <f>INDEX(SuiteCatSub!$E$2:$E$55,MATCH(_xlfn.CONCAT(B395,"-",C395),SuiteCatSub!$F$2:$F$55,0))</f>
        <v>44</v>
      </c>
      <c r="G395" s="142">
        <v>531</v>
      </c>
      <c r="H395" s="142">
        <f>VLOOKUP(G395,SuiteCatSubElem_Version!$I$2:$J$667,2,0)</f>
        <v>345</v>
      </c>
      <c r="I395" s="146" t="s">
        <v>1423</v>
      </c>
      <c r="J395" s="144" t="str">
        <f>VLOOKUP(B395,Categories!$A$2:$C$8,3,0)</f>
        <v>Supplier Relationship Management</v>
      </c>
      <c r="K395" s="147"/>
      <c r="L395" s="144" t="str">
        <f>VLOOKUP(C395,Subcategories!$A$2:$B$29,2,0)</f>
        <v>SXM</v>
      </c>
      <c r="M395" s="144" t="str">
        <f>VLOOKUP(D395,Elements!$B$2:$C$435,2,0)</f>
        <v>Status Updates</v>
      </c>
      <c r="N395" s="144" t="str">
        <f>VLOOKUP(H395,ElementVariants!$A$2:$B$460,2,0)</f>
        <v>How easy is it to do status updates, share them, take actions on those updates, and evaluate progress and modify the plan collaboratively based on those updates?</v>
      </c>
    </row>
    <row r="396" spans="1:14" ht="60">
      <c r="A396" s="138">
        <v>396</v>
      </c>
      <c r="B396" s="142">
        <v>6</v>
      </c>
      <c r="C396" s="142">
        <v>24</v>
      </c>
      <c r="D396" s="142">
        <v>345</v>
      </c>
      <c r="E396" s="142" t="s">
        <v>1713</v>
      </c>
      <c r="F396" s="142">
        <f>INDEX(SuiteCatSub!$E$2:$E$55,MATCH(_xlfn.CONCAT(B396,"-",C396),SuiteCatSub!$F$2:$F$55,0))</f>
        <v>44</v>
      </c>
      <c r="G396" s="142">
        <v>532</v>
      </c>
      <c r="H396" s="142">
        <f>VLOOKUP(G396,SuiteCatSubElem_Version!$I$2:$J$667,2,0)</f>
        <v>346</v>
      </c>
      <c r="I396" s="146" t="s">
        <v>1423</v>
      </c>
      <c r="J396" s="144" t="str">
        <f>VLOOKUP(B396,Categories!$A$2:$C$8,3,0)</f>
        <v>Supplier Relationship Management</v>
      </c>
      <c r="K396" s="147"/>
      <c r="L396" s="144" t="str">
        <f>VLOOKUP(C396,Subcategories!$A$2:$B$29,2,0)</f>
        <v>SXM</v>
      </c>
      <c r="M396" s="144" t="str">
        <f>VLOOKUP(D396,Elements!$B$2:$C$435,2,0)</f>
        <v>Resolution Mechanisms</v>
      </c>
      <c r="N396" s="144" t="str">
        <f>VLOOKUP(H396,ElementVariants!$A$2:$B$460,2,0)</f>
        <v>What does the platform support in the way of resolution mechanisms? How are these tied to issue tracking, milestones, and statuses, and how effective are they in closing corrective actions?</v>
      </c>
    </row>
    <row r="397" spans="1:14" ht="60">
      <c r="A397" s="138">
        <v>397</v>
      </c>
      <c r="B397" s="142">
        <v>6</v>
      </c>
      <c r="C397" s="142">
        <v>24</v>
      </c>
      <c r="D397" s="142">
        <v>346</v>
      </c>
      <c r="E397" s="142" t="s">
        <v>1714</v>
      </c>
      <c r="F397" s="142">
        <f>INDEX(SuiteCatSub!$E$2:$E$55,MATCH(_xlfn.CONCAT(B397,"-",C397),SuiteCatSub!$F$2:$F$55,0))</f>
        <v>44</v>
      </c>
      <c r="G397" s="142">
        <v>533</v>
      </c>
      <c r="H397" s="142">
        <f>VLOOKUP(G397,SuiteCatSubElem_Version!$I$2:$J$667,2,0)</f>
        <v>347</v>
      </c>
      <c r="I397" s="146" t="s">
        <v>1423</v>
      </c>
      <c r="J397" s="144" t="str">
        <f>VLOOKUP(B397,Categories!$A$2:$C$8,3,0)</f>
        <v>Supplier Relationship Management</v>
      </c>
      <c r="K397" s="147"/>
      <c r="L397" s="144" t="str">
        <f>VLOOKUP(C397,Subcategories!$A$2:$B$29,2,0)</f>
        <v>SXM</v>
      </c>
      <c r="M397" s="144" t="str">
        <f>VLOOKUP(D397,Elements!$B$2:$C$435,2,0)</f>
        <v>Measurement</v>
      </c>
      <c r="N397" s="144" t="str">
        <f>VLOOKUP(H397,ElementVariants!$A$2:$B$460,2,0)</f>
        <v>What degree of measurement, and metric, support is included in the platform?</v>
      </c>
    </row>
    <row r="398" spans="1:14" ht="60">
      <c r="A398" s="138">
        <v>398</v>
      </c>
      <c r="B398" s="142">
        <v>6</v>
      </c>
      <c r="C398" s="142">
        <v>24</v>
      </c>
      <c r="D398" s="142">
        <v>347</v>
      </c>
      <c r="E398" s="142" t="s">
        <v>1715</v>
      </c>
      <c r="F398" s="142">
        <f>INDEX(SuiteCatSub!$E$2:$E$55,MATCH(_xlfn.CONCAT(B398,"-",C398),SuiteCatSub!$F$2:$F$55,0))</f>
        <v>44</v>
      </c>
      <c r="G398" s="142">
        <v>534</v>
      </c>
      <c r="H398" s="142">
        <f>VLOOKUP(G398,SuiteCatSubElem_Version!$I$2:$J$667,2,0)</f>
        <v>348</v>
      </c>
      <c r="I398" s="146" t="s">
        <v>1423</v>
      </c>
      <c r="J398" s="144" t="str">
        <f>VLOOKUP(B398,Categories!$A$2:$C$8,3,0)</f>
        <v>Supplier Relationship Management</v>
      </c>
      <c r="K398" s="147"/>
      <c r="L398" s="144" t="str">
        <f>VLOOKUP(C398,Subcategories!$A$2:$B$29,2,0)</f>
        <v>SXM</v>
      </c>
      <c r="M398" s="144" t="str">
        <f>VLOOKUP(D398,Elements!$B$2:$C$435,2,0)</f>
        <v>Survey Integration</v>
      </c>
      <c r="N398" s="144" t="str">
        <f>VLOOKUP(H398,ElementVariants!$A$2:$B$460,2,0)</f>
        <v>Does the platform integrate with, or provide, leading survey functionality that can gather all of the subjective rankings required for complete supplier performance analysis?</v>
      </c>
    </row>
    <row r="399" spans="1:14" ht="60">
      <c r="A399" s="138">
        <v>399</v>
      </c>
      <c r="B399" s="142">
        <v>6</v>
      </c>
      <c r="C399" s="142">
        <v>24</v>
      </c>
      <c r="D399" s="142">
        <v>348</v>
      </c>
      <c r="E399" s="142" t="s">
        <v>1716</v>
      </c>
      <c r="F399" s="142">
        <f>INDEX(SuiteCatSub!$E$2:$E$55,MATCH(_xlfn.CONCAT(B399,"-",C399),SuiteCatSub!$F$2:$F$55,0))</f>
        <v>44</v>
      </c>
      <c r="G399" s="142">
        <v>535</v>
      </c>
      <c r="H399" s="142">
        <f>VLOOKUP(G399,SuiteCatSubElem_Version!$I$2:$J$667,2,0)</f>
        <v>349</v>
      </c>
      <c r="I399" s="146" t="s">
        <v>1423</v>
      </c>
      <c r="J399" s="144" t="str">
        <f>VLOOKUP(B399,Categories!$A$2:$C$8,3,0)</f>
        <v>Supplier Relationship Management</v>
      </c>
      <c r="K399" s="147"/>
      <c r="L399" s="144" t="str">
        <f>VLOOKUP(C399,Subcategories!$A$2:$B$29,2,0)</f>
        <v>SXM</v>
      </c>
      <c r="M399" s="144" t="str">
        <f>VLOOKUP(D399,Elements!$B$2:$C$435,2,0)</f>
        <v>Formulaic Metric Definition on Raw Data</v>
      </c>
      <c r="N399" s="144" t="str">
        <f>VLOOKUP(H399,ElementVariants!$A$2:$B$460,2,0)</f>
        <v>How advanced is the formulaic support, necessary for KPI calculations for effective 360-degree scorecards? Is it limited to simple algebraic operators, or statistical functions, or advanced mathematical formula defined over multiple levels of data?</v>
      </c>
    </row>
    <row r="400" spans="1:14" ht="60">
      <c r="A400" s="138">
        <v>400</v>
      </c>
      <c r="B400" s="142">
        <v>6</v>
      </c>
      <c r="C400" s="142">
        <v>24</v>
      </c>
      <c r="D400" s="142">
        <v>218</v>
      </c>
      <c r="E400" s="142" t="s">
        <v>1717</v>
      </c>
      <c r="F400" s="142">
        <f>INDEX(SuiteCatSub!$E$2:$E$55,MATCH(_xlfn.CONCAT(B400,"-",C400),SuiteCatSub!$F$2:$F$55,0))</f>
        <v>44</v>
      </c>
      <c r="G400" s="142">
        <v>536</v>
      </c>
      <c r="H400" s="142">
        <f>VLOOKUP(G400,SuiteCatSubElem_Version!$I$2:$J$667,2,0)</f>
        <v>218</v>
      </c>
      <c r="I400" s="146" t="s">
        <v>1423</v>
      </c>
      <c r="J400" s="144" t="str">
        <f>VLOOKUP(B400,Categories!$A$2:$C$8,3,0)</f>
        <v>Supplier Relationship Management</v>
      </c>
      <c r="K400" s="147"/>
      <c r="L400" s="144" t="str">
        <f>VLOOKUP(C400,Subcategories!$A$2:$B$29,2,0)</f>
        <v>SXM</v>
      </c>
      <c r="M400" s="144" t="str">
        <f>VLOOKUP(D400,Elements!$B$2:$C$435,2,0)</f>
        <v>3rd Party Data Integration</v>
      </c>
      <c r="N400" s="144" t="str">
        <f>VLOOKUP(H400,ElementVariants!$A$2:$B$460,2,0)</f>
        <v>What is the capability to integrate 3rd party data feeds, preferably as needed, in real time, for updates as often as daily (if available), and how many feeds are integrated out-of-the-box?</v>
      </c>
    </row>
    <row r="401" spans="1:14" ht="60">
      <c r="A401" s="138">
        <v>401</v>
      </c>
      <c r="B401" s="142">
        <v>6</v>
      </c>
      <c r="C401" s="142">
        <v>24</v>
      </c>
      <c r="D401" s="142">
        <v>349</v>
      </c>
      <c r="E401" s="142" t="s">
        <v>1718</v>
      </c>
      <c r="F401" s="142">
        <f>INDEX(SuiteCatSub!$E$2:$E$55,MATCH(_xlfn.CONCAT(B401,"-",C401),SuiteCatSub!$F$2:$F$55,0))</f>
        <v>44</v>
      </c>
      <c r="G401" s="142">
        <v>537</v>
      </c>
      <c r="H401" s="142">
        <f>VLOOKUP(G401,SuiteCatSubElem_Version!$I$2:$J$667,2,0)</f>
        <v>350</v>
      </c>
      <c r="I401" s="146" t="s">
        <v>1423</v>
      </c>
      <c r="J401" s="144" t="str">
        <f>VLOOKUP(B401,Categories!$A$2:$C$8,3,0)</f>
        <v>Supplier Relationship Management</v>
      </c>
      <c r="K401" s="147"/>
      <c r="L401" s="144" t="str">
        <f>VLOOKUP(C401,Subcategories!$A$2:$B$29,2,0)</f>
        <v>SXM</v>
      </c>
      <c r="M401" s="144" t="str">
        <f>VLOOKUP(D401,Elements!$B$2:$C$435,2,0)</f>
        <v>Scorecards w/ Automatic Updates</v>
      </c>
      <c r="N401" s="144" t="str">
        <f>VLOOKUP(H401,ElementVariants!$A$2:$B$460,2,0)</f>
        <v>How deep is the scorecard functionality, how extensive is the KPI functionality, and what is the ability to update the scorecards in real time, compute trends, detect changes, and alert key personnel?</v>
      </c>
    </row>
    <row r="402" spans="1:14" ht="60">
      <c r="A402" s="138">
        <v>402</v>
      </c>
      <c r="B402" s="142">
        <v>6</v>
      </c>
      <c r="C402" s="142">
        <v>24</v>
      </c>
      <c r="D402" s="142">
        <v>350</v>
      </c>
      <c r="E402" s="142" t="s">
        <v>1719</v>
      </c>
      <c r="F402" s="142">
        <f>INDEX(SuiteCatSub!$E$2:$E$55,MATCH(_xlfn.CONCAT(B402,"-",C402),SuiteCatSub!$F$2:$F$55,0))</f>
        <v>44</v>
      </c>
      <c r="G402" s="142">
        <v>538</v>
      </c>
      <c r="H402" s="142">
        <f>VLOOKUP(G402,SuiteCatSubElem_Version!$I$2:$J$667,2,0)</f>
        <v>351</v>
      </c>
      <c r="I402" s="146" t="s">
        <v>1423</v>
      </c>
      <c r="J402" s="144" t="str">
        <f>VLOOKUP(B402,Categories!$A$2:$C$8,3,0)</f>
        <v>Supplier Relationship Management</v>
      </c>
      <c r="K402" s="147"/>
      <c r="L402" s="144" t="str">
        <f>VLOOKUP(C402,Subcategories!$A$2:$B$29,2,0)</f>
        <v>SXM</v>
      </c>
      <c r="M402" s="144" t="str">
        <f>VLOOKUP(D402,Elements!$B$2:$C$435,2,0)</f>
        <v>Development &amp; Innovation Management</v>
      </c>
      <c r="N402" s="144" t="str">
        <f>VLOOKUP(H402,ElementVariants!$A$2:$B$460,2,0)</f>
        <v>How much support for development and innovation management is built into the platform?</v>
      </c>
    </row>
    <row r="403" spans="1:14" ht="60">
      <c r="A403" s="138">
        <v>403</v>
      </c>
      <c r="B403" s="142">
        <v>6</v>
      </c>
      <c r="C403" s="142">
        <v>24</v>
      </c>
      <c r="D403" s="142">
        <v>351</v>
      </c>
      <c r="E403" s="142" t="s">
        <v>1720</v>
      </c>
      <c r="F403" s="142">
        <f>INDEX(SuiteCatSub!$E$2:$E$55,MATCH(_xlfn.CONCAT(B403,"-",C403),SuiteCatSub!$F$2:$F$55,0))</f>
        <v>44</v>
      </c>
      <c r="G403" s="142">
        <v>539</v>
      </c>
      <c r="H403" s="142">
        <f>VLOOKUP(G403,SuiteCatSubElem_Version!$I$2:$J$667,2,0)</f>
        <v>352</v>
      </c>
      <c r="I403" s="146" t="s">
        <v>1423</v>
      </c>
      <c r="J403" s="144" t="str">
        <f>VLOOKUP(B403,Categories!$A$2:$C$8,3,0)</f>
        <v>Supplier Relationship Management</v>
      </c>
      <c r="K403" s="147"/>
      <c r="L403" s="144" t="str">
        <f>VLOOKUP(C403,Subcategories!$A$2:$B$29,2,0)</f>
        <v>SXM</v>
      </c>
      <c r="M403" s="144" t="str">
        <f>VLOOKUP(D403,Elements!$B$2:$C$435,2,0)</f>
        <v>Challenge Definition</v>
      </c>
      <c r="N403" s="144" t="str">
        <f>VLOOKUP(H403,ElementVariants!$A$2:$B$460,2,0)</f>
        <v>What kind of support is included for the definition, and management, of innovation challenges? Is it just push a request, pull some responses? A collaborative forum? The ability to break it up and possibly award different steps of a challenge to multiple parties?</v>
      </c>
    </row>
    <row r="404" spans="1:14" ht="60">
      <c r="A404" s="138">
        <v>404</v>
      </c>
      <c r="B404" s="142">
        <v>6</v>
      </c>
      <c r="C404" s="142">
        <v>24</v>
      </c>
      <c r="D404" s="142">
        <v>352</v>
      </c>
      <c r="E404" s="142" t="s">
        <v>1721</v>
      </c>
      <c r="F404" s="142">
        <f>INDEX(SuiteCatSub!$E$2:$E$55,MATCH(_xlfn.CONCAT(B404,"-",C404),SuiteCatSub!$F$2:$F$55,0))</f>
        <v>44</v>
      </c>
      <c r="G404" s="142">
        <v>540</v>
      </c>
      <c r="H404" s="142">
        <f>VLOOKUP(G404,SuiteCatSubElem_Version!$I$2:$J$667,2,0)</f>
        <v>353</v>
      </c>
      <c r="I404" s="146" t="s">
        <v>1423</v>
      </c>
      <c r="J404" s="144" t="str">
        <f>VLOOKUP(B404,Categories!$A$2:$C$8,3,0)</f>
        <v>Supplier Relationship Management</v>
      </c>
      <c r="K404" s="147"/>
      <c r="L404" s="144" t="str">
        <f>VLOOKUP(C404,Subcategories!$A$2:$B$29,2,0)</f>
        <v>SXM</v>
      </c>
      <c r="M404" s="144" t="str">
        <f>VLOOKUP(D404,Elements!$B$2:$C$435,2,0)</f>
        <v>Unsolicited Idea Management</v>
      </c>
      <c r="N404" s="144" t="str">
        <f>VLOOKUP(H404,ElementVariants!$A$2:$B$460,2,0)</f>
        <v>Can suppliers contribute ideas unsolicited? How are they managed to make sure no good idea slips through the cracks? Can they be turned into challenges if they are the start, but not the end, of a need, possibly as a three-way collaboration project (that could result in a joint award)?</v>
      </c>
    </row>
    <row r="405" spans="1:14" ht="60">
      <c r="A405" s="138">
        <v>405</v>
      </c>
      <c r="B405" s="142">
        <v>6</v>
      </c>
      <c r="C405" s="142">
        <v>24</v>
      </c>
      <c r="D405" s="142">
        <v>353</v>
      </c>
      <c r="E405" s="142" t="s">
        <v>1722</v>
      </c>
      <c r="F405" s="142">
        <f>INDEX(SuiteCatSub!$E$2:$E$55,MATCH(_xlfn.CONCAT(B405,"-",C405),SuiteCatSub!$F$2:$F$55,0))</f>
        <v>44</v>
      </c>
      <c r="G405" s="142">
        <v>541</v>
      </c>
      <c r="H405" s="142">
        <f>VLOOKUP(G405,SuiteCatSubElem_Version!$I$2:$J$667,2,0)</f>
        <v>354</v>
      </c>
      <c r="I405" s="146" t="s">
        <v>1423</v>
      </c>
      <c r="J405" s="144" t="str">
        <f>VLOOKUP(B405,Categories!$A$2:$C$8,3,0)</f>
        <v>Supplier Relationship Management</v>
      </c>
      <c r="K405" s="147"/>
      <c r="L405" s="144" t="str">
        <f>VLOOKUP(C405,Subcategories!$A$2:$B$29,2,0)</f>
        <v>SXM</v>
      </c>
      <c r="M405" s="144" t="str">
        <f>VLOOKUP(D405,Elements!$B$2:$C$435,2,0)</f>
        <v>Review and Decision Support</v>
      </c>
      <c r="N405" s="144" t="str">
        <f>VLOOKUP(H405,ElementVariants!$A$2:$B$460,2,0)</f>
        <v>What level of review and decision support is included? Are multi-level approvals supported? Can the buying team work collaboratively? Can the suppliers provide feedback at appropriate points?</v>
      </c>
    </row>
    <row r="406" spans="1:14" ht="60">
      <c r="A406" s="138">
        <v>406</v>
      </c>
      <c r="B406" s="142">
        <v>6</v>
      </c>
      <c r="C406" s="142">
        <v>24</v>
      </c>
      <c r="D406" s="142">
        <v>354</v>
      </c>
      <c r="E406" s="142" t="s">
        <v>1723</v>
      </c>
      <c r="F406" s="142">
        <f>INDEX(SuiteCatSub!$E$2:$E$55,MATCH(_xlfn.CONCAT(B406,"-",C406),SuiteCatSub!$F$2:$F$55,0))</f>
        <v>44</v>
      </c>
      <c r="G406" s="142">
        <v>542</v>
      </c>
      <c r="H406" s="142">
        <f>VLOOKUP(G406,SuiteCatSubElem_Version!$I$2:$J$667,2,0)</f>
        <v>355</v>
      </c>
      <c r="I406" s="146" t="s">
        <v>1423</v>
      </c>
      <c r="J406" s="144" t="str">
        <f>VLOOKUP(B406,Categories!$A$2:$C$8,3,0)</f>
        <v>Supplier Relationship Management</v>
      </c>
      <c r="K406" s="147"/>
      <c r="L406" s="144" t="str">
        <f>VLOOKUP(C406,Subcategories!$A$2:$B$29,2,0)</f>
        <v>SXM</v>
      </c>
      <c r="M406" s="144" t="str">
        <f>VLOOKUP(D406,Elements!$B$2:$C$435,2,0)</f>
        <v>Monitoring</v>
      </c>
      <c r="N406" s="144" t="str">
        <f>VLOOKUP(H406,ElementVariants!$A$2:$B$460,2,0)</f>
        <v>What level of data monitoring is included in the SXM application and how is it integrated with the scorecards and benchmarking?</v>
      </c>
    </row>
    <row r="407" spans="1:14" ht="60">
      <c r="A407" s="138">
        <v>407</v>
      </c>
      <c r="B407" s="142">
        <v>6</v>
      </c>
      <c r="C407" s="142">
        <v>24</v>
      </c>
      <c r="D407" s="142">
        <v>355</v>
      </c>
      <c r="E407" s="142" t="s">
        <v>1724</v>
      </c>
      <c r="F407" s="142">
        <f>INDEX(SuiteCatSub!$E$2:$E$55,MATCH(_xlfn.CONCAT(B407,"-",C407),SuiteCatSub!$F$2:$F$55,0))</f>
        <v>44</v>
      </c>
      <c r="G407" s="142">
        <v>543</v>
      </c>
      <c r="H407" s="142">
        <f>VLOOKUP(G407,SuiteCatSubElem_Version!$I$2:$J$667,2,0)</f>
        <v>356</v>
      </c>
      <c r="I407" s="146" t="s">
        <v>1423</v>
      </c>
      <c r="J407" s="144" t="str">
        <f>VLOOKUP(B407,Categories!$A$2:$C$8,3,0)</f>
        <v>Supplier Relationship Management</v>
      </c>
      <c r="K407" s="147"/>
      <c r="L407" s="144" t="str">
        <f>VLOOKUP(C407,Subcategories!$A$2:$B$29,2,0)</f>
        <v>SXM</v>
      </c>
      <c r="M407" s="144" t="str">
        <f>VLOOKUP(D407,Elements!$B$2:$C$435,2,0)</f>
        <v>Automatic Data / Scorecard Updates</v>
      </c>
      <c r="N407" s="144" t="str">
        <f>VLOOKUP(H407,ElementVariants!$A$2:$B$460,2,0)</f>
        <v>Can the scorecards be automatically updated with relevant data? How often? What level of application and feed integration is supported?</v>
      </c>
    </row>
    <row r="408" spans="1:14" ht="60">
      <c r="A408" s="138">
        <v>408</v>
      </c>
      <c r="B408" s="142">
        <v>6</v>
      </c>
      <c r="C408" s="142">
        <v>24</v>
      </c>
      <c r="D408" s="142">
        <v>356</v>
      </c>
      <c r="E408" s="142" t="s">
        <v>1725</v>
      </c>
      <c r="F408" s="142">
        <f>INDEX(SuiteCatSub!$E$2:$E$55,MATCH(_xlfn.CONCAT(B408,"-",C408),SuiteCatSub!$F$2:$F$55,0))</f>
        <v>44</v>
      </c>
      <c r="G408" s="142">
        <v>544</v>
      </c>
      <c r="H408" s="142">
        <f>VLOOKUP(G408,SuiteCatSubElem_Version!$I$2:$J$667,2,0)</f>
        <v>357</v>
      </c>
      <c r="I408" s="146" t="s">
        <v>1423</v>
      </c>
      <c r="J408" s="144" t="str">
        <f>VLOOKUP(B408,Categories!$A$2:$C$8,3,0)</f>
        <v>Supplier Relationship Management</v>
      </c>
      <c r="K408" s="147"/>
      <c r="L408" s="144" t="str">
        <f>VLOOKUP(C408,Subcategories!$A$2:$B$29,2,0)</f>
        <v>SXM</v>
      </c>
      <c r="M408" s="144" t="str">
        <f>VLOOKUP(D408,Elements!$B$2:$C$435,2,0)</f>
        <v>Alerts &amp; Notification</v>
      </c>
      <c r="N408" s="144" t="str">
        <f>VLOOKUP(H408,ElementVariants!$A$2:$B$460,2,0)</f>
        <v>Can alerts be defined that notify an individual when scorecards drop below a threshold, trends change, changes happen faster or slower than expected, or other relevant factors that need to be monitored?</v>
      </c>
    </row>
    <row r="409" spans="1:14" ht="60">
      <c r="A409" s="138">
        <v>409</v>
      </c>
      <c r="B409" s="142">
        <v>6</v>
      </c>
      <c r="C409" s="142">
        <v>24</v>
      </c>
      <c r="D409" s="142">
        <v>357</v>
      </c>
      <c r="E409" s="142" t="s">
        <v>1726</v>
      </c>
      <c r="F409" s="142">
        <f>INDEX(SuiteCatSub!$E$2:$E$55,MATCH(_xlfn.CONCAT(B409,"-",C409),SuiteCatSub!$F$2:$F$55,0))</f>
        <v>44</v>
      </c>
      <c r="G409" s="142">
        <v>545</v>
      </c>
      <c r="H409" s="142">
        <f>VLOOKUP(G409,SuiteCatSubElem_Version!$I$2:$J$667,2,0)</f>
        <v>358</v>
      </c>
      <c r="I409" s="146" t="s">
        <v>1423</v>
      </c>
      <c r="J409" s="144" t="str">
        <f>VLOOKUP(B409,Categories!$A$2:$C$8,3,0)</f>
        <v>Supplier Relationship Management</v>
      </c>
      <c r="K409" s="147"/>
      <c r="L409" s="144" t="str">
        <f>VLOOKUP(C409,Subcategories!$A$2:$B$29,2,0)</f>
        <v>SXM</v>
      </c>
      <c r="M409" s="144" t="str">
        <f>VLOOKUP(D409,Elements!$B$2:$C$435,2,0)</f>
        <v>Integration with CAR/CAM</v>
      </c>
      <c r="N409" s="144" t="str">
        <f>VLOOKUP(H409,ElementVariants!$A$2:$B$460,2,0)</f>
        <v>Does it integrate with the CAR/CAM functionality and allow the buying organization to be notified when statuses change, input is provided, or milestone deadlines are not met?</v>
      </c>
    </row>
    <row r="410" spans="1:14" ht="60">
      <c r="A410" s="138">
        <v>410</v>
      </c>
      <c r="B410" s="142">
        <v>6</v>
      </c>
      <c r="C410" s="142">
        <v>24</v>
      </c>
      <c r="D410" s="142">
        <v>358</v>
      </c>
      <c r="E410" s="142" t="s">
        <v>1727</v>
      </c>
      <c r="F410" s="142">
        <f>INDEX(SuiteCatSub!$E$2:$E$55,MATCH(_xlfn.CONCAT(B410,"-",C410),SuiteCatSub!$F$2:$F$55,0))</f>
        <v>44</v>
      </c>
      <c r="G410" s="142">
        <v>546</v>
      </c>
      <c r="H410" s="142">
        <f>VLOOKUP(G410,SuiteCatSubElem_Version!$I$2:$J$667,2,0)</f>
        <v>359</v>
      </c>
      <c r="I410" s="146" t="s">
        <v>1423</v>
      </c>
      <c r="J410" s="144" t="str">
        <f>VLOOKUP(B410,Categories!$A$2:$C$8,3,0)</f>
        <v>Supplier Relationship Management</v>
      </c>
      <c r="K410" s="147"/>
      <c r="L410" s="144" t="str">
        <f>VLOOKUP(C410,Subcategories!$A$2:$B$29,2,0)</f>
        <v>SXM</v>
      </c>
      <c r="M410" s="144" t="str">
        <f>VLOOKUP(D410,Elements!$B$2:$C$435,2,0)</f>
        <v>Risk Management</v>
      </c>
      <c r="N410" s="144" t="str">
        <f>VLOOKUP(H410,ElementVariants!$A$2:$B$460,2,0)</f>
        <v>To what extent does the platform support risk identification, management, and monitoring?</v>
      </c>
    </row>
    <row r="411" spans="1:14" ht="60">
      <c r="A411" s="138">
        <v>411</v>
      </c>
      <c r="B411" s="142">
        <v>6</v>
      </c>
      <c r="C411" s="142">
        <v>24</v>
      </c>
      <c r="D411" s="142">
        <v>359</v>
      </c>
      <c r="E411" s="142" t="s">
        <v>1728</v>
      </c>
      <c r="F411" s="142">
        <f>INDEX(SuiteCatSub!$E$2:$E$55,MATCH(_xlfn.CONCAT(B411,"-",C411),SuiteCatSub!$F$2:$F$55,0))</f>
        <v>44</v>
      </c>
      <c r="G411" s="142">
        <v>547</v>
      </c>
      <c r="H411" s="142">
        <f>VLOOKUP(G411,SuiteCatSubElem_Version!$I$2:$J$667,2,0)</f>
        <v>360</v>
      </c>
      <c r="I411" s="146" t="s">
        <v>1423</v>
      </c>
      <c r="J411" s="144" t="str">
        <f>VLOOKUP(B411,Categories!$A$2:$C$8,3,0)</f>
        <v>Supplier Relationship Management</v>
      </c>
      <c r="K411" s="147"/>
      <c r="L411" s="144" t="str">
        <f>VLOOKUP(C411,Subcategories!$A$2:$B$29,2,0)</f>
        <v>SXM</v>
      </c>
      <c r="M411" s="144" t="str">
        <f>VLOOKUP(D411,Elements!$B$2:$C$435,2,0)</f>
        <v>Risk Identification</v>
      </c>
      <c r="N411" s="144" t="str">
        <f>VLOOKUP(H411,ElementVariants!$A$2:$B$460,2,0)</f>
        <v>What is the extent of risk identification? Is it limited to manual identification, definition and data entry or does it come with the capability to identify risks based on key supplier data, scorecards, trends, and/ or an appropriate cross-section of such data?</v>
      </c>
    </row>
    <row r="412" spans="1:14" ht="60">
      <c r="A412" s="138">
        <v>412</v>
      </c>
      <c r="B412" s="142">
        <v>6</v>
      </c>
      <c r="C412" s="142">
        <v>24</v>
      </c>
      <c r="D412" s="142">
        <v>360</v>
      </c>
      <c r="E412" s="142" t="s">
        <v>1729</v>
      </c>
      <c r="F412" s="142">
        <f>INDEX(SuiteCatSub!$E$2:$E$55,MATCH(_xlfn.CONCAT(B412,"-",C412),SuiteCatSub!$F$2:$F$55,0))</f>
        <v>44</v>
      </c>
      <c r="G412" s="142">
        <v>548</v>
      </c>
      <c r="H412" s="142">
        <f>VLOOKUP(G412,SuiteCatSubElem_Version!$I$2:$J$667,2,0)</f>
        <v>361</v>
      </c>
      <c r="I412" s="146" t="s">
        <v>1423</v>
      </c>
      <c r="J412" s="144" t="str">
        <f>VLOOKUP(B412,Categories!$A$2:$C$8,3,0)</f>
        <v>Supplier Relationship Management</v>
      </c>
      <c r="K412" s="147"/>
      <c r="L412" s="144" t="str">
        <f>VLOOKUP(C412,Subcategories!$A$2:$B$29,2,0)</f>
        <v>SXM</v>
      </c>
      <c r="M412" s="144" t="str">
        <f>VLOOKUP(D412,Elements!$B$2:$C$435,2,0)</f>
        <v>Mitigation Plan</v>
      </c>
      <c r="N412" s="144" t="str">
        <f>VLOOKUP(H412,ElementVariants!$A$2:$B$460,2,0)</f>
        <v>Does the system support the creation of mitigation plans? And are they completely manual, or can they be automatically generated from templates based on key risk identifiers?</v>
      </c>
    </row>
    <row r="413" spans="1:14" ht="60">
      <c r="A413" s="138">
        <v>413</v>
      </c>
      <c r="B413" s="142">
        <v>6</v>
      </c>
      <c r="C413" s="142">
        <v>24</v>
      </c>
      <c r="D413" s="142">
        <v>361</v>
      </c>
      <c r="E413" s="142" t="s">
        <v>1730</v>
      </c>
      <c r="F413" s="142">
        <f>INDEX(SuiteCatSub!$E$2:$E$55,MATCH(_xlfn.CONCAT(B413,"-",C413),SuiteCatSub!$F$2:$F$55,0))</f>
        <v>44</v>
      </c>
      <c r="G413" s="142">
        <v>549</v>
      </c>
      <c r="H413" s="142">
        <f>VLOOKUP(G413,SuiteCatSubElem_Version!$I$2:$J$667,2,0)</f>
        <v>362</v>
      </c>
      <c r="I413" s="146" t="s">
        <v>1423</v>
      </c>
      <c r="J413" s="144" t="str">
        <f>VLOOKUP(B413,Categories!$A$2:$C$8,3,0)</f>
        <v>Supplier Relationship Management</v>
      </c>
      <c r="K413" s="147"/>
      <c r="L413" s="144" t="str">
        <f>VLOOKUP(C413,Subcategories!$A$2:$B$29,2,0)</f>
        <v>SXM</v>
      </c>
      <c r="M413" s="144" t="str">
        <f>VLOOKUP(D413,Elements!$B$2:$C$435,2,0)</f>
        <v>Trend Monitoring</v>
      </c>
      <c r="N413" s="144" t="str">
        <f>VLOOKUP(H413,ElementVariants!$A$2:$B$460,2,0)</f>
        <v>What is the extent of trend definition and monitoring in the system? Can the trends be mapped to, and monitored against, different distributions? Can advanced forecasting algorithms be applied? Are the included and integrated?</v>
      </c>
    </row>
    <row r="414" spans="1:14" ht="60">
      <c r="A414" s="138">
        <v>414</v>
      </c>
      <c r="B414" s="142">
        <v>6</v>
      </c>
      <c r="C414" s="142">
        <v>24</v>
      </c>
      <c r="D414" s="142">
        <v>221</v>
      </c>
      <c r="E414" s="142" t="s">
        <v>1731</v>
      </c>
      <c r="F414" s="142">
        <f>INDEX(SuiteCatSub!$E$2:$E$55,MATCH(_xlfn.CONCAT(B414,"-",C414),SuiteCatSub!$F$2:$F$55,0))</f>
        <v>44</v>
      </c>
      <c r="G414" s="142">
        <v>550</v>
      </c>
      <c r="H414" s="142">
        <f>VLOOKUP(G414,SuiteCatSubElem_Version!$I$2:$J$667,2,0)</f>
        <v>221</v>
      </c>
      <c r="I414" s="146" t="s">
        <v>1423</v>
      </c>
      <c r="J414" s="144" t="str">
        <f>VLOOKUP(B414,Categories!$A$2:$C$8,3,0)</f>
        <v>Supplier Relationship Management</v>
      </c>
      <c r="K414" s="147"/>
      <c r="L414" s="144" t="str">
        <f>VLOOKUP(C414,Subcategories!$A$2:$B$29,2,0)</f>
        <v>SXM</v>
      </c>
      <c r="M414" s="144" t="str">
        <f>VLOOKUP(D414,Elements!$B$2:$C$435,2,0)</f>
        <v>Event Monitoring</v>
      </c>
      <c r="N414" s="144" t="str">
        <f>VLOOKUP(H414,ElementVariants!$A$2:$B$460,2,0)</f>
        <v>What is the extent of event monitoring in the platform? Is it limited to external data feed integration, or does it support semantic monitoring of news sources? What about sentiment analysis and third party evaluations and projections? Are the technologies embedded or integrated 3rd party platforms (through APIs). To what extent, if any, is risk monitoring supported?</v>
      </c>
    </row>
    <row r="415" spans="1:14" ht="60">
      <c r="A415" s="138">
        <v>415</v>
      </c>
      <c r="B415" s="142">
        <v>6</v>
      </c>
      <c r="C415" s="142">
        <v>24</v>
      </c>
      <c r="D415" s="142">
        <v>362</v>
      </c>
      <c r="E415" s="142" t="s">
        <v>1732</v>
      </c>
      <c r="F415" s="142">
        <f>INDEX(SuiteCatSub!$E$2:$E$55,MATCH(_xlfn.CONCAT(B415,"-",C415),SuiteCatSub!$F$2:$F$55,0))</f>
        <v>44</v>
      </c>
      <c r="G415" s="142">
        <v>551</v>
      </c>
      <c r="H415" s="142">
        <f>VLOOKUP(G415,SuiteCatSubElem_Version!$I$2:$J$667,2,0)</f>
        <v>363</v>
      </c>
      <c r="I415" s="146" t="s">
        <v>1423</v>
      </c>
      <c r="J415" s="144" t="str">
        <f>VLOOKUP(B415,Categories!$A$2:$C$8,3,0)</f>
        <v>Supplier Relationship Management</v>
      </c>
      <c r="K415" s="147"/>
      <c r="L415" s="144" t="str">
        <f>VLOOKUP(C415,Subcategories!$A$2:$B$29,2,0)</f>
        <v>SXM</v>
      </c>
      <c r="M415" s="144" t="str">
        <f>VLOOKUP(D415,Elements!$B$2:$C$435,2,0)</f>
        <v>NPD / NPI</v>
      </c>
      <c r="N415" s="144" t="str">
        <f>VLOOKUP(H415,ElementVariants!$A$2:$B$460,2,0)</f>
        <v>To what extent does the platform support new product development and/or new product introduction?</v>
      </c>
    </row>
    <row r="416" spans="1:14" ht="60">
      <c r="A416" s="138">
        <v>416</v>
      </c>
      <c r="B416" s="142">
        <v>6</v>
      </c>
      <c r="C416" s="142">
        <v>24</v>
      </c>
      <c r="D416" s="142">
        <v>363</v>
      </c>
      <c r="E416" s="142" t="s">
        <v>1733</v>
      </c>
      <c r="F416" s="142">
        <f>INDEX(SuiteCatSub!$E$2:$E$55,MATCH(_xlfn.CONCAT(B416,"-",C416),SuiteCatSub!$F$2:$F$55,0))</f>
        <v>44</v>
      </c>
      <c r="G416" s="142">
        <v>552</v>
      </c>
      <c r="H416" s="142">
        <f>VLOOKUP(G416,SuiteCatSubElem_Version!$I$2:$J$667,2,0)</f>
        <v>364</v>
      </c>
      <c r="I416" s="146" t="s">
        <v>1423</v>
      </c>
      <c r="J416" s="144" t="str">
        <f>VLOOKUP(B416,Categories!$A$2:$C$8,3,0)</f>
        <v>Supplier Relationship Management</v>
      </c>
      <c r="K416" s="147"/>
      <c r="L416" s="144" t="str">
        <f>VLOOKUP(C416,Subcategories!$A$2:$B$29,2,0)</f>
        <v>SXM</v>
      </c>
      <c r="M416" s="144" t="str">
        <f>VLOOKUP(D416,Elements!$B$2:$C$435,2,0)</f>
        <v>Product Management</v>
      </c>
      <c r="N416" s="144" t="str">
        <f>VLOOKUP(H416,ElementVariants!$A$2:$B$460,2,0)</f>
        <v>How extensible is the product management capability? Is it limited to bill of material definition or can it be used to define should cost models, alternative designs, and real-time market data tracking?</v>
      </c>
    </row>
    <row r="417" spans="1:14" ht="60">
      <c r="A417" s="138">
        <v>417</v>
      </c>
      <c r="B417" s="142">
        <v>6</v>
      </c>
      <c r="C417" s="142">
        <v>24</v>
      </c>
      <c r="D417" s="142">
        <v>364</v>
      </c>
      <c r="E417" s="142" t="s">
        <v>1734</v>
      </c>
      <c r="F417" s="142">
        <f>INDEX(SuiteCatSub!$E$2:$E$55,MATCH(_xlfn.CONCAT(B417,"-",C417),SuiteCatSub!$F$2:$F$55,0))</f>
        <v>44</v>
      </c>
      <c r="G417" s="142">
        <v>553</v>
      </c>
      <c r="H417" s="142">
        <f>VLOOKUP(G417,SuiteCatSubElem_Version!$I$2:$J$667,2,0)</f>
        <v>365</v>
      </c>
      <c r="I417" s="146" t="s">
        <v>1423</v>
      </c>
      <c r="J417" s="144" t="str">
        <f>VLOOKUP(B417,Categories!$A$2:$C$8,3,0)</f>
        <v>Supplier Relationship Management</v>
      </c>
      <c r="K417" s="147"/>
      <c r="L417" s="144" t="str">
        <f>VLOOKUP(C417,Subcategories!$A$2:$B$29,2,0)</f>
        <v>SXM</v>
      </c>
      <c r="M417" s="144" t="str">
        <f>VLOOKUP(D417,Elements!$B$2:$C$435,2,0)</f>
        <v>BoM Management</v>
      </c>
      <c r="N417" s="144" t="str">
        <f>VLOOKUP(H417,ElementVariants!$A$2:$B$460,2,0)</f>
        <v>How extensible is the bill of material capability? Is it a basic component definition or can it support extensive multi-level bill of material definition that includes modelling support at each and every level of a multi-level bill of materials from an engine all the way down to a screw?</v>
      </c>
    </row>
    <row r="418" spans="1:14" ht="60">
      <c r="A418" s="138">
        <v>418</v>
      </c>
      <c r="B418" s="142">
        <v>6</v>
      </c>
      <c r="C418" s="142">
        <v>24</v>
      </c>
      <c r="D418" s="142">
        <v>365</v>
      </c>
      <c r="E418" s="142" t="s">
        <v>1735</v>
      </c>
      <c r="F418" s="142">
        <f>INDEX(SuiteCatSub!$E$2:$E$55,MATCH(_xlfn.CONCAT(B418,"-",C418),SuiteCatSub!$F$2:$F$55,0))</f>
        <v>44</v>
      </c>
      <c r="G418" s="142">
        <v>554</v>
      </c>
      <c r="H418" s="142">
        <f>VLOOKUP(G418,SuiteCatSubElem_Version!$I$2:$J$667,2,0)</f>
        <v>366</v>
      </c>
      <c r="I418" s="146" t="s">
        <v>1423</v>
      </c>
      <c r="J418" s="144" t="str">
        <f>VLOOKUP(B418,Categories!$A$2:$C$8,3,0)</f>
        <v>Supplier Relationship Management</v>
      </c>
      <c r="K418" s="147"/>
      <c r="L418" s="144" t="str">
        <f>VLOOKUP(C418,Subcategories!$A$2:$B$29,2,0)</f>
        <v>SXM</v>
      </c>
      <c r="M418" s="144" t="str">
        <f>VLOOKUP(D418,Elements!$B$2:$C$435,2,0)</f>
        <v>Innovation Integration</v>
      </c>
      <c r="N418" s="144" t="str">
        <f>VLOOKUP(H418,ElementVariants!$A$2:$B$460,2,0)</f>
        <v>To what extent is NPD/NPI integrated into innovation management? Is it a basic push/pull or is there extensive integration that allows for innovation to be launched from and spark each stage of NPD/NPI?</v>
      </c>
    </row>
    <row r="419" spans="1:14" ht="60">
      <c r="A419" s="138">
        <v>419</v>
      </c>
      <c r="B419" s="142">
        <v>6</v>
      </c>
      <c r="C419" s="142">
        <v>24</v>
      </c>
      <c r="D419" s="142">
        <v>366</v>
      </c>
      <c r="E419" s="142" t="s">
        <v>1736</v>
      </c>
      <c r="F419" s="142">
        <f>INDEX(SuiteCatSub!$E$2:$E$55,MATCH(_xlfn.CONCAT(B419,"-",C419),SuiteCatSub!$F$2:$F$55,0))</f>
        <v>44</v>
      </c>
      <c r="G419" s="142">
        <v>555</v>
      </c>
      <c r="H419" s="142">
        <f>VLOOKUP(G419,SuiteCatSubElem_Version!$I$2:$J$667,2,0)</f>
        <v>367</v>
      </c>
      <c r="I419" s="146" t="s">
        <v>1423</v>
      </c>
      <c r="J419" s="144" t="str">
        <f>VLOOKUP(B419,Categories!$A$2:$C$8,3,0)</f>
        <v>Supplier Relationship Management</v>
      </c>
      <c r="K419" s="147"/>
      <c r="L419" s="144" t="str">
        <f>VLOOKUP(C419,Subcategories!$A$2:$B$29,2,0)</f>
        <v>SXM</v>
      </c>
      <c r="M419" s="144" t="str">
        <f>VLOOKUP(D419,Elements!$B$2:$C$435,2,0)</f>
        <v>Process Management</v>
      </c>
      <c r="N419" s="144" t="str">
        <f>VLOOKUP(H419,ElementVariants!$A$2:$B$460,2,0)</f>
        <v>To what extent is process management supported in the platform? Is it basic task definition or integrated NPD/NPI project management?</v>
      </c>
    </row>
    <row r="420" spans="1:14" ht="60">
      <c r="A420" s="138">
        <v>420</v>
      </c>
      <c r="B420" s="142">
        <v>6</v>
      </c>
      <c r="C420" s="142">
        <v>24</v>
      </c>
      <c r="D420" s="142">
        <v>32</v>
      </c>
      <c r="E420" s="142" t="s">
        <v>1737</v>
      </c>
      <c r="F420" s="142">
        <f>INDEX(SuiteCatSub!$E$2:$E$55,MATCH(_xlfn.CONCAT(B420,"-",C420),SuiteCatSub!$F$2:$F$55,0))</f>
        <v>44</v>
      </c>
      <c r="G420" s="142">
        <v>556</v>
      </c>
      <c r="H420" s="142">
        <f>VLOOKUP(G420,SuiteCatSubElem_Version!$I$2:$J$667,2,0)</f>
        <v>437</v>
      </c>
      <c r="I420" s="146" t="s">
        <v>1423</v>
      </c>
      <c r="J420" s="144" t="str">
        <f>VLOOKUP(B420,Categories!$A$2:$C$8,3,0)</f>
        <v>Supplier Relationship Management</v>
      </c>
      <c r="K420" s="147"/>
      <c r="L420" s="144" t="str">
        <f>VLOOKUP(C420,Subcategories!$A$2:$B$29,2,0)</f>
        <v>SXM</v>
      </c>
      <c r="M420" s="144" t="str">
        <f>VLOOKUP(D420,Elements!$B$2:$C$435,2,0)</f>
        <v>Analytics</v>
      </c>
      <c r="N420" s="144" t="str">
        <f>VLOOKUP(H420,ElementVariants!$A$2:$B$460,2,0)</f>
        <v>To what extent is analytics integrated in the platform?</v>
      </c>
    </row>
    <row r="421" spans="1:14" ht="60">
      <c r="A421" s="138">
        <v>421</v>
      </c>
      <c r="B421" s="142">
        <v>6</v>
      </c>
      <c r="C421" s="142">
        <v>24</v>
      </c>
      <c r="D421" s="142">
        <v>146</v>
      </c>
      <c r="E421" s="142" t="s">
        <v>1738</v>
      </c>
      <c r="F421" s="142">
        <f>INDEX(SuiteCatSub!$E$2:$E$55,MATCH(_xlfn.CONCAT(B421,"-",C421),SuiteCatSub!$F$2:$F$55,0))</f>
        <v>44</v>
      </c>
      <c r="G421" s="142">
        <v>557</v>
      </c>
      <c r="H421" s="142">
        <f>VLOOKUP(G421,SuiteCatSubElem_Version!$I$2:$J$667,2,0)</f>
        <v>146</v>
      </c>
      <c r="I421" s="146" t="s">
        <v>1423</v>
      </c>
      <c r="J421" s="144" t="str">
        <f>VLOOKUP(B421,Categories!$A$2:$C$8,3,0)</f>
        <v>Supplier Relationship Management</v>
      </c>
      <c r="K421" s="147"/>
      <c r="L421" s="144" t="str">
        <f>VLOOKUP(C421,Subcategories!$A$2:$B$29,2,0)</f>
        <v>SXM</v>
      </c>
      <c r="M421" s="144" t="str">
        <f>VLOOKUP(D421,Elements!$B$2:$C$435,2,0)</f>
        <v>Report Builder</v>
      </c>
      <c r="N421" s="144" t="str">
        <f>VLOOKUP(H421,ElementVariants!$A$2:$B$460,2,0)</f>
        <v>Does the tool come with a built-in report builder that allows end-users to create the reports they want on the data they want, regardless of the source of such data? Can it work on all data elements? How extensible is it? Please describe, and focus on any competitive differentiators.</v>
      </c>
    </row>
    <row r="422" spans="1:14" ht="60">
      <c r="A422" s="138">
        <v>422</v>
      </c>
      <c r="B422" s="142">
        <v>6</v>
      </c>
      <c r="C422" s="142">
        <v>24</v>
      </c>
      <c r="D422" s="142">
        <v>367</v>
      </c>
      <c r="E422" s="142" t="s">
        <v>1739</v>
      </c>
      <c r="F422" s="142">
        <f>INDEX(SuiteCatSub!$E$2:$E$55,MATCH(_xlfn.CONCAT(B422,"-",C422),SuiteCatSub!$F$2:$F$55,0))</f>
        <v>44</v>
      </c>
      <c r="G422" s="142">
        <v>558</v>
      </c>
      <c r="H422" s="142">
        <f>VLOOKUP(G422,SuiteCatSubElem_Version!$I$2:$J$667,2,0)</f>
        <v>368</v>
      </c>
      <c r="I422" s="146" t="s">
        <v>1423</v>
      </c>
      <c r="J422" s="144" t="str">
        <f>VLOOKUP(B422,Categories!$A$2:$C$8,3,0)</f>
        <v>Supplier Relationship Management</v>
      </c>
      <c r="K422" s="147"/>
      <c r="L422" s="144" t="str">
        <f>VLOOKUP(C422,Subcategories!$A$2:$B$29,2,0)</f>
        <v>SXM</v>
      </c>
      <c r="M422" s="144" t="str">
        <f>VLOOKUP(D422,Elements!$B$2:$C$435,2,0)</f>
        <v>Out-of-the-Box Scorecards</v>
      </c>
      <c r="N422" s="144" t="str">
        <f>VLOOKUP(H422,ElementVariants!$A$2:$B$460,2,0)</f>
        <v>Are there a number of scorecards that are available out of the box? Preferably built on best-practice, actionable, KPIs?</v>
      </c>
    </row>
    <row r="423" spans="1:14" ht="60">
      <c r="A423" s="138">
        <v>423</v>
      </c>
      <c r="B423" s="142">
        <v>6</v>
      </c>
      <c r="C423" s="142">
        <v>24</v>
      </c>
      <c r="D423" s="142">
        <v>368</v>
      </c>
      <c r="E423" s="142" t="s">
        <v>1740</v>
      </c>
      <c r="F423" s="142">
        <f>INDEX(SuiteCatSub!$E$2:$E$55,MATCH(_xlfn.CONCAT(B423,"-",C423),SuiteCatSub!$F$2:$F$55,0))</f>
        <v>44</v>
      </c>
      <c r="G423" s="142">
        <v>559</v>
      </c>
      <c r="H423" s="142">
        <f>VLOOKUP(G423,SuiteCatSubElem_Version!$I$2:$J$667,2,0)</f>
        <v>369</v>
      </c>
      <c r="I423" s="146" t="s">
        <v>1423</v>
      </c>
      <c r="J423" s="144" t="str">
        <f>VLOOKUP(B423,Categories!$A$2:$C$8,3,0)</f>
        <v>Supplier Relationship Management</v>
      </c>
      <c r="K423" s="147"/>
      <c r="L423" s="144" t="str">
        <f>VLOOKUP(C423,Subcategories!$A$2:$B$29,2,0)</f>
        <v>SXM</v>
      </c>
      <c r="M423" s="144" t="str">
        <f>VLOOKUP(D423,Elements!$B$2:$C$435,2,0)</f>
        <v>Out-of-the-Box Metric Reports</v>
      </c>
      <c r="N423" s="144" t="str">
        <f>VLOOKUP(H423,ElementVariants!$A$2:$B$460,2,0)</f>
        <v>What is the extent of support for out-of-the-box operational metric reports?</v>
      </c>
    </row>
    <row r="424" spans="1:14" ht="60">
      <c r="A424" s="138">
        <v>424</v>
      </c>
      <c r="B424" s="142">
        <v>6</v>
      </c>
      <c r="C424" s="142">
        <v>24</v>
      </c>
      <c r="D424" s="142">
        <v>369</v>
      </c>
      <c r="E424" s="142" t="s">
        <v>1741</v>
      </c>
      <c r="F424" s="142">
        <f>INDEX(SuiteCatSub!$E$2:$E$55,MATCH(_xlfn.CONCAT(B424,"-",C424),SuiteCatSub!$F$2:$F$55,0))</f>
        <v>44</v>
      </c>
      <c r="G424" s="142">
        <v>560</v>
      </c>
      <c r="H424" s="142">
        <f>VLOOKUP(G424,SuiteCatSubElem_Version!$I$2:$J$667,2,0)</f>
        <v>370</v>
      </c>
      <c r="I424" s="146" t="s">
        <v>1423</v>
      </c>
      <c r="J424" s="144" t="str">
        <f>VLOOKUP(B424,Categories!$A$2:$C$8,3,0)</f>
        <v>Supplier Relationship Management</v>
      </c>
      <c r="K424" s="147"/>
      <c r="L424" s="144" t="str">
        <f>VLOOKUP(C424,Subcategories!$A$2:$B$29,2,0)</f>
        <v>SXM</v>
      </c>
      <c r="M424" s="144" t="str">
        <f>VLOOKUP(D424,Elements!$B$2:$C$435,2,0)</f>
        <v>Out-of-the-Box Trend Reports</v>
      </c>
      <c r="N424" s="144" t="str">
        <f>VLOOKUP(H424,ElementVariants!$A$2:$B$460,2,0)</f>
        <v>What is the extent of support for out-of-the-box trend reports?</v>
      </c>
    </row>
    <row r="425" spans="1:14" ht="60">
      <c r="A425" s="138">
        <v>425</v>
      </c>
      <c r="B425" s="142">
        <v>6</v>
      </c>
      <c r="C425" s="142">
        <v>24</v>
      </c>
      <c r="D425" s="142">
        <v>370</v>
      </c>
      <c r="E425" s="142" t="s">
        <v>1742</v>
      </c>
      <c r="F425" s="142">
        <f>INDEX(SuiteCatSub!$E$2:$E$55,MATCH(_xlfn.CONCAT(B425,"-",C425),SuiteCatSub!$F$2:$F$55,0))</f>
        <v>44</v>
      </c>
      <c r="G425" s="142">
        <v>561</v>
      </c>
      <c r="H425" s="142">
        <f>VLOOKUP(G425,SuiteCatSubElem_Version!$I$2:$J$667,2,0)</f>
        <v>371</v>
      </c>
      <c r="I425" s="146" t="s">
        <v>1423</v>
      </c>
      <c r="J425" s="144" t="str">
        <f>VLOOKUP(B425,Categories!$A$2:$C$8,3,0)</f>
        <v>Supplier Relationship Management</v>
      </c>
      <c r="K425" s="147"/>
      <c r="L425" s="144" t="str">
        <f>VLOOKUP(C425,Subcategories!$A$2:$B$29,2,0)</f>
        <v>SXM</v>
      </c>
      <c r="M425" s="144" t="str">
        <f>VLOOKUP(D425,Elements!$B$2:$C$435,2,0)</f>
        <v>Out-of-the-Box Risk Reports</v>
      </c>
      <c r="N425" s="144" t="str">
        <f>VLOOKUP(H425,ElementVariants!$A$2:$B$460,2,0)</f>
        <v>What is the extent of support for out-of-the-box risk reports?</v>
      </c>
    </row>
    <row r="426" spans="1:14" ht="60">
      <c r="A426" s="138">
        <v>426</v>
      </c>
      <c r="B426" s="142">
        <v>6</v>
      </c>
      <c r="C426" s="142">
        <v>25</v>
      </c>
      <c r="D426" s="142">
        <v>371</v>
      </c>
      <c r="E426" s="142" t="s">
        <v>1743</v>
      </c>
      <c r="F426" s="142">
        <f>INDEX(SuiteCatSub!$E$2:$E$55,MATCH(_xlfn.CONCAT(B426,"-",C426),SuiteCatSub!$F$2:$F$55,0))</f>
        <v>45</v>
      </c>
      <c r="G426" s="142">
        <v>562</v>
      </c>
      <c r="H426" s="142">
        <f>VLOOKUP(G426,SuiteCatSubElem_Version!$I$2:$J$667,2,0)</f>
        <v>372</v>
      </c>
      <c r="I426" s="146" t="s">
        <v>1423</v>
      </c>
      <c r="J426" s="144" t="str">
        <f>VLOOKUP(B426,Categories!$A$2:$C$8,3,0)</f>
        <v>Supplier Relationship Management</v>
      </c>
      <c r="K426" s="147"/>
      <c r="L426" s="144" t="str">
        <f>VLOOKUP(C426,Subcategories!$A$2:$B$29,2,0)</f>
        <v>Portal</v>
      </c>
      <c r="M426" s="144" t="str">
        <f>VLOOKUP(D426,Elements!$B$2:$C$435,2,0)</f>
        <v>Single View &amp; Sign-On</v>
      </c>
      <c r="N426" s="144" t="str">
        <f>VLOOKUP(H426,ElementVariants!$A$2:$B$460,2,0)</f>
        <v>Does the portal support single view and sign on? Can a supplier manage their data, surveys, RFXs, innovation requests, etc. for all customers through one sign-on? How integrated is the portal? Is data organized by customer, request type, or can the supplier representative filter in to what they want to see when they want to see it?</v>
      </c>
    </row>
    <row r="427" spans="1:14" ht="60">
      <c r="A427" s="138">
        <v>427</v>
      </c>
      <c r="B427" s="142">
        <v>6</v>
      </c>
      <c r="C427" s="142">
        <v>25</v>
      </c>
      <c r="D427" s="142">
        <v>372</v>
      </c>
      <c r="E427" s="142" t="s">
        <v>1744</v>
      </c>
      <c r="F427" s="142">
        <f>INDEX(SuiteCatSub!$E$2:$E$55,MATCH(_xlfn.CONCAT(B427,"-",C427),SuiteCatSub!$F$2:$F$55,0))</f>
        <v>45</v>
      </c>
      <c r="G427" s="142">
        <v>563</v>
      </c>
      <c r="H427" s="142">
        <f>VLOOKUP(G427,SuiteCatSubElem_Version!$I$2:$J$667,2,0)</f>
        <v>373</v>
      </c>
      <c r="I427" s="146" t="s">
        <v>1423</v>
      </c>
      <c r="J427" s="144" t="str">
        <f>VLOOKUP(B427,Categories!$A$2:$C$8,3,0)</f>
        <v>Supplier Relationship Management</v>
      </c>
      <c r="K427" s="147"/>
      <c r="L427" s="144" t="str">
        <f>VLOOKUP(C427,Subcategories!$A$2:$B$29,2,0)</f>
        <v>Portal</v>
      </c>
      <c r="M427" s="144" t="str">
        <f>VLOOKUP(D427,Elements!$B$2:$C$435,2,0)</f>
        <v>Deep Onboarding Support</v>
      </c>
      <c r="N427" s="144" t="str">
        <f>VLOOKUP(H427,ElementVariants!$A$2:$B$460,2,0)</f>
        <v>How much on-boarding support is available from the supplier's point of view? Can they define additional users with limited access to complete different data requests?</v>
      </c>
    </row>
    <row r="428" spans="1:14" ht="60">
      <c r="A428" s="138">
        <v>428</v>
      </c>
      <c r="B428" s="142">
        <v>6</v>
      </c>
      <c r="C428" s="142">
        <v>25</v>
      </c>
      <c r="D428" s="142">
        <v>101</v>
      </c>
      <c r="E428" s="142" t="s">
        <v>1745</v>
      </c>
      <c r="F428" s="142">
        <f>INDEX(SuiteCatSub!$E$2:$E$55,MATCH(_xlfn.CONCAT(B428,"-",C428),SuiteCatSub!$F$2:$F$55,0))</f>
        <v>45</v>
      </c>
      <c r="G428" s="142">
        <v>564</v>
      </c>
      <c r="H428" s="142">
        <f>VLOOKUP(G428,SuiteCatSubElem_Version!$I$2:$J$667,2,0)</f>
        <v>450</v>
      </c>
      <c r="I428" s="146" t="s">
        <v>1423</v>
      </c>
      <c r="J428" s="144" t="str">
        <f>VLOOKUP(B428,Categories!$A$2:$C$8,3,0)</f>
        <v>Supplier Relationship Management</v>
      </c>
      <c r="K428" s="147"/>
      <c r="L428" s="144" t="str">
        <f>VLOOKUP(C428,Subcategories!$A$2:$B$29,2,0)</f>
        <v>Portal</v>
      </c>
      <c r="M428" s="144" t="str">
        <f>VLOOKUP(D428,Elements!$B$2:$C$435,2,0)</f>
        <v>Collaboration</v>
      </c>
      <c r="N428" s="144" t="str">
        <f>VLOOKUP(H428,ElementVariants!$A$2:$B$460,2,0)</f>
        <v>How powerful and customizable are the collaboration features from the supplier's viewpoint?</v>
      </c>
    </row>
    <row r="429" spans="1:14" ht="60">
      <c r="A429" s="138">
        <v>429</v>
      </c>
      <c r="B429" s="142">
        <v>6</v>
      </c>
      <c r="C429" s="142">
        <v>25</v>
      </c>
      <c r="D429" s="142">
        <v>373</v>
      </c>
      <c r="E429" s="142" t="s">
        <v>1746</v>
      </c>
      <c r="F429" s="142">
        <f>INDEX(SuiteCatSub!$E$2:$E$55,MATCH(_xlfn.CONCAT(B429,"-",C429),SuiteCatSub!$F$2:$F$55,0))</f>
        <v>45</v>
      </c>
      <c r="G429" s="142">
        <v>565</v>
      </c>
      <c r="H429" s="142">
        <f>VLOOKUP(G429,SuiteCatSubElem_Version!$I$2:$J$667,2,0)</f>
        <v>374</v>
      </c>
      <c r="I429" s="146" t="s">
        <v>1423</v>
      </c>
      <c r="J429" s="144" t="str">
        <f>VLOOKUP(B429,Categories!$A$2:$C$8,3,0)</f>
        <v>Supplier Relationship Management</v>
      </c>
      <c r="K429" s="147"/>
      <c r="L429" s="144" t="str">
        <f>VLOOKUP(C429,Subcategories!$A$2:$B$29,2,0)</f>
        <v>Portal</v>
      </c>
      <c r="M429" s="144" t="str">
        <f>VLOOKUP(D429,Elements!$B$2:$C$435,2,0)</f>
        <v>SPM/SRM Data Review</v>
      </c>
      <c r="N429" s="144" t="str">
        <f>VLOOKUP(H429,ElementVariants!$A$2:$B$460,2,0)</f>
        <v>To what extent can the supplier review, and request corrections of, not only data they provide but also data created, and collected, on the supplier by the buyer?</v>
      </c>
    </row>
    <row r="430" spans="1:14" ht="60">
      <c r="A430" s="138">
        <v>430</v>
      </c>
      <c r="B430" s="142">
        <v>6</v>
      </c>
      <c r="C430" s="142">
        <v>25</v>
      </c>
      <c r="D430" s="142">
        <v>374</v>
      </c>
      <c r="E430" s="142" t="s">
        <v>1747</v>
      </c>
      <c r="F430" s="142">
        <f>INDEX(SuiteCatSub!$E$2:$E$55,MATCH(_xlfn.CONCAT(B430,"-",C430),SuiteCatSub!$F$2:$F$55,0))</f>
        <v>45</v>
      </c>
      <c r="G430" s="142">
        <v>566</v>
      </c>
      <c r="H430" s="142">
        <f>VLOOKUP(G430,SuiteCatSubElem_Version!$I$2:$J$667,2,0)</f>
        <v>375</v>
      </c>
      <c r="I430" s="146" t="s">
        <v>1423</v>
      </c>
      <c r="J430" s="144" t="str">
        <f>VLOOKUP(B430,Categories!$A$2:$C$8,3,0)</f>
        <v>Supplier Relationship Management</v>
      </c>
      <c r="K430" s="147"/>
      <c r="L430" s="144" t="str">
        <f>VLOOKUP(C430,Subcategories!$A$2:$B$29,2,0)</f>
        <v>Portal</v>
      </c>
      <c r="M430" s="144" t="str">
        <f>VLOOKUP(D430,Elements!$B$2:$C$435,2,0)</f>
        <v>360-Degree Scorecards</v>
      </c>
      <c r="N430" s="144" t="str">
        <f>VLOOKUP(H430,ElementVariants!$A$2:$B$460,2,0)</f>
        <v>To what extent are 360-degree scorecards supported? Is the supplier limited to providing survey responses to populate them? Can they define formulas to summarize data to populate them? Can they pull that data in through imports? Can they collaboratively modify the scorecards?</v>
      </c>
    </row>
    <row r="431" spans="1:14" ht="60">
      <c r="A431" s="138">
        <v>431</v>
      </c>
      <c r="B431" s="142">
        <v>6</v>
      </c>
      <c r="C431" s="142">
        <v>25</v>
      </c>
      <c r="D431" s="142">
        <v>375</v>
      </c>
      <c r="E431" s="142" t="s">
        <v>1748</v>
      </c>
      <c r="F431" s="142">
        <f>INDEX(SuiteCatSub!$E$2:$E$55,MATCH(_xlfn.CONCAT(B431,"-",C431),SuiteCatSub!$F$2:$F$55,0))</f>
        <v>45</v>
      </c>
      <c r="G431" s="142">
        <v>567</v>
      </c>
      <c r="H431" s="142">
        <f>VLOOKUP(G431,SuiteCatSubElem_Version!$I$2:$J$667,2,0)</f>
        <v>376</v>
      </c>
      <c r="I431" s="146" t="s">
        <v>1423</v>
      </c>
      <c r="J431" s="144" t="str">
        <f>VLOOKUP(B431,Categories!$A$2:$C$8,3,0)</f>
        <v>Supplier Relationship Management</v>
      </c>
      <c r="K431" s="147"/>
      <c r="L431" s="144" t="str">
        <f>VLOOKUP(C431,Subcategories!$A$2:$B$29,2,0)</f>
        <v>Portal</v>
      </c>
      <c r="M431" s="144" t="str">
        <f>VLOOKUP(D431,Elements!$B$2:$C$435,2,0)</f>
        <v>Document Management &amp; Updates</v>
      </c>
      <c r="N431" s="144" t="str">
        <f>VLOOKUP(H431,ElementVariants!$A$2:$B$460,2,0)</f>
        <v>Does the portal contain extensive document management and update capability that will not only allow a supplier to attach documents, but remind them of when updates are required, process documents against minimal acceptance and completion criteria during upload, and auto-extract key meta data on the supplier's behalf?</v>
      </c>
    </row>
    <row r="432" spans="1:14" ht="60">
      <c r="A432" s="138">
        <v>432</v>
      </c>
      <c r="B432" s="142">
        <v>6</v>
      </c>
      <c r="C432" s="142">
        <v>25</v>
      </c>
      <c r="D432" s="142">
        <v>376</v>
      </c>
      <c r="E432" s="142" t="s">
        <v>1749</v>
      </c>
      <c r="F432" s="142">
        <f>INDEX(SuiteCatSub!$E$2:$E$55,MATCH(_xlfn.CONCAT(B432,"-",C432),SuiteCatSub!$F$2:$F$55,0))</f>
        <v>45</v>
      </c>
      <c r="G432" s="142">
        <v>568</v>
      </c>
      <c r="H432" s="142">
        <f>VLOOKUP(G432,SuiteCatSubElem_Version!$I$2:$J$667,2,0)</f>
        <v>377</v>
      </c>
      <c r="I432" s="146" t="s">
        <v>1423</v>
      </c>
      <c r="J432" s="144" t="str">
        <f>VLOOKUP(B432,Categories!$A$2:$C$8,3,0)</f>
        <v>Supplier Relationship Management</v>
      </c>
      <c r="K432" s="147"/>
      <c r="L432" s="144" t="str">
        <f>VLOOKUP(C432,Subcategories!$A$2:$B$29,2,0)</f>
        <v>Portal</v>
      </c>
      <c r="M432" s="144" t="str">
        <f>VLOOKUP(D432,Elements!$B$2:$C$435,2,0)</f>
        <v>VMI</v>
      </c>
      <c r="N432" s="144" t="str">
        <f>VLOOKUP(H432,ElementVariants!$A$2:$B$460,2,0)</f>
        <v>Does the platform include vendor managed inventory functionality that will allow the supplier to manage MRO / other inventory on behalf of the buyer?</v>
      </c>
    </row>
    <row r="433" spans="1:14" ht="60">
      <c r="A433" s="138">
        <v>433</v>
      </c>
      <c r="B433" s="142">
        <v>6</v>
      </c>
      <c r="C433" s="142">
        <v>25</v>
      </c>
      <c r="D433" s="142">
        <v>377</v>
      </c>
      <c r="E433" s="142" t="s">
        <v>1750</v>
      </c>
      <c r="F433" s="142">
        <f>INDEX(SuiteCatSub!$E$2:$E$55,MATCH(_xlfn.CONCAT(B433,"-",C433),SuiteCatSub!$F$2:$F$55,0))</f>
        <v>45</v>
      </c>
      <c r="G433" s="142">
        <v>569</v>
      </c>
      <c r="H433" s="142">
        <f>VLOOKUP(G433,SuiteCatSubElem_Version!$I$2:$J$667,2,0)</f>
        <v>378</v>
      </c>
      <c r="I433" s="146" t="s">
        <v>1423</v>
      </c>
      <c r="J433" s="144" t="str">
        <f>VLOOKUP(B433,Categories!$A$2:$C$8,3,0)</f>
        <v>Supplier Relationship Management</v>
      </c>
      <c r="K433" s="147"/>
      <c r="L433" s="144" t="str">
        <f>VLOOKUP(C433,Subcategories!$A$2:$B$29,2,0)</f>
        <v>Portal</v>
      </c>
      <c r="M433" s="144" t="str">
        <f>VLOOKUP(D433,Elements!$B$2:$C$435,2,0)</f>
        <v>PO/Invoice/Payment Support</v>
      </c>
      <c r="N433" s="144" t="str">
        <f>VLOOKUP(H433,ElementVariants!$A$2:$B$460,2,0)</f>
        <v>Does the platform support the distribution and archival of purchase orders on behalf of the buyers and/or invoices on behalf of the suppliers, correlation, or payment support through ACH integration?</v>
      </c>
    </row>
    <row r="434" spans="1:14" ht="60">
      <c r="A434" s="138">
        <v>434</v>
      </c>
      <c r="B434" s="142">
        <v>6</v>
      </c>
      <c r="C434" s="142">
        <v>7</v>
      </c>
      <c r="D434" s="142">
        <v>225</v>
      </c>
      <c r="E434" s="142" t="s">
        <v>1751</v>
      </c>
      <c r="F434" s="142">
        <f>INDEX(SuiteCatSub!$E$2:$E$55,MATCH(_xlfn.CONCAT(B434,"-",C434),SuiteCatSub!$F$2:$F$55,0))</f>
        <v>47</v>
      </c>
      <c r="G434" s="142">
        <v>570</v>
      </c>
      <c r="H434" s="142">
        <f>VLOOKUP(G434,SuiteCatSubElem_Version!$I$2:$J$667,2,0)</f>
        <v>225</v>
      </c>
      <c r="I434" s="146" t="s">
        <v>1423</v>
      </c>
      <c r="J434" s="144" t="str">
        <f>VLOOKUP(B434,Categories!$A$2:$C$8,3,0)</f>
        <v>Supplier Relationship Management</v>
      </c>
      <c r="K434" s="147"/>
      <c r="L434" s="144" t="str">
        <f>VLOOKUP(C434,Subcategories!$A$2:$B$29,2,0)</f>
        <v>Technology</v>
      </c>
      <c r="M434" s="144" t="str">
        <f>VLOOKUP(D434,Elements!$B$2:$C$435,2,0)</f>
        <v>Core Tech Platform</v>
      </c>
      <c r="N434" s="144" t="str">
        <f>VLOOKUP(H434,ElementVariants!$A$2:$B$460,2,0)</f>
        <v>Please describe your core software architecture? Is it a modern MVC architecture? What are the primary languages (C++/Java/Ruby) and technologies used?</v>
      </c>
    </row>
    <row r="435" spans="1:14" ht="105">
      <c r="A435" s="138">
        <v>435</v>
      </c>
      <c r="B435" s="142">
        <v>6</v>
      </c>
      <c r="C435" s="142">
        <v>7</v>
      </c>
      <c r="D435" s="142">
        <v>226</v>
      </c>
      <c r="E435" s="142" t="s">
        <v>1752</v>
      </c>
      <c r="F435" s="142">
        <f>INDEX(SuiteCatSub!$E$2:$E$55,MATCH(_xlfn.CONCAT(B435,"-",C435),SuiteCatSub!$F$2:$F$55,0))</f>
        <v>47</v>
      </c>
      <c r="G435" s="142">
        <v>571</v>
      </c>
      <c r="H435" s="142">
        <f>VLOOKUP(G435,SuiteCatSubElem_Version!$I$2:$J$667,2,0)</f>
        <v>226</v>
      </c>
      <c r="I435" s="146" t="s">
        <v>1423</v>
      </c>
      <c r="J435" s="144" t="str">
        <f>VLOOKUP(B435,Categories!$A$2:$C$8,3,0)</f>
        <v>Supplier Relationship Management</v>
      </c>
      <c r="K435" s="147"/>
      <c r="L435" s="144" t="str">
        <f>VLOOKUP(C435,Subcategories!$A$2:$B$29,2,0)</f>
        <v>Technology</v>
      </c>
      <c r="M435" s="144" t="str">
        <f>VLOOKUP(D435,Elements!$B$2:$C$435,2,0)</f>
        <v>SaaS / Cloud</v>
      </c>
      <c r="N435" s="144" t="str">
        <f>VLOOKUP(H435,ElementVariants!$A$2:$B$460,2,0)</f>
        <v>Please describe your cloud architecture (e.g., single-instance multi-tenant application run on a 'virtualized' and elastic platform). Is your SaaS approach only true multi-tenant, or can separate app instances be maintained (e.g., residing with data on servers that can be run in different countries)?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v>
      </c>
    </row>
    <row r="436" spans="1:14" ht="60">
      <c r="A436" s="138">
        <v>436</v>
      </c>
      <c r="B436" s="142">
        <v>6</v>
      </c>
      <c r="C436" s="142">
        <v>7</v>
      </c>
      <c r="D436" s="142">
        <v>10</v>
      </c>
      <c r="E436" s="142" t="s">
        <v>1753</v>
      </c>
      <c r="F436" s="142">
        <f>INDEX(SuiteCatSub!$E$2:$E$55,MATCH(_xlfn.CONCAT(B436,"-",C436),SuiteCatSub!$F$2:$F$55,0))</f>
        <v>47</v>
      </c>
      <c r="G436" s="142">
        <v>572</v>
      </c>
      <c r="H436" s="142">
        <f>VLOOKUP(G436,SuiteCatSubElem_Version!$I$2:$J$667,2,0)</f>
        <v>10</v>
      </c>
      <c r="I436" s="146" t="s">
        <v>1423</v>
      </c>
      <c r="J436" s="144" t="str">
        <f>VLOOKUP(B436,Categories!$A$2:$C$8,3,0)</f>
        <v>Supplier Relationship Management</v>
      </c>
      <c r="K436" s="147"/>
      <c r="L436" s="144" t="str">
        <f>VLOOKUP(C436,Subcategories!$A$2:$B$29,2,0)</f>
        <v>Technology</v>
      </c>
      <c r="M436" s="144" t="str">
        <f>VLOOKUP(D436,Elements!$B$2:$C$435,2,0)</f>
        <v>On-Premise Software Option</v>
      </c>
      <c r="N436" s="144" t="str">
        <f>VLOOKUP(H436,ElementVariants!$A$2:$B$460,2,0)</f>
        <v>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v>
      </c>
    </row>
    <row r="437" spans="1:14" ht="60">
      <c r="A437" s="138">
        <v>437</v>
      </c>
      <c r="B437" s="142">
        <v>6</v>
      </c>
      <c r="C437" s="142">
        <v>7</v>
      </c>
      <c r="D437" s="142">
        <v>378</v>
      </c>
      <c r="E437" s="142" t="s">
        <v>1754</v>
      </c>
      <c r="F437" s="142">
        <f>INDEX(SuiteCatSub!$E$2:$E$55,MATCH(_xlfn.CONCAT(B437,"-",C437),SuiteCatSub!$F$2:$F$55,0))</f>
        <v>47</v>
      </c>
      <c r="G437" s="142">
        <v>573</v>
      </c>
      <c r="H437" s="142">
        <f>VLOOKUP(G437,SuiteCatSubElem_Version!$I$2:$J$667,2,0)</f>
        <v>379</v>
      </c>
      <c r="I437" s="146" t="s">
        <v>1423</v>
      </c>
      <c r="J437" s="144" t="str">
        <f>VLOOKUP(B437,Categories!$A$2:$C$8,3,0)</f>
        <v>Supplier Relationship Management</v>
      </c>
      <c r="K437" s="147"/>
      <c r="L437" s="144" t="str">
        <f>VLOOKUP(C437,Subcategories!$A$2:$B$29,2,0)</f>
        <v>Technology</v>
      </c>
      <c r="M437" s="144" t="str">
        <f>VLOOKUP(D437,Elements!$B$2:$C$435,2,0)</f>
        <v>AR/Auto Detection of Missing / Needed / Erroneous Data</v>
      </c>
      <c r="N437" s="144" t="str">
        <f>VLOOKUP(H437,ElementVariants!$A$2:$B$460,2,0)</f>
        <v>To what extent can the platform support the auto-detection of missing or needed data? Erroneous data? Outlier data that needs to be reviewed? How advanced are the algorithms? Is this capability extensible?</v>
      </c>
    </row>
    <row r="438" spans="1:14" ht="60">
      <c r="A438" s="138">
        <v>438</v>
      </c>
      <c r="B438" s="142">
        <v>6</v>
      </c>
      <c r="C438" s="142">
        <v>7</v>
      </c>
      <c r="D438" s="142">
        <v>73</v>
      </c>
      <c r="E438" s="142" t="s">
        <v>1755</v>
      </c>
      <c r="F438" s="142">
        <f>INDEX(SuiteCatSub!$E$2:$E$55,MATCH(_xlfn.CONCAT(B438,"-",C438),SuiteCatSub!$F$2:$F$55,0))</f>
        <v>47</v>
      </c>
      <c r="G438" s="142">
        <v>574</v>
      </c>
      <c r="H438" s="142">
        <f>VLOOKUP(G438,SuiteCatSubElem_Version!$I$2:$J$667,2,0)</f>
        <v>445</v>
      </c>
      <c r="I438" s="146" t="s">
        <v>1423</v>
      </c>
      <c r="J438" s="144" t="str">
        <f>VLOOKUP(B438,Categories!$A$2:$C$8,3,0)</f>
        <v>Supplier Relationship Management</v>
      </c>
      <c r="K438" s="147"/>
      <c r="L438" s="144" t="str">
        <f>VLOOKUP(C438,Subcategories!$A$2:$B$29,2,0)</f>
        <v>Technology</v>
      </c>
      <c r="M438" s="144" t="str">
        <f>VLOOKUP(D438,Elements!$B$2:$C$435,2,0)</f>
        <v>Big Data</v>
      </c>
      <c r="N438" s="144" t="str">
        <f>VLOOKUP(H438,ElementVariants!$A$2:$B$460,2,0)</f>
        <v>To what extent does the platform support "big data"? How scalable is it? How much control over separation and data store mapping does the buyer have?</v>
      </c>
    </row>
    <row r="439" spans="1:14" ht="60">
      <c r="A439" s="138">
        <v>439</v>
      </c>
      <c r="B439" s="142">
        <v>6</v>
      </c>
      <c r="C439" s="142">
        <v>7</v>
      </c>
      <c r="D439" s="142">
        <v>74</v>
      </c>
      <c r="E439" s="142" t="s">
        <v>1756</v>
      </c>
      <c r="F439" s="142">
        <f>INDEX(SuiteCatSub!$E$2:$E$55,MATCH(_xlfn.CONCAT(B439,"-",C439),SuiteCatSub!$F$2:$F$55,0))</f>
        <v>47</v>
      </c>
      <c r="G439" s="142">
        <v>575</v>
      </c>
      <c r="H439" s="142">
        <f>VLOOKUP(G439,SuiteCatSubElem_Version!$I$2:$J$667,2,0)</f>
        <v>74</v>
      </c>
      <c r="I439" s="146" t="s">
        <v>1423</v>
      </c>
      <c r="J439" s="144" t="str">
        <f>VLOOKUP(B439,Categories!$A$2:$C$8,3,0)</f>
        <v>Supplier Relationship Management</v>
      </c>
      <c r="K439" s="147"/>
      <c r="L439" s="144" t="str">
        <f>VLOOKUP(C439,Subcategories!$A$2:$B$29,2,0)</f>
        <v>Technology</v>
      </c>
      <c r="M439" s="144" t="str">
        <f>VLOOKUP(D439,Elements!$B$2:$C$435,2,0)</f>
        <v>Block chain</v>
      </c>
      <c r="N439" s="144" t="str">
        <f>VLOOKUP(H439,ElementVariants!$A$2:$B$460,2,0)</f>
        <v>Explain the use of block chain technology within your solutions or plans to deploy block chain in future releases. What type of block chain capabilities are you actively researching and/or developing (e.g., "smart contracts")? Are you working with a customer advisory council in this area, and if so, what is their willingness to support a distributed ledger model?</v>
      </c>
    </row>
    <row r="440" spans="1:14" ht="60">
      <c r="A440" s="138">
        <v>440</v>
      </c>
      <c r="B440" s="142">
        <v>6</v>
      </c>
      <c r="C440" s="142">
        <v>7</v>
      </c>
      <c r="D440" s="142">
        <v>75</v>
      </c>
      <c r="E440" s="142" t="s">
        <v>1757</v>
      </c>
      <c r="F440" s="142">
        <f>INDEX(SuiteCatSub!$E$2:$E$55,MATCH(_xlfn.CONCAT(B440,"-",C440),SuiteCatSub!$F$2:$F$55,0))</f>
        <v>47</v>
      </c>
      <c r="G440" s="142">
        <v>576</v>
      </c>
      <c r="H440" s="142">
        <f>VLOOKUP(G440,SuiteCatSubElem_Version!$I$2:$J$667,2,0)</f>
        <v>75</v>
      </c>
      <c r="I440" s="146" t="s">
        <v>1423</v>
      </c>
      <c r="J440" s="144" t="str">
        <f>VLOOKUP(B440,Categories!$A$2:$C$8,3,0)</f>
        <v>Supplier Relationship Management</v>
      </c>
      <c r="K440" s="147"/>
      <c r="L440" s="144" t="str">
        <f>VLOOKUP(C440,Subcategories!$A$2:$B$29,2,0)</f>
        <v>Technology</v>
      </c>
      <c r="M440" s="144" t="str">
        <f>VLOOKUP(D440,Elements!$B$2:$C$435,2,0)</f>
        <v>Mobile</v>
      </c>
      <c r="N440" s="144" t="str">
        <f>VLOOKUP(H440,ElementVariants!$A$2:$B$460,2,0)</f>
        <v>Explain the use of mobile technology within your solutions overall and your roadmap for future mobile adoption. Please highlight how you support mobile users (e.g., responsive design to work across all devices or mobile app for basic functionality like approvals). What percentage of system interactions today are driven by mobile clients? What do you forecast for the next 12 months? 24 months?</v>
      </c>
    </row>
    <row r="441" spans="1:14" ht="60">
      <c r="A441" s="138">
        <v>441</v>
      </c>
      <c r="B441" s="142">
        <v>6</v>
      </c>
      <c r="C441" s="142">
        <v>7</v>
      </c>
      <c r="D441" s="142">
        <v>301</v>
      </c>
      <c r="E441" s="142" t="s">
        <v>1758</v>
      </c>
      <c r="F441" s="142">
        <f>INDEX(SuiteCatSub!$E$2:$E$55,MATCH(_xlfn.CONCAT(B441,"-",C441),SuiteCatSub!$F$2:$F$55,0))</f>
        <v>47</v>
      </c>
      <c r="G441" s="142">
        <v>577</v>
      </c>
      <c r="H441" s="142">
        <f>VLOOKUP(G441,SuiteCatSubElem_Version!$I$2:$J$667,2,0)</f>
        <v>302</v>
      </c>
      <c r="I441" s="146" t="s">
        <v>1423</v>
      </c>
      <c r="J441" s="144" t="str">
        <f>VLOOKUP(B441,Categories!$A$2:$C$8,3,0)</f>
        <v>Supplier Relationship Management</v>
      </c>
      <c r="K441" s="147"/>
      <c r="L441" s="144" t="str">
        <f>VLOOKUP(C441,Subcategories!$A$2:$B$29,2,0)</f>
        <v>Technology</v>
      </c>
      <c r="M441" s="144" t="str">
        <f>VLOOKUP(D441,Elements!$B$2:$C$435,2,0)</f>
        <v>OCR</v>
      </c>
      <c r="N441" s="144" t="str">
        <f>VLOOKUP(H441,ElementVariants!$A$2:$B$460,2,0)</f>
        <v>Explain the use of OCR/Scanning technology within your solutions (if used) and roadmap plans. Focus on the ability to covert data to semi-structured and structured data that can be normalized, cleansed, categorized, enriched, and used for workflow management and/or new types of analytics previously unavailable to the business.</v>
      </c>
    </row>
    <row r="442" spans="1:14" ht="60">
      <c r="A442" s="138">
        <v>442</v>
      </c>
      <c r="B442" s="142">
        <v>6</v>
      </c>
      <c r="C442" s="142">
        <v>7</v>
      </c>
      <c r="D442" s="142">
        <v>78</v>
      </c>
      <c r="E442" s="142" t="s">
        <v>1759</v>
      </c>
      <c r="F442" s="142">
        <f>INDEX(SuiteCatSub!$E$2:$E$55,MATCH(_xlfn.CONCAT(B442,"-",C442),SuiteCatSub!$F$2:$F$55,0))</f>
        <v>47</v>
      </c>
      <c r="G442" s="142">
        <v>578</v>
      </c>
      <c r="H442" s="142">
        <f>VLOOKUP(G442,SuiteCatSubElem_Version!$I$2:$J$667,2,0)</f>
        <v>78</v>
      </c>
      <c r="I442" s="146" t="s">
        <v>1423</v>
      </c>
      <c r="J442" s="144" t="str">
        <f>VLOOKUP(B442,Categories!$A$2:$C$8,3,0)</f>
        <v>Supplier Relationship Management</v>
      </c>
      <c r="K442" s="147"/>
      <c r="L442" s="144" t="str">
        <f>VLOOKUP(C442,Subcategories!$A$2:$B$29,2,0)</f>
        <v>Technology</v>
      </c>
      <c r="M442" s="144" t="str">
        <f>VLOOKUP(D442,Elements!$B$2:$C$435,2,0)</f>
        <v>Intelligent Apps</v>
      </c>
      <c r="N442" s="144" t="str">
        <f>VLOOKUP(H442,ElementVariants!$A$2:$B$460,2,0)</f>
        <v>Explain the use of "intelligent apps" within your solutions. Examples include: Siri, Alexa, Google, etc. Do you work with partners in this area?</v>
      </c>
    </row>
    <row r="443" spans="1:14" ht="60">
      <c r="A443" s="138">
        <v>443</v>
      </c>
      <c r="B443" s="142">
        <v>6</v>
      </c>
      <c r="C443" s="142">
        <v>7</v>
      </c>
      <c r="D443" s="142">
        <v>80</v>
      </c>
      <c r="E443" s="142" t="s">
        <v>1760</v>
      </c>
      <c r="F443" s="142">
        <f>INDEX(SuiteCatSub!$E$2:$E$55,MATCH(_xlfn.CONCAT(B443,"-",C443),SuiteCatSub!$F$2:$F$55,0))</f>
        <v>47</v>
      </c>
      <c r="G443" s="142">
        <v>579</v>
      </c>
      <c r="H443" s="142">
        <f>VLOOKUP(G443,SuiteCatSubElem_Version!$I$2:$J$667,2,0)</f>
        <v>80</v>
      </c>
      <c r="I443" s="146" t="s">
        <v>1423</v>
      </c>
      <c r="J443" s="144" t="str">
        <f>VLOOKUP(B443,Categories!$A$2:$C$8,3,0)</f>
        <v>Supplier Relationship Management</v>
      </c>
      <c r="K443" s="147"/>
      <c r="L443" s="144" t="str">
        <f>VLOOKUP(C443,Subcategories!$A$2:$B$29,2,0)</f>
        <v>Technology</v>
      </c>
      <c r="M443" s="144" t="str">
        <f>VLOOKUP(D443,Elements!$B$2:$C$435,2,0)</f>
        <v>Personalization</v>
      </c>
      <c r="N443" s="144" t="str">
        <f>VLOOKUP(H443,ElementVariants!$A$2:$B$460,2,0)</f>
        <v>Describe your ability to customize/tailor terminology to business-specific terminology using data dictionaries or other approaches</v>
      </c>
    </row>
    <row r="444" spans="1:14" ht="60">
      <c r="A444" s="138">
        <v>444</v>
      </c>
      <c r="B444" s="142">
        <v>6</v>
      </c>
      <c r="C444" s="142">
        <v>7</v>
      </c>
      <c r="D444" s="142">
        <v>81</v>
      </c>
      <c r="E444" s="142" t="s">
        <v>1761</v>
      </c>
      <c r="F444" s="142">
        <f>INDEX(SuiteCatSub!$E$2:$E$55,MATCH(_xlfn.CONCAT(B444,"-",C444),SuiteCatSub!$F$2:$F$55,0))</f>
        <v>47</v>
      </c>
      <c r="G444" s="142">
        <v>580</v>
      </c>
      <c r="H444" s="142">
        <f>VLOOKUP(G444,SuiteCatSubElem_Version!$I$2:$J$667,2,0)</f>
        <v>81</v>
      </c>
      <c r="I444" s="146" t="s">
        <v>1423</v>
      </c>
      <c r="J444" s="144" t="str">
        <f>VLOOKUP(B444,Categories!$A$2:$C$8,3,0)</f>
        <v>Supplier Relationship Management</v>
      </c>
      <c r="K444" s="147"/>
      <c r="L444" s="144" t="str">
        <f>VLOOKUP(C444,Subcategories!$A$2:$B$29,2,0)</f>
        <v>Technology</v>
      </c>
      <c r="M444" s="144" t="str">
        <f>VLOOKUP(D444,Elements!$B$2:$C$435,2,0)</f>
        <v>Open Standards</v>
      </c>
      <c r="N444" s="144" t="str">
        <f>VLOOKUP(H444,ElementVariants!$A$2:$B$460,2,0)</f>
        <v>Describe your support for open standards, particularly surrounding document/data standards. How this has been developed / implemented? Are you working with / driving any standards-body initiatives? Do you provide a platform that enables others to develop or co-develop capabilities? Do you provide a platform for supplier to integrate their financial and accounting systems through a standards-driven environment?</v>
      </c>
    </row>
    <row r="445" spans="1:14" ht="60">
      <c r="A445" s="138">
        <v>445</v>
      </c>
      <c r="B445" s="142">
        <v>6</v>
      </c>
      <c r="C445" s="142">
        <v>7</v>
      </c>
      <c r="D445" s="142">
        <v>82</v>
      </c>
      <c r="E445" s="142" t="s">
        <v>1762</v>
      </c>
      <c r="F445" s="142">
        <f>INDEX(SuiteCatSub!$E$2:$E$55,MATCH(_xlfn.CONCAT(B445,"-",C445),SuiteCatSub!$F$2:$F$55,0))</f>
        <v>47</v>
      </c>
      <c r="G445" s="142">
        <v>581</v>
      </c>
      <c r="H445" s="142">
        <f>VLOOKUP(G445,SuiteCatSubElem_Version!$I$2:$J$667,2,0)</f>
        <v>82</v>
      </c>
      <c r="I445" s="146" t="s">
        <v>1423</v>
      </c>
      <c r="J445" s="144" t="str">
        <f>VLOOKUP(B445,Categories!$A$2:$C$8,3,0)</f>
        <v>Supplier Relationship Management</v>
      </c>
      <c r="K445" s="147"/>
      <c r="L445" s="144" t="str">
        <f>VLOOKUP(C445,Subcategories!$A$2:$B$29,2,0)</f>
        <v>Technology</v>
      </c>
      <c r="M445" s="144" t="str">
        <f>VLOOKUP(D445,Elements!$B$2:$C$435,2,0)</f>
        <v>Integrations</v>
      </c>
      <c r="N445" s="144" t="str">
        <f>VLOOKUP(H445,ElementVariants!$A$2:$B$460,2,0)</f>
        <v>Describe typical (and atypical) system integration options. Describe how the platform and service provider handles multiple instances. For example, if an organization has multiple ERPs but wants a shared Procurement/Sourcing/Analytics/etc. deployment, do you typically deploy a single instance of your software for them, or typically multiple instances? Describe any integrations not addressed below.</v>
      </c>
    </row>
    <row r="446" spans="1:14" ht="60">
      <c r="A446" s="138">
        <v>446</v>
      </c>
      <c r="B446" s="142">
        <v>6</v>
      </c>
      <c r="C446" s="142">
        <v>7</v>
      </c>
      <c r="D446" s="142">
        <v>234</v>
      </c>
      <c r="E446" s="142" t="s">
        <v>1763</v>
      </c>
      <c r="F446" s="142">
        <f>INDEX(SuiteCatSub!$E$2:$E$55,MATCH(_xlfn.CONCAT(B446,"-",C446),SuiteCatSub!$F$2:$F$55,0))</f>
        <v>47</v>
      </c>
      <c r="G446" s="142">
        <v>582</v>
      </c>
      <c r="H446" s="142">
        <f>VLOOKUP(G446,SuiteCatSubElem_Version!$I$2:$J$667,2,0)</f>
        <v>234</v>
      </c>
      <c r="I446" s="146" t="s">
        <v>1423</v>
      </c>
      <c r="J446" s="144" t="str">
        <f>VLOOKUP(B446,Categories!$A$2:$C$8,3,0)</f>
        <v>Supplier Relationship Management</v>
      </c>
      <c r="K446" s="147"/>
      <c r="L446" s="144" t="str">
        <f>VLOOKUP(C446,Subcategories!$A$2:$B$29,2,0)</f>
        <v>Technology</v>
      </c>
      <c r="M446" s="144" t="str">
        <f>VLOOKUP(D446,Elements!$B$2:$C$435,2,0)</f>
        <v>Fine Grained Role/Data/Action Based Security</v>
      </c>
      <c r="N446" s="144" t="str">
        <f>VLOOKUP(H446,ElementVariants!$A$2:$B$460,2,0)</f>
        <v>How fine grained is the role/data/action based security options on the platform and how configurable are they?</v>
      </c>
    </row>
    <row r="447" spans="1:14" ht="105">
      <c r="A447" s="138">
        <v>447</v>
      </c>
      <c r="B447" s="142">
        <v>6</v>
      </c>
      <c r="C447" s="142">
        <v>6</v>
      </c>
      <c r="D447" s="142">
        <v>379</v>
      </c>
      <c r="E447" s="142" t="s">
        <v>1764</v>
      </c>
      <c r="F447" s="142">
        <f>INDEX(SuiteCatSub!$E$2:$E$55,MATCH(_xlfn.CONCAT(B447,"-",C447),SuiteCatSub!$F$2:$F$55,0))</f>
        <v>46</v>
      </c>
      <c r="G447" s="142">
        <v>583</v>
      </c>
      <c r="H447" s="142">
        <f>VLOOKUP(G447,SuiteCatSubElem_Version!$I$2:$J$667,2,0)</f>
        <v>380</v>
      </c>
      <c r="I447" s="146" t="s">
        <v>1423</v>
      </c>
      <c r="J447" s="144" t="str">
        <f>VLOOKUP(B447,Categories!$A$2:$C$8,3,0)</f>
        <v>Supplier Relationship Management</v>
      </c>
      <c r="K447" s="147"/>
      <c r="L447" s="144" t="str">
        <f>VLOOKUP(C447,Subcategories!$A$2:$B$29,2,0)</f>
        <v>Configurability</v>
      </c>
      <c r="M447" s="144" t="str">
        <f>VLOOKUP(D447,Elements!$B$2:$C$435,2,0)</f>
        <v>SIM / SPM / SRM Configurability</v>
      </c>
      <c r="N447" s="144" t="str">
        <f>VLOOKUP(H447,ElementVariants!$A$2:$B$460,2,0)</f>
        <v>Describe your approach to customized SIM/SPM/SRM process configuration as well as both basic and advanced workflow configuration (based upon an evaluation of the strategic nature of the relationship, the dollars involved, the industry, and/or regulatory controls that need to be adhered to)?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categorizations and/or accounting structures. Describe the process for configuring custom fields/web forms (What are the limitations/constraints in terms of what can be enabled?)</v>
      </c>
    </row>
    <row r="448" spans="1:14" ht="60">
      <c r="A448" s="138">
        <v>448</v>
      </c>
      <c r="B448" s="142">
        <v>6</v>
      </c>
      <c r="C448" s="142">
        <v>6</v>
      </c>
      <c r="D448" s="142">
        <v>380</v>
      </c>
      <c r="E448" s="142" t="s">
        <v>1765</v>
      </c>
      <c r="F448" s="142">
        <f>INDEX(SuiteCatSub!$E$2:$E$55,MATCH(_xlfn.CONCAT(B448,"-",C448),SuiteCatSub!$F$2:$F$55,0))</f>
        <v>46</v>
      </c>
      <c r="G448" s="142">
        <v>584</v>
      </c>
      <c r="H448" s="142">
        <f>VLOOKUP(G448,SuiteCatSubElem_Version!$I$2:$J$667,2,0)</f>
        <v>381</v>
      </c>
      <c r="I448" s="146" t="s">
        <v>1423</v>
      </c>
      <c r="J448" s="144" t="str">
        <f>VLOOKUP(B448,Categories!$A$2:$C$8,3,0)</f>
        <v>Supplier Relationship Management</v>
      </c>
      <c r="K448" s="147"/>
      <c r="L448" s="144" t="str">
        <f>VLOOKUP(C448,Subcategories!$A$2:$B$29,2,0)</f>
        <v>Configurability</v>
      </c>
      <c r="M448" s="144" t="str">
        <f>VLOOKUP(D448,Elements!$B$2:$C$435,2,0)</f>
        <v>Network Data Model</v>
      </c>
      <c r="N448" s="144" t="str">
        <f>VLOOKUP(H448,ElementVariants!$A$2:$B$460,2,0)</f>
        <v>What (if any) is the network component of the offering? Is their many-to-many profile and data model support? Can a supplier be a buyer in the system under the same profile information?</v>
      </c>
    </row>
    <row r="449" spans="1:14" ht="60">
      <c r="A449" s="138">
        <v>449</v>
      </c>
      <c r="B449" s="142">
        <v>6</v>
      </c>
      <c r="C449" s="142">
        <v>6</v>
      </c>
      <c r="D449" s="142">
        <v>381</v>
      </c>
      <c r="E449" s="142" t="s">
        <v>1766</v>
      </c>
      <c r="F449" s="142">
        <f>INDEX(SuiteCatSub!$E$2:$E$55,MATCH(_xlfn.CONCAT(B449,"-",C449),SuiteCatSub!$F$2:$F$55,0))</f>
        <v>46</v>
      </c>
      <c r="G449" s="142">
        <v>585</v>
      </c>
      <c r="H449" s="142">
        <f>VLOOKUP(G449,SuiteCatSubElem_Version!$I$2:$J$667,2,0)</f>
        <v>382</v>
      </c>
      <c r="I449" s="146" t="s">
        <v>1423</v>
      </c>
      <c r="J449" s="144" t="str">
        <f>VLOOKUP(B449,Categories!$A$2:$C$8,3,0)</f>
        <v>Supplier Relationship Management</v>
      </c>
      <c r="K449" s="147"/>
      <c r="L449" s="144" t="str">
        <f>VLOOKUP(C449,Subcategories!$A$2:$B$29,2,0)</f>
        <v>Configurability</v>
      </c>
      <c r="M449" s="144" t="str">
        <f>VLOOKUP(D449,Elements!$B$2:$C$435,2,0)</f>
        <v>Multi-Tier</v>
      </c>
      <c r="N449" s="144" t="str">
        <f>VLOOKUP(H449,ElementVariants!$A$2:$B$460,2,0)</f>
        <v>If not already covered elsewhere in your submission, please describe your support for multi-tier data gathering and data management. Does the data model natively support multi-tier data gathering and management requirements? If so, is this limited to specific areas (e.g., supplier diversity) or is it broadly extensible?</v>
      </c>
    </row>
    <row r="450" spans="1:14" ht="60">
      <c r="A450" s="138">
        <v>450</v>
      </c>
      <c r="B450" s="142">
        <v>6</v>
      </c>
      <c r="C450" s="142">
        <v>6</v>
      </c>
      <c r="D450" s="142">
        <v>382</v>
      </c>
      <c r="E450" s="142" t="s">
        <v>1767</v>
      </c>
      <c r="F450" s="142">
        <f>INDEX(SuiteCatSub!$E$2:$E$55,MATCH(_xlfn.CONCAT(B450,"-",C450),SuiteCatSub!$F$2:$F$55,0))</f>
        <v>46</v>
      </c>
      <c r="G450" s="142">
        <v>586</v>
      </c>
      <c r="H450" s="142">
        <f>VLOOKUP(G450,SuiteCatSubElem_Version!$I$2:$J$667,2,0)</f>
        <v>383</v>
      </c>
      <c r="I450" s="146" t="s">
        <v>1423</v>
      </c>
      <c r="J450" s="144" t="str">
        <f>VLOOKUP(B450,Categories!$A$2:$C$8,3,0)</f>
        <v>Supplier Relationship Management</v>
      </c>
      <c r="K450" s="147"/>
      <c r="L450" s="144" t="str">
        <f>VLOOKUP(C450,Subcategories!$A$2:$B$29,2,0)</f>
        <v>Configurability</v>
      </c>
      <c r="M450" s="144" t="str">
        <f>VLOOKUP(D450,Elements!$B$2:$C$435,2,0)</f>
        <v>Supplier Portal Configurability</v>
      </c>
      <c r="N450" s="144" t="str">
        <f>VLOOKUP(H450,ElementVariants!$A$2:$B$460,2,0)</f>
        <v>Describe the extent to which the supplier portal is configurable and customizable by the buyer (for initial setup) and the supplier (for efficient and effective use and collaboration)</v>
      </c>
    </row>
    <row r="451" spans="1:14" ht="60">
      <c r="A451" s="138">
        <v>451</v>
      </c>
      <c r="B451" s="142">
        <v>6</v>
      </c>
      <c r="C451" s="142">
        <v>6</v>
      </c>
      <c r="D451" s="142">
        <v>65</v>
      </c>
      <c r="E451" s="142" t="s">
        <v>1768</v>
      </c>
      <c r="F451" s="142">
        <f>INDEX(SuiteCatSub!$E$2:$E$55,MATCH(_xlfn.CONCAT(B451,"-",C451),SuiteCatSub!$F$2:$F$55,0))</f>
        <v>46</v>
      </c>
      <c r="G451" s="142">
        <v>587</v>
      </c>
      <c r="H451" s="142">
        <f>VLOOKUP(G451,SuiteCatSubElem_Version!$I$2:$J$667,2,0)</f>
        <v>65</v>
      </c>
      <c r="I451" s="146" t="s">
        <v>1423</v>
      </c>
      <c r="J451" s="144" t="str">
        <f>VLOOKUP(B451,Categories!$A$2:$C$8,3,0)</f>
        <v>Supplier Relationship Management</v>
      </c>
      <c r="K451" s="147"/>
      <c r="L451" s="144" t="str">
        <f>VLOOKUP(C451,Subcategories!$A$2:$B$29,2,0)</f>
        <v>Configurability</v>
      </c>
      <c r="M451" s="144" t="str">
        <f>VLOOKUP(D451,Elements!$B$2:$C$435,2,0)</f>
        <v>Business Rules / Workflow</v>
      </c>
      <c r="N451" s="144" t="str">
        <f>VLOOKUP(H451,ElementVariants!$A$2:$B$460,2,0)</f>
        <v>Describe the elements, and extent of, workflow configuration across the modules and functionality and any integrated third party applications. Be sure to describe your competitive differentiators including, but not limited to, depth of configurability, breadth of configurability, and visual component manipulation. Is the rules/workflow capability native to your platform or is it a licensed third party capability?</v>
      </c>
    </row>
    <row r="452" spans="1:14" ht="60">
      <c r="A452" s="138">
        <v>452</v>
      </c>
      <c r="B452" s="142">
        <v>6</v>
      </c>
      <c r="C452" s="142">
        <v>6</v>
      </c>
      <c r="D452" s="142">
        <v>240</v>
      </c>
      <c r="E452" s="142" t="s">
        <v>1769</v>
      </c>
      <c r="F452" s="142">
        <f>INDEX(SuiteCatSub!$E$2:$E$55,MATCH(_xlfn.CONCAT(B452,"-",C452),SuiteCatSub!$F$2:$F$55,0))</f>
        <v>46</v>
      </c>
      <c r="G452" s="142">
        <v>588</v>
      </c>
      <c r="H452" s="142">
        <f>VLOOKUP(G452,SuiteCatSubElem_Version!$I$2:$J$667,2,0)</f>
        <v>240</v>
      </c>
      <c r="I452" s="146" t="s">
        <v>1423</v>
      </c>
      <c r="J452" s="144" t="str">
        <f>VLOOKUP(B452,Categories!$A$2:$C$8,3,0)</f>
        <v>Supplier Relationship Management</v>
      </c>
      <c r="K452" s="147"/>
      <c r="L452" s="144" t="str">
        <f>VLOOKUP(C452,Subcategories!$A$2:$B$29,2,0)</f>
        <v>Configurability</v>
      </c>
      <c r="M452" s="144" t="str">
        <f>VLOOKUP(D452,Elements!$B$2:$C$435,2,0)</f>
        <v>Globalization</v>
      </c>
      <c r="N452" s="144" t="str">
        <f>VLOOKUP(H452,ElementVariants!$A$2:$B$460,2,0)</f>
        <v>Describe the globalization capabilities, paying particular attention to capabilities beyond multi-currency and multi-lingual</v>
      </c>
    </row>
    <row r="453" spans="1:14" ht="60">
      <c r="A453" s="138">
        <v>453</v>
      </c>
      <c r="B453" s="142">
        <v>6</v>
      </c>
      <c r="C453" s="142">
        <v>6</v>
      </c>
      <c r="D453" s="142">
        <v>66</v>
      </c>
      <c r="E453" s="142" t="s">
        <v>1770</v>
      </c>
      <c r="F453" s="142">
        <f>INDEX(SuiteCatSub!$E$2:$E$55,MATCH(_xlfn.CONCAT(B453,"-",C453),SuiteCatSub!$F$2:$F$55,0))</f>
        <v>46</v>
      </c>
      <c r="G453" s="142">
        <v>589</v>
      </c>
      <c r="H453" s="142">
        <f>VLOOKUP(G453,SuiteCatSubElem_Version!$I$2:$J$667,2,0)</f>
        <v>66</v>
      </c>
      <c r="I453" s="146" t="s">
        <v>1423</v>
      </c>
      <c r="J453" s="144" t="str">
        <f>VLOOKUP(B453,Categories!$A$2:$C$8,3,0)</f>
        <v>Supplier Relationship Management</v>
      </c>
      <c r="K453" s="147"/>
      <c r="L453" s="144" t="str">
        <f>VLOOKUP(C453,Subcategories!$A$2:$B$29,2,0)</f>
        <v>Configurability</v>
      </c>
      <c r="M453" s="144" t="str">
        <f>VLOOKUP(D453,Elements!$B$2:$C$435,2,0)</f>
        <v>Multi-Currency</v>
      </c>
      <c r="N453" s="144" t="str">
        <f>VLOOKUP(H453,ElementVariants!$A$2:$B$460,2,0)</f>
        <v>Describe your support for multiple currencies and supporting functionality for conversions, rounding, etc. Describe how external currency tables are used (e.g., automated conversions, manual, third-party only or if internal master tables are supported, etc.)</v>
      </c>
    </row>
    <row r="454" spans="1:14" ht="60">
      <c r="A454" s="138">
        <v>454</v>
      </c>
      <c r="B454" s="142">
        <v>6</v>
      </c>
      <c r="C454" s="142">
        <v>6</v>
      </c>
      <c r="D454" s="142">
        <v>241</v>
      </c>
      <c r="E454" s="142" t="s">
        <v>1771</v>
      </c>
      <c r="F454" s="142">
        <f>INDEX(SuiteCatSub!$E$2:$E$55,MATCH(_xlfn.CONCAT(B454,"-",C454),SuiteCatSub!$F$2:$F$55,0))</f>
        <v>46</v>
      </c>
      <c r="G454" s="142">
        <v>590</v>
      </c>
      <c r="H454" s="142">
        <f>VLOOKUP(G454,SuiteCatSubElem_Version!$I$2:$J$667,2,0)</f>
        <v>241</v>
      </c>
      <c r="I454" s="146" t="s">
        <v>1423</v>
      </c>
      <c r="J454" s="144" t="str">
        <f>VLOOKUP(B454,Categories!$A$2:$C$8,3,0)</f>
        <v>Supplier Relationship Management</v>
      </c>
      <c r="K454" s="147"/>
      <c r="L454" s="144" t="str">
        <f>VLOOKUP(C454,Subcategories!$A$2:$B$29,2,0)</f>
        <v>Configurability</v>
      </c>
      <c r="M454" s="144" t="str">
        <f>VLOOKUP(D454,Elements!$B$2:$C$435,2,0)</f>
        <v>Multi-Lingual</v>
      </c>
      <c r="N454" s="144" t="str">
        <f>VLOOKUP(H454,ElementVariants!$A$2:$B$460,2,0)</f>
        <v>Describe your support for multiple languages and for instruction / communication translation. Describe how third parties are used to support translation efforts</v>
      </c>
    </row>
    <row r="455" spans="1:14" ht="60">
      <c r="A455" s="138">
        <v>455</v>
      </c>
      <c r="B455" s="142">
        <v>6</v>
      </c>
      <c r="C455" s="142">
        <v>8</v>
      </c>
      <c r="D455" s="142">
        <v>55</v>
      </c>
      <c r="E455" s="142" t="s">
        <v>1772</v>
      </c>
      <c r="F455" s="142">
        <f>INDEX(SuiteCatSub!$E$2:$E$55,MATCH(_xlfn.CONCAT(B455,"-",C455),SuiteCatSub!$F$2:$F$55,0))</f>
        <v>48</v>
      </c>
      <c r="G455" s="142">
        <v>591</v>
      </c>
      <c r="H455" s="142">
        <f>VLOOKUP(G455,SuiteCatSubElem_Version!$I$2:$J$667,2,0)</f>
        <v>439</v>
      </c>
      <c r="I455" s="146" t="s">
        <v>1423</v>
      </c>
      <c r="J455" s="144" t="str">
        <f>VLOOKUP(B455,Categories!$A$2:$C$8,3,0)</f>
        <v>Supplier Relationship Management</v>
      </c>
      <c r="K455" s="147"/>
      <c r="L455" s="144" t="str">
        <f>VLOOKUP(C455,Subcategories!$A$2:$B$29,2,0)</f>
        <v>General Services</v>
      </c>
      <c r="M455" s="144" t="str">
        <f>VLOOKUP(D455,Elements!$B$2:$C$435,2,0)</f>
        <v>Supplier Onboarding</v>
      </c>
      <c r="N455" s="144" t="str">
        <f>VLOOKUP(H455,ElementVariants!$A$2:$B$460,2,0)</f>
        <v>Does the platform facilitate the onboarding of new suppliers? Are multi-channel onboarding events supported across categories, industries, and geographies? Is there any supplier network support?</v>
      </c>
    </row>
    <row r="456" spans="1:14" ht="60">
      <c r="A456" s="138">
        <v>456</v>
      </c>
      <c r="B456" s="142">
        <v>6</v>
      </c>
      <c r="C456" s="142">
        <v>8</v>
      </c>
      <c r="D456" s="142">
        <v>383</v>
      </c>
      <c r="E456" s="142" t="s">
        <v>1773</v>
      </c>
      <c r="F456" s="142">
        <f>INDEX(SuiteCatSub!$E$2:$E$55,MATCH(_xlfn.CONCAT(B456,"-",C456),SuiteCatSub!$F$2:$F$55,0))</f>
        <v>48</v>
      </c>
      <c r="G456" s="142">
        <v>592</v>
      </c>
      <c r="H456" s="142">
        <f>VLOOKUP(G456,SuiteCatSubElem_Version!$I$2:$J$667,2,0)</f>
        <v>384</v>
      </c>
      <c r="I456" s="146" t="s">
        <v>1423</v>
      </c>
      <c r="J456" s="144" t="str">
        <f>VLOOKUP(B456,Categories!$A$2:$C$8,3,0)</f>
        <v>Supplier Relationship Management</v>
      </c>
      <c r="K456" s="147"/>
      <c r="L456" s="144" t="str">
        <f>VLOOKUP(C456,Subcategories!$A$2:$B$29,2,0)</f>
        <v>General Services</v>
      </c>
      <c r="M456" s="144" t="str">
        <f>VLOOKUP(D456,Elements!$B$2:$C$435,2,0)</f>
        <v>Data/Document Management Services</v>
      </c>
      <c r="N456" s="144" t="str">
        <f>VLOOKUP(H456,ElementVariants!$A$2:$B$460,2,0)</f>
        <v>Describe your ability to natively (or through partners) aggregate, cleanse, classify, enrich, and harmonize existing data (and document [metadata]) to make it timely and accurate to drive surveys, innovation management and supplier development efforts. Describe existing abilities to also validate data against external sources (tax authorities, prohibited/denied parties lists, certifying ISO authorities, etc.)</v>
      </c>
    </row>
    <row r="457" spans="1:14" ht="60">
      <c r="A457" s="138">
        <v>457</v>
      </c>
      <c r="B457" s="142">
        <v>6</v>
      </c>
      <c r="C457" s="142">
        <v>8</v>
      </c>
      <c r="D457" s="142">
        <v>384</v>
      </c>
      <c r="E457" s="142" t="s">
        <v>1774</v>
      </c>
      <c r="F457" s="142">
        <f>INDEX(SuiteCatSub!$E$2:$E$55,MATCH(_xlfn.CONCAT(B457,"-",C457),SuiteCatSub!$F$2:$F$55,0))</f>
        <v>48</v>
      </c>
      <c r="G457" s="142">
        <v>593</v>
      </c>
      <c r="H457" s="142">
        <f>VLOOKUP(G457,SuiteCatSubElem_Version!$I$2:$J$667,2,0)</f>
        <v>385</v>
      </c>
      <c r="I457" s="146" t="s">
        <v>1423</v>
      </c>
      <c r="J457" s="144" t="str">
        <f>VLOOKUP(B457,Categories!$A$2:$C$8,3,0)</f>
        <v>Supplier Relationship Management</v>
      </c>
      <c r="K457" s="147"/>
      <c r="L457" s="144" t="str">
        <f>VLOOKUP(C457,Subcategories!$A$2:$B$29,2,0)</f>
        <v>General Services</v>
      </c>
      <c r="M457" s="144" t="str">
        <f>VLOOKUP(D457,Elements!$B$2:$C$435,2,0)</f>
        <v>Supplier Management Services</v>
      </c>
      <c r="N457" s="144" t="str">
        <f>VLOOKUP(H457,ElementVariants!$A$2:$B$460,2,0)</f>
        <v>Describe your ability to do enable supplier data / profile management and supplier relationship management services on behalf of the buying organization, either natively or through partners</v>
      </c>
    </row>
    <row r="458" spans="1:14" ht="60">
      <c r="A458" s="138">
        <v>458</v>
      </c>
      <c r="B458" s="142">
        <v>6</v>
      </c>
      <c r="C458" s="142">
        <v>8</v>
      </c>
      <c r="D458" s="142">
        <v>385</v>
      </c>
      <c r="E458" s="142" t="s">
        <v>1775</v>
      </c>
      <c r="F458" s="142">
        <f>INDEX(SuiteCatSub!$E$2:$E$55,MATCH(_xlfn.CONCAT(B458,"-",C458),SuiteCatSub!$F$2:$F$55,0))</f>
        <v>48</v>
      </c>
      <c r="G458" s="142">
        <v>594</v>
      </c>
      <c r="H458" s="142">
        <f>VLOOKUP(G458,SuiteCatSubElem_Version!$I$2:$J$667,2,0)</f>
        <v>386</v>
      </c>
      <c r="I458" s="146" t="s">
        <v>1423</v>
      </c>
      <c r="J458" s="144" t="str">
        <f>VLOOKUP(B458,Categories!$A$2:$C$8,3,0)</f>
        <v>Supplier Relationship Management</v>
      </c>
      <c r="K458" s="147"/>
      <c r="L458" s="144" t="str">
        <f>VLOOKUP(C458,Subcategories!$A$2:$B$29,2,0)</f>
        <v>General Services</v>
      </c>
      <c r="M458" s="144" t="str">
        <f>VLOOKUP(D458,Elements!$B$2:$C$435,2,0)</f>
        <v>Supplier Development / Innovation Management</v>
      </c>
      <c r="N458" s="144" t="str">
        <f>VLOOKUP(H458,ElementVariants!$A$2:$B$460,2,0)</f>
        <v>Describe your ability to lead and manage supplier development and innovation management projects on behalf of the buying organization, either natively or through partners</v>
      </c>
    </row>
    <row r="459" spans="1:14" ht="60">
      <c r="A459" s="138">
        <v>459</v>
      </c>
      <c r="B459" s="142">
        <v>7</v>
      </c>
      <c r="C459" s="142">
        <v>26</v>
      </c>
      <c r="D459" s="142">
        <v>386</v>
      </c>
      <c r="E459" s="142" t="s">
        <v>1776</v>
      </c>
      <c r="F459" s="142">
        <f>INDEX(SuiteCatSub!$E$2:$E$55,MATCH(_xlfn.CONCAT(B459,"-",C459),SuiteCatSub!$F$2:$F$55,0))</f>
        <v>49</v>
      </c>
      <c r="G459" s="142">
        <v>595</v>
      </c>
      <c r="H459" s="142">
        <f>VLOOKUP(G459,SuiteCatSubElem_Version!$I$2:$J$667,2,0)</f>
        <v>387</v>
      </c>
      <c r="I459" s="146" t="s">
        <v>1423</v>
      </c>
      <c r="J459" s="144" t="str">
        <f>VLOOKUP(B459,Categories!$A$2:$C$8,3,0)</f>
        <v>Conctract Lifecycle Management</v>
      </c>
      <c r="K459" s="147"/>
      <c r="L459" s="144" t="str">
        <f>VLOOKUP(C459,Subcategories!$A$2:$B$29,2,0)</f>
        <v>Contract Information Management</v>
      </c>
      <c r="M459" s="144" t="str">
        <f>VLOOKUP(D459,Elements!$B$2:$C$435,2,0)</f>
        <v>Enterprise Contracts Support (beyond buy-side)</v>
      </c>
      <c r="N459" s="144" t="str">
        <f>VLOOKUP(H459,ElementVariants!$A$2:$B$460,2,0)</f>
        <v>Please describe the ability to support all enterprise contracts, including not just supplier contracts, but those from customers, employees, partners, and other key stakeholders</v>
      </c>
    </row>
    <row r="460" spans="1:14" ht="60">
      <c r="A460" s="138">
        <v>460</v>
      </c>
      <c r="B460" s="142">
        <v>7</v>
      </c>
      <c r="C460" s="142">
        <v>26</v>
      </c>
      <c r="D460" s="142">
        <v>387</v>
      </c>
      <c r="E460" s="142" t="s">
        <v>1777</v>
      </c>
      <c r="F460" s="142">
        <f>INDEX(SuiteCatSub!$E$2:$E$55,MATCH(_xlfn.CONCAT(B460,"-",C460),SuiteCatSub!$F$2:$F$55,0))</f>
        <v>49</v>
      </c>
      <c r="G460" s="142">
        <v>596</v>
      </c>
      <c r="H460" s="142">
        <f>VLOOKUP(G460,SuiteCatSubElem_Version!$I$2:$J$667,2,0)</f>
        <v>388</v>
      </c>
      <c r="I460" s="146" t="s">
        <v>1423</v>
      </c>
      <c r="J460" s="144" t="str">
        <f>VLOOKUP(B460,Categories!$A$2:$C$8,3,0)</f>
        <v>Conctract Lifecycle Management</v>
      </c>
      <c r="K460" s="147"/>
      <c r="L460" s="144" t="str">
        <f>VLOOKUP(C460,Subcategories!$A$2:$B$29,2,0)</f>
        <v>Contract Information Management</v>
      </c>
      <c r="M460" s="144" t="str">
        <f>VLOOKUP(D460,Elements!$B$2:$C$435,2,0)</f>
        <v>Richness of Contract Level Data Modeled</v>
      </c>
      <c r="N460" s="144" t="str">
        <f>VLOOKUP(H460,ElementVariants!$A$2:$B$460,2,0)</f>
        <v>Ability to model contract information at granular level of detail</v>
      </c>
    </row>
    <row r="461" spans="1:14" ht="60">
      <c r="A461" s="138">
        <v>461</v>
      </c>
      <c r="B461" s="142">
        <v>7</v>
      </c>
      <c r="C461" s="142">
        <v>26</v>
      </c>
      <c r="D461" s="142">
        <v>388</v>
      </c>
      <c r="E461" s="142" t="s">
        <v>1778</v>
      </c>
      <c r="F461" s="142">
        <f>INDEX(SuiteCatSub!$E$2:$E$55,MATCH(_xlfn.CONCAT(B461,"-",C461),SuiteCatSub!$F$2:$F$55,0))</f>
        <v>49</v>
      </c>
      <c r="G461" s="142">
        <v>597</v>
      </c>
      <c r="H461" s="142">
        <f>VLOOKUP(G461,SuiteCatSubElem_Version!$I$2:$J$667,2,0)</f>
        <v>454</v>
      </c>
      <c r="I461" s="146" t="s">
        <v>1423</v>
      </c>
      <c r="J461" s="144" t="str">
        <f>VLOOKUP(B461,Categories!$A$2:$C$8,3,0)</f>
        <v>Conctract Lifecycle Management</v>
      </c>
      <c r="K461" s="147"/>
      <c r="L461" s="144" t="str">
        <f>VLOOKUP(C461,Subcategories!$A$2:$B$29,2,0)</f>
        <v>Contract Information Management</v>
      </c>
      <c r="M461" s="144" t="str">
        <f>VLOOKUP(D461,Elements!$B$2:$C$435,2,0)</f>
        <v>Pricing</v>
      </c>
      <c r="N461" s="144" t="str">
        <f>VLOOKUP(H461,ElementVariants!$A$2:$B$460,2,0)</f>
        <v>Does the platform allow templates that can be used for initial contract creation?</v>
      </c>
    </row>
    <row r="462" spans="1:14" ht="60">
      <c r="A462" s="138">
        <v>462</v>
      </c>
      <c r="B462" s="142">
        <v>7</v>
      </c>
      <c r="C462" s="142">
        <v>26</v>
      </c>
      <c r="D462" s="142">
        <v>389</v>
      </c>
      <c r="E462" s="142" t="s">
        <v>1779</v>
      </c>
      <c r="F462" s="142">
        <f>INDEX(SuiteCatSub!$E$2:$E$55,MATCH(_xlfn.CONCAT(B462,"-",C462),SuiteCatSub!$F$2:$F$55,0))</f>
        <v>49</v>
      </c>
      <c r="G462" s="142">
        <v>598</v>
      </c>
      <c r="H462" s="142">
        <f>VLOOKUP(G462,SuiteCatSubElem_Version!$I$2:$J$667,2,0)</f>
        <v>206</v>
      </c>
      <c r="I462" s="146" t="s">
        <v>1423</v>
      </c>
      <c r="J462" s="144" t="str">
        <f>VLOOKUP(B462,Categories!$A$2:$C$8,3,0)</f>
        <v>Conctract Lifecycle Management</v>
      </c>
      <c r="K462" s="147"/>
      <c r="L462" s="144" t="str">
        <f>VLOOKUP(C462,Subcategories!$A$2:$B$29,2,0)</f>
        <v>Contract Information Management</v>
      </c>
      <c r="M462" s="144" t="str">
        <f>VLOOKUP(D462,Elements!$B$2:$C$435,2,0)</f>
        <v>"Categories"</v>
      </c>
      <c r="N462" s="144" t="str">
        <f>VLOOKUP(H462,ElementVariants!$A$2:$B$460,2,0)</f>
        <v>Does the platform allow Legal to define standard clauses and variations (across geographies, industries, etc.) that can be automatically included in the template used to cut the contract?</v>
      </c>
    </row>
    <row r="463" spans="1:14" ht="60">
      <c r="A463" s="138">
        <v>463</v>
      </c>
      <c r="B463" s="142">
        <v>7</v>
      </c>
      <c r="C463" s="142">
        <v>26</v>
      </c>
      <c r="D463" s="142">
        <v>390</v>
      </c>
      <c r="E463" s="142" t="s">
        <v>1780</v>
      </c>
      <c r="F463" s="142">
        <f>INDEX(SuiteCatSub!$E$2:$E$55,MATCH(_xlfn.CONCAT(B463,"-",C463),SuiteCatSub!$F$2:$F$55,0))</f>
        <v>49</v>
      </c>
      <c r="G463" s="142">
        <v>599</v>
      </c>
      <c r="H463" s="142">
        <f>VLOOKUP(G463,SuiteCatSubElem_Version!$I$2:$J$667,2,0)</f>
        <v>398</v>
      </c>
      <c r="I463" s="146" t="s">
        <v>1423</v>
      </c>
      <c r="J463" s="144" t="str">
        <f>VLOOKUP(B463,Categories!$A$2:$C$8,3,0)</f>
        <v>Conctract Lifecycle Management</v>
      </c>
      <c r="K463" s="147"/>
      <c r="L463" s="144" t="str">
        <f>VLOOKUP(C463,Subcategories!$A$2:$B$29,2,0)</f>
        <v>Contract Information Management</v>
      </c>
      <c r="M463" s="144" t="str">
        <f>VLOOKUP(D463,Elements!$B$2:$C$435,2,0)</f>
        <v>General Risk</v>
      </c>
      <c r="N463" s="144" t="str">
        <f>VLOOKUP(H463,ElementVariants!$A$2:$B$460,2,0)</f>
        <v>Performance specifications are the expected form/fit/function of the contracted deliverables - whether products and/or services. For services, they include tasks to be performed, service levels, and acceptance criteria. To what extent does the CLM system support the ability to model tasks/services, service levels, deliverables, milestones, product/service quality, and other determinants of commercial obligations?</v>
      </c>
    </row>
    <row r="464" spans="1:14" ht="60">
      <c r="A464" s="138">
        <v>464</v>
      </c>
      <c r="B464" s="142">
        <v>7</v>
      </c>
      <c r="C464" s="142">
        <v>26</v>
      </c>
      <c r="D464" s="142">
        <v>391</v>
      </c>
      <c r="E464" s="142" t="s">
        <v>1781</v>
      </c>
      <c r="F464" s="142">
        <f>INDEX(SuiteCatSub!$E$2:$E$55,MATCH(_xlfn.CONCAT(B464,"-",C464),SuiteCatSub!$F$2:$F$55,0))</f>
        <v>49</v>
      </c>
      <c r="G464" s="142">
        <v>600</v>
      </c>
      <c r="H464" s="142">
        <f>VLOOKUP(G464,SuiteCatSubElem_Version!$I$2:$J$667,2,0)</f>
        <v>399</v>
      </c>
      <c r="I464" s="146" t="s">
        <v>1423</v>
      </c>
      <c r="J464" s="144" t="str">
        <f>VLOOKUP(B464,Categories!$A$2:$C$8,3,0)</f>
        <v>Conctract Lifecycle Management</v>
      </c>
      <c r="K464" s="147"/>
      <c r="L464" s="144" t="str">
        <f>VLOOKUP(C464,Subcategories!$A$2:$B$29,2,0)</f>
        <v>Contract Information Management</v>
      </c>
      <c r="M464" s="144" t="str">
        <f>VLOOKUP(D464,Elements!$B$2:$C$435,2,0)</f>
        <v>Commodity Risk</v>
      </c>
      <c r="N464" s="144" t="str">
        <f>VLOOKUP(H464,ElementVariants!$A$2:$B$460,2,0)</f>
        <v>Obligations are contractual commitments made within provisions set forth in contract clauses. They reflect not just financial obligations, but also who is responsible for what operational commitments. So, how well does the CLM system model, capture, and monitor these obligations (especially financial)?</v>
      </c>
    </row>
    <row r="465" spans="1:14" ht="60">
      <c r="A465" s="138">
        <v>465</v>
      </c>
      <c r="B465" s="142">
        <v>7</v>
      </c>
      <c r="C465" s="142">
        <v>26</v>
      </c>
      <c r="D465" s="142">
        <v>392</v>
      </c>
      <c r="E465" s="142" t="s">
        <v>1782</v>
      </c>
      <c r="F465" s="142">
        <f>INDEX(SuiteCatSub!$E$2:$E$55,MATCH(_xlfn.CONCAT(B465,"-",C465),SuiteCatSub!$F$2:$F$55,0))</f>
        <v>49</v>
      </c>
      <c r="G465" s="142">
        <v>601</v>
      </c>
      <c r="H465" s="142">
        <f>VLOOKUP(G465,SuiteCatSubElem_Version!$I$2:$J$667,2,0)</f>
        <v>400</v>
      </c>
      <c r="I465" s="146" t="s">
        <v>1423</v>
      </c>
      <c r="J465" s="144" t="str">
        <f>VLOOKUP(B465,Categories!$A$2:$C$8,3,0)</f>
        <v>Conctract Lifecycle Management</v>
      </c>
      <c r="K465" s="147"/>
      <c r="L465" s="144" t="str">
        <f>VLOOKUP(C465,Subcategories!$A$2:$B$29,2,0)</f>
        <v>Contract Information Management</v>
      </c>
      <c r="M465" s="144" t="str">
        <f>VLOOKUP(D465,Elements!$B$2:$C$435,2,0)</f>
        <v>Supplier / Partner</v>
      </c>
      <c r="N465" s="144" t="str">
        <f>VLOOKUP(H465,ElementVariants!$A$2:$B$460,2,0)</f>
        <v>Does the platform allow the buyer to attach as many attachments (NDAs, specs, etc.) as necessary in a secure fashion and allow for supplier verification / e-Signature confirmation of receipt?</v>
      </c>
    </row>
    <row r="466" spans="1:14" ht="60">
      <c r="A466" s="138">
        <v>466</v>
      </c>
      <c r="B466" s="142">
        <v>7</v>
      </c>
      <c r="C466" s="142">
        <v>26</v>
      </c>
      <c r="D466" s="142">
        <v>393</v>
      </c>
      <c r="E466" s="142" t="s">
        <v>1783</v>
      </c>
      <c r="F466" s="142">
        <f>INDEX(SuiteCatSub!$E$2:$E$55,MATCH(_xlfn.CONCAT(B466,"-",C466),SuiteCatSub!$F$2:$F$55,0))</f>
        <v>49</v>
      </c>
      <c r="G466" s="142">
        <v>602</v>
      </c>
      <c r="H466" s="142">
        <f>VLOOKUP(G466,SuiteCatSubElem_Version!$I$2:$J$667,2,0)</f>
        <v>401</v>
      </c>
      <c r="I466" s="146" t="s">
        <v>1423</v>
      </c>
      <c r="J466" s="144" t="str">
        <f>VLOOKUP(B466,Categories!$A$2:$C$8,3,0)</f>
        <v>Conctract Lifecycle Management</v>
      </c>
      <c r="K466" s="147"/>
      <c r="L466" s="144" t="str">
        <f>VLOOKUP(C466,Subcategories!$A$2:$B$29,2,0)</f>
        <v>Contract Information Management</v>
      </c>
      <c r="M466" s="144" t="str">
        <f>VLOOKUP(D466,Elements!$B$2:$C$435,2,0)</f>
        <v>Regulatory Compliance</v>
      </c>
      <c r="N466" s="144" t="str">
        <f>VLOOKUP(H466,ElementVariants!$A$2:$B$460,2,0)</f>
        <v>Beyond file attachments, to what extend can the contract be linked to related documents that sits in other systems (e.g., superseded contracts in legacy document management system; MSAs in a contingent labor application; ERP and P2P systems; niche systems in Legal Department, etc.) For example, can system detect changes in those related files/systems?</v>
      </c>
    </row>
    <row r="467" spans="1:14" ht="60">
      <c r="A467" s="138">
        <v>467</v>
      </c>
      <c r="B467" s="142">
        <v>7</v>
      </c>
      <c r="C467" s="142">
        <v>26</v>
      </c>
      <c r="D467" s="142">
        <v>394</v>
      </c>
      <c r="E467" s="142" t="s">
        <v>1784</v>
      </c>
      <c r="F467" s="142">
        <f>INDEX(SuiteCatSub!$E$2:$E$55,MATCH(_xlfn.CONCAT(B467,"-",C467),SuiteCatSub!$F$2:$F$55,0))</f>
        <v>49</v>
      </c>
      <c r="G467" s="142">
        <v>603</v>
      </c>
      <c r="H467" s="142">
        <f>VLOOKUP(G467,SuiteCatSubElem_Version!$I$2:$J$667,2,0)</f>
        <v>460</v>
      </c>
      <c r="I467" s="146" t="s">
        <v>1423</v>
      </c>
      <c r="J467" s="144" t="str">
        <f>VLOOKUP(B467,Categories!$A$2:$C$8,3,0)</f>
        <v>Conctract Lifecycle Management</v>
      </c>
      <c r="K467" s="147"/>
      <c r="L467" s="144" t="str">
        <f>VLOOKUP(C467,Subcategories!$A$2:$B$29,2,0)</f>
        <v>Contract Information Management</v>
      </c>
      <c r="M467" s="144" t="str">
        <f>VLOOKUP(D467,Elements!$B$2:$C$435,2,0)</f>
        <v>"Financials"</v>
      </c>
      <c r="N467" s="144" t="e">
        <f>VLOOKUP(H467,ElementVariants!$A$2:$B$460,2,0)</f>
        <v>#N/A</v>
      </c>
    </row>
    <row r="468" spans="1:14" ht="60">
      <c r="A468" s="138">
        <v>468</v>
      </c>
      <c r="B468" s="142">
        <v>7</v>
      </c>
      <c r="C468" s="142">
        <v>26</v>
      </c>
      <c r="D468" s="142">
        <v>395</v>
      </c>
      <c r="E468" s="142" t="s">
        <v>1785</v>
      </c>
      <c r="F468" s="142">
        <f>INDEX(SuiteCatSub!$E$2:$E$55,MATCH(_xlfn.CONCAT(B468,"-",C468),SuiteCatSub!$F$2:$F$55,0))</f>
        <v>49</v>
      </c>
      <c r="G468" s="142">
        <v>604</v>
      </c>
      <c r="H468" s="142">
        <f>VLOOKUP(G468,SuiteCatSubElem_Version!$I$2:$J$667,2,0)</f>
        <v>461</v>
      </c>
      <c r="I468" s="146" t="s">
        <v>1423</v>
      </c>
      <c r="J468" s="144" t="str">
        <f>VLOOKUP(B468,Categories!$A$2:$C$8,3,0)</f>
        <v>Conctract Lifecycle Management</v>
      </c>
      <c r="K468" s="147"/>
      <c r="L468" s="144" t="str">
        <f>VLOOKUP(C468,Subcategories!$A$2:$B$29,2,0)</f>
        <v>Contract Information Management</v>
      </c>
      <c r="M468" s="144" t="str">
        <f>VLOOKUP(D468,Elements!$B$2:$C$435,2,0)</f>
        <v>Projects</v>
      </c>
      <c r="N468" s="144" t="e">
        <f>VLOOKUP(H468,ElementVariants!$A$2:$B$460,2,0)</f>
        <v>#N/A</v>
      </c>
    </row>
    <row r="469" spans="1:14" ht="60">
      <c r="A469" s="138">
        <v>469</v>
      </c>
      <c r="B469" s="142">
        <v>7</v>
      </c>
      <c r="C469" s="142">
        <v>26</v>
      </c>
      <c r="D469" s="142">
        <v>396</v>
      </c>
      <c r="E469" s="142" t="s">
        <v>1786</v>
      </c>
      <c r="F469" s="142">
        <f>INDEX(SuiteCatSub!$E$2:$E$55,MATCH(_xlfn.CONCAT(B469,"-",C469),SuiteCatSub!$F$2:$F$55,0))</f>
        <v>49</v>
      </c>
      <c r="G469" s="142">
        <v>605</v>
      </c>
      <c r="H469" s="142">
        <f>VLOOKUP(G469,SuiteCatSubElem_Version!$I$2:$J$667,2,0)</f>
        <v>462</v>
      </c>
      <c r="I469" s="146" t="s">
        <v>1423</v>
      </c>
      <c r="J469" s="144" t="str">
        <f>VLOOKUP(B469,Categories!$A$2:$C$8,3,0)</f>
        <v>Conctract Lifecycle Management</v>
      </c>
      <c r="K469" s="147"/>
      <c r="L469" s="144" t="str">
        <f>VLOOKUP(C469,Subcategories!$A$2:$B$29,2,0)</f>
        <v>Contract Information Management</v>
      </c>
      <c r="M469" s="144" t="str">
        <f>VLOOKUP(D469,Elements!$B$2:$C$435,2,0)</f>
        <v>Assets (e.g., software licenses)</v>
      </c>
      <c r="N469" s="144" t="e">
        <f>VLOOKUP(H469,ElementVariants!$A$2:$B$460,2,0)</f>
        <v>#N/A</v>
      </c>
    </row>
    <row r="470" spans="1:14" ht="60">
      <c r="A470" s="138">
        <v>470</v>
      </c>
      <c r="B470" s="142">
        <v>7</v>
      </c>
      <c r="C470" s="142">
        <v>26</v>
      </c>
      <c r="D470" s="142">
        <v>115</v>
      </c>
      <c r="E470" s="142" t="s">
        <v>1787</v>
      </c>
      <c r="F470" s="142">
        <f>INDEX(SuiteCatSub!$E$2:$E$55,MATCH(_xlfn.CONCAT(B470,"-",C470),SuiteCatSub!$F$2:$F$55,0))</f>
        <v>49</v>
      </c>
      <c r="G470" s="142">
        <v>606</v>
      </c>
      <c r="H470" s="142">
        <f>VLOOKUP(G470,SuiteCatSubElem_Version!$I$2:$J$667,2,0)</f>
        <v>389</v>
      </c>
      <c r="I470" s="146" t="s">
        <v>1423</v>
      </c>
      <c r="J470" s="144" t="str">
        <f>VLOOKUP(B470,Categories!$A$2:$C$8,3,0)</f>
        <v>Conctract Lifecycle Management</v>
      </c>
      <c r="K470" s="147"/>
      <c r="L470" s="144" t="str">
        <f>VLOOKUP(C470,Subcategories!$A$2:$B$29,2,0)</f>
        <v>Contract Information Management</v>
      </c>
      <c r="M470" s="144" t="str">
        <f>VLOOKUP(D470,Elements!$B$2:$C$435,2,0)</f>
        <v>Templates</v>
      </c>
      <c r="N470" s="144" t="str">
        <f>VLOOKUP(H470,ElementVariants!$A$2:$B$460,2,0)</f>
        <v>Complex pricing. Ability to natively model volume discounts, rebates, penalties, formula-based amounts (e.g., performance based fees), non-price costs, etc.</v>
      </c>
    </row>
    <row r="471" spans="1:14" ht="60">
      <c r="A471" s="138">
        <v>471</v>
      </c>
      <c r="B471" s="142">
        <v>7</v>
      </c>
      <c r="C471" s="142">
        <v>26</v>
      </c>
      <c r="D471" s="142">
        <v>206</v>
      </c>
      <c r="E471" s="142" t="s">
        <v>1788</v>
      </c>
      <c r="F471" s="142">
        <f>INDEX(SuiteCatSub!$E$2:$E$55,MATCH(_xlfn.CONCAT(B471,"-",C471),SuiteCatSub!$F$2:$F$55,0))</f>
        <v>49</v>
      </c>
      <c r="G471" s="142">
        <v>607</v>
      </c>
      <c r="H471" s="142">
        <f>VLOOKUP(G471,SuiteCatSubElem_Version!$I$2:$J$667,2,0)</f>
        <v>390</v>
      </c>
      <c r="I471" s="146" t="s">
        <v>1423</v>
      </c>
      <c r="J471" s="144" t="str">
        <f>VLOOKUP(B471,Categories!$A$2:$C$8,3,0)</f>
        <v>Conctract Lifecycle Management</v>
      </c>
      <c r="K471" s="147"/>
      <c r="L471" s="144" t="str">
        <f>VLOOKUP(C471,Subcategories!$A$2:$B$29,2,0)</f>
        <v>Contract Information Management</v>
      </c>
      <c r="M471" s="144" t="str">
        <f>VLOOKUP(D471,Elements!$B$2:$C$435,2,0)</f>
        <v>Clauses</v>
      </c>
      <c r="N471" s="144" t="str">
        <f>VLOOKUP(H471,ElementVariants!$A$2:$B$460,2,0)</f>
        <v>Cross-referencing contracts to spend/supplier categories and also using user-driven contract/clause attributes/metadata to allow for rule-driven workflows/analytics using these attributes</v>
      </c>
    </row>
    <row r="472" spans="1:14" ht="60">
      <c r="A472" s="138">
        <v>472</v>
      </c>
      <c r="B472" s="142">
        <v>7</v>
      </c>
      <c r="C472" s="142">
        <v>26</v>
      </c>
      <c r="D472" s="142">
        <v>397</v>
      </c>
      <c r="E472" s="142" t="s">
        <v>1789</v>
      </c>
      <c r="F472" s="142">
        <f>INDEX(SuiteCatSub!$E$2:$E$55,MATCH(_xlfn.CONCAT(B472,"-",C472),SuiteCatSub!$F$2:$F$55,0))</f>
        <v>49</v>
      </c>
      <c r="G472" s="142">
        <v>608</v>
      </c>
      <c r="H472" s="142">
        <f>VLOOKUP(G472,SuiteCatSubElem_Version!$I$2:$J$667,2,0)</f>
        <v>391</v>
      </c>
      <c r="I472" s="146" t="s">
        <v>1423</v>
      </c>
      <c r="J472" s="144" t="str">
        <f>VLOOKUP(B472,Categories!$A$2:$C$8,3,0)</f>
        <v>Conctract Lifecycle Management</v>
      </c>
      <c r="K472" s="147"/>
      <c r="L472" s="144" t="str">
        <f>VLOOKUP(C472,Subcategories!$A$2:$B$29,2,0)</f>
        <v>Contract Information Management</v>
      </c>
      <c r="M472" s="144" t="str">
        <f>VLOOKUP(D472,Elements!$B$2:$C$435,2,0)</f>
        <v>Performance Specifications and Deliverables</v>
      </c>
      <c r="N472" s="144" t="str">
        <f>VLOOKUP(H472,ElementVariants!$A$2:$B$460,2,0)</f>
        <v>Ability to model risk types/metadata at contract level</v>
      </c>
    </row>
    <row r="473" spans="1:14" ht="60">
      <c r="A473" s="138">
        <v>473</v>
      </c>
      <c r="B473" s="142">
        <v>7</v>
      </c>
      <c r="C473" s="142">
        <v>26</v>
      </c>
      <c r="D473" s="142">
        <v>398</v>
      </c>
      <c r="E473" s="142" t="s">
        <v>1790</v>
      </c>
      <c r="F473" s="142">
        <f>INDEX(SuiteCatSub!$E$2:$E$55,MATCH(_xlfn.CONCAT(B473,"-",C473),SuiteCatSub!$F$2:$F$55,0))</f>
        <v>49</v>
      </c>
      <c r="G473" s="142">
        <v>609</v>
      </c>
      <c r="H473" s="142">
        <f>VLOOKUP(G473,SuiteCatSubElem_Version!$I$2:$J$667,2,0)</f>
        <v>392</v>
      </c>
      <c r="I473" s="146" t="s">
        <v>1423</v>
      </c>
      <c r="J473" s="144" t="str">
        <f>VLOOKUP(B473,Categories!$A$2:$C$8,3,0)</f>
        <v>Conctract Lifecycle Management</v>
      </c>
      <c r="K473" s="147"/>
      <c r="L473" s="144" t="str">
        <f>VLOOKUP(C473,Subcategories!$A$2:$B$29,2,0)</f>
        <v>Contract Information Management</v>
      </c>
      <c r="M473" s="144" t="str">
        <f>VLOOKUP(D473,Elements!$B$2:$C$435,2,0)</f>
        <v>Obligations</v>
      </c>
      <c r="N473" s="144" t="str">
        <f>VLOOKUP(H473,ElementVariants!$A$2:$B$460,2,0)</f>
        <v>Modeling and management of currency risk, capacity risk, commodity price pegging/capture/audit, hedging, etc.</v>
      </c>
    </row>
    <row r="474" spans="1:14" ht="60">
      <c r="A474" s="138">
        <v>474</v>
      </c>
      <c r="B474" s="142">
        <v>7</v>
      </c>
      <c r="C474" s="142">
        <v>26</v>
      </c>
      <c r="D474" s="142">
        <v>399</v>
      </c>
      <c r="E474" s="142" t="s">
        <v>1791</v>
      </c>
      <c r="F474" s="142">
        <f>INDEX(SuiteCatSub!$E$2:$E$55,MATCH(_xlfn.CONCAT(B474,"-",C474),SuiteCatSub!$F$2:$F$55,0))</f>
        <v>49</v>
      </c>
      <c r="G474" s="142">
        <v>610</v>
      </c>
      <c r="H474" s="142">
        <f>VLOOKUP(G474,SuiteCatSubElem_Version!$I$2:$J$667,2,0)</f>
        <v>393</v>
      </c>
      <c r="I474" s="146" t="s">
        <v>1423</v>
      </c>
      <c r="J474" s="144" t="str">
        <f>VLOOKUP(B474,Categories!$A$2:$C$8,3,0)</f>
        <v>Conctract Lifecycle Management</v>
      </c>
      <c r="K474" s="147"/>
      <c r="L474" s="144" t="str">
        <f>VLOOKUP(C474,Subcategories!$A$2:$B$29,2,0)</f>
        <v>Contract Information Management</v>
      </c>
      <c r="M474" s="144" t="str">
        <f>VLOOKUP(D474,Elements!$B$2:$C$435,2,0)</f>
        <v>File Attachments</v>
      </c>
      <c r="N474" s="144" t="str">
        <f>VLOOKUP(H474,ElementVariants!$A$2:$B$460,2,0)</f>
        <v>Modeling of counter-party relationships to you; legal entity structure (parent-child); supplier-customer linkages (i.e., value chain structure and outsourced relationship structure)</v>
      </c>
    </row>
    <row r="475" spans="1:14" ht="60">
      <c r="A475" s="138">
        <v>475</v>
      </c>
      <c r="B475" s="142">
        <v>7</v>
      </c>
      <c r="C475" s="142">
        <v>26</v>
      </c>
      <c r="D475" s="142">
        <v>400</v>
      </c>
      <c r="E475" s="142" t="s">
        <v>1792</v>
      </c>
      <c r="F475" s="142">
        <f>INDEX(SuiteCatSub!$E$2:$E$55,MATCH(_xlfn.CONCAT(B475,"-",C475),SuiteCatSub!$F$2:$F$55,0))</f>
        <v>49</v>
      </c>
      <c r="G475" s="142">
        <v>611</v>
      </c>
      <c r="H475" s="142">
        <f>VLOOKUP(G475,SuiteCatSubElem_Version!$I$2:$J$667,2,0)</f>
        <v>394</v>
      </c>
      <c r="I475" s="146" t="s">
        <v>1423</v>
      </c>
      <c r="J475" s="144" t="str">
        <f>VLOOKUP(B475,Categories!$A$2:$C$8,3,0)</f>
        <v>Conctract Lifecycle Management</v>
      </c>
      <c r="K475" s="147"/>
      <c r="L475" s="144" t="str">
        <f>VLOOKUP(C475,Subcategories!$A$2:$B$29,2,0)</f>
        <v>Contract Information Management</v>
      </c>
      <c r="M475" s="144" t="str">
        <f>VLOOKUP(D475,Elements!$B$2:$C$435,2,0)</f>
        <v>Document Linking and Integration</v>
      </c>
      <c r="N475" s="144" t="str">
        <f>VLOOKUP(H475,ElementVariants!$A$2:$B$460,2,0)</f>
        <v>Ability to model statutory regulations or NGO requirements (by you and/or counterparty) and the contractual commitments that tie to them.</v>
      </c>
    </row>
    <row r="476" spans="1:14" ht="60">
      <c r="A476" s="138">
        <v>476</v>
      </c>
      <c r="B476" s="142">
        <v>7</v>
      </c>
      <c r="C476" s="142">
        <v>27</v>
      </c>
      <c r="D476" s="142">
        <v>401</v>
      </c>
      <c r="E476" s="142" t="s">
        <v>1793</v>
      </c>
      <c r="F476" s="142">
        <f>INDEX(SuiteCatSub!$E$2:$E$55,MATCH(_xlfn.CONCAT(B476,"-",C476),SuiteCatSub!$F$2:$F$55,0))</f>
        <v>50</v>
      </c>
      <c r="G476" s="142">
        <v>612</v>
      </c>
      <c r="H476" s="142">
        <f>VLOOKUP(G476,SuiteCatSubElem_Version!$I$2:$J$667,2,0)</f>
        <v>395</v>
      </c>
      <c r="I476" s="146" t="s">
        <v>1423</v>
      </c>
      <c r="J476" s="144" t="str">
        <f>VLOOKUP(B476,Categories!$A$2:$C$8,3,0)</f>
        <v>Conctract Lifecycle Management</v>
      </c>
      <c r="K476" s="147"/>
      <c r="L476" s="144" t="str">
        <f>VLOOKUP(C476,Subcategories!$A$2:$B$29,2,0)</f>
        <v>Contract Process Management</v>
      </c>
      <c r="M476" s="144" t="str">
        <f>VLOOKUP(D476,Elements!$B$2:$C$435,2,0)</f>
        <v>Contract Action, Renewals</v>
      </c>
      <c r="N476" s="144" t="str">
        <f>VLOOKUP(H476,ElementVariants!$A$2:$B$460,2,0)</f>
        <v>Modeling of financial status/impact of contracts. (spend analysis tied to contracts is not included here)</v>
      </c>
    </row>
    <row r="477" spans="1:14" ht="60">
      <c r="A477" s="138">
        <v>477</v>
      </c>
      <c r="B477" s="142">
        <v>7</v>
      </c>
      <c r="C477" s="142">
        <v>27</v>
      </c>
      <c r="D477" s="142">
        <v>402</v>
      </c>
      <c r="E477" s="142" t="s">
        <v>1794</v>
      </c>
      <c r="F477" s="142">
        <f>INDEX(SuiteCatSub!$E$2:$E$55,MATCH(_xlfn.CONCAT(B477,"-",C477),SuiteCatSub!$F$2:$F$55,0))</f>
        <v>50</v>
      </c>
      <c r="G477" s="142">
        <v>613</v>
      </c>
      <c r="H477" s="142">
        <f>VLOOKUP(G477,SuiteCatSubElem_Version!$I$2:$J$667,2,0)</f>
        <v>396</v>
      </c>
      <c r="I477" s="146" t="s">
        <v>1423</v>
      </c>
      <c r="J477" s="144" t="str">
        <f>VLOOKUP(B477,Categories!$A$2:$C$8,3,0)</f>
        <v>Conctract Lifecycle Management</v>
      </c>
      <c r="K477" s="147"/>
      <c r="L477" s="144" t="str">
        <f>VLOOKUP(C477,Subcategories!$A$2:$B$29,2,0)</f>
        <v>Contract Process Management</v>
      </c>
      <c r="M477" s="144" t="str">
        <f>VLOOKUP(D477,Elements!$B$2:$C$435,2,0)</f>
        <v>Contract Expiration (non-renewal)</v>
      </c>
      <c r="N477" s="144" t="str">
        <f>VLOOKUP(H477,ElementVariants!$A$2:$B$460,2,0)</f>
        <v>Large projects can have many contracts. And large contracts can have many projects. Projects and contracts can have sub-projects and sub-contracts respectively. So, CLM software must help align contracts to projects. So, how robust is the project modeling and management from a CLM standpoint?</v>
      </c>
    </row>
    <row r="478" spans="1:14" ht="60">
      <c r="A478" s="138">
        <v>478</v>
      </c>
      <c r="B478" s="142">
        <v>7</v>
      </c>
      <c r="C478" s="142">
        <v>27</v>
      </c>
      <c r="D478" s="142">
        <v>344</v>
      </c>
      <c r="E478" s="142" t="s">
        <v>1795</v>
      </c>
      <c r="F478" s="142">
        <f>INDEX(SuiteCatSub!$E$2:$E$55,MATCH(_xlfn.CONCAT(B478,"-",C478),SuiteCatSub!$F$2:$F$55,0))</f>
        <v>50</v>
      </c>
      <c r="G478" s="142">
        <v>614</v>
      </c>
      <c r="H478" s="142">
        <f>VLOOKUP(G478,SuiteCatSubElem_Version!$I$2:$J$667,2,0)</f>
        <v>397</v>
      </c>
      <c r="I478" s="146" t="s">
        <v>1423</v>
      </c>
      <c r="J478" s="144" t="str">
        <f>VLOOKUP(B478,Categories!$A$2:$C$8,3,0)</f>
        <v>Conctract Lifecycle Management</v>
      </c>
      <c r="K478" s="147"/>
      <c r="L478" s="144" t="str">
        <f>VLOOKUP(C478,Subcategories!$A$2:$B$29,2,0)</f>
        <v>Contract Process Management</v>
      </c>
      <c r="M478" s="144" t="str">
        <f>VLOOKUP(D478,Elements!$B$2:$C$435,2,0)</f>
        <v>Status Updates</v>
      </c>
      <c r="N478" s="144" t="str">
        <f>VLOOKUP(H478,ElementVariants!$A$2:$B$460,2,0)</f>
        <v>Ability to model and track the assets (and utilization/performance of those assets) that contractually drive pricing. Could be software licenses, fuel surcharges, physical asset uptimes, etc.</v>
      </c>
    </row>
    <row r="479" spans="1:14" ht="60">
      <c r="A479" s="138">
        <v>479</v>
      </c>
      <c r="B479" s="142">
        <v>7</v>
      </c>
      <c r="C479" s="142">
        <v>27</v>
      </c>
      <c r="D479" s="142">
        <v>403</v>
      </c>
      <c r="E479" s="142" t="s">
        <v>1796</v>
      </c>
      <c r="F479" s="142">
        <f>INDEX(SuiteCatSub!$E$2:$E$55,MATCH(_xlfn.CONCAT(B479,"-",C479),SuiteCatSub!$F$2:$F$55,0))</f>
        <v>50</v>
      </c>
      <c r="G479" s="142">
        <v>615</v>
      </c>
      <c r="H479" s="142">
        <f>VLOOKUP(G479,SuiteCatSubElem_Version!$I$2:$J$667,2,0)</f>
        <v>402</v>
      </c>
      <c r="I479" s="146" t="s">
        <v>1423</v>
      </c>
      <c r="J479" s="144" t="str">
        <f>VLOOKUP(B479,Categories!$A$2:$C$8,3,0)</f>
        <v>Conctract Lifecycle Management</v>
      </c>
      <c r="K479" s="147"/>
      <c r="L479" s="144" t="str">
        <f>VLOOKUP(C479,Subcategories!$A$2:$B$29,2,0)</f>
        <v>Contract Process Management</v>
      </c>
      <c r="M479" s="144" t="str">
        <f>VLOOKUP(D479,Elements!$B$2:$C$435,2,0)</f>
        <v>Search / Discovery</v>
      </c>
      <c r="N479" s="144" t="str">
        <f>VLOOKUP(H479,ElementVariants!$A$2:$B$460,2,0)</f>
        <v>What is the capability provided to be alerted to upcoming renewals, but also be alerted (with escalations) to contract risk/non-compliance events?</v>
      </c>
    </row>
    <row r="480" spans="1:14" ht="60">
      <c r="A480" s="138">
        <v>480</v>
      </c>
      <c r="B480" s="142">
        <v>7</v>
      </c>
      <c r="C480" s="142">
        <v>27</v>
      </c>
      <c r="D480" s="142">
        <v>404</v>
      </c>
      <c r="E480" s="142" t="s">
        <v>1797</v>
      </c>
      <c r="F480" s="142">
        <f>INDEX(SuiteCatSub!$E$2:$E$55,MATCH(_xlfn.CONCAT(B480,"-",C480),SuiteCatSub!$F$2:$F$55,0))</f>
        <v>50</v>
      </c>
      <c r="G480" s="142">
        <v>616</v>
      </c>
      <c r="H480" s="142">
        <f>VLOOKUP(G480,SuiteCatSubElem_Version!$I$2:$J$667,2,0)</f>
        <v>403</v>
      </c>
      <c r="I480" s="146" t="s">
        <v>1423</v>
      </c>
      <c r="J480" s="144" t="str">
        <f>VLOOKUP(B480,Categories!$A$2:$C$8,3,0)</f>
        <v>Conctract Lifecycle Management</v>
      </c>
      <c r="K480" s="147"/>
      <c r="L480" s="144" t="str">
        <f>VLOOKUP(C480,Subcategories!$A$2:$B$29,2,0)</f>
        <v>Contract Process Management</v>
      </c>
      <c r="M480" s="144" t="str">
        <f>VLOOKUP(D480,Elements!$B$2:$C$435,2,0)</f>
        <v>Legacy Contract Upload / Conversion</v>
      </c>
      <c r="N480" s="144" t="str">
        <f>VLOOKUP(H480,ElementVariants!$A$2:$B$460,2,0)</f>
        <v>How easy and robust is the capability to manage expiring contracts that must be dispositioned (e.g., flagged for either renewal/amending or for offboarding) and then used to drive appropriate offboarding activities?</v>
      </c>
    </row>
    <row r="481" spans="1:14" ht="75">
      <c r="A481" s="138">
        <v>481</v>
      </c>
      <c r="B481" s="142">
        <v>7</v>
      </c>
      <c r="C481" s="142">
        <v>27</v>
      </c>
      <c r="D481" s="142">
        <v>405</v>
      </c>
      <c r="E481" s="142" t="s">
        <v>1798</v>
      </c>
      <c r="F481" s="142">
        <f>INDEX(SuiteCatSub!$E$2:$E$55,MATCH(_xlfn.CONCAT(B481,"-",C481),SuiteCatSub!$F$2:$F$55,0))</f>
        <v>50</v>
      </c>
      <c r="G481" s="142">
        <v>617</v>
      </c>
      <c r="H481" s="142">
        <f>VLOOKUP(G481,SuiteCatSubElem_Version!$I$2:$J$667,2,0)</f>
        <v>345</v>
      </c>
      <c r="I481" s="146" t="s">
        <v>1423</v>
      </c>
      <c r="J481" s="144" t="str">
        <f>VLOOKUP(B481,Categories!$A$2:$C$8,3,0)</f>
        <v>Conctract Lifecycle Management</v>
      </c>
      <c r="K481" s="147"/>
      <c r="L481" s="144" t="str">
        <f>VLOOKUP(C481,Subcategories!$A$2:$B$29,2,0)</f>
        <v>Contract Process Management</v>
      </c>
      <c r="M481" s="144" t="str">
        <f>VLOOKUP(D481,Elements!$B$2:$C$435,2,0)</f>
        <v>Clause Extraction, Classification, and Harmonization</v>
      </c>
      <c r="N481" s="144" t="str">
        <f>VLOOKUP(H481,ElementVariants!$A$2:$B$460,2,0)</f>
        <v>How easy is it to do status updates, share them, take actions on those updates, and evaluate progress and modify the plan collaboratively based on those updates?</v>
      </c>
    </row>
    <row r="482" spans="1:14" ht="60">
      <c r="A482" s="138">
        <v>482</v>
      </c>
      <c r="B482" s="142">
        <v>7</v>
      </c>
      <c r="C482" s="142">
        <v>27</v>
      </c>
      <c r="D482" s="142">
        <v>347</v>
      </c>
      <c r="E482" s="142" t="s">
        <v>1799</v>
      </c>
      <c r="F482" s="142">
        <f>INDEX(SuiteCatSub!$E$2:$E$55,MATCH(_xlfn.CONCAT(B482,"-",C482),SuiteCatSub!$F$2:$F$55,0))</f>
        <v>50</v>
      </c>
      <c r="G482" s="142">
        <v>618</v>
      </c>
      <c r="H482" s="142">
        <f>VLOOKUP(G482,SuiteCatSubElem_Version!$I$2:$J$667,2,0)</f>
        <v>404</v>
      </c>
      <c r="I482" s="146" t="s">
        <v>1423</v>
      </c>
      <c r="J482" s="144" t="str">
        <f>VLOOKUP(B482,Categories!$A$2:$C$8,3,0)</f>
        <v>Conctract Lifecycle Management</v>
      </c>
      <c r="K482" s="147"/>
      <c r="L482" s="144" t="str">
        <f>VLOOKUP(C482,Subcategories!$A$2:$B$29,2,0)</f>
        <v>Contract Process Management</v>
      </c>
      <c r="M482" s="144" t="str">
        <f>VLOOKUP(D482,Elements!$B$2:$C$435,2,0)</f>
        <v>Survey Integration</v>
      </c>
      <c r="N482" s="144" t="str">
        <f>VLOOKUP(H482,ElementVariants!$A$2:$B$460,2,0)</f>
        <v>Ability to find and re-use previous contracts and clauses for 1) new contract/clause creation or 2) contract portfolio assessment and remediation/de-risking/optimization</v>
      </c>
    </row>
    <row r="483" spans="1:14" ht="60">
      <c r="A483" s="138">
        <v>483</v>
      </c>
      <c r="B483" s="142">
        <v>7</v>
      </c>
      <c r="C483" s="142">
        <v>27</v>
      </c>
      <c r="D483" s="142">
        <v>406</v>
      </c>
      <c r="E483" s="142" t="s">
        <v>1800</v>
      </c>
      <c r="F483" s="142">
        <f>INDEX(SuiteCatSub!$E$2:$E$55,MATCH(_xlfn.CONCAT(B483,"-",C483),SuiteCatSub!$F$2:$F$55,0))</f>
        <v>50</v>
      </c>
      <c r="G483" s="142">
        <v>619</v>
      </c>
      <c r="H483" s="142">
        <f>VLOOKUP(G483,SuiteCatSubElem_Version!$I$2:$J$667,2,0)</f>
        <v>405</v>
      </c>
      <c r="I483" s="146" t="s">
        <v>1423</v>
      </c>
      <c r="J483" s="144" t="str">
        <f>VLOOKUP(B483,Categories!$A$2:$C$8,3,0)</f>
        <v>Conctract Lifecycle Management</v>
      </c>
      <c r="K483" s="147"/>
      <c r="L483" s="144" t="str">
        <f>VLOOKUP(C483,Subcategories!$A$2:$B$29,2,0)</f>
        <v>Contract Process Management</v>
      </c>
      <c r="M483" s="144" t="str">
        <f>VLOOKUP(D483,Elements!$B$2:$C$435,2,0)</f>
        <v>Contract Import from E-Sourcing</v>
      </c>
      <c r="N483" s="144" t="str">
        <f>VLOOKUP(H483,ElementVariants!$A$2:$B$460,2,0)</f>
        <v>Ability to bulk upload contracts and extract contract-level metadata (please discuss if/how you use partner providers)</v>
      </c>
    </row>
    <row r="484" spans="1:14" ht="60">
      <c r="A484" s="138">
        <v>484</v>
      </c>
      <c r="B484" s="142">
        <v>7</v>
      </c>
      <c r="C484" s="142">
        <v>27</v>
      </c>
      <c r="D484" s="142">
        <v>407</v>
      </c>
      <c r="E484" s="142" t="s">
        <v>1801</v>
      </c>
      <c r="F484" s="142">
        <f>INDEX(SuiteCatSub!$E$2:$E$55,MATCH(_xlfn.CONCAT(B484,"-",C484),SuiteCatSub!$F$2:$F$55,0))</f>
        <v>50</v>
      </c>
      <c r="G484" s="142">
        <v>620</v>
      </c>
      <c r="H484" s="142">
        <f>VLOOKUP(G484,SuiteCatSubElem_Version!$I$2:$J$667,2,0)</f>
        <v>406</v>
      </c>
      <c r="I484" s="146" t="s">
        <v>1423</v>
      </c>
      <c r="J484" s="144" t="str">
        <f>VLOOKUP(B484,Categories!$A$2:$C$8,3,0)</f>
        <v>Conctract Lifecycle Management</v>
      </c>
      <c r="K484" s="147"/>
      <c r="L484" s="144" t="str">
        <f>VLOOKUP(C484,Subcategories!$A$2:$B$29,2,0)</f>
        <v>Contract Process Management</v>
      </c>
      <c r="M484" s="144" t="str">
        <f>VLOOKUP(D484,Elements!$B$2:$C$435,2,0)</f>
        <v>Ability to Manage Counter-Party Originated Contracts</v>
      </c>
      <c r="N484" s="144" t="str">
        <f>VLOOKUP(H484,ElementVariants!$A$2:$B$460,2,0)</f>
        <v>Use of rule based and machine learning based contract analytics to help classify unstructured text into structured clauses and metadata (please indicate if you use a specialized partner provider)</v>
      </c>
    </row>
    <row r="485" spans="1:14" ht="60">
      <c r="A485" s="138">
        <v>485</v>
      </c>
      <c r="B485" s="142">
        <v>7</v>
      </c>
      <c r="C485" s="142">
        <v>27</v>
      </c>
      <c r="D485" s="142">
        <v>408</v>
      </c>
      <c r="E485" s="142" t="s">
        <v>1802</v>
      </c>
      <c r="F485" s="142">
        <f>INDEX(SuiteCatSub!$E$2:$E$55,MATCH(_xlfn.CONCAT(B485,"-",C485),SuiteCatSub!$F$2:$F$55,0))</f>
        <v>50</v>
      </c>
      <c r="G485" s="142">
        <v>621</v>
      </c>
      <c r="H485" s="142">
        <f>VLOOKUP(G485,SuiteCatSubElem_Version!$I$2:$J$667,2,0)</f>
        <v>348</v>
      </c>
      <c r="I485" s="146" t="s">
        <v>1423</v>
      </c>
      <c r="J485" s="144" t="str">
        <f>VLOOKUP(B485,Categories!$A$2:$C$8,3,0)</f>
        <v>Conctract Lifecycle Management</v>
      </c>
      <c r="K485" s="147"/>
      <c r="L485" s="144" t="str">
        <f>VLOOKUP(C485,Subcategories!$A$2:$B$29,2,0)</f>
        <v>Contract Process Management</v>
      </c>
      <c r="M485" s="144" t="str">
        <f>VLOOKUP(D485,Elements!$B$2:$C$435,2,0)</f>
        <v>Amendment Creation</v>
      </c>
      <c r="N485" s="144" t="str">
        <f>VLOOKUP(H485,ElementVariants!$A$2:$B$460,2,0)</f>
        <v>Does the platform integrate with, or provide, leading survey functionality that can gather all of the subjective rankings required for complete supplier performance analysis?</v>
      </c>
    </row>
    <row r="486" spans="1:14" ht="60">
      <c r="A486" s="138">
        <v>486</v>
      </c>
      <c r="B486" s="142">
        <v>7</v>
      </c>
      <c r="C486" s="142">
        <v>27</v>
      </c>
      <c r="D486" s="142">
        <v>208</v>
      </c>
      <c r="E486" s="142" t="s">
        <v>1803</v>
      </c>
      <c r="F486" s="142">
        <f>INDEX(SuiteCatSub!$E$2:$E$55,MATCH(_xlfn.CONCAT(B486,"-",C486),SuiteCatSub!$F$2:$F$55,0))</f>
        <v>50</v>
      </c>
      <c r="G486" s="142">
        <v>622</v>
      </c>
      <c r="H486" s="142">
        <f>VLOOKUP(G486,SuiteCatSubElem_Version!$I$2:$J$667,2,0)</f>
        <v>407</v>
      </c>
      <c r="I486" s="146" t="s">
        <v>1423</v>
      </c>
      <c r="J486" s="144" t="str">
        <f>VLOOKUP(B486,Categories!$A$2:$C$8,3,0)</f>
        <v>Conctract Lifecycle Management</v>
      </c>
      <c r="K486" s="147"/>
      <c r="L486" s="144" t="str">
        <f>VLOOKUP(C486,Subcategories!$A$2:$B$29,2,0)</f>
        <v>Contract Process Management</v>
      </c>
      <c r="M486" s="144" t="str">
        <f>VLOOKUP(D486,Elements!$B$2:$C$435,2,0)</f>
        <v>Word Integration</v>
      </c>
      <c r="N486" s="144" t="str">
        <f>VLOOKUP(H486,ElementVariants!$A$2:$B$460,2,0)</f>
        <v>To what extent does the platform support contract creation starting from upstream E-Sourcing (eRFx)?</v>
      </c>
    </row>
    <row r="487" spans="1:14" ht="60">
      <c r="A487" s="138">
        <v>487</v>
      </c>
      <c r="B487" s="142">
        <v>7</v>
      </c>
      <c r="C487" s="142">
        <v>27</v>
      </c>
      <c r="D487" s="142">
        <v>409</v>
      </c>
      <c r="E487" s="142" t="s">
        <v>1804</v>
      </c>
      <c r="F487" s="142">
        <f>INDEX(SuiteCatSub!$E$2:$E$55,MATCH(_xlfn.CONCAT(B487,"-",C487),SuiteCatSub!$F$2:$F$55,0))</f>
        <v>50</v>
      </c>
      <c r="G487" s="142">
        <v>623</v>
      </c>
      <c r="H487" s="142">
        <f>VLOOKUP(G487,SuiteCatSubElem_Version!$I$2:$J$667,2,0)</f>
        <v>408</v>
      </c>
      <c r="I487" s="146" t="s">
        <v>1423</v>
      </c>
      <c r="J487" s="144" t="str">
        <f>VLOOKUP(B487,Categories!$A$2:$C$8,3,0)</f>
        <v>Conctract Lifecycle Management</v>
      </c>
      <c r="K487" s="147"/>
      <c r="L487" s="144" t="str">
        <f>VLOOKUP(C487,Subcategories!$A$2:$B$29,2,0)</f>
        <v>Contract Process Management</v>
      </c>
      <c r="M487" s="144" t="str">
        <f>VLOOKUP(D487,Elements!$B$2:$C$435,2,0)</f>
        <v>Core Workflow and Approvals</v>
      </c>
      <c r="N487" s="144" t="str">
        <f>VLOOKUP(H487,ElementVariants!$A$2:$B$460,2,0)</f>
        <v>What unique capabilities allow you to incorporate counterparty paper into your contracting workflow?</v>
      </c>
    </row>
    <row r="488" spans="1:14" ht="60">
      <c r="A488" s="138">
        <v>488</v>
      </c>
      <c r="B488" s="142">
        <v>7</v>
      </c>
      <c r="C488" s="142">
        <v>27</v>
      </c>
      <c r="D488" s="142">
        <v>410</v>
      </c>
      <c r="E488" s="142" t="s">
        <v>1805</v>
      </c>
      <c r="F488" s="142">
        <f>INDEX(SuiteCatSub!$E$2:$E$55,MATCH(_xlfn.CONCAT(B488,"-",C488),SuiteCatSub!$F$2:$F$55,0))</f>
        <v>50</v>
      </c>
      <c r="G488" s="142">
        <v>624</v>
      </c>
      <c r="H488" s="142">
        <f>VLOOKUP(G488,SuiteCatSubElem_Version!$I$2:$J$667,2,0)</f>
        <v>409</v>
      </c>
      <c r="I488" s="146" t="s">
        <v>1423</v>
      </c>
      <c r="J488" s="144" t="str">
        <f>VLOOKUP(B488,Categories!$A$2:$C$8,3,0)</f>
        <v>Conctract Lifecycle Management</v>
      </c>
      <c r="K488" s="147"/>
      <c r="L488" s="144" t="str">
        <f>VLOOKUP(C488,Subcategories!$A$2:$B$29,2,0)</f>
        <v>Contract Process Management</v>
      </c>
      <c r="M488" s="144" t="str">
        <f>VLOOKUP(D488,Elements!$B$2:$C$435,2,0)</f>
        <v>Contract Negotiation</v>
      </c>
      <c r="N488" s="144" t="str">
        <f>VLOOKUP(H488,ElementVariants!$A$2:$B$460,2,0)</f>
        <v>To what extent can the system automatically create amendments, term riders, sub-contracts, etc. easily to simplify changes and not revise entire contract</v>
      </c>
    </row>
    <row r="489" spans="1:14" ht="75">
      <c r="A489" s="138">
        <v>489</v>
      </c>
      <c r="B489" s="142">
        <v>7</v>
      </c>
      <c r="C489" s="142">
        <v>27</v>
      </c>
      <c r="D489" s="142">
        <v>411</v>
      </c>
      <c r="E489" s="142" t="s">
        <v>1806</v>
      </c>
      <c r="F489" s="142">
        <f>INDEX(SuiteCatSub!$E$2:$E$55,MATCH(_xlfn.CONCAT(B489,"-",C489),SuiteCatSub!$F$2:$F$55,0))</f>
        <v>50</v>
      </c>
      <c r="G489" s="142">
        <v>625</v>
      </c>
      <c r="H489" s="142">
        <f>VLOOKUP(G489,SuiteCatSubElem_Version!$I$2:$J$667,2,0)</f>
        <v>208</v>
      </c>
      <c r="I489" s="146" t="s">
        <v>1423</v>
      </c>
      <c r="J489" s="144" t="str">
        <f>VLOOKUP(B489,Categories!$A$2:$C$8,3,0)</f>
        <v>Conctract Lifecycle Management</v>
      </c>
      <c r="K489" s="147"/>
      <c r="L489" s="144" t="str">
        <f>VLOOKUP(C489,Subcategories!$A$2:$B$29,2,0)</f>
        <v>Contract Process Management</v>
      </c>
      <c r="M489" s="144" t="str">
        <f>VLOOKUP(D489,Elements!$B$2:$C$435,2,0)</f>
        <v>"Collaboration" Support (which extends across contract lifecycle)</v>
      </c>
      <c r="N489" s="144" t="str">
        <f>VLOOKUP(H489,ElementVariants!$A$2:$B$460,2,0)</f>
        <v>Does the solution integrate with Microsoft Word to enable both parties to build and edit documents within Microsoft, but with full security and version tracking?</v>
      </c>
    </row>
    <row r="490" spans="1:14" ht="60">
      <c r="A490" s="138">
        <v>490</v>
      </c>
      <c r="B490" s="142">
        <v>7</v>
      </c>
      <c r="C490" s="142">
        <v>27</v>
      </c>
      <c r="D490" s="142">
        <v>412</v>
      </c>
      <c r="E490" s="142" t="s">
        <v>1807</v>
      </c>
      <c r="F490" s="142">
        <f>INDEX(SuiteCatSub!$E$2:$E$55,MATCH(_xlfn.CONCAT(B490,"-",C490),SuiteCatSub!$F$2:$F$55,0))</f>
        <v>50</v>
      </c>
      <c r="G490" s="142">
        <v>626</v>
      </c>
      <c r="H490" s="142">
        <f>VLOOKUP(G490,SuiteCatSubElem_Version!$I$2:$J$667,2,0)</f>
        <v>410</v>
      </c>
      <c r="I490" s="146" t="s">
        <v>1423</v>
      </c>
      <c r="J490" s="144" t="str">
        <f>VLOOKUP(B490,Categories!$A$2:$C$8,3,0)</f>
        <v>Conctract Lifecycle Management</v>
      </c>
      <c r="K490" s="147"/>
      <c r="L490" s="144" t="str">
        <f>VLOOKUP(C490,Subcategories!$A$2:$B$29,2,0)</f>
        <v>Contract Process Management</v>
      </c>
      <c r="M490" s="144" t="str">
        <f>VLOOKUP(D490,Elements!$B$2:$C$435,2,0)</f>
        <v>Sub-Contracting Support</v>
      </c>
      <c r="N490" s="144" t="str">
        <f>VLOOKUP(H490,ElementVariants!$A$2:$B$460,2,0)</f>
        <v>Including process modeling; rule-based branching; use of APIs; delegation; use of user groups and roles; standard approval hierarchies and complex/custom approval logic; incorporation of counter-party in flow. Please describe in detail</v>
      </c>
    </row>
    <row r="491" spans="1:14" ht="60">
      <c r="A491" s="138">
        <v>491</v>
      </c>
      <c r="B491" s="142">
        <v>7</v>
      </c>
      <c r="C491" s="142">
        <v>27</v>
      </c>
      <c r="D491" s="142">
        <v>413</v>
      </c>
      <c r="E491" s="142" t="s">
        <v>1808</v>
      </c>
      <c r="F491" s="142">
        <f>INDEX(SuiteCatSub!$E$2:$E$55,MATCH(_xlfn.CONCAT(B491,"-",C491),SuiteCatSub!$F$2:$F$55,0))</f>
        <v>50</v>
      </c>
      <c r="G491" s="142">
        <v>627</v>
      </c>
      <c r="H491" s="142">
        <f>VLOOKUP(G491,SuiteCatSubElem_Version!$I$2:$J$667,2,0)</f>
        <v>411</v>
      </c>
      <c r="I491" s="146" t="s">
        <v>1423</v>
      </c>
      <c r="J491" s="144" t="str">
        <f>VLOOKUP(B491,Categories!$A$2:$C$8,3,0)</f>
        <v>Conctract Lifecycle Management</v>
      </c>
      <c r="K491" s="147"/>
      <c r="L491" s="144" t="str">
        <f>VLOOKUP(C491,Subcategories!$A$2:$B$29,2,0)</f>
        <v>Contract Process Management</v>
      </c>
      <c r="M491" s="144" t="str">
        <f>VLOOKUP(D491,Elements!$B$2:$C$435,2,0)</f>
        <v>"Guided Contracting" (e.g., user questionnaires)</v>
      </c>
      <c r="N491" s="144" t="str">
        <f>VLOOKUP(H491,ElementVariants!$A$2:$B$460,2,0)</f>
        <v>Please describe (in detail) the system ability to enable broad-based contract negotiation between two or more parties</v>
      </c>
    </row>
    <row r="492" spans="1:14" ht="60">
      <c r="A492" s="138">
        <v>492</v>
      </c>
      <c r="B492" s="142">
        <v>7</v>
      </c>
      <c r="C492" s="142">
        <v>27</v>
      </c>
      <c r="D492" s="142">
        <v>414</v>
      </c>
      <c r="E492" s="142" t="s">
        <v>1809</v>
      </c>
      <c r="F492" s="142">
        <f>INDEX(SuiteCatSub!$E$2:$E$55,MATCH(_xlfn.CONCAT(B492,"-",C492),SuiteCatSub!$F$2:$F$55,0))</f>
        <v>50</v>
      </c>
      <c r="G492" s="142">
        <v>628</v>
      </c>
      <c r="H492" s="142">
        <f>VLOOKUP(G492,SuiteCatSubElem_Version!$I$2:$J$667,2,0)</f>
        <v>412</v>
      </c>
      <c r="I492" s="146" t="s">
        <v>1423</v>
      </c>
      <c r="J492" s="144" t="str">
        <f>VLOOKUP(B492,Categories!$A$2:$C$8,3,0)</f>
        <v>Conctract Lifecycle Management</v>
      </c>
      <c r="K492" s="147"/>
      <c r="L492" s="144" t="str">
        <f>VLOOKUP(C492,Subcategories!$A$2:$B$29,2,0)</f>
        <v>Contract Process Management</v>
      </c>
      <c r="M492" s="144" t="str">
        <f>VLOOKUP(D492,Elements!$B$2:$C$435,2,0)</f>
        <v>Contract Implementation</v>
      </c>
      <c r="N492" s="144" t="str">
        <f>VLOOKUP(H492,ElementVariants!$A$2:$B$460,2,0)</f>
        <v>Includes going beyond redlining to support more unstructured collaboration and communications internally and with counter parties. Also includes mobile and social methods for e-mail integration, messaging/alerts, collaboration tools (e.g., Slack), threaded discussions, document collaboration, audio/video calls, etc.</v>
      </c>
    </row>
    <row r="493" spans="1:14" ht="60">
      <c r="A493" s="138">
        <v>493</v>
      </c>
      <c r="B493" s="142">
        <v>7</v>
      </c>
      <c r="C493" s="142">
        <v>27</v>
      </c>
      <c r="D493" s="142">
        <v>415</v>
      </c>
      <c r="E493" s="142" t="s">
        <v>1810</v>
      </c>
      <c r="F493" s="142">
        <f>INDEX(SuiteCatSub!$E$2:$E$55,MATCH(_xlfn.CONCAT(B493,"-",C493),SuiteCatSub!$F$2:$F$55,0))</f>
        <v>50</v>
      </c>
      <c r="G493" s="142">
        <v>629</v>
      </c>
      <c r="H493" s="142">
        <f>VLOOKUP(G493,SuiteCatSubElem_Version!$I$2:$J$667,2,0)</f>
        <v>413</v>
      </c>
      <c r="I493" s="146" t="s">
        <v>1423</v>
      </c>
      <c r="J493" s="144" t="str">
        <f>VLOOKUP(B493,Categories!$A$2:$C$8,3,0)</f>
        <v>Conctract Lifecycle Management</v>
      </c>
      <c r="K493" s="147"/>
      <c r="L493" s="144" t="str">
        <f>VLOOKUP(C493,Subcategories!$A$2:$B$29,2,0)</f>
        <v>Contract Process Management</v>
      </c>
      <c r="M493" s="144" t="str">
        <f>VLOOKUP(D493,Elements!$B$2:$C$435,2,0)</f>
        <v>Compliance Management</v>
      </c>
      <c r="N493" s="144" t="str">
        <f>VLOOKUP(H493,ElementVariants!$A$2:$B$460,2,0)</f>
        <v>Ability to support multi-tier contracts to tier 1 suppliers (e.g., BPO, prime contractor, contract mfr, etc.) who then sub-contract to tier 2 suppliers. This can include "back-to-back" contracts / "flow downs" of certain clauses or potentially even engaging tier 2 sub-contractors on the system itself</v>
      </c>
    </row>
    <row r="494" spans="1:14" ht="60">
      <c r="A494" s="138">
        <v>494</v>
      </c>
      <c r="B494" s="142">
        <v>7</v>
      </c>
      <c r="C494" s="142">
        <v>27</v>
      </c>
      <c r="D494" s="142">
        <v>416</v>
      </c>
      <c r="E494" s="142" t="s">
        <v>1811</v>
      </c>
      <c r="F494" s="142">
        <f>INDEX(SuiteCatSub!$E$2:$E$55,MATCH(_xlfn.CONCAT(B494,"-",C494),SuiteCatSub!$F$2:$F$55,0))</f>
        <v>50</v>
      </c>
      <c r="G494" s="142">
        <v>630</v>
      </c>
      <c r="H494" s="142">
        <f>VLOOKUP(G494,SuiteCatSubElem_Version!$I$2:$J$667,2,0)</f>
        <v>414</v>
      </c>
      <c r="I494" s="146" t="s">
        <v>1423</v>
      </c>
      <c r="J494" s="144" t="str">
        <f>VLOOKUP(B494,Categories!$A$2:$C$8,3,0)</f>
        <v>Conctract Lifecycle Management</v>
      </c>
      <c r="K494" s="147"/>
      <c r="L494" s="144" t="str">
        <f>VLOOKUP(C494,Subcategories!$A$2:$B$29,2,0)</f>
        <v>Contract Process Management</v>
      </c>
      <c r="M494" s="144" t="str">
        <f>VLOOKUP(D494,Elements!$B$2:$C$435,2,0)</f>
        <v>Financial Management</v>
      </c>
      <c r="N494" s="144" t="str">
        <f>VLOOKUP(H494,ElementVariants!$A$2:$B$460,2,0)</f>
        <v>This allows the system to be designed to guide a user through a set of business questions that in turn invoke the appropriate contract templates (or specific clauses) to use</v>
      </c>
    </row>
    <row r="495" spans="1:14" ht="60">
      <c r="A495" s="138">
        <v>495</v>
      </c>
      <c r="B495" s="142">
        <v>7</v>
      </c>
      <c r="C495" s="142">
        <v>27</v>
      </c>
      <c r="D495" s="142">
        <v>417</v>
      </c>
      <c r="E495" s="142" t="s">
        <v>1812</v>
      </c>
      <c r="F495" s="142">
        <f>INDEX(SuiteCatSub!$E$2:$E$55,MATCH(_xlfn.CONCAT(B495,"-",C495),SuiteCatSub!$F$2:$F$55,0))</f>
        <v>50</v>
      </c>
      <c r="G495" s="142">
        <v>631</v>
      </c>
      <c r="H495" s="142">
        <f>VLOOKUP(G495,SuiteCatSubElem_Version!$I$2:$J$667,2,0)</f>
        <v>415</v>
      </c>
      <c r="I495" s="146" t="s">
        <v>1423</v>
      </c>
      <c r="J495" s="144" t="str">
        <f>VLOOKUP(B495,Categories!$A$2:$C$8,3,0)</f>
        <v>Conctract Lifecycle Management</v>
      </c>
      <c r="K495" s="147"/>
      <c r="L495" s="144" t="str">
        <f>VLOOKUP(C495,Subcategories!$A$2:$B$29,2,0)</f>
        <v>Contract Process Management</v>
      </c>
      <c r="M495" s="144" t="str">
        <f>VLOOKUP(D495,Elements!$B$2:$C$435,2,0)</f>
        <v>Corrective Action &amp; Conflict Resolution</v>
      </c>
      <c r="N495" s="144" t="str">
        <f>VLOOKUP(H495,ElementVariants!$A$2:$B$460,2,0)</f>
        <v>Ability to help automate the implementation of the contract into execution (e.g., into the P2P and supplier management process) and integrate to downstream execution systems</v>
      </c>
    </row>
    <row r="496" spans="1:14" ht="60">
      <c r="A496" s="138">
        <v>496</v>
      </c>
      <c r="B496" s="142">
        <v>7</v>
      </c>
      <c r="C496" s="142">
        <v>28</v>
      </c>
      <c r="D496" s="142">
        <v>418</v>
      </c>
      <c r="E496" s="142" t="s">
        <v>1813</v>
      </c>
      <c r="F496" s="142">
        <f>INDEX(SuiteCatSub!$E$2:$E$55,MATCH(_xlfn.CONCAT(B496,"-",C496),SuiteCatSub!$F$2:$F$55,0))</f>
        <v>51</v>
      </c>
      <c r="G496" s="142">
        <v>632</v>
      </c>
      <c r="H496" s="142">
        <f>VLOOKUP(G496,SuiteCatSubElem_Version!$I$2:$J$667,2,0)</f>
        <v>416</v>
      </c>
      <c r="I496" s="146" t="s">
        <v>1423</v>
      </c>
      <c r="J496" s="144" t="str">
        <f>VLOOKUP(B496,Categories!$A$2:$C$8,3,0)</f>
        <v>Conctract Lifecycle Management</v>
      </c>
      <c r="K496" s="147"/>
      <c r="L496" s="144" t="str">
        <f>VLOOKUP(C496,Subcategories!$A$2:$B$29,2,0)</f>
        <v>Analytics</v>
      </c>
      <c r="M496" s="144" t="str">
        <f>VLOOKUP(D496,Elements!$B$2:$C$435,2,0)</f>
        <v>Contracting Reports and Analytics</v>
      </c>
      <c r="N496" s="144" t="str">
        <f>VLOOKUP(H496,ElementVariants!$A$2:$B$460,2,0)</f>
        <v>To what extent can the system track counter-party compliance to the contract - as well as internal compliance</v>
      </c>
    </row>
    <row r="497" spans="1:14" ht="60">
      <c r="A497" s="138">
        <v>497</v>
      </c>
      <c r="B497" s="142">
        <v>7</v>
      </c>
      <c r="C497" s="142">
        <v>28</v>
      </c>
      <c r="D497" s="142">
        <v>419</v>
      </c>
      <c r="E497" s="142" t="s">
        <v>1814</v>
      </c>
      <c r="F497" s="142">
        <f>INDEX(SuiteCatSub!$E$2:$E$55,MATCH(_xlfn.CONCAT(B497,"-",C497),SuiteCatSub!$F$2:$F$55,0))</f>
        <v>51</v>
      </c>
      <c r="G497" s="142">
        <v>633</v>
      </c>
      <c r="H497" s="142">
        <f>VLOOKUP(G497,SuiteCatSubElem_Version!$I$2:$J$667,2,0)</f>
        <v>417</v>
      </c>
      <c r="I497" s="146" t="s">
        <v>1423</v>
      </c>
      <c r="J497" s="144" t="str">
        <f>VLOOKUP(B497,Categories!$A$2:$C$8,3,0)</f>
        <v>Conctract Lifecycle Management</v>
      </c>
      <c r="K497" s="147"/>
      <c r="L497" s="144" t="str">
        <f>VLOOKUP(C497,Subcategories!$A$2:$B$29,2,0)</f>
        <v>Analytics</v>
      </c>
      <c r="M497" s="144" t="str">
        <f>VLOOKUP(D497,Elements!$B$2:$C$435,2,0)</f>
        <v>Contract / Cmmercial Performance Analysis</v>
      </c>
      <c r="N497" s="144" t="str">
        <f>VLOOKUP(H497,ElementVariants!$A$2:$B$460,2,0)</f>
        <v>Ability to measure and monitor financial aspects of the contract. To what extent can financial impacts of the contract be modeled beyond just a single contract value field?</v>
      </c>
    </row>
    <row r="498" spans="1:14" ht="60">
      <c r="A498" s="138">
        <v>498</v>
      </c>
      <c r="B498" s="142">
        <v>7</v>
      </c>
      <c r="C498" s="142">
        <v>28</v>
      </c>
      <c r="D498" s="142">
        <v>420</v>
      </c>
      <c r="E498" s="142" t="s">
        <v>1815</v>
      </c>
      <c r="F498" s="142">
        <f>INDEX(SuiteCatSub!$E$2:$E$55,MATCH(_xlfn.CONCAT(B498,"-",C498),SuiteCatSub!$F$2:$F$55,0))</f>
        <v>51</v>
      </c>
      <c r="G498" s="142">
        <v>634</v>
      </c>
      <c r="H498" s="142">
        <f>VLOOKUP(G498,SuiteCatSubElem_Version!$I$2:$J$667,2,0)</f>
        <v>418</v>
      </c>
      <c r="I498" s="146" t="s">
        <v>1423</v>
      </c>
      <c r="J498" s="144" t="str">
        <f>VLOOKUP(B498,Categories!$A$2:$C$8,3,0)</f>
        <v>Conctract Lifecycle Management</v>
      </c>
      <c r="K498" s="147"/>
      <c r="L498" s="144" t="str">
        <f>VLOOKUP(C498,Subcategories!$A$2:$B$29,2,0)</f>
        <v>Analytics</v>
      </c>
      <c r="M498" s="144" t="str">
        <f>VLOOKUP(D498,Elements!$B$2:$C$435,2,0)</f>
        <v>Knowledge Beyond Technology Applications</v>
      </c>
      <c r="N498" s="144" t="str">
        <f>VLOOKUP(H498,ElementVariants!$A$2:$B$460,2,0)</f>
        <v>How deep is the corrective action management / corrective action resolution capability in the product? How deep is the collaborative dispute resolution functionality? Please describe the ability to manage the process of mitigating non-compliance, poor performance, and other performance issues if not already covered</v>
      </c>
    </row>
    <row r="499" spans="1:14" ht="60">
      <c r="A499" s="138">
        <v>499</v>
      </c>
      <c r="B499" s="142">
        <v>7</v>
      </c>
      <c r="C499" s="142">
        <v>28</v>
      </c>
      <c r="D499" s="142">
        <v>421</v>
      </c>
      <c r="E499" s="142" t="s">
        <v>1816</v>
      </c>
      <c r="F499" s="142">
        <f>INDEX(SuiteCatSub!$E$2:$E$55,MATCH(_xlfn.CONCAT(B499,"-",C499),SuiteCatSub!$F$2:$F$55,0))</f>
        <v>51</v>
      </c>
      <c r="G499" s="142">
        <v>635</v>
      </c>
      <c r="H499" s="142">
        <f>VLOOKUP(G499,SuiteCatSubElem_Version!$I$2:$J$667,2,0)</f>
        <v>419</v>
      </c>
      <c r="I499" s="146" t="s">
        <v>1423</v>
      </c>
      <c r="J499" s="144" t="str">
        <f>VLOOKUP(B499,Categories!$A$2:$C$8,3,0)</f>
        <v>Conctract Lifecycle Management</v>
      </c>
      <c r="K499" s="147"/>
      <c r="L499" s="144" t="str">
        <f>VLOOKUP(C499,Subcategories!$A$2:$B$29,2,0)</f>
        <v>Analytics</v>
      </c>
      <c r="M499" s="144" t="str">
        <f>VLOOKUP(D499,Elements!$B$2:$C$435,2,0)</f>
        <v>Community Knowledge</v>
      </c>
      <c r="N499" s="144" t="str">
        <f>VLOOKUP(H499,ElementVariants!$A$2:$B$460,2,0)</f>
        <v>*Not numerically self-scored. Please list the out-of-the box reporting that you provide for the supported roles in your system with regards to the contracting process. This isn't a list of report names, but rather the types of reporting that you have -- e.g., status (e.g., pending, active, overdue), throughput, cycle time, on-time delivery, pending renewals, rework, etc.</v>
      </c>
    </row>
    <row r="500" spans="1:14" ht="60">
      <c r="A500" s="138">
        <v>500</v>
      </c>
      <c r="B500" s="142">
        <v>7</v>
      </c>
      <c r="C500" s="142">
        <v>28</v>
      </c>
      <c r="D500" s="142">
        <v>422</v>
      </c>
      <c r="E500" s="142" t="s">
        <v>1817</v>
      </c>
      <c r="F500" s="142">
        <f>INDEX(SuiteCatSub!$E$2:$E$55,MATCH(_xlfn.CONCAT(B500,"-",C500),SuiteCatSub!$F$2:$F$55,0))</f>
        <v>51</v>
      </c>
      <c r="G500" s="142">
        <v>636</v>
      </c>
      <c r="H500" s="142">
        <f>VLOOKUP(G500,SuiteCatSubElem_Version!$I$2:$J$667,2,0)</f>
        <v>420</v>
      </c>
      <c r="I500" s="146" t="s">
        <v>1423</v>
      </c>
      <c r="J500" s="144" t="str">
        <f>VLOOKUP(B500,Categories!$A$2:$C$8,3,0)</f>
        <v>Conctract Lifecycle Management</v>
      </c>
      <c r="K500" s="147"/>
      <c r="L500" s="144" t="str">
        <f>VLOOKUP(C500,Subcategories!$A$2:$B$29,2,0)</f>
        <v>Analytics</v>
      </c>
      <c r="M500" s="144" t="str">
        <f>VLOOKUP(D500,Elements!$B$2:$C$435,2,0)</f>
        <v>Value Creation Methodology and Approach</v>
      </c>
      <c r="N500" s="144" t="str">
        <f>VLOOKUP(H500,ElementVariants!$A$2:$B$460,2,0)</f>
        <v>*Not numerically self-scored. Please indicate the analytics that you provide to support the performance health and risk of your commercial relationships through the lens of your contract information. This includes risk analytics, compliance analytics, SLA analytics; complexity analysis (e.g., variability of terms); best practices adoption analytics, etc. Feel free to discuss machine learning, but this is also covered in the "Technology" tab as well</v>
      </c>
    </row>
    <row r="501" spans="1:14" ht="60">
      <c r="A501" s="138">
        <v>501</v>
      </c>
      <c r="B501" s="142">
        <v>7</v>
      </c>
      <c r="C501" s="142">
        <v>7</v>
      </c>
      <c r="D501" s="142">
        <v>423</v>
      </c>
      <c r="E501" s="142" t="s">
        <v>1818</v>
      </c>
      <c r="F501" s="142">
        <f>INDEX(SuiteCatSub!$E$2:$E$55,MATCH(_xlfn.CONCAT(B501,"-",C501),SuiteCatSub!$F$2:$F$55,0))</f>
        <v>53</v>
      </c>
      <c r="G501" s="142">
        <v>637</v>
      </c>
      <c r="H501" s="142">
        <f>VLOOKUP(G501,SuiteCatSubElem_Version!$I$2:$J$667,2,0)</f>
        <v>421</v>
      </c>
      <c r="I501" s="146" t="s">
        <v>1423</v>
      </c>
      <c r="J501" s="144" t="str">
        <f>VLOOKUP(B501,Categories!$A$2:$C$8,3,0)</f>
        <v>Conctract Lifecycle Management</v>
      </c>
      <c r="K501" s="147"/>
      <c r="L501" s="144" t="str">
        <f>VLOOKUP(C501,Subcategories!$A$2:$B$29,2,0)</f>
        <v>Technology</v>
      </c>
      <c r="M501" s="144" t="str">
        <f>VLOOKUP(D501,Elements!$B$2:$C$435,2,0)</f>
        <v>Core Technology Platform</v>
      </c>
      <c r="N501" s="144" t="str">
        <f>VLOOKUP(H501,ElementVariants!$A$2:$B$460,2,0)</f>
        <v>What content/info/knowledge exists that powers yours solution beyond traditional feature/function? e.g., clause/risk ontology; AI trained knowledge base for contract analytics; automated best practice; etc.</v>
      </c>
    </row>
    <row r="502" spans="1:14" ht="60">
      <c r="A502" s="138">
        <v>502</v>
      </c>
      <c r="B502" s="142">
        <v>7</v>
      </c>
      <c r="C502" s="142">
        <v>7</v>
      </c>
      <c r="D502" s="142">
        <v>424</v>
      </c>
      <c r="E502" s="142" t="s">
        <v>1819</v>
      </c>
      <c r="F502" s="142">
        <f>INDEX(SuiteCatSub!$E$2:$E$55,MATCH(_xlfn.CONCAT(B502,"-",C502),SuiteCatSub!$F$2:$F$55,0))</f>
        <v>53</v>
      </c>
      <c r="G502" s="142">
        <v>638</v>
      </c>
      <c r="H502" s="142">
        <f>VLOOKUP(G502,SuiteCatSubElem_Version!$I$2:$J$667,2,0)</f>
        <v>422</v>
      </c>
      <c r="I502" s="146" t="s">
        <v>1423</v>
      </c>
      <c r="J502" s="144" t="str">
        <f>VLOOKUP(B502,Categories!$A$2:$C$8,3,0)</f>
        <v>Conctract Lifecycle Management</v>
      </c>
      <c r="K502" s="147"/>
      <c r="L502" s="144" t="str">
        <f>VLOOKUP(C502,Subcategories!$A$2:$B$29,2,0)</f>
        <v>Technology</v>
      </c>
      <c r="M502" s="144" t="str">
        <f>VLOOKUP(D502,Elements!$B$2:$C$435,2,0)</f>
        <v>Security</v>
      </c>
      <c r="N502" s="144" t="str">
        <f>VLOOKUP(H502,ElementVariants!$A$2:$B$460,2,0)</f>
        <v>How do you capture and systemize the collective knowledge from your installed base of customers using your solution?</v>
      </c>
    </row>
    <row r="503" spans="1:14" ht="60">
      <c r="A503" s="138">
        <v>503</v>
      </c>
      <c r="B503" s="142">
        <v>7</v>
      </c>
      <c r="C503" s="142">
        <v>7</v>
      </c>
      <c r="D503" s="142">
        <v>425</v>
      </c>
      <c r="E503" s="142" t="s">
        <v>1820</v>
      </c>
      <c r="F503" s="142">
        <f>INDEX(SuiteCatSub!$E$2:$E$55,MATCH(_xlfn.CONCAT(B503,"-",C503),SuiteCatSub!$F$2:$F$55,0))</f>
        <v>53</v>
      </c>
      <c r="G503" s="142">
        <v>639</v>
      </c>
      <c r="H503" s="142">
        <f>VLOOKUP(G503,SuiteCatSubElem_Version!$I$2:$J$667,2,0)</f>
        <v>423</v>
      </c>
      <c r="I503" s="146" t="s">
        <v>1423</v>
      </c>
      <c r="J503" s="144" t="str">
        <f>VLOOKUP(B503,Categories!$A$2:$C$8,3,0)</f>
        <v>Conctract Lifecycle Management</v>
      </c>
      <c r="K503" s="147"/>
      <c r="L503" s="144" t="str">
        <f>VLOOKUP(C503,Subcategories!$A$2:$B$29,2,0)</f>
        <v>Technology</v>
      </c>
      <c r="M503" s="144" t="str">
        <f>VLOOKUP(D503,Elements!$B$2:$C$435,2,0)</f>
        <v>Fine Grained Role / Data / Action Based Security</v>
      </c>
      <c r="N503" s="144" t="str">
        <f>VLOOKUP(H503,ElementVariants!$A$2:$B$460,2,0)</f>
        <v>Do you have a unique approach to assessing, delivering, and improving value delivery that we haven't touched upon that you'd like to highlight?</v>
      </c>
    </row>
    <row r="504" spans="1:14" ht="60">
      <c r="A504" s="138">
        <v>504</v>
      </c>
      <c r="B504" s="142">
        <v>7</v>
      </c>
      <c r="C504" s="142">
        <v>7</v>
      </c>
      <c r="D504" s="142">
        <v>426</v>
      </c>
      <c r="E504" s="142" t="s">
        <v>1821</v>
      </c>
      <c r="F504" s="142">
        <f>INDEX(SuiteCatSub!$E$2:$E$55,MATCH(_xlfn.CONCAT(B504,"-",C504),SuiteCatSub!$F$2:$F$55,0))</f>
        <v>53</v>
      </c>
      <c r="G504" s="142">
        <v>640</v>
      </c>
      <c r="H504" s="142">
        <f>VLOOKUP(G504,SuiteCatSubElem_Version!$I$2:$J$667,2,0)</f>
        <v>424</v>
      </c>
      <c r="I504" s="146" t="s">
        <v>1423</v>
      </c>
      <c r="J504" s="144" t="str">
        <f>VLOOKUP(B504,Categories!$A$2:$C$8,3,0)</f>
        <v>Conctract Lifecycle Management</v>
      </c>
      <c r="K504" s="147"/>
      <c r="L504" s="144" t="str">
        <f>VLOOKUP(C504,Subcategories!$A$2:$B$29,2,0)</f>
        <v>Technology</v>
      </c>
      <c r="M504" s="144" t="str">
        <f>VLOOKUP(D504,Elements!$B$2:$C$435,2,0)</f>
        <v>User Experience</v>
      </c>
      <c r="N504" s="144" t="str">
        <f>VLOOKUP(H504,ElementVariants!$A$2:$B$460,2,0)</f>
        <v>Please describe your core software architecture? Is it a modern MVC architecture? What are the primary languages (C++/Java/Ruby) and technologies used?</v>
      </c>
    </row>
    <row r="505" spans="1:14" ht="60">
      <c r="A505" s="138">
        <v>505</v>
      </c>
      <c r="B505" s="142">
        <v>7</v>
      </c>
      <c r="C505" s="142">
        <v>7</v>
      </c>
      <c r="D505" s="142">
        <v>226</v>
      </c>
      <c r="E505" s="142" t="s">
        <v>1822</v>
      </c>
      <c r="F505" s="142">
        <f>INDEX(SuiteCatSub!$E$2:$E$55,MATCH(_xlfn.CONCAT(B505,"-",C505),SuiteCatSub!$F$2:$F$55,0))</f>
        <v>53</v>
      </c>
      <c r="G505" s="142">
        <v>641</v>
      </c>
      <c r="H505" s="142">
        <f>VLOOKUP(G505,SuiteCatSubElem_Version!$I$2:$J$667,2,0)</f>
        <v>425</v>
      </c>
      <c r="I505" s="146" t="s">
        <v>1423</v>
      </c>
      <c r="J505" s="144" t="str">
        <f>VLOOKUP(B505,Categories!$A$2:$C$8,3,0)</f>
        <v>Conctract Lifecycle Management</v>
      </c>
      <c r="K505" s="147"/>
      <c r="L505" s="144" t="str">
        <f>VLOOKUP(C505,Subcategories!$A$2:$B$29,2,0)</f>
        <v>Technology</v>
      </c>
      <c r="M505" s="144" t="str">
        <f>VLOOKUP(D505,Elements!$B$2:$C$435,2,0)</f>
        <v>SaaS / Cloud</v>
      </c>
      <c r="N505" s="144" t="str">
        <f>VLOOKUP(H505,ElementVariants!$A$2:$B$460,2,0)</f>
        <v>Generally, describe your information security approach. Specifically, are you ISO certified (27001) and do you support encryption (including encryption at rest)?</v>
      </c>
    </row>
    <row r="506" spans="1:14" ht="60">
      <c r="A506" s="138">
        <v>506</v>
      </c>
      <c r="B506" s="142">
        <v>7</v>
      </c>
      <c r="C506" s="142">
        <v>7</v>
      </c>
      <c r="D506" s="142">
        <v>427</v>
      </c>
      <c r="E506" s="142" t="s">
        <v>1823</v>
      </c>
      <c r="F506" s="142">
        <f>INDEX(SuiteCatSub!$E$2:$E$55,MATCH(_xlfn.CONCAT(B506,"-",C506),SuiteCatSub!$F$2:$F$55,0))</f>
        <v>53</v>
      </c>
      <c r="G506" s="142">
        <v>642</v>
      </c>
      <c r="H506" s="142">
        <f>VLOOKUP(G506,SuiteCatSubElem_Version!$I$2:$J$667,2,0)</f>
        <v>426</v>
      </c>
      <c r="I506" s="146" t="s">
        <v>1423</v>
      </c>
      <c r="J506" s="144" t="str">
        <f>VLOOKUP(B506,Categories!$A$2:$C$8,3,0)</f>
        <v>Conctract Lifecycle Management</v>
      </c>
      <c r="K506" s="147"/>
      <c r="L506" s="144" t="str">
        <f>VLOOKUP(C506,Subcategories!$A$2:$B$29,2,0)</f>
        <v>Technology</v>
      </c>
      <c r="M506" s="144" t="str">
        <f>VLOOKUP(D506,Elements!$B$2:$C$435,2,0)</f>
        <v>IaaS</v>
      </c>
      <c r="N506" s="144" t="str">
        <f>VLOOKUP(H506,ElementVariants!$A$2:$B$460,2,0)</f>
        <v>How fine grained is the role/data/action based security options on the platform and how configurable are they? How fine grained is the role/data/action based security options on the platform and how configurable are they?</v>
      </c>
    </row>
    <row r="507" spans="1:14" ht="60">
      <c r="A507" s="138">
        <v>507</v>
      </c>
      <c r="B507" s="142">
        <v>7</v>
      </c>
      <c r="C507" s="142">
        <v>7</v>
      </c>
      <c r="D507" s="142">
        <v>10</v>
      </c>
      <c r="E507" s="142" t="s">
        <v>1824</v>
      </c>
      <c r="F507" s="142">
        <f>INDEX(SuiteCatSub!$E$2:$E$55,MATCH(_xlfn.CONCAT(B507,"-",C507),SuiteCatSub!$F$2:$F$55,0))</f>
        <v>53</v>
      </c>
      <c r="G507" s="142">
        <v>643</v>
      </c>
      <c r="H507" s="142">
        <f>VLOOKUP(G507,SuiteCatSubElem_Version!$I$2:$J$667,2,0)</f>
        <v>427</v>
      </c>
      <c r="I507" s="146" t="s">
        <v>1423</v>
      </c>
      <c r="J507" s="144" t="str">
        <f>VLOOKUP(B507,Categories!$A$2:$C$8,3,0)</f>
        <v>Conctract Lifecycle Management</v>
      </c>
      <c r="K507" s="147"/>
      <c r="L507" s="144" t="str">
        <f>VLOOKUP(C507,Subcategories!$A$2:$B$29,2,0)</f>
        <v>Technology</v>
      </c>
      <c r="M507" s="144" t="str">
        <f>VLOOKUP(D507,Elements!$B$2:$C$435,2,0)</f>
        <v>On-Premise Software Option</v>
      </c>
      <c r="N507" s="144" t="str">
        <f>VLOOKUP(H507,ElementVariants!$A$2:$B$460,2,0)</f>
        <v>Please describe your user experience (overall) including design approach. Please describe your approach to navigation, menu elements (and ability to hide elements), columns, overall form structure/organization, visual design, product workflow. What other UIs have inspired your design (in the consumer or business world)? When was your overall UI framework last implemented or updated? How many full-time UI designers are on your team?</v>
      </c>
    </row>
    <row r="508" spans="1:14" ht="105">
      <c r="A508" s="138">
        <v>508</v>
      </c>
      <c r="B508" s="142">
        <v>7</v>
      </c>
      <c r="C508" s="142">
        <v>7</v>
      </c>
      <c r="D508" s="142">
        <v>428</v>
      </c>
      <c r="E508" s="142" t="s">
        <v>1825</v>
      </c>
      <c r="F508" s="142">
        <f>INDEX(SuiteCatSub!$E$2:$E$55,MATCH(_xlfn.CONCAT(B508,"-",C508),SuiteCatSub!$F$2:$F$55,0))</f>
        <v>53</v>
      </c>
      <c r="G508" s="142">
        <v>644</v>
      </c>
      <c r="H508" s="142">
        <f>VLOOKUP(G508,SuiteCatSubElem_Version!$I$2:$J$667,2,0)</f>
        <v>226</v>
      </c>
      <c r="I508" s="146" t="s">
        <v>1423</v>
      </c>
      <c r="J508" s="144" t="str">
        <f>VLOOKUP(B508,Categories!$A$2:$C$8,3,0)</f>
        <v>Conctract Lifecycle Management</v>
      </c>
      <c r="K508" s="147"/>
      <c r="L508" s="144" t="str">
        <f>VLOOKUP(C508,Subcategories!$A$2:$B$29,2,0)</f>
        <v>Technology</v>
      </c>
      <c r="M508" s="144" t="str">
        <f>VLOOKUP(D508,Elements!$B$2:$C$435,2,0)</f>
        <v>AR / Auto Detection of Missing / Needed / Erroneous Data</v>
      </c>
      <c r="N508" s="144" t="str">
        <f>VLOOKUP(H508,ElementVariants!$A$2:$B$460,2,0)</f>
        <v>Please describe your cloud architecture (e.g., single-instance multi-tenant application run on a 'virtualized' and elastic platform). Is your SaaS approach only true multi-tenant, or can separate app instances be maintained (e.g., residing with data on servers that can be run in different countries)?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v>
      </c>
    </row>
    <row r="509" spans="1:14" ht="60">
      <c r="A509" s="138">
        <v>509</v>
      </c>
      <c r="B509" s="142">
        <v>7</v>
      </c>
      <c r="C509" s="142">
        <v>7</v>
      </c>
      <c r="D509" s="142">
        <v>73</v>
      </c>
      <c r="E509" s="142" t="s">
        <v>1826</v>
      </c>
      <c r="F509" s="142">
        <f>INDEX(SuiteCatSub!$E$2:$E$55,MATCH(_xlfn.CONCAT(B509,"-",C509),SuiteCatSub!$F$2:$F$55,0))</f>
        <v>53</v>
      </c>
      <c r="G509" s="142">
        <v>645</v>
      </c>
      <c r="H509" s="142">
        <f>VLOOKUP(G509,SuiteCatSubElem_Version!$I$2:$J$667,2,0)</f>
        <v>428</v>
      </c>
      <c r="I509" s="146" t="s">
        <v>1423</v>
      </c>
      <c r="J509" s="144" t="str">
        <f>VLOOKUP(B509,Categories!$A$2:$C$8,3,0)</f>
        <v>Conctract Lifecycle Management</v>
      </c>
      <c r="K509" s="147"/>
      <c r="L509" s="144" t="str">
        <f>VLOOKUP(C509,Subcategories!$A$2:$B$29,2,0)</f>
        <v>Technology</v>
      </c>
      <c r="M509" s="144" t="str">
        <f>VLOOKUP(D509,Elements!$B$2:$C$435,2,0)</f>
        <v>Big Data</v>
      </c>
      <c r="N509" s="144" t="str">
        <f>VLOOKUP(H509,ElementVariants!$A$2:$B$460,2,0)</f>
        <v>Who hosts your servers and runs your data centers? If third party (assuming so!), who is it? If multiple, can IaaS providers be switched?</v>
      </c>
    </row>
    <row r="510" spans="1:14" ht="75">
      <c r="A510" s="138">
        <v>510</v>
      </c>
      <c r="B510" s="142">
        <v>7</v>
      </c>
      <c r="C510" s="142">
        <v>7</v>
      </c>
      <c r="D510" s="142">
        <v>74</v>
      </c>
      <c r="E510" s="142" t="s">
        <v>1827</v>
      </c>
      <c r="F510" s="142">
        <f>INDEX(SuiteCatSub!$E$2:$E$55,MATCH(_xlfn.CONCAT(B510,"-",C510),SuiteCatSub!$F$2:$F$55,0))</f>
        <v>53</v>
      </c>
      <c r="G510" s="142">
        <v>646</v>
      </c>
      <c r="H510" s="142">
        <f>VLOOKUP(G510,SuiteCatSubElem_Version!$I$2:$J$667,2,0)</f>
        <v>436</v>
      </c>
      <c r="I510" s="146" t="s">
        <v>1423</v>
      </c>
      <c r="J510" s="144" t="str">
        <f>VLOOKUP(B510,Categories!$A$2:$C$8,3,0)</f>
        <v>Conctract Lifecycle Management</v>
      </c>
      <c r="K510" s="147"/>
      <c r="L510" s="144" t="str">
        <f>VLOOKUP(C510,Subcategories!$A$2:$B$29,2,0)</f>
        <v>Technology</v>
      </c>
      <c r="M510" s="144" t="str">
        <f>VLOOKUP(D510,Elements!$B$2:$C$435,2,0)</f>
        <v>Block chain</v>
      </c>
      <c r="N510" s="144" t="str">
        <f>VLOOKUP(H510,ElementVariants!$A$2:$B$460,2,0)</f>
        <v>Do you offer an on premise options? If no, what private cloud capabilities do you offer (e.g., to have data reside locally -- and fully encrypted at rest). If offered, is it legacy software that is separate from the SaaS version -- or is cloud version pushed to end user to run locally? 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v>
      </c>
    </row>
    <row r="511" spans="1:14" ht="60">
      <c r="A511" s="138">
        <v>511</v>
      </c>
      <c r="B511" s="142">
        <v>7</v>
      </c>
      <c r="C511" s="142">
        <v>7</v>
      </c>
      <c r="D511" s="142">
        <v>75</v>
      </c>
      <c r="E511" s="142" t="s">
        <v>1828</v>
      </c>
      <c r="F511" s="142">
        <f>INDEX(SuiteCatSub!$E$2:$E$55,MATCH(_xlfn.CONCAT(B511,"-",C511),SuiteCatSub!$F$2:$F$55,0))</f>
        <v>53</v>
      </c>
      <c r="G511" s="142">
        <v>647</v>
      </c>
      <c r="H511" s="142">
        <f>VLOOKUP(G511,SuiteCatSubElem_Version!$I$2:$J$667,2,0)</f>
        <v>429</v>
      </c>
      <c r="I511" s="146" t="s">
        <v>1423</v>
      </c>
      <c r="J511" s="144" t="str">
        <f>VLOOKUP(B511,Categories!$A$2:$C$8,3,0)</f>
        <v>Conctract Lifecycle Management</v>
      </c>
      <c r="K511" s="147"/>
      <c r="L511" s="144" t="str">
        <f>VLOOKUP(C511,Subcategories!$A$2:$B$29,2,0)</f>
        <v>Technology</v>
      </c>
      <c r="M511" s="144" t="str">
        <f>VLOOKUP(D511,Elements!$B$2:$C$435,2,0)</f>
        <v>Mobile</v>
      </c>
      <c r="N511" s="144" t="str">
        <f>VLOOKUP(H511,ElementVariants!$A$2:$B$460,2,0)</f>
        <v>To what extent can the platform support the auto-detection of missing or needed data? Erroneous data? Outlier data that needs to be reviewed? How advanced are the algorithms? Is this capability extensible?</v>
      </c>
    </row>
    <row r="512" spans="1:14" ht="60">
      <c r="A512" s="138">
        <v>512</v>
      </c>
      <c r="B512" s="142">
        <v>7</v>
      </c>
      <c r="C512" s="142">
        <v>7</v>
      </c>
      <c r="D512" s="142">
        <v>66</v>
      </c>
      <c r="E512" s="142" t="s">
        <v>1829</v>
      </c>
      <c r="F512" s="142">
        <f>INDEX(SuiteCatSub!$E$2:$E$55,MATCH(_xlfn.CONCAT(B512,"-",C512),SuiteCatSub!$F$2:$F$55,0))</f>
        <v>53</v>
      </c>
      <c r="G512" s="142">
        <v>648</v>
      </c>
      <c r="H512" s="142">
        <f>VLOOKUP(G512,SuiteCatSubElem_Version!$I$2:$J$667,2,0)</f>
        <v>445</v>
      </c>
      <c r="I512" s="146" t="s">
        <v>1423</v>
      </c>
      <c r="J512" s="144" t="str">
        <f>VLOOKUP(B512,Categories!$A$2:$C$8,3,0)</f>
        <v>Conctract Lifecycle Management</v>
      </c>
      <c r="K512" s="147"/>
      <c r="L512" s="144" t="str">
        <f>VLOOKUP(C512,Subcategories!$A$2:$B$29,2,0)</f>
        <v>Technology</v>
      </c>
      <c r="M512" s="144" t="str">
        <f>VLOOKUP(D512,Elements!$B$2:$C$435,2,0)</f>
        <v>Multi-Currency</v>
      </c>
      <c r="N512" s="144" t="str">
        <f>VLOOKUP(H512,ElementVariants!$A$2:$B$460,2,0)</f>
        <v>To what extent does the platform support "big data"? How scalable is it? How much control over separation and data store mapping does the buyer have?</v>
      </c>
    </row>
    <row r="513" spans="1:14" ht="60">
      <c r="A513" s="138">
        <v>513</v>
      </c>
      <c r="B513" s="142">
        <v>7</v>
      </c>
      <c r="C513" s="142">
        <v>7</v>
      </c>
      <c r="D513" s="142">
        <v>78</v>
      </c>
      <c r="E513" s="142" t="s">
        <v>1830</v>
      </c>
      <c r="F513" s="142">
        <f>INDEX(SuiteCatSub!$E$2:$E$55,MATCH(_xlfn.CONCAT(B513,"-",C513),SuiteCatSub!$F$2:$F$55,0))</f>
        <v>53</v>
      </c>
      <c r="G513" s="142">
        <v>649</v>
      </c>
      <c r="H513" s="142">
        <f>VLOOKUP(G513,SuiteCatSubElem_Version!$I$2:$J$667,2,0)</f>
        <v>74</v>
      </c>
      <c r="I513" s="146" t="s">
        <v>1423</v>
      </c>
      <c r="J513" s="144" t="str">
        <f>VLOOKUP(B513,Categories!$A$2:$C$8,3,0)</f>
        <v>Conctract Lifecycle Management</v>
      </c>
      <c r="K513" s="147"/>
      <c r="L513" s="144" t="str">
        <f>VLOOKUP(C513,Subcategories!$A$2:$B$29,2,0)</f>
        <v>Technology</v>
      </c>
      <c r="M513" s="144" t="str">
        <f>VLOOKUP(D513,Elements!$B$2:$C$435,2,0)</f>
        <v>Intelligent Apps</v>
      </c>
      <c r="N513" s="144" t="str">
        <f>VLOOKUP(H513,ElementVariants!$A$2:$B$460,2,0)</f>
        <v>Explain the use of block chain technology within your solutions or plans to deploy block chain in future releases. What type of block chain capabilities are you actively researching and/or developing (e.g., "smart contracts")? Are you working with a customer advisory council in this area, and if so, what is their willingness to support a distributed ledger model?</v>
      </c>
    </row>
    <row r="514" spans="1:14" ht="60">
      <c r="A514" s="138">
        <v>514</v>
      </c>
      <c r="B514" s="142">
        <v>7</v>
      </c>
      <c r="C514" s="142">
        <v>7</v>
      </c>
      <c r="D514" s="142">
        <v>429</v>
      </c>
      <c r="E514" s="142" t="s">
        <v>1831</v>
      </c>
      <c r="F514" s="142">
        <f>INDEX(SuiteCatSub!$E$2:$E$55,MATCH(_xlfn.CONCAT(B514,"-",C514),SuiteCatSub!$F$2:$F$55,0))</f>
        <v>53</v>
      </c>
      <c r="G514" s="142">
        <v>650</v>
      </c>
      <c r="H514" s="142">
        <f>VLOOKUP(G514,SuiteCatSubElem_Version!$I$2:$J$667,2,0)</f>
        <v>75</v>
      </c>
      <c r="I514" s="146" t="s">
        <v>1423</v>
      </c>
      <c r="J514" s="144" t="str">
        <f>VLOOKUP(B514,Categories!$A$2:$C$8,3,0)</f>
        <v>Conctract Lifecycle Management</v>
      </c>
      <c r="K514" s="147"/>
      <c r="L514" s="144" t="str">
        <f>VLOOKUP(C514,Subcategories!$A$2:$B$29,2,0)</f>
        <v>Technology</v>
      </c>
      <c r="M514" s="144" t="str">
        <f>VLOOKUP(D514,Elements!$B$2:$C$435,2,0)</f>
        <v>Machine Learning</v>
      </c>
      <c r="N514" s="144" t="str">
        <f>VLOOKUP(H514,ElementVariants!$A$2:$B$460,2,0)</f>
        <v>Explain the use of mobile technology within your solutions overall and your roadmap for future mobile adoption. Please highlight how you support mobile users (e.g., responsive design to work across all devices or mobile app for basic functionality like approvals). What percentage of system interactions today are driven by mobile clients? What do you forecast for the next 12 months? 24 months?</v>
      </c>
    </row>
    <row r="515" spans="1:14" ht="60">
      <c r="A515" s="138">
        <v>515</v>
      </c>
      <c r="B515" s="142">
        <v>7</v>
      </c>
      <c r="C515" s="142">
        <v>7</v>
      </c>
      <c r="D515" s="142">
        <v>430</v>
      </c>
      <c r="E515" s="142" t="s">
        <v>1832</v>
      </c>
      <c r="F515" s="142">
        <f>INDEX(SuiteCatSub!$E$2:$E$55,MATCH(_xlfn.CONCAT(B515,"-",C515),SuiteCatSub!$F$2:$F$55,0))</f>
        <v>53</v>
      </c>
      <c r="G515" s="142">
        <v>651</v>
      </c>
      <c r="H515" s="142">
        <f>VLOOKUP(G515,SuiteCatSubElem_Version!$I$2:$J$667,2,0)</f>
        <v>442</v>
      </c>
      <c r="I515" s="146" t="s">
        <v>1423</v>
      </c>
      <c r="J515" s="144" t="str">
        <f>VLOOKUP(B515,Categories!$A$2:$C$8,3,0)</f>
        <v>Conctract Lifecycle Management</v>
      </c>
      <c r="K515" s="147"/>
      <c r="L515" s="144" t="str">
        <f>VLOOKUP(C515,Subcategories!$A$2:$B$29,2,0)</f>
        <v>Technology</v>
      </c>
      <c r="M515" s="144" t="str">
        <f>VLOOKUP(D515,Elements!$B$2:$C$435,2,0)</f>
        <v>"Bots"</v>
      </c>
      <c r="N515" s="144" t="str">
        <f>VLOOKUP(H515,ElementVariants!$A$2:$B$460,2,0)</f>
        <v>If not already covered elsewhere, please explain how many base currencies do you support? Also please describe multi-currency support such as foreign exchange translations or other capabilities</v>
      </c>
    </row>
    <row r="516" spans="1:14" ht="60">
      <c r="A516" s="138">
        <v>516</v>
      </c>
      <c r="B516" s="142">
        <v>7</v>
      </c>
      <c r="C516" s="142">
        <v>7</v>
      </c>
      <c r="D516" s="142">
        <v>80</v>
      </c>
      <c r="E516" s="142" t="s">
        <v>1833</v>
      </c>
      <c r="F516" s="142">
        <f>INDEX(SuiteCatSub!$E$2:$E$55,MATCH(_xlfn.CONCAT(B516,"-",C516),SuiteCatSub!$F$2:$F$55,0))</f>
        <v>53</v>
      </c>
      <c r="G516" s="142">
        <v>652</v>
      </c>
      <c r="H516" s="142">
        <f>VLOOKUP(G516,SuiteCatSubElem_Version!$I$2:$J$667,2,0)</f>
        <v>78</v>
      </c>
      <c r="I516" s="146" t="s">
        <v>1423</v>
      </c>
      <c r="J516" s="144" t="str">
        <f>VLOOKUP(B516,Categories!$A$2:$C$8,3,0)</f>
        <v>Conctract Lifecycle Management</v>
      </c>
      <c r="K516" s="147"/>
      <c r="L516" s="144" t="str">
        <f>VLOOKUP(C516,Subcategories!$A$2:$B$29,2,0)</f>
        <v>Technology</v>
      </c>
      <c r="M516" s="144" t="str">
        <f>VLOOKUP(D516,Elements!$B$2:$C$435,2,0)</f>
        <v>Personalization</v>
      </c>
      <c r="N516" s="144" t="str">
        <f>VLOOKUP(H516,ElementVariants!$A$2:$B$460,2,0)</f>
        <v>Explain the use of "intelligent apps" within your solutions. Examples include: Siri, Alexa, Google, etc. Do you work with partners in this area?</v>
      </c>
    </row>
    <row r="517" spans="1:14" ht="60">
      <c r="A517" s="138">
        <v>517</v>
      </c>
      <c r="B517" s="142">
        <v>7</v>
      </c>
      <c r="C517" s="142">
        <v>7</v>
      </c>
      <c r="D517" s="142">
        <v>81</v>
      </c>
      <c r="E517" s="142" t="s">
        <v>1834</v>
      </c>
      <c r="F517" s="142">
        <f>INDEX(SuiteCatSub!$E$2:$E$55,MATCH(_xlfn.CONCAT(B517,"-",C517),SuiteCatSub!$F$2:$F$55,0))</f>
        <v>53</v>
      </c>
      <c r="G517" s="142">
        <v>653</v>
      </c>
      <c r="H517" s="142">
        <f>VLOOKUP(G517,SuiteCatSubElem_Version!$I$2:$J$667,2,0)</f>
        <v>430</v>
      </c>
      <c r="I517" s="146" t="s">
        <v>1423</v>
      </c>
      <c r="J517" s="144" t="str">
        <f>VLOOKUP(B517,Categories!$A$2:$C$8,3,0)</f>
        <v>Conctract Lifecycle Management</v>
      </c>
      <c r="K517" s="147"/>
      <c r="L517" s="144" t="str">
        <f>VLOOKUP(C517,Subcategories!$A$2:$B$29,2,0)</f>
        <v>Technology</v>
      </c>
      <c r="M517" s="144" t="str">
        <f>VLOOKUP(D517,Elements!$B$2:$C$435,2,0)</f>
        <v>Open Standards</v>
      </c>
      <c r="N517" s="144" t="str">
        <f>VLOOKUP(H517,ElementVariants!$A$2:$B$460,2,0)</f>
        <v>Do you offer any form of machine learning with your existing production system? If so, please describe what ML approach/algorithms are used to do what functionality</v>
      </c>
    </row>
    <row r="518" spans="1:14" ht="60">
      <c r="A518" s="138">
        <v>518</v>
      </c>
      <c r="B518" s="142">
        <v>7</v>
      </c>
      <c r="C518" s="142">
        <v>7</v>
      </c>
      <c r="D518" s="142">
        <v>82</v>
      </c>
      <c r="E518" s="142" t="s">
        <v>1835</v>
      </c>
      <c r="F518" s="142">
        <f>INDEX(SuiteCatSub!$E$2:$E$55,MATCH(_xlfn.CONCAT(B518,"-",C518),SuiteCatSub!$F$2:$F$55,0))</f>
        <v>53</v>
      </c>
      <c r="G518" s="142">
        <v>654</v>
      </c>
      <c r="H518" s="142">
        <f>VLOOKUP(G518,SuiteCatSubElem_Version!$I$2:$J$667,2,0)</f>
        <v>431</v>
      </c>
      <c r="I518" s="146" t="s">
        <v>1423</v>
      </c>
      <c r="J518" s="144" t="str">
        <f>VLOOKUP(B518,Categories!$A$2:$C$8,3,0)</f>
        <v>Conctract Lifecycle Management</v>
      </c>
      <c r="K518" s="147"/>
      <c r="L518" s="144" t="str">
        <f>VLOOKUP(C518,Subcategories!$A$2:$B$29,2,0)</f>
        <v>Technology</v>
      </c>
      <c r="M518" s="144" t="str">
        <f>VLOOKUP(D518,Elements!$B$2:$C$435,2,0)</f>
        <v>Integrations</v>
      </c>
      <c r="N518" s="144" t="str">
        <f>VLOOKUP(H518,ElementVariants!$A$2:$B$460,2,0)</f>
        <v>Please describe how you support software agents that help improve the capabilities of your system. If you don't have any, please describe what you're evaluating or building</v>
      </c>
    </row>
    <row r="519" spans="1:14" ht="60">
      <c r="A519" s="138">
        <v>519</v>
      </c>
      <c r="B519" s="142">
        <v>7</v>
      </c>
      <c r="C519" s="142">
        <v>7</v>
      </c>
      <c r="D519" s="142">
        <v>431</v>
      </c>
      <c r="E519" s="142" t="s">
        <v>1836</v>
      </c>
      <c r="F519" s="142">
        <f>INDEX(SuiteCatSub!$E$2:$E$55,MATCH(_xlfn.CONCAT(B519,"-",C519),SuiteCatSub!$F$2:$F$55,0))</f>
        <v>53</v>
      </c>
      <c r="G519" s="142">
        <v>655</v>
      </c>
      <c r="H519" s="142">
        <f>VLOOKUP(G519,SuiteCatSubElem_Version!$I$2:$J$667,2,0)</f>
        <v>80</v>
      </c>
      <c r="I519" s="146" t="s">
        <v>1423</v>
      </c>
      <c r="J519" s="144" t="str">
        <f>VLOOKUP(B519,Categories!$A$2:$C$8,3,0)</f>
        <v>Conctract Lifecycle Management</v>
      </c>
      <c r="K519" s="147"/>
      <c r="L519" s="144" t="str">
        <f>VLOOKUP(C519,Subcategories!$A$2:$B$29,2,0)</f>
        <v>Technology</v>
      </c>
      <c r="M519" s="144" t="str">
        <f>VLOOKUP(D519,Elements!$B$2:$C$435,2,0)</f>
        <v>Approach</v>
      </c>
      <c r="N519" s="144" t="str">
        <f>VLOOKUP(H519,ElementVariants!$A$2:$B$460,2,0)</f>
        <v>Describe your ability to customize/tailor terminology to business-specific terminology using data dictionaries or other approaches</v>
      </c>
    </row>
    <row r="520" spans="1:14" ht="60">
      <c r="A520" s="138">
        <v>520</v>
      </c>
      <c r="B520" s="142">
        <v>7</v>
      </c>
      <c r="C520" s="142">
        <v>7</v>
      </c>
      <c r="D520" s="142">
        <v>432</v>
      </c>
      <c r="E520" s="142" t="s">
        <v>1837</v>
      </c>
      <c r="F520" s="142">
        <f>INDEX(SuiteCatSub!$E$2:$E$55,MATCH(_xlfn.CONCAT(B520,"-",C520),SuiteCatSub!$F$2:$F$55,0))</f>
        <v>53</v>
      </c>
      <c r="G520" s="142">
        <v>656</v>
      </c>
      <c r="H520" s="142">
        <f>VLOOKUP(G520,SuiteCatSubElem_Version!$I$2:$J$667,2,0)</f>
        <v>81</v>
      </c>
      <c r="I520" s="146" t="s">
        <v>1423</v>
      </c>
      <c r="J520" s="144" t="str">
        <f>VLOOKUP(B520,Categories!$A$2:$C$8,3,0)</f>
        <v>Conctract Lifecycle Management</v>
      </c>
      <c r="K520" s="147"/>
      <c r="L520" s="144" t="str">
        <f>VLOOKUP(C520,Subcategories!$A$2:$B$29,2,0)</f>
        <v>Technology</v>
      </c>
      <c r="M520" s="144" t="str">
        <f>VLOOKUP(D520,Elements!$B$2:$C$435,2,0)</f>
        <v>APIs</v>
      </c>
      <c r="N520" s="144" t="str">
        <f>VLOOKUP(H520,ElementVariants!$A$2:$B$460,2,0)</f>
        <v>Describe your support for open standards, particularly surrounding document/data standards. How this has been developed / implemented? Are you working with / driving any standards-body initiatives? Do you provide a platform that enables others to develop or co-develop capabilities? Do you provide a platform for supplier to integrate their financial and accounting systems through a standards-driven environment?</v>
      </c>
    </row>
    <row r="521" spans="1:14" ht="60">
      <c r="A521" s="138">
        <v>521</v>
      </c>
      <c r="B521" s="142">
        <v>7</v>
      </c>
      <c r="C521" s="142">
        <v>7</v>
      </c>
      <c r="D521" s="142">
        <v>231</v>
      </c>
      <c r="E521" s="142" t="s">
        <v>1838</v>
      </c>
      <c r="F521" s="142">
        <f>INDEX(SuiteCatSub!$E$2:$E$55,MATCH(_xlfn.CONCAT(B521,"-",C521),SuiteCatSub!$F$2:$F$55,0))</f>
        <v>53</v>
      </c>
      <c r="G521" s="142">
        <v>657</v>
      </c>
      <c r="H521" s="142">
        <f>VLOOKUP(G521,SuiteCatSubElem_Version!$I$2:$J$667,2,0)</f>
        <v>82</v>
      </c>
      <c r="I521" s="146" t="s">
        <v>1423</v>
      </c>
      <c r="J521" s="144" t="str">
        <f>VLOOKUP(B521,Categories!$A$2:$C$8,3,0)</f>
        <v>Conctract Lifecycle Management</v>
      </c>
      <c r="K521" s="147"/>
      <c r="L521" s="144" t="str">
        <f>VLOOKUP(C521,Subcategories!$A$2:$B$29,2,0)</f>
        <v>Technology</v>
      </c>
      <c r="M521" s="144" t="str">
        <f>VLOOKUP(D521,Elements!$B$2:$C$435,2,0)</f>
        <v>ERP</v>
      </c>
      <c r="N521" s="144" t="str">
        <f>VLOOKUP(H521,ElementVariants!$A$2:$B$460,2,0)</f>
        <v>Describe typical (and atypical) system integration options. Describe how the platform and service provider handles multiple instances. For example, if an organization has multiple ERPs but wants a shared Procurement/Sourcing/Analytics/etc. deployment, do you typically deploy a single instance of your software for them, or typically multiple instances? Describe any integrations not addressed below.</v>
      </c>
    </row>
    <row r="522" spans="1:14" ht="60">
      <c r="A522" s="138">
        <v>522</v>
      </c>
      <c r="B522" s="142">
        <v>7</v>
      </c>
      <c r="C522" s="142">
        <v>7</v>
      </c>
      <c r="D522" s="142">
        <v>232</v>
      </c>
      <c r="E522" s="142" t="s">
        <v>1839</v>
      </c>
      <c r="F522" s="142">
        <f>INDEX(SuiteCatSub!$E$2:$E$55,MATCH(_xlfn.CONCAT(B522,"-",C522),SuiteCatSub!$F$2:$F$55,0))</f>
        <v>53</v>
      </c>
      <c r="G522" s="142">
        <v>658</v>
      </c>
      <c r="H522" s="142">
        <f>VLOOKUP(G522,SuiteCatSubElem_Version!$I$2:$J$667,2,0)</f>
        <v>433</v>
      </c>
      <c r="I522" s="146" t="s">
        <v>1423</v>
      </c>
      <c r="J522" s="144" t="str">
        <f>VLOOKUP(B522,Categories!$A$2:$C$8,3,0)</f>
        <v>Conctract Lifecycle Management</v>
      </c>
      <c r="K522" s="147"/>
      <c r="L522" s="144" t="str">
        <f>VLOOKUP(C522,Subcategories!$A$2:$B$29,2,0)</f>
        <v>Technology</v>
      </c>
      <c r="M522" s="144" t="str">
        <f>VLOOKUP(D522,Elements!$B$2:$C$435,2,0)</f>
        <v>P2P</v>
      </c>
      <c r="N522" s="144" t="str">
        <f>VLOOKUP(H522,ElementVariants!$A$2:$B$460,2,0)</f>
        <v>How many out of the box APIs do you make available (and feel free to describe more about them and/or your approach here)?</v>
      </c>
    </row>
    <row r="523" spans="1:14" ht="60">
      <c r="A523" s="138">
        <v>523</v>
      </c>
      <c r="B523" s="142">
        <v>7</v>
      </c>
      <c r="C523" s="142">
        <v>7</v>
      </c>
      <c r="D523" s="142">
        <v>233</v>
      </c>
      <c r="E523" s="142" t="s">
        <v>1840</v>
      </c>
      <c r="F523" s="142">
        <f>INDEX(SuiteCatSub!$E$2:$E$55,MATCH(_xlfn.CONCAT(B523,"-",C523),SuiteCatSub!$F$2:$F$55,0))</f>
        <v>53</v>
      </c>
      <c r="G523" s="142">
        <v>659</v>
      </c>
      <c r="H523" s="142">
        <f>VLOOKUP(G523,SuiteCatSubElem_Version!$I$2:$J$667,2,0)</f>
        <v>231</v>
      </c>
      <c r="I523" s="146" t="s">
        <v>1423</v>
      </c>
      <c r="J523" s="144" t="str">
        <f>VLOOKUP(B523,Categories!$A$2:$C$8,3,0)</f>
        <v>Conctract Lifecycle Management</v>
      </c>
      <c r="K523" s="147"/>
      <c r="L523" s="144" t="str">
        <f>VLOOKUP(C523,Subcategories!$A$2:$B$29,2,0)</f>
        <v>Technology</v>
      </c>
      <c r="M523" s="144" t="str">
        <f>VLOOKUP(D523,Elements!$B$2:$C$435,2,0)</f>
        <v>Other</v>
      </c>
      <c r="N523" s="144" t="str">
        <f>VLOOKUP(H523,ElementVariants!$A$2:$B$460,2,0)</f>
        <v>Describe the out-of-the-box ERP integrations supported, how configurable they are, whether they are real-time, and other relevant factors</v>
      </c>
    </row>
    <row r="524" spans="1:14" ht="60">
      <c r="A524" s="138">
        <v>524</v>
      </c>
      <c r="B524" s="142">
        <v>7</v>
      </c>
      <c r="C524" s="142">
        <v>6</v>
      </c>
      <c r="D524" s="142">
        <v>433</v>
      </c>
      <c r="E524" s="142" t="s">
        <v>1841</v>
      </c>
      <c r="F524" s="142">
        <f>INDEX(SuiteCatSub!$E$2:$E$55,MATCH(_xlfn.CONCAT(B524,"-",C524),SuiteCatSub!$F$2:$F$55,0))</f>
        <v>52</v>
      </c>
      <c r="G524" s="142">
        <v>660</v>
      </c>
      <c r="H524" s="142">
        <f>VLOOKUP(G524,SuiteCatSubElem_Version!$I$2:$J$667,2,0)</f>
        <v>232</v>
      </c>
      <c r="I524" s="146" t="s">
        <v>1423</v>
      </c>
      <c r="J524" s="144" t="str">
        <f>VLOOKUP(B524,Categories!$A$2:$C$8,3,0)</f>
        <v>Conctract Lifecycle Management</v>
      </c>
      <c r="K524" s="147"/>
      <c r="L524" s="144" t="str">
        <f>VLOOKUP(C524,Subcategories!$A$2:$B$29,2,0)</f>
        <v>Configurability</v>
      </c>
      <c r="M524" s="144" t="str">
        <f>VLOOKUP(D524,Elements!$B$2:$C$435,2,0)</f>
        <v>CLM Configuration</v>
      </c>
      <c r="N524" s="144" t="str">
        <f>VLOOKUP(H524,ElementVariants!$A$2:$B$460,2,0)</f>
        <v>Describe out-of-the-box P2P and related technology integrations, how configurable they are, whether they are real-time, and other relevant factors</v>
      </c>
    </row>
    <row r="525" spans="1:14" ht="60">
      <c r="A525" s="138">
        <v>525</v>
      </c>
      <c r="B525" s="142">
        <v>7</v>
      </c>
      <c r="C525" s="142">
        <v>6</v>
      </c>
      <c r="D525" s="142">
        <v>65</v>
      </c>
      <c r="E525" s="142" t="s">
        <v>1842</v>
      </c>
      <c r="F525" s="142">
        <f>INDEX(SuiteCatSub!$E$2:$E$55,MATCH(_xlfn.CONCAT(B525,"-",C525),SuiteCatSub!$F$2:$F$55,0))</f>
        <v>52</v>
      </c>
      <c r="G525" s="142">
        <v>661</v>
      </c>
      <c r="H525" s="142">
        <f>VLOOKUP(G525,SuiteCatSubElem_Version!$I$2:$J$667,2,0)</f>
        <v>233</v>
      </c>
      <c r="I525" s="146" t="s">
        <v>1423</v>
      </c>
      <c r="J525" s="144" t="str">
        <f>VLOOKUP(B525,Categories!$A$2:$C$8,3,0)</f>
        <v>Conctract Lifecycle Management</v>
      </c>
      <c r="K525" s="147"/>
      <c r="L525" s="144" t="str">
        <f>VLOOKUP(C525,Subcategories!$A$2:$B$29,2,0)</f>
        <v>Configurability</v>
      </c>
      <c r="M525" s="144" t="str">
        <f>VLOOKUP(D525,Elements!$B$2:$C$435,2,0)</f>
        <v>Business Rules / Workflow</v>
      </c>
      <c r="N525" s="144" t="str">
        <f>VLOOKUP(H525,ElementVariants!$A$2:$B$460,2,0)</f>
        <v>Describe other relevant, best-of-breed, systems that the platform integrates with and the extent of the integration</v>
      </c>
    </row>
    <row r="526" spans="1:14" ht="60">
      <c r="A526" s="138">
        <v>526</v>
      </c>
      <c r="B526" s="142">
        <v>7</v>
      </c>
      <c r="C526" s="142">
        <v>6</v>
      </c>
      <c r="D526" s="142">
        <v>240</v>
      </c>
      <c r="E526" s="142" t="s">
        <v>1843</v>
      </c>
      <c r="F526" s="142">
        <f>INDEX(SuiteCatSub!$E$2:$E$55,MATCH(_xlfn.CONCAT(B526,"-",C526),SuiteCatSub!$F$2:$F$55,0))</f>
        <v>52</v>
      </c>
      <c r="G526" s="142">
        <v>662</v>
      </c>
      <c r="H526" s="142">
        <f>VLOOKUP(G526,SuiteCatSubElem_Version!$I$2:$J$667,2,0)</f>
        <v>434</v>
      </c>
      <c r="I526" s="146" t="s">
        <v>1423</v>
      </c>
      <c r="J526" s="144" t="str">
        <f>VLOOKUP(B526,Categories!$A$2:$C$8,3,0)</f>
        <v>Conctract Lifecycle Management</v>
      </c>
      <c r="K526" s="147"/>
      <c r="L526" s="144" t="str">
        <f>VLOOKUP(C526,Subcategories!$A$2:$B$29,2,0)</f>
        <v>Configurability</v>
      </c>
      <c r="M526" s="144" t="str">
        <f>VLOOKUP(D526,Elements!$B$2:$C$435,2,0)</f>
        <v>Globalization</v>
      </c>
      <c r="N526" s="144" t="str">
        <f>VLOOKUP(H526,ElementVariants!$A$2:$B$460,2,0)</f>
        <v>If not already covered, please describe your approach to customized CLM process configuration as well as both basic and advanced workflow configuration (based upon an evaluation of the strategic nature of the contract the dollars involved, the industry, and/or regulatory controls that need to be adhered to)? Approaches could be based on users, departments, commodities, roles, content groups, approval steps, delegated approvals, custom fields/requirements, accounts, etc.</v>
      </c>
    </row>
    <row r="527" spans="1:14" ht="60">
      <c r="A527" s="138">
        <v>527</v>
      </c>
      <c r="B527" s="142">
        <v>7</v>
      </c>
      <c r="C527" s="142">
        <v>6</v>
      </c>
      <c r="D527" s="142">
        <v>241</v>
      </c>
      <c r="E527" s="142" t="s">
        <v>1844</v>
      </c>
      <c r="F527" s="142">
        <f>INDEX(SuiteCatSub!$E$2:$E$55,MATCH(_xlfn.CONCAT(B527,"-",C527),SuiteCatSub!$F$2:$F$55,0))</f>
        <v>52</v>
      </c>
      <c r="G527" s="142">
        <v>663</v>
      </c>
      <c r="H527" s="142">
        <f>VLOOKUP(G527,SuiteCatSubElem_Version!$I$2:$J$667,2,0)</f>
        <v>65</v>
      </c>
      <c r="I527" s="146" t="s">
        <v>1423</v>
      </c>
      <c r="J527" s="144" t="str">
        <f>VLOOKUP(B527,Categories!$A$2:$C$8,3,0)</f>
        <v>Conctract Lifecycle Management</v>
      </c>
      <c r="K527" s="147"/>
      <c r="L527" s="144" t="str">
        <f>VLOOKUP(C527,Subcategories!$A$2:$B$29,2,0)</f>
        <v>Configurability</v>
      </c>
      <c r="M527" s="144" t="str">
        <f>VLOOKUP(D527,Elements!$B$2:$C$435,2,0)</f>
        <v>Multi-Lingual</v>
      </c>
      <c r="N527" s="144" t="str">
        <f>VLOOKUP(H527,ElementVariants!$A$2:$B$460,2,0)</f>
        <v>Describe the elements, and extent of, workflow configuration across the modules and functionality and any integrated third party applications. Be sure to describe your competitive differentiators including, but not limited to, depth of configurability, breadth of configurability, and visual component manipulation. Is the rules/workflow capability native to your platform or is it a licensed third party capability?</v>
      </c>
    </row>
    <row r="528" spans="1:14" ht="60">
      <c r="A528" s="138">
        <v>528</v>
      </c>
      <c r="B528" s="142">
        <v>7</v>
      </c>
      <c r="C528" s="142">
        <v>8</v>
      </c>
      <c r="D528" s="142">
        <v>434</v>
      </c>
      <c r="E528" s="142" t="s">
        <v>1845</v>
      </c>
      <c r="F528" s="142">
        <f>INDEX(SuiteCatSub!$E$2:$E$55,MATCH(_xlfn.CONCAT(B528,"-",C528),SuiteCatSub!$F$2:$F$55,0))</f>
        <v>54</v>
      </c>
      <c r="G528" s="142">
        <v>664</v>
      </c>
      <c r="H528" s="142">
        <f>VLOOKUP(G528,SuiteCatSubElem_Version!$I$2:$J$667,2,0)</f>
        <v>240</v>
      </c>
      <c r="I528" s="146" t="s">
        <v>1423</v>
      </c>
      <c r="J528" s="144" t="str">
        <f>VLOOKUP(B528,Categories!$A$2:$C$8,3,0)</f>
        <v>Conctract Lifecycle Management</v>
      </c>
      <c r="K528" s="147"/>
      <c r="L528" s="144" t="str">
        <f>VLOOKUP(C528,Subcategories!$A$2:$B$29,2,0)</f>
        <v>General Services</v>
      </c>
      <c r="M528" s="144" t="str">
        <f>VLOOKUP(D528,Elements!$B$2:$C$435,2,0)</f>
        <v>General Services</v>
      </c>
      <c r="N528" s="144" t="str">
        <f>VLOOKUP(H528,ElementVariants!$A$2:$B$460,2,0)</f>
        <v>Describe the globalization capabilities, paying particular attention to capabilities beyond multi-currency and multi-lingual</v>
      </c>
    </row>
    <row r="529" spans="1:15" ht="224">
      <c r="A529" s="138">
        <v>529</v>
      </c>
      <c r="B529" s="144"/>
      <c r="C529" s="144"/>
      <c r="D529" s="144"/>
      <c r="E529" s="144"/>
      <c r="F529" s="144"/>
      <c r="G529" s="144"/>
      <c r="H529" s="144"/>
      <c r="I529" s="146"/>
      <c r="J529" s="139" t="s">
        <v>1398</v>
      </c>
      <c r="K529" s="140" t="s">
        <v>1398</v>
      </c>
      <c r="L529" s="140" t="s">
        <v>1420</v>
      </c>
      <c r="M529" s="140" t="s">
        <v>1421</v>
      </c>
      <c r="N529" s="140" t="s">
        <v>1306</v>
      </c>
      <c r="O529" s="143" t="s">
        <v>1422</v>
      </c>
    </row>
    <row r="530" spans="1:15" ht="28">
      <c r="A530" s="138">
        <v>530</v>
      </c>
      <c r="B530" s="144"/>
      <c r="C530" s="144"/>
      <c r="D530" s="144"/>
      <c r="E530" s="144"/>
      <c r="F530" s="144"/>
      <c r="G530" s="144"/>
      <c r="H530" s="144"/>
      <c r="I530" s="146"/>
      <c r="J530" s="139" t="s">
        <v>1398</v>
      </c>
      <c r="K530" s="140" t="s">
        <v>1398</v>
      </c>
      <c r="L530" s="140" t="s">
        <v>1420</v>
      </c>
      <c r="M530" s="145" t="s">
        <v>1307</v>
      </c>
      <c r="N530" s="145" t="s">
        <v>1307</v>
      </c>
      <c r="O530" s="144"/>
    </row>
    <row r="531" spans="1:15" ht="42">
      <c r="A531" s="138">
        <v>531</v>
      </c>
      <c r="B531" s="144"/>
      <c r="C531" s="144"/>
      <c r="D531" s="144"/>
      <c r="E531" s="144"/>
      <c r="F531" s="144"/>
      <c r="G531" s="144"/>
      <c r="H531" s="144"/>
      <c r="I531" s="146"/>
      <c r="J531" s="139" t="s">
        <v>1398</v>
      </c>
      <c r="K531" s="140" t="s">
        <v>1398</v>
      </c>
      <c r="L531" s="140" t="s">
        <v>1420</v>
      </c>
      <c r="M531" s="145" t="s">
        <v>1308</v>
      </c>
      <c r="N531" s="145" t="s">
        <v>1308</v>
      </c>
      <c r="O531" s="144"/>
    </row>
    <row r="532" spans="1:15" ht="28">
      <c r="A532" s="138">
        <v>532</v>
      </c>
      <c r="B532" s="144"/>
      <c r="C532" s="144"/>
      <c r="D532" s="144"/>
      <c r="E532" s="144"/>
      <c r="F532" s="144"/>
      <c r="G532" s="144"/>
      <c r="H532" s="144"/>
      <c r="I532" s="146"/>
      <c r="J532" s="139" t="s">
        <v>1398</v>
      </c>
      <c r="K532" s="140" t="s">
        <v>1398</v>
      </c>
      <c r="L532" s="140" t="s">
        <v>1420</v>
      </c>
      <c r="M532" s="145" t="s">
        <v>1309</v>
      </c>
      <c r="N532" s="145" t="s">
        <v>1309</v>
      </c>
      <c r="O532" s="144"/>
    </row>
    <row r="533" spans="1:15" ht="28">
      <c r="A533" s="138">
        <v>533</v>
      </c>
      <c r="B533" s="144"/>
      <c r="C533" s="144"/>
      <c r="D533" s="144"/>
      <c r="E533" s="144"/>
      <c r="F533" s="144"/>
      <c r="G533" s="144"/>
      <c r="H533" s="144"/>
      <c r="I533" s="146"/>
      <c r="J533" s="139" t="s">
        <v>1398</v>
      </c>
      <c r="K533" s="140" t="s">
        <v>1398</v>
      </c>
      <c r="L533" s="140" t="s">
        <v>1420</v>
      </c>
      <c r="M533" s="145" t="s">
        <v>1310</v>
      </c>
      <c r="N533" s="145" t="s">
        <v>1310</v>
      </c>
      <c r="O533" s="144"/>
    </row>
    <row r="534" spans="1:15" ht="28">
      <c r="A534" s="138">
        <v>534</v>
      </c>
      <c r="B534" s="144"/>
      <c r="C534" s="144"/>
      <c r="D534" s="144"/>
      <c r="E534" s="144"/>
      <c r="F534" s="144"/>
      <c r="G534" s="144"/>
      <c r="H534" s="144"/>
      <c r="I534" s="146"/>
      <c r="J534" s="139" t="s">
        <v>1398</v>
      </c>
      <c r="K534" s="140" t="s">
        <v>1398</v>
      </c>
      <c r="L534" s="140" t="s">
        <v>1420</v>
      </c>
      <c r="M534" s="145" t="s">
        <v>1311</v>
      </c>
      <c r="N534" s="145" t="s">
        <v>1311</v>
      </c>
      <c r="O534" s="144"/>
    </row>
    <row r="535" spans="1:15" ht="28">
      <c r="A535" s="138">
        <v>535</v>
      </c>
      <c r="B535" s="144"/>
      <c r="C535" s="144"/>
      <c r="D535" s="144"/>
      <c r="E535" s="144"/>
      <c r="F535" s="144"/>
      <c r="G535" s="144"/>
      <c r="H535" s="144"/>
      <c r="I535" s="146"/>
      <c r="J535" s="139" t="s">
        <v>1398</v>
      </c>
      <c r="K535" s="140" t="s">
        <v>1398</v>
      </c>
      <c r="L535" s="140" t="s">
        <v>1420</v>
      </c>
      <c r="M535" s="145" t="s">
        <v>1312</v>
      </c>
      <c r="N535" s="145" t="s">
        <v>1312</v>
      </c>
      <c r="O535" s="144"/>
    </row>
    <row r="536" spans="1:15" ht="42">
      <c r="A536" s="138">
        <v>536</v>
      </c>
      <c r="B536" s="144"/>
      <c r="C536" s="144"/>
      <c r="D536" s="144"/>
      <c r="E536" s="144"/>
      <c r="F536" s="144"/>
      <c r="G536" s="144"/>
      <c r="H536" s="144"/>
      <c r="I536" s="146"/>
      <c r="J536" s="139" t="s">
        <v>1398</v>
      </c>
      <c r="K536" s="140" t="s">
        <v>1398</v>
      </c>
      <c r="L536" s="140" t="s">
        <v>1420</v>
      </c>
      <c r="M536" s="145" t="s">
        <v>1314</v>
      </c>
      <c r="N536" s="145" t="s">
        <v>1314</v>
      </c>
      <c r="O536" s="144"/>
    </row>
    <row r="537" spans="1:15" ht="28">
      <c r="A537" s="138">
        <v>537</v>
      </c>
      <c r="B537" s="144"/>
      <c r="C537" s="144"/>
      <c r="D537" s="144"/>
      <c r="E537" s="144"/>
      <c r="F537" s="144"/>
      <c r="G537" s="144"/>
      <c r="H537" s="144"/>
      <c r="I537" s="146"/>
      <c r="J537" s="139" t="s">
        <v>1398</v>
      </c>
      <c r="K537" s="140" t="s">
        <v>1398</v>
      </c>
      <c r="L537" s="140" t="s">
        <v>1420</v>
      </c>
      <c r="M537" s="145" t="s">
        <v>1315</v>
      </c>
      <c r="N537" s="145" t="s">
        <v>1315</v>
      </c>
      <c r="O537" s="144"/>
    </row>
    <row r="538" spans="1:15" ht="28">
      <c r="A538" s="138">
        <v>538</v>
      </c>
      <c r="B538" s="144"/>
      <c r="C538" s="144"/>
      <c r="D538" s="144"/>
      <c r="E538" s="144"/>
      <c r="F538" s="144"/>
      <c r="G538" s="144"/>
      <c r="H538" s="144"/>
      <c r="I538" s="146"/>
      <c r="J538" s="139" t="s">
        <v>1398</v>
      </c>
      <c r="K538" s="140" t="s">
        <v>1398</v>
      </c>
      <c r="L538" s="140" t="s">
        <v>1420</v>
      </c>
      <c r="M538" s="145" t="s">
        <v>1316</v>
      </c>
      <c r="N538" s="145" t="s">
        <v>1316</v>
      </c>
      <c r="O538" s="144"/>
    </row>
    <row r="539" spans="1:15" ht="28">
      <c r="A539" s="138">
        <v>539</v>
      </c>
      <c r="B539" s="144"/>
      <c r="C539" s="144"/>
      <c r="D539" s="144"/>
      <c r="E539" s="144"/>
      <c r="F539" s="144"/>
      <c r="G539" s="144"/>
      <c r="H539" s="144"/>
      <c r="I539" s="146"/>
      <c r="J539" s="139" t="s">
        <v>1398</v>
      </c>
      <c r="K539" s="140" t="s">
        <v>1398</v>
      </c>
      <c r="L539" s="140" t="s">
        <v>1420</v>
      </c>
      <c r="M539" s="145" t="s">
        <v>1317</v>
      </c>
      <c r="N539" s="145" t="s">
        <v>1317</v>
      </c>
      <c r="O539" s="144"/>
    </row>
    <row r="540" spans="1:15" ht="28">
      <c r="A540" s="138">
        <v>540</v>
      </c>
      <c r="B540" s="144"/>
      <c r="C540" s="144"/>
      <c r="D540" s="144"/>
      <c r="E540" s="144"/>
      <c r="F540" s="144"/>
      <c r="G540" s="144"/>
      <c r="H540" s="144"/>
      <c r="I540" s="146"/>
      <c r="J540" s="139" t="s">
        <v>1398</v>
      </c>
      <c r="K540" s="140" t="s">
        <v>1398</v>
      </c>
      <c r="L540" s="140" t="s">
        <v>1420</v>
      </c>
      <c r="M540" s="145" t="s">
        <v>1318</v>
      </c>
      <c r="N540" s="145" t="s">
        <v>1318</v>
      </c>
      <c r="O540" s="144"/>
    </row>
    <row r="541" spans="1:15" ht="42">
      <c r="A541" s="138">
        <v>541</v>
      </c>
      <c r="B541" s="144"/>
      <c r="C541" s="144"/>
      <c r="D541" s="144"/>
      <c r="E541" s="144"/>
      <c r="F541" s="144"/>
      <c r="G541" s="144"/>
      <c r="H541" s="144"/>
      <c r="I541" s="146"/>
      <c r="J541" s="139" t="s">
        <v>1398</v>
      </c>
      <c r="K541" s="140" t="s">
        <v>1398</v>
      </c>
      <c r="L541" s="140" t="s">
        <v>1420</v>
      </c>
      <c r="M541" s="145" t="s">
        <v>1319</v>
      </c>
      <c r="N541" s="145" t="s">
        <v>1319</v>
      </c>
      <c r="O541" s="144"/>
    </row>
    <row r="542" spans="1:15" ht="28">
      <c r="A542" s="138">
        <v>542</v>
      </c>
      <c r="B542" s="144"/>
      <c r="C542" s="144"/>
      <c r="D542" s="144"/>
      <c r="E542" s="144"/>
      <c r="F542" s="144"/>
      <c r="G542" s="144"/>
      <c r="H542" s="144"/>
      <c r="I542" s="146"/>
      <c r="J542" s="139" t="s">
        <v>1398</v>
      </c>
      <c r="K542" s="140" t="s">
        <v>1398</v>
      </c>
      <c r="L542" s="140" t="s">
        <v>1420</v>
      </c>
      <c r="M542" s="145" t="s">
        <v>1320</v>
      </c>
      <c r="N542" s="145" t="s">
        <v>1320</v>
      </c>
      <c r="O542" s="144"/>
    </row>
    <row r="543" spans="1:15" ht="28">
      <c r="A543" s="138">
        <v>543</v>
      </c>
      <c r="B543" s="144"/>
      <c r="C543" s="144"/>
      <c r="D543" s="144"/>
      <c r="E543" s="144"/>
      <c r="F543" s="144"/>
      <c r="G543" s="144"/>
      <c r="H543" s="144"/>
      <c r="I543" s="146"/>
      <c r="J543" s="139" t="s">
        <v>1398</v>
      </c>
      <c r="K543" s="140" t="s">
        <v>1398</v>
      </c>
      <c r="L543" s="140" t="s">
        <v>1420</v>
      </c>
      <c r="M543" s="145" t="s">
        <v>1324</v>
      </c>
      <c r="N543" s="145" t="s">
        <v>1324</v>
      </c>
      <c r="O543" s="144"/>
    </row>
    <row r="544" spans="1:15" ht="28">
      <c r="A544" s="138">
        <v>544</v>
      </c>
      <c r="B544" s="144"/>
      <c r="C544" s="144"/>
      <c r="D544" s="144"/>
      <c r="E544" s="144"/>
      <c r="F544" s="144"/>
      <c r="G544" s="144"/>
      <c r="H544" s="144"/>
      <c r="I544" s="146"/>
      <c r="J544" s="139" t="s">
        <v>1398</v>
      </c>
      <c r="K544" s="140" t="s">
        <v>1398</v>
      </c>
      <c r="L544" s="140" t="s">
        <v>1420</v>
      </c>
      <c r="M544" s="145" t="s">
        <v>1325</v>
      </c>
      <c r="N544" s="145" t="s">
        <v>1325</v>
      </c>
      <c r="O544" s="144"/>
    </row>
    <row r="545" spans="1:15" ht="56">
      <c r="A545" s="138">
        <v>545</v>
      </c>
      <c r="B545" s="144"/>
      <c r="C545" s="144"/>
      <c r="D545" s="144"/>
      <c r="E545" s="144"/>
      <c r="F545" s="144"/>
      <c r="G545" s="144"/>
      <c r="H545" s="144"/>
      <c r="I545" s="146"/>
      <c r="J545" s="139" t="s">
        <v>1398</v>
      </c>
      <c r="K545" s="140" t="s">
        <v>1398</v>
      </c>
      <c r="L545" s="140" t="s">
        <v>1420</v>
      </c>
      <c r="M545" s="145" t="s">
        <v>1323</v>
      </c>
      <c r="N545" s="145" t="s">
        <v>1323</v>
      </c>
      <c r="O545" s="144"/>
    </row>
    <row r="546" spans="1:15" ht="42">
      <c r="A546" s="138">
        <v>546</v>
      </c>
      <c r="B546" s="144"/>
      <c r="C546" s="144"/>
      <c r="D546" s="144"/>
      <c r="E546" s="144"/>
      <c r="F546" s="144"/>
      <c r="G546" s="144"/>
      <c r="H546" s="144"/>
      <c r="I546" s="146"/>
      <c r="J546" s="139" t="s">
        <v>1398</v>
      </c>
      <c r="K546" s="140" t="s">
        <v>1398</v>
      </c>
      <c r="L546" s="140" t="s">
        <v>1420</v>
      </c>
      <c r="M546" s="145" t="s">
        <v>1326</v>
      </c>
      <c r="N546" s="145" t="s">
        <v>1326</v>
      </c>
      <c r="O546" s="144"/>
    </row>
    <row r="547" spans="1:15" ht="28">
      <c r="A547" s="138">
        <v>547</v>
      </c>
      <c r="B547" s="144"/>
      <c r="C547" s="144"/>
      <c r="D547" s="144"/>
      <c r="E547" s="144"/>
      <c r="F547" s="144"/>
      <c r="G547" s="144"/>
      <c r="H547" s="144"/>
      <c r="I547" s="146"/>
      <c r="J547" s="139" t="s">
        <v>1398</v>
      </c>
      <c r="K547" s="140" t="s">
        <v>1398</v>
      </c>
      <c r="L547" s="140" t="s">
        <v>1420</v>
      </c>
      <c r="M547" s="145" t="s">
        <v>1327</v>
      </c>
      <c r="N547" s="145" t="s">
        <v>1327</v>
      </c>
      <c r="O547" s="144"/>
    </row>
    <row r="548" spans="1:15" ht="28">
      <c r="A548" s="138">
        <v>548</v>
      </c>
      <c r="B548" s="144"/>
      <c r="C548" s="144"/>
      <c r="D548" s="144"/>
      <c r="E548" s="144"/>
      <c r="F548" s="144"/>
      <c r="G548" s="144"/>
      <c r="H548" s="144"/>
      <c r="I548" s="146"/>
      <c r="J548" s="139" t="s">
        <v>1398</v>
      </c>
      <c r="K548" s="140" t="s">
        <v>1398</v>
      </c>
      <c r="L548" s="140" t="s">
        <v>1420</v>
      </c>
      <c r="M548" s="145" t="s">
        <v>1328</v>
      </c>
      <c r="N548" s="145" t="s">
        <v>1328</v>
      </c>
      <c r="O548" s="144"/>
    </row>
    <row r="549" spans="1:15" ht="28">
      <c r="A549" s="138">
        <v>549</v>
      </c>
      <c r="B549" s="144"/>
      <c r="C549" s="144"/>
      <c r="D549" s="144"/>
      <c r="E549" s="144"/>
      <c r="F549" s="144"/>
      <c r="G549" s="144"/>
      <c r="H549" s="144"/>
      <c r="I549" s="146"/>
      <c r="J549" s="139" t="s">
        <v>1398</v>
      </c>
      <c r="K549" s="140" t="s">
        <v>1398</v>
      </c>
      <c r="L549" s="140" t="s">
        <v>1420</v>
      </c>
      <c r="M549" s="145" t="s">
        <v>1329</v>
      </c>
      <c r="N549" s="145" t="s">
        <v>1329</v>
      </c>
      <c r="O549" s="144"/>
    </row>
    <row r="550" spans="1:15" ht="28">
      <c r="A550" s="138">
        <v>550</v>
      </c>
      <c r="B550" s="144"/>
      <c r="C550" s="144"/>
      <c r="D550" s="144"/>
      <c r="E550" s="144"/>
      <c r="F550" s="144"/>
      <c r="G550" s="144"/>
      <c r="H550" s="144"/>
      <c r="I550" s="146"/>
      <c r="J550" s="139" t="s">
        <v>1398</v>
      </c>
      <c r="K550" s="140" t="s">
        <v>1398</v>
      </c>
      <c r="L550" s="140" t="s">
        <v>1420</v>
      </c>
      <c r="M550" s="145" t="s">
        <v>10</v>
      </c>
      <c r="N550" s="145" t="s">
        <v>10</v>
      </c>
      <c r="O550" s="144"/>
    </row>
    <row r="551" spans="1:15" ht="28">
      <c r="A551" s="138">
        <v>551</v>
      </c>
      <c r="B551" s="144"/>
      <c r="C551" s="144"/>
      <c r="D551" s="144"/>
      <c r="E551" s="144"/>
      <c r="F551" s="144"/>
      <c r="G551" s="144"/>
      <c r="H551" s="144"/>
      <c r="I551" s="146"/>
      <c r="J551" s="139" t="s">
        <v>1398</v>
      </c>
      <c r="K551" s="140" t="s">
        <v>1398</v>
      </c>
      <c r="L551" s="140" t="s">
        <v>1420</v>
      </c>
      <c r="M551" s="145" t="s">
        <v>1330</v>
      </c>
      <c r="N551" s="145" t="s">
        <v>1330</v>
      </c>
      <c r="O551" s="144"/>
    </row>
    <row r="552" spans="1:15">
      <c r="A552" s="144"/>
      <c r="B552" s="144"/>
      <c r="C552" s="144"/>
      <c r="D552" s="144"/>
      <c r="E552" s="144"/>
      <c r="F552" s="144"/>
      <c r="G552" s="144"/>
      <c r="H552" s="144"/>
      <c r="I552" s="146"/>
      <c r="J552" s="144"/>
      <c r="K552" s="144"/>
      <c r="L552" s="144"/>
      <c r="M552" s="144"/>
      <c r="N552" s="144"/>
    </row>
    <row r="553" spans="1:15">
      <c r="A553" s="144"/>
      <c r="B553" s="144"/>
      <c r="C553" s="144"/>
      <c r="D553" s="144"/>
      <c r="E553" s="144"/>
      <c r="F553" s="144"/>
      <c r="G553" s="144"/>
      <c r="H553" s="144"/>
      <c r="I553" s="146"/>
      <c r="J553" s="144"/>
      <c r="K553" s="144"/>
      <c r="L553" s="144"/>
      <c r="M553" s="144"/>
      <c r="N553" s="144"/>
    </row>
    <row r="554" spans="1:15">
      <c r="A554" s="144"/>
      <c r="B554" s="144"/>
      <c r="C554" s="144"/>
      <c r="D554" s="144"/>
      <c r="E554" s="144"/>
      <c r="F554" s="144"/>
      <c r="G554" s="144"/>
      <c r="H554" s="144"/>
      <c r="I554" s="146"/>
      <c r="J554" s="144"/>
      <c r="K554" s="144"/>
      <c r="L554" s="144"/>
      <c r="M554" s="144"/>
      <c r="N554" s="144"/>
    </row>
    <row r="555" spans="1:15">
      <c r="A555" s="144"/>
      <c r="B555" s="144"/>
      <c r="C555" s="144"/>
      <c r="D555" s="144"/>
      <c r="E555" s="144"/>
      <c r="F555" s="144"/>
      <c r="G555" s="144"/>
      <c r="H555" s="144"/>
      <c r="I555" s="146"/>
      <c r="J555" s="144"/>
      <c r="K555" s="144"/>
      <c r="L555" s="144"/>
      <c r="M555" s="144"/>
      <c r="N555" s="144"/>
    </row>
    <row r="556" spans="1:15">
      <c r="A556" s="144"/>
      <c r="B556" s="144"/>
      <c r="C556" s="144"/>
      <c r="D556" s="144"/>
      <c r="E556" s="144"/>
      <c r="F556" s="144"/>
      <c r="G556" s="144"/>
      <c r="H556" s="144"/>
      <c r="I556" s="146"/>
      <c r="J556" s="144"/>
      <c r="K556" s="144"/>
      <c r="L556" s="144"/>
      <c r="M556" s="144"/>
      <c r="N556" s="144"/>
    </row>
    <row r="557" spans="1:15">
      <c r="A557" s="144"/>
      <c r="B557" s="144"/>
      <c r="C557" s="144"/>
      <c r="D557" s="144"/>
      <c r="E557" s="144"/>
      <c r="F557" s="144"/>
      <c r="G557" s="144"/>
      <c r="H557" s="144"/>
      <c r="I557" s="146"/>
      <c r="J557" s="144"/>
      <c r="K557" s="144"/>
      <c r="L557" s="144"/>
      <c r="M557" s="144"/>
      <c r="N557" s="144"/>
    </row>
    <row r="558" spans="1:15">
      <c r="A558" s="144"/>
      <c r="B558" s="144"/>
      <c r="C558" s="144"/>
      <c r="D558" s="144"/>
      <c r="E558" s="144"/>
      <c r="F558" s="144"/>
      <c r="G558" s="144"/>
      <c r="H558" s="144"/>
      <c r="I558" s="146"/>
      <c r="J558" s="144"/>
      <c r="K558" s="144"/>
      <c r="L558" s="144"/>
      <c r="M558" s="144"/>
      <c r="N558" s="144"/>
    </row>
    <row r="559" spans="1:15">
      <c r="A559" s="144"/>
      <c r="B559" s="144"/>
      <c r="C559" s="144"/>
      <c r="D559" s="144"/>
      <c r="E559" s="144"/>
      <c r="F559" s="144"/>
      <c r="G559" s="144"/>
      <c r="H559" s="144"/>
      <c r="I559" s="146"/>
      <c r="J559" s="144"/>
      <c r="K559" s="144"/>
      <c r="L559" s="144"/>
      <c r="M559" s="144"/>
      <c r="N559" s="144"/>
    </row>
    <row r="560" spans="1:15">
      <c r="A560" s="144"/>
      <c r="B560" s="144"/>
      <c r="C560" s="144"/>
      <c r="D560" s="144"/>
      <c r="E560" s="144"/>
      <c r="F560" s="144"/>
      <c r="G560" s="144"/>
      <c r="H560" s="144"/>
      <c r="I560" s="146"/>
      <c r="J560" s="144"/>
      <c r="K560" s="144"/>
      <c r="L560" s="144"/>
      <c r="M560" s="144"/>
      <c r="N560" s="144"/>
    </row>
    <row r="561" spans="1:14">
      <c r="A561" s="144"/>
      <c r="B561" s="144"/>
      <c r="C561" s="144"/>
      <c r="D561" s="144"/>
      <c r="E561" s="144"/>
      <c r="F561" s="144"/>
      <c r="G561" s="144"/>
      <c r="H561" s="144"/>
      <c r="I561" s="146"/>
      <c r="J561" s="144"/>
      <c r="K561" s="144"/>
      <c r="L561" s="144"/>
      <c r="M561" s="144"/>
      <c r="N561" s="144"/>
    </row>
    <row r="562" spans="1:14">
      <c r="A562" s="144"/>
      <c r="B562" s="144"/>
      <c r="C562" s="144"/>
      <c r="D562" s="144"/>
      <c r="E562" s="144"/>
      <c r="F562" s="144"/>
      <c r="G562" s="144"/>
      <c r="H562" s="144"/>
      <c r="I562" s="146"/>
      <c r="J562" s="144"/>
      <c r="K562" s="144"/>
      <c r="L562" s="144"/>
      <c r="M562" s="144"/>
      <c r="N562" s="144"/>
    </row>
    <row r="563" spans="1:14">
      <c r="A563" s="144"/>
      <c r="B563" s="144"/>
      <c r="C563" s="144"/>
      <c r="D563" s="144"/>
      <c r="E563" s="144"/>
      <c r="F563" s="144"/>
      <c r="G563" s="144"/>
      <c r="H563" s="144"/>
      <c r="I563" s="146"/>
      <c r="J563" s="144"/>
      <c r="K563" s="144"/>
      <c r="L563" s="144"/>
      <c r="M563" s="144"/>
      <c r="N563" s="144"/>
    </row>
    <row r="564" spans="1:14">
      <c r="A564" s="144"/>
      <c r="B564" s="144"/>
      <c r="C564" s="144"/>
      <c r="D564" s="144"/>
      <c r="E564" s="144"/>
      <c r="F564" s="144"/>
      <c r="G564" s="144"/>
      <c r="H564" s="144"/>
      <c r="I564" s="146"/>
      <c r="J564" s="144"/>
      <c r="K564" s="144"/>
      <c r="L564" s="144"/>
      <c r="M564" s="144"/>
      <c r="N564" s="144"/>
    </row>
    <row r="565" spans="1:14">
      <c r="A565" s="144"/>
      <c r="B565" s="144"/>
      <c r="C565" s="144"/>
      <c r="D565" s="144"/>
      <c r="E565" s="144"/>
      <c r="F565" s="144"/>
      <c r="G565" s="144"/>
      <c r="H565" s="144"/>
      <c r="I565" s="146"/>
      <c r="J565" s="144"/>
      <c r="K565" s="144"/>
      <c r="L565" s="144"/>
      <c r="M565" s="144"/>
      <c r="N565" s="144"/>
    </row>
    <row r="566" spans="1:14">
      <c r="A566" s="144"/>
      <c r="B566" s="144"/>
      <c r="C566" s="144"/>
      <c r="D566" s="144"/>
      <c r="E566" s="144"/>
      <c r="F566" s="144"/>
      <c r="G566" s="144"/>
      <c r="H566" s="144"/>
      <c r="I566" s="146"/>
      <c r="J566" s="144"/>
      <c r="K566" s="144"/>
      <c r="L566" s="144"/>
      <c r="M566" s="144"/>
      <c r="N566" s="144"/>
    </row>
    <row r="567" spans="1:14">
      <c r="A567" s="144"/>
      <c r="B567" s="144"/>
      <c r="C567" s="144"/>
      <c r="D567" s="144"/>
      <c r="E567" s="144"/>
      <c r="F567" s="144"/>
      <c r="G567" s="144"/>
      <c r="H567" s="144"/>
      <c r="I567" s="146"/>
      <c r="J567" s="144"/>
      <c r="K567" s="144"/>
      <c r="L567" s="144"/>
      <c r="M567" s="144"/>
      <c r="N567" s="144"/>
    </row>
    <row r="568" spans="1:14">
      <c r="A568" s="144"/>
      <c r="B568" s="144"/>
      <c r="C568" s="144"/>
      <c r="D568" s="144"/>
      <c r="E568" s="144"/>
      <c r="F568" s="144"/>
      <c r="G568" s="144"/>
      <c r="H568" s="144"/>
      <c r="I568" s="146"/>
      <c r="J568" s="144"/>
      <c r="K568" s="144"/>
      <c r="L568" s="144"/>
      <c r="M568" s="144"/>
      <c r="N568" s="144"/>
    </row>
    <row r="569" spans="1:14">
      <c r="A569" s="144"/>
      <c r="B569" s="144"/>
      <c r="C569" s="144"/>
      <c r="D569" s="144"/>
      <c r="E569" s="144"/>
      <c r="F569" s="144"/>
      <c r="G569" s="144"/>
      <c r="H569" s="144"/>
      <c r="I569" s="146"/>
      <c r="J569" s="144"/>
      <c r="K569" s="144"/>
      <c r="L569" s="144"/>
      <c r="M569" s="144"/>
      <c r="N569" s="144"/>
    </row>
    <row r="570" spans="1:14">
      <c r="A570" s="144"/>
      <c r="B570" s="144"/>
      <c r="C570" s="144"/>
      <c r="D570" s="144"/>
      <c r="E570" s="144"/>
      <c r="F570" s="144"/>
      <c r="G570" s="144"/>
      <c r="H570" s="144"/>
      <c r="I570" s="146"/>
      <c r="J570" s="144"/>
      <c r="K570" s="144"/>
      <c r="L570" s="144"/>
      <c r="M570" s="144"/>
      <c r="N570" s="144"/>
    </row>
    <row r="571" spans="1:14">
      <c r="A571" s="144"/>
      <c r="B571" s="144"/>
      <c r="C571" s="144"/>
      <c r="D571" s="144"/>
      <c r="E571" s="144"/>
      <c r="F571" s="144"/>
      <c r="G571" s="144"/>
      <c r="H571" s="144"/>
      <c r="I571" s="146"/>
      <c r="J571" s="144"/>
      <c r="K571" s="144"/>
      <c r="L571" s="144"/>
      <c r="M571" s="144"/>
      <c r="N571" s="144"/>
    </row>
    <row r="572" spans="1:14">
      <c r="A572" s="144"/>
      <c r="B572" s="144"/>
      <c r="C572" s="144"/>
      <c r="D572" s="144"/>
      <c r="E572" s="144"/>
      <c r="F572" s="144"/>
      <c r="G572" s="144"/>
      <c r="H572" s="144"/>
      <c r="I572" s="146"/>
      <c r="J572" s="144"/>
      <c r="K572" s="144"/>
      <c r="L572" s="144"/>
      <c r="M572" s="144"/>
      <c r="N572" s="144"/>
    </row>
    <row r="573" spans="1:14">
      <c r="A573" s="144"/>
      <c r="B573" s="144"/>
      <c r="C573" s="144"/>
      <c r="D573" s="144"/>
      <c r="E573" s="144"/>
      <c r="F573" s="144"/>
      <c r="G573" s="144"/>
      <c r="H573" s="144"/>
      <c r="I573" s="146"/>
      <c r="J573" s="144"/>
      <c r="K573" s="144"/>
      <c r="L573" s="144"/>
      <c r="M573" s="144"/>
      <c r="N573" s="144"/>
    </row>
    <row r="574" spans="1:14">
      <c r="A574" s="144"/>
      <c r="B574" s="144"/>
      <c r="C574" s="144"/>
      <c r="D574" s="144"/>
      <c r="E574" s="144"/>
      <c r="F574" s="144"/>
      <c r="G574" s="144"/>
      <c r="H574" s="144"/>
      <c r="I574" s="146"/>
      <c r="J574" s="144"/>
      <c r="K574" s="144"/>
      <c r="L574" s="144"/>
      <c r="M574" s="144"/>
      <c r="N574" s="144"/>
    </row>
    <row r="575" spans="1:14">
      <c r="A575" s="144"/>
      <c r="B575" s="144"/>
      <c r="C575" s="144"/>
      <c r="D575" s="144"/>
      <c r="E575" s="144"/>
      <c r="F575" s="144"/>
      <c r="G575" s="144"/>
      <c r="H575" s="144"/>
      <c r="I575" s="146"/>
      <c r="J575" s="144"/>
      <c r="K575" s="144"/>
      <c r="L575" s="144"/>
      <c r="M575" s="144"/>
      <c r="N575" s="144"/>
    </row>
    <row r="576" spans="1:14">
      <c r="A576" s="144"/>
      <c r="B576" s="144"/>
      <c r="C576" s="144"/>
      <c r="D576" s="144"/>
      <c r="E576" s="144"/>
      <c r="F576" s="144"/>
      <c r="G576" s="144"/>
      <c r="H576" s="144"/>
      <c r="I576" s="146"/>
      <c r="J576" s="144"/>
      <c r="K576" s="144"/>
      <c r="L576" s="144"/>
      <c r="M576" s="144"/>
      <c r="N576" s="144"/>
    </row>
    <row r="577" spans="1:14">
      <c r="A577" s="144"/>
      <c r="B577" s="144"/>
      <c r="C577" s="144"/>
      <c r="D577" s="144"/>
      <c r="E577" s="144"/>
      <c r="F577" s="144"/>
      <c r="G577" s="144"/>
      <c r="H577" s="144"/>
      <c r="I577" s="146"/>
      <c r="J577" s="144"/>
      <c r="K577" s="144"/>
      <c r="L577" s="144"/>
      <c r="M577" s="144"/>
      <c r="N577" s="144"/>
    </row>
    <row r="578" spans="1:14">
      <c r="A578" s="144"/>
      <c r="B578" s="144"/>
      <c r="C578" s="144"/>
      <c r="D578" s="144"/>
      <c r="E578" s="144"/>
      <c r="F578" s="144"/>
      <c r="G578" s="144"/>
      <c r="H578" s="144"/>
      <c r="I578" s="146"/>
      <c r="J578" s="144"/>
      <c r="K578" s="144"/>
      <c r="L578" s="144"/>
      <c r="M578" s="144"/>
      <c r="N578" s="144"/>
    </row>
    <row r="579" spans="1:14">
      <c r="A579" s="144"/>
      <c r="B579" s="144"/>
      <c r="C579" s="144"/>
      <c r="D579" s="144"/>
      <c r="E579" s="144"/>
      <c r="F579" s="144"/>
      <c r="G579" s="144"/>
      <c r="H579" s="144"/>
      <c r="I579" s="146"/>
      <c r="J579" s="144"/>
      <c r="K579" s="144"/>
      <c r="L579" s="144"/>
      <c r="M579" s="144"/>
      <c r="N579" s="144"/>
    </row>
    <row r="580" spans="1:14">
      <c r="A580" s="144"/>
      <c r="B580" s="144"/>
      <c r="C580" s="144"/>
      <c r="D580" s="144"/>
      <c r="E580" s="144"/>
      <c r="F580" s="144"/>
      <c r="G580" s="144"/>
      <c r="H580" s="144"/>
      <c r="I580" s="146"/>
      <c r="J580" s="144"/>
      <c r="K580" s="144"/>
      <c r="L580" s="144"/>
      <c r="M580" s="144"/>
      <c r="N580" s="144"/>
    </row>
    <row r="581" spans="1:14">
      <c r="A581" s="144"/>
      <c r="B581" s="144"/>
      <c r="C581" s="144"/>
      <c r="D581" s="144"/>
      <c r="E581" s="144"/>
      <c r="F581" s="144"/>
      <c r="G581" s="144"/>
      <c r="H581" s="144"/>
      <c r="I581" s="146"/>
      <c r="J581" s="144"/>
      <c r="K581" s="144"/>
      <c r="L581" s="144"/>
      <c r="M581" s="144"/>
      <c r="N581" s="144"/>
    </row>
    <row r="582" spans="1:14">
      <c r="A582" s="144"/>
      <c r="B582" s="144"/>
      <c r="C582" s="144"/>
      <c r="D582" s="144"/>
      <c r="E582" s="144"/>
      <c r="F582" s="144"/>
      <c r="G582" s="144"/>
      <c r="H582" s="144"/>
      <c r="I582" s="146"/>
      <c r="J582" s="144"/>
      <c r="K582" s="144"/>
      <c r="L582" s="144"/>
      <c r="M582" s="144"/>
      <c r="N582" s="144"/>
    </row>
    <row r="583" spans="1:14">
      <c r="A583" s="144"/>
      <c r="B583" s="144"/>
      <c r="C583" s="144"/>
      <c r="D583" s="144"/>
      <c r="E583" s="144"/>
      <c r="F583" s="144"/>
      <c r="G583" s="144"/>
      <c r="H583" s="144"/>
      <c r="I583" s="146"/>
      <c r="J583" s="144"/>
      <c r="K583" s="144"/>
      <c r="L583" s="144"/>
      <c r="M583" s="144"/>
      <c r="N583" s="144"/>
    </row>
    <row r="584" spans="1:14">
      <c r="A584" s="144"/>
      <c r="B584" s="144"/>
      <c r="C584" s="144"/>
      <c r="D584" s="144"/>
      <c r="E584" s="144"/>
      <c r="F584" s="144"/>
      <c r="G584" s="144"/>
      <c r="H584" s="144"/>
      <c r="I584" s="146"/>
      <c r="J584" s="144"/>
      <c r="K584" s="144"/>
      <c r="L584" s="144"/>
      <c r="M584" s="144"/>
      <c r="N584" s="144"/>
    </row>
    <row r="585" spans="1:14">
      <c r="A585" s="144"/>
      <c r="B585" s="144"/>
      <c r="C585" s="144"/>
      <c r="D585" s="144"/>
      <c r="E585" s="144"/>
      <c r="F585" s="144"/>
      <c r="G585" s="144"/>
      <c r="H585" s="144"/>
      <c r="I585" s="146"/>
      <c r="J585" s="144"/>
      <c r="K585" s="144"/>
      <c r="L585" s="144"/>
      <c r="M585" s="144"/>
      <c r="N585" s="144"/>
    </row>
    <row r="586" spans="1:14">
      <c r="A586" s="144"/>
      <c r="B586" s="144"/>
      <c r="C586" s="144"/>
      <c r="D586" s="144"/>
      <c r="E586" s="144"/>
      <c r="F586" s="144"/>
      <c r="G586" s="144"/>
      <c r="H586" s="144"/>
      <c r="I586" s="146"/>
      <c r="J586" s="144"/>
      <c r="K586" s="144"/>
      <c r="L586" s="144"/>
      <c r="M586" s="144"/>
      <c r="N586" s="144"/>
    </row>
    <row r="587" spans="1:14">
      <c r="A587" s="144"/>
      <c r="B587" s="144"/>
      <c r="C587" s="144"/>
      <c r="D587" s="144"/>
      <c r="E587" s="144"/>
      <c r="F587" s="144"/>
      <c r="G587" s="144"/>
      <c r="H587" s="144"/>
      <c r="I587" s="146"/>
      <c r="J587" s="144"/>
      <c r="K587" s="144"/>
      <c r="L587" s="144"/>
      <c r="M587" s="144"/>
      <c r="N587" s="144"/>
    </row>
    <row r="588" spans="1:14">
      <c r="A588" s="144"/>
      <c r="B588" s="144"/>
      <c r="C588" s="144"/>
      <c r="D588" s="144"/>
      <c r="E588" s="144"/>
      <c r="F588" s="144"/>
      <c r="G588" s="144"/>
      <c r="H588" s="144"/>
      <c r="I588" s="146"/>
      <c r="J588" s="144"/>
      <c r="K588" s="144"/>
      <c r="L588" s="144"/>
      <c r="M588" s="144"/>
      <c r="N588" s="144"/>
    </row>
    <row r="589" spans="1:14">
      <c r="A589" s="144"/>
      <c r="B589" s="144"/>
      <c r="C589" s="144"/>
      <c r="D589" s="144"/>
      <c r="E589" s="144"/>
      <c r="F589" s="144"/>
      <c r="G589" s="144"/>
      <c r="H589" s="144"/>
      <c r="I589" s="146"/>
      <c r="J589" s="144"/>
      <c r="K589" s="144"/>
      <c r="L589" s="144"/>
      <c r="M589" s="144"/>
      <c r="N589" s="144"/>
    </row>
    <row r="590" spans="1:14">
      <c r="A590" s="144"/>
      <c r="B590" s="144"/>
      <c r="C590" s="144"/>
      <c r="D590" s="144"/>
      <c r="E590" s="144"/>
      <c r="F590" s="144"/>
      <c r="G590" s="144"/>
      <c r="H590" s="144"/>
      <c r="I590" s="146"/>
      <c r="J590" s="144"/>
      <c r="K590" s="144"/>
      <c r="L590" s="144"/>
      <c r="M590" s="144"/>
      <c r="N590" s="144"/>
    </row>
    <row r="591" spans="1:14">
      <c r="A591" s="144"/>
      <c r="B591" s="144"/>
      <c r="C591" s="144"/>
      <c r="D591" s="144"/>
      <c r="E591" s="144"/>
      <c r="F591" s="144"/>
      <c r="G591" s="144"/>
      <c r="H591" s="144"/>
      <c r="I591" s="146"/>
      <c r="J591" s="144"/>
      <c r="K591" s="144"/>
      <c r="L591" s="144"/>
      <c r="M591" s="144"/>
      <c r="N591" s="144"/>
    </row>
    <row r="592" spans="1:14">
      <c r="A592" s="144"/>
      <c r="B592" s="144"/>
      <c r="C592" s="144"/>
      <c r="D592" s="144"/>
      <c r="E592" s="144"/>
      <c r="F592" s="144"/>
      <c r="G592" s="144"/>
      <c r="H592" s="144"/>
      <c r="I592" s="146"/>
      <c r="J592" s="144"/>
      <c r="K592" s="144"/>
      <c r="L592" s="144"/>
      <c r="M592" s="144"/>
      <c r="N592" s="144"/>
    </row>
    <row r="593" spans="1:14">
      <c r="A593" s="144"/>
      <c r="B593" s="144"/>
      <c r="C593" s="144"/>
      <c r="D593" s="144"/>
      <c r="E593" s="144"/>
      <c r="F593" s="144"/>
      <c r="G593" s="144"/>
      <c r="H593" s="144"/>
      <c r="I593" s="146"/>
      <c r="J593" s="144"/>
      <c r="K593" s="144"/>
      <c r="L593" s="144"/>
      <c r="M593" s="144"/>
      <c r="N593" s="144"/>
    </row>
    <row r="594" spans="1:14">
      <c r="A594" s="144"/>
      <c r="B594" s="144"/>
      <c r="C594" s="144"/>
      <c r="D594" s="144"/>
      <c r="E594" s="144"/>
      <c r="F594" s="144"/>
      <c r="G594" s="144"/>
      <c r="H594" s="144"/>
      <c r="I594" s="146"/>
      <c r="J594" s="144"/>
      <c r="K594" s="144"/>
      <c r="L594" s="144"/>
      <c r="M594" s="144"/>
      <c r="N594" s="144"/>
    </row>
    <row r="595" spans="1:14">
      <c r="A595" s="144"/>
      <c r="B595" s="144"/>
      <c r="C595" s="144"/>
      <c r="D595" s="144"/>
      <c r="E595" s="144"/>
      <c r="F595" s="144"/>
      <c r="G595" s="144"/>
      <c r="H595" s="144"/>
      <c r="I595" s="146"/>
      <c r="J595" s="144"/>
      <c r="K595" s="144"/>
      <c r="L595" s="144"/>
      <c r="M595" s="144"/>
      <c r="N595" s="144"/>
    </row>
    <row r="596" spans="1:14">
      <c r="A596" s="144"/>
      <c r="B596" s="144"/>
      <c r="C596" s="144"/>
      <c r="D596" s="144"/>
      <c r="E596" s="144"/>
      <c r="F596" s="144"/>
      <c r="G596" s="144"/>
      <c r="H596" s="144"/>
      <c r="I596" s="146"/>
      <c r="J596" s="144"/>
      <c r="K596" s="144"/>
      <c r="L596" s="144"/>
      <c r="M596" s="144"/>
      <c r="N596" s="144"/>
    </row>
    <row r="597" spans="1:14">
      <c r="A597" s="144"/>
      <c r="B597" s="144"/>
      <c r="C597" s="144"/>
      <c r="D597" s="144"/>
      <c r="E597" s="144"/>
      <c r="F597" s="144"/>
      <c r="G597" s="144"/>
      <c r="H597" s="144"/>
      <c r="I597" s="146"/>
      <c r="J597" s="144"/>
      <c r="K597" s="144"/>
      <c r="L597" s="144"/>
      <c r="M597" s="144"/>
      <c r="N597" s="144"/>
    </row>
    <row r="598" spans="1:14">
      <c r="A598" s="144"/>
      <c r="B598" s="144"/>
      <c r="C598" s="144"/>
      <c r="D598" s="144"/>
      <c r="E598" s="144"/>
      <c r="F598" s="144"/>
      <c r="G598" s="144"/>
      <c r="H598" s="144"/>
      <c r="I598" s="146"/>
      <c r="J598" s="144"/>
      <c r="K598" s="144"/>
      <c r="L598" s="144"/>
      <c r="M598" s="144"/>
      <c r="N598" s="144"/>
    </row>
    <row r="599" spans="1:14">
      <c r="A599" s="144"/>
      <c r="B599" s="144"/>
      <c r="C599" s="144"/>
      <c r="D599" s="144"/>
      <c r="E599" s="144"/>
      <c r="F599" s="144"/>
      <c r="G599" s="144"/>
      <c r="H599" s="144"/>
      <c r="I599" s="146"/>
      <c r="J599" s="144"/>
      <c r="K599" s="144"/>
      <c r="L599" s="144"/>
      <c r="M599" s="144"/>
      <c r="N599" s="144"/>
    </row>
    <row r="600" spans="1:14">
      <c r="A600" s="144"/>
      <c r="B600" s="144"/>
      <c r="C600" s="144"/>
      <c r="D600" s="144"/>
      <c r="E600" s="144"/>
      <c r="F600" s="144"/>
      <c r="G600" s="144"/>
      <c r="H600" s="144"/>
      <c r="I600" s="146"/>
      <c r="J600" s="144"/>
      <c r="K600" s="144"/>
      <c r="L600" s="144"/>
      <c r="M600" s="144"/>
      <c r="N600" s="144"/>
    </row>
    <row r="601" spans="1:14">
      <c r="A601" s="144"/>
      <c r="B601" s="144"/>
      <c r="C601" s="144"/>
      <c r="D601" s="144"/>
      <c r="E601" s="144"/>
      <c r="F601" s="144"/>
      <c r="G601" s="144"/>
      <c r="H601" s="144"/>
      <c r="I601" s="146"/>
      <c r="J601" s="144"/>
      <c r="K601" s="144"/>
      <c r="L601" s="144"/>
      <c r="M601" s="144"/>
      <c r="N601" s="144"/>
    </row>
    <row r="602" spans="1:14">
      <c r="A602" s="144"/>
      <c r="B602" s="144"/>
      <c r="C602" s="144"/>
      <c r="D602" s="144"/>
      <c r="E602" s="144"/>
      <c r="F602" s="144"/>
      <c r="G602" s="144"/>
      <c r="H602" s="144"/>
      <c r="I602" s="146"/>
      <c r="J602" s="144"/>
      <c r="K602" s="144"/>
      <c r="L602" s="144"/>
      <c r="M602" s="144"/>
      <c r="N602" s="144"/>
    </row>
    <row r="603" spans="1:14">
      <c r="A603" s="144"/>
      <c r="B603" s="144"/>
      <c r="C603" s="144"/>
      <c r="D603" s="144"/>
      <c r="E603" s="144"/>
      <c r="F603" s="144"/>
      <c r="G603" s="144"/>
      <c r="H603" s="144"/>
      <c r="I603" s="146"/>
      <c r="J603" s="144"/>
      <c r="K603" s="144"/>
      <c r="L603" s="144"/>
      <c r="M603" s="144"/>
      <c r="N603" s="144"/>
    </row>
    <row r="604" spans="1:14">
      <c r="A604" s="144"/>
      <c r="B604" s="144"/>
      <c r="C604" s="144"/>
      <c r="D604" s="144"/>
      <c r="E604" s="144"/>
      <c r="F604" s="144"/>
      <c r="G604" s="144"/>
      <c r="H604" s="144"/>
      <c r="I604" s="146"/>
      <c r="J604" s="144"/>
      <c r="K604" s="144"/>
      <c r="L604" s="144"/>
      <c r="M604" s="144"/>
      <c r="N604" s="144"/>
    </row>
    <row r="605" spans="1:14">
      <c r="A605" s="144"/>
      <c r="B605" s="144"/>
      <c r="C605" s="144"/>
      <c r="D605" s="144"/>
      <c r="E605" s="144"/>
      <c r="F605" s="144"/>
      <c r="G605" s="144"/>
      <c r="H605" s="144"/>
      <c r="I605" s="146"/>
      <c r="J605" s="144"/>
      <c r="K605" s="144"/>
      <c r="L605" s="144"/>
      <c r="M605" s="144"/>
      <c r="N605" s="144"/>
    </row>
    <row r="606" spans="1:14">
      <c r="A606" s="144"/>
      <c r="B606" s="144"/>
      <c r="C606" s="144"/>
      <c r="D606" s="144"/>
      <c r="E606" s="144"/>
      <c r="F606" s="144"/>
      <c r="G606" s="144"/>
      <c r="H606" s="144"/>
      <c r="I606" s="146"/>
      <c r="J606" s="144"/>
      <c r="K606" s="144"/>
      <c r="L606" s="144"/>
      <c r="M606" s="144"/>
      <c r="N606" s="144"/>
    </row>
    <row r="607" spans="1:14">
      <c r="A607" s="144"/>
      <c r="B607" s="144"/>
      <c r="C607" s="144"/>
      <c r="D607" s="144"/>
      <c r="E607" s="144"/>
      <c r="F607" s="144"/>
      <c r="G607" s="144"/>
      <c r="H607" s="144"/>
      <c r="I607" s="146"/>
      <c r="J607" s="144"/>
      <c r="K607" s="144"/>
      <c r="L607" s="144"/>
      <c r="M607" s="144"/>
      <c r="N607" s="144"/>
    </row>
    <row r="608" spans="1:14">
      <c r="A608" s="144"/>
      <c r="B608" s="144"/>
      <c r="C608" s="144"/>
      <c r="D608" s="144"/>
      <c r="E608" s="144"/>
      <c r="F608" s="144"/>
      <c r="G608" s="144"/>
      <c r="H608" s="144"/>
      <c r="I608" s="146"/>
      <c r="J608" s="144"/>
      <c r="K608" s="144"/>
      <c r="L608" s="144"/>
      <c r="M608" s="144"/>
      <c r="N608" s="144"/>
    </row>
    <row r="609" spans="1:14">
      <c r="A609" s="144"/>
      <c r="B609" s="144"/>
      <c r="C609" s="144"/>
      <c r="D609" s="144"/>
      <c r="E609" s="144"/>
      <c r="F609" s="144"/>
      <c r="G609" s="144"/>
      <c r="H609" s="144"/>
      <c r="I609" s="146"/>
      <c r="J609" s="144"/>
      <c r="K609" s="144"/>
      <c r="L609" s="144"/>
      <c r="M609" s="144"/>
      <c r="N609" s="144"/>
    </row>
    <row r="610" spans="1:14">
      <c r="A610" s="144"/>
      <c r="B610" s="144"/>
      <c r="C610" s="144"/>
      <c r="D610" s="144"/>
      <c r="E610" s="144"/>
      <c r="F610" s="144"/>
      <c r="G610" s="144"/>
      <c r="H610" s="144"/>
      <c r="I610" s="146"/>
      <c r="J610" s="144"/>
      <c r="K610" s="144"/>
      <c r="L610" s="144"/>
      <c r="M610" s="144"/>
      <c r="N610" s="144"/>
    </row>
    <row r="611" spans="1:14">
      <c r="A611" s="144"/>
      <c r="B611" s="144"/>
      <c r="C611" s="144"/>
      <c r="D611" s="144"/>
      <c r="E611" s="144"/>
      <c r="F611" s="144"/>
      <c r="G611" s="144"/>
      <c r="H611" s="144"/>
      <c r="I611" s="146"/>
      <c r="J611" s="144"/>
      <c r="K611" s="144"/>
      <c r="L611" s="144"/>
      <c r="M611" s="144"/>
      <c r="N611" s="144"/>
    </row>
    <row r="612" spans="1:14">
      <c r="A612" s="144"/>
      <c r="B612" s="144"/>
      <c r="C612" s="144"/>
      <c r="D612" s="144"/>
      <c r="E612" s="144"/>
      <c r="F612" s="144"/>
      <c r="G612" s="144"/>
      <c r="H612" s="144"/>
      <c r="I612" s="146"/>
      <c r="J612" s="144"/>
      <c r="K612" s="144"/>
      <c r="L612" s="144"/>
      <c r="M612" s="144"/>
      <c r="N612" s="144"/>
    </row>
    <row r="613" spans="1:14">
      <c r="A613" s="144"/>
      <c r="B613" s="144"/>
      <c r="C613" s="144"/>
      <c r="D613" s="144"/>
      <c r="E613" s="144"/>
      <c r="F613" s="144"/>
      <c r="G613" s="144"/>
      <c r="H613" s="144"/>
      <c r="I613" s="146"/>
      <c r="J613" s="144"/>
      <c r="K613" s="144"/>
      <c r="L613" s="144"/>
      <c r="M613" s="144"/>
      <c r="N613" s="144"/>
    </row>
    <row r="614" spans="1:14">
      <c r="A614" s="144"/>
      <c r="B614" s="144"/>
      <c r="C614" s="144"/>
      <c r="D614" s="144"/>
      <c r="E614" s="144"/>
      <c r="F614" s="144"/>
      <c r="G614" s="144"/>
      <c r="H614" s="144"/>
      <c r="I614" s="146"/>
      <c r="J614" s="144"/>
      <c r="K614" s="144"/>
      <c r="L614" s="144"/>
      <c r="M614" s="144"/>
      <c r="N614" s="144"/>
    </row>
    <row r="615" spans="1:14">
      <c r="A615" s="144"/>
      <c r="B615" s="144"/>
      <c r="C615" s="144"/>
      <c r="D615" s="144"/>
      <c r="E615" s="144"/>
      <c r="F615" s="144"/>
      <c r="G615" s="144"/>
      <c r="H615" s="144"/>
      <c r="I615" s="146"/>
      <c r="J615" s="144"/>
      <c r="K615" s="144"/>
      <c r="L615" s="144"/>
      <c r="M615" s="144"/>
      <c r="N615" s="144"/>
    </row>
    <row r="616" spans="1:14">
      <c r="A616" s="144"/>
      <c r="B616" s="144"/>
      <c r="C616" s="144"/>
      <c r="D616" s="144"/>
      <c r="E616" s="144"/>
      <c r="F616" s="144"/>
      <c r="G616" s="144"/>
      <c r="H616" s="144"/>
      <c r="I616" s="146"/>
      <c r="J616" s="144"/>
      <c r="K616" s="144"/>
      <c r="L616" s="144"/>
      <c r="M616" s="144"/>
      <c r="N616" s="144"/>
    </row>
    <row r="617" spans="1:14">
      <c r="A617" s="144"/>
      <c r="B617" s="144"/>
      <c r="C617" s="144"/>
      <c r="D617" s="144"/>
      <c r="E617" s="144"/>
      <c r="F617" s="144"/>
      <c r="G617" s="144"/>
      <c r="H617" s="144"/>
      <c r="I617" s="146"/>
      <c r="J617" s="144"/>
      <c r="K617" s="144"/>
      <c r="L617" s="144"/>
      <c r="M617" s="144"/>
      <c r="N617" s="144"/>
    </row>
    <row r="618" spans="1:14">
      <c r="A618" s="144"/>
      <c r="B618" s="144"/>
      <c r="C618" s="144"/>
      <c r="D618" s="144"/>
      <c r="E618" s="144"/>
      <c r="F618" s="144"/>
      <c r="G618" s="144"/>
      <c r="H618" s="144"/>
      <c r="I618" s="146"/>
      <c r="J618" s="144"/>
      <c r="K618" s="144"/>
      <c r="L618" s="144"/>
      <c r="M618" s="144"/>
      <c r="N618" s="144"/>
    </row>
    <row r="619" spans="1:14">
      <c r="A619" s="144"/>
      <c r="B619" s="144"/>
      <c r="C619" s="144"/>
      <c r="D619" s="144"/>
      <c r="E619" s="144"/>
      <c r="F619" s="144"/>
      <c r="G619" s="144"/>
      <c r="H619" s="144"/>
      <c r="I619" s="146"/>
      <c r="J619" s="144"/>
      <c r="K619" s="144"/>
      <c r="L619" s="144"/>
      <c r="M619" s="144"/>
      <c r="N619" s="144"/>
    </row>
    <row r="620" spans="1:14">
      <c r="A620" s="144"/>
      <c r="B620" s="144"/>
      <c r="C620" s="144"/>
      <c r="D620" s="144"/>
      <c r="E620" s="144"/>
      <c r="F620" s="144"/>
      <c r="G620" s="144"/>
      <c r="H620" s="144"/>
      <c r="I620" s="146"/>
      <c r="J620" s="144"/>
      <c r="K620" s="144"/>
      <c r="L620" s="144"/>
      <c r="M620" s="144"/>
      <c r="N620" s="144"/>
    </row>
    <row r="621" spans="1:14">
      <c r="A621" s="144"/>
      <c r="B621" s="144"/>
      <c r="C621" s="144"/>
      <c r="D621" s="144"/>
      <c r="E621" s="144"/>
      <c r="F621" s="144"/>
      <c r="G621" s="144"/>
      <c r="H621" s="144"/>
      <c r="I621" s="146"/>
      <c r="J621" s="144"/>
      <c r="K621" s="144"/>
      <c r="L621" s="144"/>
      <c r="M621" s="144"/>
      <c r="N621" s="144"/>
    </row>
    <row r="622" spans="1:14">
      <c r="A622" s="144"/>
      <c r="B622" s="144"/>
      <c r="C622" s="144"/>
      <c r="D622" s="144"/>
      <c r="E622" s="144"/>
      <c r="F622" s="144"/>
      <c r="G622" s="144"/>
      <c r="H622" s="144"/>
      <c r="I622" s="146"/>
      <c r="J622" s="144"/>
      <c r="K622" s="144"/>
      <c r="L622" s="144"/>
      <c r="M622" s="144"/>
      <c r="N622" s="144"/>
    </row>
    <row r="623" spans="1:14">
      <c r="A623" s="144"/>
      <c r="B623" s="144"/>
      <c r="C623" s="144"/>
      <c r="D623" s="144"/>
      <c r="E623" s="144"/>
      <c r="F623" s="144"/>
      <c r="G623" s="144"/>
      <c r="H623" s="144"/>
      <c r="I623" s="146"/>
      <c r="J623" s="144"/>
      <c r="K623" s="144"/>
      <c r="L623" s="144"/>
      <c r="M623" s="144"/>
      <c r="N623" s="144"/>
    </row>
    <row r="624" spans="1:14">
      <c r="A624" s="144"/>
      <c r="B624" s="144"/>
      <c r="C624" s="144"/>
      <c r="D624" s="144"/>
      <c r="E624" s="144"/>
      <c r="F624" s="144"/>
      <c r="G624" s="144"/>
      <c r="H624" s="144"/>
      <c r="I624" s="146"/>
      <c r="J624" s="144"/>
      <c r="K624" s="144"/>
      <c r="L624" s="144"/>
      <c r="M624" s="144"/>
      <c r="N624" s="144"/>
    </row>
    <row r="625" spans="1:14">
      <c r="A625" s="144"/>
      <c r="B625" s="144"/>
      <c r="C625" s="144"/>
      <c r="D625" s="144"/>
      <c r="E625" s="144"/>
      <c r="F625" s="144"/>
      <c r="G625" s="144"/>
      <c r="H625" s="144"/>
      <c r="I625" s="146"/>
      <c r="J625" s="144"/>
      <c r="K625" s="144"/>
      <c r="L625" s="144"/>
      <c r="M625" s="144"/>
      <c r="N625" s="144"/>
    </row>
    <row r="626" spans="1:14">
      <c r="A626" s="144"/>
      <c r="B626" s="144"/>
      <c r="C626" s="144"/>
      <c r="D626" s="144"/>
      <c r="E626" s="144"/>
      <c r="F626" s="144"/>
      <c r="G626" s="144"/>
      <c r="H626" s="144"/>
      <c r="I626" s="146"/>
      <c r="J626" s="144"/>
      <c r="K626" s="144"/>
      <c r="L626" s="144"/>
      <c r="M626" s="144"/>
      <c r="N626" s="144"/>
    </row>
    <row r="627" spans="1:14">
      <c r="A627" s="144"/>
      <c r="B627" s="144"/>
      <c r="C627" s="144"/>
      <c r="D627" s="144"/>
      <c r="E627" s="144"/>
      <c r="F627" s="144"/>
      <c r="G627" s="144"/>
      <c r="H627" s="144"/>
      <c r="I627" s="146"/>
      <c r="J627" s="144"/>
      <c r="K627" s="144"/>
      <c r="L627" s="144"/>
      <c r="M627" s="144"/>
      <c r="N627" s="144"/>
    </row>
    <row r="628" spans="1:14">
      <c r="A628" s="144"/>
      <c r="B628" s="144"/>
      <c r="C628" s="144"/>
      <c r="D628" s="144"/>
      <c r="E628" s="144"/>
      <c r="F628" s="144"/>
      <c r="G628" s="144"/>
      <c r="H628" s="144"/>
      <c r="I628" s="146"/>
      <c r="J628" s="144"/>
      <c r="K628" s="144"/>
      <c r="L628" s="144"/>
      <c r="M628" s="144"/>
      <c r="N628" s="144"/>
    </row>
    <row r="629" spans="1:14">
      <c r="A629" s="144"/>
      <c r="B629" s="144"/>
      <c r="C629" s="144"/>
      <c r="D629" s="144"/>
      <c r="E629" s="144"/>
      <c r="F629" s="144"/>
      <c r="G629" s="144"/>
      <c r="H629" s="144"/>
      <c r="I629" s="146"/>
      <c r="J629" s="144"/>
      <c r="K629" s="144"/>
      <c r="L629" s="144"/>
      <c r="M629" s="144"/>
      <c r="N629" s="144"/>
    </row>
    <row r="630" spans="1:14">
      <c r="A630" s="144"/>
      <c r="B630" s="144"/>
      <c r="C630" s="144"/>
      <c r="D630" s="144"/>
      <c r="E630" s="144"/>
      <c r="F630" s="144"/>
      <c r="G630" s="144"/>
      <c r="H630" s="144"/>
      <c r="I630" s="146"/>
      <c r="J630" s="144"/>
      <c r="K630" s="144"/>
      <c r="L630" s="144"/>
      <c r="M630" s="144"/>
      <c r="N630" s="144"/>
    </row>
    <row r="631" spans="1:14">
      <c r="A631" s="144"/>
      <c r="B631" s="144"/>
      <c r="C631" s="144"/>
      <c r="D631" s="144"/>
      <c r="E631" s="144"/>
      <c r="F631" s="144"/>
      <c r="G631" s="144"/>
      <c r="H631" s="144"/>
      <c r="I631" s="146"/>
      <c r="J631" s="144"/>
      <c r="K631" s="144"/>
      <c r="L631" s="144"/>
      <c r="M631" s="144"/>
      <c r="N631" s="144"/>
    </row>
    <row r="632" spans="1:14">
      <c r="A632" s="144"/>
      <c r="B632" s="144"/>
      <c r="C632" s="144"/>
      <c r="D632" s="144"/>
      <c r="E632" s="144"/>
      <c r="F632" s="144"/>
      <c r="G632" s="144"/>
      <c r="H632" s="144"/>
      <c r="I632" s="146"/>
      <c r="J632" s="144"/>
      <c r="K632" s="144"/>
      <c r="L632" s="144"/>
      <c r="M632" s="144"/>
      <c r="N632" s="144"/>
    </row>
    <row r="633" spans="1:14">
      <c r="A633" s="144"/>
      <c r="B633" s="144"/>
      <c r="C633" s="144"/>
      <c r="D633" s="144"/>
      <c r="E633" s="144"/>
      <c r="F633" s="144"/>
      <c r="G633" s="144"/>
      <c r="H633" s="144"/>
      <c r="I633" s="146"/>
      <c r="J633" s="144"/>
      <c r="K633" s="144"/>
      <c r="L633" s="144"/>
      <c r="M633" s="144"/>
      <c r="N633" s="144"/>
    </row>
    <row r="634" spans="1:14">
      <c r="A634" s="144"/>
      <c r="B634" s="144"/>
      <c r="C634" s="144"/>
      <c r="D634" s="144"/>
      <c r="E634" s="144"/>
      <c r="F634" s="144"/>
      <c r="G634" s="144"/>
      <c r="H634" s="144"/>
      <c r="I634" s="146"/>
      <c r="J634" s="144"/>
      <c r="K634" s="144"/>
      <c r="L634" s="144"/>
      <c r="M634" s="144"/>
      <c r="N634" s="144"/>
    </row>
    <row r="635" spans="1:14">
      <c r="A635" s="144"/>
      <c r="B635" s="144"/>
      <c r="C635" s="144"/>
      <c r="D635" s="144"/>
      <c r="E635" s="144"/>
      <c r="F635" s="144"/>
      <c r="G635" s="144"/>
      <c r="H635" s="144"/>
      <c r="I635" s="146"/>
      <c r="J635" s="144"/>
      <c r="K635" s="144"/>
      <c r="L635" s="144"/>
      <c r="M635" s="144"/>
      <c r="N635" s="144"/>
    </row>
    <row r="636" spans="1:14">
      <c r="A636" s="144"/>
      <c r="B636" s="144"/>
      <c r="C636" s="144"/>
      <c r="D636" s="144"/>
      <c r="E636" s="144"/>
      <c r="F636" s="144"/>
      <c r="G636" s="144"/>
      <c r="H636" s="144"/>
      <c r="I636" s="146"/>
      <c r="J636" s="144"/>
      <c r="K636" s="144"/>
      <c r="L636" s="144"/>
      <c r="M636" s="144"/>
      <c r="N636" s="144"/>
    </row>
    <row r="637" spans="1:14">
      <c r="A637" s="144"/>
      <c r="B637" s="144"/>
      <c r="C637" s="144"/>
      <c r="D637" s="144"/>
      <c r="E637" s="144"/>
      <c r="F637" s="144"/>
      <c r="G637" s="144"/>
      <c r="H637" s="144"/>
      <c r="I637" s="146"/>
      <c r="J637" s="144"/>
      <c r="K637" s="144"/>
      <c r="L637" s="144"/>
      <c r="M637" s="144"/>
      <c r="N637" s="144"/>
    </row>
    <row r="638" spans="1:14">
      <c r="A638" s="144"/>
      <c r="B638" s="144"/>
      <c r="C638" s="144"/>
      <c r="D638" s="144"/>
      <c r="E638" s="144"/>
      <c r="F638" s="144"/>
      <c r="G638" s="144"/>
      <c r="H638" s="144"/>
      <c r="I638" s="146"/>
      <c r="J638" s="144"/>
      <c r="K638" s="144"/>
      <c r="L638" s="144"/>
      <c r="M638" s="144"/>
      <c r="N638" s="144"/>
    </row>
    <row r="639" spans="1:14">
      <c r="A639" s="144"/>
      <c r="B639" s="144"/>
      <c r="C639" s="144"/>
      <c r="D639" s="144"/>
      <c r="E639" s="144"/>
      <c r="F639" s="144"/>
      <c r="G639" s="144"/>
      <c r="H639" s="144"/>
      <c r="I639" s="146"/>
      <c r="J639" s="144"/>
      <c r="K639" s="144"/>
      <c r="L639" s="144"/>
      <c r="M639" s="144"/>
      <c r="N639" s="144"/>
    </row>
    <row r="640" spans="1:14">
      <c r="A640" s="144"/>
      <c r="B640" s="144"/>
      <c r="C640" s="144"/>
      <c r="D640" s="144"/>
      <c r="E640" s="144"/>
      <c r="F640" s="144"/>
      <c r="G640" s="144"/>
      <c r="H640" s="144"/>
      <c r="I640" s="146"/>
      <c r="J640" s="144"/>
      <c r="K640" s="144"/>
      <c r="L640" s="144"/>
      <c r="M640" s="144"/>
      <c r="N640" s="144"/>
    </row>
    <row r="641" spans="1:14">
      <c r="A641" s="144"/>
      <c r="B641" s="144"/>
      <c r="C641" s="144"/>
      <c r="D641" s="144"/>
      <c r="E641" s="144"/>
      <c r="F641" s="144"/>
      <c r="G641" s="144"/>
      <c r="H641" s="144"/>
      <c r="I641" s="146"/>
      <c r="J641" s="144"/>
      <c r="K641" s="144"/>
      <c r="L641" s="144"/>
      <c r="M641" s="144"/>
      <c r="N641" s="144"/>
    </row>
    <row r="642" spans="1:14">
      <c r="A642" s="144"/>
      <c r="B642" s="144"/>
      <c r="C642" s="144"/>
      <c r="D642" s="144"/>
      <c r="E642" s="144"/>
      <c r="F642" s="144"/>
      <c r="G642" s="144"/>
      <c r="H642" s="144"/>
      <c r="I642" s="146"/>
      <c r="J642" s="144"/>
      <c r="K642" s="144"/>
      <c r="L642" s="144"/>
      <c r="M642" s="144"/>
      <c r="N642" s="144"/>
    </row>
    <row r="643" spans="1:14">
      <c r="A643" s="144"/>
      <c r="B643" s="144"/>
      <c r="C643" s="144"/>
      <c r="D643" s="144"/>
      <c r="E643" s="144"/>
      <c r="F643" s="144"/>
      <c r="G643" s="144"/>
      <c r="H643" s="144"/>
      <c r="I643" s="146"/>
      <c r="J643" s="144"/>
      <c r="K643" s="144"/>
      <c r="L643" s="144"/>
      <c r="M643" s="144"/>
      <c r="N643" s="144"/>
    </row>
    <row r="644" spans="1:14">
      <c r="A644" s="144"/>
      <c r="B644" s="144"/>
      <c r="C644" s="144"/>
      <c r="D644" s="144"/>
      <c r="E644" s="144"/>
      <c r="F644" s="144"/>
      <c r="G644" s="144"/>
      <c r="H644" s="144"/>
      <c r="I644" s="146"/>
      <c r="J644" s="144"/>
      <c r="K644" s="144"/>
      <c r="L644" s="144"/>
      <c r="M644" s="144"/>
      <c r="N644" s="144"/>
    </row>
    <row r="645" spans="1:14">
      <c r="A645" s="144"/>
      <c r="B645" s="144"/>
      <c r="C645" s="144"/>
      <c r="D645" s="144"/>
      <c r="E645" s="144"/>
      <c r="F645" s="144"/>
      <c r="G645" s="144"/>
      <c r="H645" s="144"/>
      <c r="I645" s="146"/>
      <c r="J645" s="144"/>
      <c r="K645" s="144"/>
      <c r="L645" s="144"/>
      <c r="M645" s="144"/>
      <c r="N645" s="144"/>
    </row>
    <row r="646" spans="1:14">
      <c r="A646" s="144"/>
      <c r="B646" s="144"/>
      <c r="C646" s="144"/>
      <c r="D646" s="144"/>
      <c r="E646" s="144"/>
      <c r="F646" s="144"/>
      <c r="G646" s="144"/>
      <c r="H646" s="144"/>
      <c r="I646" s="146"/>
      <c r="J646" s="144"/>
      <c r="K646" s="144"/>
      <c r="L646" s="144"/>
      <c r="M646" s="144"/>
      <c r="N646" s="144"/>
    </row>
    <row r="647" spans="1:14">
      <c r="A647" s="144"/>
      <c r="B647" s="144"/>
      <c r="C647" s="144"/>
      <c r="D647" s="144"/>
      <c r="E647" s="144"/>
      <c r="F647" s="144"/>
      <c r="G647" s="144"/>
      <c r="H647" s="144"/>
      <c r="I647" s="146"/>
      <c r="J647" s="144"/>
      <c r="K647" s="144"/>
      <c r="L647" s="144"/>
      <c r="M647" s="144"/>
      <c r="N647" s="144"/>
    </row>
    <row r="648" spans="1:14">
      <c r="A648" s="144"/>
      <c r="B648" s="144"/>
      <c r="C648" s="144"/>
      <c r="D648" s="144"/>
      <c r="E648" s="144"/>
      <c r="F648" s="144"/>
      <c r="G648" s="144"/>
      <c r="H648" s="144"/>
      <c r="I648" s="146"/>
      <c r="J648" s="144"/>
      <c r="K648" s="144"/>
      <c r="L648" s="144"/>
      <c r="M648" s="144"/>
      <c r="N648" s="144"/>
    </row>
    <row r="649" spans="1:14">
      <c r="A649" s="144"/>
      <c r="B649" s="144"/>
      <c r="C649" s="144"/>
      <c r="D649" s="144"/>
      <c r="E649" s="144"/>
      <c r="F649" s="144"/>
      <c r="G649" s="144"/>
      <c r="H649" s="144"/>
      <c r="I649" s="146"/>
      <c r="J649" s="144"/>
      <c r="K649" s="144"/>
      <c r="L649" s="144"/>
      <c r="M649" s="144"/>
      <c r="N649" s="144"/>
    </row>
    <row r="650" spans="1:14">
      <c r="A650" s="144"/>
      <c r="B650" s="144"/>
      <c r="C650" s="144"/>
      <c r="D650" s="144"/>
      <c r="E650" s="144"/>
      <c r="F650" s="144"/>
      <c r="G650" s="144"/>
      <c r="H650" s="144"/>
      <c r="I650" s="146"/>
      <c r="J650" s="144"/>
      <c r="K650" s="144"/>
      <c r="L650" s="144"/>
      <c r="M650" s="144"/>
      <c r="N650" s="144"/>
    </row>
    <row r="651" spans="1:14">
      <c r="A651" s="144"/>
      <c r="B651" s="144"/>
      <c r="C651" s="144"/>
      <c r="D651" s="144"/>
      <c r="E651" s="144"/>
      <c r="F651" s="144"/>
      <c r="G651" s="144"/>
      <c r="H651" s="144"/>
      <c r="I651" s="146"/>
      <c r="J651" s="144"/>
      <c r="K651" s="144"/>
      <c r="L651" s="144"/>
      <c r="M651" s="144"/>
      <c r="N651" s="144"/>
    </row>
    <row r="652" spans="1:14">
      <c r="A652" s="144"/>
      <c r="B652" s="144"/>
      <c r="C652" s="144"/>
      <c r="D652" s="144"/>
      <c r="E652" s="144"/>
      <c r="F652" s="144"/>
      <c r="G652" s="144"/>
      <c r="H652" s="144"/>
      <c r="I652" s="146"/>
      <c r="J652" s="144"/>
      <c r="K652" s="144"/>
      <c r="L652" s="144"/>
      <c r="M652" s="144"/>
      <c r="N652" s="144"/>
    </row>
    <row r="653" spans="1:14">
      <c r="A653" s="144"/>
      <c r="B653" s="144"/>
      <c r="C653" s="144"/>
      <c r="D653" s="144"/>
      <c r="E653" s="144"/>
      <c r="F653" s="144"/>
      <c r="G653" s="144"/>
      <c r="H653" s="144"/>
      <c r="I653" s="146"/>
      <c r="J653" s="144"/>
      <c r="K653" s="144"/>
      <c r="L653" s="144"/>
      <c r="M653" s="144"/>
      <c r="N653" s="144"/>
    </row>
    <row r="654" spans="1:14">
      <c r="A654" s="144"/>
      <c r="B654" s="144"/>
      <c r="C654" s="144"/>
      <c r="D654" s="144"/>
      <c r="E654" s="144"/>
      <c r="F654" s="144"/>
      <c r="G654" s="144"/>
      <c r="H654" s="144"/>
      <c r="I654" s="146"/>
      <c r="J654" s="144"/>
      <c r="K654" s="144"/>
      <c r="L654" s="144"/>
      <c r="M654" s="144"/>
      <c r="N654" s="144"/>
    </row>
    <row r="655" spans="1:14">
      <c r="A655" s="144"/>
      <c r="B655" s="144"/>
      <c r="C655" s="144"/>
      <c r="D655" s="144"/>
      <c r="E655" s="144"/>
      <c r="F655" s="144"/>
      <c r="G655" s="144"/>
      <c r="H655" s="144"/>
      <c r="I655" s="146"/>
      <c r="J655" s="144"/>
      <c r="K655" s="144"/>
      <c r="L655" s="144"/>
      <c r="M655" s="144"/>
      <c r="N655" s="144"/>
    </row>
    <row r="656" spans="1:14">
      <c r="A656" s="144"/>
      <c r="B656" s="144"/>
      <c r="C656" s="144"/>
      <c r="D656" s="144"/>
      <c r="E656" s="144"/>
      <c r="F656" s="144"/>
      <c r="G656" s="144"/>
      <c r="H656" s="144"/>
      <c r="I656" s="146"/>
      <c r="J656" s="144"/>
      <c r="K656" s="144"/>
      <c r="L656" s="144"/>
      <c r="M656" s="144"/>
      <c r="N656" s="144"/>
    </row>
    <row r="657" spans="1:14">
      <c r="A657" s="144"/>
      <c r="B657" s="144"/>
      <c r="C657" s="144"/>
      <c r="D657" s="144"/>
      <c r="E657" s="144"/>
      <c r="F657" s="144"/>
      <c r="G657" s="144"/>
      <c r="H657" s="144"/>
      <c r="I657" s="146"/>
      <c r="J657" s="144"/>
      <c r="K657" s="144"/>
      <c r="L657" s="144"/>
      <c r="M657" s="144"/>
      <c r="N657" s="144"/>
    </row>
    <row r="658" spans="1:14">
      <c r="A658" s="144"/>
      <c r="B658" s="144"/>
      <c r="C658" s="144"/>
      <c r="D658" s="144"/>
      <c r="E658" s="144"/>
      <c r="F658" s="144"/>
      <c r="G658" s="144"/>
      <c r="H658" s="144"/>
      <c r="I658" s="146"/>
      <c r="J658" s="144"/>
      <c r="K658" s="144"/>
      <c r="L658" s="144"/>
      <c r="M658" s="144"/>
      <c r="N658" s="144"/>
    </row>
    <row r="659" spans="1:14">
      <c r="A659" s="144"/>
      <c r="B659" s="144"/>
      <c r="C659" s="144"/>
      <c r="D659" s="144"/>
      <c r="E659" s="144"/>
      <c r="F659" s="144"/>
      <c r="G659" s="144"/>
      <c r="H659" s="144"/>
      <c r="I659" s="146"/>
      <c r="J659" s="144"/>
      <c r="K659" s="144"/>
      <c r="L659" s="144"/>
      <c r="M659" s="144"/>
      <c r="N659" s="144"/>
    </row>
    <row r="660" spans="1:14">
      <c r="A660" s="144"/>
      <c r="B660" s="144"/>
      <c r="C660" s="144"/>
      <c r="D660" s="144"/>
      <c r="E660" s="144"/>
      <c r="F660" s="144"/>
      <c r="G660" s="144"/>
      <c r="H660" s="144"/>
      <c r="I660" s="146"/>
      <c r="J660" s="144"/>
      <c r="K660" s="144"/>
      <c r="L660" s="144"/>
      <c r="M660" s="144"/>
      <c r="N660" s="144"/>
    </row>
    <row r="661" spans="1:14">
      <c r="A661" s="144"/>
      <c r="B661" s="144"/>
      <c r="C661" s="144"/>
      <c r="D661" s="144"/>
      <c r="E661" s="144"/>
      <c r="F661" s="144"/>
      <c r="G661" s="144"/>
      <c r="H661" s="144"/>
      <c r="I661" s="146"/>
      <c r="J661" s="144"/>
      <c r="K661" s="144"/>
      <c r="L661" s="144"/>
      <c r="M661" s="144"/>
      <c r="N661" s="144"/>
    </row>
    <row r="662" spans="1:14">
      <c r="A662" s="144"/>
      <c r="B662" s="144"/>
      <c r="C662" s="144"/>
      <c r="D662" s="144"/>
      <c r="E662" s="144"/>
      <c r="F662" s="144"/>
      <c r="G662" s="144"/>
      <c r="H662" s="144"/>
      <c r="I662" s="146"/>
      <c r="J662" s="144"/>
      <c r="K662" s="144"/>
      <c r="L662" s="144"/>
      <c r="M662" s="144"/>
      <c r="N662" s="144"/>
    </row>
    <row r="663" spans="1:14">
      <c r="A663" s="144"/>
      <c r="B663" s="144"/>
      <c r="C663" s="144"/>
      <c r="D663" s="144"/>
      <c r="E663" s="144"/>
      <c r="F663" s="144"/>
      <c r="G663" s="144"/>
      <c r="H663" s="144"/>
      <c r="I663" s="146"/>
      <c r="J663" s="144"/>
      <c r="K663" s="144"/>
      <c r="L663" s="144"/>
      <c r="M663" s="144"/>
      <c r="N663" s="144"/>
    </row>
    <row r="664" spans="1:14">
      <c r="A664" s="144"/>
      <c r="B664" s="144"/>
      <c r="C664" s="144"/>
      <c r="D664" s="144"/>
      <c r="E664" s="144"/>
      <c r="F664" s="144"/>
      <c r="G664" s="144"/>
      <c r="H664" s="144"/>
      <c r="I664" s="146"/>
      <c r="J664" s="144"/>
      <c r="K664" s="144"/>
      <c r="L664" s="144"/>
      <c r="M664" s="144"/>
      <c r="N664" s="144"/>
    </row>
    <row r="665" spans="1:14">
      <c r="A665" s="144"/>
      <c r="B665" s="144"/>
      <c r="C665" s="144"/>
      <c r="D665" s="144"/>
      <c r="E665" s="144"/>
      <c r="F665" s="144"/>
      <c r="G665" s="144"/>
      <c r="H665" s="144"/>
      <c r="I665" s="146"/>
      <c r="J665" s="144"/>
      <c r="K665" s="144"/>
      <c r="L665" s="144"/>
      <c r="M665" s="144"/>
      <c r="N665" s="144"/>
    </row>
    <row r="666" spans="1:14">
      <c r="A666" s="144"/>
      <c r="B666" s="144"/>
      <c r="C666" s="144"/>
      <c r="D666" s="144"/>
      <c r="E666" s="144"/>
      <c r="F666" s="144"/>
      <c r="G666" s="144"/>
      <c r="H666" s="144"/>
      <c r="I666" s="146"/>
      <c r="J666" s="144"/>
      <c r="K666" s="144"/>
      <c r="L666" s="144"/>
      <c r="M666" s="144"/>
      <c r="N666" s="144"/>
    </row>
    <row r="667" spans="1:14">
      <c r="A667" s="144"/>
      <c r="B667" s="144"/>
      <c r="C667" s="144"/>
      <c r="D667" s="144"/>
      <c r="E667" s="144"/>
      <c r="F667" s="144"/>
      <c r="G667" s="144"/>
      <c r="H667" s="144"/>
      <c r="I667" s="146"/>
      <c r="J667" s="144"/>
      <c r="K667" s="144"/>
      <c r="L667" s="144"/>
      <c r="M667" s="144"/>
      <c r="N667" s="144"/>
    </row>
    <row r="668" spans="1:14">
      <c r="A668" s="144"/>
      <c r="B668" s="144"/>
      <c r="C668" s="144"/>
      <c r="D668" s="144"/>
      <c r="E668" s="144"/>
      <c r="F668" s="144"/>
      <c r="G668" s="144"/>
      <c r="H668" s="144"/>
      <c r="I668" s="146"/>
      <c r="J668" s="144"/>
      <c r="K668" s="144"/>
      <c r="L668" s="144"/>
      <c r="M668" s="144"/>
      <c r="N668" s="144"/>
    </row>
    <row r="669" spans="1:14">
      <c r="A669" s="144"/>
      <c r="B669" s="144"/>
      <c r="C669" s="144"/>
      <c r="D669" s="144"/>
      <c r="E669" s="144"/>
      <c r="F669" s="144"/>
      <c r="G669" s="144"/>
      <c r="H669" s="144"/>
      <c r="I669" s="146"/>
      <c r="J669" s="144"/>
      <c r="K669" s="144"/>
      <c r="L669" s="144"/>
      <c r="M669" s="144"/>
      <c r="N669" s="144"/>
    </row>
    <row r="670" spans="1:14">
      <c r="A670" s="144"/>
      <c r="B670" s="144"/>
      <c r="C670" s="144"/>
      <c r="D670" s="144"/>
      <c r="E670" s="144"/>
      <c r="F670" s="144"/>
      <c r="G670" s="144"/>
      <c r="H670" s="144"/>
      <c r="I670" s="146"/>
      <c r="J670" s="144"/>
      <c r="K670" s="144"/>
      <c r="L670" s="144"/>
      <c r="M670" s="144"/>
      <c r="N670" s="144"/>
    </row>
    <row r="671" spans="1:14">
      <c r="A671" s="144"/>
      <c r="B671" s="144"/>
      <c r="C671" s="144"/>
      <c r="D671" s="144"/>
      <c r="E671" s="144"/>
      <c r="F671" s="144"/>
      <c r="G671" s="144"/>
      <c r="H671" s="144"/>
      <c r="I671" s="146"/>
      <c r="J671" s="144"/>
      <c r="K671" s="144"/>
      <c r="L671" s="144"/>
      <c r="M671" s="144"/>
      <c r="N671" s="144"/>
    </row>
    <row r="672" spans="1:14">
      <c r="A672" s="144"/>
      <c r="B672" s="144"/>
      <c r="C672" s="144"/>
      <c r="D672" s="144"/>
      <c r="E672" s="144"/>
      <c r="F672" s="144"/>
      <c r="G672" s="144"/>
      <c r="H672" s="144"/>
      <c r="I672" s="146"/>
      <c r="J672" s="144"/>
      <c r="K672" s="144"/>
      <c r="L672" s="144"/>
      <c r="M672" s="144"/>
      <c r="N672" s="144"/>
    </row>
    <row r="673" spans="1:14">
      <c r="A673" s="144"/>
      <c r="B673" s="144"/>
      <c r="C673" s="144"/>
      <c r="D673" s="144"/>
      <c r="E673" s="144"/>
      <c r="F673" s="144"/>
      <c r="G673" s="144"/>
      <c r="H673" s="144"/>
      <c r="I673" s="146"/>
      <c r="J673" s="144"/>
      <c r="K673" s="144"/>
      <c r="L673" s="144"/>
      <c r="M673" s="144"/>
      <c r="N673" s="144"/>
    </row>
    <row r="674" spans="1:14">
      <c r="A674" s="144"/>
      <c r="B674" s="144"/>
      <c r="C674" s="144"/>
      <c r="D674" s="144"/>
      <c r="E674" s="144"/>
      <c r="F674" s="144"/>
      <c r="G674" s="144"/>
      <c r="H674" s="144"/>
      <c r="I674" s="146"/>
      <c r="J674" s="144"/>
      <c r="K674" s="144"/>
      <c r="L674" s="144"/>
      <c r="M674" s="144"/>
      <c r="N674" s="144"/>
    </row>
    <row r="675" spans="1:14">
      <c r="A675" s="144"/>
      <c r="B675" s="144"/>
      <c r="C675" s="144"/>
      <c r="D675" s="144"/>
      <c r="E675" s="144"/>
      <c r="F675" s="144"/>
      <c r="G675" s="144"/>
      <c r="H675" s="144"/>
      <c r="I675" s="146"/>
      <c r="J675" s="144"/>
      <c r="K675" s="144"/>
      <c r="L675" s="144"/>
      <c r="M675" s="144"/>
      <c r="N675" s="144"/>
    </row>
    <row r="676" spans="1:14">
      <c r="A676" s="144"/>
      <c r="B676" s="144"/>
      <c r="C676" s="144"/>
      <c r="D676" s="144"/>
      <c r="E676" s="144"/>
      <c r="F676" s="144"/>
      <c r="G676" s="144"/>
      <c r="H676" s="144"/>
      <c r="I676" s="146"/>
      <c r="J676" s="144"/>
      <c r="K676" s="144"/>
      <c r="L676" s="144"/>
      <c r="M676" s="144"/>
      <c r="N676" s="144"/>
    </row>
    <row r="677" spans="1:14">
      <c r="A677" s="144"/>
      <c r="B677" s="144"/>
      <c r="C677" s="144"/>
      <c r="D677" s="144"/>
      <c r="E677" s="144"/>
      <c r="F677" s="144"/>
      <c r="G677" s="144"/>
      <c r="H677" s="144"/>
      <c r="I677" s="146"/>
      <c r="J677" s="144"/>
      <c r="K677" s="144"/>
      <c r="L677" s="144"/>
      <c r="M677" s="144"/>
      <c r="N677" s="144"/>
    </row>
    <row r="678" spans="1:14">
      <c r="A678" s="144"/>
      <c r="B678" s="144"/>
      <c r="C678" s="144"/>
      <c r="D678" s="144"/>
      <c r="E678" s="144"/>
      <c r="F678" s="144"/>
      <c r="G678" s="144"/>
      <c r="H678" s="144"/>
      <c r="I678" s="146"/>
      <c r="J678" s="144"/>
      <c r="K678" s="144"/>
      <c r="L678" s="144"/>
      <c r="M678" s="144"/>
      <c r="N678" s="144"/>
    </row>
    <row r="679" spans="1:14">
      <c r="A679" s="144"/>
      <c r="B679" s="144"/>
      <c r="C679" s="144"/>
      <c r="D679" s="144"/>
      <c r="E679" s="144"/>
      <c r="F679" s="144"/>
      <c r="G679" s="144"/>
      <c r="H679" s="144"/>
      <c r="I679" s="146"/>
      <c r="J679" s="144"/>
      <c r="K679" s="144"/>
      <c r="L679" s="144"/>
      <c r="M679" s="144"/>
      <c r="N679" s="144"/>
    </row>
    <row r="680" spans="1:14">
      <c r="A680" s="144"/>
      <c r="B680" s="144"/>
      <c r="C680" s="144"/>
      <c r="D680" s="144"/>
      <c r="E680" s="144"/>
      <c r="F680" s="144"/>
      <c r="G680" s="144"/>
      <c r="H680" s="144"/>
      <c r="I680" s="146"/>
      <c r="J680" s="144"/>
      <c r="K680" s="144"/>
      <c r="L680" s="144"/>
      <c r="M680" s="144"/>
      <c r="N680" s="144"/>
    </row>
    <row r="681" spans="1:14">
      <c r="A681" s="144"/>
      <c r="B681" s="144"/>
      <c r="C681" s="144"/>
      <c r="D681" s="144"/>
      <c r="E681" s="144"/>
      <c r="F681" s="144"/>
      <c r="G681" s="144"/>
      <c r="H681" s="144"/>
      <c r="I681" s="146"/>
      <c r="J681" s="144"/>
      <c r="K681" s="144"/>
      <c r="L681" s="144"/>
      <c r="M681" s="144"/>
      <c r="N681" s="144"/>
    </row>
    <row r="682" spans="1:14">
      <c r="A682" s="144"/>
      <c r="B682" s="144"/>
      <c r="C682" s="144"/>
      <c r="D682" s="144"/>
      <c r="E682" s="144"/>
      <c r="F682" s="144"/>
      <c r="G682" s="144"/>
      <c r="H682" s="144"/>
      <c r="I682" s="146"/>
      <c r="J682" s="144"/>
      <c r="K682" s="144"/>
      <c r="L682" s="144"/>
      <c r="M682" s="144"/>
      <c r="N682" s="144"/>
    </row>
    <row r="683" spans="1:14">
      <c r="A683" s="144"/>
      <c r="B683" s="144"/>
      <c r="C683" s="144"/>
      <c r="D683" s="144"/>
      <c r="E683" s="144"/>
      <c r="F683" s="144"/>
      <c r="G683" s="144"/>
      <c r="H683" s="144"/>
      <c r="I683" s="146"/>
      <c r="J683" s="144"/>
      <c r="K683" s="144"/>
      <c r="L683" s="144"/>
      <c r="M683" s="144"/>
      <c r="N683" s="144"/>
    </row>
    <row r="684" spans="1:14">
      <c r="A684" s="144"/>
      <c r="B684" s="144"/>
      <c r="C684" s="144"/>
      <c r="D684" s="144"/>
      <c r="E684" s="144"/>
      <c r="F684" s="144"/>
      <c r="G684" s="144"/>
      <c r="H684" s="144"/>
      <c r="I684" s="146"/>
      <c r="J684" s="144"/>
      <c r="K684" s="144"/>
      <c r="L684" s="144"/>
      <c r="M684" s="144"/>
      <c r="N684" s="144"/>
    </row>
    <row r="685" spans="1:14">
      <c r="A685" s="144"/>
      <c r="B685" s="144"/>
      <c r="C685" s="144"/>
      <c r="D685" s="144"/>
      <c r="E685" s="144"/>
      <c r="F685" s="144"/>
      <c r="G685" s="144"/>
      <c r="H685" s="144"/>
      <c r="I685" s="146"/>
      <c r="J685" s="144"/>
      <c r="K685" s="144"/>
      <c r="L685" s="144"/>
      <c r="M685" s="144"/>
      <c r="N685" s="144"/>
    </row>
    <row r="686" spans="1:14">
      <c r="A686" s="144"/>
      <c r="B686" s="144"/>
      <c r="C686" s="144"/>
      <c r="D686" s="144"/>
      <c r="E686" s="144"/>
      <c r="F686" s="144"/>
      <c r="G686" s="144"/>
      <c r="H686" s="144"/>
      <c r="I686" s="146"/>
      <c r="J686" s="144"/>
      <c r="K686" s="144"/>
      <c r="L686" s="144"/>
      <c r="M686" s="144"/>
      <c r="N686" s="144"/>
    </row>
    <row r="687" spans="1:14">
      <c r="A687" s="144"/>
      <c r="B687" s="144"/>
      <c r="C687" s="144"/>
      <c r="D687" s="144"/>
      <c r="E687" s="144"/>
      <c r="F687" s="144"/>
      <c r="G687" s="144"/>
      <c r="H687" s="144"/>
      <c r="I687" s="146"/>
      <c r="J687" s="144"/>
      <c r="K687" s="144"/>
      <c r="L687" s="144"/>
      <c r="M687" s="144"/>
      <c r="N687" s="144"/>
    </row>
    <row r="688" spans="1:14">
      <c r="A688" s="144"/>
      <c r="B688" s="144"/>
      <c r="C688" s="144"/>
      <c r="D688" s="144"/>
      <c r="E688" s="144"/>
      <c r="F688" s="144"/>
      <c r="G688" s="144"/>
      <c r="H688" s="144"/>
      <c r="I688" s="146"/>
      <c r="J688" s="144"/>
      <c r="K688" s="144"/>
      <c r="L688" s="144"/>
      <c r="M688" s="144"/>
      <c r="N688" s="144"/>
    </row>
    <row r="689" spans="1:14">
      <c r="A689" s="144"/>
      <c r="B689" s="144"/>
      <c r="C689" s="144"/>
      <c r="D689" s="144"/>
      <c r="E689" s="144"/>
      <c r="F689" s="144"/>
      <c r="G689" s="144"/>
      <c r="H689" s="144"/>
      <c r="I689" s="146"/>
      <c r="J689" s="144"/>
      <c r="K689" s="144"/>
      <c r="L689" s="144"/>
      <c r="M689" s="144"/>
      <c r="N689" s="144"/>
    </row>
    <row r="690" spans="1:14">
      <c r="A690" s="144"/>
      <c r="B690" s="144"/>
      <c r="C690" s="144"/>
      <c r="D690" s="144"/>
      <c r="E690" s="144"/>
      <c r="F690" s="144"/>
      <c r="G690" s="144"/>
      <c r="H690" s="144"/>
      <c r="I690" s="146"/>
      <c r="J690" s="144"/>
      <c r="K690" s="144"/>
      <c r="L690" s="144"/>
      <c r="M690" s="144"/>
      <c r="N690" s="144"/>
    </row>
    <row r="691" spans="1:14">
      <c r="A691" s="144"/>
      <c r="B691" s="144"/>
      <c r="C691" s="144"/>
      <c r="D691" s="144"/>
      <c r="E691" s="144"/>
      <c r="F691" s="144"/>
      <c r="G691" s="144"/>
      <c r="H691" s="144"/>
      <c r="I691" s="146"/>
      <c r="J691" s="144"/>
      <c r="K691" s="144"/>
      <c r="L691" s="144"/>
      <c r="M691" s="144"/>
      <c r="N691" s="144"/>
    </row>
    <row r="692" spans="1:14">
      <c r="A692" s="144"/>
      <c r="B692" s="144"/>
      <c r="C692" s="144"/>
      <c r="D692" s="144"/>
      <c r="E692" s="144"/>
      <c r="F692" s="144"/>
      <c r="G692" s="144"/>
      <c r="H692" s="144"/>
      <c r="I692" s="146"/>
      <c r="J692" s="144"/>
      <c r="K692" s="144"/>
      <c r="L692" s="144"/>
      <c r="M692" s="144"/>
      <c r="N692" s="144"/>
    </row>
    <row r="693" spans="1:14">
      <c r="A693" s="144"/>
      <c r="B693" s="144"/>
      <c r="C693" s="144"/>
      <c r="D693" s="144"/>
      <c r="E693" s="144"/>
      <c r="F693" s="144"/>
      <c r="G693" s="144"/>
      <c r="H693" s="144"/>
      <c r="I693" s="146"/>
      <c r="J693" s="144"/>
      <c r="K693" s="144"/>
      <c r="L693" s="144"/>
      <c r="M693" s="144"/>
      <c r="N693" s="144"/>
    </row>
    <row r="694" spans="1:14">
      <c r="A694" s="144"/>
      <c r="B694" s="144"/>
      <c r="C694" s="144"/>
      <c r="D694" s="144"/>
      <c r="E694" s="144"/>
      <c r="F694" s="144"/>
      <c r="G694" s="144"/>
      <c r="H694" s="144"/>
      <c r="I694" s="146"/>
      <c r="J694" s="144"/>
      <c r="K694" s="144"/>
      <c r="L694" s="144"/>
      <c r="M694" s="144"/>
      <c r="N694" s="144"/>
    </row>
    <row r="695" spans="1:14">
      <c r="A695" s="144"/>
      <c r="B695" s="144"/>
      <c r="C695" s="144"/>
      <c r="D695" s="144"/>
      <c r="E695" s="144"/>
      <c r="F695" s="144"/>
      <c r="G695" s="144"/>
      <c r="H695" s="144"/>
      <c r="I695" s="146"/>
      <c r="J695" s="144"/>
      <c r="K695" s="144"/>
      <c r="L695" s="144"/>
      <c r="M695" s="144"/>
      <c r="N695" s="144"/>
    </row>
    <row r="696" spans="1:14">
      <c r="A696" s="144"/>
      <c r="B696" s="144"/>
      <c r="C696" s="144"/>
      <c r="D696" s="144"/>
      <c r="E696" s="144"/>
      <c r="F696" s="144"/>
      <c r="G696" s="144"/>
      <c r="H696" s="144"/>
      <c r="I696" s="146"/>
      <c r="J696" s="144"/>
      <c r="K696" s="144"/>
      <c r="L696" s="144"/>
      <c r="M696" s="144"/>
      <c r="N696" s="144"/>
    </row>
    <row r="697" spans="1:14">
      <c r="A697" s="144"/>
      <c r="B697" s="144"/>
      <c r="C697" s="144"/>
      <c r="D697" s="144"/>
      <c r="E697" s="144"/>
      <c r="F697" s="144"/>
      <c r="G697" s="144"/>
      <c r="H697" s="144"/>
      <c r="I697" s="146"/>
      <c r="J697" s="144"/>
      <c r="K697" s="144"/>
      <c r="L697" s="144"/>
      <c r="M697" s="144"/>
      <c r="N697" s="144"/>
    </row>
    <row r="698" spans="1:14">
      <c r="A698" s="144"/>
      <c r="B698" s="144"/>
      <c r="C698" s="144"/>
      <c r="D698" s="144"/>
      <c r="E698" s="144"/>
      <c r="F698" s="144"/>
      <c r="G698" s="144"/>
      <c r="H698" s="144"/>
      <c r="I698" s="146"/>
      <c r="J698" s="144"/>
      <c r="K698" s="144"/>
      <c r="L698" s="144"/>
      <c r="M698" s="144"/>
      <c r="N698" s="144"/>
    </row>
    <row r="699" spans="1:14">
      <c r="A699" s="144"/>
      <c r="B699" s="144"/>
      <c r="C699" s="144"/>
      <c r="D699" s="144"/>
      <c r="E699" s="144"/>
      <c r="F699" s="144"/>
      <c r="G699" s="144"/>
      <c r="H699" s="144"/>
      <c r="I699" s="146"/>
      <c r="J699" s="144"/>
      <c r="K699" s="144"/>
      <c r="L699" s="144"/>
      <c r="M699" s="144"/>
      <c r="N699" s="144"/>
    </row>
    <row r="700" spans="1:14">
      <c r="A700" s="144"/>
      <c r="B700" s="144"/>
      <c r="C700" s="144"/>
      <c r="D700" s="144"/>
      <c r="E700" s="144"/>
      <c r="F700" s="144"/>
      <c r="G700" s="144"/>
      <c r="H700" s="144"/>
      <c r="I700" s="146"/>
      <c r="J700" s="144"/>
      <c r="K700" s="144"/>
      <c r="L700" s="144"/>
      <c r="M700" s="144"/>
      <c r="N700" s="144"/>
    </row>
    <row r="701" spans="1:14">
      <c r="A701" s="144"/>
      <c r="B701" s="144"/>
      <c r="C701" s="144"/>
      <c r="D701" s="144"/>
      <c r="E701" s="144"/>
      <c r="F701" s="144"/>
      <c r="G701" s="144"/>
      <c r="H701" s="144"/>
      <c r="I701" s="146"/>
      <c r="J701" s="144"/>
      <c r="K701" s="144"/>
      <c r="L701" s="144"/>
      <c r="M701" s="144"/>
      <c r="N701" s="144"/>
    </row>
    <row r="702" spans="1:14">
      <c r="A702" s="144"/>
      <c r="B702" s="144"/>
      <c r="C702" s="144"/>
      <c r="D702" s="144"/>
      <c r="E702" s="144"/>
      <c r="F702" s="144"/>
      <c r="G702" s="144"/>
      <c r="H702" s="144"/>
      <c r="I702" s="146"/>
      <c r="J702" s="144"/>
      <c r="K702" s="144"/>
      <c r="L702" s="144"/>
      <c r="M702" s="144"/>
      <c r="N702" s="144"/>
    </row>
    <row r="703" spans="1:14">
      <c r="A703" s="144"/>
      <c r="B703" s="144"/>
      <c r="C703" s="144"/>
      <c r="D703" s="144"/>
      <c r="E703" s="144"/>
      <c r="F703" s="144"/>
      <c r="G703" s="144"/>
      <c r="H703" s="144"/>
      <c r="I703" s="146"/>
      <c r="J703" s="144"/>
      <c r="K703" s="144"/>
      <c r="L703" s="144"/>
      <c r="M703" s="144"/>
      <c r="N703" s="144"/>
    </row>
    <row r="704" spans="1:14">
      <c r="A704" s="144"/>
      <c r="B704" s="144"/>
      <c r="C704" s="144"/>
      <c r="D704" s="144"/>
      <c r="E704" s="144"/>
      <c r="F704" s="144"/>
      <c r="G704" s="144"/>
      <c r="H704" s="144"/>
      <c r="I704" s="146"/>
      <c r="J704" s="144"/>
      <c r="K704" s="144"/>
      <c r="L704" s="144"/>
      <c r="M704" s="144"/>
      <c r="N704" s="144"/>
    </row>
    <row r="705" spans="1:14">
      <c r="A705" s="144"/>
      <c r="B705" s="144"/>
      <c r="C705" s="144"/>
      <c r="D705" s="144"/>
      <c r="E705" s="144"/>
      <c r="F705" s="144"/>
      <c r="G705" s="144"/>
      <c r="H705" s="144"/>
      <c r="I705" s="146"/>
      <c r="J705" s="144"/>
      <c r="K705" s="144"/>
      <c r="L705" s="144"/>
      <c r="M705" s="144"/>
      <c r="N705" s="144"/>
    </row>
    <row r="706" spans="1:14">
      <c r="A706" s="144"/>
      <c r="B706" s="144"/>
      <c r="C706" s="144"/>
      <c r="D706" s="144"/>
      <c r="E706" s="144"/>
      <c r="F706" s="144"/>
      <c r="G706" s="144"/>
      <c r="H706" s="144"/>
      <c r="I706" s="146"/>
      <c r="J706" s="144"/>
      <c r="K706" s="144"/>
      <c r="L706" s="144"/>
      <c r="M706" s="144"/>
      <c r="N706" s="144"/>
    </row>
    <row r="707" spans="1:14">
      <c r="A707" s="144"/>
      <c r="B707" s="144"/>
      <c r="C707" s="144"/>
      <c r="D707" s="144"/>
      <c r="E707" s="144"/>
      <c r="F707" s="144"/>
      <c r="G707" s="144"/>
      <c r="H707" s="144"/>
      <c r="I707" s="146"/>
      <c r="J707" s="144"/>
      <c r="K707" s="144"/>
      <c r="L707" s="144"/>
      <c r="M707" s="144"/>
      <c r="N707" s="144"/>
    </row>
    <row r="708" spans="1:14">
      <c r="A708" s="144"/>
      <c r="B708" s="144"/>
      <c r="C708" s="144"/>
      <c r="D708" s="144"/>
      <c r="E708" s="144"/>
      <c r="F708" s="144"/>
      <c r="G708" s="144"/>
      <c r="H708" s="144"/>
      <c r="I708" s="146"/>
      <c r="J708" s="144"/>
      <c r="K708" s="144"/>
      <c r="L708" s="144"/>
      <c r="M708" s="144"/>
      <c r="N708" s="144"/>
    </row>
    <row r="709" spans="1:14">
      <c r="A709" s="144"/>
      <c r="B709" s="144"/>
      <c r="C709" s="144"/>
      <c r="D709" s="144"/>
      <c r="E709" s="144"/>
      <c r="F709" s="144"/>
      <c r="G709" s="144"/>
      <c r="H709" s="144"/>
      <c r="I709" s="146"/>
      <c r="J709" s="144"/>
      <c r="K709" s="144"/>
      <c r="L709" s="144"/>
      <c r="M709" s="144"/>
      <c r="N709" s="144"/>
    </row>
    <row r="710" spans="1:14">
      <c r="A710" s="144"/>
      <c r="B710" s="144"/>
      <c r="C710" s="144"/>
      <c r="D710" s="144"/>
      <c r="E710" s="144"/>
      <c r="F710" s="144"/>
      <c r="G710" s="144"/>
      <c r="H710" s="144"/>
      <c r="I710" s="146"/>
      <c r="J710" s="144"/>
      <c r="K710" s="144"/>
      <c r="L710" s="144"/>
      <c r="M710" s="144"/>
      <c r="N710" s="144"/>
    </row>
    <row r="711" spans="1:14">
      <c r="A711" s="144"/>
      <c r="B711" s="144"/>
      <c r="C711" s="144"/>
      <c r="D711" s="144"/>
      <c r="E711" s="144"/>
      <c r="F711" s="144"/>
      <c r="G711" s="144"/>
      <c r="H711" s="144"/>
      <c r="I711" s="146"/>
      <c r="J711" s="144"/>
      <c r="K711" s="144"/>
      <c r="L711" s="144"/>
      <c r="M711" s="144"/>
      <c r="N711" s="144"/>
    </row>
    <row r="712" spans="1:14">
      <c r="A712" s="144"/>
      <c r="B712" s="144"/>
      <c r="C712" s="144"/>
      <c r="D712" s="144"/>
      <c r="E712" s="144"/>
      <c r="F712" s="144"/>
      <c r="G712" s="144"/>
      <c r="H712" s="144"/>
      <c r="I712" s="146"/>
      <c r="J712" s="144"/>
      <c r="K712" s="144"/>
      <c r="L712" s="144"/>
      <c r="M712" s="144"/>
      <c r="N712" s="144"/>
    </row>
    <row r="713" spans="1:14">
      <c r="A713" s="144"/>
      <c r="B713" s="144"/>
      <c r="C713" s="144"/>
      <c r="D713" s="144"/>
      <c r="E713" s="144"/>
      <c r="F713" s="144"/>
      <c r="G713" s="144"/>
      <c r="H713" s="144"/>
      <c r="I713" s="146"/>
      <c r="J713" s="144"/>
      <c r="K713" s="144"/>
      <c r="L713" s="144"/>
      <c r="M713" s="144"/>
      <c r="N713" s="144"/>
    </row>
    <row r="714" spans="1:14">
      <c r="A714" s="144"/>
      <c r="B714" s="144"/>
      <c r="C714" s="144"/>
      <c r="D714" s="144"/>
      <c r="E714" s="144"/>
      <c r="F714" s="144"/>
      <c r="G714" s="144"/>
      <c r="H714" s="144"/>
      <c r="I714" s="146"/>
      <c r="J714" s="144"/>
      <c r="K714" s="144"/>
      <c r="L714" s="144"/>
      <c r="M714" s="144"/>
      <c r="N714" s="144"/>
    </row>
    <row r="715" spans="1:14">
      <c r="A715" s="144"/>
      <c r="B715" s="144"/>
      <c r="C715" s="144"/>
      <c r="D715" s="144"/>
      <c r="E715" s="144"/>
      <c r="F715" s="144"/>
      <c r="G715" s="144"/>
      <c r="H715" s="144"/>
      <c r="I715" s="146"/>
      <c r="J715" s="144"/>
      <c r="K715" s="144"/>
      <c r="L715" s="144"/>
      <c r="M715" s="144"/>
      <c r="N715" s="144"/>
    </row>
    <row r="716" spans="1:14">
      <c r="A716" s="144"/>
      <c r="B716" s="144"/>
      <c r="C716" s="144"/>
      <c r="D716" s="144"/>
      <c r="E716" s="144"/>
      <c r="F716" s="144"/>
      <c r="G716" s="144"/>
      <c r="H716" s="144"/>
      <c r="I716" s="146"/>
      <c r="J716" s="144"/>
      <c r="K716" s="144"/>
      <c r="L716" s="144"/>
      <c r="M716" s="144"/>
      <c r="N716" s="144"/>
    </row>
    <row r="717" spans="1:14">
      <c r="A717" s="144"/>
      <c r="B717" s="144"/>
      <c r="C717" s="144"/>
      <c r="D717" s="144"/>
      <c r="E717" s="144"/>
      <c r="F717" s="144"/>
      <c r="G717" s="144"/>
      <c r="H717" s="144"/>
      <c r="I717" s="146"/>
      <c r="J717" s="144"/>
      <c r="K717" s="144"/>
      <c r="L717" s="144"/>
      <c r="M717" s="144"/>
      <c r="N717" s="144"/>
    </row>
    <row r="718" spans="1:14">
      <c r="A718" s="144"/>
      <c r="B718" s="144"/>
      <c r="C718" s="144"/>
      <c r="D718" s="144"/>
      <c r="E718" s="144"/>
      <c r="F718" s="144"/>
      <c r="G718" s="144"/>
      <c r="H718" s="144"/>
      <c r="I718" s="146"/>
      <c r="J718" s="144"/>
      <c r="K718" s="144"/>
      <c r="L718" s="144"/>
      <c r="M718" s="144"/>
      <c r="N718" s="144"/>
    </row>
    <row r="719" spans="1:14">
      <c r="A719" s="144"/>
      <c r="B719" s="144"/>
      <c r="C719" s="144"/>
      <c r="D719" s="144"/>
      <c r="E719" s="144"/>
      <c r="F719" s="144"/>
      <c r="G719" s="144"/>
      <c r="H719" s="144"/>
      <c r="I719" s="146"/>
      <c r="J719" s="144"/>
      <c r="K719" s="144"/>
      <c r="L719" s="144"/>
      <c r="M719" s="144"/>
      <c r="N719" s="144"/>
    </row>
    <row r="720" spans="1:14">
      <c r="A720" s="144"/>
      <c r="B720" s="144"/>
      <c r="C720" s="144"/>
      <c r="D720" s="144"/>
      <c r="E720" s="144"/>
      <c r="F720" s="144"/>
      <c r="G720" s="144"/>
      <c r="H720" s="144"/>
      <c r="I720" s="146"/>
      <c r="J720" s="144"/>
      <c r="K720" s="144"/>
      <c r="L720" s="144"/>
      <c r="M720" s="144"/>
      <c r="N720" s="144"/>
    </row>
    <row r="721" spans="1:14">
      <c r="A721" s="144"/>
      <c r="B721" s="144"/>
      <c r="C721" s="144"/>
      <c r="D721" s="144"/>
      <c r="E721" s="144"/>
      <c r="F721" s="144"/>
      <c r="G721" s="144"/>
      <c r="H721" s="144"/>
      <c r="I721" s="146"/>
      <c r="J721" s="144"/>
      <c r="K721" s="144"/>
      <c r="L721" s="144"/>
      <c r="M721" s="144"/>
      <c r="N721" s="144"/>
    </row>
    <row r="722" spans="1:14">
      <c r="A722" s="144"/>
      <c r="B722" s="144"/>
      <c r="C722" s="144"/>
      <c r="D722" s="144"/>
      <c r="E722" s="144"/>
      <c r="F722" s="144"/>
      <c r="G722" s="144"/>
      <c r="H722" s="144"/>
      <c r="I722" s="146"/>
      <c r="J722" s="144"/>
      <c r="K722" s="144"/>
      <c r="L722" s="144"/>
      <c r="M722" s="144"/>
      <c r="N722" s="144"/>
    </row>
    <row r="723" spans="1:14">
      <c r="A723" s="144"/>
      <c r="B723" s="144"/>
      <c r="C723" s="144"/>
      <c r="D723" s="144"/>
      <c r="E723" s="144"/>
      <c r="F723" s="144"/>
      <c r="G723" s="144"/>
      <c r="H723" s="144"/>
      <c r="I723" s="146"/>
      <c r="J723" s="144"/>
      <c r="K723" s="144"/>
      <c r="L723" s="144"/>
      <c r="M723" s="144"/>
      <c r="N723" s="144"/>
    </row>
    <row r="724" spans="1:14">
      <c r="A724" s="144"/>
      <c r="B724" s="144"/>
      <c r="C724" s="144"/>
      <c r="D724" s="144"/>
      <c r="E724" s="144"/>
      <c r="F724" s="144"/>
      <c r="G724" s="144"/>
      <c r="H724" s="144"/>
      <c r="I724" s="146"/>
      <c r="J724" s="144"/>
      <c r="K724" s="144"/>
      <c r="L724" s="144"/>
      <c r="M724" s="144"/>
      <c r="N724" s="144"/>
    </row>
    <row r="725" spans="1:14">
      <c r="A725" s="144"/>
      <c r="B725" s="144"/>
      <c r="C725" s="144"/>
      <c r="D725" s="144"/>
      <c r="E725" s="144"/>
      <c r="F725" s="144"/>
      <c r="G725" s="144"/>
      <c r="H725" s="144"/>
      <c r="I725" s="146"/>
      <c r="J725" s="144"/>
      <c r="K725" s="144"/>
      <c r="L725" s="144"/>
      <c r="M725" s="144"/>
      <c r="N725" s="144"/>
    </row>
    <row r="726" spans="1:14">
      <c r="A726" s="144"/>
      <c r="B726" s="144"/>
      <c r="C726" s="144"/>
      <c r="D726" s="144"/>
      <c r="E726" s="144"/>
      <c r="F726" s="144"/>
      <c r="G726" s="144"/>
      <c r="H726" s="144"/>
      <c r="I726" s="146"/>
      <c r="J726" s="144"/>
      <c r="K726" s="144"/>
      <c r="L726" s="144"/>
      <c r="M726" s="144"/>
      <c r="N726" s="144"/>
    </row>
    <row r="727" spans="1:14">
      <c r="A727" s="144"/>
      <c r="B727" s="144"/>
      <c r="C727" s="144"/>
      <c r="D727" s="144"/>
      <c r="E727" s="144"/>
      <c r="F727" s="144"/>
      <c r="G727" s="144"/>
      <c r="H727" s="144"/>
      <c r="I727" s="146"/>
      <c r="J727" s="144"/>
      <c r="K727" s="144"/>
      <c r="L727" s="144"/>
      <c r="M727" s="144"/>
      <c r="N727" s="144"/>
    </row>
    <row r="728" spans="1:14">
      <c r="A728" s="144"/>
      <c r="B728" s="144"/>
      <c r="C728" s="144"/>
      <c r="D728" s="144"/>
      <c r="E728" s="144"/>
      <c r="F728" s="144"/>
      <c r="G728" s="144"/>
      <c r="H728" s="144"/>
      <c r="I728" s="146"/>
      <c r="J728" s="144"/>
      <c r="K728" s="144"/>
      <c r="L728" s="144"/>
      <c r="M728" s="144"/>
      <c r="N728" s="144"/>
    </row>
    <row r="729" spans="1:14">
      <c r="A729" s="144"/>
      <c r="B729" s="144"/>
      <c r="C729" s="144"/>
      <c r="D729" s="144"/>
      <c r="E729" s="144"/>
      <c r="F729" s="144"/>
      <c r="G729" s="144"/>
      <c r="H729" s="144"/>
      <c r="I729" s="146"/>
      <c r="J729" s="144"/>
      <c r="K729" s="144"/>
      <c r="L729" s="144"/>
      <c r="M729" s="144"/>
      <c r="N729" s="144"/>
    </row>
    <row r="730" spans="1:14">
      <c r="A730" s="144"/>
      <c r="B730" s="144"/>
      <c r="C730" s="144"/>
      <c r="D730" s="144"/>
      <c r="E730" s="144"/>
      <c r="F730" s="144"/>
      <c r="G730" s="144"/>
      <c r="H730" s="144"/>
      <c r="I730" s="146"/>
      <c r="J730" s="144"/>
      <c r="K730" s="144"/>
      <c r="L730" s="144"/>
      <c r="M730" s="144"/>
      <c r="N730" s="144"/>
    </row>
    <row r="731" spans="1:14">
      <c r="A731" s="144"/>
      <c r="B731" s="144"/>
      <c r="C731" s="144"/>
      <c r="D731" s="144"/>
      <c r="E731" s="144"/>
      <c r="F731" s="144"/>
      <c r="G731" s="144"/>
      <c r="H731" s="144"/>
      <c r="I731" s="146"/>
      <c r="J731" s="144"/>
      <c r="K731" s="144"/>
      <c r="L731" s="144"/>
      <c r="M731" s="144"/>
      <c r="N731" s="144"/>
    </row>
    <row r="732" spans="1:14">
      <c r="A732" s="144"/>
      <c r="B732" s="144"/>
      <c r="C732" s="144"/>
      <c r="D732" s="144"/>
      <c r="E732" s="144"/>
      <c r="F732" s="144"/>
      <c r="G732" s="144"/>
      <c r="H732" s="144"/>
      <c r="I732" s="146"/>
      <c r="J732" s="144"/>
      <c r="K732" s="144"/>
      <c r="L732" s="144"/>
      <c r="M732" s="144"/>
      <c r="N732" s="144"/>
    </row>
    <row r="733" spans="1:14">
      <c r="A733" s="144"/>
      <c r="B733" s="144"/>
      <c r="C733" s="144"/>
      <c r="D733" s="144"/>
      <c r="E733" s="144"/>
      <c r="F733" s="144"/>
      <c r="G733" s="144"/>
      <c r="H733" s="144"/>
      <c r="I733" s="146"/>
      <c r="J733" s="144"/>
      <c r="K733" s="144"/>
      <c r="L733" s="144"/>
      <c r="M733" s="144"/>
      <c r="N733" s="144"/>
    </row>
    <row r="734" spans="1:14">
      <c r="A734" s="144"/>
      <c r="B734" s="144"/>
      <c r="C734" s="144"/>
      <c r="D734" s="144"/>
      <c r="E734" s="144"/>
      <c r="F734" s="144"/>
      <c r="G734" s="144"/>
      <c r="H734" s="144"/>
      <c r="I734" s="146"/>
      <c r="J734" s="144"/>
      <c r="K734" s="144"/>
      <c r="L734" s="144"/>
      <c r="M734" s="144"/>
      <c r="N734" s="144"/>
    </row>
    <row r="735" spans="1:14">
      <c r="A735" s="144"/>
      <c r="B735" s="144"/>
      <c r="C735" s="144"/>
      <c r="D735" s="144"/>
      <c r="E735" s="144"/>
      <c r="F735" s="144"/>
      <c r="G735" s="144"/>
      <c r="H735" s="144"/>
      <c r="I735" s="146"/>
      <c r="J735" s="144"/>
      <c r="K735" s="144"/>
      <c r="L735" s="144"/>
      <c r="M735" s="144"/>
      <c r="N735" s="144"/>
    </row>
    <row r="736" spans="1:14">
      <c r="A736" s="144"/>
      <c r="B736" s="144"/>
      <c r="C736" s="144"/>
      <c r="D736" s="144"/>
      <c r="E736" s="144"/>
      <c r="F736" s="144"/>
      <c r="G736" s="144"/>
      <c r="H736" s="144"/>
      <c r="I736" s="146"/>
      <c r="J736" s="144"/>
      <c r="K736" s="144"/>
      <c r="L736" s="144"/>
      <c r="M736" s="144"/>
      <c r="N736" s="144"/>
    </row>
    <row r="737" spans="1:14">
      <c r="A737" s="144"/>
      <c r="B737" s="144"/>
      <c r="C737" s="144"/>
      <c r="D737" s="144"/>
      <c r="E737" s="144"/>
      <c r="F737" s="144"/>
      <c r="G737" s="144"/>
      <c r="H737" s="144"/>
      <c r="I737" s="146"/>
      <c r="J737" s="144"/>
      <c r="K737" s="144"/>
      <c r="L737" s="144"/>
      <c r="M737" s="144"/>
      <c r="N737" s="144"/>
    </row>
    <row r="738" spans="1:14">
      <c r="A738" s="144"/>
      <c r="B738" s="144"/>
      <c r="C738" s="144"/>
      <c r="D738" s="144"/>
      <c r="E738" s="144"/>
      <c r="F738" s="144"/>
      <c r="G738" s="144"/>
      <c r="H738" s="144"/>
      <c r="I738" s="146"/>
      <c r="J738" s="144"/>
      <c r="K738" s="144"/>
      <c r="L738" s="144"/>
      <c r="M738" s="144"/>
      <c r="N738" s="144"/>
    </row>
    <row r="739" spans="1:14">
      <c r="A739" s="144"/>
      <c r="B739" s="144"/>
      <c r="C739" s="144"/>
      <c r="D739" s="144"/>
      <c r="E739" s="144"/>
      <c r="F739" s="144"/>
      <c r="G739" s="144"/>
      <c r="H739" s="144"/>
      <c r="I739" s="146"/>
      <c r="J739" s="144"/>
      <c r="K739" s="144"/>
      <c r="L739" s="144"/>
      <c r="M739" s="144"/>
      <c r="N739" s="144"/>
    </row>
    <row r="740" spans="1:14">
      <c r="A740" s="144"/>
      <c r="B740" s="144"/>
      <c r="C740" s="144"/>
      <c r="D740" s="144"/>
      <c r="E740" s="144"/>
      <c r="F740" s="144"/>
      <c r="G740" s="144"/>
      <c r="H740" s="144"/>
      <c r="I740" s="146"/>
      <c r="J740" s="144"/>
      <c r="K740" s="144"/>
      <c r="L740" s="144"/>
      <c r="M740" s="144"/>
      <c r="N740" s="144"/>
    </row>
    <row r="741" spans="1:14">
      <c r="A741" s="144"/>
      <c r="B741" s="144"/>
      <c r="C741" s="144"/>
      <c r="D741" s="144"/>
      <c r="E741" s="144"/>
      <c r="F741" s="144"/>
      <c r="G741" s="144"/>
      <c r="H741" s="144"/>
      <c r="I741" s="146"/>
      <c r="J741" s="144"/>
      <c r="K741" s="144"/>
      <c r="L741" s="144"/>
      <c r="M741" s="144"/>
      <c r="N741" s="144"/>
    </row>
    <row r="742" spans="1:14">
      <c r="A742" s="144"/>
      <c r="B742" s="144"/>
      <c r="C742" s="144"/>
      <c r="D742" s="144"/>
      <c r="E742" s="144"/>
      <c r="F742" s="144"/>
      <c r="G742" s="144"/>
      <c r="H742" s="144"/>
      <c r="I742" s="146"/>
      <c r="J742" s="144"/>
      <c r="K742" s="144"/>
      <c r="L742" s="144"/>
      <c r="M742" s="144"/>
      <c r="N742" s="144"/>
    </row>
    <row r="743" spans="1:14">
      <c r="A743" s="144"/>
      <c r="B743" s="144"/>
      <c r="C743" s="144"/>
      <c r="D743" s="144"/>
      <c r="E743" s="144"/>
      <c r="F743" s="144"/>
      <c r="G743" s="144"/>
      <c r="H743" s="144"/>
      <c r="I743" s="146"/>
      <c r="J743" s="144"/>
      <c r="K743" s="144"/>
      <c r="L743" s="144"/>
      <c r="M743" s="144"/>
      <c r="N743" s="144"/>
    </row>
    <row r="744" spans="1:14">
      <c r="A744" s="144"/>
      <c r="B744" s="144"/>
      <c r="C744" s="144"/>
      <c r="D744" s="144"/>
      <c r="E744" s="144"/>
      <c r="F744" s="144"/>
      <c r="G744" s="144"/>
      <c r="H744" s="144"/>
      <c r="I744" s="146"/>
      <c r="J744" s="144"/>
      <c r="K744" s="144"/>
      <c r="L744" s="144"/>
      <c r="M744" s="144"/>
      <c r="N744" s="144"/>
    </row>
    <row r="745" spans="1:14">
      <c r="A745" s="144"/>
      <c r="B745" s="144"/>
      <c r="C745" s="144"/>
      <c r="D745" s="144"/>
      <c r="E745" s="144"/>
      <c r="F745" s="144"/>
      <c r="G745" s="144"/>
      <c r="H745" s="144"/>
      <c r="I745" s="146"/>
      <c r="J745" s="144"/>
      <c r="K745" s="144"/>
      <c r="L745" s="144"/>
      <c r="M745" s="144"/>
      <c r="N745" s="144"/>
    </row>
    <row r="746" spans="1:14">
      <c r="A746" s="144"/>
      <c r="B746" s="144"/>
      <c r="C746" s="144"/>
      <c r="D746" s="144"/>
      <c r="E746" s="144"/>
      <c r="F746" s="144"/>
      <c r="G746" s="144"/>
      <c r="H746" s="144"/>
      <c r="I746" s="146"/>
      <c r="J746" s="144"/>
      <c r="K746" s="144"/>
      <c r="L746" s="144"/>
      <c r="M746" s="144"/>
      <c r="N746" s="144"/>
    </row>
    <row r="747" spans="1:14">
      <c r="A747" s="144"/>
      <c r="B747" s="144"/>
      <c r="C747" s="144"/>
      <c r="D747" s="144"/>
      <c r="E747" s="144"/>
      <c r="F747" s="144"/>
      <c r="G747" s="144"/>
      <c r="H747" s="144"/>
      <c r="I747" s="146"/>
      <c r="J747" s="144"/>
      <c r="K747" s="144"/>
      <c r="L747" s="144"/>
      <c r="M747" s="144"/>
      <c r="N747" s="144"/>
    </row>
    <row r="748" spans="1:14">
      <c r="A748" s="144"/>
      <c r="B748" s="144"/>
      <c r="C748" s="144"/>
      <c r="D748" s="144"/>
      <c r="E748" s="144"/>
      <c r="F748" s="144"/>
      <c r="G748" s="144"/>
      <c r="H748" s="144"/>
      <c r="I748" s="146"/>
      <c r="J748" s="144"/>
      <c r="K748" s="144"/>
      <c r="L748" s="144"/>
      <c r="M748" s="144"/>
      <c r="N748" s="144"/>
    </row>
    <row r="749" spans="1:14">
      <c r="A749" s="144"/>
      <c r="B749" s="144"/>
      <c r="C749" s="144"/>
      <c r="D749" s="144"/>
      <c r="E749" s="144"/>
      <c r="F749" s="144"/>
      <c r="G749" s="144"/>
      <c r="H749" s="144"/>
      <c r="I749" s="146"/>
      <c r="J749" s="144"/>
      <c r="K749" s="144"/>
      <c r="L749" s="144"/>
      <c r="M749" s="144"/>
      <c r="N749" s="144"/>
    </row>
    <row r="750" spans="1:14">
      <c r="A750" s="144"/>
      <c r="B750" s="144"/>
      <c r="C750" s="144"/>
      <c r="D750" s="144"/>
      <c r="E750" s="144"/>
      <c r="F750" s="144"/>
      <c r="G750" s="144"/>
      <c r="H750" s="144"/>
      <c r="I750" s="146"/>
      <c r="J750" s="144"/>
      <c r="K750" s="144"/>
      <c r="L750" s="144"/>
      <c r="M750" s="144"/>
      <c r="N750" s="144"/>
    </row>
    <row r="751" spans="1:14">
      <c r="A751" s="144"/>
      <c r="B751" s="144"/>
      <c r="C751" s="144"/>
      <c r="D751" s="144"/>
      <c r="E751" s="144"/>
      <c r="F751" s="144"/>
      <c r="G751" s="144"/>
      <c r="H751" s="144"/>
      <c r="I751" s="146"/>
      <c r="J751" s="144"/>
      <c r="K751" s="144"/>
      <c r="L751" s="144"/>
      <c r="M751" s="144"/>
      <c r="N751" s="144"/>
    </row>
    <row r="752" spans="1:14">
      <c r="A752" s="144"/>
      <c r="B752" s="144"/>
      <c r="C752" s="144"/>
      <c r="D752" s="144"/>
      <c r="E752" s="144"/>
      <c r="F752" s="144"/>
      <c r="G752" s="144"/>
      <c r="H752" s="144"/>
      <c r="I752" s="146"/>
      <c r="J752" s="144"/>
      <c r="K752" s="144"/>
      <c r="L752" s="144"/>
      <c r="M752" s="144"/>
      <c r="N752" s="144"/>
    </row>
    <row r="753" spans="1:14">
      <c r="A753" s="144"/>
      <c r="B753" s="144"/>
      <c r="C753" s="144"/>
      <c r="D753" s="144"/>
      <c r="E753" s="144"/>
      <c r="F753" s="144"/>
      <c r="G753" s="144"/>
      <c r="H753" s="144"/>
      <c r="I753" s="146"/>
      <c r="J753" s="144"/>
      <c r="K753" s="144"/>
      <c r="L753" s="144"/>
      <c r="M753" s="144"/>
      <c r="N753" s="144"/>
    </row>
    <row r="754" spans="1:14">
      <c r="A754" s="144"/>
      <c r="B754" s="144"/>
      <c r="C754" s="144"/>
      <c r="D754" s="144"/>
      <c r="E754" s="144"/>
      <c r="F754" s="144"/>
      <c r="G754" s="144"/>
      <c r="H754" s="144"/>
      <c r="I754" s="146"/>
      <c r="J754" s="144"/>
      <c r="K754" s="144"/>
      <c r="L754" s="144"/>
      <c r="M754" s="144"/>
      <c r="N754" s="144"/>
    </row>
    <row r="755" spans="1:14">
      <c r="A755" s="144"/>
      <c r="B755" s="144"/>
      <c r="C755" s="144"/>
      <c r="D755" s="144"/>
      <c r="E755" s="144"/>
      <c r="F755" s="144"/>
      <c r="G755" s="144"/>
      <c r="H755" s="144"/>
      <c r="I755" s="146"/>
      <c r="J755" s="144"/>
      <c r="K755" s="144"/>
      <c r="L755" s="144"/>
      <c r="M755" s="144"/>
      <c r="N755" s="144"/>
    </row>
    <row r="756" spans="1:14">
      <c r="A756" s="144"/>
      <c r="B756" s="144"/>
      <c r="C756" s="144"/>
      <c r="D756" s="144"/>
      <c r="E756" s="144"/>
      <c r="F756" s="144"/>
      <c r="G756" s="144"/>
      <c r="H756" s="144"/>
      <c r="I756" s="146"/>
      <c r="J756" s="144"/>
      <c r="K756" s="144"/>
      <c r="L756" s="144"/>
      <c r="M756" s="144"/>
      <c r="N756" s="144"/>
    </row>
    <row r="757" spans="1:14">
      <c r="A757" s="144"/>
      <c r="B757" s="144"/>
      <c r="C757" s="144"/>
      <c r="D757" s="144"/>
      <c r="E757" s="144"/>
      <c r="F757" s="144"/>
      <c r="G757" s="144"/>
      <c r="H757" s="144"/>
      <c r="I757" s="146"/>
      <c r="J757" s="144"/>
      <c r="K757" s="144"/>
      <c r="L757" s="144"/>
      <c r="M757" s="144"/>
      <c r="N757" s="144"/>
    </row>
    <row r="758" spans="1:14">
      <c r="A758" s="144"/>
      <c r="B758" s="144"/>
      <c r="C758" s="144"/>
      <c r="D758" s="144"/>
      <c r="E758" s="144"/>
      <c r="F758" s="144"/>
      <c r="G758" s="144"/>
      <c r="H758" s="144"/>
      <c r="I758" s="146"/>
      <c r="J758" s="144"/>
      <c r="K758" s="144"/>
      <c r="L758" s="144"/>
      <c r="M758" s="144"/>
      <c r="N758" s="144"/>
    </row>
    <row r="759" spans="1:14">
      <c r="A759" s="144"/>
      <c r="B759" s="144"/>
      <c r="C759" s="144"/>
      <c r="D759" s="144"/>
      <c r="E759" s="144"/>
      <c r="F759" s="144"/>
      <c r="G759" s="144"/>
      <c r="H759" s="144"/>
      <c r="I759" s="146"/>
      <c r="J759" s="144"/>
      <c r="K759" s="144"/>
      <c r="L759" s="144"/>
      <c r="M759" s="144"/>
      <c r="N759" s="144"/>
    </row>
    <row r="760" spans="1:14">
      <c r="A760" s="144"/>
      <c r="B760" s="144"/>
      <c r="C760" s="144"/>
      <c r="D760" s="144"/>
      <c r="E760" s="144"/>
      <c r="F760" s="144"/>
      <c r="G760" s="144"/>
      <c r="H760" s="144"/>
      <c r="I760" s="146"/>
      <c r="J760" s="144"/>
      <c r="K760" s="144"/>
      <c r="L760" s="144"/>
      <c r="M760" s="144"/>
      <c r="N760" s="144"/>
    </row>
    <row r="761" spans="1:14">
      <c r="A761" s="144"/>
      <c r="B761" s="144"/>
      <c r="C761" s="144"/>
      <c r="D761" s="144"/>
      <c r="E761" s="144"/>
      <c r="F761" s="144"/>
      <c r="G761" s="144"/>
      <c r="H761" s="144"/>
      <c r="I761" s="146"/>
      <c r="J761" s="144"/>
      <c r="K761" s="144"/>
      <c r="L761" s="144"/>
      <c r="M761" s="144"/>
      <c r="N761" s="144"/>
    </row>
    <row r="762" spans="1:14">
      <c r="A762" s="144"/>
      <c r="B762" s="144"/>
      <c r="C762" s="144"/>
      <c r="D762" s="144"/>
      <c r="E762" s="144"/>
      <c r="F762" s="144"/>
      <c r="G762" s="144"/>
      <c r="H762" s="144"/>
      <c r="I762" s="146"/>
      <c r="J762" s="144"/>
      <c r="K762" s="144"/>
      <c r="L762" s="144"/>
      <c r="M762" s="144"/>
      <c r="N762" s="144"/>
    </row>
    <row r="763" spans="1:14">
      <c r="A763" s="144"/>
      <c r="B763" s="144"/>
      <c r="C763" s="144"/>
      <c r="D763" s="144"/>
      <c r="E763" s="144"/>
      <c r="F763" s="144"/>
      <c r="G763" s="144"/>
      <c r="H763" s="144"/>
      <c r="I763" s="146"/>
      <c r="J763" s="144"/>
      <c r="K763" s="144"/>
      <c r="L763" s="144"/>
      <c r="M763" s="144"/>
      <c r="N763" s="144"/>
    </row>
    <row r="764" spans="1:14">
      <c r="A764" s="144"/>
      <c r="B764" s="144"/>
      <c r="C764" s="144"/>
      <c r="D764" s="144"/>
      <c r="E764" s="144"/>
      <c r="F764" s="144"/>
      <c r="G764" s="144"/>
      <c r="H764" s="144"/>
      <c r="I764" s="146"/>
      <c r="J764" s="144"/>
      <c r="K764" s="144"/>
      <c r="L764" s="144"/>
      <c r="M764" s="144"/>
      <c r="N764" s="144"/>
    </row>
    <row r="765" spans="1:14">
      <c r="A765" s="144"/>
      <c r="B765" s="144"/>
      <c r="C765" s="144"/>
      <c r="D765" s="144"/>
      <c r="E765" s="144"/>
      <c r="F765" s="144"/>
      <c r="G765" s="144"/>
      <c r="H765" s="144"/>
      <c r="I765" s="146"/>
      <c r="J765" s="144"/>
      <c r="K765" s="144"/>
      <c r="L765" s="144"/>
      <c r="M765" s="144"/>
      <c r="N765" s="144"/>
    </row>
    <row r="766" spans="1:14">
      <c r="A766" s="144"/>
      <c r="B766" s="144"/>
      <c r="C766" s="144"/>
      <c r="D766" s="144"/>
      <c r="E766" s="144"/>
      <c r="F766" s="144"/>
      <c r="G766" s="144"/>
      <c r="H766" s="144"/>
      <c r="I766" s="146"/>
      <c r="J766" s="144"/>
      <c r="K766" s="144"/>
      <c r="L766" s="144"/>
      <c r="M766" s="144"/>
      <c r="N766" s="144"/>
    </row>
    <row r="767" spans="1:14">
      <c r="A767" s="144"/>
      <c r="B767" s="144"/>
      <c r="C767" s="144"/>
      <c r="D767" s="144"/>
      <c r="E767" s="144"/>
      <c r="F767" s="144"/>
      <c r="G767" s="144"/>
      <c r="H767" s="144"/>
      <c r="I767" s="146"/>
      <c r="J767" s="144"/>
      <c r="K767" s="144"/>
      <c r="L767" s="144"/>
      <c r="M767" s="144"/>
      <c r="N767" s="144"/>
    </row>
    <row r="768" spans="1:14">
      <c r="A768" s="144"/>
      <c r="B768" s="144"/>
      <c r="C768" s="144"/>
      <c r="D768" s="144"/>
      <c r="E768" s="144"/>
      <c r="F768" s="144"/>
      <c r="G768" s="144"/>
      <c r="H768" s="144"/>
      <c r="I768" s="146"/>
      <c r="J768" s="144"/>
      <c r="K768" s="144"/>
      <c r="L768" s="144"/>
      <c r="M768" s="144"/>
      <c r="N768" s="144"/>
    </row>
    <row r="769" spans="1:14">
      <c r="A769" s="144"/>
      <c r="B769" s="144"/>
      <c r="C769" s="144"/>
      <c r="D769" s="144"/>
      <c r="E769" s="144"/>
      <c r="F769" s="144"/>
      <c r="G769" s="144"/>
      <c r="H769" s="144"/>
      <c r="I769" s="146"/>
      <c r="J769" s="144"/>
      <c r="K769" s="144"/>
      <c r="L769" s="144"/>
      <c r="M769" s="144"/>
      <c r="N769" s="144"/>
    </row>
    <row r="770" spans="1:14">
      <c r="A770" s="144"/>
      <c r="B770" s="144"/>
      <c r="C770" s="144"/>
      <c r="D770" s="144"/>
      <c r="E770" s="144"/>
      <c r="F770" s="144"/>
      <c r="G770" s="144"/>
      <c r="H770" s="144"/>
      <c r="I770" s="146"/>
      <c r="J770" s="144"/>
      <c r="K770" s="144"/>
      <c r="L770" s="144"/>
      <c r="M770" s="144"/>
      <c r="N770" s="144"/>
    </row>
    <row r="771" spans="1:14">
      <c r="A771" s="144"/>
      <c r="B771" s="144"/>
      <c r="C771" s="144"/>
      <c r="D771" s="144"/>
      <c r="E771" s="144"/>
      <c r="F771" s="144"/>
      <c r="G771" s="144"/>
      <c r="H771" s="144"/>
      <c r="I771" s="146"/>
      <c r="J771" s="144"/>
      <c r="K771" s="144"/>
      <c r="L771" s="144"/>
      <c r="M771" s="144"/>
      <c r="N771" s="144"/>
    </row>
    <row r="772" spans="1:14">
      <c r="A772" s="144"/>
      <c r="B772" s="144"/>
      <c r="C772" s="144"/>
      <c r="D772" s="144"/>
      <c r="E772" s="144"/>
      <c r="F772" s="144"/>
      <c r="G772" s="144"/>
      <c r="H772" s="144"/>
      <c r="I772" s="146"/>
      <c r="J772" s="144"/>
      <c r="K772" s="144"/>
      <c r="L772" s="144"/>
      <c r="M772" s="144"/>
      <c r="N772" s="144"/>
    </row>
    <row r="773" spans="1:14">
      <c r="A773" s="144"/>
      <c r="B773" s="144"/>
      <c r="C773" s="144"/>
      <c r="D773" s="144"/>
      <c r="E773" s="144"/>
      <c r="F773" s="144"/>
      <c r="G773" s="144"/>
      <c r="H773" s="144"/>
      <c r="I773" s="146"/>
      <c r="J773" s="144"/>
      <c r="K773" s="144"/>
      <c r="L773" s="144"/>
      <c r="M773" s="144"/>
      <c r="N773" s="144"/>
    </row>
    <row r="774" spans="1:14">
      <c r="A774" s="144"/>
      <c r="B774" s="144"/>
      <c r="C774" s="144"/>
      <c r="D774" s="144"/>
      <c r="E774" s="144"/>
      <c r="F774" s="144"/>
      <c r="G774" s="144"/>
      <c r="H774" s="144"/>
      <c r="I774" s="146"/>
      <c r="J774" s="144"/>
      <c r="K774" s="144"/>
      <c r="L774" s="144"/>
      <c r="M774" s="144"/>
      <c r="N774" s="144"/>
    </row>
    <row r="775" spans="1:14">
      <c r="A775" s="144"/>
      <c r="B775" s="144"/>
      <c r="C775" s="144"/>
      <c r="D775" s="144"/>
      <c r="E775" s="144"/>
      <c r="F775" s="144"/>
      <c r="G775" s="144"/>
      <c r="H775" s="144"/>
      <c r="I775" s="146"/>
      <c r="J775" s="144"/>
      <c r="K775" s="144"/>
      <c r="L775" s="144"/>
      <c r="M775" s="144"/>
      <c r="N775" s="144"/>
    </row>
    <row r="776" spans="1:14">
      <c r="A776" s="144"/>
      <c r="B776" s="144"/>
      <c r="C776" s="144"/>
      <c r="D776" s="144"/>
      <c r="E776" s="144"/>
      <c r="F776" s="144"/>
      <c r="G776" s="144"/>
      <c r="H776" s="144"/>
      <c r="I776" s="146"/>
      <c r="J776" s="144"/>
      <c r="K776" s="144"/>
      <c r="L776" s="144"/>
      <c r="M776" s="144"/>
      <c r="N776" s="144"/>
    </row>
    <row r="777" spans="1:14">
      <c r="A777" s="144"/>
      <c r="B777" s="144"/>
      <c r="C777" s="144"/>
      <c r="D777" s="144"/>
      <c r="E777" s="144"/>
      <c r="F777" s="144"/>
      <c r="G777" s="144"/>
      <c r="H777" s="144"/>
      <c r="I777" s="146"/>
      <c r="J777" s="144"/>
      <c r="K777" s="144"/>
      <c r="L777" s="144"/>
      <c r="M777" s="144"/>
      <c r="N777" s="144"/>
    </row>
    <row r="778" spans="1:14">
      <c r="A778" s="144"/>
      <c r="B778" s="144"/>
      <c r="C778" s="144"/>
      <c r="D778" s="144"/>
      <c r="E778" s="144"/>
      <c r="F778" s="144"/>
      <c r="G778" s="144"/>
      <c r="H778" s="144"/>
      <c r="I778" s="146"/>
      <c r="J778" s="144"/>
      <c r="K778" s="144"/>
      <c r="L778" s="144"/>
      <c r="M778" s="144"/>
      <c r="N778" s="144"/>
    </row>
    <row r="779" spans="1:14">
      <c r="A779" s="144"/>
      <c r="B779" s="144"/>
      <c r="C779" s="144"/>
      <c r="D779" s="144"/>
      <c r="E779" s="144"/>
      <c r="F779" s="144"/>
      <c r="G779" s="144"/>
      <c r="H779" s="144"/>
      <c r="I779" s="146"/>
      <c r="J779" s="144"/>
      <c r="K779" s="144"/>
      <c r="L779" s="144"/>
      <c r="M779" s="144"/>
      <c r="N779" s="144"/>
    </row>
    <row r="780" spans="1:14">
      <c r="A780" s="144"/>
      <c r="B780" s="144"/>
      <c r="C780" s="144"/>
      <c r="D780" s="144"/>
      <c r="E780" s="144"/>
      <c r="F780" s="144"/>
      <c r="G780" s="144"/>
      <c r="H780" s="144"/>
      <c r="I780" s="146"/>
      <c r="J780" s="144"/>
      <c r="K780" s="144"/>
      <c r="L780" s="144"/>
      <c r="M780" s="144"/>
      <c r="N780" s="144"/>
    </row>
    <row r="781" spans="1:14">
      <c r="A781" s="144"/>
      <c r="B781" s="144"/>
      <c r="C781" s="144"/>
      <c r="D781" s="144"/>
      <c r="E781" s="144"/>
      <c r="F781" s="144"/>
      <c r="G781" s="144"/>
      <c r="H781" s="144"/>
      <c r="I781" s="146"/>
      <c r="J781" s="144"/>
      <c r="K781" s="144"/>
      <c r="L781" s="144"/>
      <c r="M781" s="144"/>
      <c r="N781" s="144"/>
    </row>
    <row r="782" spans="1:14">
      <c r="A782" s="144"/>
      <c r="B782" s="144"/>
      <c r="C782" s="144"/>
      <c r="D782" s="144"/>
      <c r="E782" s="144"/>
      <c r="F782" s="144"/>
      <c r="G782" s="144"/>
      <c r="H782" s="144"/>
      <c r="I782" s="146"/>
      <c r="J782" s="144"/>
      <c r="K782" s="144"/>
      <c r="L782" s="144"/>
      <c r="M782" s="144"/>
      <c r="N782" s="144"/>
    </row>
    <row r="783" spans="1:14">
      <c r="A783" s="144"/>
      <c r="B783" s="144"/>
      <c r="C783" s="144"/>
      <c r="D783" s="144"/>
      <c r="E783" s="144"/>
      <c r="F783" s="144"/>
      <c r="G783" s="144"/>
      <c r="H783" s="144"/>
      <c r="I783" s="146"/>
      <c r="J783" s="144"/>
      <c r="K783" s="144"/>
      <c r="L783" s="144"/>
      <c r="M783" s="144"/>
      <c r="N783" s="144"/>
    </row>
    <row r="784" spans="1:14">
      <c r="A784" s="144"/>
      <c r="B784" s="144"/>
      <c r="C784" s="144"/>
      <c r="D784" s="144"/>
      <c r="E784" s="144"/>
      <c r="F784" s="144"/>
      <c r="G784" s="144"/>
      <c r="H784" s="144"/>
      <c r="I784" s="146"/>
      <c r="J784" s="144"/>
      <c r="K784" s="144"/>
      <c r="L784" s="144"/>
      <c r="M784" s="144"/>
      <c r="N784" s="144"/>
    </row>
    <row r="785" spans="1:14">
      <c r="A785" s="144"/>
      <c r="B785" s="144"/>
      <c r="C785" s="144"/>
      <c r="D785" s="144"/>
      <c r="E785" s="144"/>
      <c r="F785" s="144"/>
      <c r="G785" s="144"/>
      <c r="H785" s="144"/>
      <c r="I785" s="146"/>
      <c r="J785" s="144"/>
      <c r="K785" s="144"/>
      <c r="L785" s="144"/>
      <c r="M785" s="144"/>
      <c r="N785" s="144"/>
    </row>
    <row r="786" spans="1:14">
      <c r="A786" s="144"/>
      <c r="B786" s="144"/>
      <c r="C786" s="144"/>
      <c r="D786" s="144"/>
      <c r="E786" s="144"/>
      <c r="F786" s="144"/>
      <c r="G786" s="144"/>
      <c r="H786" s="144"/>
      <c r="I786" s="146"/>
      <c r="J786" s="144"/>
      <c r="K786" s="144"/>
      <c r="L786" s="144"/>
      <c r="M786" s="144"/>
      <c r="N786" s="144"/>
    </row>
    <row r="787" spans="1:14">
      <c r="A787" s="144"/>
      <c r="B787" s="144"/>
      <c r="C787" s="144"/>
      <c r="D787" s="144"/>
      <c r="E787" s="144"/>
      <c r="F787" s="144"/>
      <c r="G787" s="144"/>
      <c r="H787" s="144"/>
      <c r="I787" s="146"/>
      <c r="J787" s="144"/>
      <c r="K787" s="144"/>
      <c r="L787" s="144"/>
      <c r="M787" s="144"/>
      <c r="N787" s="144"/>
    </row>
    <row r="788" spans="1:14">
      <c r="A788" s="144"/>
      <c r="B788" s="144"/>
      <c r="C788" s="144"/>
      <c r="D788" s="144"/>
      <c r="E788" s="144"/>
      <c r="F788" s="144"/>
      <c r="G788" s="144"/>
      <c r="H788" s="144"/>
      <c r="I788" s="146"/>
      <c r="J788" s="144"/>
      <c r="K788" s="144"/>
      <c r="L788" s="144"/>
      <c r="M788" s="144"/>
      <c r="N788" s="144"/>
    </row>
    <row r="789" spans="1:14">
      <c r="A789" s="144"/>
      <c r="B789" s="144"/>
      <c r="C789" s="144"/>
      <c r="D789" s="144"/>
      <c r="E789" s="144"/>
      <c r="F789" s="144"/>
      <c r="G789" s="144"/>
      <c r="H789" s="144"/>
      <c r="I789" s="146"/>
      <c r="J789" s="144"/>
      <c r="K789" s="144"/>
      <c r="L789" s="144"/>
      <c r="M789" s="144"/>
      <c r="N789" s="144"/>
    </row>
    <row r="790" spans="1:14">
      <c r="A790" s="144"/>
      <c r="B790" s="144"/>
      <c r="C790" s="144"/>
      <c r="D790" s="144"/>
      <c r="E790" s="144"/>
      <c r="F790" s="144"/>
      <c r="G790" s="144"/>
      <c r="H790" s="144"/>
      <c r="I790" s="146"/>
      <c r="J790" s="144"/>
      <c r="K790" s="144"/>
      <c r="L790" s="144"/>
      <c r="M790" s="144"/>
      <c r="N790" s="144"/>
    </row>
    <row r="791" spans="1:14">
      <c r="A791" s="144"/>
      <c r="B791" s="144"/>
      <c r="C791" s="144"/>
      <c r="D791" s="144"/>
      <c r="E791" s="144"/>
      <c r="F791" s="144"/>
      <c r="G791" s="144"/>
      <c r="H791" s="144"/>
      <c r="I791" s="146"/>
      <c r="J791" s="144"/>
      <c r="K791" s="144"/>
      <c r="L791" s="144"/>
      <c r="M791" s="144"/>
      <c r="N791" s="144"/>
    </row>
    <row r="792" spans="1:14">
      <c r="A792" s="144"/>
      <c r="B792" s="144"/>
      <c r="C792" s="144"/>
      <c r="D792" s="144"/>
      <c r="E792" s="144"/>
      <c r="F792" s="144"/>
      <c r="G792" s="144"/>
      <c r="H792" s="144"/>
      <c r="I792" s="146"/>
      <c r="J792" s="144"/>
      <c r="K792" s="144"/>
      <c r="L792" s="144"/>
      <c r="M792" s="144"/>
      <c r="N792" s="144"/>
    </row>
    <row r="793" spans="1:14">
      <c r="A793" s="144"/>
      <c r="B793" s="144"/>
      <c r="C793" s="144"/>
      <c r="D793" s="144"/>
      <c r="E793" s="144"/>
      <c r="F793" s="144"/>
      <c r="G793" s="144"/>
      <c r="H793" s="144"/>
      <c r="I793" s="146"/>
      <c r="J793" s="144"/>
      <c r="K793" s="144"/>
      <c r="L793" s="144"/>
      <c r="M793" s="144"/>
      <c r="N793" s="144"/>
    </row>
    <row r="794" spans="1:14">
      <c r="A794" s="144"/>
      <c r="B794" s="144"/>
      <c r="C794" s="144"/>
      <c r="D794" s="144"/>
      <c r="E794" s="144"/>
      <c r="F794" s="144"/>
      <c r="G794" s="144"/>
      <c r="H794" s="144"/>
      <c r="I794" s="146"/>
      <c r="J794" s="144"/>
      <c r="K794" s="144"/>
      <c r="L794" s="144"/>
      <c r="M794" s="144"/>
      <c r="N794" s="144"/>
    </row>
    <row r="795" spans="1:14">
      <c r="A795" s="144"/>
      <c r="B795" s="144"/>
      <c r="C795" s="144"/>
      <c r="D795" s="144"/>
      <c r="E795" s="144"/>
      <c r="F795" s="144"/>
      <c r="G795" s="144"/>
      <c r="H795" s="144"/>
      <c r="I795" s="146"/>
      <c r="J795" s="144"/>
      <c r="K795" s="144"/>
      <c r="L795" s="144"/>
      <c r="M795" s="144"/>
      <c r="N795" s="144"/>
    </row>
    <row r="796" spans="1:14">
      <c r="A796" s="144"/>
      <c r="B796" s="144"/>
      <c r="C796" s="144"/>
      <c r="D796" s="144"/>
      <c r="E796" s="144"/>
      <c r="F796" s="144"/>
      <c r="G796" s="144"/>
      <c r="H796" s="144"/>
      <c r="I796" s="146"/>
      <c r="J796" s="144"/>
      <c r="K796" s="144"/>
      <c r="L796" s="144"/>
      <c r="M796" s="144"/>
      <c r="N796" s="144"/>
    </row>
    <row r="797" spans="1:14">
      <c r="A797" s="144"/>
      <c r="B797" s="144"/>
      <c r="C797" s="144"/>
      <c r="D797" s="144"/>
      <c r="E797" s="144"/>
      <c r="F797" s="144"/>
      <c r="G797" s="144"/>
      <c r="H797" s="144"/>
      <c r="I797" s="146"/>
      <c r="J797" s="144"/>
      <c r="K797" s="144"/>
      <c r="L797" s="144"/>
      <c r="M797" s="144"/>
      <c r="N797" s="144"/>
    </row>
    <row r="798" spans="1:14">
      <c r="A798" s="144"/>
      <c r="B798" s="144"/>
      <c r="C798" s="144"/>
      <c r="D798" s="144"/>
      <c r="E798" s="144"/>
      <c r="F798" s="144"/>
      <c r="G798" s="144"/>
      <c r="H798" s="144"/>
      <c r="I798" s="146"/>
      <c r="J798" s="144"/>
      <c r="K798" s="144"/>
      <c r="L798" s="144"/>
      <c r="M798" s="144"/>
      <c r="N798" s="144"/>
    </row>
    <row r="799" spans="1:14">
      <c r="A799" s="144"/>
      <c r="B799" s="144"/>
      <c r="C799" s="144"/>
      <c r="D799" s="144"/>
      <c r="E799" s="144"/>
      <c r="F799" s="144"/>
      <c r="G799" s="144"/>
      <c r="H799" s="144"/>
      <c r="I799" s="146"/>
      <c r="J799" s="144"/>
      <c r="K799" s="144"/>
      <c r="L799" s="144"/>
      <c r="M799" s="144"/>
      <c r="N799" s="144"/>
    </row>
    <row r="800" spans="1:14">
      <c r="A800" s="144"/>
      <c r="B800" s="144"/>
      <c r="C800" s="144"/>
      <c r="D800" s="144"/>
      <c r="E800" s="144"/>
      <c r="F800" s="144"/>
      <c r="G800" s="144"/>
      <c r="H800" s="144"/>
      <c r="I800" s="146"/>
      <c r="J800" s="144"/>
      <c r="K800" s="144"/>
      <c r="L800" s="144"/>
      <c r="M800" s="144"/>
      <c r="N800" s="144"/>
    </row>
    <row r="801" spans="1:14">
      <c r="A801" s="144"/>
      <c r="B801" s="144"/>
      <c r="C801" s="144"/>
      <c r="D801" s="144"/>
      <c r="E801" s="144"/>
      <c r="F801" s="144"/>
      <c r="G801" s="144"/>
      <c r="H801" s="144"/>
      <c r="I801" s="146"/>
      <c r="J801" s="144"/>
      <c r="K801" s="144"/>
      <c r="L801" s="144"/>
      <c r="M801" s="144"/>
      <c r="N801" s="144"/>
    </row>
    <row r="802" spans="1:14">
      <c r="A802" s="144"/>
      <c r="B802" s="144"/>
      <c r="C802" s="144"/>
      <c r="D802" s="144"/>
      <c r="E802" s="144"/>
      <c r="F802" s="144"/>
      <c r="G802" s="144"/>
      <c r="H802" s="144"/>
      <c r="I802" s="146"/>
      <c r="J802" s="144"/>
      <c r="K802" s="144"/>
      <c r="L802" s="144"/>
      <c r="M802" s="144"/>
      <c r="N802" s="144"/>
    </row>
    <row r="803" spans="1:14">
      <c r="A803" s="144"/>
      <c r="B803" s="144"/>
      <c r="C803" s="144"/>
      <c r="D803" s="144"/>
      <c r="E803" s="144"/>
      <c r="F803" s="144"/>
      <c r="G803" s="144"/>
      <c r="H803" s="144"/>
      <c r="I803" s="146"/>
      <c r="J803" s="144"/>
      <c r="K803" s="144"/>
      <c r="L803" s="144"/>
      <c r="M803" s="144"/>
      <c r="N803" s="144"/>
    </row>
    <row r="804" spans="1:14">
      <c r="A804" s="144"/>
      <c r="B804" s="144"/>
      <c r="C804" s="144"/>
      <c r="D804" s="144"/>
      <c r="E804" s="144"/>
      <c r="F804" s="144"/>
      <c r="G804" s="144"/>
      <c r="H804" s="144"/>
      <c r="I804" s="146"/>
      <c r="J804" s="144"/>
      <c r="K804" s="144"/>
      <c r="L804" s="144"/>
      <c r="M804" s="144"/>
      <c r="N804" s="144"/>
    </row>
    <row r="805" spans="1:14">
      <c r="A805" s="144"/>
      <c r="B805" s="144"/>
      <c r="C805" s="144"/>
      <c r="D805" s="144"/>
      <c r="E805" s="144"/>
      <c r="F805" s="144"/>
      <c r="G805" s="144"/>
      <c r="H805" s="144"/>
      <c r="I805" s="146"/>
      <c r="J805" s="144"/>
      <c r="K805" s="144"/>
      <c r="L805" s="144"/>
      <c r="M805" s="144"/>
      <c r="N805" s="144"/>
    </row>
    <row r="806" spans="1:14">
      <c r="A806" s="144"/>
      <c r="B806" s="144"/>
      <c r="C806" s="144"/>
      <c r="D806" s="144"/>
      <c r="E806" s="144"/>
      <c r="F806" s="144"/>
      <c r="G806" s="144"/>
      <c r="H806" s="144"/>
      <c r="I806" s="146"/>
      <c r="J806" s="144"/>
      <c r="K806" s="144"/>
      <c r="L806" s="144"/>
      <c r="M806" s="144"/>
      <c r="N806" s="144"/>
    </row>
    <row r="807" spans="1:14">
      <c r="A807" s="144"/>
      <c r="B807" s="144"/>
      <c r="C807" s="144"/>
      <c r="D807" s="144"/>
      <c r="E807" s="144"/>
      <c r="F807" s="144"/>
      <c r="G807" s="144"/>
      <c r="H807" s="144"/>
      <c r="I807" s="146"/>
      <c r="J807" s="144"/>
      <c r="K807" s="144"/>
      <c r="L807" s="144"/>
      <c r="M807" s="144"/>
      <c r="N807" s="144"/>
    </row>
    <row r="808" spans="1:14">
      <c r="A808" s="144"/>
      <c r="B808" s="144"/>
      <c r="C808" s="144"/>
      <c r="D808" s="144"/>
      <c r="E808" s="144"/>
      <c r="F808" s="144"/>
      <c r="G808" s="144"/>
      <c r="H808" s="144"/>
      <c r="I808" s="146"/>
      <c r="J808" s="144"/>
      <c r="K808" s="144"/>
      <c r="L808" s="144"/>
      <c r="M808" s="144"/>
      <c r="N808" s="144"/>
    </row>
    <row r="809" spans="1:14">
      <c r="A809" s="144"/>
      <c r="B809" s="144"/>
      <c r="C809" s="144"/>
      <c r="D809" s="144"/>
      <c r="E809" s="144"/>
      <c r="F809" s="144"/>
      <c r="G809" s="144"/>
      <c r="H809" s="144"/>
      <c r="I809" s="146"/>
      <c r="J809" s="144"/>
      <c r="K809" s="144"/>
      <c r="L809" s="144"/>
      <c r="M809" s="144"/>
      <c r="N809" s="144"/>
    </row>
    <row r="810" spans="1:14">
      <c r="A810" s="144"/>
      <c r="B810" s="144"/>
      <c r="C810" s="144"/>
      <c r="D810" s="144"/>
      <c r="E810" s="144"/>
      <c r="F810" s="144"/>
      <c r="G810" s="144"/>
      <c r="H810" s="144"/>
      <c r="I810" s="146"/>
      <c r="J810" s="144"/>
      <c r="K810" s="144"/>
      <c r="L810" s="144"/>
      <c r="M810" s="144"/>
      <c r="N810" s="144"/>
    </row>
    <row r="811" spans="1:14">
      <c r="A811" s="144"/>
      <c r="B811" s="144"/>
      <c r="C811" s="144"/>
      <c r="D811" s="144"/>
      <c r="E811" s="144"/>
      <c r="F811" s="144"/>
      <c r="G811" s="144"/>
      <c r="H811" s="144"/>
      <c r="I811" s="146"/>
      <c r="J811" s="144"/>
      <c r="K811" s="144"/>
      <c r="L811" s="144"/>
      <c r="M811" s="144"/>
      <c r="N811" s="144"/>
    </row>
    <row r="812" spans="1:14">
      <c r="A812" s="144"/>
      <c r="B812" s="144"/>
      <c r="C812" s="144"/>
      <c r="D812" s="144"/>
      <c r="E812" s="144"/>
      <c r="F812" s="144"/>
      <c r="G812" s="144"/>
      <c r="H812" s="144"/>
      <c r="I812" s="146"/>
      <c r="J812" s="144"/>
      <c r="K812" s="144"/>
      <c r="L812" s="144"/>
      <c r="M812" s="144"/>
      <c r="N812" s="144"/>
    </row>
    <row r="813" spans="1:14">
      <c r="A813" s="144"/>
      <c r="B813" s="144"/>
      <c r="C813" s="144"/>
      <c r="D813" s="144"/>
      <c r="E813" s="144"/>
      <c r="F813" s="144"/>
      <c r="G813" s="144"/>
      <c r="H813" s="144"/>
      <c r="I813" s="146"/>
      <c r="J813" s="144"/>
      <c r="K813" s="144"/>
      <c r="L813" s="144"/>
      <c r="M813" s="144"/>
      <c r="N813" s="144"/>
    </row>
    <row r="814" spans="1:14">
      <c r="A814" s="144"/>
      <c r="B814" s="144"/>
      <c r="C814" s="144"/>
      <c r="D814" s="144"/>
      <c r="E814" s="144"/>
      <c r="F814" s="144"/>
      <c r="G814" s="144"/>
      <c r="H814" s="144"/>
      <c r="I814" s="146"/>
      <c r="J814" s="144"/>
      <c r="K814" s="144"/>
      <c r="L814" s="144"/>
      <c r="M814" s="144"/>
      <c r="N814" s="144"/>
    </row>
    <row r="815" spans="1:14">
      <c r="A815" s="144"/>
      <c r="B815" s="144"/>
      <c r="C815" s="144"/>
      <c r="D815" s="144"/>
      <c r="E815" s="144"/>
      <c r="F815" s="144"/>
      <c r="G815" s="144"/>
      <c r="H815" s="144"/>
      <c r="I815" s="146"/>
      <c r="J815" s="144"/>
      <c r="K815" s="144"/>
      <c r="L815" s="144"/>
      <c r="M815" s="144"/>
      <c r="N815" s="144"/>
    </row>
    <row r="816" spans="1:14">
      <c r="A816" s="144"/>
      <c r="B816" s="144"/>
      <c r="C816" s="144"/>
      <c r="D816" s="144"/>
      <c r="E816" s="144"/>
      <c r="F816" s="144"/>
      <c r="G816" s="144"/>
      <c r="H816" s="144"/>
      <c r="I816" s="146"/>
      <c r="J816" s="144"/>
      <c r="K816" s="144"/>
      <c r="L816" s="144"/>
      <c r="M816" s="144"/>
      <c r="N816" s="144"/>
    </row>
    <row r="817" spans="1:14">
      <c r="A817" s="144"/>
      <c r="B817" s="144"/>
      <c r="C817" s="144"/>
      <c r="D817" s="144"/>
      <c r="E817" s="144"/>
      <c r="F817" s="144"/>
      <c r="G817" s="144"/>
      <c r="H817" s="144"/>
      <c r="I817" s="146"/>
      <c r="J817" s="144"/>
      <c r="K817" s="144"/>
      <c r="L817" s="144"/>
      <c r="M817" s="144"/>
      <c r="N817" s="144"/>
    </row>
    <row r="818" spans="1:14">
      <c r="A818" s="144"/>
      <c r="B818" s="144"/>
      <c r="C818" s="144"/>
      <c r="D818" s="144"/>
      <c r="E818" s="144"/>
      <c r="F818" s="144"/>
      <c r="G818" s="144"/>
      <c r="H818" s="144"/>
      <c r="I818" s="146"/>
      <c r="J818" s="144"/>
      <c r="K818" s="144"/>
      <c r="L818" s="144"/>
      <c r="M818" s="144"/>
      <c r="N818" s="144"/>
    </row>
    <row r="819" spans="1:14">
      <c r="A819" s="144"/>
      <c r="B819" s="144"/>
      <c r="C819" s="144"/>
      <c r="D819" s="144"/>
      <c r="E819" s="144"/>
      <c r="F819" s="144"/>
      <c r="G819" s="144"/>
      <c r="H819" s="144"/>
      <c r="I819" s="146"/>
      <c r="J819" s="144"/>
      <c r="K819" s="144"/>
      <c r="L819" s="144"/>
      <c r="M819" s="144"/>
      <c r="N819" s="144"/>
    </row>
    <row r="820" spans="1:14">
      <c r="A820" s="144"/>
      <c r="B820" s="144"/>
      <c r="C820" s="144"/>
      <c r="D820" s="144"/>
      <c r="E820" s="144"/>
      <c r="F820" s="144"/>
      <c r="G820" s="144"/>
      <c r="H820" s="144"/>
      <c r="I820" s="146"/>
      <c r="J820" s="144"/>
      <c r="K820" s="144"/>
      <c r="L820" s="144"/>
      <c r="M820" s="144"/>
      <c r="N820" s="144"/>
    </row>
    <row r="821" spans="1:14">
      <c r="A821" s="144"/>
      <c r="B821" s="144"/>
      <c r="C821" s="144"/>
      <c r="D821" s="144"/>
      <c r="E821" s="144"/>
      <c r="F821" s="144"/>
      <c r="G821" s="144"/>
      <c r="H821" s="144"/>
      <c r="I821" s="146"/>
      <c r="J821" s="144"/>
      <c r="K821" s="144"/>
      <c r="L821" s="144"/>
      <c r="M821" s="144"/>
      <c r="N821" s="144"/>
    </row>
    <row r="822" spans="1:14">
      <c r="A822" s="144"/>
      <c r="B822" s="144"/>
      <c r="C822" s="144"/>
      <c r="D822" s="144"/>
      <c r="E822" s="144"/>
      <c r="F822" s="144"/>
      <c r="G822" s="144"/>
      <c r="H822" s="144"/>
      <c r="I822" s="146"/>
      <c r="J822" s="144"/>
      <c r="K822" s="144"/>
      <c r="L822" s="144"/>
      <c r="M822" s="144"/>
      <c r="N822" s="144"/>
    </row>
    <row r="823" spans="1:14">
      <c r="A823" s="144"/>
      <c r="B823" s="144"/>
      <c r="C823" s="144"/>
      <c r="D823" s="144"/>
      <c r="E823" s="144"/>
      <c r="F823" s="144"/>
      <c r="G823" s="144"/>
      <c r="H823" s="144"/>
      <c r="I823" s="146"/>
      <c r="J823" s="144"/>
      <c r="K823" s="144"/>
      <c r="L823" s="144"/>
      <c r="M823" s="144"/>
      <c r="N823" s="144"/>
    </row>
    <row r="824" spans="1:14">
      <c r="A824" s="144"/>
      <c r="B824" s="144"/>
      <c r="C824" s="144"/>
      <c r="D824" s="144"/>
      <c r="E824" s="144"/>
      <c r="F824" s="144"/>
      <c r="G824" s="144"/>
      <c r="H824" s="144"/>
      <c r="I824" s="146"/>
      <c r="J824" s="144"/>
      <c r="K824" s="144"/>
      <c r="L824" s="144"/>
      <c r="M824" s="144"/>
      <c r="N824" s="144"/>
    </row>
    <row r="825" spans="1:14">
      <c r="A825" s="144"/>
      <c r="B825" s="144"/>
      <c r="C825" s="144"/>
      <c r="D825" s="144"/>
      <c r="E825" s="144"/>
      <c r="F825" s="144"/>
      <c r="G825" s="144"/>
      <c r="H825" s="144"/>
      <c r="I825" s="146"/>
      <c r="J825" s="144"/>
      <c r="K825" s="144"/>
      <c r="L825" s="144"/>
      <c r="M825" s="144"/>
      <c r="N825" s="144"/>
    </row>
    <row r="826" spans="1:14">
      <c r="A826" s="144"/>
      <c r="B826" s="144"/>
      <c r="C826" s="144"/>
      <c r="D826" s="144"/>
      <c r="E826" s="144"/>
      <c r="F826" s="144"/>
      <c r="G826" s="144"/>
      <c r="H826" s="144"/>
      <c r="I826" s="146"/>
      <c r="J826" s="144"/>
      <c r="K826" s="144"/>
      <c r="L826" s="144"/>
      <c r="M826" s="144"/>
      <c r="N826" s="144"/>
    </row>
    <row r="827" spans="1:14">
      <c r="A827" s="144"/>
      <c r="B827" s="144"/>
      <c r="C827" s="144"/>
      <c r="D827" s="144"/>
      <c r="E827" s="144"/>
      <c r="F827" s="144"/>
      <c r="G827" s="144"/>
      <c r="H827" s="144"/>
      <c r="I827" s="146"/>
      <c r="J827" s="144"/>
      <c r="K827" s="144"/>
      <c r="L827" s="144"/>
      <c r="M827" s="144"/>
      <c r="N827" s="144"/>
    </row>
    <row r="828" spans="1:14">
      <c r="A828" s="144"/>
      <c r="B828" s="144"/>
      <c r="C828" s="144"/>
      <c r="D828" s="144"/>
      <c r="E828" s="144"/>
      <c r="F828" s="144"/>
      <c r="G828" s="144"/>
      <c r="H828" s="144"/>
      <c r="I828" s="146"/>
      <c r="J828" s="144"/>
      <c r="K828" s="144"/>
      <c r="L828" s="144"/>
      <c r="M828" s="144"/>
      <c r="N828" s="144"/>
    </row>
    <row r="829" spans="1:14">
      <c r="A829" s="144"/>
      <c r="B829" s="144"/>
      <c r="C829" s="144"/>
      <c r="D829" s="144"/>
      <c r="E829" s="144"/>
      <c r="F829" s="144"/>
      <c r="G829" s="144"/>
      <c r="H829" s="144"/>
      <c r="I829" s="146"/>
      <c r="J829" s="144"/>
      <c r="K829" s="144"/>
      <c r="L829" s="144"/>
      <c r="M829" s="144"/>
      <c r="N829" s="144"/>
    </row>
    <row r="830" spans="1:14">
      <c r="A830" s="144"/>
      <c r="B830" s="144"/>
      <c r="C830" s="144"/>
      <c r="D830" s="144"/>
      <c r="E830" s="144"/>
      <c r="F830" s="144"/>
      <c r="G830" s="144"/>
      <c r="H830" s="144"/>
      <c r="I830" s="146"/>
      <c r="J830" s="144"/>
      <c r="K830" s="144"/>
      <c r="L830" s="144"/>
      <c r="M830" s="144"/>
      <c r="N830" s="144"/>
    </row>
    <row r="831" spans="1:14">
      <c r="A831" s="144"/>
      <c r="B831" s="144"/>
      <c r="C831" s="144"/>
      <c r="D831" s="144"/>
      <c r="E831" s="144"/>
      <c r="F831" s="144"/>
      <c r="G831" s="144"/>
      <c r="H831" s="144"/>
      <c r="I831" s="146"/>
      <c r="J831" s="144"/>
      <c r="K831" s="144"/>
      <c r="L831" s="144"/>
      <c r="M831" s="144"/>
      <c r="N831" s="144"/>
    </row>
    <row r="832" spans="1:14">
      <c r="A832" s="144"/>
      <c r="B832" s="144"/>
      <c r="C832" s="144"/>
      <c r="D832" s="144"/>
      <c r="E832" s="144"/>
      <c r="F832" s="144"/>
      <c r="G832" s="144"/>
      <c r="H832" s="144"/>
      <c r="I832" s="146"/>
      <c r="J832" s="144"/>
      <c r="K832" s="144"/>
      <c r="L832" s="144"/>
      <c r="M832" s="144"/>
      <c r="N832" s="144"/>
    </row>
    <row r="833" spans="1:14">
      <c r="A833" s="144"/>
      <c r="B833" s="144"/>
      <c r="C833" s="144"/>
      <c r="D833" s="144"/>
      <c r="E833" s="144"/>
      <c r="F833" s="144"/>
      <c r="G833" s="144"/>
      <c r="H833" s="144"/>
      <c r="I833" s="146"/>
      <c r="J833" s="144"/>
      <c r="K833" s="144"/>
      <c r="L833" s="144"/>
      <c r="M833" s="144"/>
      <c r="N833" s="144"/>
    </row>
    <row r="834" spans="1:14">
      <c r="A834" s="144"/>
      <c r="B834" s="144"/>
      <c r="C834" s="144"/>
      <c r="D834" s="144"/>
      <c r="E834" s="144"/>
      <c r="F834" s="144"/>
      <c r="G834" s="144"/>
      <c r="H834" s="144"/>
      <c r="I834" s="146"/>
      <c r="J834" s="144"/>
      <c r="K834" s="144"/>
      <c r="L834" s="144"/>
      <c r="M834" s="144"/>
      <c r="N834" s="144"/>
    </row>
    <row r="835" spans="1:14">
      <c r="A835" s="144"/>
      <c r="B835" s="144"/>
      <c r="C835" s="144"/>
      <c r="D835" s="144"/>
      <c r="E835" s="144"/>
      <c r="F835" s="144"/>
      <c r="G835" s="144"/>
      <c r="H835" s="144"/>
      <c r="I835" s="146"/>
      <c r="J835" s="144"/>
      <c r="K835" s="144"/>
      <c r="L835" s="144"/>
      <c r="M835" s="144"/>
      <c r="N835" s="144"/>
    </row>
    <row r="836" spans="1:14">
      <c r="A836" s="144"/>
      <c r="B836" s="144"/>
      <c r="C836" s="144"/>
      <c r="D836" s="144"/>
      <c r="E836" s="144"/>
      <c r="F836" s="144"/>
      <c r="G836" s="144"/>
      <c r="H836" s="144"/>
      <c r="I836" s="146"/>
      <c r="J836" s="144"/>
      <c r="K836" s="144"/>
      <c r="L836" s="144"/>
      <c r="M836" s="144"/>
      <c r="N836" s="144"/>
    </row>
    <row r="837" spans="1:14">
      <c r="A837" s="144"/>
      <c r="B837" s="144"/>
      <c r="C837" s="144"/>
      <c r="D837" s="144"/>
      <c r="E837" s="144"/>
      <c r="F837" s="144"/>
      <c r="G837" s="144"/>
      <c r="H837" s="144"/>
      <c r="I837" s="146"/>
      <c r="J837" s="144"/>
      <c r="K837" s="144"/>
      <c r="L837" s="144"/>
      <c r="M837" s="144"/>
      <c r="N837" s="144"/>
    </row>
    <row r="838" spans="1:14">
      <c r="A838" s="144"/>
      <c r="B838" s="144"/>
      <c r="C838" s="144"/>
      <c r="D838" s="144"/>
      <c r="E838" s="144"/>
      <c r="F838" s="144"/>
      <c r="G838" s="144"/>
      <c r="H838" s="144"/>
      <c r="I838" s="146"/>
      <c r="J838" s="144"/>
      <c r="K838" s="144"/>
      <c r="L838" s="144"/>
      <c r="M838" s="144"/>
      <c r="N838" s="144"/>
    </row>
    <row r="839" spans="1:14">
      <c r="A839" s="144"/>
      <c r="B839" s="144"/>
      <c r="C839" s="144"/>
      <c r="D839" s="144"/>
      <c r="E839" s="144"/>
      <c r="F839" s="144"/>
      <c r="G839" s="144"/>
      <c r="H839" s="144"/>
      <c r="I839" s="146"/>
      <c r="J839" s="144"/>
      <c r="K839" s="144"/>
      <c r="L839" s="144"/>
      <c r="M839" s="144"/>
      <c r="N839" s="144"/>
    </row>
    <row r="840" spans="1:14">
      <c r="A840" s="144"/>
      <c r="B840" s="144"/>
      <c r="C840" s="144"/>
      <c r="D840" s="144"/>
      <c r="E840" s="144"/>
      <c r="F840" s="144"/>
      <c r="G840" s="144"/>
      <c r="H840" s="144"/>
      <c r="I840" s="146"/>
      <c r="J840" s="144"/>
      <c r="K840" s="144"/>
      <c r="L840" s="144"/>
      <c r="M840" s="144"/>
      <c r="N840" s="144"/>
    </row>
    <row r="841" spans="1:14">
      <c r="A841" s="144"/>
      <c r="B841" s="144"/>
      <c r="C841" s="144"/>
      <c r="D841" s="144"/>
      <c r="E841" s="144"/>
      <c r="F841" s="144"/>
      <c r="G841" s="144"/>
      <c r="H841" s="144"/>
      <c r="I841" s="146"/>
      <c r="J841" s="144"/>
      <c r="K841" s="144"/>
      <c r="L841" s="144"/>
      <c r="M841" s="144"/>
      <c r="N841" s="144"/>
    </row>
    <row r="842" spans="1:14">
      <c r="A842" s="144"/>
      <c r="B842" s="144"/>
      <c r="C842" s="144"/>
      <c r="D842" s="144"/>
      <c r="E842" s="144"/>
      <c r="F842" s="144"/>
      <c r="G842" s="144"/>
      <c r="H842" s="144"/>
      <c r="I842" s="146"/>
      <c r="J842" s="144"/>
      <c r="K842" s="144"/>
      <c r="L842" s="144"/>
      <c r="M842" s="144"/>
      <c r="N842" s="144"/>
    </row>
    <row r="843" spans="1:14">
      <c r="A843" s="144"/>
      <c r="B843" s="144"/>
      <c r="C843" s="144"/>
      <c r="D843" s="144"/>
      <c r="E843" s="144"/>
      <c r="F843" s="144"/>
      <c r="G843" s="144"/>
      <c r="H843" s="144"/>
      <c r="I843" s="146"/>
      <c r="J843" s="144"/>
      <c r="K843" s="144"/>
      <c r="L843" s="144"/>
      <c r="M843" s="144"/>
      <c r="N843" s="144"/>
    </row>
    <row r="844" spans="1:14">
      <c r="A844" s="144"/>
      <c r="B844" s="144"/>
      <c r="C844" s="144"/>
      <c r="D844" s="144"/>
      <c r="E844" s="144"/>
      <c r="F844" s="144"/>
      <c r="G844" s="144"/>
      <c r="H844" s="144"/>
      <c r="I844" s="146"/>
      <c r="J844" s="144"/>
      <c r="K844" s="144"/>
      <c r="L844" s="144"/>
      <c r="M844" s="144"/>
      <c r="N844" s="144"/>
    </row>
    <row r="845" spans="1:14">
      <c r="A845" s="144"/>
      <c r="B845" s="144"/>
      <c r="C845" s="144"/>
      <c r="D845" s="144"/>
      <c r="E845" s="144"/>
      <c r="F845" s="144"/>
      <c r="G845" s="144"/>
      <c r="H845" s="144"/>
      <c r="I845" s="146"/>
      <c r="J845" s="144"/>
      <c r="K845" s="144"/>
      <c r="L845" s="144"/>
      <c r="M845" s="144"/>
      <c r="N845" s="144"/>
    </row>
    <row r="846" spans="1:14">
      <c r="A846" s="144"/>
      <c r="B846" s="144"/>
      <c r="C846" s="144"/>
      <c r="D846" s="144"/>
      <c r="E846" s="144"/>
      <c r="F846" s="144"/>
      <c r="G846" s="144"/>
      <c r="H846" s="144"/>
      <c r="I846" s="146"/>
      <c r="J846" s="144"/>
      <c r="K846" s="144"/>
      <c r="L846" s="144"/>
      <c r="M846" s="144"/>
      <c r="N846" s="144"/>
    </row>
    <row r="847" spans="1:14">
      <c r="A847" s="144"/>
      <c r="B847" s="144"/>
      <c r="C847" s="144"/>
      <c r="D847" s="144"/>
      <c r="E847" s="144"/>
      <c r="F847" s="144"/>
      <c r="G847" s="144"/>
      <c r="H847" s="144"/>
      <c r="I847" s="146"/>
      <c r="J847" s="144"/>
      <c r="K847" s="144"/>
      <c r="L847" s="144"/>
      <c r="M847" s="144"/>
      <c r="N847" s="144"/>
    </row>
    <row r="848" spans="1:14">
      <c r="A848" s="144"/>
      <c r="B848" s="144"/>
      <c r="C848" s="144"/>
      <c r="D848" s="144"/>
      <c r="E848" s="144"/>
      <c r="F848" s="144"/>
      <c r="G848" s="144"/>
      <c r="H848" s="144"/>
      <c r="I848" s="146"/>
      <c r="J848" s="144"/>
      <c r="K848" s="144"/>
      <c r="L848" s="144"/>
      <c r="M848" s="144"/>
      <c r="N848" s="144"/>
    </row>
    <row r="849" spans="1:14">
      <c r="A849" s="144"/>
      <c r="B849" s="144"/>
      <c r="C849" s="144"/>
      <c r="D849" s="144"/>
      <c r="E849" s="144"/>
      <c r="F849" s="144"/>
      <c r="G849" s="144"/>
      <c r="H849" s="144"/>
      <c r="I849" s="146"/>
      <c r="J849" s="144"/>
      <c r="K849" s="144"/>
      <c r="L849" s="144"/>
      <c r="M849" s="144"/>
      <c r="N849" s="144"/>
    </row>
    <row r="850" spans="1:14">
      <c r="A850" s="144"/>
      <c r="B850" s="144"/>
      <c r="C850" s="144"/>
      <c r="D850" s="144"/>
      <c r="E850" s="144"/>
      <c r="F850" s="144"/>
      <c r="G850" s="144"/>
      <c r="H850" s="144"/>
      <c r="I850" s="146"/>
      <c r="J850" s="144"/>
      <c r="K850" s="144"/>
      <c r="L850" s="144"/>
      <c r="M850" s="144"/>
      <c r="N850" s="144"/>
    </row>
    <row r="851" spans="1:14">
      <c r="A851" s="144"/>
      <c r="B851" s="144"/>
      <c r="C851" s="144"/>
      <c r="D851" s="144"/>
      <c r="E851" s="144"/>
      <c r="F851" s="144"/>
      <c r="G851" s="144"/>
      <c r="H851" s="144"/>
      <c r="I851" s="146"/>
      <c r="J851" s="144"/>
      <c r="K851" s="144"/>
      <c r="L851" s="144"/>
      <c r="M851" s="144"/>
      <c r="N851" s="144"/>
    </row>
    <row r="852" spans="1:14">
      <c r="A852" s="144"/>
      <c r="B852" s="144"/>
      <c r="C852" s="144"/>
      <c r="D852" s="144"/>
      <c r="E852" s="144"/>
      <c r="F852" s="144"/>
      <c r="G852" s="144"/>
      <c r="H852" s="144"/>
      <c r="I852" s="146"/>
      <c r="J852" s="144"/>
      <c r="K852" s="144"/>
      <c r="L852" s="144"/>
      <c r="M852" s="144"/>
      <c r="N852" s="144"/>
    </row>
    <row r="853" spans="1:14">
      <c r="A853" s="144"/>
      <c r="B853" s="144"/>
      <c r="C853" s="144"/>
      <c r="D853" s="144"/>
      <c r="E853" s="144"/>
      <c r="F853" s="144"/>
      <c r="G853" s="144"/>
      <c r="H853" s="144"/>
      <c r="I853" s="146"/>
      <c r="J853" s="144"/>
      <c r="K853" s="144"/>
      <c r="L853" s="144"/>
      <c r="M853" s="144"/>
      <c r="N853" s="144"/>
    </row>
    <row r="854" spans="1:14">
      <c r="A854" s="144"/>
      <c r="B854" s="144"/>
      <c r="C854" s="144"/>
      <c r="D854" s="144"/>
      <c r="E854" s="144"/>
      <c r="F854" s="144"/>
      <c r="G854" s="144"/>
      <c r="H854" s="144"/>
      <c r="I854" s="146"/>
      <c r="J854" s="144"/>
      <c r="K854" s="144"/>
      <c r="L854" s="144"/>
      <c r="M854" s="144"/>
      <c r="N854" s="144"/>
    </row>
    <row r="855" spans="1:14">
      <c r="A855" s="144"/>
      <c r="B855" s="144"/>
      <c r="C855" s="144"/>
      <c r="D855" s="144"/>
      <c r="E855" s="144"/>
      <c r="F855" s="144"/>
      <c r="G855" s="144"/>
      <c r="H855" s="144"/>
      <c r="I855" s="146"/>
      <c r="J855" s="144"/>
      <c r="K855" s="144"/>
      <c r="L855" s="144"/>
      <c r="M855" s="144"/>
      <c r="N855" s="144"/>
    </row>
    <row r="856" spans="1:14">
      <c r="A856" s="144"/>
      <c r="B856" s="144"/>
      <c r="C856" s="144"/>
      <c r="D856" s="144"/>
      <c r="E856" s="144"/>
      <c r="F856" s="144"/>
      <c r="G856" s="144"/>
      <c r="H856" s="144"/>
      <c r="I856" s="146"/>
      <c r="J856" s="144"/>
      <c r="K856" s="144"/>
      <c r="L856" s="144"/>
      <c r="M856" s="144"/>
      <c r="N856" s="144"/>
    </row>
    <row r="857" spans="1:14">
      <c r="A857" s="144"/>
      <c r="B857" s="144"/>
      <c r="C857" s="144"/>
      <c r="D857" s="144"/>
      <c r="E857" s="144"/>
      <c r="F857" s="144"/>
      <c r="G857" s="144"/>
      <c r="H857" s="144"/>
      <c r="I857" s="146"/>
      <c r="J857" s="144"/>
      <c r="K857" s="144"/>
      <c r="L857" s="144"/>
      <c r="M857" s="144"/>
      <c r="N857" s="144"/>
    </row>
    <row r="858" spans="1:14">
      <c r="A858" s="144"/>
      <c r="B858" s="144"/>
      <c r="C858" s="144"/>
      <c r="D858" s="144"/>
      <c r="E858" s="144"/>
      <c r="F858" s="144"/>
      <c r="G858" s="144"/>
      <c r="H858" s="144"/>
      <c r="I858" s="146"/>
      <c r="J858" s="144"/>
      <c r="K858" s="144"/>
      <c r="L858" s="144"/>
      <c r="M858" s="144"/>
      <c r="N858" s="144"/>
    </row>
    <row r="859" spans="1:14">
      <c r="A859" s="144"/>
      <c r="B859" s="144"/>
      <c r="C859" s="144"/>
      <c r="D859" s="144"/>
      <c r="E859" s="144"/>
      <c r="F859" s="144"/>
      <c r="G859" s="144"/>
      <c r="H859" s="144"/>
      <c r="I859" s="146"/>
      <c r="J859" s="144"/>
      <c r="K859" s="144"/>
      <c r="L859" s="144"/>
      <c r="M859" s="144"/>
      <c r="N859" s="144"/>
    </row>
    <row r="860" spans="1:14">
      <c r="A860" s="144"/>
      <c r="B860" s="144"/>
      <c r="C860" s="144"/>
      <c r="D860" s="144"/>
      <c r="E860" s="144"/>
      <c r="F860" s="144"/>
      <c r="G860" s="144"/>
      <c r="H860" s="144"/>
      <c r="I860" s="146"/>
      <c r="J860" s="144"/>
      <c r="K860" s="144"/>
      <c r="L860" s="144"/>
      <c r="M860" s="144"/>
      <c r="N860" s="144"/>
    </row>
    <row r="861" spans="1:14">
      <c r="A861" s="144"/>
      <c r="B861" s="144"/>
      <c r="C861" s="144"/>
      <c r="D861" s="144"/>
      <c r="E861" s="144"/>
      <c r="F861" s="144"/>
      <c r="G861" s="144"/>
      <c r="H861" s="144"/>
      <c r="I861" s="146"/>
      <c r="J861" s="144"/>
      <c r="K861" s="144"/>
      <c r="L861" s="144"/>
      <c r="M861" s="144"/>
      <c r="N861" s="144"/>
    </row>
    <row r="862" spans="1:14">
      <c r="A862" s="144"/>
      <c r="B862" s="144"/>
      <c r="C862" s="144"/>
      <c r="D862" s="144"/>
      <c r="E862" s="144"/>
      <c r="F862" s="144"/>
      <c r="G862" s="144"/>
      <c r="H862" s="144"/>
      <c r="I862" s="146"/>
      <c r="J862" s="144"/>
      <c r="K862" s="144"/>
      <c r="L862" s="144"/>
      <c r="M862" s="144"/>
      <c r="N862" s="144"/>
    </row>
    <row r="863" spans="1:14">
      <c r="A863" s="144"/>
      <c r="B863" s="144"/>
      <c r="C863" s="144"/>
      <c r="D863" s="144"/>
      <c r="E863" s="144"/>
      <c r="F863" s="144"/>
      <c r="G863" s="144"/>
      <c r="H863" s="144"/>
      <c r="I863" s="146"/>
      <c r="J863" s="144"/>
      <c r="K863" s="144"/>
      <c r="L863" s="144"/>
      <c r="M863" s="144"/>
      <c r="N863" s="144"/>
    </row>
    <row r="864" spans="1:14">
      <c r="A864" s="144"/>
      <c r="B864" s="144"/>
      <c r="C864" s="144"/>
      <c r="D864" s="144"/>
      <c r="E864" s="144"/>
      <c r="F864" s="144"/>
      <c r="G864" s="144"/>
      <c r="H864" s="144"/>
      <c r="I864" s="146"/>
      <c r="J864" s="144"/>
      <c r="K864" s="144"/>
      <c r="L864" s="144"/>
      <c r="M864" s="144"/>
      <c r="N864" s="144"/>
    </row>
    <row r="865" spans="1:14">
      <c r="A865" s="144"/>
      <c r="B865" s="144"/>
      <c r="C865" s="144"/>
      <c r="D865" s="144"/>
      <c r="E865" s="144"/>
      <c r="F865" s="144"/>
      <c r="G865" s="144"/>
      <c r="H865" s="144"/>
      <c r="I865" s="146"/>
      <c r="J865" s="144"/>
      <c r="K865" s="144"/>
      <c r="L865" s="144"/>
      <c r="M865" s="144"/>
      <c r="N865" s="144"/>
    </row>
    <row r="866" spans="1:14">
      <c r="A866" s="144"/>
      <c r="B866" s="144"/>
      <c r="C866" s="144"/>
      <c r="D866" s="144"/>
      <c r="E866" s="144"/>
      <c r="F866" s="144"/>
      <c r="G866" s="144"/>
      <c r="H866" s="144"/>
      <c r="I866" s="146"/>
      <c r="J866" s="144"/>
      <c r="K866" s="144"/>
      <c r="L866" s="144"/>
      <c r="M866" s="144"/>
      <c r="N866" s="144"/>
    </row>
    <row r="867" spans="1:14">
      <c r="A867" s="144"/>
      <c r="B867" s="144"/>
      <c r="C867" s="144"/>
      <c r="D867" s="144"/>
      <c r="E867" s="144"/>
      <c r="F867" s="144"/>
      <c r="G867" s="144"/>
      <c r="H867" s="144"/>
      <c r="I867" s="146"/>
      <c r="J867" s="144"/>
      <c r="K867" s="144"/>
      <c r="L867" s="144"/>
      <c r="M867" s="144"/>
      <c r="N867" s="144"/>
    </row>
    <row r="868" spans="1:14">
      <c r="A868" s="144"/>
      <c r="B868" s="144"/>
      <c r="C868" s="144"/>
      <c r="D868" s="144"/>
      <c r="E868" s="144"/>
      <c r="F868" s="144"/>
      <c r="G868" s="144"/>
      <c r="H868" s="144"/>
      <c r="I868" s="146"/>
      <c r="J868" s="144"/>
      <c r="K868" s="144"/>
      <c r="L868" s="144"/>
      <c r="M868" s="144"/>
      <c r="N868" s="144"/>
    </row>
    <row r="869" spans="1:14">
      <c r="A869" s="144"/>
      <c r="B869" s="144"/>
      <c r="C869" s="144"/>
      <c r="D869" s="144"/>
      <c r="E869" s="144"/>
      <c r="F869" s="144"/>
      <c r="G869" s="144"/>
      <c r="H869" s="144"/>
      <c r="I869" s="146"/>
      <c r="J869" s="144"/>
      <c r="K869" s="144"/>
      <c r="L869" s="144"/>
      <c r="M869" s="144"/>
      <c r="N869" s="144"/>
    </row>
    <row r="870" spans="1:14">
      <c r="A870" s="144"/>
      <c r="B870" s="144"/>
      <c r="C870" s="144"/>
      <c r="D870" s="144"/>
      <c r="E870" s="144"/>
      <c r="F870" s="144"/>
      <c r="G870" s="144"/>
      <c r="H870" s="144"/>
      <c r="I870" s="146"/>
      <c r="J870" s="144"/>
      <c r="K870" s="144"/>
      <c r="L870" s="144"/>
      <c r="M870" s="144"/>
      <c r="N870" s="144"/>
    </row>
    <row r="871" spans="1:14">
      <c r="A871" s="144"/>
      <c r="B871" s="144"/>
      <c r="C871" s="144"/>
      <c r="D871" s="144"/>
      <c r="E871" s="144"/>
      <c r="F871" s="144"/>
      <c r="G871" s="144"/>
      <c r="H871" s="144"/>
      <c r="I871" s="146"/>
      <c r="J871" s="144"/>
      <c r="K871" s="144"/>
      <c r="L871" s="144"/>
      <c r="M871" s="144"/>
      <c r="N871" s="144"/>
    </row>
    <row r="872" spans="1:14">
      <c r="A872" s="144"/>
      <c r="B872" s="144"/>
      <c r="C872" s="144"/>
      <c r="D872" s="144"/>
      <c r="E872" s="144"/>
      <c r="F872" s="144"/>
      <c r="G872" s="144"/>
      <c r="H872" s="144"/>
      <c r="I872" s="146"/>
      <c r="J872" s="144"/>
      <c r="K872" s="144"/>
      <c r="L872" s="144"/>
      <c r="M872" s="144"/>
      <c r="N872" s="144"/>
    </row>
    <row r="873" spans="1:14">
      <c r="A873" s="144"/>
      <c r="B873" s="144"/>
      <c r="C873" s="144"/>
      <c r="D873" s="144"/>
      <c r="E873" s="144"/>
      <c r="F873" s="144"/>
      <c r="G873" s="144"/>
      <c r="H873" s="144"/>
      <c r="I873" s="146"/>
      <c r="J873" s="144"/>
      <c r="K873" s="144"/>
      <c r="L873" s="144"/>
      <c r="M873" s="144"/>
      <c r="N873" s="144"/>
    </row>
    <row r="874" spans="1:14">
      <c r="A874" s="144"/>
      <c r="B874" s="144"/>
      <c r="C874" s="144"/>
      <c r="D874" s="144"/>
      <c r="E874" s="144"/>
      <c r="F874" s="144"/>
      <c r="G874" s="144"/>
      <c r="H874" s="144"/>
      <c r="I874" s="146"/>
      <c r="J874" s="144"/>
      <c r="K874" s="144"/>
      <c r="L874" s="144"/>
      <c r="M874" s="144"/>
      <c r="N874" s="144"/>
    </row>
    <row r="875" spans="1:14">
      <c r="A875" s="144"/>
      <c r="B875" s="144"/>
      <c r="C875" s="144"/>
      <c r="D875" s="144"/>
      <c r="E875" s="144"/>
      <c r="F875" s="144"/>
      <c r="G875" s="144"/>
      <c r="H875" s="144"/>
      <c r="I875" s="146"/>
      <c r="J875" s="144"/>
      <c r="K875" s="144"/>
      <c r="L875" s="144"/>
      <c r="M875" s="144"/>
      <c r="N875" s="144"/>
    </row>
    <row r="876" spans="1:14">
      <c r="A876" s="144"/>
      <c r="B876" s="144"/>
      <c r="C876" s="144"/>
      <c r="D876" s="144"/>
      <c r="E876" s="144"/>
      <c r="F876" s="144"/>
      <c r="G876" s="144"/>
      <c r="H876" s="144"/>
      <c r="I876" s="146"/>
      <c r="J876" s="144"/>
      <c r="K876" s="144"/>
      <c r="L876" s="144"/>
      <c r="M876" s="144"/>
      <c r="N876" s="144"/>
    </row>
    <row r="877" spans="1:14">
      <c r="A877" s="144"/>
      <c r="B877" s="144"/>
      <c r="C877" s="144"/>
      <c r="D877" s="144"/>
      <c r="E877" s="144"/>
      <c r="F877" s="144"/>
      <c r="G877" s="144"/>
      <c r="H877" s="144"/>
      <c r="I877" s="146"/>
      <c r="J877" s="144"/>
      <c r="K877" s="144"/>
      <c r="L877" s="144"/>
      <c r="M877" s="144"/>
      <c r="N877" s="144"/>
    </row>
    <row r="878" spans="1:14">
      <c r="A878" s="144"/>
      <c r="B878" s="144"/>
      <c r="C878" s="144"/>
      <c r="D878" s="144"/>
      <c r="E878" s="144"/>
      <c r="F878" s="144"/>
      <c r="G878" s="144"/>
      <c r="H878" s="144"/>
      <c r="I878" s="146"/>
      <c r="J878" s="144"/>
      <c r="K878" s="144"/>
      <c r="L878" s="144"/>
      <c r="M878" s="144"/>
      <c r="N878" s="144"/>
    </row>
    <row r="879" spans="1:14">
      <c r="A879" s="144"/>
      <c r="B879" s="144"/>
      <c r="C879" s="144"/>
      <c r="D879" s="144"/>
      <c r="E879" s="144"/>
      <c r="F879" s="144"/>
      <c r="G879" s="144"/>
      <c r="H879" s="144"/>
      <c r="I879" s="146"/>
      <c r="J879" s="144"/>
      <c r="K879" s="144"/>
      <c r="L879" s="144"/>
      <c r="M879" s="144"/>
      <c r="N879" s="144"/>
    </row>
    <row r="880" spans="1:14">
      <c r="A880" s="144"/>
      <c r="B880" s="144"/>
      <c r="C880" s="144"/>
      <c r="D880" s="144"/>
      <c r="E880" s="144"/>
      <c r="F880" s="144"/>
      <c r="G880" s="144"/>
      <c r="H880" s="144"/>
      <c r="I880" s="146"/>
      <c r="J880" s="144"/>
      <c r="K880" s="144"/>
      <c r="L880" s="144"/>
      <c r="M880" s="144"/>
      <c r="N880" s="144"/>
    </row>
    <row r="881" spans="1:14">
      <c r="A881" s="144"/>
      <c r="B881" s="144"/>
      <c r="C881" s="144"/>
      <c r="D881" s="144"/>
      <c r="E881" s="144"/>
      <c r="F881" s="144"/>
      <c r="G881" s="144"/>
      <c r="H881" s="144"/>
      <c r="I881" s="146"/>
      <c r="J881" s="144"/>
      <c r="K881" s="144"/>
      <c r="L881" s="144"/>
      <c r="M881" s="144"/>
      <c r="N881" s="144"/>
    </row>
    <row r="882" spans="1:14">
      <c r="A882" s="144"/>
      <c r="B882" s="144"/>
      <c r="C882" s="144"/>
      <c r="D882" s="144"/>
      <c r="E882" s="144"/>
      <c r="F882" s="144"/>
      <c r="G882" s="144"/>
      <c r="H882" s="144"/>
      <c r="I882" s="146"/>
      <c r="J882" s="144"/>
      <c r="K882" s="144"/>
      <c r="L882" s="144"/>
      <c r="M882" s="144"/>
      <c r="N882" s="144"/>
    </row>
    <row r="883" spans="1:14">
      <c r="A883" s="144"/>
      <c r="B883" s="144"/>
      <c r="C883" s="144"/>
      <c r="D883" s="144"/>
      <c r="E883" s="144"/>
      <c r="F883" s="144"/>
      <c r="G883" s="144"/>
      <c r="H883" s="144"/>
      <c r="I883" s="146"/>
      <c r="J883" s="144"/>
      <c r="K883" s="144"/>
      <c r="L883" s="144"/>
      <c r="M883" s="144"/>
      <c r="N883" s="144"/>
    </row>
    <row r="884" spans="1:14">
      <c r="A884" s="144"/>
      <c r="B884" s="144"/>
      <c r="C884" s="144"/>
      <c r="D884" s="144"/>
      <c r="E884" s="144"/>
      <c r="F884" s="144"/>
      <c r="G884" s="144"/>
      <c r="H884" s="144"/>
      <c r="I884" s="146"/>
      <c r="J884" s="144"/>
      <c r="K884" s="144"/>
      <c r="L884" s="144"/>
      <c r="M884" s="144"/>
      <c r="N884" s="144"/>
    </row>
    <row r="885" spans="1:14">
      <c r="A885" s="144"/>
      <c r="B885" s="144"/>
      <c r="C885" s="144"/>
      <c r="D885" s="144"/>
      <c r="E885" s="144"/>
      <c r="F885" s="144"/>
      <c r="G885" s="144"/>
      <c r="H885" s="144"/>
      <c r="I885" s="146"/>
      <c r="J885" s="144"/>
      <c r="K885" s="144"/>
      <c r="L885" s="144"/>
      <c r="M885" s="144"/>
      <c r="N885" s="144"/>
    </row>
    <row r="886" spans="1:14">
      <c r="A886" s="144"/>
      <c r="B886" s="144"/>
      <c r="C886" s="144"/>
      <c r="D886" s="144"/>
      <c r="E886" s="144"/>
      <c r="F886" s="144"/>
      <c r="G886" s="144"/>
      <c r="H886" s="144"/>
      <c r="I886" s="146"/>
      <c r="J886" s="144"/>
      <c r="K886" s="144"/>
      <c r="L886" s="144"/>
      <c r="M886" s="144"/>
      <c r="N886" s="144"/>
    </row>
    <row r="887" spans="1:14">
      <c r="A887" s="144"/>
      <c r="B887" s="144"/>
      <c r="C887" s="144"/>
      <c r="D887" s="144"/>
      <c r="E887" s="144"/>
      <c r="F887" s="144"/>
      <c r="G887" s="144"/>
      <c r="H887" s="144"/>
      <c r="I887" s="146"/>
      <c r="J887" s="144"/>
      <c r="K887" s="144"/>
      <c r="L887" s="144"/>
      <c r="M887" s="144"/>
      <c r="N887" s="144"/>
    </row>
    <row r="888" spans="1:14">
      <c r="A888" s="144"/>
      <c r="B888" s="144"/>
      <c r="C888" s="144"/>
      <c r="D888" s="144"/>
      <c r="E888" s="144"/>
      <c r="F888" s="144"/>
      <c r="G888" s="144"/>
      <c r="H888" s="144"/>
      <c r="I888" s="146"/>
      <c r="J888" s="144"/>
      <c r="K888" s="144"/>
      <c r="L888" s="144"/>
      <c r="M888" s="144"/>
      <c r="N888" s="144"/>
    </row>
    <row r="889" spans="1:14">
      <c r="A889" s="144"/>
      <c r="B889" s="144"/>
      <c r="C889" s="144"/>
      <c r="D889" s="144"/>
      <c r="E889" s="144"/>
      <c r="F889" s="144"/>
      <c r="G889" s="144"/>
      <c r="H889" s="144"/>
      <c r="I889" s="146"/>
      <c r="J889" s="144"/>
      <c r="K889" s="144"/>
      <c r="L889" s="144"/>
      <c r="M889" s="144"/>
      <c r="N889" s="144"/>
    </row>
    <row r="890" spans="1:14">
      <c r="A890" s="144"/>
      <c r="B890" s="144"/>
      <c r="C890" s="144"/>
      <c r="D890" s="144"/>
      <c r="E890" s="144"/>
      <c r="F890" s="144"/>
      <c r="G890" s="144"/>
      <c r="H890" s="144"/>
      <c r="I890" s="146"/>
      <c r="J890" s="144"/>
      <c r="K890" s="144"/>
      <c r="L890" s="144"/>
      <c r="M890" s="144"/>
      <c r="N890" s="144"/>
    </row>
    <row r="891" spans="1:14">
      <c r="A891" s="144"/>
      <c r="B891" s="144"/>
      <c r="C891" s="144"/>
      <c r="D891" s="144"/>
      <c r="E891" s="144"/>
      <c r="F891" s="144"/>
      <c r="G891" s="144"/>
      <c r="H891" s="144"/>
      <c r="I891" s="146"/>
      <c r="J891" s="144"/>
      <c r="K891" s="144"/>
      <c r="L891" s="144"/>
      <c r="M891" s="144"/>
      <c r="N891" s="144"/>
    </row>
    <row r="892" spans="1:14">
      <c r="A892" s="144"/>
      <c r="B892" s="144"/>
      <c r="C892" s="144"/>
      <c r="D892" s="144"/>
      <c r="E892" s="144"/>
      <c r="F892" s="144"/>
      <c r="G892" s="144"/>
      <c r="H892" s="144"/>
      <c r="I892" s="146"/>
      <c r="J892" s="144"/>
      <c r="K892" s="144"/>
      <c r="L892" s="144"/>
      <c r="M892" s="144"/>
      <c r="N892" s="144"/>
    </row>
    <row r="893" spans="1:14">
      <c r="A893" s="144"/>
      <c r="B893" s="144"/>
      <c r="C893" s="144"/>
      <c r="D893" s="144"/>
      <c r="E893" s="144"/>
      <c r="F893" s="144"/>
      <c r="G893" s="144"/>
      <c r="H893" s="144"/>
      <c r="I893" s="146"/>
      <c r="J893" s="144"/>
      <c r="K893" s="144"/>
      <c r="L893" s="144"/>
      <c r="M893" s="144"/>
      <c r="N893" s="144"/>
    </row>
    <row r="894" spans="1:14">
      <c r="A894" s="144"/>
      <c r="B894" s="144"/>
      <c r="C894" s="144"/>
      <c r="D894" s="144"/>
      <c r="E894" s="144"/>
      <c r="F894" s="144"/>
      <c r="G894" s="144"/>
      <c r="H894" s="144"/>
      <c r="I894" s="146"/>
      <c r="J894" s="144"/>
      <c r="K894" s="144"/>
      <c r="L894" s="144"/>
      <c r="M894" s="144"/>
      <c r="N894" s="144"/>
    </row>
    <row r="895" spans="1:14">
      <c r="A895" s="144"/>
      <c r="B895" s="144"/>
      <c r="C895" s="144"/>
      <c r="D895" s="144"/>
      <c r="E895" s="144"/>
      <c r="F895" s="144"/>
      <c r="G895" s="144"/>
      <c r="H895" s="144"/>
      <c r="I895" s="146"/>
      <c r="J895" s="144"/>
      <c r="K895" s="144"/>
      <c r="L895" s="144"/>
      <c r="M895" s="144"/>
      <c r="N895" s="144"/>
    </row>
    <row r="896" spans="1:14">
      <c r="A896" s="144"/>
      <c r="B896" s="144"/>
      <c r="C896" s="144"/>
      <c r="D896" s="144"/>
      <c r="E896" s="144"/>
      <c r="F896" s="144"/>
      <c r="G896" s="144"/>
      <c r="H896" s="144"/>
      <c r="I896" s="146"/>
      <c r="J896" s="144"/>
      <c r="K896" s="144"/>
      <c r="L896" s="144"/>
      <c r="M896" s="144"/>
      <c r="N896" s="144"/>
    </row>
    <row r="897" spans="1:14">
      <c r="A897" s="144"/>
      <c r="B897" s="144"/>
      <c r="C897" s="144"/>
      <c r="D897" s="144"/>
      <c r="E897" s="144"/>
      <c r="F897" s="144"/>
      <c r="G897" s="144"/>
      <c r="H897" s="144"/>
      <c r="I897" s="146"/>
      <c r="J897" s="144"/>
      <c r="K897" s="144"/>
      <c r="L897" s="144"/>
      <c r="M897" s="144"/>
      <c r="N897" s="144"/>
    </row>
    <row r="898" spans="1:14">
      <c r="A898" s="144"/>
      <c r="B898" s="144"/>
      <c r="C898" s="144"/>
      <c r="D898" s="144"/>
      <c r="E898" s="144"/>
      <c r="F898" s="144"/>
      <c r="G898" s="144"/>
      <c r="H898" s="144"/>
      <c r="I898" s="146"/>
      <c r="J898" s="144"/>
      <c r="K898" s="144"/>
      <c r="L898" s="144"/>
      <c r="M898" s="144"/>
      <c r="N898" s="144"/>
    </row>
    <row r="899" spans="1:14">
      <c r="A899" s="144"/>
      <c r="B899" s="144"/>
      <c r="C899" s="144"/>
      <c r="D899" s="144"/>
      <c r="E899" s="144"/>
      <c r="F899" s="144"/>
      <c r="G899" s="144"/>
      <c r="H899" s="144"/>
      <c r="I899" s="146"/>
      <c r="J899" s="144"/>
      <c r="K899" s="144"/>
      <c r="L899" s="144"/>
      <c r="M899" s="144"/>
      <c r="N899" s="144"/>
    </row>
    <row r="900" spans="1:14">
      <c r="A900" s="144"/>
      <c r="B900" s="144"/>
      <c r="C900" s="144"/>
      <c r="D900" s="144"/>
      <c r="E900" s="144"/>
      <c r="F900" s="144"/>
      <c r="G900" s="144"/>
      <c r="H900" s="144"/>
      <c r="I900" s="146"/>
      <c r="J900" s="144"/>
      <c r="K900" s="144"/>
      <c r="L900" s="144"/>
      <c r="M900" s="144"/>
      <c r="N900" s="144"/>
    </row>
    <row r="901" spans="1:14">
      <c r="A901" s="144"/>
      <c r="B901" s="144"/>
      <c r="C901" s="144"/>
      <c r="D901" s="144"/>
      <c r="E901" s="144"/>
      <c r="F901" s="144"/>
      <c r="G901" s="144"/>
      <c r="H901" s="144"/>
      <c r="I901" s="146"/>
      <c r="J901" s="144"/>
      <c r="K901" s="144"/>
      <c r="L901" s="144"/>
      <c r="M901" s="144"/>
      <c r="N901" s="144"/>
    </row>
    <row r="902" spans="1:14">
      <c r="A902" s="144"/>
      <c r="B902" s="144"/>
      <c r="C902" s="144"/>
      <c r="D902" s="144"/>
      <c r="E902" s="144"/>
      <c r="F902" s="144"/>
      <c r="G902" s="144"/>
      <c r="H902" s="144"/>
      <c r="I902" s="146"/>
      <c r="J902" s="144"/>
      <c r="K902" s="144"/>
      <c r="L902" s="144"/>
      <c r="M902" s="144"/>
      <c r="N902" s="144"/>
    </row>
    <row r="903" spans="1:14">
      <c r="A903" s="144"/>
      <c r="B903" s="144"/>
      <c r="C903" s="144"/>
      <c r="D903" s="144"/>
      <c r="E903" s="144"/>
      <c r="F903" s="144"/>
      <c r="G903" s="144"/>
      <c r="H903" s="144"/>
      <c r="I903" s="146"/>
      <c r="J903" s="144"/>
      <c r="K903" s="144"/>
      <c r="L903" s="144"/>
      <c r="M903" s="144"/>
      <c r="N903" s="144"/>
    </row>
    <row r="904" spans="1:14">
      <c r="A904" s="144"/>
      <c r="B904" s="144"/>
      <c r="C904" s="144"/>
      <c r="D904" s="144"/>
      <c r="E904" s="144"/>
      <c r="F904" s="144"/>
      <c r="G904" s="144"/>
      <c r="H904" s="144"/>
      <c r="I904" s="146"/>
      <c r="J904" s="144"/>
      <c r="K904" s="144"/>
      <c r="L904" s="144"/>
      <c r="M904" s="144"/>
      <c r="N904" s="144"/>
    </row>
    <row r="905" spans="1:14">
      <c r="A905" s="144"/>
      <c r="B905" s="144"/>
      <c r="C905" s="144"/>
      <c r="D905" s="144"/>
      <c r="E905" s="144"/>
      <c r="F905" s="144"/>
      <c r="G905" s="144"/>
      <c r="H905" s="144"/>
      <c r="I905" s="146"/>
      <c r="J905" s="144"/>
      <c r="K905" s="144"/>
      <c r="L905" s="144"/>
      <c r="M905" s="144"/>
      <c r="N905" s="144"/>
    </row>
    <row r="906" spans="1:14">
      <c r="A906" s="144"/>
      <c r="B906" s="144"/>
      <c r="C906" s="144"/>
      <c r="D906" s="144"/>
      <c r="E906" s="144"/>
      <c r="F906" s="144"/>
      <c r="G906" s="144"/>
      <c r="H906" s="144"/>
      <c r="I906" s="146"/>
      <c r="J906" s="144"/>
      <c r="K906" s="144"/>
      <c r="L906" s="144"/>
      <c r="M906" s="144"/>
      <c r="N906" s="144"/>
    </row>
    <row r="907" spans="1:14">
      <c r="A907" s="144"/>
      <c r="B907" s="144"/>
      <c r="C907" s="144"/>
      <c r="D907" s="144"/>
      <c r="E907" s="144"/>
      <c r="F907" s="144"/>
      <c r="G907" s="144"/>
      <c r="H907" s="144"/>
      <c r="I907" s="146"/>
      <c r="J907" s="144"/>
      <c r="K907" s="144"/>
      <c r="L907" s="144"/>
      <c r="M907" s="144"/>
      <c r="N907" s="144"/>
    </row>
    <row r="908" spans="1:14">
      <c r="A908" s="144"/>
      <c r="B908" s="144"/>
      <c r="C908" s="144"/>
      <c r="D908" s="144"/>
      <c r="E908" s="144"/>
      <c r="F908" s="144"/>
      <c r="G908" s="144"/>
      <c r="H908" s="144"/>
      <c r="I908" s="146"/>
      <c r="J908" s="144"/>
      <c r="K908" s="144"/>
      <c r="L908" s="144"/>
      <c r="M908" s="144"/>
      <c r="N908" s="144"/>
    </row>
    <row r="909" spans="1:14">
      <c r="A909" s="144"/>
      <c r="B909" s="144"/>
      <c r="C909" s="144"/>
      <c r="D909" s="144"/>
      <c r="E909" s="144"/>
      <c r="F909" s="144"/>
      <c r="G909" s="144"/>
      <c r="H909" s="144"/>
      <c r="I909" s="146"/>
      <c r="J909" s="144"/>
      <c r="K909" s="144"/>
      <c r="L909" s="144"/>
      <c r="M909" s="144"/>
      <c r="N909" s="144"/>
    </row>
    <row r="910" spans="1:14">
      <c r="A910" s="144"/>
      <c r="B910" s="144"/>
      <c r="C910" s="144"/>
      <c r="D910" s="144"/>
      <c r="E910" s="144"/>
      <c r="F910" s="144"/>
      <c r="G910" s="144"/>
      <c r="H910" s="144"/>
      <c r="I910" s="146"/>
      <c r="J910" s="144"/>
      <c r="K910" s="144"/>
      <c r="L910" s="144"/>
      <c r="M910" s="144"/>
      <c r="N910" s="144"/>
    </row>
    <row r="911" spans="1:14">
      <c r="A911" s="144"/>
      <c r="B911" s="144"/>
      <c r="C911" s="144"/>
      <c r="D911" s="144"/>
      <c r="E911" s="144"/>
      <c r="F911" s="144"/>
      <c r="G911" s="144"/>
      <c r="H911" s="144"/>
      <c r="I911" s="146"/>
      <c r="J911" s="144"/>
      <c r="K911" s="144"/>
      <c r="L911" s="144"/>
      <c r="M911" s="144"/>
      <c r="N911" s="144"/>
    </row>
    <row r="912" spans="1:14">
      <c r="A912" s="144"/>
      <c r="B912" s="144"/>
      <c r="C912" s="144"/>
      <c r="D912" s="144"/>
      <c r="E912" s="144"/>
      <c r="F912" s="144"/>
      <c r="G912" s="144"/>
      <c r="H912" s="144"/>
      <c r="I912" s="146"/>
      <c r="J912" s="144"/>
      <c r="K912" s="144"/>
      <c r="L912" s="144"/>
      <c r="M912" s="144"/>
      <c r="N912" s="144"/>
    </row>
    <row r="913" spans="1:14">
      <c r="A913" s="144"/>
      <c r="B913" s="144"/>
      <c r="C913" s="144"/>
      <c r="D913" s="144"/>
      <c r="E913" s="144"/>
      <c r="F913" s="144"/>
      <c r="G913" s="144"/>
      <c r="H913" s="144"/>
      <c r="I913" s="146"/>
      <c r="J913" s="144"/>
      <c r="K913" s="144"/>
      <c r="L913" s="144"/>
      <c r="M913" s="144"/>
      <c r="N913" s="144"/>
    </row>
    <row r="914" spans="1:14">
      <c r="A914" s="144"/>
      <c r="B914" s="144"/>
      <c r="C914" s="144"/>
      <c r="D914" s="144"/>
      <c r="E914" s="144"/>
      <c r="F914" s="144"/>
      <c r="G914" s="144"/>
      <c r="H914" s="144"/>
      <c r="I914" s="146"/>
      <c r="J914" s="144"/>
      <c r="K914" s="144"/>
      <c r="L914" s="144"/>
      <c r="M914" s="144"/>
      <c r="N914" s="144"/>
    </row>
    <row r="915" spans="1:14">
      <c r="A915" s="144"/>
      <c r="B915" s="144"/>
      <c r="C915" s="144"/>
      <c r="D915" s="144"/>
      <c r="E915" s="144"/>
      <c r="F915" s="144"/>
      <c r="G915" s="144"/>
      <c r="H915" s="144"/>
      <c r="I915" s="146"/>
      <c r="J915" s="144"/>
      <c r="K915" s="144"/>
      <c r="L915" s="144"/>
      <c r="M915" s="144"/>
      <c r="N915" s="144"/>
    </row>
    <row r="916" spans="1:14">
      <c r="A916" s="144"/>
      <c r="B916" s="144"/>
      <c r="C916" s="144"/>
      <c r="D916" s="144"/>
      <c r="E916" s="144"/>
      <c r="F916" s="144"/>
      <c r="G916" s="144"/>
      <c r="H916" s="144"/>
      <c r="I916" s="146"/>
      <c r="J916" s="144"/>
      <c r="K916" s="144"/>
      <c r="L916" s="144"/>
      <c r="M916" s="144"/>
      <c r="N916" s="144"/>
    </row>
    <row r="917" spans="1:14">
      <c r="A917" s="144"/>
      <c r="B917" s="144"/>
      <c r="C917" s="144"/>
      <c r="D917" s="144"/>
      <c r="E917" s="144"/>
      <c r="F917" s="144"/>
      <c r="G917" s="144"/>
      <c r="H917" s="144"/>
      <c r="I917" s="146"/>
      <c r="J917" s="144"/>
      <c r="K917" s="144"/>
      <c r="L917" s="144"/>
      <c r="M917" s="144"/>
      <c r="N917" s="144"/>
    </row>
  </sheetData>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BD7BF-39DC-C149-931B-C7BCD5568097}">
  <dimension ref="A1:O917"/>
  <sheetViews>
    <sheetView workbookViewId="0"/>
  </sheetViews>
  <sheetFormatPr baseColWidth="10" defaultRowHeight="16"/>
  <cols>
    <col min="1" max="3" width="3.1640625" style="50" customWidth="1"/>
    <col min="4" max="4" width="4.5" style="50" customWidth="1"/>
    <col min="5" max="5" width="8.33203125" style="151" customWidth="1"/>
    <col min="6" max="7" width="5.83203125" style="50" customWidth="1"/>
    <col min="8" max="8" width="5.5" style="50" customWidth="1"/>
    <col min="9" max="9" width="10.83203125" style="142"/>
    <col min="10" max="12" width="10.83203125" style="50"/>
    <col min="13" max="13" width="13.83203125" style="50" customWidth="1"/>
    <col min="14" max="14" width="106.6640625" style="50" customWidth="1"/>
    <col min="15" max="16384" width="10.83203125" style="142"/>
  </cols>
  <sheetData>
    <row r="1" spans="1:14" ht="44">
      <c r="A1" s="138" t="s">
        <v>1391</v>
      </c>
      <c r="B1" s="138" t="s">
        <v>2</v>
      </c>
      <c r="C1" s="138" t="s">
        <v>3</v>
      </c>
      <c r="D1" s="138" t="s">
        <v>34</v>
      </c>
      <c r="E1" s="148" t="s">
        <v>1424</v>
      </c>
      <c r="F1" s="138" t="s">
        <v>4</v>
      </c>
      <c r="G1" s="138" t="s">
        <v>531</v>
      </c>
      <c r="H1" s="138" t="s">
        <v>1846</v>
      </c>
      <c r="I1" s="139" t="s">
        <v>1392</v>
      </c>
      <c r="J1" s="140" t="s">
        <v>1393</v>
      </c>
      <c r="K1" s="140" t="s">
        <v>1394</v>
      </c>
      <c r="L1" s="140" t="s">
        <v>1395</v>
      </c>
      <c r="M1" s="141" t="s">
        <v>1396</v>
      </c>
      <c r="N1" s="141" t="s">
        <v>1397</v>
      </c>
    </row>
    <row r="2" spans="1:14" ht="98">
      <c r="A2" s="138">
        <v>2</v>
      </c>
      <c r="B2" s="142">
        <v>3</v>
      </c>
      <c r="C2" s="142">
        <v>1</v>
      </c>
      <c r="D2" s="142">
        <v>1</v>
      </c>
      <c r="E2" s="149" t="s">
        <v>1849</v>
      </c>
      <c r="F2" s="142">
        <v>15</v>
      </c>
      <c r="G2" s="142">
        <v>138</v>
      </c>
      <c r="H2" s="142">
        <v>1</v>
      </c>
      <c r="I2" s="139" t="s">
        <v>1398</v>
      </c>
      <c r="J2" s="140" t="s">
        <v>1399</v>
      </c>
      <c r="K2" s="140" t="s">
        <v>1400</v>
      </c>
      <c r="L2" s="140" t="s">
        <v>5</v>
      </c>
      <c r="M2" s="140" t="s">
        <v>517</v>
      </c>
      <c r="N2" s="143" t="s">
        <v>1088</v>
      </c>
    </row>
    <row r="3" spans="1:14" ht="84">
      <c r="A3" s="138">
        <v>3</v>
      </c>
      <c r="B3" s="142">
        <v>3</v>
      </c>
      <c r="C3" s="142">
        <v>1</v>
      </c>
      <c r="D3" s="142">
        <v>2</v>
      </c>
      <c r="E3" s="149" t="s">
        <v>1850</v>
      </c>
      <c r="F3" s="142">
        <v>15</v>
      </c>
      <c r="G3" s="142">
        <v>139</v>
      </c>
      <c r="H3" s="142">
        <v>2</v>
      </c>
      <c r="I3" s="139" t="s">
        <v>1398</v>
      </c>
      <c r="J3" s="140" t="s">
        <v>1399</v>
      </c>
      <c r="K3" s="140" t="s">
        <v>1400</v>
      </c>
      <c r="L3" s="140" t="s">
        <v>5</v>
      </c>
      <c r="M3" s="140" t="s">
        <v>39</v>
      </c>
      <c r="N3" s="143" t="s">
        <v>1089</v>
      </c>
    </row>
    <row r="4" spans="1:14" ht="42">
      <c r="A4" s="138">
        <v>4</v>
      </c>
      <c r="B4" s="142">
        <v>3</v>
      </c>
      <c r="C4" s="142">
        <v>1</v>
      </c>
      <c r="D4" s="142">
        <v>3</v>
      </c>
      <c r="E4" s="149" t="s">
        <v>1851</v>
      </c>
      <c r="F4" s="142">
        <v>15</v>
      </c>
      <c r="G4" s="142">
        <v>140</v>
      </c>
      <c r="H4" s="142">
        <v>3</v>
      </c>
      <c r="I4" s="139" t="s">
        <v>1398</v>
      </c>
      <c r="J4" s="140" t="s">
        <v>1399</v>
      </c>
      <c r="K4" s="140" t="s">
        <v>1400</v>
      </c>
      <c r="L4" s="140" t="s">
        <v>5</v>
      </c>
      <c r="M4" s="140" t="s">
        <v>518</v>
      </c>
      <c r="N4" s="143" t="s">
        <v>1090</v>
      </c>
    </row>
    <row r="5" spans="1:14" ht="42">
      <c r="A5" s="138">
        <v>5</v>
      </c>
      <c r="B5" s="142">
        <v>3</v>
      </c>
      <c r="C5" s="142">
        <v>1</v>
      </c>
      <c r="D5" s="142">
        <v>4</v>
      </c>
      <c r="E5" s="149" t="s">
        <v>1852</v>
      </c>
      <c r="F5" s="142">
        <v>15</v>
      </c>
      <c r="G5" s="142">
        <v>141</v>
      </c>
      <c r="H5" s="142">
        <v>4</v>
      </c>
      <c r="I5" s="139" t="s">
        <v>1398</v>
      </c>
      <c r="J5" s="140" t="s">
        <v>1399</v>
      </c>
      <c r="K5" s="140" t="s">
        <v>1400</v>
      </c>
      <c r="L5" s="140" t="s">
        <v>5</v>
      </c>
      <c r="M5" s="140" t="s">
        <v>41</v>
      </c>
      <c r="N5" s="143" t="s">
        <v>1091</v>
      </c>
    </row>
    <row r="6" spans="1:14" ht="112">
      <c r="A6" s="138">
        <v>6</v>
      </c>
      <c r="B6" s="142">
        <v>3</v>
      </c>
      <c r="C6" s="142">
        <v>1</v>
      </c>
      <c r="D6" s="142">
        <v>5</v>
      </c>
      <c r="E6" s="149" t="s">
        <v>1853</v>
      </c>
      <c r="F6" s="142">
        <v>15</v>
      </c>
      <c r="G6" s="142">
        <v>142</v>
      </c>
      <c r="H6" s="142">
        <v>5</v>
      </c>
      <c r="I6" s="139" t="s">
        <v>1398</v>
      </c>
      <c r="J6" s="140" t="s">
        <v>1399</v>
      </c>
      <c r="K6" s="140" t="s">
        <v>1400</v>
      </c>
      <c r="L6" s="140" t="s">
        <v>5</v>
      </c>
      <c r="M6" s="140" t="s">
        <v>519</v>
      </c>
      <c r="N6" s="143" t="s">
        <v>1092</v>
      </c>
    </row>
    <row r="7" spans="1:14" ht="42">
      <c r="A7" s="138">
        <v>7</v>
      </c>
      <c r="B7" s="142">
        <v>3</v>
      </c>
      <c r="C7" s="142">
        <v>1</v>
      </c>
      <c r="D7" s="142">
        <v>6</v>
      </c>
      <c r="E7" s="149" t="s">
        <v>1854</v>
      </c>
      <c r="F7" s="142">
        <v>15</v>
      </c>
      <c r="G7" s="142">
        <v>143</v>
      </c>
      <c r="H7" s="142">
        <v>6</v>
      </c>
      <c r="I7" s="139" t="s">
        <v>1398</v>
      </c>
      <c r="J7" s="140" t="s">
        <v>1399</v>
      </c>
      <c r="K7" s="140" t="s">
        <v>1400</v>
      </c>
      <c r="L7" s="140" t="s">
        <v>5</v>
      </c>
      <c r="M7" s="140" t="s">
        <v>43</v>
      </c>
      <c r="N7" s="143" t="s">
        <v>1093</v>
      </c>
    </row>
    <row r="8" spans="1:14" ht="70">
      <c r="A8" s="138">
        <v>8</v>
      </c>
      <c r="B8" s="142">
        <v>3</v>
      </c>
      <c r="C8" s="142">
        <v>1</v>
      </c>
      <c r="D8" s="142">
        <v>7</v>
      </c>
      <c r="E8" s="149" t="s">
        <v>1855</v>
      </c>
      <c r="F8" s="142">
        <v>15</v>
      </c>
      <c r="G8" s="142">
        <v>144</v>
      </c>
      <c r="H8" s="142">
        <v>7</v>
      </c>
      <c r="I8" s="139" t="s">
        <v>1398</v>
      </c>
      <c r="J8" s="140" t="s">
        <v>1399</v>
      </c>
      <c r="K8" s="140" t="s">
        <v>1400</v>
      </c>
      <c r="L8" s="140" t="s">
        <v>5</v>
      </c>
      <c r="M8" s="140" t="s">
        <v>44</v>
      </c>
      <c r="N8" s="143" t="s">
        <v>1094</v>
      </c>
    </row>
    <row r="9" spans="1:14" ht="28">
      <c r="A9" s="138">
        <v>9</v>
      </c>
      <c r="B9" s="142">
        <v>3</v>
      </c>
      <c r="C9" s="142">
        <v>1</v>
      </c>
      <c r="D9" s="142">
        <v>8</v>
      </c>
      <c r="E9" s="149" t="s">
        <v>1856</v>
      </c>
      <c r="F9" s="142">
        <v>15</v>
      </c>
      <c r="G9" s="142">
        <v>145</v>
      </c>
      <c r="H9" s="142">
        <v>8</v>
      </c>
      <c r="I9" s="139" t="s">
        <v>1398</v>
      </c>
      <c r="J9" s="140" t="s">
        <v>1399</v>
      </c>
      <c r="K9" s="140" t="s">
        <v>1400</v>
      </c>
      <c r="L9" s="140" t="s">
        <v>5</v>
      </c>
      <c r="M9" s="140" t="s">
        <v>45</v>
      </c>
      <c r="N9" s="143" t="s">
        <v>1095</v>
      </c>
    </row>
    <row r="10" spans="1:14" ht="28">
      <c r="A10" s="138">
        <v>10</v>
      </c>
      <c r="B10" s="142">
        <v>3</v>
      </c>
      <c r="C10" s="142">
        <v>1</v>
      </c>
      <c r="D10" s="142">
        <v>9</v>
      </c>
      <c r="E10" s="149" t="s">
        <v>1857</v>
      </c>
      <c r="F10" s="142">
        <v>15</v>
      </c>
      <c r="G10" s="142">
        <v>146</v>
      </c>
      <c r="H10" s="142">
        <v>9</v>
      </c>
      <c r="I10" s="139" t="s">
        <v>1398</v>
      </c>
      <c r="J10" s="140" t="s">
        <v>1399</v>
      </c>
      <c r="K10" s="140" t="s">
        <v>1400</v>
      </c>
      <c r="L10" s="140" t="s">
        <v>5</v>
      </c>
      <c r="M10" s="140" t="s">
        <v>46</v>
      </c>
      <c r="N10" s="143" t="s">
        <v>1096</v>
      </c>
    </row>
    <row r="11" spans="1:14" ht="28">
      <c r="A11" s="138">
        <v>11</v>
      </c>
      <c r="B11" s="142">
        <v>3</v>
      </c>
      <c r="C11" s="142">
        <v>1</v>
      </c>
      <c r="D11" s="142">
        <v>10</v>
      </c>
      <c r="E11" s="149" t="s">
        <v>1858</v>
      </c>
      <c r="F11" s="142">
        <v>15</v>
      </c>
      <c r="G11" s="142">
        <v>147</v>
      </c>
      <c r="H11" s="142">
        <v>10</v>
      </c>
      <c r="I11" s="139" t="s">
        <v>1398</v>
      </c>
      <c r="J11" s="140" t="s">
        <v>1399</v>
      </c>
      <c r="K11" s="140" t="s">
        <v>1400</v>
      </c>
      <c r="L11" s="140" t="s">
        <v>5</v>
      </c>
      <c r="M11" s="140" t="s">
        <v>47</v>
      </c>
      <c r="N11" s="143" t="s">
        <v>910</v>
      </c>
    </row>
    <row r="12" spans="1:14" ht="28">
      <c r="A12" s="138">
        <v>12</v>
      </c>
      <c r="B12" s="142">
        <v>3</v>
      </c>
      <c r="C12" s="142">
        <v>1</v>
      </c>
      <c r="D12" s="142">
        <v>11</v>
      </c>
      <c r="E12" s="149" t="s">
        <v>1859</v>
      </c>
      <c r="F12" s="142">
        <v>15</v>
      </c>
      <c r="G12" s="142">
        <v>148</v>
      </c>
      <c r="H12" s="142">
        <v>11</v>
      </c>
      <c r="I12" s="139" t="s">
        <v>1398</v>
      </c>
      <c r="J12" s="140" t="s">
        <v>1399</v>
      </c>
      <c r="K12" s="140" t="s">
        <v>1400</v>
      </c>
      <c r="L12" s="140" t="s">
        <v>5</v>
      </c>
      <c r="M12" s="140" t="s">
        <v>48</v>
      </c>
      <c r="N12" s="143" t="s">
        <v>1097</v>
      </c>
    </row>
    <row r="13" spans="1:14" ht="28">
      <c r="A13" s="138">
        <v>13</v>
      </c>
      <c r="B13" s="142">
        <v>3</v>
      </c>
      <c r="C13" s="142">
        <v>1</v>
      </c>
      <c r="D13" s="142">
        <v>12</v>
      </c>
      <c r="E13" s="149" t="s">
        <v>1860</v>
      </c>
      <c r="F13" s="142">
        <v>15</v>
      </c>
      <c r="G13" s="142">
        <v>149</v>
      </c>
      <c r="H13" s="142">
        <v>12</v>
      </c>
      <c r="I13" s="139" t="s">
        <v>1398</v>
      </c>
      <c r="J13" s="140" t="s">
        <v>1399</v>
      </c>
      <c r="K13" s="140" t="s">
        <v>1400</v>
      </c>
      <c r="L13" s="140" t="s">
        <v>5</v>
      </c>
      <c r="M13" s="140" t="s">
        <v>516</v>
      </c>
      <c r="N13" s="143" t="s">
        <v>1098</v>
      </c>
    </row>
    <row r="14" spans="1:14" ht="28">
      <c r="A14" s="138">
        <v>14</v>
      </c>
      <c r="B14" s="142">
        <v>3</v>
      </c>
      <c r="C14" s="142">
        <v>2</v>
      </c>
      <c r="D14" s="142">
        <v>13</v>
      </c>
      <c r="E14" s="149" t="s">
        <v>1861</v>
      </c>
      <c r="F14" s="142">
        <v>16</v>
      </c>
      <c r="G14" s="142">
        <v>150</v>
      </c>
      <c r="H14" s="142">
        <v>13</v>
      </c>
      <c r="I14" s="139" t="s">
        <v>1398</v>
      </c>
      <c r="J14" s="140" t="s">
        <v>1399</v>
      </c>
      <c r="K14" s="140" t="s">
        <v>1400</v>
      </c>
      <c r="L14" s="140" t="s">
        <v>6</v>
      </c>
      <c r="M14" s="140" t="s">
        <v>51</v>
      </c>
      <c r="N14" s="143" t="s">
        <v>1099</v>
      </c>
    </row>
    <row r="15" spans="1:14" ht="56">
      <c r="A15" s="138">
        <v>15</v>
      </c>
      <c r="B15" s="142">
        <v>3</v>
      </c>
      <c r="C15" s="142">
        <v>2</v>
      </c>
      <c r="D15" s="142">
        <v>14</v>
      </c>
      <c r="E15" s="149" t="s">
        <v>1862</v>
      </c>
      <c r="F15" s="142">
        <v>16</v>
      </c>
      <c r="G15" s="142">
        <v>151</v>
      </c>
      <c r="H15" s="142">
        <v>14</v>
      </c>
      <c r="I15" s="139" t="s">
        <v>1398</v>
      </c>
      <c r="J15" s="140" t="s">
        <v>1399</v>
      </c>
      <c r="K15" s="140" t="s">
        <v>1400</v>
      </c>
      <c r="L15" s="140" t="s">
        <v>6</v>
      </c>
      <c r="M15" s="140" t="s">
        <v>52</v>
      </c>
      <c r="N15" s="143" t="s">
        <v>1100</v>
      </c>
    </row>
    <row r="16" spans="1:14" ht="42">
      <c r="A16" s="138">
        <v>16</v>
      </c>
      <c r="B16" s="142">
        <v>3</v>
      </c>
      <c r="C16" s="142">
        <v>2</v>
      </c>
      <c r="D16" s="142">
        <v>15</v>
      </c>
      <c r="E16" s="149" t="s">
        <v>1863</v>
      </c>
      <c r="F16" s="142">
        <v>16</v>
      </c>
      <c r="G16" s="142">
        <v>152</v>
      </c>
      <c r="H16" s="142">
        <v>15</v>
      </c>
      <c r="I16" s="139" t="s">
        <v>1398</v>
      </c>
      <c r="J16" s="140" t="s">
        <v>1399</v>
      </c>
      <c r="K16" s="140" t="s">
        <v>1400</v>
      </c>
      <c r="L16" s="140" t="s">
        <v>6</v>
      </c>
      <c r="M16" s="140" t="s">
        <v>507</v>
      </c>
      <c r="N16" s="143" t="s">
        <v>1101</v>
      </c>
    </row>
    <row r="17" spans="1:14" ht="28">
      <c r="A17" s="138">
        <v>17</v>
      </c>
      <c r="B17" s="142">
        <v>3</v>
      </c>
      <c r="C17" s="142">
        <v>2</v>
      </c>
      <c r="D17" s="142">
        <v>16</v>
      </c>
      <c r="E17" s="149" t="s">
        <v>1864</v>
      </c>
      <c r="F17" s="142">
        <v>16</v>
      </c>
      <c r="G17" s="142">
        <v>153</v>
      </c>
      <c r="H17" s="142">
        <v>16</v>
      </c>
      <c r="I17" s="139" t="s">
        <v>1398</v>
      </c>
      <c r="J17" s="140" t="s">
        <v>1399</v>
      </c>
      <c r="K17" s="140" t="s">
        <v>1400</v>
      </c>
      <c r="L17" s="140" t="s">
        <v>6</v>
      </c>
      <c r="M17" s="140" t="s">
        <v>54</v>
      </c>
      <c r="N17" s="143" t="s">
        <v>1102</v>
      </c>
    </row>
    <row r="18" spans="1:14" ht="84">
      <c r="A18" s="138">
        <v>18</v>
      </c>
      <c r="B18" s="142">
        <v>3</v>
      </c>
      <c r="C18" s="142">
        <v>2</v>
      </c>
      <c r="D18" s="142">
        <v>17</v>
      </c>
      <c r="E18" s="149" t="s">
        <v>1865</v>
      </c>
      <c r="F18" s="142">
        <v>16</v>
      </c>
      <c r="G18" s="142">
        <v>154</v>
      </c>
      <c r="H18" s="142">
        <v>17</v>
      </c>
      <c r="I18" s="139" t="s">
        <v>1398</v>
      </c>
      <c r="J18" s="140" t="s">
        <v>1399</v>
      </c>
      <c r="K18" s="140" t="s">
        <v>1400</v>
      </c>
      <c r="L18" s="140" t="s">
        <v>6</v>
      </c>
      <c r="M18" s="140" t="s">
        <v>55</v>
      </c>
      <c r="N18" s="143" t="s">
        <v>1103</v>
      </c>
    </row>
    <row r="19" spans="1:14" ht="42">
      <c r="A19" s="138">
        <v>19</v>
      </c>
      <c r="B19" s="142">
        <v>3</v>
      </c>
      <c r="C19" s="142">
        <v>2</v>
      </c>
      <c r="D19" s="142">
        <v>18</v>
      </c>
      <c r="E19" s="149" t="s">
        <v>1866</v>
      </c>
      <c r="F19" s="142">
        <v>16</v>
      </c>
      <c r="G19" s="142">
        <v>155</v>
      </c>
      <c r="H19" s="142">
        <v>18</v>
      </c>
      <c r="I19" s="139" t="s">
        <v>1398</v>
      </c>
      <c r="J19" s="140" t="s">
        <v>1399</v>
      </c>
      <c r="K19" s="140" t="s">
        <v>1400</v>
      </c>
      <c r="L19" s="140" t="s">
        <v>6</v>
      </c>
      <c r="M19" s="140" t="s">
        <v>56</v>
      </c>
      <c r="N19" s="143" t="s">
        <v>1104</v>
      </c>
    </row>
    <row r="20" spans="1:14" ht="210">
      <c r="A20" s="138">
        <v>20</v>
      </c>
      <c r="B20" s="142">
        <v>3</v>
      </c>
      <c r="C20" s="142">
        <v>2</v>
      </c>
      <c r="D20" s="142">
        <v>19</v>
      </c>
      <c r="E20" s="149" t="s">
        <v>1867</v>
      </c>
      <c r="F20" s="142">
        <v>16</v>
      </c>
      <c r="G20" s="142">
        <v>156</v>
      </c>
      <c r="H20" s="142">
        <v>19</v>
      </c>
      <c r="I20" s="139" t="s">
        <v>1398</v>
      </c>
      <c r="J20" s="140" t="s">
        <v>1399</v>
      </c>
      <c r="K20" s="140" t="s">
        <v>1400</v>
      </c>
      <c r="L20" s="140" t="s">
        <v>6</v>
      </c>
      <c r="M20" s="140" t="s">
        <v>57</v>
      </c>
      <c r="N20" s="143" t="s">
        <v>1105</v>
      </c>
    </row>
    <row r="21" spans="1:14" ht="28">
      <c r="A21" s="138">
        <v>21</v>
      </c>
      <c r="B21" s="142">
        <v>3</v>
      </c>
      <c r="C21" s="142">
        <v>2</v>
      </c>
      <c r="D21" s="142">
        <v>20</v>
      </c>
      <c r="E21" s="149" t="s">
        <v>1868</v>
      </c>
      <c r="F21" s="142">
        <v>16</v>
      </c>
      <c r="G21" s="142">
        <v>157</v>
      </c>
      <c r="H21" s="142">
        <v>20</v>
      </c>
      <c r="I21" s="139" t="s">
        <v>1398</v>
      </c>
      <c r="J21" s="140" t="s">
        <v>1399</v>
      </c>
      <c r="K21" s="140" t="s">
        <v>1400</v>
      </c>
      <c r="L21" s="140" t="s">
        <v>6</v>
      </c>
      <c r="M21" s="140" t="s">
        <v>58</v>
      </c>
      <c r="N21" s="143" t="s">
        <v>1106</v>
      </c>
    </row>
    <row r="22" spans="1:14" ht="112">
      <c r="A22" s="138">
        <v>22</v>
      </c>
      <c r="B22" s="142">
        <v>3</v>
      </c>
      <c r="C22" s="142">
        <v>2</v>
      </c>
      <c r="D22" s="142">
        <v>21</v>
      </c>
      <c r="E22" s="149" t="s">
        <v>1869</v>
      </c>
      <c r="F22" s="142">
        <v>16</v>
      </c>
      <c r="G22" s="142">
        <v>158</v>
      </c>
      <c r="H22" s="142">
        <v>21</v>
      </c>
      <c r="I22" s="139" t="s">
        <v>1398</v>
      </c>
      <c r="J22" s="140" t="s">
        <v>1399</v>
      </c>
      <c r="K22" s="140" t="s">
        <v>1400</v>
      </c>
      <c r="L22" s="140" t="s">
        <v>6</v>
      </c>
      <c r="M22" s="140" t="s">
        <v>59</v>
      </c>
      <c r="N22" s="143" t="s">
        <v>1107</v>
      </c>
    </row>
    <row r="23" spans="1:14" ht="28">
      <c r="A23" s="138">
        <v>23</v>
      </c>
      <c r="B23" s="142">
        <v>3</v>
      </c>
      <c r="C23" s="142">
        <v>2</v>
      </c>
      <c r="D23" s="142">
        <v>22</v>
      </c>
      <c r="E23" s="149" t="s">
        <v>1870</v>
      </c>
      <c r="F23" s="142">
        <v>16</v>
      </c>
      <c r="G23" s="142">
        <v>159</v>
      </c>
      <c r="H23" s="142">
        <v>22</v>
      </c>
      <c r="I23" s="139" t="s">
        <v>1398</v>
      </c>
      <c r="J23" s="140" t="s">
        <v>1399</v>
      </c>
      <c r="K23" s="140" t="s">
        <v>1400</v>
      </c>
      <c r="L23" s="140" t="s">
        <v>6</v>
      </c>
      <c r="M23" s="140" t="s">
        <v>60</v>
      </c>
      <c r="N23" s="143" t="s">
        <v>1108</v>
      </c>
    </row>
    <row r="24" spans="1:14" ht="42">
      <c r="A24" s="138">
        <v>24</v>
      </c>
      <c r="B24" s="142">
        <v>3</v>
      </c>
      <c r="C24" s="142">
        <v>2</v>
      </c>
      <c r="D24" s="142">
        <v>23</v>
      </c>
      <c r="E24" s="149" t="s">
        <v>1871</v>
      </c>
      <c r="F24" s="142">
        <v>16</v>
      </c>
      <c r="G24" s="142">
        <v>160</v>
      </c>
      <c r="H24" s="142">
        <v>23</v>
      </c>
      <c r="I24" s="139" t="s">
        <v>1398</v>
      </c>
      <c r="J24" s="140" t="s">
        <v>1399</v>
      </c>
      <c r="K24" s="140" t="s">
        <v>1400</v>
      </c>
      <c r="L24" s="140" t="s">
        <v>6</v>
      </c>
      <c r="M24" s="140" t="s">
        <v>61</v>
      </c>
      <c r="N24" s="143" t="s">
        <v>1109</v>
      </c>
    </row>
    <row r="25" spans="1:14" ht="42">
      <c r="A25" s="138">
        <v>25</v>
      </c>
      <c r="B25" s="142">
        <v>3</v>
      </c>
      <c r="C25" s="142">
        <v>2</v>
      </c>
      <c r="D25" s="142">
        <v>24</v>
      </c>
      <c r="E25" s="149" t="s">
        <v>1872</v>
      </c>
      <c r="F25" s="142">
        <v>16</v>
      </c>
      <c r="G25" s="142">
        <v>161</v>
      </c>
      <c r="H25" s="142">
        <v>24</v>
      </c>
      <c r="I25" s="139" t="s">
        <v>1398</v>
      </c>
      <c r="J25" s="140" t="s">
        <v>1399</v>
      </c>
      <c r="K25" s="140" t="s">
        <v>1400</v>
      </c>
      <c r="L25" s="140" t="s">
        <v>6</v>
      </c>
      <c r="M25" s="140" t="s">
        <v>525</v>
      </c>
      <c r="N25" s="143" t="s">
        <v>1110</v>
      </c>
    </row>
    <row r="26" spans="1:14" ht="70">
      <c r="A26" s="138">
        <v>26</v>
      </c>
      <c r="B26" s="142">
        <v>3</v>
      </c>
      <c r="C26" s="142">
        <v>2</v>
      </c>
      <c r="D26" s="142">
        <v>25</v>
      </c>
      <c r="E26" s="149" t="s">
        <v>1873</v>
      </c>
      <c r="F26" s="142">
        <v>16</v>
      </c>
      <c r="G26" s="142">
        <v>162</v>
      </c>
      <c r="H26" s="142">
        <v>25</v>
      </c>
      <c r="I26" s="139" t="s">
        <v>1398</v>
      </c>
      <c r="J26" s="140" t="s">
        <v>1399</v>
      </c>
      <c r="K26" s="140" t="s">
        <v>1400</v>
      </c>
      <c r="L26" s="140" t="s">
        <v>6</v>
      </c>
      <c r="M26" s="140" t="s">
        <v>63</v>
      </c>
      <c r="N26" s="143" t="s">
        <v>1111</v>
      </c>
    </row>
    <row r="27" spans="1:14" ht="56">
      <c r="A27" s="138">
        <v>27</v>
      </c>
      <c r="B27" s="142">
        <v>3</v>
      </c>
      <c r="C27" s="142">
        <v>2</v>
      </c>
      <c r="D27" s="142">
        <v>26</v>
      </c>
      <c r="E27" s="149" t="s">
        <v>1874</v>
      </c>
      <c r="F27" s="142">
        <v>16</v>
      </c>
      <c r="G27" s="142">
        <v>163</v>
      </c>
      <c r="H27" s="142">
        <v>26</v>
      </c>
      <c r="I27" s="139" t="s">
        <v>1398</v>
      </c>
      <c r="J27" s="140" t="s">
        <v>1399</v>
      </c>
      <c r="K27" s="140" t="s">
        <v>1400</v>
      </c>
      <c r="L27" s="140" t="s">
        <v>6</v>
      </c>
      <c r="M27" s="140" t="s">
        <v>64</v>
      </c>
      <c r="N27" s="143" t="s">
        <v>1112</v>
      </c>
    </row>
    <row r="28" spans="1:14" ht="126">
      <c r="A28" s="138">
        <v>28</v>
      </c>
      <c r="B28" s="142">
        <v>3</v>
      </c>
      <c r="C28" s="142">
        <v>2</v>
      </c>
      <c r="D28" s="142">
        <v>27</v>
      </c>
      <c r="E28" s="149" t="s">
        <v>1875</v>
      </c>
      <c r="F28" s="142">
        <v>16</v>
      </c>
      <c r="G28" s="142">
        <v>164</v>
      </c>
      <c r="H28" s="142">
        <v>27</v>
      </c>
      <c r="I28" s="139" t="s">
        <v>1398</v>
      </c>
      <c r="J28" s="140" t="s">
        <v>1399</v>
      </c>
      <c r="K28" s="140" t="s">
        <v>1400</v>
      </c>
      <c r="L28" s="140" t="s">
        <v>6</v>
      </c>
      <c r="M28" s="140" t="s">
        <v>524</v>
      </c>
      <c r="N28" s="143" t="s">
        <v>1113</v>
      </c>
    </row>
    <row r="29" spans="1:14" ht="42">
      <c r="A29" s="138">
        <v>29</v>
      </c>
      <c r="B29" s="142">
        <v>3</v>
      </c>
      <c r="C29" s="142">
        <v>2</v>
      </c>
      <c r="D29" s="142">
        <v>28</v>
      </c>
      <c r="E29" s="149" t="s">
        <v>1876</v>
      </c>
      <c r="F29" s="142">
        <v>16</v>
      </c>
      <c r="G29" s="142">
        <v>165</v>
      </c>
      <c r="H29" s="142">
        <v>28</v>
      </c>
      <c r="I29" s="139" t="s">
        <v>1398</v>
      </c>
      <c r="J29" s="140" t="s">
        <v>1399</v>
      </c>
      <c r="K29" s="140" t="s">
        <v>1400</v>
      </c>
      <c r="L29" s="140" t="s">
        <v>6</v>
      </c>
      <c r="M29" s="140" t="s">
        <v>66</v>
      </c>
      <c r="N29" s="143" t="s">
        <v>1401</v>
      </c>
    </row>
    <row r="30" spans="1:14" ht="56">
      <c r="A30" s="138">
        <v>30</v>
      </c>
      <c r="B30" s="142">
        <v>3</v>
      </c>
      <c r="C30" s="142">
        <v>2</v>
      </c>
      <c r="D30" s="142">
        <v>29</v>
      </c>
      <c r="E30" s="149" t="s">
        <v>1877</v>
      </c>
      <c r="F30" s="142">
        <v>16</v>
      </c>
      <c r="G30" s="142">
        <v>166</v>
      </c>
      <c r="H30" s="142">
        <v>29</v>
      </c>
      <c r="I30" s="139" t="s">
        <v>1398</v>
      </c>
      <c r="J30" s="140" t="s">
        <v>1399</v>
      </c>
      <c r="K30" s="140" t="s">
        <v>1400</v>
      </c>
      <c r="L30" s="140" t="s">
        <v>6</v>
      </c>
      <c r="M30" s="140" t="s">
        <v>67</v>
      </c>
      <c r="N30" s="143" t="s">
        <v>1115</v>
      </c>
    </row>
    <row r="31" spans="1:14" ht="56">
      <c r="A31" s="138">
        <v>31</v>
      </c>
      <c r="B31" s="142">
        <v>3</v>
      </c>
      <c r="C31" s="142">
        <v>2</v>
      </c>
      <c r="D31" s="142">
        <v>30</v>
      </c>
      <c r="E31" s="149" t="s">
        <v>1878</v>
      </c>
      <c r="F31" s="142">
        <v>16</v>
      </c>
      <c r="G31" s="142">
        <v>167</v>
      </c>
      <c r="H31" s="142">
        <v>30</v>
      </c>
      <c r="I31" s="139" t="s">
        <v>1398</v>
      </c>
      <c r="J31" s="140" t="s">
        <v>1399</v>
      </c>
      <c r="K31" s="140" t="s">
        <v>1400</v>
      </c>
      <c r="L31" s="140" t="s">
        <v>6</v>
      </c>
      <c r="M31" s="140" t="s">
        <v>68</v>
      </c>
      <c r="N31" s="143" t="s">
        <v>1116</v>
      </c>
    </row>
    <row r="32" spans="1:14" ht="28">
      <c r="A32" s="138">
        <v>32</v>
      </c>
      <c r="B32" s="142">
        <v>3</v>
      </c>
      <c r="C32" s="142">
        <v>2</v>
      </c>
      <c r="D32" s="142">
        <v>31</v>
      </c>
      <c r="E32" s="149" t="s">
        <v>1879</v>
      </c>
      <c r="F32" s="142">
        <v>16</v>
      </c>
      <c r="G32" s="142">
        <v>168</v>
      </c>
      <c r="H32" s="142">
        <v>31</v>
      </c>
      <c r="I32" s="139" t="s">
        <v>1398</v>
      </c>
      <c r="J32" s="140" t="s">
        <v>1399</v>
      </c>
      <c r="K32" s="140" t="s">
        <v>1400</v>
      </c>
      <c r="L32" s="140" t="s">
        <v>6</v>
      </c>
      <c r="M32" s="140" t="s">
        <v>69</v>
      </c>
      <c r="N32" s="143" t="s">
        <v>544</v>
      </c>
    </row>
    <row r="33" spans="1:14" ht="42">
      <c r="A33" s="138">
        <v>33</v>
      </c>
      <c r="B33" s="142">
        <v>3</v>
      </c>
      <c r="C33" s="142">
        <v>2</v>
      </c>
      <c r="D33" s="142">
        <v>32</v>
      </c>
      <c r="E33" s="149" t="s">
        <v>1880</v>
      </c>
      <c r="F33" s="142">
        <v>16</v>
      </c>
      <c r="G33" s="142">
        <v>169</v>
      </c>
      <c r="H33" s="142">
        <v>32</v>
      </c>
      <c r="I33" s="139" t="s">
        <v>1398</v>
      </c>
      <c r="J33" s="140" t="s">
        <v>1399</v>
      </c>
      <c r="K33" s="140" t="s">
        <v>1400</v>
      </c>
      <c r="L33" s="140" t="s">
        <v>6</v>
      </c>
      <c r="M33" s="140" t="s">
        <v>32</v>
      </c>
      <c r="N33" s="143" t="s">
        <v>1117</v>
      </c>
    </row>
    <row r="34" spans="1:14" ht="28">
      <c r="A34" s="138">
        <v>34</v>
      </c>
      <c r="B34" s="142">
        <v>3</v>
      </c>
      <c r="C34" s="142">
        <v>2</v>
      </c>
      <c r="D34" s="142">
        <v>33</v>
      </c>
      <c r="E34" s="149" t="s">
        <v>1881</v>
      </c>
      <c r="F34" s="142">
        <v>16</v>
      </c>
      <c r="G34" s="142">
        <v>170</v>
      </c>
      <c r="H34" s="142">
        <v>33</v>
      </c>
      <c r="I34" s="139" t="s">
        <v>1398</v>
      </c>
      <c r="J34" s="140" t="s">
        <v>1399</v>
      </c>
      <c r="K34" s="140" t="s">
        <v>1400</v>
      </c>
      <c r="L34" s="140" t="s">
        <v>6</v>
      </c>
      <c r="M34" s="140" t="s">
        <v>70</v>
      </c>
      <c r="N34" s="143" t="s">
        <v>1118</v>
      </c>
    </row>
    <row r="35" spans="1:14" ht="28">
      <c r="A35" s="138">
        <v>35</v>
      </c>
      <c r="B35" s="142">
        <v>3</v>
      </c>
      <c r="C35" s="142">
        <v>2</v>
      </c>
      <c r="D35" s="142">
        <v>34</v>
      </c>
      <c r="E35" s="149" t="s">
        <v>1882</v>
      </c>
      <c r="F35" s="142">
        <v>16</v>
      </c>
      <c r="G35" s="142">
        <v>171</v>
      </c>
      <c r="H35" s="142">
        <v>34</v>
      </c>
      <c r="I35" s="139" t="s">
        <v>1398</v>
      </c>
      <c r="J35" s="140" t="s">
        <v>1399</v>
      </c>
      <c r="K35" s="140" t="s">
        <v>1400</v>
      </c>
      <c r="L35" s="140" t="s">
        <v>6</v>
      </c>
      <c r="M35" s="140" t="s">
        <v>71</v>
      </c>
      <c r="N35" s="143" t="s">
        <v>1120</v>
      </c>
    </row>
    <row r="36" spans="1:14" ht="28">
      <c r="A36" s="138">
        <v>36</v>
      </c>
      <c r="B36" s="142">
        <v>3</v>
      </c>
      <c r="C36" s="142">
        <v>2</v>
      </c>
      <c r="D36" s="142">
        <v>10</v>
      </c>
      <c r="E36" s="149" t="s">
        <v>1883</v>
      </c>
      <c r="F36" s="142">
        <v>16</v>
      </c>
      <c r="G36" s="142">
        <v>172</v>
      </c>
      <c r="H36" s="142">
        <v>10</v>
      </c>
      <c r="I36" s="139" t="s">
        <v>1398</v>
      </c>
      <c r="J36" s="140" t="s">
        <v>1399</v>
      </c>
      <c r="K36" s="140" t="s">
        <v>1400</v>
      </c>
      <c r="L36" s="140" t="s">
        <v>6</v>
      </c>
      <c r="M36" s="140" t="s">
        <v>47</v>
      </c>
      <c r="N36" s="143" t="s">
        <v>910</v>
      </c>
    </row>
    <row r="37" spans="1:14" ht="56">
      <c r="A37" s="138">
        <v>37</v>
      </c>
      <c r="B37" s="142">
        <v>3</v>
      </c>
      <c r="C37" s="142">
        <v>3</v>
      </c>
      <c r="D37" s="142">
        <v>35</v>
      </c>
      <c r="E37" s="149" t="s">
        <v>1884</v>
      </c>
      <c r="F37" s="142">
        <v>17</v>
      </c>
      <c r="G37" s="142">
        <v>173</v>
      </c>
      <c r="H37" s="142">
        <v>35</v>
      </c>
      <c r="I37" s="139" t="s">
        <v>1398</v>
      </c>
      <c r="J37" s="140" t="s">
        <v>1399</v>
      </c>
      <c r="K37" s="140" t="s">
        <v>1400</v>
      </c>
      <c r="L37" s="140" t="s">
        <v>7</v>
      </c>
      <c r="M37" s="140" t="s">
        <v>510</v>
      </c>
      <c r="N37" s="143" t="s">
        <v>1121</v>
      </c>
    </row>
    <row r="38" spans="1:14" ht="140">
      <c r="A38" s="138">
        <v>38</v>
      </c>
      <c r="B38" s="142">
        <v>3</v>
      </c>
      <c r="C38" s="142">
        <v>3</v>
      </c>
      <c r="D38" s="142">
        <v>36</v>
      </c>
      <c r="E38" s="149" t="s">
        <v>1885</v>
      </c>
      <c r="F38" s="142">
        <v>17</v>
      </c>
      <c r="G38" s="142">
        <v>174</v>
      </c>
      <c r="H38" s="142">
        <v>36</v>
      </c>
      <c r="I38" s="139" t="s">
        <v>1398</v>
      </c>
      <c r="J38" s="140" t="s">
        <v>1399</v>
      </c>
      <c r="K38" s="140" t="s">
        <v>1400</v>
      </c>
      <c r="L38" s="140" t="s">
        <v>7</v>
      </c>
      <c r="M38" s="140" t="s">
        <v>509</v>
      </c>
      <c r="N38" s="143" t="s">
        <v>1122</v>
      </c>
    </row>
    <row r="39" spans="1:14" ht="28">
      <c r="A39" s="138">
        <v>39</v>
      </c>
      <c r="B39" s="142">
        <v>3</v>
      </c>
      <c r="C39" s="142">
        <v>3</v>
      </c>
      <c r="D39" s="142">
        <v>37</v>
      </c>
      <c r="E39" s="149" t="s">
        <v>1886</v>
      </c>
      <c r="F39" s="142">
        <v>17</v>
      </c>
      <c r="G39" s="142">
        <v>175</v>
      </c>
      <c r="H39" s="142">
        <v>37</v>
      </c>
      <c r="I39" s="139" t="s">
        <v>1398</v>
      </c>
      <c r="J39" s="140" t="s">
        <v>1399</v>
      </c>
      <c r="K39" s="140" t="s">
        <v>1400</v>
      </c>
      <c r="L39" s="140" t="s">
        <v>7</v>
      </c>
      <c r="M39" s="140" t="s">
        <v>74</v>
      </c>
      <c r="N39" s="143" t="s">
        <v>1123</v>
      </c>
    </row>
    <row r="40" spans="1:14" ht="28">
      <c r="A40" s="138">
        <v>40</v>
      </c>
      <c r="B40" s="142">
        <v>3</v>
      </c>
      <c r="C40" s="142">
        <v>3</v>
      </c>
      <c r="D40" s="142">
        <v>38</v>
      </c>
      <c r="E40" s="149" t="s">
        <v>1887</v>
      </c>
      <c r="F40" s="142">
        <v>17</v>
      </c>
      <c r="G40" s="142">
        <v>176</v>
      </c>
      <c r="H40" s="142">
        <v>38</v>
      </c>
      <c r="I40" s="139" t="s">
        <v>1398</v>
      </c>
      <c r="J40" s="140" t="s">
        <v>1399</v>
      </c>
      <c r="K40" s="140" t="s">
        <v>1400</v>
      </c>
      <c r="L40" s="140" t="s">
        <v>7</v>
      </c>
      <c r="M40" s="140" t="s">
        <v>75</v>
      </c>
      <c r="N40" s="143" t="s">
        <v>1124</v>
      </c>
    </row>
    <row r="41" spans="1:14" ht="56">
      <c r="A41" s="138">
        <v>41</v>
      </c>
      <c r="B41" s="142">
        <v>3</v>
      </c>
      <c r="C41" s="142">
        <v>3</v>
      </c>
      <c r="D41" s="142">
        <v>39</v>
      </c>
      <c r="E41" s="149" t="s">
        <v>1888</v>
      </c>
      <c r="F41" s="142">
        <v>17</v>
      </c>
      <c r="G41" s="142">
        <v>177</v>
      </c>
      <c r="H41" s="142">
        <v>39</v>
      </c>
      <c r="I41" s="139" t="s">
        <v>1398</v>
      </c>
      <c r="J41" s="140" t="s">
        <v>1399</v>
      </c>
      <c r="K41" s="140" t="s">
        <v>1400</v>
      </c>
      <c r="L41" s="140" t="s">
        <v>7</v>
      </c>
      <c r="M41" s="140" t="s">
        <v>76</v>
      </c>
      <c r="N41" s="143" t="s">
        <v>1125</v>
      </c>
    </row>
    <row r="42" spans="1:14" ht="70">
      <c r="A42" s="138">
        <v>42</v>
      </c>
      <c r="B42" s="142">
        <v>3</v>
      </c>
      <c r="C42" s="142">
        <v>3</v>
      </c>
      <c r="D42" s="142">
        <v>40</v>
      </c>
      <c r="E42" s="149" t="s">
        <v>1889</v>
      </c>
      <c r="F42" s="142">
        <v>17</v>
      </c>
      <c r="G42" s="142">
        <v>178</v>
      </c>
      <c r="H42" s="142">
        <v>40</v>
      </c>
      <c r="I42" s="139" t="s">
        <v>1398</v>
      </c>
      <c r="J42" s="140" t="s">
        <v>1399</v>
      </c>
      <c r="K42" s="140" t="s">
        <v>1400</v>
      </c>
      <c r="L42" s="140" t="s">
        <v>7</v>
      </c>
      <c r="M42" s="140" t="s">
        <v>77</v>
      </c>
      <c r="N42" s="143" t="s">
        <v>1126</v>
      </c>
    </row>
    <row r="43" spans="1:14" ht="42">
      <c r="A43" s="138">
        <v>43</v>
      </c>
      <c r="B43" s="142">
        <v>3</v>
      </c>
      <c r="C43" s="142">
        <v>3</v>
      </c>
      <c r="D43" s="142">
        <v>41</v>
      </c>
      <c r="E43" s="149" t="s">
        <v>1890</v>
      </c>
      <c r="F43" s="142">
        <v>17</v>
      </c>
      <c r="G43" s="142">
        <v>179</v>
      </c>
      <c r="H43" s="142">
        <v>41</v>
      </c>
      <c r="I43" s="139" t="s">
        <v>1398</v>
      </c>
      <c r="J43" s="140" t="s">
        <v>1399</v>
      </c>
      <c r="K43" s="140" t="s">
        <v>1400</v>
      </c>
      <c r="L43" s="140" t="s">
        <v>7</v>
      </c>
      <c r="M43" s="140" t="s">
        <v>78</v>
      </c>
      <c r="N43" s="143" t="s">
        <v>1127</v>
      </c>
    </row>
    <row r="44" spans="1:14" ht="28">
      <c r="A44" s="138">
        <v>44</v>
      </c>
      <c r="B44" s="142">
        <v>3</v>
      </c>
      <c r="C44" s="142">
        <v>3</v>
      </c>
      <c r="D44" s="142">
        <v>42</v>
      </c>
      <c r="E44" s="149" t="s">
        <v>1891</v>
      </c>
      <c r="F44" s="142">
        <v>17</v>
      </c>
      <c r="G44" s="142">
        <v>180</v>
      </c>
      <c r="H44" s="142">
        <v>42</v>
      </c>
      <c r="I44" s="139" t="s">
        <v>1398</v>
      </c>
      <c r="J44" s="140" t="s">
        <v>1399</v>
      </c>
      <c r="K44" s="140" t="s">
        <v>1400</v>
      </c>
      <c r="L44" s="140" t="s">
        <v>7</v>
      </c>
      <c r="M44" s="140" t="s">
        <v>79</v>
      </c>
      <c r="N44" s="143" t="s">
        <v>1128</v>
      </c>
    </row>
    <row r="45" spans="1:14" ht="56">
      <c r="A45" s="138">
        <v>45</v>
      </c>
      <c r="B45" s="142">
        <v>3</v>
      </c>
      <c r="C45" s="142">
        <v>3</v>
      </c>
      <c r="D45" s="142">
        <v>43</v>
      </c>
      <c r="E45" s="149" t="s">
        <v>1892</v>
      </c>
      <c r="F45" s="142">
        <v>17</v>
      </c>
      <c r="G45" s="142">
        <v>181</v>
      </c>
      <c r="H45" s="142">
        <v>43</v>
      </c>
      <c r="I45" s="139" t="s">
        <v>1398</v>
      </c>
      <c r="J45" s="140" t="s">
        <v>1399</v>
      </c>
      <c r="K45" s="140" t="s">
        <v>1400</v>
      </c>
      <c r="L45" s="140" t="s">
        <v>7</v>
      </c>
      <c r="M45" s="140" t="s">
        <v>80</v>
      </c>
      <c r="N45" s="143" t="s">
        <v>1129</v>
      </c>
    </row>
    <row r="46" spans="1:14" ht="42">
      <c r="A46" s="138">
        <v>46</v>
      </c>
      <c r="B46" s="142">
        <v>3</v>
      </c>
      <c r="C46" s="142">
        <v>3</v>
      </c>
      <c r="D46" s="142">
        <v>44</v>
      </c>
      <c r="E46" s="149" t="s">
        <v>1893</v>
      </c>
      <c r="F46" s="142">
        <v>17</v>
      </c>
      <c r="G46" s="142">
        <v>182</v>
      </c>
      <c r="H46" s="142">
        <v>44</v>
      </c>
      <c r="I46" s="139" t="s">
        <v>1398</v>
      </c>
      <c r="J46" s="140" t="s">
        <v>1399</v>
      </c>
      <c r="K46" s="140" t="s">
        <v>1400</v>
      </c>
      <c r="L46" s="140" t="s">
        <v>7</v>
      </c>
      <c r="M46" s="140" t="s">
        <v>81</v>
      </c>
      <c r="N46" s="143" t="s">
        <v>1130</v>
      </c>
    </row>
    <row r="47" spans="1:14" ht="28">
      <c r="A47" s="138">
        <v>47</v>
      </c>
      <c r="B47" s="142">
        <v>3</v>
      </c>
      <c r="C47" s="142">
        <v>3</v>
      </c>
      <c r="D47" s="142">
        <v>45</v>
      </c>
      <c r="E47" s="149" t="s">
        <v>1894</v>
      </c>
      <c r="F47" s="142">
        <v>17</v>
      </c>
      <c r="G47" s="142">
        <v>183</v>
      </c>
      <c r="H47" s="142">
        <v>45</v>
      </c>
      <c r="I47" s="139" t="s">
        <v>1398</v>
      </c>
      <c r="J47" s="140" t="s">
        <v>1399</v>
      </c>
      <c r="K47" s="140" t="s">
        <v>1400</v>
      </c>
      <c r="L47" s="140" t="s">
        <v>7</v>
      </c>
      <c r="M47" s="140" t="s">
        <v>82</v>
      </c>
      <c r="N47" s="143" t="s">
        <v>1131</v>
      </c>
    </row>
    <row r="48" spans="1:14">
      <c r="A48" s="138">
        <v>48</v>
      </c>
      <c r="B48" s="142">
        <v>3</v>
      </c>
      <c r="C48" s="142">
        <v>3</v>
      </c>
      <c r="D48" s="142">
        <v>46</v>
      </c>
      <c r="E48" s="149" t="s">
        <v>1895</v>
      </c>
      <c r="F48" s="142">
        <v>17</v>
      </c>
      <c r="G48" s="142">
        <v>184</v>
      </c>
      <c r="H48" s="142">
        <v>46</v>
      </c>
      <c r="I48" s="139" t="s">
        <v>1398</v>
      </c>
      <c r="J48" s="140" t="s">
        <v>1399</v>
      </c>
      <c r="K48" s="140" t="s">
        <v>1400</v>
      </c>
      <c r="L48" s="140" t="s">
        <v>7</v>
      </c>
      <c r="M48" s="140" t="s">
        <v>83</v>
      </c>
      <c r="N48" s="143" t="s">
        <v>1132</v>
      </c>
    </row>
    <row r="49" spans="1:14" ht="28">
      <c r="A49" s="138">
        <v>49</v>
      </c>
      <c r="B49" s="142">
        <v>3</v>
      </c>
      <c r="C49" s="142">
        <v>3</v>
      </c>
      <c r="D49" s="142">
        <v>33</v>
      </c>
      <c r="E49" s="149" t="s">
        <v>1896</v>
      </c>
      <c r="F49" s="142">
        <v>17</v>
      </c>
      <c r="G49" s="142">
        <v>185</v>
      </c>
      <c r="H49" s="142">
        <v>438</v>
      </c>
      <c r="I49" s="139" t="s">
        <v>1398</v>
      </c>
      <c r="J49" s="140" t="s">
        <v>1399</v>
      </c>
      <c r="K49" s="140" t="s">
        <v>1400</v>
      </c>
      <c r="L49" s="140" t="s">
        <v>7</v>
      </c>
      <c r="M49" s="140" t="s">
        <v>70</v>
      </c>
      <c r="N49" s="143" t="s">
        <v>1119</v>
      </c>
    </row>
    <row r="50" spans="1:14" ht="28">
      <c r="A50" s="138">
        <v>50</v>
      </c>
      <c r="B50" s="142">
        <v>3</v>
      </c>
      <c r="C50" s="142">
        <v>3</v>
      </c>
      <c r="D50" s="142">
        <v>47</v>
      </c>
      <c r="E50" s="149" t="s">
        <v>1897</v>
      </c>
      <c r="F50" s="142">
        <v>17</v>
      </c>
      <c r="G50" s="142">
        <v>186</v>
      </c>
      <c r="H50" s="142">
        <v>47</v>
      </c>
      <c r="I50" s="139" t="s">
        <v>1398</v>
      </c>
      <c r="J50" s="140" t="s">
        <v>1399</v>
      </c>
      <c r="K50" s="140" t="s">
        <v>1400</v>
      </c>
      <c r="L50" s="140" t="s">
        <v>7</v>
      </c>
      <c r="M50" s="140" t="s">
        <v>85</v>
      </c>
      <c r="N50" s="143" t="s">
        <v>1133</v>
      </c>
    </row>
    <row r="51" spans="1:14" ht="42">
      <c r="A51" s="138">
        <v>51</v>
      </c>
      <c r="B51" s="142">
        <v>3</v>
      </c>
      <c r="C51" s="142">
        <v>4</v>
      </c>
      <c r="D51" s="142">
        <v>48</v>
      </c>
      <c r="E51" s="149" t="s">
        <v>1898</v>
      </c>
      <c r="F51" s="142">
        <v>18</v>
      </c>
      <c r="G51" s="142">
        <v>187</v>
      </c>
      <c r="H51" s="142">
        <v>48</v>
      </c>
      <c r="I51" s="139" t="s">
        <v>1398</v>
      </c>
      <c r="J51" s="140" t="s">
        <v>1399</v>
      </c>
      <c r="K51" s="140" t="s">
        <v>1400</v>
      </c>
      <c r="L51" s="140" t="s">
        <v>8</v>
      </c>
      <c r="M51" s="140" t="s">
        <v>513</v>
      </c>
      <c r="N51" s="143" t="s">
        <v>1134</v>
      </c>
    </row>
    <row r="52" spans="1:14" ht="28">
      <c r="A52" s="138">
        <v>52</v>
      </c>
      <c r="B52" s="142">
        <v>3</v>
      </c>
      <c r="C52" s="142">
        <v>4</v>
      </c>
      <c r="D52" s="142">
        <v>49</v>
      </c>
      <c r="E52" s="149" t="s">
        <v>1899</v>
      </c>
      <c r="F52" s="142">
        <v>18</v>
      </c>
      <c r="G52" s="142">
        <v>188</v>
      </c>
      <c r="H52" s="142">
        <v>49</v>
      </c>
      <c r="I52" s="139" t="s">
        <v>1398</v>
      </c>
      <c r="J52" s="140" t="s">
        <v>1399</v>
      </c>
      <c r="K52" s="140" t="s">
        <v>1400</v>
      </c>
      <c r="L52" s="140" t="s">
        <v>8</v>
      </c>
      <c r="M52" s="140" t="s">
        <v>523</v>
      </c>
      <c r="N52" s="143" t="s">
        <v>1135</v>
      </c>
    </row>
    <row r="53" spans="1:14" ht="98">
      <c r="A53" s="138">
        <v>53</v>
      </c>
      <c r="B53" s="142">
        <v>3</v>
      </c>
      <c r="C53" s="142">
        <v>4</v>
      </c>
      <c r="D53" s="142">
        <v>50</v>
      </c>
      <c r="E53" s="149" t="s">
        <v>1900</v>
      </c>
      <c r="F53" s="142">
        <v>18</v>
      </c>
      <c r="G53" s="142">
        <v>189</v>
      </c>
      <c r="H53" s="142">
        <v>50</v>
      </c>
      <c r="I53" s="139" t="s">
        <v>1398</v>
      </c>
      <c r="J53" s="140" t="s">
        <v>1399</v>
      </c>
      <c r="K53" s="140" t="s">
        <v>1400</v>
      </c>
      <c r="L53" s="140" t="s">
        <v>8</v>
      </c>
      <c r="M53" s="140" t="s">
        <v>88</v>
      </c>
      <c r="N53" s="143" t="s">
        <v>1136</v>
      </c>
    </row>
    <row r="54" spans="1:14" ht="42">
      <c r="A54" s="138">
        <v>54</v>
      </c>
      <c r="B54" s="142">
        <v>3</v>
      </c>
      <c r="C54" s="142">
        <v>4</v>
      </c>
      <c r="D54" s="142">
        <v>51</v>
      </c>
      <c r="E54" s="149" t="s">
        <v>1901</v>
      </c>
      <c r="F54" s="142">
        <v>18</v>
      </c>
      <c r="G54" s="142">
        <v>190</v>
      </c>
      <c r="H54" s="142">
        <v>51</v>
      </c>
      <c r="I54" s="139" t="s">
        <v>1398</v>
      </c>
      <c r="J54" s="140" t="s">
        <v>1399</v>
      </c>
      <c r="K54" s="140" t="s">
        <v>1400</v>
      </c>
      <c r="L54" s="140" t="s">
        <v>8</v>
      </c>
      <c r="M54" s="140" t="s">
        <v>512</v>
      </c>
      <c r="N54" s="143" t="s">
        <v>1137</v>
      </c>
    </row>
    <row r="55" spans="1:14">
      <c r="A55" s="138">
        <v>55</v>
      </c>
      <c r="B55" s="142">
        <v>3</v>
      </c>
      <c r="C55" s="142">
        <v>4</v>
      </c>
      <c r="D55" s="142">
        <v>52</v>
      </c>
      <c r="E55" s="149" t="s">
        <v>1902</v>
      </c>
      <c r="F55" s="142">
        <v>18</v>
      </c>
      <c r="G55" s="142">
        <v>191</v>
      </c>
      <c r="H55" s="142">
        <v>52</v>
      </c>
      <c r="I55" s="139" t="s">
        <v>1398</v>
      </c>
      <c r="J55" s="140" t="s">
        <v>1399</v>
      </c>
      <c r="K55" s="140" t="s">
        <v>1400</v>
      </c>
      <c r="L55" s="140" t="s">
        <v>8</v>
      </c>
      <c r="M55" s="140" t="s">
        <v>90</v>
      </c>
      <c r="N55" s="143" t="s">
        <v>1138</v>
      </c>
    </row>
    <row r="56" spans="1:14" ht="28">
      <c r="A56" s="138">
        <v>56</v>
      </c>
      <c r="B56" s="142">
        <v>3</v>
      </c>
      <c r="C56" s="142">
        <v>4</v>
      </c>
      <c r="D56" s="142">
        <v>53</v>
      </c>
      <c r="E56" s="149" t="s">
        <v>1903</v>
      </c>
      <c r="F56" s="142">
        <v>18</v>
      </c>
      <c r="G56" s="142">
        <v>192</v>
      </c>
      <c r="H56" s="142">
        <v>53</v>
      </c>
      <c r="I56" s="139" t="s">
        <v>1398</v>
      </c>
      <c r="J56" s="140" t="s">
        <v>1399</v>
      </c>
      <c r="K56" s="140" t="s">
        <v>1400</v>
      </c>
      <c r="L56" s="140" t="s">
        <v>8</v>
      </c>
      <c r="M56" s="140" t="s">
        <v>91</v>
      </c>
      <c r="N56" s="143" t="s">
        <v>1139</v>
      </c>
    </row>
    <row r="57" spans="1:14" ht="28">
      <c r="A57" s="138">
        <v>57</v>
      </c>
      <c r="B57" s="142">
        <v>3</v>
      </c>
      <c r="C57" s="142">
        <v>4</v>
      </c>
      <c r="D57" s="142">
        <v>54</v>
      </c>
      <c r="E57" s="149" t="s">
        <v>1904</v>
      </c>
      <c r="F57" s="142">
        <v>18</v>
      </c>
      <c r="G57" s="142">
        <v>193</v>
      </c>
      <c r="H57" s="142">
        <v>54</v>
      </c>
      <c r="I57" s="139" t="s">
        <v>1398</v>
      </c>
      <c r="J57" s="140" t="s">
        <v>1399</v>
      </c>
      <c r="K57" s="140" t="s">
        <v>1400</v>
      </c>
      <c r="L57" s="140" t="s">
        <v>8</v>
      </c>
      <c r="M57" s="140" t="s">
        <v>92</v>
      </c>
      <c r="N57" s="143" t="s">
        <v>1140</v>
      </c>
    </row>
    <row r="58" spans="1:14" ht="42">
      <c r="A58" s="138">
        <v>58</v>
      </c>
      <c r="B58" s="142">
        <v>3</v>
      </c>
      <c r="C58" s="142">
        <v>4</v>
      </c>
      <c r="D58" s="142">
        <v>44</v>
      </c>
      <c r="E58" s="149" t="s">
        <v>1905</v>
      </c>
      <c r="F58" s="142">
        <v>18</v>
      </c>
      <c r="G58" s="142">
        <v>194</v>
      </c>
      <c r="H58" s="142">
        <v>44</v>
      </c>
      <c r="I58" s="139" t="s">
        <v>1398</v>
      </c>
      <c r="J58" s="140" t="s">
        <v>1399</v>
      </c>
      <c r="K58" s="140" t="s">
        <v>1400</v>
      </c>
      <c r="L58" s="140" t="s">
        <v>8</v>
      </c>
      <c r="M58" s="140" t="s">
        <v>81</v>
      </c>
      <c r="N58" s="143" t="s">
        <v>1130</v>
      </c>
    </row>
    <row r="59" spans="1:14" ht="154">
      <c r="A59" s="138">
        <v>59</v>
      </c>
      <c r="B59" s="142">
        <v>3</v>
      </c>
      <c r="C59" s="142">
        <v>5</v>
      </c>
      <c r="D59" s="142">
        <v>55</v>
      </c>
      <c r="E59" s="149" t="s">
        <v>1906</v>
      </c>
      <c r="F59" s="142">
        <v>19</v>
      </c>
      <c r="G59" s="142">
        <v>195</v>
      </c>
      <c r="H59" s="142">
        <v>55</v>
      </c>
      <c r="I59" s="139" t="s">
        <v>1398</v>
      </c>
      <c r="J59" s="140" t="s">
        <v>1398</v>
      </c>
      <c r="K59" s="140" t="s">
        <v>1402</v>
      </c>
      <c r="L59" s="140" t="s">
        <v>9</v>
      </c>
      <c r="M59" s="140" t="s">
        <v>93</v>
      </c>
      <c r="N59" s="143" t="s">
        <v>1141</v>
      </c>
    </row>
    <row r="60" spans="1:14" ht="84">
      <c r="A60" s="138">
        <v>60</v>
      </c>
      <c r="B60" s="142">
        <v>3</v>
      </c>
      <c r="C60" s="142">
        <v>5</v>
      </c>
      <c r="D60" s="142">
        <v>56</v>
      </c>
      <c r="E60" s="149" t="s">
        <v>1907</v>
      </c>
      <c r="F60" s="142">
        <v>19</v>
      </c>
      <c r="G60" s="142">
        <v>196</v>
      </c>
      <c r="H60" s="142">
        <v>56</v>
      </c>
      <c r="I60" s="139" t="s">
        <v>1398</v>
      </c>
      <c r="J60" s="140" t="s">
        <v>1398</v>
      </c>
      <c r="K60" s="140" t="s">
        <v>1402</v>
      </c>
      <c r="L60" s="140" t="s">
        <v>9</v>
      </c>
      <c r="M60" s="140" t="s">
        <v>94</v>
      </c>
      <c r="N60" s="143" t="s">
        <v>1142</v>
      </c>
    </row>
    <row r="61" spans="1:14" ht="42">
      <c r="A61" s="138">
        <v>61</v>
      </c>
      <c r="B61" s="142">
        <v>3</v>
      </c>
      <c r="C61" s="142">
        <v>5</v>
      </c>
      <c r="D61" s="142">
        <v>57</v>
      </c>
      <c r="E61" s="149" t="s">
        <v>1908</v>
      </c>
      <c r="F61" s="142">
        <v>19</v>
      </c>
      <c r="G61" s="142">
        <v>197</v>
      </c>
      <c r="H61" s="142">
        <v>57</v>
      </c>
      <c r="I61" s="139" t="s">
        <v>1398</v>
      </c>
      <c r="J61" s="140" t="s">
        <v>1398</v>
      </c>
      <c r="K61" s="140" t="s">
        <v>1402</v>
      </c>
      <c r="L61" s="140" t="s">
        <v>9</v>
      </c>
      <c r="M61" s="140" t="s">
        <v>95</v>
      </c>
      <c r="N61" s="143" t="s">
        <v>1143</v>
      </c>
    </row>
    <row r="62" spans="1:14" ht="28">
      <c r="A62" s="138">
        <v>62</v>
      </c>
      <c r="B62" s="142">
        <v>3</v>
      </c>
      <c r="C62" s="142">
        <v>5</v>
      </c>
      <c r="D62" s="142">
        <v>58</v>
      </c>
      <c r="E62" s="149" t="s">
        <v>1909</v>
      </c>
      <c r="F62" s="142">
        <v>19</v>
      </c>
      <c r="G62" s="142">
        <v>198</v>
      </c>
      <c r="H62" s="142">
        <v>58</v>
      </c>
      <c r="I62" s="139" t="s">
        <v>1398</v>
      </c>
      <c r="J62" s="140" t="s">
        <v>1398</v>
      </c>
      <c r="K62" s="140" t="s">
        <v>1402</v>
      </c>
      <c r="L62" s="140" t="s">
        <v>9</v>
      </c>
      <c r="M62" s="140" t="s">
        <v>96</v>
      </c>
      <c r="N62" s="143" t="s">
        <v>1144</v>
      </c>
    </row>
    <row r="63" spans="1:14" ht="28">
      <c r="A63" s="138">
        <v>63</v>
      </c>
      <c r="B63" s="142">
        <v>3</v>
      </c>
      <c r="C63" s="142">
        <v>5</v>
      </c>
      <c r="D63" s="142">
        <v>59</v>
      </c>
      <c r="E63" s="149" t="s">
        <v>1910</v>
      </c>
      <c r="F63" s="142">
        <v>19</v>
      </c>
      <c r="G63" s="142">
        <v>199</v>
      </c>
      <c r="H63" s="142">
        <v>59</v>
      </c>
      <c r="I63" s="139" t="s">
        <v>1398</v>
      </c>
      <c r="J63" s="140" t="s">
        <v>1398</v>
      </c>
      <c r="K63" s="140" t="s">
        <v>1402</v>
      </c>
      <c r="L63" s="140" t="s">
        <v>9</v>
      </c>
      <c r="M63" s="140" t="s">
        <v>97</v>
      </c>
      <c r="N63" s="143" t="s">
        <v>1145</v>
      </c>
    </row>
    <row r="64" spans="1:14" ht="28">
      <c r="A64" s="138">
        <v>64</v>
      </c>
      <c r="B64" s="142">
        <v>3</v>
      </c>
      <c r="C64" s="142">
        <v>5</v>
      </c>
      <c r="D64" s="142">
        <v>60</v>
      </c>
      <c r="E64" s="149" t="s">
        <v>1911</v>
      </c>
      <c r="F64" s="142">
        <v>19</v>
      </c>
      <c r="G64" s="142">
        <v>200</v>
      </c>
      <c r="H64" s="142">
        <v>60</v>
      </c>
      <c r="I64" s="139" t="s">
        <v>1398</v>
      </c>
      <c r="J64" s="140" t="s">
        <v>1398</v>
      </c>
      <c r="K64" s="140" t="s">
        <v>1402</v>
      </c>
      <c r="L64" s="140" t="s">
        <v>9</v>
      </c>
      <c r="M64" s="140" t="s">
        <v>13</v>
      </c>
      <c r="N64" s="143" t="s">
        <v>1146</v>
      </c>
    </row>
    <row r="65" spans="1:14" ht="56">
      <c r="A65" s="138">
        <v>65</v>
      </c>
      <c r="B65" s="142">
        <v>3</v>
      </c>
      <c r="C65" s="142">
        <v>5</v>
      </c>
      <c r="D65" s="142">
        <v>61</v>
      </c>
      <c r="E65" s="149" t="s">
        <v>1912</v>
      </c>
      <c r="F65" s="142">
        <v>19</v>
      </c>
      <c r="G65" s="142">
        <v>201</v>
      </c>
      <c r="H65" s="142">
        <v>61</v>
      </c>
      <c r="I65" s="139" t="s">
        <v>1398</v>
      </c>
      <c r="J65" s="140" t="s">
        <v>1398</v>
      </c>
      <c r="K65" s="140" t="s">
        <v>1402</v>
      </c>
      <c r="L65" s="140" t="s">
        <v>9</v>
      </c>
      <c r="M65" s="140" t="s">
        <v>98</v>
      </c>
      <c r="N65" s="143" t="s">
        <v>1147</v>
      </c>
    </row>
    <row r="66" spans="1:14" ht="56">
      <c r="A66" s="138">
        <v>66</v>
      </c>
      <c r="B66" s="142">
        <v>3</v>
      </c>
      <c r="C66" s="142">
        <v>5</v>
      </c>
      <c r="D66" s="142">
        <v>62</v>
      </c>
      <c r="E66" s="149" t="s">
        <v>1913</v>
      </c>
      <c r="F66" s="142">
        <v>19</v>
      </c>
      <c r="G66" s="142">
        <v>202</v>
      </c>
      <c r="H66" s="142">
        <v>62</v>
      </c>
      <c r="I66" s="139" t="s">
        <v>1398</v>
      </c>
      <c r="J66" s="140" t="s">
        <v>1398</v>
      </c>
      <c r="K66" s="140" t="s">
        <v>1402</v>
      </c>
      <c r="L66" s="140" t="s">
        <v>9</v>
      </c>
      <c r="M66" s="140" t="s">
        <v>99</v>
      </c>
      <c r="N66" s="143" t="s">
        <v>1148</v>
      </c>
    </row>
    <row r="67" spans="1:14" ht="42">
      <c r="A67" s="138">
        <v>67</v>
      </c>
      <c r="B67" s="142">
        <v>3</v>
      </c>
      <c r="C67" s="142">
        <v>5</v>
      </c>
      <c r="D67" s="142">
        <v>63</v>
      </c>
      <c r="E67" s="149" t="s">
        <v>1914</v>
      </c>
      <c r="F67" s="142">
        <v>19</v>
      </c>
      <c r="G67" s="142">
        <v>203</v>
      </c>
      <c r="H67" s="142">
        <v>63</v>
      </c>
      <c r="I67" s="139" t="s">
        <v>1398</v>
      </c>
      <c r="J67" s="140" t="s">
        <v>1398</v>
      </c>
      <c r="K67" s="140" t="s">
        <v>1402</v>
      </c>
      <c r="L67" s="140" t="s">
        <v>9</v>
      </c>
      <c r="M67" s="140" t="s">
        <v>100</v>
      </c>
      <c r="N67" s="143" t="s">
        <v>1403</v>
      </c>
    </row>
    <row r="68" spans="1:14" ht="70">
      <c r="A68" s="138">
        <v>68</v>
      </c>
      <c r="B68" s="142">
        <v>3</v>
      </c>
      <c r="C68" s="142">
        <v>9</v>
      </c>
      <c r="D68" s="142">
        <v>86</v>
      </c>
      <c r="E68" s="149" t="s">
        <v>1915</v>
      </c>
      <c r="F68" s="142">
        <v>23</v>
      </c>
      <c r="G68" s="142">
        <v>227</v>
      </c>
      <c r="H68" s="142">
        <v>86</v>
      </c>
      <c r="I68" s="139" t="s">
        <v>1398</v>
      </c>
      <c r="J68" s="140" t="s">
        <v>1374</v>
      </c>
      <c r="K68" s="140" t="s">
        <v>1400</v>
      </c>
      <c r="L68" s="140" t="s">
        <v>13</v>
      </c>
      <c r="M68" s="140" t="s">
        <v>527</v>
      </c>
      <c r="N68" s="140" t="s">
        <v>1404</v>
      </c>
    </row>
    <row r="69" spans="1:14" ht="112">
      <c r="A69" s="138">
        <v>69</v>
      </c>
      <c r="B69" s="142">
        <v>3</v>
      </c>
      <c r="C69" s="142">
        <v>9</v>
      </c>
      <c r="D69" s="142">
        <v>87</v>
      </c>
      <c r="E69" s="149" t="s">
        <v>1916</v>
      </c>
      <c r="F69" s="142">
        <v>23</v>
      </c>
      <c r="G69" s="142">
        <v>228</v>
      </c>
      <c r="H69" s="142">
        <v>87</v>
      </c>
      <c r="I69" s="139" t="s">
        <v>1398</v>
      </c>
      <c r="J69" s="140" t="s">
        <v>1374</v>
      </c>
      <c r="K69" s="140" t="s">
        <v>1400</v>
      </c>
      <c r="L69" s="140" t="s">
        <v>13</v>
      </c>
      <c r="M69" s="140" t="s">
        <v>121</v>
      </c>
      <c r="N69" s="140" t="s">
        <v>1405</v>
      </c>
    </row>
    <row r="70" spans="1:14" ht="42">
      <c r="A70" s="138">
        <v>70</v>
      </c>
      <c r="B70" s="142">
        <v>3</v>
      </c>
      <c r="C70" s="142">
        <v>9</v>
      </c>
      <c r="D70" s="142">
        <v>88</v>
      </c>
      <c r="E70" s="149" t="s">
        <v>1917</v>
      </c>
      <c r="F70" s="142">
        <v>23</v>
      </c>
      <c r="G70" s="142">
        <v>229</v>
      </c>
      <c r="H70" s="142">
        <v>88</v>
      </c>
      <c r="I70" s="139" t="s">
        <v>1398</v>
      </c>
      <c r="J70" s="140" t="s">
        <v>1374</v>
      </c>
      <c r="K70" s="140" t="s">
        <v>1400</v>
      </c>
      <c r="L70" s="140" t="s">
        <v>13</v>
      </c>
      <c r="M70" s="140" t="s">
        <v>122</v>
      </c>
      <c r="N70" s="140" t="s">
        <v>1406</v>
      </c>
    </row>
    <row r="71" spans="1:14" ht="56">
      <c r="A71" s="138">
        <v>71</v>
      </c>
      <c r="B71" s="142">
        <v>3</v>
      </c>
      <c r="C71" s="142">
        <v>9</v>
      </c>
      <c r="D71" s="142">
        <v>89</v>
      </c>
      <c r="E71" s="149" t="s">
        <v>1918</v>
      </c>
      <c r="F71" s="142">
        <v>23</v>
      </c>
      <c r="G71" s="142">
        <v>230</v>
      </c>
      <c r="H71" s="142">
        <v>89</v>
      </c>
      <c r="I71" s="139" t="s">
        <v>1398</v>
      </c>
      <c r="J71" s="140" t="s">
        <v>1374</v>
      </c>
      <c r="K71" s="140" t="s">
        <v>1400</v>
      </c>
      <c r="L71" s="140" t="s">
        <v>13</v>
      </c>
      <c r="M71" s="140" t="s">
        <v>123</v>
      </c>
      <c r="N71" s="140" t="s">
        <v>1407</v>
      </c>
    </row>
    <row r="72" spans="1:14" ht="112">
      <c r="A72" s="138">
        <v>72</v>
      </c>
      <c r="B72" s="142">
        <v>3</v>
      </c>
      <c r="C72" s="142">
        <v>9</v>
      </c>
      <c r="D72" s="142">
        <v>90</v>
      </c>
      <c r="E72" s="149" t="s">
        <v>1919</v>
      </c>
      <c r="F72" s="142">
        <v>23</v>
      </c>
      <c r="G72" s="142">
        <v>231</v>
      </c>
      <c r="H72" s="142">
        <v>90</v>
      </c>
      <c r="I72" s="139" t="s">
        <v>1398</v>
      </c>
      <c r="J72" s="140" t="s">
        <v>1374</v>
      </c>
      <c r="K72" s="140" t="s">
        <v>1400</v>
      </c>
      <c r="L72" s="140" t="s">
        <v>13</v>
      </c>
      <c r="M72" s="140" t="s">
        <v>124</v>
      </c>
      <c r="N72" s="140" t="s">
        <v>1408</v>
      </c>
    </row>
    <row r="73" spans="1:14" ht="98">
      <c r="A73" s="138">
        <v>73</v>
      </c>
      <c r="B73" s="142">
        <v>3</v>
      </c>
      <c r="C73" s="142">
        <v>9</v>
      </c>
      <c r="D73" s="142">
        <v>91</v>
      </c>
      <c r="E73" s="149" t="s">
        <v>1920</v>
      </c>
      <c r="F73" s="142">
        <v>23</v>
      </c>
      <c r="G73" s="142">
        <v>232</v>
      </c>
      <c r="H73" s="142">
        <v>91</v>
      </c>
      <c r="I73" s="139" t="s">
        <v>1398</v>
      </c>
      <c r="J73" s="140" t="s">
        <v>1374</v>
      </c>
      <c r="K73" s="140" t="s">
        <v>1400</v>
      </c>
      <c r="L73" s="140" t="s">
        <v>13</v>
      </c>
      <c r="M73" s="140" t="s">
        <v>526</v>
      </c>
      <c r="N73" s="140" t="s">
        <v>1409</v>
      </c>
    </row>
    <row r="74" spans="1:14" ht="126">
      <c r="A74" s="138">
        <v>74</v>
      </c>
      <c r="B74" s="142">
        <v>3</v>
      </c>
      <c r="C74" s="142">
        <v>9</v>
      </c>
      <c r="D74" s="142">
        <v>92</v>
      </c>
      <c r="E74" s="149" t="s">
        <v>1921</v>
      </c>
      <c r="F74" s="142">
        <v>23</v>
      </c>
      <c r="G74" s="142">
        <v>233</v>
      </c>
      <c r="H74" s="142">
        <v>92</v>
      </c>
      <c r="I74" s="139" t="s">
        <v>1398</v>
      </c>
      <c r="J74" s="140" t="s">
        <v>1374</v>
      </c>
      <c r="K74" s="140" t="s">
        <v>1400</v>
      </c>
      <c r="L74" s="140" t="s">
        <v>13</v>
      </c>
      <c r="M74" s="140" t="s">
        <v>126</v>
      </c>
      <c r="N74" s="140" t="s">
        <v>1410</v>
      </c>
    </row>
    <row r="75" spans="1:14" ht="42">
      <c r="A75" s="138">
        <v>75</v>
      </c>
      <c r="B75" s="142">
        <v>3</v>
      </c>
      <c r="C75" s="142">
        <v>9</v>
      </c>
      <c r="D75" s="142">
        <v>93</v>
      </c>
      <c r="E75" s="149" t="s">
        <v>1922</v>
      </c>
      <c r="F75" s="142">
        <v>23</v>
      </c>
      <c r="G75" s="142">
        <v>234</v>
      </c>
      <c r="H75" s="142">
        <v>93</v>
      </c>
      <c r="I75" s="139" t="s">
        <v>1398</v>
      </c>
      <c r="J75" s="140" t="s">
        <v>1374</v>
      </c>
      <c r="K75" s="140" t="s">
        <v>1400</v>
      </c>
      <c r="L75" s="140" t="s">
        <v>13</v>
      </c>
      <c r="M75" s="140" t="s">
        <v>127</v>
      </c>
      <c r="N75" s="143" t="s">
        <v>1411</v>
      </c>
    </row>
    <row r="76" spans="1:14" ht="98">
      <c r="A76" s="138">
        <v>76</v>
      </c>
      <c r="B76" s="142">
        <v>3</v>
      </c>
      <c r="C76" s="142">
        <v>9</v>
      </c>
      <c r="D76" s="142">
        <v>94</v>
      </c>
      <c r="E76" s="149" t="s">
        <v>1923</v>
      </c>
      <c r="F76" s="142">
        <v>23</v>
      </c>
      <c r="G76" s="142">
        <v>235</v>
      </c>
      <c r="H76" s="142">
        <v>94</v>
      </c>
      <c r="I76" s="139" t="s">
        <v>1398</v>
      </c>
      <c r="J76" s="140" t="s">
        <v>1374</v>
      </c>
      <c r="K76" s="140" t="s">
        <v>1400</v>
      </c>
      <c r="L76" s="140" t="s">
        <v>13</v>
      </c>
      <c r="M76" s="140" t="s">
        <v>128</v>
      </c>
      <c r="N76" s="140" t="s">
        <v>1412</v>
      </c>
    </row>
    <row r="77" spans="1:14" ht="28">
      <c r="A77" s="138">
        <v>77</v>
      </c>
      <c r="B77" s="142">
        <v>3</v>
      </c>
      <c r="C77" s="142">
        <v>9</v>
      </c>
      <c r="D77" s="142">
        <v>95</v>
      </c>
      <c r="E77" s="149" t="s">
        <v>1924</v>
      </c>
      <c r="F77" s="142">
        <v>23</v>
      </c>
      <c r="G77" s="142">
        <v>236</v>
      </c>
      <c r="H77" s="142">
        <v>95</v>
      </c>
      <c r="I77" s="139" t="s">
        <v>1398</v>
      </c>
      <c r="J77" s="140" t="s">
        <v>1374</v>
      </c>
      <c r="K77" s="140" t="s">
        <v>1400</v>
      </c>
      <c r="L77" s="140" t="s">
        <v>13</v>
      </c>
      <c r="M77" s="140" t="s">
        <v>129</v>
      </c>
      <c r="N77" s="140" t="s">
        <v>1413</v>
      </c>
    </row>
    <row r="78" spans="1:14" ht="28">
      <c r="A78" s="138">
        <v>78</v>
      </c>
      <c r="B78" s="142">
        <v>3</v>
      </c>
      <c r="C78" s="142">
        <v>10</v>
      </c>
      <c r="D78" s="142">
        <v>96</v>
      </c>
      <c r="E78" s="149" t="s">
        <v>1925</v>
      </c>
      <c r="F78" s="142">
        <v>24</v>
      </c>
      <c r="G78" s="142">
        <v>237</v>
      </c>
      <c r="H78" s="142">
        <v>96</v>
      </c>
      <c r="I78" s="139" t="s">
        <v>1398</v>
      </c>
      <c r="J78" s="140" t="s">
        <v>1374</v>
      </c>
      <c r="K78" s="140" t="s">
        <v>1400</v>
      </c>
      <c r="L78" s="140" t="s">
        <v>14</v>
      </c>
      <c r="M78" s="140" t="s">
        <v>511</v>
      </c>
      <c r="N78" s="140" t="s">
        <v>1414</v>
      </c>
    </row>
    <row r="79" spans="1:14" ht="70">
      <c r="A79" s="138">
        <v>79</v>
      </c>
      <c r="B79" s="142">
        <v>3</v>
      </c>
      <c r="C79" s="142">
        <v>10</v>
      </c>
      <c r="D79" s="142">
        <v>97</v>
      </c>
      <c r="E79" s="149" t="s">
        <v>1926</v>
      </c>
      <c r="F79" s="142">
        <v>24</v>
      </c>
      <c r="G79" s="142">
        <v>238</v>
      </c>
      <c r="H79" s="142">
        <v>97</v>
      </c>
      <c r="I79" s="139" t="s">
        <v>1398</v>
      </c>
      <c r="J79" s="140" t="s">
        <v>1374</v>
      </c>
      <c r="K79" s="140" t="s">
        <v>1400</v>
      </c>
      <c r="L79" s="140" t="s">
        <v>14</v>
      </c>
      <c r="M79" s="140" t="s">
        <v>131</v>
      </c>
      <c r="N79" s="140" t="s">
        <v>1415</v>
      </c>
    </row>
    <row r="80" spans="1:14" ht="28">
      <c r="A80" s="138">
        <v>80</v>
      </c>
      <c r="B80" s="142">
        <v>3</v>
      </c>
      <c r="C80" s="142">
        <v>10</v>
      </c>
      <c r="D80" s="142">
        <v>98</v>
      </c>
      <c r="E80" s="149" t="s">
        <v>1927</v>
      </c>
      <c r="F80" s="142">
        <v>24</v>
      </c>
      <c r="G80" s="142">
        <v>239</v>
      </c>
      <c r="H80" s="142">
        <v>98</v>
      </c>
      <c r="I80" s="139" t="s">
        <v>1398</v>
      </c>
      <c r="J80" s="140" t="s">
        <v>1374</v>
      </c>
      <c r="K80" s="140" t="s">
        <v>1400</v>
      </c>
      <c r="L80" s="140" t="s">
        <v>14</v>
      </c>
      <c r="M80" s="140" t="s">
        <v>132</v>
      </c>
      <c r="N80" s="140" t="s">
        <v>1416</v>
      </c>
    </row>
    <row r="81" spans="1:14" ht="28">
      <c r="A81" s="138">
        <v>81</v>
      </c>
      <c r="B81" s="142">
        <v>3</v>
      </c>
      <c r="C81" s="142">
        <v>10</v>
      </c>
      <c r="D81" s="142">
        <v>99</v>
      </c>
      <c r="E81" s="149" t="s">
        <v>1928</v>
      </c>
      <c r="F81" s="142">
        <v>24</v>
      </c>
      <c r="G81" s="142">
        <v>240</v>
      </c>
      <c r="H81" s="142">
        <v>99</v>
      </c>
      <c r="I81" s="139" t="s">
        <v>1398</v>
      </c>
      <c r="J81" s="140" t="s">
        <v>1374</v>
      </c>
      <c r="K81" s="140" t="s">
        <v>1400</v>
      </c>
      <c r="L81" s="140" t="s">
        <v>14</v>
      </c>
      <c r="M81" s="140" t="s">
        <v>133</v>
      </c>
      <c r="N81" s="140" t="s">
        <v>1179</v>
      </c>
    </row>
    <row r="82" spans="1:14" ht="168">
      <c r="A82" s="138">
        <v>82</v>
      </c>
      <c r="B82" s="142">
        <v>3</v>
      </c>
      <c r="C82" s="142">
        <v>10</v>
      </c>
      <c r="D82" s="142">
        <v>100</v>
      </c>
      <c r="E82" s="149" t="s">
        <v>1929</v>
      </c>
      <c r="F82" s="142">
        <v>24</v>
      </c>
      <c r="G82" s="142">
        <v>241</v>
      </c>
      <c r="H82" s="142">
        <v>100</v>
      </c>
      <c r="I82" s="139" t="s">
        <v>1398</v>
      </c>
      <c r="J82" s="140" t="s">
        <v>1374</v>
      </c>
      <c r="K82" s="140" t="s">
        <v>1400</v>
      </c>
      <c r="L82" s="140" t="s">
        <v>14</v>
      </c>
      <c r="M82" s="140" t="s">
        <v>514</v>
      </c>
      <c r="N82" s="140" t="s">
        <v>1417</v>
      </c>
    </row>
    <row r="83" spans="1:14" ht="28">
      <c r="A83" s="138">
        <v>83</v>
      </c>
      <c r="B83" s="142">
        <v>3</v>
      </c>
      <c r="C83" s="142">
        <v>10</v>
      </c>
      <c r="D83" s="142">
        <v>101</v>
      </c>
      <c r="E83" s="149" t="s">
        <v>1930</v>
      </c>
      <c r="F83" s="142">
        <v>24</v>
      </c>
      <c r="G83" s="142">
        <v>242</v>
      </c>
      <c r="H83" s="142">
        <v>101</v>
      </c>
      <c r="I83" s="139" t="s">
        <v>1398</v>
      </c>
      <c r="J83" s="140" t="s">
        <v>1374</v>
      </c>
      <c r="K83" s="140" t="s">
        <v>1400</v>
      </c>
      <c r="L83" s="140" t="s">
        <v>14</v>
      </c>
      <c r="M83" s="140" t="s">
        <v>135</v>
      </c>
      <c r="N83" s="140" t="s">
        <v>1418</v>
      </c>
    </row>
    <row r="84" spans="1:14" ht="28">
      <c r="A84" s="138">
        <v>84</v>
      </c>
      <c r="B84" s="142">
        <v>3</v>
      </c>
      <c r="C84" s="142">
        <v>10</v>
      </c>
      <c r="D84" s="142">
        <v>102</v>
      </c>
      <c r="E84" s="149" t="s">
        <v>1931</v>
      </c>
      <c r="F84" s="142">
        <v>24</v>
      </c>
      <c r="G84" s="142">
        <v>243</v>
      </c>
      <c r="H84" s="142">
        <v>102</v>
      </c>
      <c r="I84" s="139" t="s">
        <v>1398</v>
      </c>
      <c r="J84" s="140" t="s">
        <v>1374</v>
      </c>
      <c r="K84" s="140" t="s">
        <v>1400</v>
      </c>
      <c r="L84" s="140" t="s">
        <v>14</v>
      </c>
      <c r="M84" s="140" t="s">
        <v>136</v>
      </c>
      <c r="N84" s="140" t="s">
        <v>1419</v>
      </c>
    </row>
    <row r="85" spans="1:14" ht="112">
      <c r="A85" s="138">
        <v>85</v>
      </c>
      <c r="B85" s="142">
        <v>3</v>
      </c>
      <c r="C85" s="142">
        <v>6</v>
      </c>
      <c r="D85" s="142">
        <v>64</v>
      </c>
      <c r="E85" s="149" t="s">
        <v>1932</v>
      </c>
      <c r="F85" s="142">
        <v>20</v>
      </c>
      <c r="G85" s="142">
        <v>204</v>
      </c>
      <c r="H85" s="142">
        <v>64</v>
      </c>
      <c r="I85" s="139" t="s">
        <v>1398</v>
      </c>
      <c r="J85" s="140" t="s">
        <v>1398</v>
      </c>
      <c r="K85" s="140" t="s">
        <v>1402</v>
      </c>
      <c r="L85" s="140" t="s">
        <v>10</v>
      </c>
      <c r="M85" s="140" t="s">
        <v>101</v>
      </c>
      <c r="N85" s="143" t="s">
        <v>1150</v>
      </c>
    </row>
    <row r="86" spans="1:14" ht="28">
      <c r="A86" s="138">
        <v>86</v>
      </c>
      <c r="B86" s="142">
        <v>3</v>
      </c>
      <c r="C86" s="142">
        <v>6</v>
      </c>
      <c r="D86" s="142">
        <v>65</v>
      </c>
      <c r="E86" s="149" t="s">
        <v>1933</v>
      </c>
      <c r="F86" s="142">
        <v>20</v>
      </c>
      <c r="G86" s="142">
        <v>205</v>
      </c>
      <c r="H86" s="142">
        <v>65</v>
      </c>
      <c r="I86" s="139" t="s">
        <v>1398</v>
      </c>
      <c r="J86" s="140" t="s">
        <v>1398</v>
      </c>
      <c r="K86" s="140" t="s">
        <v>1402</v>
      </c>
      <c r="L86" s="140" t="s">
        <v>10</v>
      </c>
      <c r="M86" s="140" t="s">
        <v>362</v>
      </c>
      <c r="N86" s="143" t="s">
        <v>1151</v>
      </c>
    </row>
    <row r="87" spans="1:14" ht="28">
      <c r="A87" s="138">
        <v>87</v>
      </c>
      <c r="B87" s="142">
        <v>3</v>
      </c>
      <c r="C87" s="142">
        <v>6</v>
      </c>
      <c r="D87" s="142">
        <v>66</v>
      </c>
      <c r="E87" s="149" t="s">
        <v>1934</v>
      </c>
      <c r="F87" s="142">
        <v>20</v>
      </c>
      <c r="G87" s="142">
        <v>206</v>
      </c>
      <c r="H87" s="142">
        <v>66</v>
      </c>
      <c r="I87" s="139" t="s">
        <v>1398</v>
      </c>
      <c r="J87" s="140" t="s">
        <v>1398</v>
      </c>
      <c r="K87" s="140" t="s">
        <v>1402</v>
      </c>
      <c r="L87" s="140" t="s">
        <v>10</v>
      </c>
      <c r="M87" s="140" t="s">
        <v>286</v>
      </c>
      <c r="N87" s="143" t="s">
        <v>836</v>
      </c>
    </row>
    <row r="88" spans="1:14" ht="42">
      <c r="A88" s="138">
        <v>88</v>
      </c>
      <c r="B88" s="142">
        <v>3</v>
      </c>
      <c r="C88" s="142">
        <v>6</v>
      </c>
      <c r="D88" s="142">
        <v>67</v>
      </c>
      <c r="E88" s="149" t="s">
        <v>1935</v>
      </c>
      <c r="F88" s="142">
        <v>20</v>
      </c>
      <c r="G88" s="142">
        <v>207</v>
      </c>
      <c r="H88" s="142">
        <v>67</v>
      </c>
      <c r="I88" s="139" t="s">
        <v>1398</v>
      </c>
      <c r="J88" s="140" t="s">
        <v>1398</v>
      </c>
      <c r="K88" s="140" t="s">
        <v>1402</v>
      </c>
      <c r="L88" s="140" t="s">
        <v>10</v>
      </c>
      <c r="M88" s="140" t="s">
        <v>288</v>
      </c>
      <c r="N88" s="143" t="s">
        <v>1153</v>
      </c>
    </row>
    <row r="89" spans="1:14" ht="28">
      <c r="A89" s="138">
        <v>89</v>
      </c>
      <c r="B89" s="142">
        <v>3</v>
      </c>
      <c r="C89" s="142">
        <v>6</v>
      </c>
      <c r="D89" s="142">
        <v>68</v>
      </c>
      <c r="E89" s="149" t="s">
        <v>1936</v>
      </c>
      <c r="F89" s="142">
        <v>20</v>
      </c>
      <c r="G89" s="142">
        <v>208</v>
      </c>
      <c r="H89" s="142">
        <v>68</v>
      </c>
      <c r="I89" s="139" t="s">
        <v>1398</v>
      </c>
      <c r="J89" s="140" t="s">
        <v>1398</v>
      </c>
      <c r="K89" s="140" t="s">
        <v>1402</v>
      </c>
      <c r="L89" s="140" t="s">
        <v>10</v>
      </c>
      <c r="M89" s="140" t="s">
        <v>104</v>
      </c>
      <c r="N89" s="143" t="s">
        <v>1154</v>
      </c>
    </row>
    <row r="90" spans="1:14" ht="28">
      <c r="A90" s="138">
        <v>90</v>
      </c>
      <c r="B90" s="142">
        <v>3</v>
      </c>
      <c r="C90" s="142">
        <v>6</v>
      </c>
      <c r="D90" s="142">
        <v>69</v>
      </c>
      <c r="E90" s="149" t="s">
        <v>1937</v>
      </c>
      <c r="F90" s="142">
        <v>20</v>
      </c>
      <c r="G90" s="142">
        <v>209</v>
      </c>
      <c r="H90" s="142">
        <v>69</v>
      </c>
      <c r="I90" s="139" t="s">
        <v>1398</v>
      </c>
      <c r="J90" s="140" t="s">
        <v>1398</v>
      </c>
      <c r="K90" s="140" t="s">
        <v>1402</v>
      </c>
      <c r="L90" s="140" t="s">
        <v>10</v>
      </c>
      <c r="M90" s="140" t="s">
        <v>105</v>
      </c>
      <c r="N90" s="143" t="s">
        <v>1155</v>
      </c>
    </row>
    <row r="91" spans="1:14" ht="28">
      <c r="A91" s="138">
        <v>91</v>
      </c>
      <c r="B91" s="142">
        <v>3</v>
      </c>
      <c r="C91" s="142">
        <v>6</v>
      </c>
      <c r="D91" s="142">
        <v>70</v>
      </c>
      <c r="E91" s="149" t="s">
        <v>1938</v>
      </c>
      <c r="F91" s="142">
        <v>20</v>
      </c>
      <c r="G91" s="142">
        <v>210</v>
      </c>
      <c r="H91" s="142">
        <v>70</v>
      </c>
      <c r="I91" s="139" t="s">
        <v>1398</v>
      </c>
      <c r="J91" s="140" t="s">
        <v>1398</v>
      </c>
      <c r="K91" s="140" t="s">
        <v>1402</v>
      </c>
      <c r="L91" s="140" t="s">
        <v>10</v>
      </c>
      <c r="M91" s="140" t="s">
        <v>106</v>
      </c>
      <c r="N91" s="143" t="s">
        <v>1156</v>
      </c>
    </row>
    <row r="92" spans="1:14" ht="84">
      <c r="A92" s="138">
        <v>92</v>
      </c>
      <c r="B92" s="142">
        <v>3</v>
      </c>
      <c r="C92" s="142">
        <v>7</v>
      </c>
      <c r="D92" s="142">
        <v>71</v>
      </c>
      <c r="E92" s="149" t="s">
        <v>1939</v>
      </c>
      <c r="F92" s="142">
        <v>21</v>
      </c>
      <c r="G92" s="142">
        <v>211</v>
      </c>
      <c r="H92" s="142">
        <v>71</v>
      </c>
      <c r="I92" s="139" t="s">
        <v>1398</v>
      </c>
      <c r="J92" s="140" t="s">
        <v>1398</v>
      </c>
      <c r="K92" s="140" t="s">
        <v>1402</v>
      </c>
      <c r="L92" s="140" t="s">
        <v>11</v>
      </c>
      <c r="M92" s="140" t="s">
        <v>522</v>
      </c>
      <c r="N92" s="143" t="s">
        <v>1157</v>
      </c>
    </row>
    <row r="93" spans="1:14" ht="28">
      <c r="A93" s="138">
        <v>93</v>
      </c>
      <c r="B93" s="142">
        <v>3</v>
      </c>
      <c r="C93" s="142">
        <v>7</v>
      </c>
      <c r="D93" s="142">
        <v>10</v>
      </c>
      <c r="E93" s="149" t="s">
        <v>1940</v>
      </c>
      <c r="F93" s="142">
        <v>21</v>
      </c>
      <c r="G93" s="142">
        <v>212</v>
      </c>
      <c r="H93" s="142">
        <v>10</v>
      </c>
      <c r="I93" s="139" t="s">
        <v>1398</v>
      </c>
      <c r="J93" s="140" t="s">
        <v>1398</v>
      </c>
      <c r="K93" s="140" t="s">
        <v>1402</v>
      </c>
      <c r="L93" s="140" t="s">
        <v>11</v>
      </c>
      <c r="M93" s="140" t="s">
        <v>47</v>
      </c>
      <c r="N93" s="143" t="s">
        <v>910</v>
      </c>
    </row>
    <row r="94" spans="1:14" ht="28">
      <c r="A94" s="138">
        <v>94</v>
      </c>
      <c r="B94" s="142">
        <v>3</v>
      </c>
      <c r="C94" s="142">
        <v>7</v>
      </c>
      <c r="D94" s="142">
        <v>72</v>
      </c>
      <c r="E94" s="149" t="s">
        <v>1941</v>
      </c>
      <c r="F94" s="142">
        <v>21</v>
      </c>
      <c r="G94" s="142">
        <v>213</v>
      </c>
      <c r="H94" s="142">
        <v>72</v>
      </c>
      <c r="I94" s="139" t="s">
        <v>1398</v>
      </c>
      <c r="J94" s="140" t="s">
        <v>1398</v>
      </c>
      <c r="K94" s="140" t="s">
        <v>1402</v>
      </c>
      <c r="L94" s="140" t="s">
        <v>11</v>
      </c>
      <c r="M94" s="140" t="s">
        <v>108</v>
      </c>
      <c r="N94" s="143" t="s">
        <v>1158</v>
      </c>
    </row>
    <row r="95" spans="1:14" ht="28">
      <c r="A95" s="138">
        <v>95</v>
      </c>
      <c r="B95" s="142">
        <v>3</v>
      </c>
      <c r="C95" s="142">
        <v>7</v>
      </c>
      <c r="D95" s="142">
        <v>73</v>
      </c>
      <c r="E95" s="149" t="s">
        <v>1942</v>
      </c>
      <c r="F95" s="142">
        <v>21</v>
      </c>
      <c r="G95" s="142">
        <v>214</v>
      </c>
      <c r="H95" s="142">
        <v>73</v>
      </c>
      <c r="I95" s="139" t="s">
        <v>1398</v>
      </c>
      <c r="J95" s="140" t="s">
        <v>1398</v>
      </c>
      <c r="K95" s="140" t="s">
        <v>1402</v>
      </c>
      <c r="L95" s="140" t="s">
        <v>11</v>
      </c>
      <c r="M95" s="140" t="s">
        <v>353</v>
      </c>
      <c r="N95" s="143" t="s">
        <v>1159</v>
      </c>
    </row>
    <row r="96" spans="1:14" ht="28">
      <c r="A96" s="138">
        <v>96</v>
      </c>
      <c r="B96" s="142">
        <v>3</v>
      </c>
      <c r="C96" s="142">
        <v>7</v>
      </c>
      <c r="D96" s="142">
        <v>74</v>
      </c>
      <c r="E96" s="149" t="s">
        <v>1943</v>
      </c>
      <c r="F96" s="142">
        <v>21</v>
      </c>
      <c r="G96" s="142">
        <v>215</v>
      </c>
      <c r="H96" s="142">
        <v>74</v>
      </c>
      <c r="I96" s="139" t="s">
        <v>1398</v>
      </c>
      <c r="J96" s="140" t="s">
        <v>1398</v>
      </c>
      <c r="K96" s="140" t="s">
        <v>1402</v>
      </c>
      <c r="L96" s="140" t="s">
        <v>11</v>
      </c>
      <c r="M96" s="140" t="s">
        <v>109</v>
      </c>
      <c r="N96" s="143" t="s">
        <v>804</v>
      </c>
    </row>
    <row r="97" spans="1:14" ht="28">
      <c r="A97" s="138">
        <v>97</v>
      </c>
      <c r="B97" s="142">
        <v>3</v>
      </c>
      <c r="C97" s="142">
        <v>7</v>
      </c>
      <c r="D97" s="142">
        <v>75</v>
      </c>
      <c r="E97" s="149" t="s">
        <v>1944</v>
      </c>
      <c r="F97" s="142">
        <v>21</v>
      </c>
      <c r="G97" s="142">
        <v>216</v>
      </c>
      <c r="H97" s="142">
        <v>75</v>
      </c>
      <c r="I97" s="139" t="s">
        <v>1398</v>
      </c>
      <c r="J97" s="140" t="s">
        <v>1398</v>
      </c>
      <c r="K97" s="140" t="s">
        <v>1402</v>
      </c>
      <c r="L97" s="140" t="s">
        <v>11</v>
      </c>
      <c r="M97" s="140" t="s">
        <v>355</v>
      </c>
      <c r="N97" s="143" t="s">
        <v>802</v>
      </c>
    </row>
    <row r="98" spans="1:14" ht="28">
      <c r="A98" s="138">
        <v>98</v>
      </c>
      <c r="B98" s="142">
        <v>3</v>
      </c>
      <c r="C98" s="142">
        <v>7</v>
      </c>
      <c r="D98" s="142">
        <v>76</v>
      </c>
      <c r="E98" s="149" t="s">
        <v>1945</v>
      </c>
      <c r="F98" s="142">
        <v>21</v>
      </c>
      <c r="G98" s="142">
        <v>217</v>
      </c>
      <c r="H98" s="142">
        <v>76</v>
      </c>
      <c r="I98" s="139" t="s">
        <v>1398</v>
      </c>
      <c r="J98" s="140" t="s">
        <v>1398</v>
      </c>
      <c r="K98" s="140" t="s">
        <v>1402</v>
      </c>
      <c r="L98" s="140" t="s">
        <v>11</v>
      </c>
      <c r="M98" s="140" t="s">
        <v>110</v>
      </c>
      <c r="N98" s="143" t="s">
        <v>1161</v>
      </c>
    </row>
    <row r="99" spans="1:14" ht="28">
      <c r="A99" s="138">
        <v>99</v>
      </c>
      <c r="B99" s="142">
        <v>3</v>
      </c>
      <c r="C99" s="142">
        <v>7</v>
      </c>
      <c r="D99" s="142">
        <v>77</v>
      </c>
      <c r="E99" s="149" t="s">
        <v>1946</v>
      </c>
      <c r="F99" s="142">
        <v>21</v>
      </c>
      <c r="G99" s="142">
        <v>218</v>
      </c>
      <c r="H99" s="142">
        <v>77</v>
      </c>
      <c r="I99" s="139" t="s">
        <v>1398</v>
      </c>
      <c r="J99" s="140" t="s">
        <v>1398</v>
      </c>
      <c r="K99" s="140" t="s">
        <v>1402</v>
      </c>
      <c r="L99" s="140" t="s">
        <v>11</v>
      </c>
      <c r="M99" s="140" t="s">
        <v>111</v>
      </c>
      <c r="N99" s="143" t="s">
        <v>806</v>
      </c>
    </row>
    <row r="100" spans="1:14" ht="28">
      <c r="A100" s="138">
        <v>100</v>
      </c>
      <c r="B100" s="142">
        <v>3</v>
      </c>
      <c r="C100" s="142">
        <v>7</v>
      </c>
      <c r="D100" s="142">
        <v>78</v>
      </c>
      <c r="E100" s="149" t="s">
        <v>1947</v>
      </c>
      <c r="F100" s="142">
        <v>21</v>
      </c>
      <c r="G100" s="142">
        <v>219</v>
      </c>
      <c r="H100" s="142">
        <v>78</v>
      </c>
      <c r="I100" s="139" t="s">
        <v>1398</v>
      </c>
      <c r="J100" s="140" t="s">
        <v>1398</v>
      </c>
      <c r="K100" s="140" t="s">
        <v>1402</v>
      </c>
      <c r="L100" s="140" t="s">
        <v>11</v>
      </c>
      <c r="M100" s="140" t="s">
        <v>112</v>
      </c>
      <c r="N100" s="143" t="s">
        <v>808</v>
      </c>
    </row>
    <row r="101" spans="1:14" ht="28">
      <c r="A101" s="138">
        <v>101</v>
      </c>
      <c r="B101" s="142">
        <v>3</v>
      </c>
      <c r="C101" s="142">
        <v>7</v>
      </c>
      <c r="D101" s="142">
        <v>79</v>
      </c>
      <c r="E101" s="149" t="s">
        <v>1948</v>
      </c>
      <c r="F101" s="142">
        <v>21</v>
      </c>
      <c r="G101" s="142">
        <v>220</v>
      </c>
      <c r="H101" s="142">
        <v>79</v>
      </c>
      <c r="I101" s="139" t="s">
        <v>1398</v>
      </c>
      <c r="J101" s="140" t="s">
        <v>1398</v>
      </c>
      <c r="K101" s="140" t="s">
        <v>1402</v>
      </c>
      <c r="L101" s="140" t="s">
        <v>11</v>
      </c>
      <c r="M101" s="140" t="s">
        <v>113</v>
      </c>
      <c r="N101" s="143" t="s">
        <v>1162</v>
      </c>
    </row>
    <row r="102" spans="1:14" ht="28">
      <c r="A102" s="138">
        <v>102</v>
      </c>
      <c r="B102" s="142">
        <v>3</v>
      </c>
      <c r="C102" s="142">
        <v>7</v>
      </c>
      <c r="D102" s="142">
        <v>80</v>
      </c>
      <c r="E102" s="149" t="s">
        <v>1949</v>
      </c>
      <c r="F102" s="142">
        <v>21</v>
      </c>
      <c r="G102" s="142">
        <v>221</v>
      </c>
      <c r="H102" s="142">
        <v>80</v>
      </c>
      <c r="I102" s="139" t="s">
        <v>1398</v>
      </c>
      <c r="J102" s="140" t="s">
        <v>1398</v>
      </c>
      <c r="K102" s="140" t="s">
        <v>1402</v>
      </c>
      <c r="L102" s="140" t="s">
        <v>11</v>
      </c>
      <c r="M102" s="140" t="s">
        <v>114</v>
      </c>
      <c r="N102" s="143" t="s">
        <v>810</v>
      </c>
    </row>
    <row r="103" spans="1:14" ht="42">
      <c r="A103" s="138">
        <v>103</v>
      </c>
      <c r="B103" s="142">
        <v>3</v>
      </c>
      <c r="C103" s="142">
        <v>7</v>
      </c>
      <c r="D103" s="142">
        <v>81</v>
      </c>
      <c r="E103" s="149" t="s">
        <v>1950</v>
      </c>
      <c r="F103" s="142">
        <v>21</v>
      </c>
      <c r="G103" s="142">
        <v>222</v>
      </c>
      <c r="H103" s="142">
        <v>81</v>
      </c>
      <c r="I103" s="139" t="s">
        <v>1398</v>
      </c>
      <c r="J103" s="140" t="s">
        <v>1398</v>
      </c>
      <c r="K103" s="140" t="s">
        <v>1402</v>
      </c>
      <c r="L103" s="140" t="s">
        <v>11</v>
      </c>
      <c r="M103" s="140" t="s">
        <v>115</v>
      </c>
      <c r="N103" s="143" t="s">
        <v>1163</v>
      </c>
    </row>
    <row r="104" spans="1:14" ht="42">
      <c r="A104" s="138">
        <v>104</v>
      </c>
      <c r="B104" s="142">
        <v>3</v>
      </c>
      <c r="C104" s="142">
        <v>7</v>
      </c>
      <c r="D104" s="142">
        <v>82</v>
      </c>
      <c r="E104" s="149" t="s">
        <v>1951</v>
      </c>
      <c r="F104" s="142">
        <v>21</v>
      </c>
      <c r="G104" s="142">
        <v>223</v>
      </c>
      <c r="H104" s="142">
        <v>82</v>
      </c>
      <c r="I104" s="139" t="s">
        <v>1398</v>
      </c>
      <c r="J104" s="140" t="s">
        <v>1398</v>
      </c>
      <c r="K104" s="140" t="s">
        <v>1402</v>
      </c>
      <c r="L104" s="140" t="s">
        <v>11</v>
      </c>
      <c r="M104" s="140" t="s">
        <v>116</v>
      </c>
      <c r="N104" s="143" t="s">
        <v>1164</v>
      </c>
    </row>
    <row r="105" spans="1:14" ht="42">
      <c r="A105" s="138">
        <v>105</v>
      </c>
      <c r="B105" s="142">
        <v>3</v>
      </c>
      <c r="C105" s="142">
        <v>8</v>
      </c>
      <c r="D105" s="142">
        <v>83</v>
      </c>
      <c r="E105" s="149" t="s">
        <v>1952</v>
      </c>
      <c r="F105" s="142">
        <v>22</v>
      </c>
      <c r="G105" s="142">
        <v>224</v>
      </c>
      <c r="H105" s="142">
        <v>83</v>
      </c>
      <c r="I105" s="139" t="s">
        <v>1398</v>
      </c>
      <c r="J105" s="140" t="s">
        <v>1398</v>
      </c>
      <c r="K105" s="140" t="s">
        <v>33</v>
      </c>
      <c r="L105" s="140" t="s">
        <v>12</v>
      </c>
      <c r="M105" s="140" t="s">
        <v>117</v>
      </c>
      <c r="N105" s="143" t="s">
        <v>1165</v>
      </c>
    </row>
    <row r="106" spans="1:14" ht="42">
      <c r="A106" s="138">
        <v>106</v>
      </c>
      <c r="B106" s="142">
        <v>3</v>
      </c>
      <c r="C106" s="142">
        <v>8</v>
      </c>
      <c r="D106" s="142">
        <v>84</v>
      </c>
      <c r="E106" s="149" t="s">
        <v>1953</v>
      </c>
      <c r="F106" s="142">
        <v>22</v>
      </c>
      <c r="G106" s="142">
        <v>225</v>
      </c>
      <c r="H106" s="142">
        <v>84</v>
      </c>
      <c r="I106" s="139" t="s">
        <v>1398</v>
      </c>
      <c r="J106" s="140" t="s">
        <v>1398</v>
      </c>
      <c r="K106" s="140" t="s">
        <v>33</v>
      </c>
      <c r="L106" s="140" t="s">
        <v>12</v>
      </c>
      <c r="M106" s="140" t="s">
        <v>118</v>
      </c>
      <c r="N106" s="143" t="s">
        <v>850</v>
      </c>
    </row>
    <row r="107" spans="1:14" ht="56">
      <c r="A107" s="138">
        <v>107</v>
      </c>
      <c r="B107" s="142">
        <v>3</v>
      </c>
      <c r="C107" s="142">
        <v>8</v>
      </c>
      <c r="D107" s="142">
        <v>85</v>
      </c>
      <c r="E107" s="149" t="s">
        <v>1954</v>
      </c>
      <c r="F107" s="142">
        <v>22</v>
      </c>
      <c r="G107" s="142">
        <v>226</v>
      </c>
      <c r="H107" s="142">
        <v>85</v>
      </c>
      <c r="I107" s="139" t="s">
        <v>1398</v>
      </c>
      <c r="J107" s="140" t="s">
        <v>1398</v>
      </c>
      <c r="K107" s="140" t="s">
        <v>33</v>
      </c>
      <c r="L107" s="140" t="s">
        <v>12</v>
      </c>
      <c r="M107" s="140" t="s">
        <v>119</v>
      </c>
      <c r="N107" s="143" t="s">
        <v>851</v>
      </c>
    </row>
    <row r="108" spans="1:14" ht="60">
      <c r="A108" s="138">
        <v>108</v>
      </c>
      <c r="B108" s="142">
        <v>4</v>
      </c>
      <c r="C108" s="142">
        <v>11</v>
      </c>
      <c r="D108" s="142">
        <v>103</v>
      </c>
      <c r="E108" s="149" t="s">
        <v>1425</v>
      </c>
      <c r="F108" s="142">
        <v>25</v>
      </c>
      <c r="G108" s="142">
        <v>244</v>
      </c>
      <c r="H108" s="142">
        <v>103</v>
      </c>
      <c r="I108" s="146" t="s">
        <v>1423</v>
      </c>
      <c r="J108" s="144" t="s">
        <v>1218</v>
      </c>
      <c r="K108" s="147"/>
      <c r="L108" s="144" t="s">
        <v>15</v>
      </c>
      <c r="M108" s="144" t="s">
        <v>137</v>
      </c>
      <c r="N108" s="144" t="s">
        <v>548</v>
      </c>
    </row>
    <row r="109" spans="1:14" ht="30">
      <c r="A109" s="138">
        <v>109</v>
      </c>
      <c r="B109" s="142">
        <v>4</v>
      </c>
      <c r="C109" s="142">
        <v>11</v>
      </c>
      <c r="D109" s="142">
        <v>104</v>
      </c>
      <c r="E109" s="149" t="s">
        <v>1426</v>
      </c>
      <c r="F109" s="142">
        <v>25</v>
      </c>
      <c r="G109" s="142">
        <v>245</v>
      </c>
      <c r="H109" s="142">
        <v>104</v>
      </c>
      <c r="I109" s="146" t="s">
        <v>1423</v>
      </c>
      <c r="J109" s="144" t="s">
        <v>1218</v>
      </c>
      <c r="K109" s="147"/>
      <c r="L109" s="144" t="s">
        <v>15</v>
      </c>
      <c r="M109" s="144" t="s">
        <v>138</v>
      </c>
      <c r="N109" s="144" t="s">
        <v>550</v>
      </c>
    </row>
    <row r="110" spans="1:14" ht="45">
      <c r="A110" s="138">
        <v>110</v>
      </c>
      <c r="B110" s="142">
        <v>4</v>
      </c>
      <c r="C110" s="142">
        <v>11</v>
      </c>
      <c r="D110" s="142">
        <v>105</v>
      </c>
      <c r="E110" s="149" t="s">
        <v>1427</v>
      </c>
      <c r="F110" s="142">
        <v>25</v>
      </c>
      <c r="G110" s="142">
        <v>246</v>
      </c>
      <c r="H110" s="142">
        <v>105</v>
      </c>
      <c r="I110" s="146" t="s">
        <v>1423</v>
      </c>
      <c r="J110" s="144" t="s">
        <v>1218</v>
      </c>
      <c r="K110" s="147"/>
      <c r="L110" s="144" t="s">
        <v>15</v>
      </c>
      <c r="M110" s="144" t="s">
        <v>139</v>
      </c>
      <c r="N110" s="144" t="s">
        <v>552</v>
      </c>
    </row>
    <row r="111" spans="1:14" ht="45">
      <c r="A111" s="138">
        <v>111</v>
      </c>
      <c r="B111" s="142">
        <v>4</v>
      </c>
      <c r="C111" s="142">
        <v>11</v>
      </c>
      <c r="D111" s="142">
        <v>106</v>
      </c>
      <c r="E111" s="149" t="s">
        <v>1428</v>
      </c>
      <c r="F111" s="142">
        <v>25</v>
      </c>
      <c r="G111" s="142">
        <v>247</v>
      </c>
      <c r="H111" s="142">
        <v>106</v>
      </c>
      <c r="I111" s="146" t="s">
        <v>1423</v>
      </c>
      <c r="J111" s="144" t="s">
        <v>1218</v>
      </c>
      <c r="K111" s="147"/>
      <c r="L111" s="144" t="s">
        <v>15</v>
      </c>
      <c r="M111" s="144" t="s">
        <v>140</v>
      </c>
      <c r="N111" s="144" t="s">
        <v>554</v>
      </c>
    </row>
    <row r="112" spans="1:14" ht="30">
      <c r="A112" s="138">
        <v>112</v>
      </c>
      <c r="B112" s="142">
        <v>4</v>
      </c>
      <c r="C112" s="142">
        <v>11</v>
      </c>
      <c r="D112" s="142">
        <v>107</v>
      </c>
      <c r="E112" s="149" t="s">
        <v>1429</v>
      </c>
      <c r="F112" s="142">
        <v>25</v>
      </c>
      <c r="G112" s="142">
        <v>248</v>
      </c>
      <c r="H112" s="142">
        <v>107</v>
      </c>
      <c r="I112" s="146" t="s">
        <v>1423</v>
      </c>
      <c r="J112" s="144" t="s">
        <v>1218</v>
      </c>
      <c r="K112" s="147"/>
      <c r="L112" s="144" t="s">
        <v>15</v>
      </c>
      <c r="M112" s="144" t="s">
        <v>141</v>
      </c>
      <c r="N112" s="144" t="s">
        <v>556</v>
      </c>
    </row>
    <row r="113" spans="1:14" ht="45">
      <c r="A113" s="138">
        <v>113</v>
      </c>
      <c r="B113" s="142">
        <v>4</v>
      </c>
      <c r="C113" s="142">
        <v>11</v>
      </c>
      <c r="D113" s="142">
        <v>108</v>
      </c>
      <c r="E113" s="149" t="s">
        <v>1430</v>
      </c>
      <c r="F113" s="142">
        <v>25</v>
      </c>
      <c r="G113" s="142">
        <v>249</v>
      </c>
      <c r="H113" s="142">
        <v>108</v>
      </c>
      <c r="I113" s="146" t="s">
        <v>1423</v>
      </c>
      <c r="J113" s="144" t="s">
        <v>1218</v>
      </c>
      <c r="K113" s="147"/>
      <c r="L113" s="144" t="s">
        <v>15</v>
      </c>
      <c r="M113" s="144" t="s">
        <v>142</v>
      </c>
      <c r="N113" s="144" t="s">
        <v>558</v>
      </c>
    </row>
    <row r="114" spans="1:14" ht="60">
      <c r="A114" s="138">
        <v>114</v>
      </c>
      <c r="B114" s="142">
        <v>4</v>
      </c>
      <c r="C114" s="142">
        <v>11</v>
      </c>
      <c r="D114" s="142">
        <v>109</v>
      </c>
      <c r="E114" s="149" t="s">
        <v>1431</v>
      </c>
      <c r="F114" s="142">
        <v>25</v>
      </c>
      <c r="G114" s="142">
        <v>250</v>
      </c>
      <c r="H114" s="142">
        <v>109</v>
      </c>
      <c r="I114" s="146" t="s">
        <v>1423</v>
      </c>
      <c r="J114" s="144" t="s">
        <v>1218</v>
      </c>
      <c r="K114" s="147"/>
      <c r="L114" s="144" t="s">
        <v>15</v>
      </c>
      <c r="M114" s="144" t="s">
        <v>143</v>
      </c>
      <c r="N114" s="144" t="s">
        <v>1355</v>
      </c>
    </row>
    <row r="115" spans="1:14" ht="30">
      <c r="A115" s="138">
        <v>115</v>
      </c>
      <c r="B115" s="142">
        <v>4</v>
      </c>
      <c r="C115" s="142">
        <v>11</v>
      </c>
      <c r="D115" s="142">
        <v>110</v>
      </c>
      <c r="E115" s="149" t="s">
        <v>1432</v>
      </c>
      <c r="F115" s="142">
        <v>25</v>
      </c>
      <c r="G115" s="142">
        <v>251</v>
      </c>
      <c r="H115" s="142">
        <v>110</v>
      </c>
      <c r="I115" s="146" t="s">
        <v>1423</v>
      </c>
      <c r="J115" s="144" t="s">
        <v>1218</v>
      </c>
      <c r="K115" s="147"/>
      <c r="L115" s="144" t="s">
        <v>15</v>
      </c>
      <c r="M115" s="144" t="s">
        <v>145</v>
      </c>
      <c r="N115" s="144" t="s">
        <v>562</v>
      </c>
    </row>
    <row r="116" spans="1:14" ht="30">
      <c r="A116" s="138">
        <v>116</v>
      </c>
      <c r="B116" s="142">
        <v>4</v>
      </c>
      <c r="C116" s="142">
        <v>11</v>
      </c>
      <c r="D116" s="142">
        <v>111</v>
      </c>
      <c r="E116" s="149" t="s">
        <v>1433</v>
      </c>
      <c r="F116" s="142">
        <v>25</v>
      </c>
      <c r="G116" s="142">
        <v>252</v>
      </c>
      <c r="H116" s="142">
        <v>111</v>
      </c>
      <c r="I116" s="146" t="s">
        <v>1423</v>
      </c>
      <c r="J116" s="144" t="s">
        <v>1218</v>
      </c>
      <c r="K116" s="147"/>
      <c r="L116" s="144" t="s">
        <v>15</v>
      </c>
      <c r="M116" s="144" t="s">
        <v>146</v>
      </c>
      <c r="N116" s="144" t="s">
        <v>564</v>
      </c>
    </row>
    <row r="117" spans="1:14" ht="45">
      <c r="A117" s="138">
        <v>117</v>
      </c>
      <c r="B117" s="142">
        <v>4</v>
      </c>
      <c r="C117" s="142">
        <v>11</v>
      </c>
      <c r="D117" s="142">
        <v>112</v>
      </c>
      <c r="E117" s="149" t="s">
        <v>1434</v>
      </c>
      <c r="F117" s="142">
        <v>25</v>
      </c>
      <c r="G117" s="142">
        <v>253</v>
      </c>
      <c r="H117" s="142">
        <v>112</v>
      </c>
      <c r="I117" s="146" t="s">
        <v>1423</v>
      </c>
      <c r="J117" s="144" t="s">
        <v>1218</v>
      </c>
      <c r="K117" s="147"/>
      <c r="L117" s="144" t="s">
        <v>15</v>
      </c>
      <c r="M117" s="144" t="s">
        <v>147</v>
      </c>
      <c r="N117" s="144" t="s">
        <v>1356</v>
      </c>
    </row>
    <row r="118" spans="1:14" ht="30">
      <c r="A118" s="138">
        <v>118</v>
      </c>
      <c r="B118" s="142">
        <v>4</v>
      </c>
      <c r="C118" s="142">
        <v>11</v>
      </c>
      <c r="D118" s="142">
        <v>113</v>
      </c>
      <c r="E118" s="149" t="s">
        <v>1435</v>
      </c>
      <c r="F118" s="142">
        <v>25</v>
      </c>
      <c r="G118" s="142">
        <v>254</v>
      </c>
      <c r="H118" s="142">
        <v>113</v>
      </c>
      <c r="I118" s="146" t="s">
        <v>1423</v>
      </c>
      <c r="J118" s="144" t="s">
        <v>1218</v>
      </c>
      <c r="K118" s="147"/>
      <c r="L118" s="144" t="s">
        <v>15</v>
      </c>
      <c r="M118" s="144" t="s">
        <v>148</v>
      </c>
      <c r="N118" s="144" t="s">
        <v>568</v>
      </c>
    </row>
    <row r="119" spans="1:14" ht="30">
      <c r="A119" s="138">
        <v>119</v>
      </c>
      <c r="B119" s="142">
        <v>4</v>
      </c>
      <c r="C119" s="142">
        <v>11</v>
      </c>
      <c r="D119" s="142">
        <v>114</v>
      </c>
      <c r="E119" s="149" t="s">
        <v>1436</v>
      </c>
      <c r="F119" s="142">
        <v>25</v>
      </c>
      <c r="G119" s="142">
        <v>255</v>
      </c>
      <c r="H119" s="142">
        <v>114</v>
      </c>
      <c r="I119" s="146" t="s">
        <v>1423</v>
      </c>
      <c r="J119" s="144" t="s">
        <v>1218</v>
      </c>
      <c r="K119" s="147"/>
      <c r="L119" s="144" t="s">
        <v>15</v>
      </c>
      <c r="M119" s="144" t="s">
        <v>149</v>
      </c>
      <c r="N119" s="144" t="s">
        <v>570</v>
      </c>
    </row>
    <row r="120" spans="1:14" ht="30">
      <c r="A120" s="138">
        <v>120</v>
      </c>
      <c r="B120" s="142">
        <v>4</v>
      </c>
      <c r="C120" s="142">
        <v>11</v>
      </c>
      <c r="D120" s="142">
        <v>115</v>
      </c>
      <c r="E120" s="149" t="s">
        <v>1437</v>
      </c>
      <c r="F120" s="142">
        <v>25</v>
      </c>
      <c r="G120" s="142">
        <v>256</v>
      </c>
      <c r="H120" s="142">
        <v>115</v>
      </c>
      <c r="I120" s="146" t="s">
        <v>1423</v>
      </c>
      <c r="J120" s="144" t="s">
        <v>1218</v>
      </c>
      <c r="K120" s="147"/>
      <c r="L120" s="144" t="s">
        <v>15</v>
      </c>
      <c r="M120" s="144" t="s">
        <v>150</v>
      </c>
      <c r="N120" s="144" t="s">
        <v>572</v>
      </c>
    </row>
    <row r="121" spans="1:14" ht="45">
      <c r="A121" s="138">
        <v>121</v>
      </c>
      <c r="B121" s="142">
        <v>4</v>
      </c>
      <c r="C121" s="142">
        <v>12</v>
      </c>
      <c r="D121" s="142">
        <v>116</v>
      </c>
      <c r="E121" s="149" t="s">
        <v>1438</v>
      </c>
      <c r="F121" s="142">
        <v>26</v>
      </c>
      <c r="G121" s="142">
        <v>257</v>
      </c>
      <c r="H121" s="142">
        <v>116</v>
      </c>
      <c r="I121" s="146" t="s">
        <v>1423</v>
      </c>
      <c r="J121" s="144" t="s">
        <v>1218</v>
      </c>
      <c r="K121" s="147"/>
      <c r="L121" s="144" t="s">
        <v>16</v>
      </c>
      <c r="M121" s="144" t="s">
        <v>151</v>
      </c>
      <c r="N121" s="144" t="s">
        <v>574</v>
      </c>
    </row>
    <row r="122" spans="1:14" ht="45">
      <c r="A122" s="138">
        <v>122</v>
      </c>
      <c r="B122" s="142">
        <v>4</v>
      </c>
      <c r="C122" s="142">
        <v>12</v>
      </c>
      <c r="D122" s="142">
        <v>117</v>
      </c>
      <c r="E122" s="149" t="s">
        <v>1439</v>
      </c>
      <c r="F122" s="142">
        <v>26</v>
      </c>
      <c r="G122" s="142">
        <v>258</v>
      </c>
      <c r="H122" s="142">
        <v>117</v>
      </c>
      <c r="I122" s="146" t="s">
        <v>1423</v>
      </c>
      <c r="J122" s="144" t="s">
        <v>1218</v>
      </c>
      <c r="K122" s="147"/>
      <c r="L122" s="144" t="s">
        <v>16</v>
      </c>
      <c r="M122" s="144" t="s">
        <v>152</v>
      </c>
      <c r="N122" s="144" t="s">
        <v>576</v>
      </c>
    </row>
    <row r="123" spans="1:14" ht="45">
      <c r="A123" s="138">
        <v>123</v>
      </c>
      <c r="B123" s="142">
        <v>4</v>
      </c>
      <c r="C123" s="142">
        <v>12</v>
      </c>
      <c r="D123" s="142">
        <v>118</v>
      </c>
      <c r="E123" s="149" t="s">
        <v>1440</v>
      </c>
      <c r="F123" s="142">
        <v>26</v>
      </c>
      <c r="G123" s="142">
        <v>259</v>
      </c>
      <c r="H123" s="142">
        <v>118</v>
      </c>
      <c r="I123" s="146" t="s">
        <v>1423</v>
      </c>
      <c r="J123" s="144" t="s">
        <v>1218</v>
      </c>
      <c r="K123" s="147"/>
      <c r="L123" s="144" t="s">
        <v>16</v>
      </c>
      <c r="M123" s="144" t="s">
        <v>153</v>
      </c>
      <c r="N123" s="144" t="s">
        <v>578</v>
      </c>
    </row>
    <row r="124" spans="1:14" ht="45">
      <c r="A124" s="138">
        <v>124</v>
      </c>
      <c r="B124" s="142">
        <v>4</v>
      </c>
      <c r="C124" s="142">
        <v>12</v>
      </c>
      <c r="D124" s="142">
        <v>119</v>
      </c>
      <c r="E124" s="149" t="s">
        <v>1441</v>
      </c>
      <c r="F124" s="142">
        <v>26</v>
      </c>
      <c r="G124" s="142">
        <v>260</v>
      </c>
      <c r="H124" s="142">
        <v>119</v>
      </c>
      <c r="I124" s="146" t="s">
        <v>1423</v>
      </c>
      <c r="J124" s="144" t="s">
        <v>1218</v>
      </c>
      <c r="K124" s="147"/>
      <c r="L124" s="144" t="s">
        <v>16</v>
      </c>
      <c r="M124" s="144" t="s">
        <v>154</v>
      </c>
      <c r="N124" s="144" t="s">
        <v>580</v>
      </c>
    </row>
    <row r="125" spans="1:14" ht="45">
      <c r="A125" s="138">
        <v>125</v>
      </c>
      <c r="B125" s="142">
        <v>4</v>
      </c>
      <c r="C125" s="142">
        <v>12</v>
      </c>
      <c r="D125" s="142">
        <v>120</v>
      </c>
      <c r="E125" s="149" t="s">
        <v>1442</v>
      </c>
      <c r="F125" s="142">
        <v>26</v>
      </c>
      <c r="G125" s="142">
        <v>261</v>
      </c>
      <c r="H125" s="142">
        <v>120</v>
      </c>
      <c r="I125" s="146" t="s">
        <v>1423</v>
      </c>
      <c r="J125" s="144" t="s">
        <v>1218</v>
      </c>
      <c r="K125" s="147"/>
      <c r="L125" s="144" t="s">
        <v>16</v>
      </c>
      <c r="M125" s="144" t="s">
        <v>155</v>
      </c>
      <c r="N125" s="144" t="s">
        <v>582</v>
      </c>
    </row>
    <row r="126" spans="1:14" ht="45">
      <c r="A126" s="138">
        <v>126</v>
      </c>
      <c r="B126" s="142">
        <v>4</v>
      </c>
      <c r="C126" s="142">
        <v>12</v>
      </c>
      <c r="D126" s="142">
        <v>121</v>
      </c>
      <c r="E126" s="149" t="s">
        <v>1443</v>
      </c>
      <c r="F126" s="142">
        <v>26</v>
      </c>
      <c r="G126" s="142">
        <v>262</v>
      </c>
      <c r="H126" s="142">
        <v>121</v>
      </c>
      <c r="I126" s="146" t="s">
        <v>1423</v>
      </c>
      <c r="J126" s="144" t="s">
        <v>1218</v>
      </c>
      <c r="K126" s="147"/>
      <c r="L126" s="144" t="s">
        <v>16</v>
      </c>
      <c r="M126" s="144" t="s">
        <v>156</v>
      </c>
      <c r="N126" s="144" t="s">
        <v>584</v>
      </c>
    </row>
    <row r="127" spans="1:14" ht="45">
      <c r="A127" s="138">
        <v>127</v>
      </c>
      <c r="B127" s="142">
        <v>4</v>
      </c>
      <c r="C127" s="142">
        <v>12</v>
      </c>
      <c r="D127" s="142">
        <v>122</v>
      </c>
      <c r="E127" s="149" t="s">
        <v>1444</v>
      </c>
      <c r="F127" s="142">
        <v>26</v>
      </c>
      <c r="G127" s="142">
        <v>263</v>
      </c>
      <c r="H127" s="142">
        <v>122</v>
      </c>
      <c r="I127" s="146" t="s">
        <v>1423</v>
      </c>
      <c r="J127" s="144" t="s">
        <v>1218</v>
      </c>
      <c r="K127" s="147"/>
      <c r="L127" s="144" t="s">
        <v>16</v>
      </c>
      <c r="M127" s="144" t="s">
        <v>157</v>
      </c>
      <c r="N127" s="144" t="s">
        <v>586</v>
      </c>
    </row>
    <row r="128" spans="1:14" ht="45">
      <c r="A128" s="138">
        <v>128</v>
      </c>
      <c r="B128" s="142">
        <v>4</v>
      </c>
      <c r="C128" s="142">
        <v>13</v>
      </c>
      <c r="D128" s="142">
        <v>123</v>
      </c>
      <c r="E128" s="149" t="s">
        <v>1445</v>
      </c>
      <c r="F128" s="142">
        <v>27</v>
      </c>
      <c r="G128" s="142">
        <v>264</v>
      </c>
      <c r="H128" s="142">
        <v>123</v>
      </c>
      <c r="I128" s="146" t="s">
        <v>1423</v>
      </c>
      <c r="J128" s="144" t="s">
        <v>1218</v>
      </c>
      <c r="K128" s="147"/>
      <c r="L128" s="144" t="s">
        <v>17</v>
      </c>
      <c r="M128" s="144" t="s">
        <v>158</v>
      </c>
      <c r="N128" s="144" t="s">
        <v>588</v>
      </c>
    </row>
    <row r="129" spans="1:14" ht="60">
      <c r="A129" s="138">
        <v>129</v>
      </c>
      <c r="B129" s="142">
        <v>4</v>
      </c>
      <c r="C129" s="142">
        <v>13</v>
      </c>
      <c r="D129" s="142">
        <v>124</v>
      </c>
      <c r="E129" s="149" t="s">
        <v>1446</v>
      </c>
      <c r="F129" s="142">
        <v>27</v>
      </c>
      <c r="G129" s="142">
        <v>265</v>
      </c>
      <c r="H129" s="142">
        <v>124</v>
      </c>
      <c r="I129" s="146" t="s">
        <v>1423</v>
      </c>
      <c r="J129" s="144" t="s">
        <v>1218</v>
      </c>
      <c r="K129" s="147"/>
      <c r="L129" s="144" t="s">
        <v>17</v>
      </c>
      <c r="M129" s="144" t="s">
        <v>159</v>
      </c>
      <c r="N129" s="144" t="s">
        <v>590</v>
      </c>
    </row>
    <row r="130" spans="1:14" ht="45">
      <c r="A130" s="138">
        <v>130</v>
      </c>
      <c r="B130" s="142">
        <v>4</v>
      </c>
      <c r="C130" s="142">
        <v>13</v>
      </c>
      <c r="D130" s="142">
        <v>125</v>
      </c>
      <c r="E130" s="149" t="s">
        <v>1447</v>
      </c>
      <c r="F130" s="142">
        <v>27</v>
      </c>
      <c r="G130" s="142">
        <v>266</v>
      </c>
      <c r="H130" s="142">
        <v>125</v>
      </c>
      <c r="I130" s="146" t="s">
        <v>1423</v>
      </c>
      <c r="J130" s="144" t="s">
        <v>1218</v>
      </c>
      <c r="K130" s="147"/>
      <c r="L130" s="144" t="s">
        <v>17</v>
      </c>
      <c r="M130" s="144" t="s">
        <v>160</v>
      </c>
      <c r="N130" s="144" t="s">
        <v>592</v>
      </c>
    </row>
    <row r="131" spans="1:14" ht="30">
      <c r="A131" s="138">
        <v>131</v>
      </c>
      <c r="B131" s="142">
        <v>4</v>
      </c>
      <c r="C131" s="142">
        <v>13</v>
      </c>
      <c r="D131" s="142">
        <v>126</v>
      </c>
      <c r="E131" s="149" t="s">
        <v>1448</v>
      </c>
      <c r="F131" s="142">
        <v>27</v>
      </c>
      <c r="G131" s="142">
        <v>267</v>
      </c>
      <c r="H131" s="142">
        <v>126</v>
      </c>
      <c r="I131" s="146" t="s">
        <v>1423</v>
      </c>
      <c r="J131" s="144" t="s">
        <v>1218</v>
      </c>
      <c r="K131" s="147"/>
      <c r="L131" s="144" t="s">
        <v>17</v>
      </c>
      <c r="M131" s="144" t="s">
        <v>161</v>
      </c>
      <c r="N131" s="144" t="s">
        <v>594</v>
      </c>
    </row>
    <row r="132" spans="1:14" ht="45">
      <c r="A132" s="138">
        <v>132</v>
      </c>
      <c r="B132" s="142">
        <v>4</v>
      </c>
      <c r="C132" s="142">
        <v>13</v>
      </c>
      <c r="D132" s="142">
        <v>127</v>
      </c>
      <c r="E132" s="149" t="s">
        <v>1449</v>
      </c>
      <c r="F132" s="142">
        <v>27</v>
      </c>
      <c r="G132" s="142">
        <v>268</v>
      </c>
      <c r="H132" s="142">
        <v>127</v>
      </c>
      <c r="I132" s="146" t="s">
        <v>1423</v>
      </c>
      <c r="J132" s="144" t="s">
        <v>1218</v>
      </c>
      <c r="K132" s="147"/>
      <c r="L132" s="144" t="s">
        <v>17</v>
      </c>
      <c r="M132" s="144" t="s">
        <v>162</v>
      </c>
      <c r="N132" s="144" t="s">
        <v>596</v>
      </c>
    </row>
    <row r="133" spans="1:14" ht="45">
      <c r="A133" s="138">
        <v>133</v>
      </c>
      <c r="B133" s="142">
        <v>4</v>
      </c>
      <c r="C133" s="142">
        <v>13</v>
      </c>
      <c r="D133" s="142">
        <v>56</v>
      </c>
      <c r="E133" s="149" t="s">
        <v>1450</v>
      </c>
      <c r="F133" s="142">
        <v>27</v>
      </c>
      <c r="G133" s="142">
        <v>269</v>
      </c>
      <c r="H133" s="142">
        <v>440</v>
      </c>
      <c r="I133" s="146" t="s">
        <v>1423</v>
      </c>
      <c r="J133" s="144" t="s">
        <v>1218</v>
      </c>
      <c r="K133" s="147"/>
      <c r="L133" s="144" t="s">
        <v>17</v>
      </c>
      <c r="M133" s="144" t="s">
        <v>94</v>
      </c>
      <c r="N133" s="144" t="s">
        <v>598</v>
      </c>
    </row>
    <row r="134" spans="1:14" ht="30">
      <c r="A134" s="138">
        <v>134</v>
      </c>
      <c r="B134" s="142">
        <v>4</v>
      </c>
      <c r="C134" s="142">
        <v>13</v>
      </c>
      <c r="D134" s="142">
        <v>128</v>
      </c>
      <c r="E134" s="149" t="s">
        <v>1451</v>
      </c>
      <c r="F134" s="142">
        <v>27</v>
      </c>
      <c r="G134" s="142">
        <v>270</v>
      </c>
      <c r="H134" s="142">
        <v>128</v>
      </c>
      <c r="I134" s="146" t="s">
        <v>1423</v>
      </c>
      <c r="J134" s="144" t="s">
        <v>1218</v>
      </c>
      <c r="K134" s="147"/>
      <c r="L134" s="144" t="s">
        <v>17</v>
      </c>
      <c r="M134" s="144" t="s">
        <v>163</v>
      </c>
      <c r="N134" s="144" t="s">
        <v>600</v>
      </c>
    </row>
    <row r="135" spans="1:14" ht="45">
      <c r="A135" s="138">
        <v>135</v>
      </c>
      <c r="B135" s="142">
        <v>4</v>
      </c>
      <c r="C135" s="142">
        <v>13</v>
      </c>
      <c r="D135" s="142">
        <v>129</v>
      </c>
      <c r="E135" s="149" t="s">
        <v>1452</v>
      </c>
      <c r="F135" s="142">
        <v>27</v>
      </c>
      <c r="G135" s="142">
        <v>271</v>
      </c>
      <c r="H135" s="142">
        <v>129</v>
      </c>
      <c r="I135" s="146" t="s">
        <v>1423</v>
      </c>
      <c r="J135" s="144" t="s">
        <v>1218</v>
      </c>
      <c r="K135" s="147"/>
      <c r="L135" s="144" t="s">
        <v>17</v>
      </c>
      <c r="M135" s="144" t="s">
        <v>164</v>
      </c>
      <c r="N135" s="144" t="s">
        <v>602</v>
      </c>
    </row>
    <row r="136" spans="1:14" ht="30">
      <c r="A136" s="138">
        <v>136</v>
      </c>
      <c r="B136" s="142">
        <v>4</v>
      </c>
      <c r="C136" s="142">
        <v>13</v>
      </c>
      <c r="D136" s="142">
        <v>55</v>
      </c>
      <c r="E136" s="149" t="s">
        <v>1453</v>
      </c>
      <c r="F136" s="142">
        <v>27</v>
      </c>
      <c r="G136" s="142">
        <v>272</v>
      </c>
      <c r="H136" s="142">
        <v>439</v>
      </c>
      <c r="I136" s="146" t="s">
        <v>1423</v>
      </c>
      <c r="J136" s="144" t="s">
        <v>1218</v>
      </c>
      <c r="K136" s="147"/>
      <c r="L136" s="144" t="s">
        <v>17</v>
      </c>
      <c r="M136" s="144" t="s">
        <v>93</v>
      </c>
      <c r="N136" s="144" t="s">
        <v>1346</v>
      </c>
    </row>
    <row r="137" spans="1:14" ht="60">
      <c r="A137" s="138">
        <v>137</v>
      </c>
      <c r="B137" s="142">
        <v>4</v>
      </c>
      <c r="C137" s="142">
        <v>13</v>
      </c>
      <c r="D137" s="142">
        <v>130</v>
      </c>
      <c r="E137" s="149" t="s">
        <v>1454</v>
      </c>
      <c r="F137" s="142">
        <v>27</v>
      </c>
      <c r="G137" s="142">
        <v>273</v>
      </c>
      <c r="H137" s="142">
        <v>130</v>
      </c>
      <c r="I137" s="146" t="s">
        <v>1423</v>
      </c>
      <c r="J137" s="144" t="s">
        <v>1218</v>
      </c>
      <c r="K137" s="147"/>
      <c r="L137" s="144" t="s">
        <v>17</v>
      </c>
      <c r="M137" s="144" t="s">
        <v>165</v>
      </c>
      <c r="N137" s="144" t="s">
        <v>1359</v>
      </c>
    </row>
    <row r="138" spans="1:14" ht="45">
      <c r="A138" s="138">
        <v>138</v>
      </c>
      <c r="B138" s="142">
        <v>4</v>
      </c>
      <c r="C138" s="142">
        <v>13</v>
      </c>
      <c r="D138" s="142">
        <v>131</v>
      </c>
      <c r="E138" s="149" t="s">
        <v>1455</v>
      </c>
      <c r="F138" s="142">
        <v>27</v>
      </c>
      <c r="G138" s="142">
        <v>274</v>
      </c>
      <c r="H138" s="142">
        <v>131</v>
      </c>
      <c r="I138" s="146" t="s">
        <v>1423</v>
      </c>
      <c r="J138" s="144" t="s">
        <v>1218</v>
      </c>
      <c r="K138" s="147"/>
      <c r="L138" s="144" t="s">
        <v>17</v>
      </c>
      <c r="M138" s="144" t="s">
        <v>379</v>
      </c>
      <c r="N138" s="144" t="s">
        <v>1360</v>
      </c>
    </row>
    <row r="139" spans="1:14" ht="30">
      <c r="A139" s="138">
        <v>139</v>
      </c>
      <c r="B139" s="142">
        <v>4</v>
      </c>
      <c r="C139" s="142">
        <v>14</v>
      </c>
      <c r="D139" s="142">
        <v>132</v>
      </c>
      <c r="E139" s="149" t="s">
        <v>1456</v>
      </c>
      <c r="F139" s="142">
        <v>28</v>
      </c>
      <c r="G139" s="142">
        <v>275</v>
      </c>
      <c r="H139" s="142">
        <v>132</v>
      </c>
      <c r="I139" s="146" t="s">
        <v>1423</v>
      </c>
      <c r="J139" s="144" t="s">
        <v>1218</v>
      </c>
      <c r="K139" s="147"/>
      <c r="L139" s="144" t="s">
        <v>18</v>
      </c>
      <c r="M139" s="144" t="s">
        <v>167</v>
      </c>
      <c r="N139" s="144" t="s">
        <v>610</v>
      </c>
    </row>
    <row r="140" spans="1:14" ht="30">
      <c r="A140" s="138">
        <v>140</v>
      </c>
      <c r="B140" s="142">
        <v>4</v>
      </c>
      <c r="C140" s="142">
        <v>14</v>
      </c>
      <c r="D140" s="142">
        <v>133</v>
      </c>
      <c r="E140" s="149" t="s">
        <v>1457</v>
      </c>
      <c r="F140" s="142">
        <v>28</v>
      </c>
      <c r="G140" s="142">
        <v>276</v>
      </c>
      <c r="H140" s="142">
        <v>133</v>
      </c>
      <c r="I140" s="146" t="s">
        <v>1423</v>
      </c>
      <c r="J140" s="144" t="s">
        <v>1218</v>
      </c>
      <c r="K140" s="147"/>
      <c r="L140" s="144" t="s">
        <v>18</v>
      </c>
      <c r="M140" s="144" t="s">
        <v>168</v>
      </c>
      <c r="N140" s="144" t="s">
        <v>1361</v>
      </c>
    </row>
    <row r="141" spans="1:14" ht="30">
      <c r="A141" s="138">
        <v>141</v>
      </c>
      <c r="B141" s="142">
        <v>4</v>
      </c>
      <c r="C141" s="142">
        <v>14</v>
      </c>
      <c r="D141" s="142">
        <v>134</v>
      </c>
      <c r="E141" s="149" t="s">
        <v>1458</v>
      </c>
      <c r="F141" s="142">
        <v>28</v>
      </c>
      <c r="G141" s="142">
        <v>277</v>
      </c>
      <c r="H141" s="142">
        <v>134</v>
      </c>
      <c r="I141" s="146" t="s">
        <v>1423</v>
      </c>
      <c r="J141" s="144" t="s">
        <v>1218</v>
      </c>
      <c r="K141" s="147"/>
      <c r="L141" s="144" t="s">
        <v>18</v>
      </c>
      <c r="M141" s="144" t="s">
        <v>169</v>
      </c>
      <c r="N141" s="144" t="s">
        <v>612</v>
      </c>
    </row>
    <row r="142" spans="1:14" ht="30">
      <c r="A142" s="138">
        <v>142</v>
      </c>
      <c r="B142" s="142">
        <v>4</v>
      </c>
      <c r="C142" s="142">
        <v>14</v>
      </c>
      <c r="D142" s="142">
        <v>135</v>
      </c>
      <c r="E142" s="149" t="s">
        <v>1459</v>
      </c>
      <c r="F142" s="142">
        <v>28</v>
      </c>
      <c r="G142" s="142">
        <v>278</v>
      </c>
      <c r="H142" s="142">
        <v>135</v>
      </c>
      <c r="I142" s="146" t="s">
        <v>1423</v>
      </c>
      <c r="J142" s="144" t="s">
        <v>1218</v>
      </c>
      <c r="K142" s="147"/>
      <c r="L142" s="144" t="s">
        <v>18</v>
      </c>
      <c r="M142" s="144" t="s">
        <v>170</v>
      </c>
      <c r="N142" s="144" t="s">
        <v>613</v>
      </c>
    </row>
    <row r="143" spans="1:14" ht="30">
      <c r="A143" s="138">
        <v>143</v>
      </c>
      <c r="B143" s="142">
        <v>4</v>
      </c>
      <c r="C143" s="142">
        <v>14</v>
      </c>
      <c r="D143" s="142">
        <v>136</v>
      </c>
      <c r="E143" s="149" t="s">
        <v>1460</v>
      </c>
      <c r="F143" s="142">
        <v>28</v>
      </c>
      <c r="G143" s="142">
        <v>279</v>
      </c>
      <c r="H143" s="142">
        <v>136</v>
      </c>
      <c r="I143" s="146" t="s">
        <v>1423</v>
      </c>
      <c r="J143" s="144" t="s">
        <v>1218</v>
      </c>
      <c r="K143" s="147"/>
      <c r="L143" s="144" t="s">
        <v>18</v>
      </c>
      <c r="M143" s="144" t="s">
        <v>171</v>
      </c>
      <c r="N143" s="144" t="s">
        <v>614</v>
      </c>
    </row>
    <row r="144" spans="1:14" ht="45">
      <c r="A144" s="138">
        <v>144</v>
      </c>
      <c r="B144" s="142">
        <v>4</v>
      </c>
      <c r="C144" s="142">
        <v>14</v>
      </c>
      <c r="D144" s="142">
        <v>137</v>
      </c>
      <c r="E144" s="149" t="s">
        <v>1461</v>
      </c>
      <c r="F144" s="142">
        <v>28</v>
      </c>
      <c r="G144" s="142">
        <v>280</v>
      </c>
      <c r="H144" s="142">
        <v>137</v>
      </c>
      <c r="I144" s="146" t="s">
        <v>1423</v>
      </c>
      <c r="J144" s="144" t="s">
        <v>1218</v>
      </c>
      <c r="K144" s="147"/>
      <c r="L144" s="144" t="s">
        <v>18</v>
      </c>
      <c r="M144" s="144" t="s">
        <v>172</v>
      </c>
      <c r="N144" s="144" t="s">
        <v>615</v>
      </c>
    </row>
    <row r="145" spans="1:14" ht="75">
      <c r="A145" s="138">
        <v>145</v>
      </c>
      <c r="B145" s="142">
        <v>4</v>
      </c>
      <c r="C145" s="142">
        <v>14</v>
      </c>
      <c r="D145" s="142">
        <v>138</v>
      </c>
      <c r="E145" s="149" t="s">
        <v>1462</v>
      </c>
      <c r="F145" s="142">
        <v>28</v>
      </c>
      <c r="G145" s="142">
        <v>281</v>
      </c>
      <c r="H145" s="142">
        <v>138</v>
      </c>
      <c r="I145" s="146" t="s">
        <v>1423</v>
      </c>
      <c r="J145" s="144" t="s">
        <v>1218</v>
      </c>
      <c r="K145" s="147"/>
      <c r="L145" s="144" t="s">
        <v>18</v>
      </c>
      <c r="M145" s="144" t="s">
        <v>173</v>
      </c>
      <c r="N145" s="144" t="s">
        <v>616</v>
      </c>
    </row>
    <row r="146" spans="1:14" ht="60">
      <c r="A146" s="138">
        <v>146</v>
      </c>
      <c r="B146" s="142">
        <v>4</v>
      </c>
      <c r="C146" s="142">
        <v>14</v>
      </c>
      <c r="D146" s="142">
        <v>139</v>
      </c>
      <c r="E146" s="149" t="s">
        <v>1463</v>
      </c>
      <c r="F146" s="142">
        <v>28</v>
      </c>
      <c r="G146" s="142">
        <v>282</v>
      </c>
      <c r="H146" s="142">
        <v>139</v>
      </c>
      <c r="I146" s="146" t="s">
        <v>1423</v>
      </c>
      <c r="J146" s="144" t="s">
        <v>1218</v>
      </c>
      <c r="K146" s="147"/>
      <c r="L146" s="144" t="s">
        <v>18</v>
      </c>
      <c r="M146" s="144" t="s">
        <v>174</v>
      </c>
      <c r="N146" s="144" t="s">
        <v>617</v>
      </c>
    </row>
    <row r="147" spans="1:14" ht="30">
      <c r="A147" s="138">
        <v>147</v>
      </c>
      <c r="B147" s="142">
        <v>4</v>
      </c>
      <c r="C147" s="142">
        <v>14</v>
      </c>
      <c r="D147" s="142">
        <v>140</v>
      </c>
      <c r="E147" s="149" t="s">
        <v>1464</v>
      </c>
      <c r="F147" s="142">
        <v>28</v>
      </c>
      <c r="G147" s="142">
        <v>283</v>
      </c>
      <c r="H147" s="142">
        <v>140</v>
      </c>
      <c r="I147" s="146" t="s">
        <v>1423</v>
      </c>
      <c r="J147" s="144" t="s">
        <v>1218</v>
      </c>
      <c r="K147" s="147"/>
      <c r="L147" s="144" t="s">
        <v>18</v>
      </c>
      <c r="M147" s="144" t="s">
        <v>175</v>
      </c>
      <c r="N147" s="144" t="s">
        <v>618</v>
      </c>
    </row>
    <row r="148" spans="1:14" ht="45">
      <c r="A148" s="138">
        <v>148</v>
      </c>
      <c r="B148" s="142">
        <v>4</v>
      </c>
      <c r="C148" s="142">
        <v>14</v>
      </c>
      <c r="D148" s="142">
        <v>141</v>
      </c>
      <c r="E148" s="149" t="s">
        <v>1465</v>
      </c>
      <c r="F148" s="142">
        <v>28</v>
      </c>
      <c r="G148" s="142">
        <v>284</v>
      </c>
      <c r="H148" s="142">
        <v>141</v>
      </c>
      <c r="I148" s="146" t="s">
        <v>1423</v>
      </c>
      <c r="J148" s="144" t="s">
        <v>1218</v>
      </c>
      <c r="K148" s="147"/>
      <c r="L148" s="144" t="s">
        <v>18</v>
      </c>
      <c r="M148" s="144" t="s">
        <v>176</v>
      </c>
      <c r="N148" s="144" t="s">
        <v>619</v>
      </c>
    </row>
    <row r="149" spans="1:14" ht="30">
      <c r="A149" s="138">
        <v>149</v>
      </c>
      <c r="B149" s="142">
        <v>4</v>
      </c>
      <c r="C149" s="142">
        <v>14</v>
      </c>
      <c r="D149" s="142">
        <v>142</v>
      </c>
      <c r="E149" s="149" t="s">
        <v>1466</v>
      </c>
      <c r="F149" s="142">
        <v>28</v>
      </c>
      <c r="G149" s="142">
        <v>285</v>
      </c>
      <c r="H149" s="142">
        <v>142</v>
      </c>
      <c r="I149" s="146" t="s">
        <v>1423</v>
      </c>
      <c r="J149" s="144" t="s">
        <v>1218</v>
      </c>
      <c r="K149" s="147"/>
      <c r="L149" s="144" t="s">
        <v>18</v>
      </c>
      <c r="M149" s="144" t="s">
        <v>177</v>
      </c>
      <c r="N149" s="144" t="s">
        <v>620</v>
      </c>
    </row>
    <row r="150" spans="1:14" ht="45">
      <c r="A150" s="138">
        <v>150</v>
      </c>
      <c r="B150" s="142">
        <v>4</v>
      </c>
      <c r="C150" s="142">
        <v>14</v>
      </c>
      <c r="D150" s="142">
        <v>143</v>
      </c>
      <c r="E150" s="149" t="s">
        <v>1467</v>
      </c>
      <c r="F150" s="142">
        <v>28</v>
      </c>
      <c r="G150" s="142">
        <v>286</v>
      </c>
      <c r="H150" s="142">
        <v>143</v>
      </c>
      <c r="I150" s="146" t="s">
        <v>1423</v>
      </c>
      <c r="J150" s="144" t="s">
        <v>1218</v>
      </c>
      <c r="K150" s="147"/>
      <c r="L150" s="144" t="s">
        <v>18</v>
      </c>
      <c r="M150" s="144" t="s">
        <v>178</v>
      </c>
      <c r="N150" s="144" t="s">
        <v>621</v>
      </c>
    </row>
    <row r="151" spans="1:14" ht="30">
      <c r="A151" s="138">
        <v>151</v>
      </c>
      <c r="B151" s="142">
        <v>4</v>
      </c>
      <c r="C151" s="142">
        <v>14</v>
      </c>
      <c r="D151" s="142">
        <v>144</v>
      </c>
      <c r="E151" s="149" t="s">
        <v>1468</v>
      </c>
      <c r="F151" s="142">
        <v>28</v>
      </c>
      <c r="G151" s="142">
        <v>287</v>
      </c>
      <c r="H151" s="142">
        <v>144</v>
      </c>
      <c r="I151" s="146" t="s">
        <v>1423</v>
      </c>
      <c r="J151" s="144" t="s">
        <v>1218</v>
      </c>
      <c r="K151" s="147"/>
      <c r="L151" s="144" t="s">
        <v>18</v>
      </c>
      <c r="M151" s="144" t="s">
        <v>179</v>
      </c>
      <c r="N151" s="144" t="s">
        <v>622</v>
      </c>
    </row>
    <row r="152" spans="1:14" ht="30">
      <c r="A152" s="138">
        <v>152</v>
      </c>
      <c r="B152" s="142">
        <v>4</v>
      </c>
      <c r="C152" s="142">
        <v>14</v>
      </c>
      <c r="D152" s="142">
        <v>145</v>
      </c>
      <c r="E152" s="149" t="s">
        <v>1469</v>
      </c>
      <c r="F152" s="142">
        <v>28</v>
      </c>
      <c r="G152" s="142">
        <v>288</v>
      </c>
      <c r="H152" s="142">
        <v>145</v>
      </c>
      <c r="I152" s="146" t="s">
        <v>1423</v>
      </c>
      <c r="J152" s="144" t="s">
        <v>1218</v>
      </c>
      <c r="K152" s="147"/>
      <c r="L152" s="144" t="s">
        <v>18</v>
      </c>
      <c r="M152" s="144" t="s">
        <v>180</v>
      </c>
      <c r="N152" s="144" t="s">
        <v>623</v>
      </c>
    </row>
    <row r="153" spans="1:14" ht="45">
      <c r="A153" s="138">
        <v>153</v>
      </c>
      <c r="B153" s="142">
        <v>4</v>
      </c>
      <c r="C153" s="142">
        <v>14</v>
      </c>
      <c r="D153" s="142">
        <v>146</v>
      </c>
      <c r="E153" s="149" t="s">
        <v>1470</v>
      </c>
      <c r="F153" s="142">
        <v>28</v>
      </c>
      <c r="G153" s="142">
        <v>289</v>
      </c>
      <c r="H153" s="142">
        <v>146</v>
      </c>
      <c r="I153" s="146" t="s">
        <v>1423</v>
      </c>
      <c r="J153" s="144" t="s">
        <v>1218</v>
      </c>
      <c r="K153" s="147"/>
      <c r="L153" s="144" t="s">
        <v>18</v>
      </c>
      <c r="M153" s="144" t="s">
        <v>181</v>
      </c>
      <c r="N153" s="144" t="s">
        <v>1364</v>
      </c>
    </row>
    <row r="154" spans="1:14" ht="30">
      <c r="A154" s="138">
        <v>154</v>
      </c>
      <c r="B154" s="142">
        <v>4</v>
      </c>
      <c r="C154" s="142">
        <v>15</v>
      </c>
      <c r="D154" s="142">
        <v>147</v>
      </c>
      <c r="E154" s="149" t="s">
        <v>1471</v>
      </c>
      <c r="F154" s="142">
        <v>29</v>
      </c>
      <c r="G154" s="142">
        <v>290</v>
      </c>
      <c r="H154" s="142">
        <v>147</v>
      </c>
      <c r="I154" s="146" t="s">
        <v>1423</v>
      </c>
      <c r="J154" s="144" t="s">
        <v>1218</v>
      </c>
      <c r="K154" s="147"/>
      <c r="L154" s="144" t="s">
        <v>19</v>
      </c>
      <c r="M154" s="144" t="s">
        <v>183</v>
      </c>
      <c r="N154" s="144" t="s">
        <v>625</v>
      </c>
    </row>
    <row r="155" spans="1:14" ht="30">
      <c r="A155" s="138">
        <v>155</v>
      </c>
      <c r="B155" s="142">
        <v>4</v>
      </c>
      <c r="C155" s="142">
        <v>15</v>
      </c>
      <c r="D155" s="142">
        <v>148</v>
      </c>
      <c r="E155" s="149" t="s">
        <v>1472</v>
      </c>
      <c r="F155" s="142">
        <v>29</v>
      </c>
      <c r="G155" s="142">
        <v>291</v>
      </c>
      <c r="H155" s="142">
        <v>148</v>
      </c>
      <c r="I155" s="146" t="s">
        <v>1423</v>
      </c>
      <c r="J155" s="144" t="s">
        <v>1218</v>
      </c>
      <c r="K155" s="147"/>
      <c r="L155" s="144" t="s">
        <v>19</v>
      </c>
      <c r="M155" s="144" t="s">
        <v>184</v>
      </c>
      <c r="N155" s="144" t="s">
        <v>627</v>
      </c>
    </row>
    <row r="156" spans="1:14">
      <c r="A156" s="138">
        <v>156</v>
      </c>
      <c r="B156" s="142">
        <v>4</v>
      </c>
      <c r="C156" s="142">
        <v>15</v>
      </c>
      <c r="D156" s="142">
        <v>115</v>
      </c>
      <c r="E156" s="149" t="s">
        <v>1473</v>
      </c>
      <c r="F156" s="142">
        <v>29</v>
      </c>
      <c r="G156" s="142">
        <v>292</v>
      </c>
      <c r="H156" s="142">
        <v>453</v>
      </c>
      <c r="I156" s="146" t="s">
        <v>1423</v>
      </c>
      <c r="J156" s="144" t="s">
        <v>1218</v>
      </c>
      <c r="K156" s="147"/>
      <c r="L156" s="144" t="s">
        <v>19</v>
      </c>
      <c r="M156" s="144" t="s">
        <v>150</v>
      </c>
      <c r="N156" s="144" t="s">
        <v>629</v>
      </c>
    </row>
    <row r="157" spans="1:14">
      <c r="A157" s="138">
        <v>157</v>
      </c>
      <c r="B157" s="142">
        <v>4</v>
      </c>
      <c r="C157" s="142">
        <v>15</v>
      </c>
      <c r="D157" s="142">
        <v>149</v>
      </c>
      <c r="E157" s="149" t="s">
        <v>1474</v>
      </c>
      <c r="F157" s="142">
        <v>29</v>
      </c>
      <c r="G157" s="142">
        <v>293</v>
      </c>
      <c r="H157" s="142">
        <v>149</v>
      </c>
      <c r="I157" s="146" t="s">
        <v>1423</v>
      </c>
      <c r="J157" s="144" t="s">
        <v>1218</v>
      </c>
      <c r="K157" s="147"/>
      <c r="L157" s="144" t="s">
        <v>19</v>
      </c>
      <c r="M157" s="144" t="s">
        <v>185</v>
      </c>
      <c r="N157" s="144" t="s">
        <v>631</v>
      </c>
    </row>
    <row r="158" spans="1:14">
      <c r="A158" s="138">
        <v>158</v>
      </c>
      <c r="B158" s="142">
        <v>4</v>
      </c>
      <c r="C158" s="142">
        <v>15</v>
      </c>
      <c r="D158" s="142">
        <v>150</v>
      </c>
      <c r="E158" s="149" t="s">
        <v>1475</v>
      </c>
      <c r="F158" s="142">
        <v>29</v>
      </c>
      <c r="G158" s="142">
        <v>294</v>
      </c>
      <c r="H158" s="142">
        <v>150</v>
      </c>
      <c r="I158" s="146" t="s">
        <v>1423</v>
      </c>
      <c r="J158" s="144" t="s">
        <v>1218</v>
      </c>
      <c r="K158" s="147"/>
      <c r="L158" s="144" t="s">
        <v>19</v>
      </c>
      <c r="M158" s="144" t="s">
        <v>186</v>
      </c>
      <c r="N158" s="144" t="s">
        <v>633</v>
      </c>
    </row>
    <row r="159" spans="1:14">
      <c r="A159" s="138">
        <v>159</v>
      </c>
      <c r="B159" s="142">
        <v>4</v>
      </c>
      <c r="C159" s="142">
        <v>15</v>
      </c>
      <c r="D159" s="142">
        <v>151</v>
      </c>
      <c r="E159" s="149" t="s">
        <v>1476</v>
      </c>
      <c r="F159" s="142">
        <v>29</v>
      </c>
      <c r="G159" s="142">
        <v>295</v>
      </c>
      <c r="H159" s="142">
        <v>151</v>
      </c>
      <c r="I159" s="146" t="s">
        <v>1423</v>
      </c>
      <c r="J159" s="144" t="s">
        <v>1218</v>
      </c>
      <c r="K159" s="147"/>
      <c r="L159" s="144" t="s">
        <v>19</v>
      </c>
      <c r="M159" s="144" t="s">
        <v>187</v>
      </c>
      <c r="N159" s="144" t="s">
        <v>635</v>
      </c>
    </row>
    <row r="160" spans="1:14">
      <c r="A160" s="138">
        <v>160</v>
      </c>
      <c r="B160" s="142">
        <v>4</v>
      </c>
      <c r="C160" s="142">
        <v>15</v>
      </c>
      <c r="D160" s="142">
        <v>152</v>
      </c>
      <c r="E160" s="149" t="s">
        <v>1477</v>
      </c>
      <c r="F160" s="142">
        <v>29</v>
      </c>
      <c r="G160" s="142">
        <v>296</v>
      </c>
      <c r="H160" s="142">
        <v>152</v>
      </c>
      <c r="I160" s="146" t="s">
        <v>1423</v>
      </c>
      <c r="J160" s="144" t="s">
        <v>1218</v>
      </c>
      <c r="K160" s="147"/>
      <c r="L160" s="144" t="s">
        <v>19</v>
      </c>
      <c r="M160" s="144" t="s">
        <v>188</v>
      </c>
      <c r="N160" s="144" t="s">
        <v>637</v>
      </c>
    </row>
    <row r="161" spans="1:14">
      <c r="A161" s="138">
        <v>161</v>
      </c>
      <c r="B161" s="142">
        <v>4</v>
      </c>
      <c r="C161" s="142">
        <v>15</v>
      </c>
      <c r="D161" s="142">
        <v>153</v>
      </c>
      <c r="E161" s="149" t="s">
        <v>1478</v>
      </c>
      <c r="F161" s="142">
        <v>29</v>
      </c>
      <c r="G161" s="142">
        <v>297</v>
      </c>
      <c r="H161" s="142">
        <v>153</v>
      </c>
      <c r="I161" s="146" t="s">
        <v>1423</v>
      </c>
      <c r="J161" s="144" t="s">
        <v>1218</v>
      </c>
      <c r="K161" s="147"/>
      <c r="L161" s="144" t="s">
        <v>19</v>
      </c>
      <c r="M161" s="144" t="s">
        <v>189</v>
      </c>
      <c r="N161" s="144" t="s">
        <v>639</v>
      </c>
    </row>
    <row r="162" spans="1:14" ht="30">
      <c r="A162" s="138">
        <v>162</v>
      </c>
      <c r="B162" s="142">
        <v>4</v>
      </c>
      <c r="C162" s="142">
        <v>15</v>
      </c>
      <c r="D162" s="142">
        <v>154</v>
      </c>
      <c r="E162" s="149" t="s">
        <v>1479</v>
      </c>
      <c r="F162" s="142">
        <v>29</v>
      </c>
      <c r="G162" s="142">
        <v>298</v>
      </c>
      <c r="H162" s="142">
        <v>154</v>
      </c>
      <c r="I162" s="146" t="s">
        <v>1423</v>
      </c>
      <c r="J162" s="144" t="s">
        <v>1218</v>
      </c>
      <c r="K162" s="147"/>
      <c r="L162" s="144" t="s">
        <v>19</v>
      </c>
      <c r="M162" s="144" t="s">
        <v>190</v>
      </c>
      <c r="N162" s="144" t="s">
        <v>641</v>
      </c>
    </row>
    <row r="163" spans="1:14">
      <c r="A163" s="138">
        <v>163</v>
      </c>
      <c r="B163" s="142">
        <v>4</v>
      </c>
      <c r="C163" s="142">
        <v>15</v>
      </c>
      <c r="D163" s="142">
        <v>155</v>
      </c>
      <c r="E163" s="149" t="s">
        <v>1480</v>
      </c>
      <c r="F163" s="142">
        <v>29</v>
      </c>
      <c r="G163" s="142">
        <v>299</v>
      </c>
      <c r="H163" s="142">
        <v>155</v>
      </c>
      <c r="I163" s="146" t="s">
        <v>1423</v>
      </c>
      <c r="J163" s="144" t="s">
        <v>1218</v>
      </c>
      <c r="K163" s="147"/>
      <c r="L163" s="144" t="s">
        <v>19</v>
      </c>
      <c r="M163" s="144" t="s">
        <v>191</v>
      </c>
      <c r="N163" s="144" t="s">
        <v>643</v>
      </c>
    </row>
    <row r="164" spans="1:14" ht="30">
      <c r="A164" s="138">
        <v>164</v>
      </c>
      <c r="B164" s="142">
        <v>4</v>
      </c>
      <c r="C164" s="142">
        <v>15</v>
      </c>
      <c r="D164" s="142">
        <v>156</v>
      </c>
      <c r="E164" s="149" t="s">
        <v>1481</v>
      </c>
      <c r="F164" s="142">
        <v>29</v>
      </c>
      <c r="G164" s="142">
        <v>300</v>
      </c>
      <c r="H164" s="142">
        <v>156</v>
      </c>
      <c r="I164" s="146" t="s">
        <v>1423</v>
      </c>
      <c r="J164" s="144" t="s">
        <v>1218</v>
      </c>
      <c r="K164" s="147"/>
      <c r="L164" s="144" t="s">
        <v>19</v>
      </c>
      <c r="M164" s="144" t="s">
        <v>192</v>
      </c>
      <c r="N164" s="144" t="s">
        <v>645</v>
      </c>
    </row>
    <row r="165" spans="1:14" ht="30">
      <c r="A165" s="138">
        <v>165</v>
      </c>
      <c r="B165" s="142">
        <v>4</v>
      </c>
      <c r="C165" s="142">
        <v>15</v>
      </c>
      <c r="D165" s="142">
        <v>157</v>
      </c>
      <c r="E165" s="149" t="s">
        <v>1482</v>
      </c>
      <c r="F165" s="142">
        <v>29</v>
      </c>
      <c r="G165" s="142">
        <v>301</v>
      </c>
      <c r="H165" s="142">
        <v>157</v>
      </c>
      <c r="I165" s="146" t="s">
        <v>1423</v>
      </c>
      <c r="J165" s="144" t="s">
        <v>1218</v>
      </c>
      <c r="K165" s="147"/>
      <c r="L165" s="144" t="s">
        <v>19</v>
      </c>
      <c r="M165" s="144" t="s">
        <v>193</v>
      </c>
      <c r="N165" s="144" t="s">
        <v>647</v>
      </c>
    </row>
    <row r="166" spans="1:14" ht="45">
      <c r="A166" s="138">
        <v>166</v>
      </c>
      <c r="B166" s="142">
        <v>4</v>
      </c>
      <c r="C166" s="142">
        <v>15</v>
      </c>
      <c r="D166" s="142">
        <v>158</v>
      </c>
      <c r="E166" s="149" t="s">
        <v>1483</v>
      </c>
      <c r="F166" s="142">
        <v>29</v>
      </c>
      <c r="G166" s="142">
        <v>302</v>
      </c>
      <c r="H166" s="142">
        <v>158</v>
      </c>
      <c r="I166" s="146" t="s">
        <v>1423</v>
      </c>
      <c r="J166" s="144" t="s">
        <v>1218</v>
      </c>
      <c r="K166" s="147"/>
      <c r="L166" s="144" t="s">
        <v>19</v>
      </c>
      <c r="M166" s="144" t="s">
        <v>194</v>
      </c>
      <c r="N166" s="144" t="s">
        <v>649</v>
      </c>
    </row>
    <row r="167" spans="1:14" ht="30">
      <c r="A167" s="138">
        <v>167</v>
      </c>
      <c r="B167" s="142">
        <v>4</v>
      </c>
      <c r="C167" s="142">
        <v>15</v>
      </c>
      <c r="D167" s="142">
        <v>159</v>
      </c>
      <c r="E167" s="149" t="s">
        <v>1484</v>
      </c>
      <c r="F167" s="142">
        <v>29</v>
      </c>
      <c r="G167" s="142">
        <v>303</v>
      </c>
      <c r="H167" s="142">
        <v>159</v>
      </c>
      <c r="I167" s="146" t="s">
        <v>1423</v>
      </c>
      <c r="J167" s="144" t="s">
        <v>1218</v>
      </c>
      <c r="K167" s="147"/>
      <c r="L167" s="144" t="s">
        <v>19</v>
      </c>
      <c r="M167" s="144" t="s">
        <v>195</v>
      </c>
      <c r="N167" s="144" t="s">
        <v>651</v>
      </c>
    </row>
    <row r="168" spans="1:14" ht="45">
      <c r="A168" s="138">
        <v>168</v>
      </c>
      <c r="B168" s="142">
        <v>4</v>
      </c>
      <c r="C168" s="142">
        <v>15</v>
      </c>
      <c r="D168" s="142">
        <v>160</v>
      </c>
      <c r="E168" s="149" t="s">
        <v>1485</v>
      </c>
      <c r="F168" s="142">
        <v>29</v>
      </c>
      <c r="G168" s="142">
        <v>304</v>
      </c>
      <c r="H168" s="142">
        <v>160</v>
      </c>
      <c r="I168" s="146" t="s">
        <v>1423</v>
      </c>
      <c r="J168" s="144" t="s">
        <v>1218</v>
      </c>
      <c r="K168" s="147"/>
      <c r="L168" s="144" t="s">
        <v>19</v>
      </c>
      <c r="M168" s="144" t="s">
        <v>196</v>
      </c>
      <c r="N168" s="144" t="s">
        <v>653</v>
      </c>
    </row>
    <row r="169" spans="1:14">
      <c r="A169" s="138">
        <v>169</v>
      </c>
      <c r="B169" s="142">
        <v>4</v>
      </c>
      <c r="C169" s="142">
        <v>15</v>
      </c>
      <c r="D169" s="142">
        <v>101</v>
      </c>
      <c r="E169" s="149" t="s">
        <v>1486</v>
      </c>
      <c r="F169" s="142">
        <v>29</v>
      </c>
      <c r="G169" s="142">
        <v>305</v>
      </c>
      <c r="H169" s="142">
        <v>448</v>
      </c>
      <c r="I169" s="146" t="s">
        <v>1423</v>
      </c>
      <c r="J169" s="144" t="s">
        <v>1218</v>
      </c>
      <c r="K169" s="147"/>
      <c r="L169" s="144" t="s">
        <v>19</v>
      </c>
      <c r="M169" s="144" t="s">
        <v>135</v>
      </c>
      <c r="N169" s="144" t="s">
        <v>655</v>
      </c>
    </row>
    <row r="170" spans="1:14" ht="30">
      <c r="A170" s="138">
        <v>170</v>
      </c>
      <c r="B170" s="142">
        <v>4</v>
      </c>
      <c r="C170" s="142">
        <v>15</v>
      </c>
      <c r="D170" s="142">
        <v>161</v>
      </c>
      <c r="E170" s="149" t="s">
        <v>1487</v>
      </c>
      <c r="F170" s="142">
        <v>29</v>
      </c>
      <c r="G170" s="142">
        <v>306</v>
      </c>
      <c r="H170" s="142">
        <v>161</v>
      </c>
      <c r="I170" s="146" t="s">
        <v>1423</v>
      </c>
      <c r="J170" s="144" t="s">
        <v>1218</v>
      </c>
      <c r="K170" s="147"/>
      <c r="L170" s="144" t="s">
        <v>19</v>
      </c>
      <c r="M170" s="144" t="s">
        <v>399</v>
      </c>
      <c r="N170" s="144" t="s">
        <v>1365</v>
      </c>
    </row>
    <row r="171" spans="1:14" ht="45">
      <c r="A171" s="138">
        <v>171</v>
      </c>
      <c r="B171" s="142">
        <v>4</v>
      </c>
      <c r="C171" s="142">
        <v>15</v>
      </c>
      <c r="D171" s="142">
        <v>162</v>
      </c>
      <c r="E171" s="149" t="s">
        <v>1488</v>
      </c>
      <c r="F171" s="142">
        <v>29</v>
      </c>
      <c r="G171" s="142">
        <v>307</v>
      </c>
      <c r="H171" s="142">
        <v>162</v>
      </c>
      <c r="I171" s="146" t="s">
        <v>1423</v>
      </c>
      <c r="J171" s="144" t="s">
        <v>1218</v>
      </c>
      <c r="K171" s="147"/>
      <c r="L171" s="144" t="s">
        <v>19</v>
      </c>
      <c r="M171" s="144" t="s">
        <v>198</v>
      </c>
      <c r="N171" s="144" t="s">
        <v>659</v>
      </c>
    </row>
    <row r="172" spans="1:14" ht="30">
      <c r="A172" s="138">
        <v>172</v>
      </c>
      <c r="B172" s="142">
        <v>4</v>
      </c>
      <c r="C172" s="142">
        <v>15</v>
      </c>
      <c r="D172" s="142">
        <v>163</v>
      </c>
      <c r="E172" s="149" t="s">
        <v>1489</v>
      </c>
      <c r="F172" s="142">
        <v>29</v>
      </c>
      <c r="G172" s="142">
        <v>308</v>
      </c>
      <c r="H172" s="142">
        <v>163</v>
      </c>
      <c r="I172" s="146" t="s">
        <v>1423</v>
      </c>
      <c r="J172" s="144" t="s">
        <v>1218</v>
      </c>
      <c r="K172" s="147"/>
      <c r="L172" s="144" t="s">
        <v>19</v>
      </c>
      <c r="M172" s="144" t="s">
        <v>199</v>
      </c>
      <c r="N172" s="144" t="s">
        <v>661</v>
      </c>
    </row>
    <row r="173" spans="1:14">
      <c r="A173" s="138">
        <v>173</v>
      </c>
      <c r="B173" s="142">
        <v>4</v>
      </c>
      <c r="C173" s="142">
        <v>15</v>
      </c>
      <c r="D173" s="142">
        <v>164</v>
      </c>
      <c r="E173" s="149" t="s">
        <v>1490</v>
      </c>
      <c r="F173" s="142">
        <v>29</v>
      </c>
      <c r="G173" s="142">
        <v>309</v>
      </c>
      <c r="H173" s="142">
        <v>164</v>
      </c>
      <c r="I173" s="146" t="s">
        <v>1423</v>
      </c>
      <c r="J173" s="144" t="s">
        <v>1218</v>
      </c>
      <c r="K173" s="147"/>
      <c r="L173" s="144" t="s">
        <v>19</v>
      </c>
      <c r="M173" s="144" t="s">
        <v>200</v>
      </c>
      <c r="N173" s="144" t="s">
        <v>663</v>
      </c>
    </row>
    <row r="174" spans="1:14" ht="30">
      <c r="A174" s="138">
        <v>174</v>
      </c>
      <c r="B174" s="142">
        <v>4</v>
      </c>
      <c r="C174" s="142">
        <v>15</v>
      </c>
      <c r="D174" s="142">
        <v>113</v>
      </c>
      <c r="E174" s="149" t="s">
        <v>1491</v>
      </c>
      <c r="F174" s="142">
        <v>29</v>
      </c>
      <c r="G174" s="142">
        <v>310</v>
      </c>
      <c r="H174" s="142">
        <v>451</v>
      </c>
      <c r="I174" s="146" t="s">
        <v>1423</v>
      </c>
      <c r="J174" s="144" t="s">
        <v>1218</v>
      </c>
      <c r="K174" s="147"/>
      <c r="L174" s="144" t="s">
        <v>19</v>
      </c>
      <c r="M174" s="144" t="s">
        <v>148</v>
      </c>
      <c r="N174" s="144" t="s">
        <v>1357</v>
      </c>
    </row>
    <row r="175" spans="1:14" ht="30">
      <c r="A175" s="138">
        <v>175</v>
      </c>
      <c r="B175" s="142">
        <v>4</v>
      </c>
      <c r="C175" s="142">
        <v>15</v>
      </c>
      <c r="D175" s="142">
        <v>133</v>
      </c>
      <c r="E175" s="149" t="s">
        <v>1492</v>
      </c>
      <c r="F175" s="142">
        <v>29</v>
      </c>
      <c r="G175" s="142">
        <v>311</v>
      </c>
      <c r="H175" s="142">
        <v>133</v>
      </c>
      <c r="I175" s="146" t="s">
        <v>1423</v>
      </c>
      <c r="J175" s="144" t="s">
        <v>1218</v>
      </c>
      <c r="K175" s="147"/>
      <c r="L175" s="144" t="s">
        <v>19</v>
      </c>
      <c r="M175" s="144" t="s">
        <v>168</v>
      </c>
      <c r="N175" s="144" t="s">
        <v>1361</v>
      </c>
    </row>
    <row r="176" spans="1:14" ht="30">
      <c r="A176" s="138">
        <v>176</v>
      </c>
      <c r="B176" s="142">
        <v>4</v>
      </c>
      <c r="C176" s="142">
        <v>15</v>
      </c>
      <c r="D176" s="142">
        <v>165</v>
      </c>
      <c r="E176" s="149" t="s">
        <v>1493</v>
      </c>
      <c r="F176" s="142">
        <v>29</v>
      </c>
      <c r="G176" s="142">
        <v>312</v>
      </c>
      <c r="H176" s="142">
        <v>165</v>
      </c>
      <c r="I176" s="146" t="s">
        <v>1423</v>
      </c>
      <c r="J176" s="144" t="s">
        <v>1218</v>
      </c>
      <c r="K176" s="147"/>
      <c r="L176" s="144" t="s">
        <v>19</v>
      </c>
      <c r="M176" s="144" t="s">
        <v>201</v>
      </c>
      <c r="N176" s="144" t="s">
        <v>669</v>
      </c>
    </row>
    <row r="177" spans="1:14" ht="45">
      <c r="A177" s="138">
        <v>177</v>
      </c>
      <c r="B177" s="142">
        <v>4</v>
      </c>
      <c r="C177" s="142">
        <v>15</v>
      </c>
      <c r="D177" s="142">
        <v>166</v>
      </c>
      <c r="E177" s="149" t="s">
        <v>1494</v>
      </c>
      <c r="F177" s="142">
        <v>29</v>
      </c>
      <c r="G177" s="142">
        <v>313</v>
      </c>
      <c r="H177" s="142">
        <v>166</v>
      </c>
      <c r="I177" s="146" t="s">
        <v>1423</v>
      </c>
      <c r="J177" s="144" t="s">
        <v>1218</v>
      </c>
      <c r="K177" s="147"/>
      <c r="L177" s="144" t="s">
        <v>19</v>
      </c>
      <c r="M177" s="144" t="s">
        <v>202</v>
      </c>
      <c r="N177" s="144" t="s">
        <v>671</v>
      </c>
    </row>
    <row r="178" spans="1:14" ht="30">
      <c r="A178" s="138">
        <v>178</v>
      </c>
      <c r="B178" s="142">
        <v>4</v>
      </c>
      <c r="C178" s="142">
        <v>15</v>
      </c>
      <c r="D178" s="142">
        <v>167</v>
      </c>
      <c r="E178" s="149" t="s">
        <v>1495</v>
      </c>
      <c r="F178" s="142">
        <v>29</v>
      </c>
      <c r="G178" s="142">
        <v>314</v>
      </c>
      <c r="H178" s="142">
        <v>167</v>
      </c>
      <c r="I178" s="146" t="s">
        <v>1423</v>
      </c>
      <c r="J178" s="144" t="s">
        <v>1218</v>
      </c>
      <c r="K178" s="147"/>
      <c r="L178" s="144" t="s">
        <v>19</v>
      </c>
      <c r="M178" s="144" t="s">
        <v>203</v>
      </c>
      <c r="N178" s="144" t="s">
        <v>673</v>
      </c>
    </row>
    <row r="179" spans="1:14" ht="30">
      <c r="A179" s="138">
        <v>179</v>
      </c>
      <c r="B179" s="142">
        <v>4</v>
      </c>
      <c r="C179" s="142">
        <v>15</v>
      </c>
      <c r="D179" s="142">
        <v>168</v>
      </c>
      <c r="E179" s="149" t="s">
        <v>1496</v>
      </c>
      <c r="F179" s="142">
        <v>29</v>
      </c>
      <c r="G179" s="142">
        <v>315</v>
      </c>
      <c r="H179" s="142">
        <v>168</v>
      </c>
      <c r="I179" s="146" t="s">
        <v>1423</v>
      </c>
      <c r="J179" s="144" t="s">
        <v>1218</v>
      </c>
      <c r="K179" s="147"/>
      <c r="L179" s="144" t="s">
        <v>19</v>
      </c>
      <c r="M179" s="144" t="s">
        <v>204</v>
      </c>
      <c r="N179" s="144" t="s">
        <v>675</v>
      </c>
    </row>
    <row r="180" spans="1:14">
      <c r="A180" s="138">
        <v>180</v>
      </c>
      <c r="B180" s="142">
        <v>4</v>
      </c>
      <c r="C180" s="142">
        <v>15</v>
      </c>
      <c r="D180" s="142">
        <v>169</v>
      </c>
      <c r="E180" s="149" t="s">
        <v>1497</v>
      </c>
      <c r="F180" s="142">
        <v>29</v>
      </c>
      <c r="G180" s="142">
        <v>316</v>
      </c>
      <c r="H180" s="142">
        <v>169</v>
      </c>
      <c r="I180" s="146" t="s">
        <v>1423</v>
      </c>
      <c r="J180" s="144" t="s">
        <v>1218</v>
      </c>
      <c r="K180" s="147"/>
      <c r="L180" s="144" t="s">
        <v>19</v>
      </c>
      <c r="M180" s="144" t="s">
        <v>205</v>
      </c>
      <c r="N180" s="144" t="s">
        <v>677</v>
      </c>
    </row>
    <row r="181" spans="1:14" ht="30">
      <c r="A181" s="138">
        <v>181</v>
      </c>
      <c r="B181" s="142">
        <v>4</v>
      </c>
      <c r="C181" s="142">
        <v>15</v>
      </c>
      <c r="D181" s="142">
        <v>170</v>
      </c>
      <c r="E181" s="149" t="s">
        <v>1498</v>
      </c>
      <c r="F181" s="142">
        <v>29</v>
      </c>
      <c r="G181" s="142">
        <v>317</v>
      </c>
      <c r="H181" s="142">
        <v>170</v>
      </c>
      <c r="I181" s="146" t="s">
        <v>1423</v>
      </c>
      <c r="J181" s="144" t="s">
        <v>1218</v>
      </c>
      <c r="K181" s="147"/>
      <c r="L181" s="144" t="s">
        <v>19</v>
      </c>
      <c r="M181" s="144" t="s">
        <v>206</v>
      </c>
      <c r="N181" s="144" t="s">
        <v>679</v>
      </c>
    </row>
    <row r="182" spans="1:14" ht="30">
      <c r="A182" s="138">
        <v>182</v>
      </c>
      <c r="B182" s="142">
        <v>4</v>
      </c>
      <c r="C182" s="142">
        <v>15</v>
      </c>
      <c r="D182" s="142">
        <v>171</v>
      </c>
      <c r="E182" s="149" t="s">
        <v>1499</v>
      </c>
      <c r="F182" s="142">
        <v>29</v>
      </c>
      <c r="G182" s="142">
        <v>318</v>
      </c>
      <c r="H182" s="142">
        <v>171</v>
      </c>
      <c r="I182" s="146" t="s">
        <v>1423</v>
      </c>
      <c r="J182" s="144" t="s">
        <v>1218</v>
      </c>
      <c r="K182" s="147"/>
      <c r="L182" s="144" t="s">
        <v>19</v>
      </c>
      <c r="M182" s="144" t="s">
        <v>207</v>
      </c>
      <c r="N182" s="144" t="s">
        <v>681</v>
      </c>
    </row>
    <row r="183" spans="1:14" ht="30">
      <c r="A183" s="138">
        <v>183</v>
      </c>
      <c r="B183" s="142">
        <v>4</v>
      </c>
      <c r="C183" s="142">
        <v>15</v>
      </c>
      <c r="D183" s="142">
        <v>172</v>
      </c>
      <c r="E183" s="149" t="s">
        <v>1500</v>
      </c>
      <c r="F183" s="142">
        <v>29</v>
      </c>
      <c r="G183" s="142">
        <v>319</v>
      </c>
      <c r="H183" s="142">
        <v>172</v>
      </c>
      <c r="I183" s="146" t="s">
        <v>1423</v>
      </c>
      <c r="J183" s="144" t="s">
        <v>1218</v>
      </c>
      <c r="K183" s="147"/>
      <c r="L183" s="144" t="s">
        <v>19</v>
      </c>
      <c r="M183" s="144" t="s">
        <v>209</v>
      </c>
      <c r="N183" s="144" t="s">
        <v>684</v>
      </c>
    </row>
    <row r="184" spans="1:14" ht="45">
      <c r="A184" s="138">
        <v>184</v>
      </c>
      <c r="B184" s="142">
        <v>4</v>
      </c>
      <c r="C184" s="142">
        <v>15</v>
      </c>
      <c r="D184" s="142">
        <v>173</v>
      </c>
      <c r="E184" s="149" t="s">
        <v>1501</v>
      </c>
      <c r="F184" s="142">
        <v>29</v>
      </c>
      <c r="G184" s="142">
        <v>320</v>
      </c>
      <c r="H184" s="142">
        <v>173</v>
      </c>
      <c r="I184" s="146" t="s">
        <v>1423</v>
      </c>
      <c r="J184" s="144" t="s">
        <v>1218</v>
      </c>
      <c r="K184" s="147"/>
      <c r="L184" s="144" t="s">
        <v>19</v>
      </c>
      <c r="M184" s="144" t="s">
        <v>210</v>
      </c>
      <c r="N184" s="144" t="s">
        <v>686</v>
      </c>
    </row>
    <row r="185" spans="1:14" ht="30">
      <c r="A185" s="138">
        <v>185</v>
      </c>
      <c r="B185" s="142">
        <v>4</v>
      </c>
      <c r="C185" s="142">
        <v>15</v>
      </c>
      <c r="D185" s="142">
        <v>174</v>
      </c>
      <c r="E185" s="149" t="s">
        <v>1502</v>
      </c>
      <c r="F185" s="142">
        <v>29</v>
      </c>
      <c r="G185" s="142">
        <v>321</v>
      </c>
      <c r="H185" s="142">
        <v>174</v>
      </c>
      <c r="I185" s="146" t="s">
        <v>1423</v>
      </c>
      <c r="J185" s="144" t="s">
        <v>1218</v>
      </c>
      <c r="K185" s="147"/>
      <c r="L185" s="144" t="s">
        <v>19</v>
      </c>
      <c r="M185" s="144" t="s">
        <v>211</v>
      </c>
      <c r="N185" s="144" t="s">
        <v>688</v>
      </c>
    </row>
    <row r="186" spans="1:14" ht="30">
      <c r="A186" s="138">
        <v>186</v>
      </c>
      <c r="B186" s="142">
        <v>4</v>
      </c>
      <c r="C186" s="142">
        <v>15</v>
      </c>
      <c r="D186" s="142">
        <v>175</v>
      </c>
      <c r="E186" s="149" t="s">
        <v>1503</v>
      </c>
      <c r="F186" s="142">
        <v>29</v>
      </c>
      <c r="G186" s="142">
        <v>322</v>
      </c>
      <c r="H186" s="142">
        <v>175</v>
      </c>
      <c r="I186" s="146" t="s">
        <v>1423</v>
      </c>
      <c r="J186" s="144" t="s">
        <v>1218</v>
      </c>
      <c r="K186" s="147"/>
      <c r="L186" s="144" t="s">
        <v>19</v>
      </c>
      <c r="M186" s="144" t="s">
        <v>213</v>
      </c>
      <c r="N186" s="144" t="s">
        <v>690</v>
      </c>
    </row>
    <row r="187" spans="1:14" ht="30">
      <c r="A187" s="138">
        <v>187</v>
      </c>
      <c r="B187" s="142">
        <v>4</v>
      </c>
      <c r="C187" s="142">
        <v>15</v>
      </c>
      <c r="D187" s="142">
        <v>176</v>
      </c>
      <c r="E187" s="149" t="s">
        <v>1504</v>
      </c>
      <c r="F187" s="142">
        <v>29</v>
      </c>
      <c r="G187" s="142">
        <v>323</v>
      </c>
      <c r="H187" s="142">
        <v>176</v>
      </c>
      <c r="I187" s="146" t="s">
        <v>1423</v>
      </c>
      <c r="J187" s="144" t="s">
        <v>1218</v>
      </c>
      <c r="K187" s="147"/>
      <c r="L187" s="144" t="s">
        <v>19</v>
      </c>
      <c r="M187" s="144" t="s">
        <v>214</v>
      </c>
      <c r="N187" s="144" t="s">
        <v>692</v>
      </c>
    </row>
    <row r="188" spans="1:14" ht="30">
      <c r="A188" s="138">
        <v>188</v>
      </c>
      <c r="B188" s="142">
        <v>4</v>
      </c>
      <c r="C188" s="142">
        <v>15</v>
      </c>
      <c r="D188" s="142">
        <v>177</v>
      </c>
      <c r="E188" s="149" t="s">
        <v>1505</v>
      </c>
      <c r="F188" s="142">
        <v>29</v>
      </c>
      <c r="G188" s="142">
        <v>324</v>
      </c>
      <c r="H188" s="142">
        <v>177</v>
      </c>
      <c r="I188" s="146" t="s">
        <v>1423</v>
      </c>
      <c r="J188" s="144" t="s">
        <v>1218</v>
      </c>
      <c r="K188" s="147"/>
      <c r="L188" s="144" t="s">
        <v>19</v>
      </c>
      <c r="M188" s="144" t="s">
        <v>216</v>
      </c>
      <c r="N188" s="144" t="s">
        <v>694</v>
      </c>
    </row>
    <row r="189" spans="1:14" ht="30">
      <c r="A189" s="138">
        <v>189</v>
      </c>
      <c r="B189" s="142">
        <v>4</v>
      </c>
      <c r="C189" s="142">
        <v>15</v>
      </c>
      <c r="D189" s="142">
        <v>178</v>
      </c>
      <c r="E189" s="149" t="s">
        <v>1506</v>
      </c>
      <c r="F189" s="142">
        <v>29</v>
      </c>
      <c r="G189" s="142">
        <v>325</v>
      </c>
      <c r="H189" s="142">
        <v>178</v>
      </c>
      <c r="I189" s="146" t="s">
        <v>1423</v>
      </c>
      <c r="J189" s="144" t="s">
        <v>1218</v>
      </c>
      <c r="K189" s="147"/>
      <c r="L189" s="144" t="s">
        <v>19</v>
      </c>
      <c r="M189" s="144" t="s">
        <v>217</v>
      </c>
      <c r="N189" s="144" t="s">
        <v>696</v>
      </c>
    </row>
    <row r="190" spans="1:14" ht="30">
      <c r="A190" s="138">
        <v>190</v>
      </c>
      <c r="B190" s="142">
        <v>4</v>
      </c>
      <c r="C190" s="142">
        <v>15</v>
      </c>
      <c r="D190" s="142">
        <v>179</v>
      </c>
      <c r="E190" s="149" t="s">
        <v>1507</v>
      </c>
      <c r="F190" s="142">
        <v>29</v>
      </c>
      <c r="G190" s="142">
        <v>326</v>
      </c>
      <c r="H190" s="142">
        <v>179</v>
      </c>
      <c r="I190" s="146" t="s">
        <v>1423</v>
      </c>
      <c r="J190" s="144" t="s">
        <v>1218</v>
      </c>
      <c r="K190" s="147"/>
      <c r="L190" s="144" t="s">
        <v>19</v>
      </c>
      <c r="M190" s="144" t="s">
        <v>218</v>
      </c>
      <c r="N190" s="144" t="s">
        <v>698</v>
      </c>
    </row>
    <row r="191" spans="1:14">
      <c r="A191" s="138">
        <v>191</v>
      </c>
      <c r="B191" s="142">
        <v>4</v>
      </c>
      <c r="C191" s="142">
        <v>15</v>
      </c>
      <c r="D191" s="142">
        <v>180</v>
      </c>
      <c r="E191" s="149" t="s">
        <v>1508</v>
      </c>
      <c r="F191" s="142">
        <v>29</v>
      </c>
      <c r="G191" s="142">
        <v>327</v>
      </c>
      <c r="H191" s="142">
        <v>180</v>
      </c>
      <c r="I191" s="146" t="s">
        <v>1423</v>
      </c>
      <c r="J191" s="144" t="s">
        <v>1218</v>
      </c>
      <c r="K191" s="147"/>
      <c r="L191" s="144" t="s">
        <v>19</v>
      </c>
      <c r="M191" s="144" t="s">
        <v>219</v>
      </c>
      <c r="N191" s="144" t="s">
        <v>700</v>
      </c>
    </row>
    <row r="192" spans="1:14" ht="45">
      <c r="A192" s="138">
        <v>192</v>
      </c>
      <c r="B192" s="142">
        <v>4</v>
      </c>
      <c r="C192" s="142">
        <v>15</v>
      </c>
      <c r="D192" s="142">
        <v>181</v>
      </c>
      <c r="E192" s="149" t="s">
        <v>1509</v>
      </c>
      <c r="F192" s="142">
        <v>29</v>
      </c>
      <c r="G192" s="142">
        <v>328</v>
      </c>
      <c r="H192" s="142">
        <v>181</v>
      </c>
      <c r="I192" s="146" t="s">
        <v>1423</v>
      </c>
      <c r="J192" s="144" t="s">
        <v>1218</v>
      </c>
      <c r="K192" s="147"/>
      <c r="L192" s="144" t="s">
        <v>19</v>
      </c>
      <c r="M192" s="144" t="s">
        <v>220</v>
      </c>
      <c r="N192" s="144" t="s">
        <v>702</v>
      </c>
    </row>
    <row r="193" spans="1:14" ht="30">
      <c r="A193" s="138">
        <v>193</v>
      </c>
      <c r="B193" s="142">
        <v>4</v>
      </c>
      <c r="C193" s="142">
        <v>15</v>
      </c>
      <c r="D193" s="142">
        <v>182</v>
      </c>
      <c r="E193" s="149" t="s">
        <v>1510</v>
      </c>
      <c r="F193" s="142">
        <v>29</v>
      </c>
      <c r="G193" s="142">
        <v>329</v>
      </c>
      <c r="H193" s="142">
        <v>182</v>
      </c>
      <c r="I193" s="146" t="s">
        <v>1423</v>
      </c>
      <c r="J193" s="144" t="s">
        <v>1218</v>
      </c>
      <c r="K193" s="147"/>
      <c r="L193" s="144" t="s">
        <v>19</v>
      </c>
      <c r="M193" s="144" t="s">
        <v>221</v>
      </c>
      <c r="N193" s="144" t="s">
        <v>704</v>
      </c>
    </row>
    <row r="194" spans="1:14">
      <c r="A194" s="138">
        <v>194</v>
      </c>
      <c r="B194" s="142">
        <v>4</v>
      </c>
      <c r="C194" s="142">
        <v>15</v>
      </c>
      <c r="D194" s="142">
        <v>183</v>
      </c>
      <c r="E194" s="149" t="s">
        <v>1511</v>
      </c>
      <c r="F194" s="142">
        <v>29</v>
      </c>
      <c r="G194" s="142">
        <v>330</v>
      </c>
      <c r="H194" s="142">
        <v>183</v>
      </c>
      <c r="I194" s="146" t="s">
        <v>1423</v>
      </c>
      <c r="J194" s="144" t="s">
        <v>1218</v>
      </c>
      <c r="K194" s="147"/>
      <c r="L194" s="144" t="s">
        <v>19</v>
      </c>
      <c r="M194" s="144" t="s">
        <v>222</v>
      </c>
      <c r="N194" s="144" t="s">
        <v>706</v>
      </c>
    </row>
    <row r="195" spans="1:14" ht="30">
      <c r="A195" s="138">
        <v>195</v>
      </c>
      <c r="B195" s="142">
        <v>4</v>
      </c>
      <c r="C195" s="142">
        <v>15</v>
      </c>
      <c r="D195" s="142">
        <v>184</v>
      </c>
      <c r="E195" s="149" t="s">
        <v>1512</v>
      </c>
      <c r="F195" s="142">
        <v>29</v>
      </c>
      <c r="G195" s="142">
        <v>331</v>
      </c>
      <c r="H195" s="142">
        <v>184</v>
      </c>
      <c r="I195" s="146" t="s">
        <v>1423</v>
      </c>
      <c r="J195" s="144" t="s">
        <v>1218</v>
      </c>
      <c r="K195" s="147"/>
      <c r="L195" s="144" t="s">
        <v>19</v>
      </c>
      <c r="M195" s="144" t="s">
        <v>223</v>
      </c>
      <c r="N195" s="144" t="s">
        <v>708</v>
      </c>
    </row>
    <row r="196" spans="1:14" ht="45">
      <c r="A196" s="138">
        <v>196</v>
      </c>
      <c r="B196" s="142">
        <v>4</v>
      </c>
      <c r="C196" s="142">
        <v>15</v>
      </c>
      <c r="D196" s="142">
        <v>185</v>
      </c>
      <c r="E196" s="149" t="s">
        <v>1513</v>
      </c>
      <c r="F196" s="142">
        <v>29</v>
      </c>
      <c r="G196" s="142">
        <v>332</v>
      </c>
      <c r="H196" s="142">
        <v>185</v>
      </c>
      <c r="I196" s="146" t="s">
        <v>1423</v>
      </c>
      <c r="J196" s="144" t="s">
        <v>1218</v>
      </c>
      <c r="K196" s="147"/>
      <c r="L196" s="144" t="s">
        <v>19</v>
      </c>
      <c r="M196" s="144" t="s">
        <v>224</v>
      </c>
      <c r="N196" s="144" t="s">
        <v>710</v>
      </c>
    </row>
    <row r="197" spans="1:14" ht="60">
      <c r="A197" s="138">
        <v>197</v>
      </c>
      <c r="B197" s="142">
        <v>4</v>
      </c>
      <c r="C197" s="142">
        <v>15</v>
      </c>
      <c r="D197" s="142">
        <v>186</v>
      </c>
      <c r="E197" s="149" t="s">
        <v>1514</v>
      </c>
      <c r="F197" s="142">
        <v>29</v>
      </c>
      <c r="G197" s="142">
        <v>333</v>
      </c>
      <c r="H197" s="142">
        <v>186</v>
      </c>
      <c r="I197" s="146" t="s">
        <v>1423</v>
      </c>
      <c r="J197" s="144" t="s">
        <v>1218</v>
      </c>
      <c r="K197" s="147"/>
      <c r="L197" s="144" t="s">
        <v>19</v>
      </c>
      <c r="M197" s="144" t="s">
        <v>225</v>
      </c>
      <c r="N197" s="144" t="s">
        <v>712</v>
      </c>
    </row>
    <row r="198" spans="1:14" ht="45">
      <c r="A198" s="138">
        <v>198</v>
      </c>
      <c r="B198" s="142">
        <v>4</v>
      </c>
      <c r="C198" s="142">
        <v>16</v>
      </c>
      <c r="D198" s="142">
        <v>187</v>
      </c>
      <c r="E198" s="149" t="s">
        <v>1515</v>
      </c>
      <c r="F198" s="142">
        <v>30</v>
      </c>
      <c r="G198" s="142">
        <v>334</v>
      </c>
      <c r="H198" s="142">
        <v>187</v>
      </c>
      <c r="I198" s="146" t="s">
        <v>1423</v>
      </c>
      <c r="J198" s="144" t="s">
        <v>1218</v>
      </c>
      <c r="K198" s="147"/>
      <c r="L198" s="144" t="s">
        <v>20</v>
      </c>
      <c r="M198" s="144" t="s">
        <v>226</v>
      </c>
      <c r="N198" s="144" t="s">
        <v>713</v>
      </c>
    </row>
    <row r="199" spans="1:14" ht="30">
      <c r="A199" s="138">
        <v>199</v>
      </c>
      <c r="B199" s="142">
        <v>4</v>
      </c>
      <c r="C199" s="142">
        <v>16</v>
      </c>
      <c r="D199" s="142">
        <v>188</v>
      </c>
      <c r="E199" s="149" t="s">
        <v>1516</v>
      </c>
      <c r="F199" s="142">
        <v>30</v>
      </c>
      <c r="G199" s="142">
        <v>335</v>
      </c>
      <c r="H199" s="142">
        <v>188</v>
      </c>
      <c r="I199" s="146" t="s">
        <v>1423</v>
      </c>
      <c r="J199" s="144" t="s">
        <v>1218</v>
      </c>
      <c r="K199" s="147"/>
      <c r="L199" s="144" t="s">
        <v>20</v>
      </c>
      <c r="M199" s="144" t="s">
        <v>227</v>
      </c>
      <c r="N199" s="144" t="s">
        <v>715</v>
      </c>
    </row>
    <row r="200" spans="1:14" ht="30">
      <c r="A200" s="138">
        <v>200</v>
      </c>
      <c r="B200" s="142">
        <v>4</v>
      </c>
      <c r="C200" s="142">
        <v>16</v>
      </c>
      <c r="D200" s="142">
        <v>189</v>
      </c>
      <c r="E200" s="149" t="s">
        <v>1517</v>
      </c>
      <c r="F200" s="142">
        <v>30</v>
      </c>
      <c r="G200" s="142">
        <v>336</v>
      </c>
      <c r="H200" s="142">
        <v>189</v>
      </c>
      <c r="I200" s="146" t="s">
        <v>1423</v>
      </c>
      <c r="J200" s="144" t="s">
        <v>1218</v>
      </c>
      <c r="K200" s="147"/>
      <c r="L200" s="144" t="s">
        <v>20</v>
      </c>
      <c r="M200" s="144" t="s">
        <v>228</v>
      </c>
      <c r="N200" s="144" t="s">
        <v>717</v>
      </c>
    </row>
    <row r="201" spans="1:14" ht="30">
      <c r="A201" s="138">
        <v>201</v>
      </c>
      <c r="B201" s="142">
        <v>4</v>
      </c>
      <c r="C201" s="142">
        <v>16</v>
      </c>
      <c r="D201" s="142">
        <v>190</v>
      </c>
      <c r="E201" s="149" t="s">
        <v>1518</v>
      </c>
      <c r="F201" s="142">
        <v>30</v>
      </c>
      <c r="G201" s="142">
        <v>337</v>
      </c>
      <c r="H201" s="142">
        <v>190</v>
      </c>
      <c r="I201" s="146" t="s">
        <v>1423</v>
      </c>
      <c r="J201" s="144" t="s">
        <v>1218</v>
      </c>
      <c r="K201" s="147"/>
      <c r="L201" s="144" t="s">
        <v>20</v>
      </c>
      <c r="M201" s="144" t="s">
        <v>229</v>
      </c>
      <c r="N201" s="144" t="s">
        <v>719</v>
      </c>
    </row>
    <row r="202" spans="1:14" ht="30">
      <c r="A202" s="138">
        <v>202</v>
      </c>
      <c r="B202" s="142">
        <v>4</v>
      </c>
      <c r="C202" s="142">
        <v>16</v>
      </c>
      <c r="D202" s="142">
        <v>191</v>
      </c>
      <c r="E202" s="149" t="s">
        <v>1519</v>
      </c>
      <c r="F202" s="142">
        <v>30</v>
      </c>
      <c r="G202" s="142">
        <v>338</v>
      </c>
      <c r="H202" s="142">
        <v>191</v>
      </c>
      <c r="I202" s="146" t="s">
        <v>1423</v>
      </c>
      <c r="J202" s="144" t="s">
        <v>1218</v>
      </c>
      <c r="K202" s="147"/>
      <c r="L202" s="144" t="s">
        <v>20</v>
      </c>
      <c r="M202" s="144" t="s">
        <v>230</v>
      </c>
      <c r="N202" s="144" t="s">
        <v>721</v>
      </c>
    </row>
    <row r="203" spans="1:14" ht="30">
      <c r="A203" s="138">
        <v>203</v>
      </c>
      <c r="B203" s="142">
        <v>4</v>
      </c>
      <c r="C203" s="142">
        <v>16</v>
      </c>
      <c r="D203" s="142">
        <v>192</v>
      </c>
      <c r="E203" s="149" t="s">
        <v>1520</v>
      </c>
      <c r="F203" s="142">
        <v>30</v>
      </c>
      <c r="G203" s="142">
        <v>339</v>
      </c>
      <c r="H203" s="142">
        <v>192</v>
      </c>
      <c r="I203" s="146" t="s">
        <v>1423</v>
      </c>
      <c r="J203" s="144" t="s">
        <v>1218</v>
      </c>
      <c r="K203" s="147"/>
      <c r="L203" s="144" t="s">
        <v>20</v>
      </c>
      <c r="M203" s="144" t="s">
        <v>231</v>
      </c>
      <c r="N203" s="144" t="s">
        <v>723</v>
      </c>
    </row>
    <row r="204" spans="1:14" ht="30">
      <c r="A204" s="138">
        <v>204</v>
      </c>
      <c r="B204" s="142">
        <v>4</v>
      </c>
      <c r="C204" s="142">
        <v>16</v>
      </c>
      <c r="D204" s="142">
        <v>193</v>
      </c>
      <c r="E204" s="149" t="s">
        <v>1521</v>
      </c>
      <c r="F204" s="142">
        <v>30</v>
      </c>
      <c r="G204" s="142">
        <v>340</v>
      </c>
      <c r="H204" s="142">
        <v>193</v>
      </c>
      <c r="I204" s="146" t="s">
        <v>1423</v>
      </c>
      <c r="J204" s="144" t="s">
        <v>1218</v>
      </c>
      <c r="K204" s="147"/>
      <c r="L204" s="144" t="s">
        <v>20</v>
      </c>
      <c r="M204" s="144" t="s">
        <v>232</v>
      </c>
      <c r="N204" s="144" t="s">
        <v>725</v>
      </c>
    </row>
    <row r="205" spans="1:14" ht="30">
      <c r="A205" s="138">
        <v>205</v>
      </c>
      <c r="B205" s="142">
        <v>4</v>
      </c>
      <c r="C205" s="142">
        <v>16</v>
      </c>
      <c r="D205" s="142">
        <v>194</v>
      </c>
      <c r="E205" s="149" t="s">
        <v>1522</v>
      </c>
      <c r="F205" s="142">
        <v>30</v>
      </c>
      <c r="G205" s="142">
        <v>341</v>
      </c>
      <c r="H205" s="142">
        <v>194</v>
      </c>
      <c r="I205" s="146" t="s">
        <v>1423</v>
      </c>
      <c r="J205" s="144" t="s">
        <v>1218</v>
      </c>
      <c r="K205" s="147"/>
      <c r="L205" s="144" t="s">
        <v>20</v>
      </c>
      <c r="M205" s="144" t="s">
        <v>233</v>
      </c>
      <c r="N205" s="144" t="s">
        <v>727</v>
      </c>
    </row>
    <row r="206" spans="1:14" ht="30">
      <c r="A206" s="138">
        <v>206</v>
      </c>
      <c r="B206" s="142">
        <v>4</v>
      </c>
      <c r="C206" s="142">
        <v>16</v>
      </c>
      <c r="D206" s="142">
        <v>195</v>
      </c>
      <c r="E206" s="149" t="s">
        <v>1523</v>
      </c>
      <c r="F206" s="142">
        <v>30</v>
      </c>
      <c r="G206" s="142">
        <v>342</v>
      </c>
      <c r="H206" s="142">
        <v>195</v>
      </c>
      <c r="I206" s="146" t="s">
        <v>1423</v>
      </c>
      <c r="J206" s="144" t="s">
        <v>1218</v>
      </c>
      <c r="K206" s="147"/>
      <c r="L206" s="144" t="s">
        <v>20</v>
      </c>
      <c r="M206" s="144" t="s">
        <v>234</v>
      </c>
      <c r="N206" s="144" t="s">
        <v>729</v>
      </c>
    </row>
    <row r="207" spans="1:14" ht="30">
      <c r="A207" s="138">
        <v>207</v>
      </c>
      <c r="B207" s="142">
        <v>4</v>
      </c>
      <c r="C207" s="142">
        <v>16</v>
      </c>
      <c r="D207" s="142">
        <v>196</v>
      </c>
      <c r="E207" s="149" t="s">
        <v>1524</v>
      </c>
      <c r="F207" s="142">
        <v>30</v>
      </c>
      <c r="G207" s="142">
        <v>343</v>
      </c>
      <c r="H207" s="142">
        <v>196</v>
      </c>
      <c r="I207" s="146" t="s">
        <v>1423</v>
      </c>
      <c r="J207" s="144" t="s">
        <v>1218</v>
      </c>
      <c r="K207" s="147"/>
      <c r="L207" s="144" t="s">
        <v>20</v>
      </c>
      <c r="M207" s="144" t="s">
        <v>235</v>
      </c>
      <c r="N207" s="144" t="s">
        <v>731</v>
      </c>
    </row>
    <row r="208" spans="1:14" ht="30">
      <c r="A208" s="138">
        <v>208</v>
      </c>
      <c r="B208" s="142">
        <v>4</v>
      </c>
      <c r="C208" s="142">
        <v>16</v>
      </c>
      <c r="D208" s="142">
        <v>197</v>
      </c>
      <c r="E208" s="149" t="s">
        <v>1525</v>
      </c>
      <c r="F208" s="142">
        <v>30</v>
      </c>
      <c r="G208" s="142">
        <v>344</v>
      </c>
      <c r="H208" s="142">
        <v>197</v>
      </c>
      <c r="I208" s="146" t="s">
        <v>1423</v>
      </c>
      <c r="J208" s="144" t="s">
        <v>1218</v>
      </c>
      <c r="K208" s="147"/>
      <c r="L208" s="144" t="s">
        <v>20</v>
      </c>
      <c r="M208" s="144" t="s">
        <v>236</v>
      </c>
      <c r="N208" s="144" t="s">
        <v>733</v>
      </c>
    </row>
    <row r="209" spans="1:14" ht="30">
      <c r="A209" s="138">
        <v>209</v>
      </c>
      <c r="B209" s="142">
        <v>4</v>
      </c>
      <c r="C209" s="142">
        <v>16</v>
      </c>
      <c r="D209" s="142">
        <v>198</v>
      </c>
      <c r="E209" s="149" t="s">
        <v>1526</v>
      </c>
      <c r="F209" s="142">
        <v>30</v>
      </c>
      <c r="G209" s="142">
        <v>345</v>
      </c>
      <c r="H209" s="142">
        <v>198</v>
      </c>
      <c r="I209" s="146" t="s">
        <v>1423</v>
      </c>
      <c r="J209" s="144" t="s">
        <v>1218</v>
      </c>
      <c r="K209" s="147"/>
      <c r="L209" s="144" t="s">
        <v>20</v>
      </c>
      <c r="M209" s="144" t="s">
        <v>237</v>
      </c>
      <c r="N209" s="144" t="s">
        <v>735</v>
      </c>
    </row>
    <row r="210" spans="1:14" ht="30">
      <c r="A210" s="138">
        <v>210</v>
      </c>
      <c r="B210" s="142">
        <v>4</v>
      </c>
      <c r="C210" s="142">
        <v>16</v>
      </c>
      <c r="D210" s="142">
        <v>199</v>
      </c>
      <c r="E210" s="149" t="s">
        <v>1527</v>
      </c>
      <c r="F210" s="142">
        <v>30</v>
      </c>
      <c r="G210" s="142">
        <v>346</v>
      </c>
      <c r="H210" s="142">
        <v>199</v>
      </c>
      <c r="I210" s="146" t="s">
        <v>1423</v>
      </c>
      <c r="J210" s="144" t="s">
        <v>1218</v>
      </c>
      <c r="K210" s="147"/>
      <c r="L210" s="144" t="s">
        <v>20</v>
      </c>
      <c r="M210" s="144" t="s">
        <v>238</v>
      </c>
      <c r="N210" s="144" t="s">
        <v>737</v>
      </c>
    </row>
    <row r="211" spans="1:14" ht="30">
      <c r="A211" s="138">
        <v>211</v>
      </c>
      <c r="B211" s="142">
        <v>4</v>
      </c>
      <c r="C211" s="142">
        <v>16</v>
      </c>
      <c r="D211" s="142">
        <v>200</v>
      </c>
      <c r="E211" s="149" t="s">
        <v>1528</v>
      </c>
      <c r="F211" s="142">
        <v>30</v>
      </c>
      <c r="G211" s="142">
        <v>347</v>
      </c>
      <c r="H211" s="142">
        <v>200</v>
      </c>
      <c r="I211" s="146" t="s">
        <v>1423</v>
      </c>
      <c r="J211" s="144" t="s">
        <v>1218</v>
      </c>
      <c r="K211" s="147"/>
      <c r="L211" s="144" t="s">
        <v>20</v>
      </c>
      <c r="M211" s="144" t="s">
        <v>239</v>
      </c>
      <c r="N211" s="144" t="s">
        <v>739</v>
      </c>
    </row>
    <row r="212" spans="1:14" ht="30">
      <c r="A212" s="138">
        <v>212</v>
      </c>
      <c r="B212" s="142">
        <v>4</v>
      </c>
      <c r="C212" s="142">
        <v>16</v>
      </c>
      <c r="D212" s="142">
        <v>201</v>
      </c>
      <c r="E212" s="149" t="s">
        <v>1529</v>
      </c>
      <c r="F212" s="142">
        <v>30</v>
      </c>
      <c r="G212" s="142">
        <v>348</v>
      </c>
      <c r="H212" s="142">
        <v>201</v>
      </c>
      <c r="I212" s="146" t="s">
        <v>1423</v>
      </c>
      <c r="J212" s="144" t="s">
        <v>1218</v>
      </c>
      <c r="K212" s="147"/>
      <c r="L212" s="144" t="s">
        <v>20</v>
      </c>
      <c r="M212" s="144" t="s">
        <v>240</v>
      </c>
      <c r="N212" s="144" t="s">
        <v>741</v>
      </c>
    </row>
    <row r="213" spans="1:14" ht="30">
      <c r="A213" s="138">
        <v>213</v>
      </c>
      <c r="B213" s="142">
        <v>4</v>
      </c>
      <c r="C213" s="142">
        <v>16</v>
      </c>
      <c r="D213" s="142">
        <v>202</v>
      </c>
      <c r="E213" s="149" t="s">
        <v>1530</v>
      </c>
      <c r="F213" s="142">
        <v>30</v>
      </c>
      <c r="G213" s="142">
        <v>349</v>
      </c>
      <c r="H213" s="142">
        <v>202</v>
      </c>
      <c r="I213" s="146" t="s">
        <v>1423</v>
      </c>
      <c r="J213" s="144" t="s">
        <v>1218</v>
      </c>
      <c r="K213" s="147"/>
      <c r="L213" s="144" t="s">
        <v>20</v>
      </c>
      <c r="M213" s="144" t="s">
        <v>241</v>
      </c>
      <c r="N213" s="144" t="s">
        <v>743</v>
      </c>
    </row>
    <row r="214" spans="1:14" ht="30">
      <c r="A214" s="138">
        <v>214</v>
      </c>
      <c r="B214" s="142">
        <v>4</v>
      </c>
      <c r="C214" s="142">
        <v>17</v>
      </c>
      <c r="D214" s="142">
        <v>203</v>
      </c>
      <c r="E214" s="149" t="s">
        <v>1531</v>
      </c>
      <c r="F214" s="142">
        <v>31</v>
      </c>
      <c r="G214" s="142">
        <v>350</v>
      </c>
      <c r="H214" s="142">
        <v>203</v>
      </c>
      <c r="I214" s="146" t="s">
        <v>1423</v>
      </c>
      <c r="J214" s="144" t="s">
        <v>1218</v>
      </c>
      <c r="K214" s="147"/>
      <c r="L214" s="144" t="s">
        <v>21</v>
      </c>
      <c r="M214" s="144" t="s">
        <v>243</v>
      </c>
      <c r="N214" s="144" t="s">
        <v>745</v>
      </c>
    </row>
    <row r="215" spans="1:14" ht="45">
      <c r="A215" s="138">
        <v>215</v>
      </c>
      <c r="B215" s="142">
        <v>4</v>
      </c>
      <c r="C215" s="142">
        <v>17</v>
      </c>
      <c r="D215" s="142">
        <v>204</v>
      </c>
      <c r="E215" s="149" t="s">
        <v>1532</v>
      </c>
      <c r="F215" s="142">
        <v>31</v>
      </c>
      <c r="G215" s="142">
        <v>351</v>
      </c>
      <c r="H215" s="142">
        <v>204</v>
      </c>
      <c r="I215" s="146" t="s">
        <v>1423</v>
      </c>
      <c r="J215" s="144" t="s">
        <v>1218</v>
      </c>
      <c r="K215" s="147"/>
      <c r="L215" s="144" t="s">
        <v>21</v>
      </c>
      <c r="M215" s="144" t="s">
        <v>244</v>
      </c>
      <c r="N215" s="144" t="s">
        <v>747</v>
      </c>
    </row>
    <row r="216" spans="1:14" ht="30">
      <c r="A216" s="138">
        <v>216</v>
      </c>
      <c r="B216" s="142">
        <v>4</v>
      </c>
      <c r="C216" s="142">
        <v>17</v>
      </c>
      <c r="D216" s="142">
        <v>205</v>
      </c>
      <c r="E216" s="149" t="s">
        <v>1533</v>
      </c>
      <c r="F216" s="142">
        <v>31</v>
      </c>
      <c r="G216" s="142">
        <v>352</v>
      </c>
      <c r="H216" s="142">
        <v>205</v>
      </c>
      <c r="I216" s="146" t="s">
        <v>1423</v>
      </c>
      <c r="J216" s="144" t="s">
        <v>1218</v>
      </c>
      <c r="K216" s="147"/>
      <c r="L216" s="144" t="s">
        <v>21</v>
      </c>
      <c r="M216" s="144" t="s">
        <v>245</v>
      </c>
      <c r="N216" s="144" t="s">
        <v>749</v>
      </c>
    </row>
    <row r="217" spans="1:14">
      <c r="A217" s="138">
        <v>217</v>
      </c>
      <c r="B217" s="142">
        <v>4</v>
      </c>
      <c r="C217" s="142">
        <v>17</v>
      </c>
      <c r="D217" s="142">
        <v>115</v>
      </c>
      <c r="E217" s="149" t="s">
        <v>1534</v>
      </c>
      <c r="F217" s="142">
        <v>31</v>
      </c>
      <c r="G217" s="142">
        <v>353</v>
      </c>
      <c r="H217" s="142">
        <v>454</v>
      </c>
      <c r="I217" s="146" t="s">
        <v>1423</v>
      </c>
      <c r="J217" s="144" t="s">
        <v>1218</v>
      </c>
      <c r="K217" s="147"/>
      <c r="L217" s="144" t="s">
        <v>21</v>
      </c>
      <c r="M217" s="144" t="s">
        <v>150</v>
      </c>
      <c r="N217" s="144" t="s">
        <v>1028</v>
      </c>
    </row>
    <row r="218" spans="1:14" ht="30">
      <c r="A218" s="138">
        <v>218</v>
      </c>
      <c r="B218" s="142">
        <v>4</v>
      </c>
      <c r="C218" s="142">
        <v>17</v>
      </c>
      <c r="D218" s="142">
        <v>206</v>
      </c>
      <c r="E218" s="149" t="s">
        <v>1535</v>
      </c>
      <c r="F218" s="142">
        <v>31</v>
      </c>
      <c r="G218" s="142">
        <v>354</v>
      </c>
      <c r="H218" s="142">
        <v>206</v>
      </c>
      <c r="I218" s="146" t="s">
        <v>1423</v>
      </c>
      <c r="J218" s="144" t="s">
        <v>1218</v>
      </c>
      <c r="K218" s="147"/>
      <c r="L218" s="144" t="s">
        <v>21</v>
      </c>
      <c r="M218" s="144" t="s">
        <v>246</v>
      </c>
      <c r="N218" s="144" t="s">
        <v>753</v>
      </c>
    </row>
    <row r="219" spans="1:14" ht="30">
      <c r="A219" s="138">
        <v>219</v>
      </c>
      <c r="B219" s="142">
        <v>4</v>
      </c>
      <c r="C219" s="142">
        <v>17</v>
      </c>
      <c r="D219" s="142">
        <v>207</v>
      </c>
      <c r="E219" s="149" t="s">
        <v>1536</v>
      </c>
      <c r="F219" s="142">
        <v>31</v>
      </c>
      <c r="G219" s="142">
        <v>355</v>
      </c>
      <c r="H219" s="142">
        <v>207</v>
      </c>
      <c r="I219" s="146" t="s">
        <v>1423</v>
      </c>
      <c r="J219" s="144" t="s">
        <v>1218</v>
      </c>
      <c r="K219" s="147"/>
      <c r="L219" s="144" t="s">
        <v>21</v>
      </c>
      <c r="M219" s="144" t="s">
        <v>247</v>
      </c>
      <c r="N219" s="144" t="s">
        <v>755</v>
      </c>
    </row>
    <row r="220" spans="1:14" ht="30">
      <c r="A220" s="138">
        <v>220</v>
      </c>
      <c r="B220" s="142">
        <v>4</v>
      </c>
      <c r="C220" s="142">
        <v>17</v>
      </c>
      <c r="D220" s="142">
        <v>208</v>
      </c>
      <c r="E220" s="149" t="s">
        <v>1537</v>
      </c>
      <c r="F220" s="142">
        <v>31</v>
      </c>
      <c r="G220" s="142">
        <v>356</v>
      </c>
      <c r="H220" s="142">
        <v>208</v>
      </c>
      <c r="I220" s="146" t="s">
        <v>1423</v>
      </c>
      <c r="J220" s="144" t="s">
        <v>1218</v>
      </c>
      <c r="K220" s="147"/>
      <c r="L220" s="144" t="s">
        <v>21</v>
      </c>
      <c r="M220" s="144" t="s">
        <v>248</v>
      </c>
      <c r="N220" s="144" t="s">
        <v>757</v>
      </c>
    </row>
    <row r="221" spans="1:14" ht="30">
      <c r="A221" s="138">
        <v>221</v>
      </c>
      <c r="B221" s="142">
        <v>4</v>
      </c>
      <c r="C221" s="142">
        <v>17</v>
      </c>
      <c r="D221" s="142">
        <v>209</v>
      </c>
      <c r="E221" s="149" t="s">
        <v>1538</v>
      </c>
      <c r="F221" s="142">
        <v>31</v>
      </c>
      <c r="G221" s="142">
        <v>357</v>
      </c>
      <c r="H221" s="142">
        <v>209</v>
      </c>
      <c r="I221" s="146" t="s">
        <v>1423</v>
      </c>
      <c r="J221" s="144" t="s">
        <v>1218</v>
      </c>
      <c r="K221" s="147"/>
      <c r="L221" s="144" t="s">
        <v>21</v>
      </c>
      <c r="M221" s="144" t="s">
        <v>249</v>
      </c>
      <c r="N221" s="144" t="s">
        <v>759</v>
      </c>
    </row>
    <row r="222" spans="1:14" ht="30">
      <c r="A222" s="138">
        <v>222</v>
      </c>
      <c r="B222" s="142">
        <v>4</v>
      </c>
      <c r="C222" s="142">
        <v>17</v>
      </c>
      <c r="D222" s="142">
        <v>210</v>
      </c>
      <c r="E222" s="149" t="s">
        <v>1539</v>
      </c>
      <c r="F222" s="142">
        <v>31</v>
      </c>
      <c r="G222" s="142">
        <v>358</v>
      </c>
      <c r="H222" s="142">
        <v>210</v>
      </c>
      <c r="I222" s="146" t="s">
        <v>1423</v>
      </c>
      <c r="J222" s="144" t="s">
        <v>1218</v>
      </c>
      <c r="K222" s="147"/>
      <c r="L222" s="144" t="s">
        <v>21</v>
      </c>
      <c r="M222" s="144" t="s">
        <v>250</v>
      </c>
      <c r="N222" s="144" t="s">
        <v>761</v>
      </c>
    </row>
    <row r="223" spans="1:14" ht="30">
      <c r="A223" s="138">
        <v>223</v>
      </c>
      <c r="B223" s="142">
        <v>4</v>
      </c>
      <c r="C223" s="142">
        <v>18</v>
      </c>
      <c r="D223" s="142">
        <v>211</v>
      </c>
      <c r="E223" s="149" t="s">
        <v>1540</v>
      </c>
      <c r="F223" s="142">
        <v>32</v>
      </c>
      <c r="G223" s="142">
        <v>359</v>
      </c>
      <c r="H223" s="142">
        <v>211</v>
      </c>
      <c r="I223" s="146" t="s">
        <v>1423</v>
      </c>
      <c r="J223" s="144" t="s">
        <v>1218</v>
      </c>
      <c r="K223" s="147"/>
      <c r="L223" s="144" t="s">
        <v>22</v>
      </c>
      <c r="M223" s="144" t="s">
        <v>253</v>
      </c>
      <c r="N223" s="144" t="s">
        <v>763</v>
      </c>
    </row>
    <row r="224" spans="1:14" ht="30">
      <c r="A224" s="138">
        <v>224</v>
      </c>
      <c r="B224" s="142">
        <v>4</v>
      </c>
      <c r="C224" s="142">
        <v>18</v>
      </c>
      <c r="D224" s="142">
        <v>212</v>
      </c>
      <c r="E224" s="149" t="s">
        <v>1541</v>
      </c>
      <c r="F224" s="142">
        <v>32</v>
      </c>
      <c r="G224" s="142">
        <v>360</v>
      </c>
      <c r="H224" s="142">
        <v>212</v>
      </c>
      <c r="I224" s="146" t="s">
        <v>1423</v>
      </c>
      <c r="J224" s="144" t="s">
        <v>1218</v>
      </c>
      <c r="K224" s="147"/>
      <c r="L224" s="144" t="s">
        <v>22</v>
      </c>
      <c r="M224" s="144" t="s">
        <v>254</v>
      </c>
      <c r="N224" s="144" t="s">
        <v>765</v>
      </c>
    </row>
    <row r="225" spans="1:14">
      <c r="A225" s="138">
        <v>225</v>
      </c>
      <c r="B225" s="142">
        <v>4</v>
      </c>
      <c r="C225" s="142">
        <v>18</v>
      </c>
      <c r="D225" s="142">
        <v>128</v>
      </c>
      <c r="E225" s="149" t="s">
        <v>1542</v>
      </c>
      <c r="F225" s="142">
        <v>32</v>
      </c>
      <c r="G225" s="142">
        <v>361</v>
      </c>
      <c r="H225" s="142">
        <v>455</v>
      </c>
      <c r="I225" s="146" t="s">
        <v>1423</v>
      </c>
      <c r="J225" s="144" t="s">
        <v>1218</v>
      </c>
      <c r="K225" s="147"/>
      <c r="L225" s="144" t="s">
        <v>22</v>
      </c>
      <c r="M225" s="144" t="s">
        <v>163</v>
      </c>
      <c r="N225" s="144" t="s">
        <v>767</v>
      </c>
    </row>
    <row r="226" spans="1:14" ht="30">
      <c r="A226" s="138">
        <v>226</v>
      </c>
      <c r="B226" s="142">
        <v>4</v>
      </c>
      <c r="C226" s="142">
        <v>18</v>
      </c>
      <c r="D226" s="142">
        <v>367</v>
      </c>
      <c r="E226" s="149" t="s">
        <v>1543</v>
      </c>
      <c r="F226" s="142">
        <v>32</v>
      </c>
      <c r="G226" s="142">
        <v>362</v>
      </c>
      <c r="H226" s="142">
        <v>368</v>
      </c>
      <c r="I226" s="146" t="s">
        <v>1423</v>
      </c>
      <c r="J226" s="144" t="s">
        <v>1218</v>
      </c>
      <c r="K226" s="147"/>
      <c r="L226" s="144" t="s">
        <v>22</v>
      </c>
      <c r="M226" s="144" t="s">
        <v>430</v>
      </c>
      <c r="N226" s="144" t="s">
        <v>769</v>
      </c>
    </row>
    <row r="227" spans="1:14" ht="30">
      <c r="A227" s="138">
        <v>227</v>
      </c>
      <c r="B227" s="142">
        <v>4</v>
      </c>
      <c r="C227" s="142">
        <v>18</v>
      </c>
      <c r="D227" s="142">
        <v>213</v>
      </c>
      <c r="E227" s="149" t="s">
        <v>1544</v>
      </c>
      <c r="F227" s="142">
        <v>32</v>
      </c>
      <c r="G227" s="142">
        <v>363</v>
      </c>
      <c r="H227" s="142">
        <v>213</v>
      </c>
      <c r="I227" s="146" t="s">
        <v>1423</v>
      </c>
      <c r="J227" s="144" t="s">
        <v>1218</v>
      </c>
      <c r="K227" s="147"/>
      <c r="L227" s="144" t="s">
        <v>22</v>
      </c>
      <c r="M227" s="144" t="s">
        <v>256</v>
      </c>
      <c r="N227" s="144" t="s">
        <v>1370</v>
      </c>
    </row>
    <row r="228" spans="1:14">
      <c r="A228" s="138">
        <v>228</v>
      </c>
      <c r="B228" s="142">
        <v>4</v>
      </c>
      <c r="C228" s="142">
        <v>18</v>
      </c>
      <c r="D228" s="142">
        <v>194</v>
      </c>
      <c r="E228" s="149" t="s">
        <v>1545</v>
      </c>
      <c r="F228" s="142">
        <v>32</v>
      </c>
      <c r="G228" s="142">
        <v>364</v>
      </c>
      <c r="H228" s="142">
        <v>248</v>
      </c>
      <c r="I228" s="146" t="s">
        <v>1423</v>
      </c>
      <c r="J228" s="144" t="s">
        <v>1218</v>
      </c>
      <c r="K228" s="147"/>
      <c r="L228" s="144" t="s">
        <v>22</v>
      </c>
      <c r="M228" s="144" t="s">
        <v>233</v>
      </c>
      <c r="N228" s="144" t="s">
        <v>773</v>
      </c>
    </row>
    <row r="229" spans="1:14" ht="30">
      <c r="A229" s="138">
        <v>229</v>
      </c>
      <c r="B229" s="142">
        <v>4</v>
      </c>
      <c r="C229" s="142">
        <v>18</v>
      </c>
      <c r="D229" s="142">
        <v>214</v>
      </c>
      <c r="E229" s="149" t="s">
        <v>1546</v>
      </c>
      <c r="F229" s="142">
        <v>32</v>
      </c>
      <c r="G229" s="142">
        <v>365</v>
      </c>
      <c r="H229" s="142">
        <v>214</v>
      </c>
      <c r="I229" s="146" t="s">
        <v>1423</v>
      </c>
      <c r="J229" s="144" t="s">
        <v>1218</v>
      </c>
      <c r="K229" s="147"/>
      <c r="L229" s="144" t="s">
        <v>22</v>
      </c>
      <c r="M229" s="144" t="s">
        <v>257</v>
      </c>
      <c r="N229" s="144" t="s">
        <v>775</v>
      </c>
    </row>
    <row r="230" spans="1:14" ht="30">
      <c r="A230" s="138">
        <v>230</v>
      </c>
      <c r="B230" s="142">
        <v>4</v>
      </c>
      <c r="C230" s="142">
        <v>18</v>
      </c>
      <c r="D230" s="142">
        <v>215</v>
      </c>
      <c r="E230" s="149" t="s">
        <v>1547</v>
      </c>
      <c r="F230" s="142">
        <v>32</v>
      </c>
      <c r="G230" s="142">
        <v>366</v>
      </c>
      <c r="H230" s="142">
        <v>215</v>
      </c>
      <c r="I230" s="146" t="s">
        <v>1423</v>
      </c>
      <c r="J230" s="144" t="s">
        <v>1218</v>
      </c>
      <c r="K230" s="147"/>
      <c r="L230" s="144" t="s">
        <v>22</v>
      </c>
      <c r="M230" s="144" t="s">
        <v>258</v>
      </c>
      <c r="N230" s="144" t="s">
        <v>777</v>
      </c>
    </row>
    <row r="231" spans="1:14" ht="30">
      <c r="A231" s="138">
        <v>231</v>
      </c>
      <c r="B231" s="142">
        <v>4</v>
      </c>
      <c r="C231" s="142">
        <v>18</v>
      </c>
      <c r="D231" s="142">
        <v>216</v>
      </c>
      <c r="E231" s="149" t="s">
        <v>1548</v>
      </c>
      <c r="F231" s="142">
        <v>32</v>
      </c>
      <c r="G231" s="142">
        <v>367</v>
      </c>
      <c r="H231" s="142">
        <v>216</v>
      </c>
      <c r="I231" s="146" t="s">
        <v>1423</v>
      </c>
      <c r="J231" s="144" t="s">
        <v>1218</v>
      </c>
      <c r="K231" s="147"/>
      <c r="L231" s="144" t="s">
        <v>22</v>
      </c>
      <c r="M231" s="144" t="s">
        <v>259</v>
      </c>
      <c r="N231" s="144" t="s">
        <v>779</v>
      </c>
    </row>
    <row r="232" spans="1:14" ht="30">
      <c r="A232" s="138">
        <v>232</v>
      </c>
      <c r="B232" s="142">
        <v>4</v>
      </c>
      <c r="C232" s="142">
        <v>18</v>
      </c>
      <c r="D232" s="142">
        <v>217</v>
      </c>
      <c r="E232" s="149" t="s">
        <v>1549</v>
      </c>
      <c r="F232" s="142">
        <v>32</v>
      </c>
      <c r="G232" s="142">
        <v>368</v>
      </c>
      <c r="H232" s="142">
        <v>217</v>
      </c>
      <c r="I232" s="146" t="s">
        <v>1423</v>
      </c>
      <c r="J232" s="144" t="s">
        <v>1218</v>
      </c>
      <c r="K232" s="147"/>
      <c r="L232" s="144" t="s">
        <v>22</v>
      </c>
      <c r="M232" s="144" t="s">
        <v>260</v>
      </c>
      <c r="N232" s="144" t="s">
        <v>781</v>
      </c>
    </row>
    <row r="233" spans="1:14" ht="30">
      <c r="A233" s="138">
        <v>233</v>
      </c>
      <c r="B233" s="142">
        <v>4</v>
      </c>
      <c r="C233" s="142">
        <v>18</v>
      </c>
      <c r="D233" s="142">
        <v>218</v>
      </c>
      <c r="E233" s="149" t="s">
        <v>1550</v>
      </c>
      <c r="F233" s="142">
        <v>32</v>
      </c>
      <c r="G233" s="142">
        <v>369</v>
      </c>
      <c r="H233" s="142">
        <v>218</v>
      </c>
      <c r="I233" s="146" t="s">
        <v>1423</v>
      </c>
      <c r="J233" s="144" t="s">
        <v>1218</v>
      </c>
      <c r="K233" s="147"/>
      <c r="L233" s="144" t="s">
        <v>22</v>
      </c>
      <c r="M233" s="144" t="s">
        <v>262</v>
      </c>
      <c r="N233" s="144" t="s">
        <v>969</v>
      </c>
    </row>
    <row r="234" spans="1:14" ht="45">
      <c r="A234" s="138">
        <v>234</v>
      </c>
      <c r="B234" s="142">
        <v>4</v>
      </c>
      <c r="C234" s="142">
        <v>18</v>
      </c>
      <c r="D234" s="142">
        <v>219</v>
      </c>
      <c r="E234" s="149" t="s">
        <v>1551</v>
      </c>
      <c r="F234" s="142">
        <v>32</v>
      </c>
      <c r="G234" s="142">
        <v>370</v>
      </c>
      <c r="H234" s="142">
        <v>219</v>
      </c>
      <c r="I234" s="146" t="s">
        <v>1423</v>
      </c>
      <c r="J234" s="144" t="s">
        <v>1218</v>
      </c>
      <c r="K234" s="147"/>
      <c r="L234" s="144" t="s">
        <v>22</v>
      </c>
      <c r="M234" s="144" t="s">
        <v>263</v>
      </c>
      <c r="N234" s="144" t="s">
        <v>785</v>
      </c>
    </row>
    <row r="235" spans="1:14">
      <c r="A235" s="138">
        <v>235</v>
      </c>
      <c r="B235" s="142">
        <v>4</v>
      </c>
      <c r="C235" s="142">
        <v>18</v>
      </c>
      <c r="D235" s="142">
        <v>220</v>
      </c>
      <c r="E235" s="149" t="s">
        <v>1552</v>
      </c>
      <c r="F235" s="142">
        <v>32</v>
      </c>
      <c r="G235" s="142">
        <v>371</v>
      </c>
      <c r="H235" s="142">
        <v>220</v>
      </c>
      <c r="I235" s="146" t="s">
        <v>1423</v>
      </c>
      <c r="J235" s="144" t="s">
        <v>1218</v>
      </c>
      <c r="K235" s="147"/>
      <c r="L235" s="144" t="s">
        <v>22</v>
      </c>
      <c r="M235" s="144" t="s">
        <v>264</v>
      </c>
      <c r="N235" s="144" t="s">
        <v>787</v>
      </c>
    </row>
    <row r="236" spans="1:14" ht="45">
      <c r="A236" s="138">
        <v>236</v>
      </c>
      <c r="B236" s="142">
        <v>4</v>
      </c>
      <c r="C236" s="142">
        <v>18</v>
      </c>
      <c r="D236" s="142">
        <v>221</v>
      </c>
      <c r="E236" s="149" t="s">
        <v>1553</v>
      </c>
      <c r="F236" s="142">
        <v>32</v>
      </c>
      <c r="G236" s="142">
        <v>372</v>
      </c>
      <c r="H236" s="142">
        <v>221</v>
      </c>
      <c r="I236" s="146" t="s">
        <v>1423</v>
      </c>
      <c r="J236" s="144" t="s">
        <v>1218</v>
      </c>
      <c r="K236" s="147"/>
      <c r="L236" s="144" t="s">
        <v>22</v>
      </c>
      <c r="M236" s="144" t="s">
        <v>265</v>
      </c>
      <c r="N236" s="144" t="s">
        <v>1366</v>
      </c>
    </row>
    <row r="237" spans="1:14" ht="30">
      <c r="A237" s="138">
        <v>237</v>
      </c>
      <c r="B237" s="142">
        <v>4</v>
      </c>
      <c r="C237" s="142">
        <v>18</v>
      </c>
      <c r="D237" s="142">
        <v>222</v>
      </c>
      <c r="E237" s="149" t="s">
        <v>1554</v>
      </c>
      <c r="F237" s="142">
        <v>32</v>
      </c>
      <c r="G237" s="142">
        <v>373</v>
      </c>
      <c r="H237" s="142">
        <v>222</v>
      </c>
      <c r="I237" s="146" t="s">
        <v>1423</v>
      </c>
      <c r="J237" s="144" t="s">
        <v>1218</v>
      </c>
      <c r="K237" s="147"/>
      <c r="L237" s="144" t="s">
        <v>22</v>
      </c>
      <c r="M237" s="144" t="s">
        <v>267</v>
      </c>
      <c r="N237" s="144" t="s">
        <v>791</v>
      </c>
    </row>
    <row r="238" spans="1:14" ht="30">
      <c r="A238" s="138">
        <v>238</v>
      </c>
      <c r="B238" s="142">
        <v>4</v>
      </c>
      <c r="C238" s="142">
        <v>18</v>
      </c>
      <c r="D238" s="142">
        <v>223</v>
      </c>
      <c r="E238" s="149" t="s">
        <v>1555</v>
      </c>
      <c r="F238" s="142">
        <v>32</v>
      </c>
      <c r="G238" s="142">
        <v>374</v>
      </c>
      <c r="H238" s="142">
        <v>223</v>
      </c>
      <c r="I238" s="146" t="s">
        <v>1423</v>
      </c>
      <c r="J238" s="144" t="s">
        <v>1218</v>
      </c>
      <c r="K238" s="147"/>
      <c r="L238" s="144" t="s">
        <v>22</v>
      </c>
      <c r="M238" s="144" t="s">
        <v>268</v>
      </c>
      <c r="N238" s="144" t="s">
        <v>793</v>
      </c>
    </row>
    <row r="239" spans="1:14" ht="30">
      <c r="A239" s="138">
        <v>239</v>
      </c>
      <c r="B239" s="142">
        <v>4</v>
      </c>
      <c r="C239" s="142">
        <v>18</v>
      </c>
      <c r="D239" s="142">
        <v>224</v>
      </c>
      <c r="E239" s="149" t="s">
        <v>1556</v>
      </c>
      <c r="F239" s="142">
        <v>32</v>
      </c>
      <c r="G239" s="142">
        <v>375</v>
      </c>
      <c r="H239" s="142">
        <v>224</v>
      </c>
      <c r="I239" s="146" t="s">
        <v>1423</v>
      </c>
      <c r="J239" s="144" t="s">
        <v>1218</v>
      </c>
      <c r="K239" s="147"/>
      <c r="L239" s="144" t="s">
        <v>22</v>
      </c>
      <c r="M239" s="144" t="s">
        <v>269</v>
      </c>
      <c r="N239" s="144" t="s">
        <v>795</v>
      </c>
    </row>
    <row r="240" spans="1:14" ht="30">
      <c r="A240" s="138">
        <v>240</v>
      </c>
      <c r="B240" s="142">
        <v>4</v>
      </c>
      <c r="C240" s="142">
        <v>7</v>
      </c>
      <c r="D240" s="142">
        <v>225</v>
      </c>
      <c r="E240" s="149" t="s">
        <v>1557</v>
      </c>
      <c r="F240" s="142">
        <v>34</v>
      </c>
      <c r="G240" s="142">
        <v>376</v>
      </c>
      <c r="H240" s="142">
        <v>225</v>
      </c>
      <c r="I240" s="146" t="s">
        <v>1423</v>
      </c>
      <c r="J240" s="144" t="s">
        <v>1218</v>
      </c>
      <c r="K240" s="147"/>
      <c r="L240" s="144" t="s">
        <v>11</v>
      </c>
      <c r="M240" s="144" t="s">
        <v>270</v>
      </c>
      <c r="N240" s="144" t="s">
        <v>797</v>
      </c>
    </row>
    <row r="241" spans="1:14" ht="105">
      <c r="A241" s="138">
        <v>241</v>
      </c>
      <c r="B241" s="142">
        <v>4</v>
      </c>
      <c r="C241" s="142">
        <v>7</v>
      </c>
      <c r="D241" s="142">
        <v>226</v>
      </c>
      <c r="E241" s="149" t="s">
        <v>1558</v>
      </c>
      <c r="F241" s="142">
        <v>34</v>
      </c>
      <c r="G241" s="142">
        <v>377</v>
      </c>
      <c r="H241" s="142">
        <v>226</v>
      </c>
      <c r="I241" s="146" t="s">
        <v>1423</v>
      </c>
      <c r="J241" s="144" t="s">
        <v>1218</v>
      </c>
      <c r="K241" s="147"/>
      <c r="L241" s="144" t="s">
        <v>11</v>
      </c>
      <c r="M241" s="144" t="s">
        <v>351</v>
      </c>
      <c r="N241" s="144" t="s">
        <v>1063</v>
      </c>
    </row>
    <row r="242" spans="1:14" ht="45">
      <c r="A242" s="138">
        <v>242</v>
      </c>
      <c r="B242" s="142">
        <v>4</v>
      </c>
      <c r="C242" s="142">
        <v>7</v>
      </c>
      <c r="D242" s="142">
        <v>10</v>
      </c>
      <c r="E242" s="149" t="s">
        <v>1559</v>
      </c>
      <c r="F242" s="142">
        <v>34</v>
      </c>
      <c r="G242" s="142">
        <v>378</v>
      </c>
      <c r="H242" s="142">
        <v>10</v>
      </c>
      <c r="I242" s="146" t="s">
        <v>1423</v>
      </c>
      <c r="J242" s="144" t="s">
        <v>1218</v>
      </c>
      <c r="K242" s="147"/>
      <c r="L242" s="144" t="s">
        <v>11</v>
      </c>
      <c r="M242" s="144" t="s">
        <v>47</v>
      </c>
      <c r="N242" s="144" t="s">
        <v>910</v>
      </c>
    </row>
    <row r="243" spans="1:14" ht="30">
      <c r="A243" s="138">
        <v>243</v>
      </c>
      <c r="B243" s="142">
        <v>4</v>
      </c>
      <c r="C243" s="142">
        <v>7</v>
      </c>
      <c r="D243" s="142">
        <v>227</v>
      </c>
      <c r="E243" s="149" t="s">
        <v>1560</v>
      </c>
      <c r="F243" s="142">
        <v>34</v>
      </c>
      <c r="G243" s="142">
        <v>379</v>
      </c>
      <c r="H243" s="142">
        <v>227</v>
      </c>
      <c r="I243" s="146" t="s">
        <v>1423</v>
      </c>
      <c r="J243" s="144" t="s">
        <v>1218</v>
      </c>
      <c r="K243" s="147"/>
      <c r="L243" s="144" t="s">
        <v>11</v>
      </c>
      <c r="M243" s="144" t="s">
        <v>272</v>
      </c>
      <c r="N243" s="144" t="s">
        <v>802</v>
      </c>
    </row>
    <row r="244" spans="1:14" ht="30">
      <c r="A244" s="138">
        <v>244</v>
      </c>
      <c r="B244" s="142">
        <v>4</v>
      </c>
      <c r="C244" s="142">
        <v>7</v>
      </c>
      <c r="D244" s="142">
        <v>228</v>
      </c>
      <c r="E244" s="149" t="s">
        <v>1561</v>
      </c>
      <c r="F244" s="142">
        <v>34</v>
      </c>
      <c r="G244" s="142">
        <v>380</v>
      </c>
      <c r="H244" s="142">
        <v>228</v>
      </c>
      <c r="I244" s="146" t="s">
        <v>1423</v>
      </c>
      <c r="J244" s="144" t="s">
        <v>1218</v>
      </c>
      <c r="K244" s="147"/>
      <c r="L244" s="144" t="s">
        <v>11</v>
      </c>
      <c r="M244" s="144" t="s">
        <v>273</v>
      </c>
      <c r="N244" s="144" t="s">
        <v>804</v>
      </c>
    </row>
    <row r="245" spans="1:14">
      <c r="A245" s="138">
        <v>245</v>
      </c>
      <c r="B245" s="142">
        <v>4</v>
      </c>
      <c r="C245" s="142">
        <v>7</v>
      </c>
      <c r="D245" s="142">
        <v>229</v>
      </c>
      <c r="E245" s="149" t="s">
        <v>1562</v>
      </c>
      <c r="F245" s="142">
        <v>34</v>
      </c>
      <c r="G245" s="142">
        <v>381</v>
      </c>
      <c r="H245" s="142">
        <v>229</v>
      </c>
      <c r="I245" s="146" t="s">
        <v>1423</v>
      </c>
      <c r="J245" s="144" t="s">
        <v>1218</v>
      </c>
      <c r="K245" s="147"/>
      <c r="L245" s="144" t="s">
        <v>11</v>
      </c>
      <c r="M245" s="144" t="s">
        <v>274</v>
      </c>
      <c r="N245" s="144" t="s">
        <v>806</v>
      </c>
    </row>
    <row r="246" spans="1:14" ht="30">
      <c r="A246" s="138">
        <v>246</v>
      </c>
      <c r="B246" s="142">
        <v>4</v>
      </c>
      <c r="C246" s="142">
        <v>7</v>
      </c>
      <c r="D246" s="142">
        <v>78</v>
      </c>
      <c r="E246" s="149" t="s">
        <v>1563</v>
      </c>
      <c r="F246" s="142">
        <v>34</v>
      </c>
      <c r="G246" s="142">
        <v>382</v>
      </c>
      <c r="H246" s="142">
        <v>78</v>
      </c>
      <c r="I246" s="146" t="s">
        <v>1423</v>
      </c>
      <c r="J246" s="144" t="s">
        <v>1218</v>
      </c>
      <c r="K246" s="147"/>
      <c r="L246" s="144" t="s">
        <v>11</v>
      </c>
      <c r="M246" s="144" t="s">
        <v>112</v>
      </c>
      <c r="N246" s="144" t="s">
        <v>808</v>
      </c>
    </row>
    <row r="247" spans="1:14" ht="30">
      <c r="A247" s="138">
        <v>247</v>
      </c>
      <c r="B247" s="142">
        <v>4</v>
      </c>
      <c r="C247" s="142">
        <v>7</v>
      </c>
      <c r="D247" s="142">
        <v>230</v>
      </c>
      <c r="E247" s="149" t="s">
        <v>1564</v>
      </c>
      <c r="F247" s="142">
        <v>34</v>
      </c>
      <c r="G247" s="142">
        <v>383</v>
      </c>
      <c r="H247" s="142">
        <v>230</v>
      </c>
      <c r="I247" s="146" t="s">
        <v>1423</v>
      </c>
      <c r="J247" s="144" t="s">
        <v>1218</v>
      </c>
      <c r="K247" s="147"/>
      <c r="L247" s="144" t="s">
        <v>11</v>
      </c>
      <c r="M247" s="144" t="s">
        <v>275</v>
      </c>
      <c r="N247" s="144" t="s">
        <v>810</v>
      </c>
    </row>
    <row r="248" spans="1:14" ht="60">
      <c r="A248" s="138">
        <v>248</v>
      </c>
      <c r="B248" s="142">
        <v>4</v>
      </c>
      <c r="C248" s="142">
        <v>7</v>
      </c>
      <c r="D248" s="142">
        <v>81</v>
      </c>
      <c r="E248" s="149" t="s">
        <v>1565</v>
      </c>
      <c r="F248" s="142">
        <v>34</v>
      </c>
      <c r="G248" s="142">
        <v>384</v>
      </c>
      <c r="H248" s="142">
        <v>81</v>
      </c>
      <c r="I248" s="146" t="s">
        <v>1423</v>
      </c>
      <c r="J248" s="144" t="s">
        <v>1218</v>
      </c>
      <c r="K248" s="147"/>
      <c r="L248" s="144" t="s">
        <v>11</v>
      </c>
      <c r="M248" s="144" t="s">
        <v>115</v>
      </c>
      <c r="N248" s="144" t="s">
        <v>812</v>
      </c>
    </row>
    <row r="249" spans="1:14" ht="45">
      <c r="A249" s="138">
        <v>249</v>
      </c>
      <c r="B249" s="142">
        <v>4</v>
      </c>
      <c r="C249" s="142">
        <v>7</v>
      </c>
      <c r="D249" s="142">
        <v>82</v>
      </c>
      <c r="E249" s="149" t="s">
        <v>1566</v>
      </c>
      <c r="F249" s="142">
        <v>34</v>
      </c>
      <c r="G249" s="142">
        <v>385</v>
      </c>
      <c r="H249" s="142">
        <v>82</v>
      </c>
      <c r="I249" s="146" t="s">
        <v>1423</v>
      </c>
      <c r="J249" s="144" t="s">
        <v>1218</v>
      </c>
      <c r="K249" s="147"/>
      <c r="L249" s="144" t="s">
        <v>11</v>
      </c>
      <c r="M249" s="144" t="s">
        <v>116</v>
      </c>
      <c r="N249" s="144" t="s">
        <v>1353</v>
      </c>
    </row>
    <row r="250" spans="1:14" ht="30">
      <c r="A250" s="138">
        <v>250</v>
      </c>
      <c r="B250" s="142">
        <v>4</v>
      </c>
      <c r="C250" s="142">
        <v>7</v>
      </c>
      <c r="D250" s="142">
        <v>231</v>
      </c>
      <c r="E250" s="149" t="s">
        <v>1567</v>
      </c>
      <c r="F250" s="142">
        <v>34</v>
      </c>
      <c r="G250" s="142">
        <v>386</v>
      </c>
      <c r="H250" s="142">
        <v>231</v>
      </c>
      <c r="I250" s="146" t="s">
        <v>1423</v>
      </c>
      <c r="J250" s="144" t="s">
        <v>1218</v>
      </c>
      <c r="K250" s="147"/>
      <c r="L250" s="144" t="s">
        <v>11</v>
      </c>
      <c r="M250" s="144" t="s">
        <v>276</v>
      </c>
      <c r="N250" s="144" t="s">
        <v>1077</v>
      </c>
    </row>
    <row r="251" spans="1:14" ht="30">
      <c r="A251" s="138">
        <v>251</v>
      </c>
      <c r="B251" s="142">
        <v>4</v>
      </c>
      <c r="C251" s="142">
        <v>7</v>
      </c>
      <c r="D251" s="142">
        <v>232</v>
      </c>
      <c r="E251" s="149" t="s">
        <v>1568</v>
      </c>
      <c r="F251" s="142">
        <v>34</v>
      </c>
      <c r="G251" s="142">
        <v>387</v>
      </c>
      <c r="H251" s="142">
        <v>232</v>
      </c>
      <c r="I251" s="146" t="s">
        <v>1423</v>
      </c>
      <c r="J251" s="144" t="s">
        <v>1218</v>
      </c>
      <c r="K251" s="147"/>
      <c r="L251" s="144" t="s">
        <v>11</v>
      </c>
      <c r="M251" s="144" t="s">
        <v>277</v>
      </c>
      <c r="N251" s="144" t="s">
        <v>1079</v>
      </c>
    </row>
    <row r="252" spans="1:14">
      <c r="A252" s="138">
        <v>252</v>
      </c>
      <c r="B252" s="142">
        <v>4</v>
      </c>
      <c r="C252" s="142">
        <v>7</v>
      </c>
      <c r="D252" s="142">
        <v>233</v>
      </c>
      <c r="E252" s="149" t="s">
        <v>1569</v>
      </c>
      <c r="F252" s="142">
        <v>34</v>
      </c>
      <c r="G252" s="142">
        <v>388</v>
      </c>
      <c r="H252" s="142">
        <v>233</v>
      </c>
      <c r="I252" s="146" t="s">
        <v>1423</v>
      </c>
      <c r="J252" s="144" t="s">
        <v>1218</v>
      </c>
      <c r="K252" s="147"/>
      <c r="L252" s="144" t="s">
        <v>11</v>
      </c>
      <c r="M252" s="144" t="s">
        <v>278</v>
      </c>
      <c r="N252" s="144" t="s">
        <v>1081</v>
      </c>
    </row>
    <row r="253" spans="1:14" ht="45">
      <c r="A253" s="138">
        <v>253</v>
      </c>
      <c r="B253" s="142">
        <v>4</v>
      </c>
      <c r="C253" s="142">
        <v>7</v>
      </c>
      <c r="D253" s="142">
        <v>234</v>
      </c>
      <c r="E253" s="149" t="s">
        <v>1570</v>
      </c>
      <c r="F253" s="142">
        <v>34</v>
      </c>
      <c r="G253" s="142">
        <v>389</v>
      </c>
      <c r="H253" s="142">
        <v>234</v>
      </c>
      <c r="I253" s="146" t="s">
        <v>1423</v>
      </c>
      <c r="J253" s="144" t="s">
        <v>1218</v>
      </c>
      <c r="K253" s="147"/>
      <c r="L253" s="144" t="s">
        <v>11</v>
      </c>
      <c r="M253" s="144" t="s">
        <v>279</v>
      </c>
      <c r="N253" s="144" t="s">
        <v>822</v>
      </c>
    </row>
    <row r="254" spans="1:14" ht="90">
      <c r="A254" s="138">
        <v>254</v>
      </c>
      <c r="B254" s="142">
        <v>4</v>
      </c>
      <c r="C254" s="142">
        <v>6</v>
      </c>
      <c r="D254" s="142">
        <v>235</v>
      </c>
      <c r="E254" s="149" t="s">
        <v>1571</v>
      </c>
      <c r="F254" s="142">
        <v>33</v>
      </c>
      <c r="G254" s="142">
        <v>390</v>
      </c>
      <c r="H254" s="142">
        <v>235</v>
      </c>
      <c r="I254" s="146" t="s">
        <v>1423</v>
      </c>
      <c r="J254" s="144" t="s">
        <v>1218</v>
      </c>
      <c r="K254" s="147"/>
      <c r="L254" s="144" t="s">
        <v>10</v>
      </c>
      <c r="M254" s="144" t="s">
        <v>280</v>
      </c>
      <c r="N254" s="144" t="s">
        <v>824</v>
      </c>
    </row>
    <row r="255" spans="1:14" ht="30">
      <c r="A255" s="138">
        <v>255</v>
      </c>
      <c r="B255" s="142">
        <v>4</v>
      </c>
      <c r="C255" s="142">
        <v>6</v>
      </c>
      <c r="D255" s="142">
        <v>236</v>
      </c>
      <c r="E255" s="149" t="s">
        <v>1572</v>
      </c>
      <c r="F255" s="142">
        <v>33</v>
      </c>
      <c r="G255" s="142">
        <v>391</v>
      </c>
      <c r="H255" s="142">
        <v>236</v>
      </c>
      <c r="I255" s="146" t="s">
        <v>1423</v>
      </c>
      <c r="J255" s="144" t="s">
        <v>1218</v>
      </c>
      <c r="K255" s="147"/>
      <c r="L255" s="144" t="s">
        <v>10</v>
      </c>
      <c r="M255" s="144" t="s">
        <v>281</v>
      </c>
      <c r="N255" s="144" t="s">
        <v>826</v>
      </c>
    </row>
    <row r="256" spans="1:14" ht="30">
      <c r="A256" s="138">
        <v>256</v>
      </c>
      <c r="B256" s="142">
        <v>4</v>
      </c>
      <c r="C256" s="142">
        <v>6</v>
      </c>
      <c r="D256" s="142">
        <v>237</v>
      </c>
      <c r="E256" s="149" t="s">
        <v>1573</v>
      </c>
      <c r="F256" s="142">
        <v>33</v>
      </c>
      <c r="G256" s="142">
        <v>392</v>
      </c>
      <c r="H256" s="142">
        <v>237</v>
      </c>
      <c r="I256" s="146" t="s">
        <v>1423</v>
      </c>
      <c r="J256" s="144" t="s">
        <v>1218</v>
      </c>
      <c r="K256" s="147"/>
      <c r="L256" s="144" t="s">
        <v>10</v>
      </c>
      <c r="M256" s="144" t="s">
        <v>282</v>
      </c>
      <c r="N256" s="144" t="s">
        <v>828</v>
      </c>
    </row>
    <row r="257" spans="1:14" ht="30">
      <c r="A257" s="138">
        <v>257</v>
      </c>
      <c r="B257" s="142">
        <v>4</v>
      </c>
      <c r="C257" s="142">
        <v>6</v>
      </c>
      <c r="D257" s="142">
        <v>238</v>
      </c>
      <c r="E257" s="149" t="s">
        <v>1574</v>
      </c>
      <c r="F257" s="142">
        <v>33</v>
      </c>
      <c r="G257" s="142">
        <v>393</v>
      </c>
      <c r="H257" s="142">
        <v>238</v>
      </c>
      <c r="I257" s="146" t="s">
        <v>1423</v>
      </c>
      <c r="J257" s="144" t="s">
        <v>1218</v>
      </c>
      <c r="K257" s="147"/>
      <c r="L257" s="144" t="s">
        <v>10</v>
      </c>
      <c r="M257" s="144" t="s">
        <v>283</v>
      </c>
      <c r="N257" s="144" t="s">
        <v>830</v>
      </c>
    </row>
    <row r="258" spans="1:14" ht="30">
      <c r="A258" s="138">
        <v>258</v>
      </c>
      <c r="B258" s="142">
        <v>4</v>
      </c>
      <c r="C258" s="142">
        <v>6</v>
      </c>
      <c r="D258" s="142">
        <v>239</v>
      </c>
      <c r="E258" s="149" t="s">
        <v>1575</v>
      </c>
      <c r="F258" s="142">
        <v>33</v>
      </c>
      <c r="G258" s="142">
        <v>394</v>
      </c>
      <c r="H258" s="142">
        <v>239</v>
      </c>
      <c r="I258" s="146" t="s">
        <v>1423</v>
      </c>
      <c r="J258" s="144" t="s">
        <v>1218</v>
      </c>
      <c r="K258" s="147"/>
      <c r="L258" s="144" t="s">
        <v>10</v>
      </c>
      <c r="M258" s="144" t="s">
        <v>284</v>
      </c>
      <c r="N258" s="144" t="s">
        <v>832</v>
      </c>
    </row>
    <row r="259" spans="1:14" ht="30">
      <c r="A259" s="138">
        <v>259</v>
      </c>
      <c r="B259" s="142">
        <v>4</v>
      </c>
      <c r="C259" s="142">
        <v>6</v>
      </c>
      <c r="D259" s="142">
        <v>240</v>
      </c>
      <c r="E259" s="149" t="s">
        <v>1576</v>
      </c>
      <c r="F259" s="142">
        <v>33</v>
      </c>
      <c r="G259" s="142">
        <v>395</v>
      </c>
      <c r="H259" s="142">
        <v>240</v>
      </c>
      <c r="I259" s="146" t="s">
        <v>1423</v>
      </c>
      <c r="J259" s="144" t="s">
        <v>1218</v>
      </c>
      <c r="K259" s="147"/>
      <c r="L259" s="144" t="s">
        <v>10</v>
      </c>
      <c r="M259" s="144" t="s">
        <v>285</v>
      </c>
      <c r="N259" s="144" t="s">
        <v>1011</v>
      </c>
    </row>
    <row r="260" spans="1:14" ht="30">
      <c r="A260" s="138">
        <v>260</v>
      </c>
      <c r="B260" s="142">
        <v>4</v>
      </c>
      <c r="C260" s="142">
        <v>6</v>
      </c>
      <c r="D260" s="142">
        <v>66</v>
      </c>
      <c r="E260" s="149" t="s">
        <v>1577</v>
      </c>
      <c r="F260" s="142">
        <v>33</v>
      </c>
      <c r="G260" s="142">
        <v>396</v>
      </c>
      <c r="H260" s="142">
        <v>66</v>
      </c>
      <c r="I260" s="146" t="s">
        <v>1423</v>
      </c>
      <c r="J260" s="144" t="s">
        <v>1218</v>
      </c>
      <c r="K260" s="147"/>
      <c r="L260" s="144" t="s">
        <v>10</v>
      </c>
      <c r="M260" s="144" t="s">
        <v>286</v>
      </c>
      <c r="N260" s="144" t="s">
        <v>836</v>
      </c>
    </row>
    <row r="261" spans="1:14" ht="30">
      <c r="A261" s="138">
        <v>261</v>
      </c>
      <c r="B261" s="142">
        <v>4</v>
      </c>
      <c r="C261" s="142">
        <v>6</v>
      </c>
      <c r="D261" s="142">
        <v>241</v>
      </c>
      <c r="E261" s="149" t="s">
        <v>1578</v>
      </c>
      <c r="F261" s="142">
        <v>33</v>
      </c>
      <c r="G261" s="142">
        <v>397</v>
      </c>
      <c r="H261" s="142">
        <v>241</v>
      </c>
      <c r="I261" s="146" t="s">
        <v>1423</v>
      </c>
      <c r="J261" s="144" t="s">
        <v>1218</v>
      </c>
      <c r="K261" s="147"/>
      <c r="L261" s="144" t="s">
        <v>10</v>
      </c>
      <c r="M261" s="144" t="s">
        <v>287</v>
      </c>
      <c r="N261" s="144" t="s">
        <v>1012</v>
      </c>
    </row>
    <row r="262" spans="1:14" ht="30">
      <c r="A262" s="138">
        <v>262</v>
      </c>
      <c r="B262" s="142">
        <v>4</v>
      </c>
      <c r="C262" s="142">
        <v>6</v>
      </c>
      <c r="D262" s="142">
        <v>67</v>
      </c>
      <c r="E262" s="149" t="s">
        <v>1579</v>
      </c>
      <c r="F262" s="142">
        <v>33</v>
      </c>
      <c r="G262" s="142">
        <v>398</v>
      </c>
      <c r="H262" s="142">
        <v>443</v>
      </c>
      <c r="I262" s="146" t="s">
        <v>1423</v>
      </c>
      <c r="J262" s="144" t="s">
        <v>1218</v>
      </c>
      <c r="K262" s="147"/>
      <c r="L262" s="144" t="s">
        <v>10</v>
      </c>
      <c r="M262" s="144" t="s">
        <v>288</v>
      </c>
      <c r="N262" s="144" t="s">
        <v>840</v>
      </c>
    </row>
    <row r="263" spans="1:14" ht="30">
      <c r="A263" s="138">
        <v>263</v>
      </c>
      <c r="B263" s="142">
        <v>4</v>
      </c>
      <c r="C263" s="142">
        <v>6</v>
      </c>
      <c r="D263" s="142">
        <v>242</v>
      </c>
      <c r="E263" s="149" t="s">
        <v>1580</v>
      </c>
      <c r="F263" s="142">
        <v>33</v>
      </c>
      <c r="G263" s="142">
        <v>399</v>
      </c>
      <c r="H263" s="142">
        <v>242</v>
      </c>
      <c r="I263" s="146" t="s">
        <v>1423</v>
      </c>
      <c r="J263" s="144" t="s">
        <v>1218</v>
      </c>
      <c r="K263" s="147"/>
      <c r="L263" s="144" t="s">
        <v>10</v>
      </c>
      <c r="M263" s="144" t="s">
        <v>289</v>
      </c>
      <c r="N263" s="144" t="s">
        <v>842</v>
      </c>
    </row>
    <row r="264" spans="1:14" ht="30">
      <c r="A264" s="138">
        <v>264</v>
      </c>
      <c r="B264" s="142">
        <v>4</v>
      </c>
      <c r="C264" s="142">
        <v>6</v>
      </c>
      <c r="D264" s="142">
        <v>243</v>
      </c>
      <c r="E264" s="149" t="s">
        <v>1581</v>
      </c>
      <c r="F264" s="142">
        <v>33</v>
      </c>
      <c r="G264" s="142">
        <v>400</v>
      </c>
      <c r="H264" s="142">
        <v>243</v>
      </c>
      <c r="I264" s="146" t="s">
        <v>1423</v>
      </c>
      <c r="J264" s="144" t="s">
        <v>1218</v>
      </c>
      <c r="K264" s="147"/>
      <c r="L264" s="144" t="s">
        <v>10</v>
      </c>
      <c r="M264" s="144" t="s">
        <v>290</v>
      </c>
      <c r="N264" s="144" t="s">
        <v>843</v>
      </c>
    </row>
    <row r="265" spans="1:14" ht="45">
      <c r="A265" s="138">
        <v>265</v>
      </c>
      <c r="B265" s="142">
        <v>4</v>
      </c>
      <c r="C265" s="142">
        <v>6</v>
      </c>
      <c r="D265" s="142">
        <v>69</v>
      </c>
      <c r="E265" s="149" t="s">
        <v>1582</v>
      </c>
      <c r="F265" s="142">
        <v>33</v>
      </c>
      <c r="G265" s="142">
        <v>401</v>
      </c>
      <c r="H265" s="142">
        <v>444</v>
      </c>
      <c r="I265" s="146" t="s">
        <v>1423</v>
      </c>
      <c r="J265" s="144" t="s">
        <v>1218</v>
      </c>
      <c r="K265" s="147"/>
      <c r="L265" s="144" t="s">
        <v>10</v>
      </c>
      <c r="M265" s="144" t="s">
        <v>105</v>
      </c>
      <c r="N265" s="144" t="s">
        <v>844</v>
      </c>
    </row>
    <row r="266" spans="1:14" ht="45">
      <c r="A266" s="138">
        <v>266</v>
      </c>
      <c r="B266" s="142">
        <v>4</v>
      </c>
      <c r="C266" s="142">
        <v>8</v>
      </c>
      <c r="D266" s="142">
        <v>83</v>
      </c>
      <c r="E266" s="149" t="s">
        <v>1583</v>
      </c>
      <c r="F266" s="142">
        <v>35</v>
      </c>
      <c r="G266" s="142">
        <v>402</v>
      </c>
      <c r="H266" s="142">
        <v>83</v>
      </c>
      <c r="I266" s="146" t="s">
        <v>1423</v>
      </c>
      <c r="J266" s="144" t="s">
        <v>1218</v>
      </c>
      <c r="K266" s="147"/>
      <c r="L266" s="144" t="s">
        <v>12</v>
      </c>
      <c r="M266" s="144" t="s">
        <v>117</v>
      </c>
      <c r="N266" s="144" t="s">
        <v>845</v>
      </c>
    </row>
    <row r="267" spans="1:14" ht="45">
      <c r="A267" s="138">
        <v>267</v>
      </c>
      <c r="B267" s="142">
        <v>4</v>
      </c>
      <c r="C267" s="142">
        <v>8</v>
      </c>
      <c r="D267" s="142">
        <v>244</v>
      </c>
      <c r="E267" s="149" t="s">
        <v>1584</v>
      </c>
      <c r="F267" s="142">
        <v>35</v>
      </c>
      <c r="G267" s="142">
        <v>403</v>
      </c>
      <c r="H267" s="142">
        <v>244</v>
      </c>
      <c r="I267" s="146" t="s">
        <v>1423</v>
      </c>
      <c r="J267" s="144" t="s">
        <v>1218</v>
      </c>
      <c r="K267" s="147"/>
      <c r="L267" s="144" t="s">
        <v>12</v>
      </c>
      <c r="M267" s="144" t="s">
        <v>291</v>
      </c>
      <c r="N267" s="144" t="s">
        <v>846</v>
      </c>
    </row>
    <row r="268" spans="1:14" ht="30">
      <c r="A268" s="138">
        <v>268</v>
      </c>
      <c r="B268" s="142">
        <v>4</v>
      </c>
      <c r="C268" s="142">
        <v>8</v>
      </c>
      <c r="D268" s="142">
        <v>245</v>
      </c>
      <c r="E268" s="149" t="s">
        <v>1585</v>
      </c>
      <c r="F268" s="142">
        <v>35</v>
      </c>
      <c r="G268" s="142">
        <v>404</v>
      </c>
      <c r="H268" s="142">
        <v>245</v>
      </c>
      <c r="I268" s="146" t="s">
        <v>1423</v>
      </c>
      <c r="J268" s="144" t="s">
        <v>1218</v>
      </c>
      <c r="K268" s="147"/>
      <c r="L268" s="144" t="s">
        <v>12</v>
      </c>
      <c r="M268" s="144" t="s">
        <v>292</v>
      </c>
      <c r="N268" s="144" t="s">
        <v>847</v>
      </c>
    </row>
    <row r="269" spans="1:14" ht="60">
      <c r="A269" s="138">
        <v>269</v>
      </c>
      <c r="B269" s="142">
        <v>4</v>
      </c>
      <c r="C269" s="142">
        <v>8</v>
      </c>
      <c r="D269" s="142">
        <v>246</v>
      </c>
      <c r="E269" s="149" t="s">
        <v>1586</v>
      </c>
      <c r="F269" s="142">
        <v>35</v>
      </c>
      <c r="G269" s="142">
        <v>405</v>
      </c>
      <c r="H269" s="142">
        <v>246</v>
      </c>
      <c r="I269" s="146" t="s">
        <v>1423</v>
      </c>
      <c r="J269" s="144" t="s">
        <v>1218</v>
      </c>
      <c r="K269" s="147"/>
      <c r="L269" s="144" t="s">
        <v>12</v>
      </c>
      <c r="M269" s="144" t="s">
        <v>293</v>
      </c>
      <c r="N269" s="144" t="s">
        <v>848</v>
      </c>
    </row>
    <row r="270" spans="1:14" ht="60">
      <c r="A270" s="138">
        <v>270</v>
      </c>
      <c r="B270" s="142">
        <v>4</v>
      </c>
      <c r="C270" s="142">
        <v>8</v>
      </c>
      <c r="D270" s="142">
        <v>247</v>
      </c>
      <c r="E270" s="149" t="s">
        <v>1587</v>
      </c>
      <c r="F270" s="142">
        <v>35</v>
      </c>
      <c r="G270" s="142">
        <v>406</v>
      </c>
      <c r="H270" s="142">
        <v>247</v>
      </c>
      <c r="I270" s="146" t="s">
        <v>1423</v>
      </c>
      <c r="J270" s="144" t="s">
        <v>1218</v>
      </c>
      <c r="K270" s="147"/>
      <c r="L270" s="144" t="s">
        <v>12</v>
      </c>
      <c r="M270" s="144" t="s">
        <v>294</v>
      </c>
      <c r="N270" s="144" t="s">
        <v>849</v>
      </c>
    </row>
    <row r="271" spans="1:14" ht="60">
      <c r="A271" s="138">
        <v>271</v>
      </c>
      <c r="B271" s="142">
        <v>4</v>
      </c>
      <c r="C271" s="142">
        <v>8</v>
      </c>
      <c r="D271" s="142">
        <v>84</v>
      </c>
      <c r="E271" s="149" t="s">
        <v>1588</v>
      </c>
      <c r="F271" s="142">
        <v>35</v>
      </c>
      <c r="G271" s="142">
        <v>407</v>
      </c>
      <c r="H271" s="142">
        <v>84</v>
      </c>
      <c r="I271" s="146" t="s">
        <v>1423</v>
      </c>
      <c r="J271" s="144" t="s">
        <v>1218</v>
      </c>
      <c r="K271" s="147"/>
      <c r="L271" s="144" t="s">
        <v>12</v>
      </c>
      <c r="M271" s="144" t="s">
        <v>118</v>
      </c>
      <c r="N271" s="144" t="s">
        <v>850</v>
      </c>
    </row>
    <row r="272" spans="1:14" ht="60">
      <c r="A272" s="138">
        <v>272</v>
      </c>
      <c r="B272" s="142">
        <v>4</v>
      </c>
      <c r="C272" s="142">
        <v>8</v>
      </c>
      <c r="D272" s="142">
        <v>85</v>
      </c>
      <c r="E272" s="149" t="s">
        <v>1589</v>
      </c>
      <c r="F272" s="142">
        <v>35</v>
      </c>
      <c r="G272" s="142">
        <v>408</v>
      </c>
      <c r="H272" s="142">
        <v>85</v>
      </c>
      <c r="I272" s="146" t="s">
        <v>1423</v>
      </c>
      <c r="J272" s="144" t="s">
        <v>1218</v>
      </c>
      <c r="K272" s="147"/>
      <c r="L272" s="144" t="s">
        <v>12</v>
      </c>
      <c r="M272" s="144" t="s">
        <v>119</v>
      </c>
      <c r="N272" s="144" t="s">
        <v>851</v>
      </c>
    </row>
    <row r="273" spans="1:14" ht="30">
      <c r="A273" s="138">
        <v>273</v>
      </c>
      <c r="B273" s="142">
        <v>5</v>
      </c>
      <c r="C273" s="142">
        <v>19</v>
      </c>
      <c r="D273" s="142">
        <v>248</v>
      </c>
      <c r="E273" s="149" t="s">
        <v>1590</v>
      </c>
      <c r="F273" s="142">
        <v>36</v>
      </c>
      <c r="G273" s="142">
        <v>409</v>
      </c>
      <c r="H273" s="142">
        <v>249</v>
      </c>
      <c r="I273" s="146" t="s">
        <v>1423</v>
      </c>
      <c r="J273" s="144" t="s">
        <v>1376</v>
      </c>
      <c r="K273" s="147"/>
      <c r="L273" s="144" t="s">
        <v>23</v>
      </c>
      <c r="M273" s="144" t="s">
        <v>299</v>
      </c>
      <c r="N273" s="144" t="s">
        <v>852</v>
      </c>
    </row>
    <row r="274" spans="1:14" ht="30">
      <c r="A274" s="138">
        <v>274</v>
      </c>
      <c r="B274" s="142">
        <v>5</v>
      </c>
      <c r="C274" s="142">
        <v>19</v>
      </c>
      <c r="D274" s="142">
        <v>249</v>
      </c>
      <c r="E274" s="149" t="s">
        <v>1591</v>
      </c>
      <c r="F274" s="142">
        <v>36</v>
      </c>
      <c r="G274" s="142">
        <v>410</v>
      </c>
      <c r="H274" s="142">
        <v>250</v>
      </c>
      <c r="I274" s="146" t="s">
        <v>1423</v>
      </c>
      <c r="J274" s="144" t="s">
        <v>1376</v>
      </c>
      <c r="K274" s="147"/>
      <c r="L274" s="144" t="s">
        <v>23</v>
      </c>
      <c r="M274" s="144" t="s">
        <v>300</v>
      </c>
      <c r="N274" s="144" t="s">
        <v>853</v>
      </c>
    </row>
    <row r="275" spans="1:14" ht="30">
      <c r="A275" s="138">
        <v>275</v>
      </c>
      <c r="B275" s="142">
        <v>5</v>
      </c>
      <c r="C275" s="142">
        <v>19</v>
      </c>
      <c r="D275" s="142">
        <v>250</v>
      </c>
      <c r="E275" s="149" t="s">
        <v>1592</v>
      </c>
      <c r="F275" s="142">
        <v>36</v>
      </c>
      <c r="G275" s="142">
        <v>411</v>
      </c>
      <c r="H275" s="142">
        <v>251</v>
      </c>
      <c r="I275" s="146" t="s">
        <v>1423</v>
      </c>
      <c r="J275" s="144" t="s">
        <v>1376</v>
      </c>
      <c r="K275" s="147"/>
      <c r="L275" s="144" t="s">
        <v>23</v>
      </c>
      <c r="M275" s="144" t="s">
        <v>301</v>
      </c>
      <c r="N275" s="144" t="s">
        <v>854</v>
      </c>
    </row>
    <row r="276" spans="1:14" ht="30">
      <c r="A276" s="138">
        <v>276</v>
      </c>
      <c r="B276" s="142">
        <v>5</v>
      </c>
      <c r="C276" s="142">
        <v>19</v>
      </c>
      <c r="D276" s="142">
        <v>251</v>
      </c>
      <c r="E276" s="149" t="s">
        <v>1593</v>
      </c>
      <c r="F276" s="142">
        <v>36</v>
      </c>
      <c r="G276" s="142">
        <v>412</v>
      </c>
      <c r="H276" s="142">
        <v>252</v>
      </c>
      <c r="I276" s="146" t="s">
        <v>1423</v>
      </c>
      <c r="J276" s="144" t="s">
        <v>1376</v>
      </c>
      <c r="K276" s="147"/>
      <c r="L276" s="144" t="s">
        <v>23</v>
      </c>
      <c r="M276" s="144" t="s">
        <v>302</v>
      </c>
      <c r="N276" s="144" t="s">
        <v>855</v>
      </c>
    </row>
    <row r="277" spans="1:14" ht="30">
      <c r="A277" s="138">
        <v>277</v>
      </c>
      <c r="B277" s="142">
        <v>5</v>
      </c>
      <c r="C277" s="142">
        <v>19</v>
      </c>
      <c r="D277" s="142">
        <v>252</v>
      </c>
      <c r="E277" s="149" t="s">
        <v>1594</v>
      </c>
      <c r="F277" s="142">
        <v>36</v>
      </c>
      <c r="G277" s="142">
        <v>413</v>
      </c>
      <c r="H277" s="142">
        <v>253</v>
      </c>
      <c r="I277" s="146" t="s">
        <v>1423</v>
      </c>
      <c r="J277" s="144" t="s">
        <v>1376</v>
      </c>
      <c r="K277" s="147"/>
      <c r="L277" s="144" t="s">
        <v>23</v>
      </c>
      <c r="M277" s="144" t="s">
        <v>303</v>
      </c>
      <c r="N277" s="144" t="s">
        <v>856</v>
      </c>
    </row>
    <row r="278" spans="1:14" ht="30">
      <c r="A278" s="138">
        <v>278</v>
      </c>
      <c r="B278" s="142">
        <v>5</v>
      </c>
      <c r="C278" s="142">
        <v>19</v>
      </c>
      <c r="D278" s="142">
        <v>253</v>
      </c>
      <c r="E278" s="149" t="s">
        <v>1595</v>
      </c>
      <c r="F278" s="142">
        <v>36</v>
      </c>
      <c r="G278" s="142">
        <v>414</v>
      </c>
      <c r="H278" s="142">
        <v>254</v>
      </c>
      <c r="I278" s="146" t="s">
        <v>1423</v>
      </c>
      <c r="J278" s="144" t="s">
        <v>1376</v>
      </c>
      <c r="K278" s="147"/>
      <c r="L278" s="144" t="s">
        <v>23</v>
      </c>
      <c r="M278" s="144" t="s">
        <v>304</v>
      </c>
      <c r="N278" s="144" t="s">
        <v>857</v>
      </c>
    </row>
    <row r="279" spans="1:14" ht="30">
      <c r="A279" s="138">
        <v>279</v>
      </c>
      <c r="B279" s="142">
        <v>5</v>
      </c>
      <c r="C279" s="142">
        <v>19</v>
      </c>
      <c r="D279" s="142">
        <v>114</v>
      </c>
      <c r="E279" s="149" t="s">
        <v>1596</v>
      </c>
      <c r="F279" s="142">
        <v>36</v>
      </c>
      <c r="G279" s="142">
        <v>415</v>
      </c>
      <c r="H279" s="142">
        <v>452</v>
      </c>
      <c r="I279" s="146" t="s">
        <v>1423</v>
      </c>
      <c r="J279" s="144" t="s">
        <v>1376</v>
      </c>
      <c r="K279" s="147"/>
      <c r="L279" s="144" t="s">
        <v>23</v>
      </c>
      <c r="M279" s="144" t="s">
        <v>149</v>
      </c>
      <c r="N279" s="144" t="s">
        <v>858</v>
      </c>
    </row>
    <row r="280" spans="1:14" ht="30">
      <c r="A280" s="138">
        <v>280</v>
      </c>
      <c r="B280" s="142">
        <v>5</v>
      </c>
      <c r="C280" s="142">
        <v>19</v>
      </c>
      <c r="D280" s="142">
        <v>254</v>
      </c>
      <c r="E280" s="149" t="s">
        <v>1597</v>
      </c>
      <c r="F280" s="142">
        <v>36</v>
      </c>
      <c r="G280" s="142">
        <v>416</v>
      </c>
      <c r="H280" s="142">
        <v>255</v>
      </c>
      <c r="I280" s="146" t="s">
        <v>1423</v>
      </c>
      <c r="J280" s="144" t="s">
        <v>1376</v>
      </c>
      <c r="K280" s="147"/>
      <c r="L280" s="144" t="s">
        <v>23</v>
      </c>
      <c r="M280" s="144" t="s">
        <v>305</v>
      </c>
      <c r="N280" s="144" t="s">
        <v>859</v>
      </c>
    </row>
    <row r="281" spans="1:14" ht="45">
      <c r="A281" s="138">
        <v>281</v>
      </c>
      <c r="B281" s="142">
        <v>5</v>
      </c>
      <c r="C281" s="142">
        <v>20</v>
      </c>
      <c r="D281" s="142">
        <v>255</v>
      </c>
      <c r="E281" s="149" t="s">
        <v>1598</v>
      </c>
      <c r="F281" s="142">
        <v>37</v>
      </c>
      <c r="G281" s="142">
        <v>417</v>
      </c>
      <c r="H281" s="142">
        <v>256</v>
      </c>
      <c r="I281" s="146" t="s">
        <v>1423</v>
      </c>
      <c r="J281" s="144" t="s">
        <v>1376</v>
      </c>
      <c r="K281" s="147"/>
      <c r="L281" s="144" t="s">
        <v>24</v>
      </c>
      <c r="M281" s="144" t="s">
        <v>306</v>
      </c>
      <c r="N281" s="144" t="s">
        <v>860</v>
      </c>
    </row>
    <row r="282" spans="1:14" ht="30">
      <c r="A282" s="138">
        <v>282</v>
      </c>
      <c r="B282" s="142">
        <v>5</v>
      </c>
      <c r="C282" s="142">
        <v>20</v>
      </c>
      <c r="D282" s="142">
        <v>256</v>
      </c>
      <c r="E282" s="149" t="s">
        <v>1599</v>
      </c>
      <c r="F282" s="142">
        <v>37</v>
      </c>
      <c r="G282" s="142">
        <v>418</v>
      </c>
      <c r="H282" s="142">
        <v>257</v>
      </c>
      <c r="I282" s="146" t="s">
        <v>1423</v>
      </c>
      <c r="J282" s="144" t="s">
        <v>1376</v>
      </c>
      <c r="K282" s="147"/>
      <c r="L282" s="144" t="s">
        <v>24</v>
      </c>
      <c r="M282" s="144" t="s">
        <v>307</v>
      </c>
      <c r="N282" s="144" t="s">
        <v>298</v>
      </c>
    </row>
    <row r="283" spans="1:14" ht="45">
      <c r="A283" s="138">
        <v>283</v>
      </c>
      <c r="B283" s="142">
        <v>5</v>
      </c>
      <c r="C283" s="142">
        <v>20</v>
      </c>
      <c r="D283" s="142">
        <v>257</v>
      </c>
      <c r="E283" s="149" t="s">
        <v>1600</v>
      </c>
      <c r="F283" s="142">
        <v>37</v>
      </c>
      <c r="G283" s="142">
        <v>419</v>
      </c>
      <c r="H283" s="142">
        <v>258</v>
      </c>
      <c r="I283" s="146" t="s">
        <v>1423</v>
      </c>
      <c r="J283" s="144" t="s">
        <v>1376</v>
      </c>
      <c r="K283" s="147"/>
      <c r="L283" s="144" t="s">
        <v>24</v>
      </c>
      <c r="M283" s="144" t="s">
        <v>308</v>
      </c>
      <c r="N283" s="144" t="s">
        <v>861</v>
      </c>
    </row>
    <row r="284" spans="1:14" ht="45">
      <c r="A284" s="138">
        <v>284</v>
      </c>
      <c r="B284" s="142">
        <v>5</v>
      </c>
      <c r="C284" s="142">
        <v>20</v>
      </c>
      <c r="D284" s="142">
        <v>258</v>
      </c>
      <c r="E284" s="149" t="s">
        <v>1601</v>
      </c>
      <c r="F284" s="142">
        <v>37</v>
      </c>
      <c r="G284" s="142">
        <v>420</v>
      </c>
      <c r="H284" s="142">
        <v>259</v>
      </c>
      <c r="I284" s="146" t="s">
        <v>1423</v>
      </c>
      <c r="J284" s="144" t="s">
        <v>1376</v>
      </c>
      <c r="K284" s="147"/>
      <c r="L284" s="144" t="s">
        <v>24</v>
      </c>
      <c r="M284" s="144" t="s">
        <v>309</v>
      </c>
      <c r="N284" s="144" t="s">
        <v>862</v>
      </c>
    </row>
    <row r="285" spans="1:14" ht="60">
      <c r="A285" s="138">
        <v>285</v>
      </c>
      <c r="B285" s="142">
        <v>5</v>
      </c>
      <c r="C285" s="142">
        <v>20</v>
      </c>
      <c r="D285" s="142">
        <v>259</v>
      </c>
      <c r="E285" s="149" t="s">
        <v>1602</v>
      </c>
      <c r="F285" s="142">
        <v>37</v>
      </c>
      <c r="G285" s="142">
        <v>421</v>
      </c>
      <c r="H285" s="142">
        <v>260</v>
      </c>
      <c r="I285" s="146" t="s">
        <v>1423</v>
      </c>
      <c r="J285" s="144" t="s">
        <v>1376</v>
      </c>
      <c r="K285" s="147"/>
      <c r="L285" s="144" t="s">
        <v>24</v>
      </c>
      <c r="M285" s="144" t="s">
        <v>310</v>
      </c>
      <c r="N285" s="144" t="s">
        <v>863</v>
      </c>
    </row>
    <row r="286" spans="1:14" ht="30">
      <c r="A286" s="138">
        <v>286</v>
      </c>
      <c r="B286" s="142">
        <v>5</v>
      </c>
      <c r="C286" s="142">
        <v>20</v>
      </c>
      <c r="D286" s="142">
        <v>260</v>
      </c>
      <c r="E286" s="149" t="s">
        <v>1603</v>
      </c>
      <c r="F286" s="142">
        <v>37</v>
      </c>
      <c r="G286" s="142">
        <v>422</v>
      </c>
      <c r="H286" s="142">
        <v>261</v>
      </c>
      <c r="I286" s="146" t="s">
        <v>1423</v>
      </c>
      <c r="J286" s="144" t="s">
        <v>1376</v>
      </c>
      <c r="K286" s="147"/>
      <c r="L286" s="144" t="s">
        <v>24</v>
      </c>
      <c r="M286" s="144" t="s">
        <v>311</v>
      </c>
      <c r="N286" s="144" t="s">
        <v>864</v>
      </c>
    </row>
    <row r="287" spans="1:14" ht="60">
      <c r="A287" s="138">
        <v>287</v>
      </c>
      <c r="B287" s="142">
        <v>5</v>
      </c>
      <c r="C287" s="142">
        <v>20</v>
      </c>
      <c r="D287" s="142">
        <v>261</v>
      </c>
      <c r="E287" s="149" t="s">
        <v>1604</v>
      </c>
      <c r="F287" s="142">
        <v>37</v>
      </c>
      <c r="G287" s="142">
        <v>423</v>
      </c>
      <c r="H287" s="142">
        <v>262</v>
      </c>
      <c r="I287" s="146" t="s">
        <v>1423</v>
      </c>
      <c r="J287" s="144" t="s">
        <v>1376</v>
      </c>
      <c r="K287" s="147"/>
      <c r="L287" s="144" t="s">
        <v>24</v>
      </c>
      <c r="M287" s="144" t="s">
        <v>515</v>
      </c>
      <c r="N287" s="144" t="s">
        <v>865</v>
      </c>
    </row>
    <row r="288" spans="1:14" ht="30">
      <c r="A288" s="138">
        <v>288</v>
      </c>
      <c r="B288" s="142">
        <v>5</v>
      </c>
      <c r="C288" s="142">
        <v>20</v>
      </c>
      <c r="D288" s="142">
        <v>262</v>
      </c>
      <c r="E288" s="149" t="s">
        <v>1605</v>
      </c>
      <c r="F288" s="142">
        <v>37</v>
      </c>
      <c r="G288" s="142">
        <v>424</v>
      </c>
      <c r="H288" s="142">
        <v>263</v>
      </c>
      <c r="I288" s="146" t="s">
        <v>1423</v>
      </c>
      <c r="J288" s="144" t="s">
        <v>1376</v>
      </c>
      <c r="K288" s="147"/>
      <c r="L288" s="144" t="s">
        <v>24</v>
      </c>
      <c r="M288" s="144" t="s">
        <v>313</v>
      </c>
      <c r="N288" s="144" t="s">
        <v>866</v>
      </c>
    </row>
    <row r="289" spans="1:14" ht="30">
      <c r="A289" s="138">
        <v>289</v>
      </c>
      <c r="B289" s="142">
        <v>5</v>
      </c>
      <c r="C289" s="142">
        <v>20</v>
      </c>
      <c r="D289" s="142">
        <v>263</v>
      </c>
      <c r="E289" s="149" t="s">
        <v>1606</v>
      </c>
      <c r="F289" s="142">
        <v>37</v>
      </c>
      <c r="G289" s="142">
        <v>425</v>
      </c>
      <c r="H289" s="142">
        <v>264</v>
      </c>
      <c r="I289" s="146" t="s">
        <v>1423</v>
      </c>
      <c r="J289" s="144" t="s">
        <v>1376</v>
      </c>
      <c r="K289" s="147"/>
      <c r="L289" s="144" t="s">
        <v>24</v>
      </c>
      <c r="M289" s="144" t="s">
        <v>314</v>
      </c>
      <c r="N289" s="144" t="s">
        <v>867</v>
      </c>
    </row>
    <row r="290" spans="1:14" ht="30">
      <c r="A290" s="138">
        <v>290</v>
      </c>
      <c r="B290" s="142">
        <v>5</v>
      </c>
      <c r="C290" s="142">
        <v>20</v>
      </c>
      <c r="D290" s="142">
        <v>264</v>
      </c>
      <c r="E290" s="149" t="s">
        <v>1607</v>
      </c>
      <c r="F290" s="142">
        <v>37</v>
      </c>
      <c r="G290" s="142">
        <v>426</v>
      </c>
      <c r="H290" s="142">
        <v>265</v>
      </c>
      <c r="I290" s="146" t="s">
        <v>1423</v>
      </c>
      <c r="J290" s="144" t="s">
        <v>1376</v>
      </c>
      <c r="K290" s="147"/>
      <c r="L290" s="144" t="s">
        <v>24</v>
      </c>
      <c r="M290" s="144" t="s">
        <v>315</v>
      </c>
      <c r="N290" s="144" t="s">
        <v>868</v>
      </c>
    </row>
    <row r="291" spans="1:14" ht="45">
      <c r="A291" s="138">
        <v>291</v>
      </c>
      <c r="B291" s="142">
        <v>5</v>
      </c>
      <c r="C291" s="142">
        <v>20</v>
      </c>
      <c r="D291" s="142">
        <v>265</v>
      </c>
      <c r="E291" s="149" t="s">
        <v>1608</v>
      </c>
      <c r="F291" s="142">
        <v>37</v>
      </c>
      <c r="G291" s="142">
        <v>427</v>
      </c>
      <c r="H291" s="142">
        <v>266</v>
      </c>
      <c r="I291" s="146" t="s">
        <v>1423</v>
      </c>
      <c r="J291" s="144" t="s">
        <v>1376</v>
      </c>
      <c r="K291" s="147"/>
      <c r="L291" s="144" t="s">
        <v>24</v>
      </c>
      <c r="M291" s="144" t="s">
        <v>316</v>
      </c>
      <c r="N291" s="144" t="s">
        <v>869</v>
      </c>
    </row>
    <row r="292" spans="1:14" ht="45">
      <c r="A292" s="138">
        <v>292</v>
      </c>
      <c r="B292" s="142">
        <v>5</v>
      </c>
      <c r="C292" s="142">
        <v>20</v>
      </c>
      <c r="D292" s="142">
        <v>101</v>
      </c>
      <c r="E292" s="149" t="s">
        <v>1609</v>
      </c>
      <c r="F292" s="142">
        <v>37</v>
      </c>
      <c r="G292" s="142">
        <v>428</v>
      </c>
      <c r="H292" s="142">
        <v>449</v>
      </c>
      <c r="I292" s="146" t="s">
        <v>1423</v>
      </c>
      <c r="J292" s="144" t="s">
        <v>1376</v>
      </c>
      <c r="K292" s="147"/>
      <c r="L292" s="144" t="s">
        <v>24</v>
      </c>
      <c r="M292" s="144" t="s">
        <v>135</v>
      </c>
      <c r="N292" s="144" t="s">
        <v>870</v>
      </c>
    </row>
    <row r="293" spans="1:14" ht="30">
      <c r="A293" s="138">
        <v>293</v>
      </c>
      <c r="B293" s="142">
        <v>5</v>
      </c>
      <c r="C293" s="142">
        <v>20</v>
      </c>
      <c r="D293" s="142">
        <v>266</v>
      </c>
      <c r="E293" s="149" t="s">
        <v>1610</v>
      </c>
      <c r="F293" s="142">
        <v>37</v>
      </c>
      <c r="G293" s="142">
        <v>429</v>
      </c>
      <c r="H293" s="142">
        <v>267</v>
      </c>
      <c r="I293" s="146" t="s">
        <v>1423</v>
      </c>
      <c r="J293" s="144" t="s">
        <v>1376</v>
      </c>
      <c r="K293" s="147"/>
      <c r="L293" s="144" t="s">
        <v>24</v>
      </c>
      <c r="M293" s="144" t="s">
        <v>317</v>
      </c>
      <c r="N293" s="144" t="s">
        <v>871</v>
      </c>
    </row>
    <row r="294" spans="1:14" ht="60">
      <c r="A294" s="138">
        <v>294</v>
      </c>
      <c r="B294" s="142">
        <v>5</v>
      </c>
      <c r="C294" s="142">
        <v>20</v>
      </c>
      <c r="D294" s="142">
        <v>142</v>
      </c>
      <c r="E294" s="149" t="s">
        <v>1611</v>
      </c>
      <c r="F294" s="142">
        <v>37</v>
      </c>
      <c r="G294" s="142">
        <v>430</v>
      </c>
      <c r="H294" s="142">
        <v>457</v>
      </c>
      <c r="I294" s="146" t="s">
        <v>1423</v>
      </c>
      <c r="J294" s="144" t="s">
        <v>1376</v>
      </c>
      <c r="K294" s="147"/>
      <c r="L294" s="144" t="s">
        <v>24</v>
      </c>
      <c r="M294" s="144" t="s">
        <v>177</v>
      </c>
      <c r="N294" s="144" t="s">
        <v>872</v>
      </c>
    </row>
    <row r="295" spans="1:14" ht="60">
      <c r="A295" s="138">
        <v>295</v>
      </c>
      <c r="B295" s="142">
        <v>5</v>
      </c>
      <c r="C295" s="142">
        <v>20</v>
      </c>
      <c r="D295" s="142">
        <v>267</v>
      </c>
      <c r="E295" s="149" t="s">
        <v>1612</v>
      </c>
      <c r="F295" s="142">
        <v>37</v>
      </c>
      <c r="G295" s="142">
        <v>431</v>
      </c>
      <c r="H295" s="142">
        <v>268</v>
      </c>
      <c r="I295" s="146" t="s">
        <v>1423</v>
      </c>
      <c r="J295" s="144" t="s">
        <v>1376</v>
      </c>
      <c r="K295" s="147"/>
      <c r="L295" s="144" t="s">
        <v>24</v>
      </c>
      <c r="M295" s="144" t="s">
        <v>318</v>
      </c>
      <c r="N295" s="144" t="s">
        <v>873</v>
      </c>
    </row>
    <row r="296" spans="1:14" ht="30">
      <c r="A296" s="138">
        <v>296</v>
      </c>
      <c r="B296" s="142">
        <v>5</v>
      </c>
      <c r="C296" s="142">
        <v>20</v>
      </c>
      <c r="D296" s="142">
        <v>268</v>
      </c>
      <c r="E296" s="149" t="s">
        <v>1613</v>
      </c>
      <c r="F296" s="142">
        <v>37</v>
      </c>
      <c r="G296" s="142">
        <v>432</v>
      </c>
      <c r="H296" s="142">
        <v>269</v>
      </c>
      <c r="I296" s="146" t="s">
        <v>1423</v>
      </c>
      <c r="J296" s="144" t="s">
        <v>1376</v>
      </c>
      <c r="K296" s="147"/>
      <c r="L296" s="144" t="s">
        <v>24</v>
      </c>
      <c r="M296" s="144" t="s">
        <v>319</v>
      </c>
      <c r="N296" s="144" t="s">
        <v>874</v>
      </c>
    </row>
    <row r="297" spans="1:14" ht="30">
      <c r="A297" s="138">
        <v>297</v>
      </c>
      <c r="B297" s="142">
        <v>5</v>
      </c>
      <c r="C297" s="142">
        <v>20</v>
      </c>
      <c r="D297" s="142">
        <v>269</v>
      </c>
      <c r="E297" s="149" t="s">
        <v>1614</v>
      </c>
      <c r="F297" s="142">
        <v>37</v>
      </c>
      <c r="G297" s="142">
        <v>433</v>
      </c>
      <c r="H297" s="142">
        <v>270</v>
      </c>
      <c r="I297" s="146" t="s">
        <v>1423</v>
      </c>
      <c r="J297" s="144" t="s">
        <v>1376</v>
      </c>
      <c r="K297" s="147"/>
      <c r="L297" s="144" t="s">
        <v>24</v>
      </c>
      <c r="M297" s="144" t="s">
        <v>320</v>
      </c>
      <c r="N297" s="144" t="s">
        <v>875</v>
      </c>
    </row>
    <row r="298" spans="1:14" ht="60">
      <c r="A298" s="138">
        <v>298</v>
      </c>
      <c r="B298" s="142">
        <v>5</v>
      </c>
      <c r="C298" s="142">
        <v>20</v>
      </c>
      <c r="D298" s="142">
        <v>270</v>
      </c>
      <c r="E298" s="149" t="s">
        <v>1615</v>
      </c>
      <c r="F298" s="142">
        <v>37</v>
      </c>
      <c r="G298" s="142">
        <v>434</v>
      </c>
      <c r="H298" s="142">
        <v>271</v>
      </c>
      <c r="I298" s="146" t="s">
        <v>1423</v>
      </c>
      <c r="J298" s="144" t="s">
        <v>1376</v>
      </c>
      <c r="K298" s="147"/>
      <c r="L298" s="144" t="s">
        <v>24</v>
      </c>
      <c r="M298" s="144" t="s">
        <v>321</v>
      </c>
      <c r="N298" s="144" t="s">
        <v>876</v>
      </c>
    </row>
    <row r="299" spans="1:14" ht="45">
      <c r="A299" s="138">
        <v>299</v>
      </c>
      <c r="B299" s="142">
        <v>5</v>
      </c>
      <c r="C299" s="142">
        <v>20</v>
      </c>
      <c r="D299" s="142">
        <v>271</v>
      </c>
      <c r="E299" s="149" t="s">
        <v>1616</v>
      </c>
      <c r="F299" s="142">
        <v>37</v>
      </c>
      <c r="G299" s="142">
        <v>435</v>
      </c>
      <c r="H299" s="142">
        <v>272</v>
      </c>
      <c r="I299" s="146" t="s">
        <v>1423</v>
      </c>
      <c r="J299" s="144" t="s">
        <v>1376</v>
      </c>
      <c r="K299" s="147"/>
      <c r="L299" s="144" t="s">
        <v>24</v>
      </c>
      <c r="M299" s="144" t="s">
        <v>322</v>
      </c>
      <c r="N299" s="144" t="s">
        <v>877</v>
      </c>
    </row>
    <row r="300" spans="1:14" ht="30">
      <c r="A300" s="138">
        <v>300</v>
      </c>
      <c r="B300" s="142">
        <v>5</v>
      </c>
      <c r="C300" s="142">
        <v>20</v>
      </c>
      <c r="D300" s="142">
        <v>272</v>
      </c>
      <c r="E300" s="149" t="s">
        <v>1617</v>
      </c>
      <c r="F300" s="142">
        <v>37</v>
      </c>
      <c r="G300" s="142">
        <v>436</v>
      </c>
      <c r="H300" s="142">
        <v>273</v>
      </c>
      <c r="I300" s="146" t="s">
        <v>1423</v>
      </c>
      <c r="J300" s="144" t="s">
        <v>1376</v>
      </c>
      <c r="K300" s="147"/>
      <c r="L300" s="144" t="s">
        <v>24</v>
      </c>
      <c r="M300" s="144" t="s">
        <v>323</v>
      </c>
      <c r="N300" s="144" t="s">
        <v>878</v>
      </c>
    </row>
    <row r="301" spans="1:14" ht="30">
      <c r="A301" s="138">
        <v>301</v>
      </c>
      <c r="B301" s="142">
        <v>5</v>
      </c>
      <c r="C301" s="142">
        <v>20</v>
      </c>
      <c r="D301" s="142">
        <v>273</v>
      </c>
      <c r="E301" s="149" t="s">
        <v>1618</v>
      </c>
      <c r="F301" s="142">
        <v>37</v>
      </c>
      <c r="G301" s="142">
        <v>437</v>
      </c>
      <c r="H301" s="142">
        <v>274</v>
      </c>
      <c r="I301" s="146" t="s">
        <v>1423</v>
      </c>
      <c r="J301" s="144" t="s">
        <v>1376</v>
      </c>
      <c r="K301" s="147"/>
      <c r="L301" s="144" t="s">
        <v>24</v>
      </c>
      <c r="M301" s="144" t="s">
        <v>324</v>
      </c>
      <c r="N301" s="144" t="s">
        <v>879</v>
      </c>
    </row>
    <row r="302" spans="1:14" ht="60">
      <c r="A302" s="138">
        <v>302</v>
      </c>
      <c r="B302" s="142">
        <v>5</v>
      </c>
      <c r="C302" s="142">
        <v>20</v>
      </c>
      <c r="D302" s="142">
        <v>274</v>
      </c>
      <c r="E302" s="149" t="s">
        <v>1619</v>
      </c>
      <c r="F302" s="142">
        <v>37</v>
      </c>
      <c r="G302" s="142">
        <v>438</v>
      </c>
      <c r="H302" s="142">
        <v>275</v>
      </c>
      <c r="I302" s="146" t="s">
        <v>1423</v>
      </c>
      <c r="J302" s="144" t="s">
        <v>1376</v>
      </c>
      <c r="K302" s="147"/>
      <c r="L302" s="144" t="s">
        <v>24</v>
      </c>
      <c r="M302" s="144" t="s">
        <v>325</v>
      </c>
      <c r="N302" s="144" t="s">
        <v>880</v>
      </c>
    </row>
    <row r="303" spans="1:14" ht="60">
      <c r="A303" s="138">
        <v>303</v>
      </c>
      <c r="B303" s="142">
        <v>5</v>
      </c>
      <c r="C303" s="142">
        <v>20</v>
      </c>
      <c r="D303" s="142">
        <v>275</v>
      </c>
      <c r="E303" s="149" t="s">
        <v>1620</v>
      </c>
      <c r="F303" s="142">
        <v>37</v>
      </c>
      <c r="G303" s="142">
        <v>439</v>
      </c>
      <c r="H303" s="142">
        <v>276</v>
      </c>
      <c r="I303" s="146" t="s">
        <v>1423</v>
      </c>
      <c r="J303" s="144" t="s">
        <v>1376</v>
      </c>
      <c r="K303" s="147"/>
      <c r="L303" s="144" t="s">
        <v>24</v>
      </c>
      <c r="M303" s="144" t="s">
        <v>326</v>
      </c>
      <c r="N303" s="144" t="s">
        <v>1184</v>
      </c>
    </row>
    <row r="304" spans="1:14" ht="45">
      <c r="A304" s="138">
        <v>304</v>
      </c>
      <c r="B304" s="142">
        <v>5</v>
      </c>
      <c r="C304" s="142">
        <v>20</v>
      </c>
      <c r="D304" s="142">
        <v>276</v>
      </c>
      <c r="E304" s="149" t="s">
        <v>1621</v>
      </c>
      <c r="F304" s="142">
        <v>37</v>
      </c>
      <c r="G304" s="142">
        <v>440</v>
      </c>
      <c r="H304" s="142">
        <v>277</v>
      </c>
      <c r="I304" s="146" t="s">
        <v>1423</v>
      </c>
      <c r="J304" s="144" t="s">
        <v>1376</v>
      </c>
      <c r="K304" s="147"/>
      <c r="L304" s="144" t="s">
        <v>24</v>
      </c>
      <c r="M304" s="144" t="s">
        <v>327</v>
      </c>
      <c r="N304" s="144" t="s">
        <v>881</v>
      </c>
    </row>
    <row r="305" spans="1:14" ht="45">
      <c r="A305" s="138">
        <v>305</v>
      </c>
      <c r="B305" s="142">
        <v>5</v>
      </c>
      <c r="C305" s="142">
        <v>20</v>
      </c>
      <c r="D305" s="142">
        <v>277</v>
      </c>
      <c r="E305" s="149" t="s">
        <v>1622</v>
      </c>
      <c r="F305" s="142">
        <v>37</v>
      </c>
      <c r="G305" s="142">
        <v>441</v>
      </c>
      <c r="H305" s="142">
        <v>278</v>
      </c>
      <c r="I305" s="146" t="s">
        <v>1423</v>
      </c>
      <c r="J305" s="144" t="s">
        <v>1376</v>
      </c>
      <c r="K305" s="147"/>
      <c r="L305" s="144" t="s">
        <v>24</v>
      </c>
      <c r="M305" s="144" t="s">
        <v>328</v>
      </c>
      <c r="N305" s="144" t="s">
        <v>882</v>
      </c>
    </row>
    <row r="306" spans="1:14" ht="30">
      <c r="A306" s="138">
        <v>306</v>
      </c>
      <c r="B306" s="142">
        <v>5</v>
      </c>
      <c r="C306" s="142">
        <v>20</v>
      </c>
      <c r="D306" s="142">
        <v>278</v>
      </c>
      <c r="E306" s="149" t="s">
        <v>1623</v>
      </c>
      <c r="F306" s="142">
        <v>37</v>
      </c>
      <c r="G306" s="142">
        <v>442</v>
      </c>
      <c r="H306" s="142">
        <v>279</v>
      </c>
      <c r="I306" s="146" t="s">
        <v>1423</v>
      </c>
      <c r="J306" s="144" t="s">
        <v>1376</v>
      </c>
      <c r="K306" s="147"/>
      <c r="L306" s="144" t="s">
        <v>24</v>
      </c>
      <c r="M306" s="144" t="s">
        <v>329</v>
      </c>
      <c r="N306" s="144" t="s">
        <v>883</v>
      </c>
    </row>
    <row r="307" spans="1:14" ht="30">
      <c r="A307" s="138">
        <v>307</v>
      </c>
      <c r="B307" s="142">
        <v>5</v>
      </c>
      <c r="C307" s="142">
        <v>20</v>
      </c>
      <c r="D307" s="142">
        <v>279</v>
      </c>
      <c r="E307" s="149" t="s">
        <v>1624</v>
      </c>
      <c r="F307" s="142">
        <v>37</v>
      </c>
      <c r="G307" s="142">
        <v>443</v>
      </c>
      <c r="H307" s="142">
        <v>280</v>
      </c>
      <c r="I307" s="146" t="s">
        <v>1423</v>
      </c>
      <c r="J307" s="144" t="s">
        <v>1376</v>
      </c>
      <c r="K307" s="147"/>
      <c r="L307" s="144" t="s">
        <v>24</v>
      </c>
      <c r="M307" s="144" t="s">
        <v>330</v>
      </c>
      <c r="N307" s="144" t="s">
        <v>884</v>
      </c>
    </row>
    <row r="308" spans="1:14" ht="30">
      <c r="A308" s="138">
        <v>308</v>
      </c>
      <c r="B308" s="142">
        <v>5</v>
      </c>
      <c r="C308" s="142">
        <v>21</v>
      </c>
      <c r="D308" s="142">
        <v>280</v>
      </c>
      <c r="E308" s="149" t="s">
        <v>1625</v>
      </c>
      <c r="F308" s="142">
        <v>38</v>
      </c>
      <c r="G308" s="142">
        <v>444</v>
      </c>
      <c r="H308" s="142">
        <v>281</v>
      </c>
      <c r="I308" s="146" t="s">
        <v>1423</v>
      </c>
      <c r="J308" s="144" t="s">
        <v>1376</v>
      </c>
      <c r="K308" s="147"/>
      <c r="L308" s="144" t="s">
        <v>25</v>
      </c>
      <c r="M308" s="144" t="s">
        <v>332</v>
      </c>
      <c r="N308" s="144" t="s">
        <v>886</v>
      </c>
    </row>
    <row r="309" spans="1:14" ht="30">
      <c r="A309" s="138">
        <v>309</v>
      </c>
      <c r="B309" s="142">
        <v>5</v>
      </c>
      <c r="C309" s="142">
        <v>21</v>
      </c>
      <c r="D309" s="142">
        <v>281</v>
      </c>
      <c r="E309" s="149" t="s">
        <v>1626</v>
      </c>
      <c r="F309" s="142">
        <v>38</v>
      </c>
      <c r="G309" s="142">
        <v>445</v>
      </c>
      <c r="H309" s="142">
        <v>282</v>
      </c>
      <c r="I309" s="146" t="s">
        <v>1423</v>
      </c>
      <c r="J309" s="144" t="s">
        <v>1376</v>
      </c>
      <c r="K309" s="147"/>
      <c r="L309" s="144" t="s">
        <v>25</v>
      </c>
      <c r="M309" s="144" t="s">
        <v>333</v>
      </c>
      <c r="N309" s="144" t="s">
        <v>887</v>
      </c>
    </row>
    <row r="310" spans="1:14" ht="60">
      <c r="A310" s="138">
        <v>310</v>
      </c>
      <c r="B310" s="142">
        <v>5</v>
      </c>
      <c r="C310" s="142">
        <v>21</v>
      </c>
      <c r="D310" s="142">
        <v>109</v>
      </c>
      <c r="E310" s="149" t="s">
        <v>1627</v>
      </c>
      <c r="F310" s="142">
        <v>38</v>
      </c>
      <c r="G310" s="142">
        <v>446</v>
      </c>
      <c r="H310" s="142">
        <v>109</v>
      </c>
      <c r="I310" s="146" t="s">
        <v>1423</v>
      </c>
      <c r="J310" s="144" t="s">
        <v>1376</v>
      </c>
      <c r="K310" s="147"/>
      <c r="L310" s="144" t="s">
        <v>25</v>
      </c>
      <c r="M310" s="144" t="s">
        <v>143</v>
      </c>
      <c r="N310" s="144" t="s">
        <v>1355</v>
      </c>
    </row>
    <row r="311" spans="1:14" ht="30">
      <c r="A311" s="138">
        <v>311</v>
      </c>
      <c r="B311" s="142">
        <v>5</v>
      </c>
      <c r="C311" s="142">
        <v>21</v>
      </c>
      <c r="D311" s="142">
        <v>282</v>
      </c>
      <c r="E311" s="149" t="s">
        <v>1628</v>
      </c>
      <c r="F311" s="142">
        <v>38</v>
      </c>
      <c r="G311" s="142">
        <v>447</v>
      </c>
      <c r="H311" s="142">
        <v>283</v>
      </c>
      <c r="I311" s="146" t="s">
        <v>1423</v>
      </c>
      <c r="J311" s="144" t="s">
        <v>1376</v>
      </c>
      <c r="K311" s="147"/>
      <c r="L311" s="144" t="s">
        <v>25</v>
      </c>
      <c r="M311" s="144" t="s">
        <v>334</v>
      </c>
      <c r="N311" s="144" t="s">
        <v>889</v>
      </c>
    </row>
    <row r="312" spans="1:14" ht="30">
      <c r="A312" s="138">
        <v>312</v>
      </c>
      <c r="B312" s="142">
        <v>5</v>
      </c>
      <c r="C312" s="142">
        <v>21</v>
      </c>
      <c r="D312" s="142">
        <v>128</v>
      </c>
      <c r="E312" s="149" t="s">
        <v>1629</v>
      </c>
      <c r="F312" s="142">
        <v>38</v>
      </c>
      <c r="G312" s="142">
        <v>448</v>
      </c>
      <c r="H312" s="142">
        <v>456</v>
      </c>
      <c r="I312" s="146" t="s">
        <v>1423</v>
      </c>
      <c r="J312" s="144" t="s">
        <v>1376</v>
      </c>
      <c r="K312" s="147"/>
      <c r="L312" s="144" t="s">
        <v>25</v>
      </c>
      <c r="M312" s="144" t="s">
        <v>163</v>
      </c>
      <c r="N312" s="144" t="s">
        <v>890</v>
      </c>
    </row>
    <row r="313" spans="1:14" ht="30">
      <c r="A313" s="138">
        <v>313</v>
      </c>
      <c r="B313" s="142">
        <v>5</v>
      </c>
      <c r="C313" s="142">
        <v>21</v>
      </c>
      <c r="D313" s="142">
        <v>149</v>
      </c>
      <c r="E313" s="149" t="s">
        <v>1630</v>
      </c>
      <c r="F313" s="142">
        <v>38</v>
      </c>
      <c r="G313" s="142">
        <v>449</v>
      </c>
      <c r="H313" s="142">
        <v>458</v>
      </c>
      <c r="I313" s="146" t="s">
        <v>1423</v>
      </c>
      <c r="J313" s="144" t="s">
        <v>1376</v>
      </c>
      <c r="K313" s="147"/>
      <c r="L313" s="144" t="s">
        <v>25</v>
      </c>
      <c r="M313" s="144" t="s">
        <v>185</v>
      </c>
      <c r="N313" s="144" t="s">
        <v>891</v>
      </c>
    </row>
    <row r="314" spans="1:14" ht="30">
      <c r="A314" s="138">
        <v>314</v>
      </c>
      <c r="B314" s="142">
        <v>5</v>
      </c>
      <c r="C314" s="142">
        <v>21</v>
      </c>
      <c r="D314" s="142">
        <v>213</v>
      </c>
      <c r="E314" s="149" t="s">
        <v>1631</v>
      </c>
      <c r="F314" s="142">
        <v>38</v>
      </c>
      <c r="G314" s="142">
        <v>450</v>
      </c>
      <c r="H314" s="142">
        <v>459</v>
      </c>
      <c r="I314" s="146" t="s">
        <v>1423</v>
      </c>
      <c r="J314" s="144" t="s">
        <v>1376</v>
      </c>
      <c r="K314" s="147"/>
      <c r="L314" s="144" t="s">
        <v>25</v>
      </c>
      <c r="M314" s="144" t="s">
        <v>256</v>
      </c>
      <c r="N314" s="144" t="s">
        <v>1370</v>
      </c>
    </row>
    <row r="315" spans="1:14" ht="30">
      <c r="A315" s="138">
        <v>315</v>
      </c>
      <c r="B315" s="142">
        <v>5</v>
      </c>
      <c r="C315" s="142">
        <v>21</v>
      </c>
      <c r="D315" s="142">
        <v>283</v>
      </c>
      <c r="E315" s="149" t="s">
        <v>1632</v>
      </c>
      <c r="F315" s="142">
        <v>38</v>
      </c>
      <c r="G315" s="142">
        <v>451</v>
      </c>
      <c r="H315" s="142">
        <v>284</v>
      </c>
      <c r="I315" s="146" t="s">
        <v>1423</v>
      </c>
      <c r="J315" s="144" t="s">
        <v>1376</v>
      </c>
      <c r="K315" s="147"/>
      <c r="L315" s="144" t="s">
        <v>25</v>
      </c>
      <c r="M315" s="144" t="s">
        <v>335</v>
      </c>
      <c r="N315" s="144" t="s">
        <v>893</v>
      </c>
    </row>
    <row r="316" spans="1:14" ht="45">
      <c r="A316" s="138">
        <v>316</v>
      </c>
      <c r="B316" s="142">
        <v>5</v>
      </c>
      <c r="C316" s="142">
        <v>21</v>
      </c>
      <c r="D316" s="142">
        <v>112</v>
      </c>
      <c r="E316" s="149" t="s">
        <v>1633</v>
      </c>
      <c r="F316" s="142">
        <v>38</v>
      </c>
      <c r="G316" s="142">
        <v>452</v>
      </c>
      <c r="H316" s="142">
        <v>112</v>
      </c>
      <c r="I316" s="146" t="s">
        <v>1423</v>
      </c>
      <c r="J316" s="144" t="s">
        <v>1376</v>
      </c>
      <c r="K316" s="147"/>
      <c r="L316" s="144" t="s">
        <v>25</v>
      </c>
      <c r="M316" s="144" t="s">
        <v>147</v>
      </c>
      <c r="N316" s="144" t="s">
        <v>1356</v>
      </c>
    </row>
    <row r="317" spans="1:14" ht="30">
      <c r="A317" s="138">
        <v>317</v>
      </c>
      <c r="B317" s="142">
        <v>5</v>
      </c>
      <c r="C317" s="142">
        <v>21</v>
      </c>
      <c r="D317" s="142">
        <v>284</v>
      </c>
      <c r="E317" s="149" t="s">
        <v>1634</v>
      </c>
      <c r="F317" s="142">
        <v>38</v>
      </c>
      <c r="G317" s="142">
        <v>453</v>
      </c>
      <c r="H317" s="142">
        <v>285</v>
      </c>
      <c r="I317" s="146" t="s">
        <v>1423</v>
      </c>
      <c r="J317" s="144" t="s">
        <v>1376</v>
      </c>
      <c r="K317" s="147"/>
      <c r="L317" s="144" t="s">
        <v>25</v>
      </c>
      <c r="M317" s="144" t="s">
        <v>336</v>
      </c>
      <c r="N317" s="144" t="s">
        <v>895</v>
      </c>
    </row>
    <row r="318" spans="1:14" ht="30">
      <c r="A318" s="138">
        <v>318</v>
      </c>
      <c r="B318" s="142">
        <v>5</v>
      </c>
      <c r="C318" s="142">
        <v>21</v>
      </c>
      <c r="D318" s="142">
        <v>285</v>
      </c>
      <c r="E318" s="149" t="s">
        <v>1635</v>
      </c>
      <c r="F318" s="142">
        <v>38</v>
      </c>
      <c r="G318" s="142">
        <v>454</v>
      </c>
      <c r="H318" s="142">
        <v>286</v>
      </c>
      <c r="I318" s="146" t="s">
        <v>1423</v>
      </c>
      <c r="J318" s="144" t="s">
        <v>1376</v>
      </c>
      <c r="K318" s="147"/>
      <c r="L318" s="144" t="s">
        <v>25</v>
      </c>
      <c r="M318" s="144" t="s">
        <v>337</v>
      </c>
      <c r="N318" s="144" t="s">
        <v>896</v>
      </c>
    </row>
    <row r="319" spans="1:14" ht="60">
      <c r="A319" s="138">
        <v>319</v>
      </c>
      <c r="B319" s="142">
        <v>5</v>
      </c>
      <c r="C319" s="142">
        <v>21</v>
      </c>
      <c r="D319" s="142">
        <v>286</v>
      </c>
      <c r="E319" s="149" t="s">
        <v>1636</v>
      </c>
      <c r="F319" s="142">
        <v>38</v>
      </c>
      <c r="G319" s="142">
        <v>455</v>
      </c>
      <c r="H319" s="142">
        <v>287</v>
      </c>
      <c r="I319" s="146" t="s">
        <v>1423</v>
      </c>
      <c r="J319" s="144" t="s">
        <v>1376</v>
      </c>
      <c r="K319" s="147"/>
      <c r="L319" s="144" t="s">
        <v>25</v>
      </c>
      <c r="M319" s="144" t="s">
        <v>338</v>
      </c>
      <c r="N319" s="144" t="s">
        <v>897</v>
      </c>
    </row>
    <row r="320" spans="1:14" ht="45">
      <c r="A320" s="138">
        <v>320</v>
      </c>
      <c r="B320" s="142">
        <v>5</v>
      </c>
      <c r="C320" s="142">
        <v>21</v>
      </c>
      <c r="D320" s="142">
        <v>287</v>
      </c>
      <c r="E320" s="149" t="s">
        <v>1637</v>
      </c>
      <c r="F320" s="142">
        <v>38</v>
      </c>
      <c r="G320" s="142">
        <v>456</v>
      </c>
      <c r="H320" s="142">
        <v>288</v>
      </c>
      <c r="I320" s="146" t="s">
        <v>1423</v>
      </c>
      <c r="J320" s="144" t="s">
        <v>1376</v>
      </c>
      <c r="K320" s="147"/>
      <c r="L320" s="144" t="s">
        <v>25</v>
      </c>
      <c r="M320" s="144" t="s">
        <v>339</v>
      </c>
      <c r="N320" s="144" t="s">
        <v>898</v>
      </c>
    </row>
    <row r="321" spans="1:14" ht="45">
      <c r="A321" s="138">
        <v>321</v>
      </c>
      <c r="B321" s="142">
        <v>5</v>
      </c>
      <c r="C321" s="142">
        <v>21</v>
      </c>
      <c r="D321" s="142">
        <v>288</v>
      </c>
      <c r="E321" s="149" t="s">
        <v>1638</v>
      </c>
      <c r="F321" s="142">
        <v>38</v>
      </c>
      <c r="G321" s="142">
        <v>457</v>
      </c>
      <c r="H321" s="142">
        <v>289</v>
      </c>
      <c r="I321" s="146" t="s">
        <v>1423</v>
      </c>
      <c r="J321" s="144" t="s">
        <v>1376</v>
      </c>
      <c r="K321" s="147"/>
      <c r="L321" s="144" t="s">
        <v>25</v>
      </c>
      <c r="M321" s="144" t="s">
        <v>340</v>
      </c>
      <c r="N321" s="144" t="s">
        <v>899</v>
      </c>
    </row>
    <row r="322" spans="1:14" ht="45">
      <c r="A322" s="138">
        <v>322</v>
      </c>
      <c r="B322" s="142">
        <v>5</v>
      </c>
      <c r="C322" s="142">
        <v>21</v>
      </c>
      <c r="D322" s="142">
        <v>289</v>
      </c>
      <c r="E322" s="149" t="s">
        <v>1639</v>
      </c>
      <c r="F322" s="142">
        <v>38</v>
      </c>
      <c r="G322" s="142">
        <v>458</v>
      </c>
      <c r="H322" s="142">
        <v>290</v>
      </c>
      <c r="I322" s="146" t="s">
        <v>1423</v>
      </c>
      <c r="J322" s="144" t="s">
        <v>1376</v>
      </c>
      <c r="K322" s="147"/>
      <c r="L322" s="144" t="s">
        <v>25</v>
      </c>
      <c r="M322" s="144" t="s">
        <v>341</v>
      </c>
      <c r="N322" s="144" t="s">
        <v>900</v>
      </c>
    </row>
    <row r="323" spans="1:14" ht="30">
      <c r="A323" s="138">
        <v>323</v>
      </c>
      <c r="B323" s="142">
        <v>5</v>
      </c>
      <c r="C323" s="142">
        <v>21</v>
      </c>
      <c r="D323" s="142">
        <v>290</v>
      </c>
      <c r="E323" s="149" t="s">
        <v>1640</v>
      </c>
      <c r="F323" s="142">
        <v>38</v>
      </c>
      <c r="G323" s="142">
        <v>459</v>
      </c>
      <c r="H323" s="142">
        <v>291</v>
      </c>
      <c r="I323" s="146" t="s">
        <v>1423</v>
      </c>
      <c r="J323" s="144" t="s">
        <v>1376</v>
      </c>
      <c r="K323" s="147"/>
      <c r="L323" s="144" t="s">
        <v>25</v>
      </c>
      <c r="M323" s="144" t="s">
        <v>342</v>
      </c>
      <c r="N323" s="144" t="s">
        <v>901</v>
      </c>
    </row>
    <row r="324" spans="1:14" ht="60">
      <c r="A324" s="138">
        <v>324</v>
      </c>
      <c r="B324" s="142">
        <v>5</v>
      </c>
      <c r="C324" s="142">
        <v>21</v>
      </c>
      <c r="D324" s="142">
        <v>291</v>
      </c>
      <c r="E324" s="149" t="s">
        <v>1641</v>
      </c>
      <c r="F324" s="142">
        <v>38</v>
      </c>
      <c r="G324" s="142">
        <v>460</v>
      </c>
      <c r="H324" s="142">
        <v>292</v>
      </c>
      <c r="I324" s="146" t="s">
        <v>1423</v>
      </c>
      <c r="J324" s="144" t="s">
        <v>1376</v>
      </c>
      <c r="K324" s="147"/>
      <c r="L324" s="144" t="s">
        <v>25</v>
      </c>
      <c r="M324" s="144" t="s">
        <v>343</v>
      </c>
      <c r="N324" s="144" t="s">
        <v>902</v>
      </c>
    </row>
    <row r="325" spans="1:14" ht="30">
      <c r="A325" s="138">
        <v>325</v>
      </c>
      <c r="B325" s="142">
        <v>5</v>
      </c>
      <c r="C325" s="142">
        <v>21</v>
      </c>
      <c r="D325" s="142">
        <v>292</v>
      </c>
      <c r="E325" s="149" t="s">
        <v>1642</v>
      </c>
      <c r="F325" s="142">
        <v>38</v>
      </c>
      <c r="G325" s="142">
        <v>461</v>
      </c>
      <c r="H325" s="142">
        <v>293</v>
      </c>
      <c r="I325" s="146" t="s">
        <v>1423</v>
      </c>
      <c r="J325" s="144" t="s">
        <v>1376</v>
      </c>
      <c r="K325" s="147"/>
      <c r="L325" s="144" t="s">
        <v>25</v>
      </c>
      <c r="M325" s="144" t="s">
        <v>344</v>
      </c>
      <c r="N325" s="144" t="s">
        <v>903</v>
      </c>
    </row>
    <row r="326" spans="1:14" ht="30">
      <c r="A326" s="138">
        <v>326</v>
      </c>
      <c r="B326" s="142">
        <v>5</v>
      </c>
      <c r="C326" s="142">
        <v>21</v>
      </c>
      <c r="D326" s="142">
        <v>293</v>
      </c>
      <c r="E326" s="149" t="s">
        <v>1643</v>
      </c>
      <c r="F326" s="142">
        <v>38</v>
      </c>
      <c r="G326" s="142">
        <v>462</v>
      </c>
      <c r="H326" s="142">
        <v>294</v>
      </c>
      <c r="I326" s="146" t="s">
        <v>1423</v>
      </c>
      <c r="J326" s="144" t="s">
        <v>1376</v>
      </c>
      <c r="K326" s="147"/>
      <c r="L326" s="144" t="s">
        <v>25</v>
      </c>
      <c r="M326" s="144" t="s">
        <v>345</v>
      </c>
      <c r="N326" s="144" t="s">
        <v>904</v>
      </c>
    </row>
    <row r="327" spans="1:14" ht="45">
      <c r="A327" s="138">
        <v>327</v>
      </c>
      <c r="B327" s="142">
        <v>5</v>
      </c>
      <c r="C327" s="142">
        <v>21</v>
      </c>
      <c r="D327" s="142">
        <v>294</v>
      </c>
      <c r="E327" s="149" t="s">
        <v>1644</v>
      </c>
      <c r="F327" s="142">
        <v>38</v>
      </c>
      <c r="G327" s="142">
        <v>463</v>
      </c>
      <c r="H327" s="142">
        <v>295</v>
      </c>
      <c r="I327" s="146" t="s">
        <v>1423</v>
      </c>
      <c r="J327" s="144" t="s">
        <v>1376</v>
      </c>
      <c r="K327" s="147"/>
      <c r="L327" s="144" t="s">
        <v>25</v>
      </c>
      <c r="M327" s="144" t="s">
        <v>346</v>
      </c>
      <c r="N327" s="144" t="s">
        <v>905</v>
      </c>
    </row>
    <row r="328" spans="1:14" ht="45">
      <c r="A328" s="138">
        <v>328</v>
      </c>
      <c r="B328" s="142">
        <v>5</v>
      </c>
      <c r="C328" s="142">
        <v>21</v>
      </c>
      <c r="D328" s="142">
        <v>295</v>
      </c>
      <c r="E328" s="149" t="s">
        <v>1645</v>
      </c>
      <c r="F328" s="142">
        <v>38</v>
      </c>
      <c r="G328" s="142">
        <v>464</v>
      </c>
      <c r="H328" s="142">
        <v>296</v>
      </c>
      <c r="I328" s="146" t="s">
        <v>1423</v>
      </c>
      <c r="J328" s="144" t="s">
        <v>1376</v>
      </c>
      <c r="K328" s="147"/>
      <c r="L328" s="144" t="s">
        <v>25</v>
      </c>
      <c r="M328" s="144" t="s">
        <v>347</v>
      </c>
      <c r="N328" s="144" t="s">
        <v>906</v>
      </c>
    </row>
    <row r="329" spans="1:14" ht="45">
      <c r="A329" s="138">
        <v>329</v>
      </c>
      <c r="B329" s="142">
        <v>5</v>
      </c>
      <c r="C329" s="142">
        <v>21</v>
      </c>
      <c r="D329" s="142">
        <v>296</v>
      </c>
      <c r="E329" s="149" t="s">
        <v>1646</v>
      </c>
      <c r="F329" s="142">
        <v>38</v>
      </c>
      <c r="G329" s="142">
        <v>465</v>
      </c>
      <c r="H329" s="142">
        <v>297</v>
      </c>
      <c r="I329" s="146" t="s">
        <v>1423</v>
      </c>
      <c r="J329" s="144" t="s">
        <v>1376</v>
      </c>
      <c r="K329" s="147"/>
      <c r="L329" s="144" t="s">
        <v>25</v>
      </c>
      <c r="M329" s="144" t="s">
        <v>348</v>
      </c>
      <c r="N329" s="144" t="s">
        <v>907</v>
      </c>
    </row>
    <row r="330" spans="1:14" ht="60">
      <c r="A330" s="138">
        <v>330</v>
      </c>
      <c r="B330" s="142">
        <v>5</v>
      </c>
      <c r="C330" s="142">
        <v>21</v>
      </c>
      <c r="D330" s="142">
        <v>297</v>
      </c>
      <c r="E330" s="149" t="s">
        <v>1647</v>
      </c>
      <c r="F330" s="142">
        <v>38</v>
      </c>
      <c r="G330" s="142">
        <v>466</v>
      </c>
      <c r="H330" s="142">
        <v>298</v>
      </c>
      <c r="I330" s="146" t="s">
        <v>1423</v>
      </c>
      <c r="J330" s="144" t="s">
        <v>1376</v>
      </c>
      <c r="K330" s="147"/>
      <c r="L330" s="144" t="s">
        <v>25</v>
      </c>
      <c r="M330" s="144" t="s">
        <v>349</v>
      </c>
      <c r="N330" s="144" t="s">
        <v>908</v>
      </c>
    </row>
    <row r="331" spans="1:14" ht="30">
      <c r="A331" s="138">
        <v>331</v>
      </c>
      <c r="B331" s="142">
        <v>5</v>
      </c>
      <c r="C331" s="142">
        <v>7</v>
      </c>
      <c r="D331" s="142">
        <v>298</v>
      </c>
      <c r="E331" s="149" t="s">
        <v>1648</v>
      </c>
      <c r="F331" s="142">
        <v>40</v>
      </c>
      <c r="G331" s="142">
        <v>467</v>
      </c>
      <c r="H331" s="142">
        <v>299</v>
      </c>
      <c r="I331" s="146" t="s">
        <v>1423</v>
      </c>
      <c r="J331" s="144" t="s">
        <v>1376</v>
      </c>
      <c r="K331" s="147"/>
      <c r="L331" s="144" t="s">
        <v>11</v>
      </c>
      <c r="M331" s="144" t="s">
        <v>350</v>
      </c>
      <c r="N331" s="144" t="s">
        <v>909</v>
      </c>
    </row>
    <row r="332" spans="1:14" ht="105">
      <c r="A332" s="138">
        <v>332</v>
      </c>
      <c r="B332" s="142">
        <v>5</v>
      </c>
      <c r="C332" s="142">
        <v>7</v>
      </c>
      <c r="D332" s="142">
        <v>226</v>
      </c>
      <c r="E332" s="149" t="s">
        <v>1649</v>
      </c>
      <c r="F332" s="142">
        <v>40</v>
      </c>
      <c r="G332" s="142">
        <v>468</v>
      </c>
      <c r="H332" s="142">
        <v>226</v>
      </c>
      <c r="I332" s="146" t="s">
        <v>1423</v>
      </c>
      <c r="J332" s="144" t="s">
        <v>1376</v>
      </c>
      <c r="K332" s="147"/>
      <c r="L332" s="144" t="s">
        <v>11</v>
      </c>
      <c r="M332" s="144" t="s">
        <v>351</v>
      </c>
      <c r="N332" s="144" t="s">
        <v>1063</v>
      </c>
    </row>
    <row r="333" spans="1:14" ht="45">
      <c r="A333" s="138">
        <v>333</v>
      </c>
      <c r="B333" s="142">
        <v>5</v>
      </c>
      <c r="C333" s="142">
        <v>7</v>
      </c>
      <c r="D333" s="142">
        <v>10</v>
      </c>
      <c r="E333" s="149" t="s">
        <v>1650</v>
      </c>
      <c r="F333" s="142">
        <v>40</v>
      </c>
      <c r="G333" s="142">
        <v>469</v>
      </c>
      <c r="H333" s="142">
        <v>10</v>
      </c>
      <c r="I333" s="146" t="s">
        <v>1423</v>
      </c>
      <c r="J333" s="144" t="s">
        <v>1376</v>
      </c>
      <c r="K333" s="147"/>
      <c r="L333" s="144" t="s">
        <v>11</v>
      </c>
      <c r="M333" s="144" t="s">
        <v>47</v>
      </c>
      <c r="N333" s="144" t="s">
        <v>910</v>
      </c>
    </row>
    <row r="334" spans="1:14" ht="45">
      <c r="A334" s="138">
        <v>334</v>
      </c>
      <c r="B334" s="142">
        <v>5</v>
      </c>
      <c r="C334" s="142">
        <v>7</v>
      </c>
      <c r="D334" s="142">
        <v>299</v>
      </c>
      <c r="E334" s="149" t="s">
        <v>1651</v>
      </c>
      <c r="F334" s="142">
        <v>40</v>
      </c>
      <c r="G334" s="142">
        <v>470</v>
      </c>
      <c r="H334" s="142">
        <v>300</v>
      </c>
      <c r="I334" s="146" t="s">
        <v>1423</v>
      </c>
      <c r="J334" s="144" t="s">
        <v>1376</v>
      </c>
      <c r="K334" s="147"/>
      <c r="L334" s="144" t="s">
        <v>11</v>
      </c>
      <c r="M334" s="144" t="s">
        <v>352</v>
      </c>
      <c r="N334" s="144" t="s">
        <v>911</v>
      </c>
    </row>
    <row r="335" spans="1:14" ht="30">
      <c r="A335" s="138">
        <v>335</v>
      </c>
      <c r="B335" s="142">
        <v>5</v>
      </c>
      <c r="C335" s="142">
        <v>7</v>
      </c>
      <c r="D335" s="142">
        <v>73</v>
      </c>
      <c r="E335" s="149" t="s">
        <v>1652</v>
      </c>
      <c r="F335" s="142">
        <v>40</v>
      </c>
      <c r="G335" s="142">
        <v>471</v>
      </c>
      <c r="H335" s="142">
        <v>445</v>
      </c>
      <c r="I335" s="146" t="s">
        <v>1423</v>
      </c>
      <c r="J335" s="144" t="s">
        <v>1376</v>
      </c>
      <c r="K335" s="147"/>
      <c r="L335" s="144" t="s">
        <v>11</v>
      </c>
      <c r="M335" s="144" t="s">
        <v>353</v>
      </c>
      <c r="N335" s="144" t="s">
        <v>912</v>
      </c>
    </row>
    <row r="336" spans="1:14" ht="45">
      <c r="A336" s="138">
        <v>336</v>
      </c>
      <c r="B336" s="142">
        <v>5</v>
      </c>
      <c r="C336" s="142">
        <v>7</v>
      </c>
      <c r="D336" s="142">
        <v>74</v>
      </c>
      <c r="E336" s="149" t="s">
        <v>1653</v>
      </c>
      <c r="F336" s="142">
        <v>40</v>
      </c>
      <c r="G336" s="142">
        <v>472</v>
      </c>
      <c r="H336" s="142">
        <v>74</v>
      </c>
      <c r="I336" s="146" t="s">
        <v>1423</v>
      </c>
      <c r="J336" s="144" t="s">
        <v>1376</v>
      </c>
      <c r="K336" s="147"/>
      <c r="L336" s="144" t="s">
        <v>11</v>
      </c>
      <c r="M336" s="144" t="s">
        <v>109</v>
      </c>
      <c r="N336" s="144" t="s">
        <v>1067</v>
      </c>
    </row>
    <row r="337" spans="1:14" ht="45">
      <c r="A337" s="138">
        <v>337</v>
      </c>
      <c r="B337" s="142">
        <v>5</v>
      </c>
      <c r="C337" s="142">
        <v>7</v>
      </c>
      <c r="D337" s="142">
        <v>75</v>
      </c>
      <c r="E337" s="149" t="s">
        <v>1654</v>
      </c>
      <c r="F337" s="142">
        <v>40</v>
      </c>
      <c r="G337" s="142">
        <v>473</v>
      </c>
      <c r="H337" s="142">
        <v>75</v>
      </c>
      <c r="I337" s="146" t="s">
        <v>1423</v>
      </c>
      <c r="J337" s="144" t="s">
        <v>1376</v>
      </c>
      <c r="K337" s="147"/>
      <c r="L337" s="144" t="s">
        <v>11</v>
      </c>
      <c r="M337" s="144" t="s">
        <v>355</v>
      </c>
      <c r="N337" s="144" t="s">
        <v>1352</v>
      </c>
    </row>
    <row r="338" spans="1:14" ht="45">
      <c r="A338" s="138">
        <v>338</v>
      </c>
      <c r="B338" s="142">
        <v>5</v>
      </c>
      <c r="C338" s="142">
        <v>7</v>
      </c>
      <c r="D338" s="142">
        <v>300</v>
      </c>
      <c r="E338" s="149" t="s">
        <v>1655</v>
      </c>
      <c r="F338" s="142">
        <v>40</v>
      </c>
      <c r="G338" s="142">
        <v>474</v>
      </c>
      <c r="H338" s="142">
        <v>301</v>
      </c>
      <c r="I338" s="146" t="s">
        <v>1423</v>
      </c>
      <c r="J338" s="144" t="s">
        <v>1376</v>
      </c>
      <c r="K338" s="147"/>
      <c r="L338" s="144" t="s">
        <v>11</v>
      </c>
      <c r="M338" s="144" t="s">
        <v>356</v>
      </c>
      <c r="N338" s="144" t="s">
        <v>913</v>
      </c>
    </row>
    <row r="339" spans="1:14" ht="45">
      <c r="A339" s="138">
        <v>339</v>
      </c>
      <c r="B339" s="142">
        <v>5</v>
      </c>
      <c r="C339" s="142">
        <v>7</v>
      </c>
      <c r="D339" s="142">
        <v>301</v>
      </c>
      <c r="E339" s="149" t="s">
        <v>1656</v>
      </c>
      <c r="F339" s="142">
        <v>40</v>
      </c>
      <c r="G339" s="142">
        <v>475</v>
      </c>
      <c r="H339" s="142">
        <v>302</v>
      </c>
      <c r="I339" s="146" t="s">
        <v>1423</v>
      </c>
      <c r="J339" s="144" t="s">
        <v>1376</v>
      </c>
      <c r="K339" s="147"/>
      <c r="L339" s="144" t="s">
        <v>11</v>
      </c>
      <c r="M339" s="144" t="s">
        <v>357</v>
      </c>
      <c r="N339" s="144" t="s">
        <v>1367</v>
      </c>
    </row>
    <row r="340" spans="1:14" ht="60">
      <c r="A340" s="138">
        <v>340</v>
      </c>
      <c r="B340" s="142">
        <v>5</v>
      </c>
      <c r="C340" s="142">
        <v>7</v>
      </c>
      <c r="D340" s="142">
        <v>78</v>
      </c>
      <c r="E340" s="149" t="s">
        <v>1657</v>
      </c>
      <c r="F340" s="142">
        <v>40</v>
      </c>
      <c r="G340" s="142">
        <v>476</v>
      </c>
      <c r="H340" s="142">
        <v>446</v>
      </c>
      <c r="I340" s="146" t="s">
        <v>1423</v>
      </c>
      <c r="J340" s="144" t="s">
        <v>1376</v>
      </c>
      <c r="K340" s="147"/>
      <c r="L340" s="144" t="s">
        <v>11</v>
      </c>
      <c r="M340" s="144" t="s">
        <v>112</v>
      </c>
      <c r="N340" s="144" t="s">
        <v>915</v>
      </c>
    </row>
    <row r="341" spans="1:14" ht="30">
      <c r="A341" s="138">
        <v>341</v>
      </c>
      <c r="B341" s="142">
        <v>5</v>
      </c>
      <c r="C341" s="142">
        <v>7</v>
      </c>
      <c r="D341" s="142">
        <v>80</v>
      </c>
      <c r="E341" s="149" t="s">
        <v>1658</v>
      </c>
      <c r="F341" s="142">
        <v>40</v>
      </c>
      <c r="G341" s="142">
        <v>477</v>
      </c>
      <c r="H341" s="142">
        <v>80</v>
      </c>
      <c r="I341" s="146" t="s">
        <v>1423</v>
      </c>
      <c r="J341" s="144" t="s">
        <v>1376</v>
      </c>
      <c r="K341" s="147"/>
      <c r="L341" s="144" t="s">
        <v>11</v>
      </c>
      <c r="M341" s="144" t="s">
        <v>114</v>
      </c>
      <c r="N341" s="144" t="s">
        <v>810</v>
      </c>
    </row>
    <row r="342" spans="1:14" ht="60">
      <c r="A342" s="138">
        <v>342</v>
      </c>
      <c r="B342" s="142">
        <v>5</v>
      </c>
      <c r="C342" s="142">
        <v>7</v>
      </c>
      <c r="D342" s="142">
        <v>81</v>
      </c>
      <c r="E342" s="149" t="s">
        <v>1659</v>
      </c>
      <c r="F342" s="142">
        <v>40</v>
      </c>
      <c r="G342" s="142">
        <v>478</v>
      </c>
      <c r="H342" s="142">
        <v>81</v>
      </c>
      <c r="I342" s="146" t="s">
        <v>1423</v>
      </c>
      <c r="J342" s="144" t="s">
        <v>1376</v>
      </c>
      <c r="K342" s="147"/>
      <c r="L342" s="144" t="s">
        <v>11</v>
      </c>
      <c r="M342" s="144" t="s">
        <v>115</v>
      </c>
      <c r="N342" s="144" t="s">
        <v>812</v>
      </c>
    </row>
    <row r="343" spans="1:14" ht="45">
      <c r="A343" s="138">
        <v>343</v>
      </c>
      <c r="B343" s="142">
        <v>5</v>
      </c>
      <c r="C343" s="142">
        <v>7</v>
      </c>
      <c r="D343" s="142">
        <v>82</v>
      </c>
      <c r="E343" s="149" t="s">
        <v>1660</v>
      </c>
      <c r="F343" s="142">
        <v>40</v>
      </c>
      <c r="G343" s="142">
        <v>479</v>
      </c>
      <c r="H343" s="142">
        <v>82</v>
      </c>
      <c r="I343" s="146" t="s">
        <v>1423</v>
      </c>
      <c r="J343" s="144" t="s">
        <v>1376</v>
      </c>
      <c r="K343" s="147"/>
      <c r="L343" s="144" t="s">
        <v>11</v>
      </c>
      <c r="M343" s="144" t="s">
        <v>116</v>
      </c>
      <c r="N343" s="144" t="s">
        <v>1353</v>
      </c>
    </row>
    <row r="344" spans="1:14" ht="45">
      <c r="A344" s="138">
        <v>344</v>
      </c>
      <c r="B344" s="142">
        <v>5</v>
      </c>
      <c r="C344" s="142">
        <v>7</v>
      </c>
      <c r="D344" s="142">
        <v>302</v>
      </c>
      <c r="E344" s="149" t="s">
        <v>1661</v>
      </c>
      <c r="F344" s="142">
        <v>40</v>
      </c>
      <c r="G344" s="142">
        <v>480</v>
      </c>
      <c r="H344" s="142">
        <v>303</v>
      </c>
      <c r="I344" s="146" t="s">
        <v>1423</v>
      </c>
      <c r="J344" s="144" t="s">
        <v>1376</v>
      </c>
      <c r="K344" s="147"/>
      <c r="L344" s="144" t="s">
        <v>11</v>
      </c>
      <c r="M344" s="144" t="s">
        <v>358</v>
      </c>
      <c r="N344" s="144" t="s">
        <v>822</v>
      </c>
    </row>
    <row r="345" spans="1:14" ht="60">
      <c r="A345" s="138">
        <v>345</v>
      </c>
      <c r="B345" s="142">
        <v>5</v>
      </c>
      <c r="C345" s="142">
        <v>6</v>
      </c>
      <c r="D345" s="142">
        <v>303</v>
      </c>
      <c r="E345" s="149" t="s">
        <v>1662</v>
      </c>
      <c r="F345" s="142">
        <v>39</v>
      </c>
      <c r="G345" s="142">
        <v>481</v>
      </c>
      <c r="H345" s="142">
        <v>304</v>
      </c>
      <c r="I345" s="146" t="s">
        <v>1423</v>
      </c>
      <c r="J345" s="144" t="s">
        <v>1376</v>
      </c>
      <c r="K345" s="147"/>
      <c r="L345" s="144" t="s">
        <v>10</v>
      </c>
      <c r="M345" s="144" t="s">
        <v>359</v>
      </c>
      <c r="N345" s="144" t="s">
        <v>918</v>
      </c>
    </row>
    <row r="346" spans="1:14" ht="90">
      <c r="A346" s="138">
        <v>346</v>
      </c>
      <c r="B346" s="142">
        <v>5</v>
      </c>
      <c r="C346" s="142">
        <v>6</v>
      </c>
      <c r="D346" s="142">
        <v>304</v>
      </c>
      <c r="E346" s="149" t="s">
        <v>1663</v>
      </c>
      <c r="F346" s="142">
        <v>39</v>
      </c>
      <c r="G346" s="142">
        <v>482</v>
      </c>
      <c r="H346" s="142">
        <v>305</v>
      </c>
      <c r="I346" s="146" t="s">
        <v>1423</v>
      </c>
      <c r="J346" s="144" t="s">
        <v>1376</v>
      </c>
      <c r="K346" s="147"/>
      <c r="L346" s="144" t="s">
        <v>10</v>
      </c>
      <c r="M346" s="144" t="s">
        <v>360</v>
      </c>
      <c r="N346" s="144" t="s">
        <v>919</v>
      </c>
    </row>
    <row r="347" spans="1:14" ht="45">
      <c r="A347" s="138">
        <v>347</v>
      </c>
      <c r="B347" s="142">
        <v>5</v>
      </c>
      <c r="C347" s="142">
        <v>6</v>
      </c>
      <c r="D347" s="142">
        <v>305</v>
      </c>
      <c r="E347" s="149" t="s">
        <v>1664</v>
      </c>
      <c r="F347" s="142">
        <v>39</v>
      </c>
      <c r="G347" s="142">
        <v>483</v>
      </c>
      <c r="H347" s="142">
        <v>306</v>
      </c>
      <c r="I347" s="146" t="s">
        <v>1423</v>
      </c>
      <c r="J347" s="144" t="s">
        <v>1376</v>
      </c>
      <c r="K347" s="147"/>
      <c r="L347" s="144" t="s">
        <v>10</v>
      </c>
      <c r="M347" s="144" t="s">
        <v>361</v>
      </c>
      <c r="N347" s="144" t="s">
        <v>920</v>
      </c>
    </row>
    <row r="348" spans="1:14" ht="60">
      <c r="A348" s="138">
        <v>348</v>
      </c>
      <c r="B348" s="142">
        <v>5</v>
      </c>
      <c r="C348" s="142">
        <v>6</v>
      </c>
      <c r="D348" s="142">
        <v>65</v>
      </c>
      <c r="E348" s="149" t="s">
        <v>1665</v>
      </c>
      <c r="F348" s="142">
        <v>39</v>
      </c>
      <c r="G348" s="142">
        <v>484</v>
      </c>
      <c r="H348" s="142">
        <v>441</v>
      </c>
      <c r="I348" s="146" t="s">
        <v>1423</v>
      </c>
      <c r="J348" s="144" t="s">
        <v>1376</v>
      </c>
      <c r="K348" s="147"/>
      <c r="L348" s="144" t="s">
        <v>10</v>
      </c>
      <c r="M348" s="144" t="s">
        <v>362</v>
      </c>
      <c r="N348" s="144" t="s">
        <v>921</v>
      </c>
    </row>
    <row r="349" spans="1:14" ht="30">
      <c r="A349" s="138">
        <v>349</v>
      </c>
      <c r="B349" s="142">
        <v>5</v>
      </c>
      <c r="C349" s="142">
        <v>6</v>
      </c>
      <c r="D349" s="142">
        <v>240</v>
      </c>
      <c r="E349" s="149" t="s">
        <v>1666</v>
      </c>
      <c r="F349" s="142">
        <v>39</v>
      </c>
      <c r="G349" s="142">
        <v>485</v>
      </c>
      <c r="H349" s="142">
        <v>240</v>
      </c>
      <c r="I349" s="146" t="s">
        <v>1423</v>
      </c>
      <c r="J349" s="144" t="s">
        <v>1376</v>
      </c>
      <c r="K349" s="147"/>
      <c r="L349" s="144" t="s">
        <v>10</v>
      </c>
      <c r="M349" s="144" t="s">
        <v>285</v>
      </c>
      <c r="N349" s="144" t="s">
        <v>1011</v>
      </c>
    </row>
    <row r="350" spans="1:14" ht="30">
      <c r="A350" s="138">
        <v>350</v>
      </c>
      <c r="B350" s="142">
        <v>5</v>
      </c>
      <c r="C350" s="142">
        <v>6</v>
      </c>
      <c r="D350" s="142">
        <v>66</v>
      </c>
      <c r="E350" s="149" t="s">
        <v>1667</v>
      </c>
      <c r="F350" s="142">
        <v>39</v>
      </c>
      <c r="G350" s="142">
        <v>486</v>
      </c>
      <c r="H350" s="142">
        <v>66</v>
      </c>
      <c r="I350" s="146" t="s">
        <v>1423</v>
      </c>
      <c r="J350" s="144" t="s">
        <v>1376</v>
      </c>
      <c r="K350" s="147"/>
      <c r="L350" s="144" t="s">
        <v>10</v>
      </c>
      <c r="M350" s="144" t="s">
        <v>286</v>
      </c>
      <c r="N350" s="144" t="s">
        <v>836</v>
      </c>
    </row>
    <row r="351" spans="1:14" ht="30">
      <c r="A351" s="138">
        <v>351</v>
      </c>
      <c r="B351" s="142">
        <v>5</v>
      </c>
      <c r="C351" s="142">
        <v>6</v>
      </c>
      <c r="D351" s="142">
        <v>241</v>
      </c>
      <c r="E351" s="149" t="s">
        <v>1668</v>
      </c>
      <c r="F351" s="142">
        <v>39</v>
      </c>
      <c r="G351" s="142">
        <v>487</v>
      </c>
      <c r="H351" s="142">
        <v>241</v>
      </c>
      <c r="I351" s="146" t="s">
        <v>1423</v>
      </c>
      <c r="J351" s="144" t="s">
        <v>1376</v>
      </c>
      <c r="K351" s="147"/>
      <c r="L351" s="144" t="s">
        <v>10</v>
      </c>
      <c r="M351" s="144" t="s">
        <v>287</v>
      </c>
      <c r="N351" s="144" t="s">
        <v>1012</v>
      </c>
    </row>
    <row r="352" spans="1:14" ht="60">
      <c r="A352" s="138">
        <v>352</v>
      </c>
      <c r="B352" s="142">
        <v>5</v>
      </c>
      <c r="C352" s="142">
        <v>8</v>
      </c>
      <c r="D352" s="142">
        <v>306</v>
      </c>
      <c r="E352" s="149" t="s">
        <v>1669</v>
      </c>
      <c r="F352" s="142">
        <v>41</v>
      </c>
      <c r="G352" s="142">
        <v>488</v>
      </c>
      <c r="H352" s="142">
        <v>307</v>
      </c>
      <c r="I352" s="146" t="s">
        <v>1423</v>
      </c>
      <c r="J352" s="144" t="s">
        <v>1376</v>
      </c>
      <c r="K352" s="147"/>
      <c r="L352" s="144" t="s">
        <v>12</v>
      </c>
      <c r="M352" s="144" t="s">
        <v>364</v>
      </c>
      <c r="N352" s="144" t="s">
        <v>922</v>
      </c>
    </row>
    <row r="353" spans="1:14" ht="60">
      <c r="A353" s="138">
        <v>353</v>
      </c>
      <c r="B353" s="142">
        <v>5</v>
      </c>
      <c r="C353" s="142">
        <v>8</v>
      </c>
      <c r="D353" s="142">
        <v>307</v>
      </c>
      <c r="E353" s="149" t="s">
        <v>1670</v>
      </c>
      <c r="F353" s="142">
        <v>41</v>
      </c>
      <c r="G353" s="142">
        <v>489</v>
      </c>
      <c r="H353" s="142">
        <v>308</v>
      </c>
      <c r="I353" s="146" t="s">
        <v>1423</v>
      </c>
      <c r="J353" s="144" t="s">
        <v>1376</v>
      </c>
      <c r="K353" s="147"/>
      <c r="L353" s="144" t="s">
        <v>12</v>
      </c>
      <c r="M353" s="144" t="s">
        <v>365</v>
      </c>
      <c r="N353" s="144" t="s">
        <v>1185</v>
      </c>
    </row>
    <row r="354" spans="1:14" ht="45">
      <c r="A354" s="138">
        <v>354</v>
      </c>
      <c r="B354" s="142">
        <v>5</v>
      </c>
      <c r="C354" s="142">
        <v>8</v>
      </c>
      <c r="D354" s="142">
        <v>83</v>
      </c>
      <c r="E354" s="149" t="s">
        <v>1671</v>
      </c>
      <c r="F354" s="142">
        <v>41</v>
      </c>
      <c r="G354" s="142">
        <v>490</v>
      </c>
      <c r="H354" s="142">
        <v>447</v>
      </c>
      <c r="I354" s="146" t="s">
        <v>1423</v>
      </c>
      <c r="J354" s="144" t="s">
        <v>1376</v>
      </c>
      <c r="K354" s="147"/>
      <c r="L354" s="144" t="s">
        <v>12</v>
      </c>
      <c r="M354" s="144" t="s">
        <v>117</v>
      </c>
      <c r="N354" s="144" t="s">
        <v>923</v>
      </c>
    </row>
    <row r="355" spans="1:14" ht="45">
      <c r="A355" s="138">
        <v>355</v>
      </c>
      <c r="B355" s="142">
        <v>5</v>
      </c>
      <c r="C355" s="142">
        <v>8</v>
      </c>
      <c r="D355" s="142">
        <v>308</v>
      </c>
      <c r="E355" s="149" t="s">
        <v>1672</v>
      </c>
      <c r="F355" s="142">
        <v>41</v>
      </c>
      <c r="G355" s="142">
        <v>491</v>
      </c>
      <c r="H355" s="142">
        <v>309</v>
      </c>
      <c r="I355" s="146" t="s">
        <v>1423</v>
      </c>
      <c r="J355" s="144" t="s">
        <v>1376</v>
      </c>
      <c r="K355" s="147"/>
      <c r="L355" s="144" t="s">
        <v>12</v>
      </c>
      <c r="M355" s="144" t="s">
        <v>366</v>
      </c>
      <c r="N355" s="144" t="s">
        <v>924</v>
      </c>
    </row>
    <row r="356" spans="1:14" ht="45">
      <c r="A356" s="138">
        <v>356</v>
      </c>
      <c r="B356" s="142">
        <v>5</v>
      </c>
      <c r="C356" s="142">
        <v>8</v>
      </c>
      <c r="D356" s="142">
        <v>309</v>
      </c>
      <c r="E356" s="149" t="s">
        <v>1673</v>
      </c>
      <c r="F356" s="142">
        <v>41</v>
      </c>
      <c r="G356" s="142">
        <v>492</v>
      </c>
      <c r="H356" s="142">
        <v>310</v>
      </c>
      <c r="I356" s="146" t="s">
        <v>1423</v>
      </c>
      <c r="J356" s="144" t="s">
        <v>1376</v>
      </c>
      <c r="K356" s="147"/>
      <c r="L356" s="144" t="s">
        <v>12</v>
      </c>
      <c r="M356" s="144" t="s">
        <v>367</v>
      </c>
      <c r="N356" s="144" t="s">
        <v>925</v>
      </c>
    </row>
    <row r="357" spans="1:14" ht="60">
      <c r="A357" s="138">
        <v>357</v>
      </c>
      <c r="B357" s="142">
        <v>5</v>
      </c>
      <c r="C357" s="142">
        <v>8</v>
      </c>
      <c r="D357" s="142">
        <v>85</v>
      </c>
      <c r="E357" s="149" t="s">
        <v>1674</v>
      </c>
      <c r="F357" s="142">
        <v>41</v>
      </c>
      <c r="G357" s="142">
        <v>493</v>
      </c>
      <c r="H357" s="142">
        <v>85</v>
      </c>
      <c r="I357" s="146" t="s">
        <v>1423</v>
      </c>
      <c r="J357" s="144" t="s">
        <v>1376</v>
      </c>
      <c r="K357" s="147"/>
      <c r="L357" s="144" t="s">
        <v>12</v>
      </c>
      <c r="M357" s="144" t="s">
        <v>119</v>
      </c>
      <c r="N357" s="144" t="s">
        <v>851</v>
      </c>
    </row>
    <row r="358" spans="1:14" ht="60">
      <c r="A358" s="138">
        <v>358</v>
      </c>
      <c r="B358" s="142">
        <v>6</v>
      </c>
      <c r="C358" s="142">
        <v>22</v>
      </c>
      <c r="D358" s="142">
        <v>310</v>
      </c>
      <c r="E358" s="149" t="s">
        <v>1675</v>
      </c>
      <c r="F358" s="142">
        <v>42</v>
      </c>
      <c r="G358" s="142">
        <v>494</v>
      </c>
      <c r="H358" s="142">
        <v>311</v>
      </c>
      <c r="I358" s="146" t="s">
        <v>1423</v>
      </c>
      <c r="J358" s="144" t="s">
        <v>1220</v>
      </c>
      <c r="K358" s="147"/>
      <c r="L358" s="144" t="s">
        <v>26</v>
      </c>
      <c r="M358" s="144" t="s">
        <v>368</v>
      </c>
      <c r="N358" s="144" t="s">
        <v>927</v>
      </c>
    </row>
    <row r="359" spans="1:14" ht="60">
      <c r="A359" s="138">
        <v>359</v>
      </c>
      <c r="B359" s="142">
        <v>6</v>
      </c>
      <c r="C359" s="142">
        <v>22</v>
      </c>
      <c r="D359" s="142">
        <v>311</v>
      </c>
      <c r="E359" s="149" t="s">
        <v>1676</v>
      </c>
      <c r="F359" s="142">
        <v>42</v>
      </c>
      <c r="G359" s="142">
        <v>495</v>
      </c>
      <c r="H359" s="142">
        <v>312</v>
      </c>
      <c r="I359" s="146" t="s">
        <v>1423</v>
      </c>
      <c r="J359" s="144" t="s">
        <v>1220</v>
      </c>
      <c r="K359" s="147"/>
      <c r="L359" s="144" t="s">
        <v>26</v>
      </c>
      <c r="M359" s="144" t="s">
        <v>369</v>
      </c>
      <c r="N359" s="144" t="s">
        <v>928</v>
      </c>
    </row>
    <row r="360" spans="1:14" ht="60">
      <c r="A360" s="138">
        <v>360</v>
      </c>
      <c r="B360" s="142">
        <v>6</v>
      </c>
      <c r="C360" s="142">
        <v>22</v>
      </c>
      <c r="D360" s="142">
        <v>312</v>
      </c>
      <c r="E360" s="149" t="s">
        <v>1677</v>
      </c>
      <c r="F360" s="142">
        <v>42</v>
      </c>
      <c r="G360" s="142">
        <v>496</v>
      </c>
      <c r="H360" s="142">
        <v>313</v>
      </c>
      <c r="I360" s="146" t="s">
        <v>1423</v>
      </c>
      <c r="J360" s="144" t="s">
        <v>1220</v>
      </c>
      <c r="K360" s="147"/>
      <c r="L360" s="144" t="s">
        <v>26</v>
      </c>
      <c r="M360" s="144" t="s">
        <v>370</v>
      </c>
      <c r="N360" s="144" t="s">
        <v>929</v>
      </c>
    </row>
    <row r="361" spans="1:14" ht="60">
      <c r="A361" s="138">
        <v>361</v>
      </c>
      <c r="B361" s="142">
        <v>6</v>
      </c>
      <c r="C361" s="142">
        <v>22</v>
      </c>
      <c r="D361" s="142">
        <v>313</v>
      </c>
      <c r="E361" s="149" t="s">
        <v>1678</v>
      </c>
      <c r="F361" s="142">
        <v>42</v>
      </c>
      <c r="G361" s="142">
        <v>497</v>
      </c>
      <c r="H361" s="142">
        <v>314</v>
      </c>
      <c r="I361" s="146" t="s">
        <v>1423</v>
      </c>
      <c r="J361" s="144" t="s">
        <v>1220</v>
      </c>
      <c r="K361" s="147"/>
      <c r="L361" s="144" t="s">
        <v>26</v>
      </c>
      <c r="M361" s="144" t="s">
        <v>371</v>
      </c>
      <c r="N361" s="144" t="s">
        <v>930</v>
      </c>
    </row>
    <row r="362" spans="1:14" ht="60">
      <c r="A362" s="138">
        <v>362</v>
      </c>
      <c r="B362" s="142">
        <v>6</v>
      </c>
      <c r="C362" s="142">
        <v>22</v>
      </c>
      <c r="D362" s="142">
        <v>314</v>
      </c>
      <c r="E362" s="149" t="s">
        <v>1679</v>
      </c>
      <c r="F362" s="142">
        <v>42</v>
      </c>
      <c r="G362" s="142">
        <v>498</v>
      </c>
      <c r="H362" s="142">
        <v>315</v>
      </c>
      <c r="I362" s="146" t="s">
        <v>1423</v>
      </c>
      <c r="J362" s="144" t="s">
        <v>1220</v>
      </c>
      <c r="K362" s="147"/>
      <c r="L362" s="144" t="s">
        <v>26</v>
      </c>
      <c r="M362" s="144" t="s">
        <v>372</v>
      </c>
      <c r="N362" s="144" t="s">
        <v>931</v>
      </c>
    </row>
    <row r="363" spans="1:14" ht="60">
      <c r="A363" s="138">
        <v>363</v>
      </c>
      <c r="B363" s="142">
        <v>6</v>
      </c>
      <c r="C363" s="142">
        <v>22</v>
      </c>
      <c r="D363" s="142">
        <v>315</v>
      </c>
      <c r="E363" s="149" t="s">
        <v>1680</v>
      </c>
      <c r="F363" s="142">
        <v>42</v>
      </c>
      <c r="G363" s="142">
        <v>499</v>
      </c>
      <c r="H363" s="142">
        <v>316</v>
      </c>
      <c r="I363" s="146" t="s">
        <v>1423</v>
      </c>
      <c r="J363" s="144" t="s">
        <v>1220</v>
      </c>
      <c r="K363" s="147"/>
      <c r="L363" s="144" t="s">
        <v>26</v>
      </c>
      <c r="M363" s="144" t="s">
        <v>373</v>
      </c>
      <c r="N363" s="144" t="s">
        <v>932</v>
      </c>
    </row>
    <row r="364" spans="1:14" ht="60">
      <c r="A364" s="138">
        <v>364</v>
      </c>
      <c r="B364" s="142">
        <v>6</v>
      </c>
      <c r="C364" s="142">
        <v>22</v>
      </c>
      <c r="D364" s="142">
        <v>316</v>
      </c>
      <c r="E364" s="149" t="s">
        <v>1681</v>
      </c>
      <c r="F364" s="142">
        <v>42</v>
      </c>
      <c r="G364" s="142">
        <v>500</v>
      </c>
      <c r="H364" s="142">
        <v>317</v>
      </c>
      <c r="I364" s="146" t="s">
        <v>1423</v>
      </c>
      <c r="J364" s="144" t="s">
        <v>1220</v>
      </c>
      <c r="K364" s="147"/>
      <c r="L364" s="144" t="s">
        <v>26</v>
      </c>
      <c r="M364" s="144" t="s">
        <v>374</v>
      </c>
      <c r="N364" s="144" t="s">
        <v>933</v>
      </c>
    </row>
    <row r="365" spans="1:14" ht="60">
      <c r="A365" s="138">
        <v>365</v>
      </c>
      <c r="B365" s="142">
        <v>6</v>
      </c>
      <c r="C365" s="142">
        <v>22</v>
      </c>
      <c r="D365" s="142">
        <v>317</v>
      </c>
      <c r="E365" s="149" t="s">
        <v>1682</v>
      </c>
      <c r="F365" s="142">
        <v>42</v>
      </c>
      <c r="G365" s="142">
        <v>501</v>
      </c>
      <c r="H365" s="142">
        <v>318</v>
      </c>
      <c r="I365" s="146" t="s">
        <v>1423</v>
      </c>
      <c r="J365" s="144" t="s">
        <v>1220</v>
      </c>
      <c r="K365" s="147"/>
      <c r="L365" s="144" t="s">
        <v>26</v>
      </c>
      <c r="M365" s="144" t="s">
        <v>375</v>
      </c>
      <c r="N365" s="144" t="s">
        <v>934</v>
      </c>
    </row>
    <row r="366" spans="1:14" ht="60">
      <c r="A366" s="138">
        <v>366</v>
      </c>
      <c r="B366" s="142">
        <v>6</v>
      </c>
      <c r="C366" s="142">
        <v>22</v>
      </c>
      <c r="D366" s="142">
        <v>318</v>
      </c>
      <c r="E366" s="149" t="s">
        <v>1683</v>
      </c>
      <c r="F366" s="142">
        <v>42</v>
      </c>
      <c r="G366" s="142">
        <v>502</v>
      </c>
      <c r="H366" s="142">
        <v>319</v>
      </c>
      <c r="I366" s="146" t="s">
        <v>1423</v>
      </c>
      <c r="J366" s="144" t="s">
        <v>1220</v>
      </c>
      <c r="K366" s="147"/>
      <c r="L366" s="144" t="s">
        <v>26</v>
      </c>
      <c r="M366" s="144" t="s">
        <v>376</v>
      </c>
      <c r="N366" s="144" t="s">
        <v>935</v>
      </c>
    </row>
    <row r="367" spans="1:14" ht="60">
      <c r="A367" s="138">
        <v>367</v>
      </c>
      <c r="B367" s="142">
        <v>6</v>
      </c>
      <c r="C367" s="142">
        <v>22</v>
      </c>
      <c r="D367" s="142">
        <v>319</v>
      </c>
      <c r="E367" s="149" t="s">
        <v>1684</v>
      </c>
      <c r="F367" s="142">
        <v>42</v>
      </c>
      <c r="G367" s="142">
        <v>503</v>
      </c>
      <c r="H367" s="142">
        <v>320</v>
      </c>
      <c r="I367" s="146" t="s">
        <v>1423</v>
      </c>
      <c r="J367" s="144" t="s">
        <v>1220</v>
      </c>
      <c r="K367" s="147"/>
      <c r="L367" s="144" t="s">
        <v>26</v>
      </c>
      <c r="M367" s="144" t="s">
        <v>377</v>
      </c>
      <c r="N367" s="144" t="s">
        <v>936</v>
      </c>
    </row>
    <row r="368" spans="1:14" ht="60">
      <c r="A368" s="138">
        <v>368</v>
      </c>
      <c r="B368" s="142">
        <v>6</v>
      </c>
      <c r="C368" s="142">
        <v>23</v>
      </c>
      <c r="D368" s="142">
        <v>320</v>
      </c>
      <c r="E368" s="149" t="s">
        <v>1685</v>
      </c>
      <c r="F368" s="142">
        <v>43</v>
      </c>
      <c r="G368" s="142">
        <v>504</v>
      </c>
      <c r="H368" s="142">
        <v>321</v>
      </c>
      <c r="I368" s="146" t="s">
        <v>1423</v>
      </c>
      <c r="J368" s="144" t="s">
        <v>1220</v>
      </c>
      <c r="K368" s="147"/>
      <c r="L368" s="144" t="s">
        <v>27</v>
      </c>
      <c r="M368" s="144" t="s">
        <v>378</v>
      </c>
      <c r="N368" s="144" t="s">
        <v>937</v>
      </c>
    </row>
    <row r="369" spans="1:14" ht="60">
      <c r="A369" s="138">
        <v>369</v>
      </c>
      <c r="B369" s="142">
        <v>6</v>
      </c>
      <c r="C369" s="142">
        <v>23</v>
      </c>
      <c r="D369" s="142">
        <v>130</v>
      </c>
      <c r="E369" s="149" t="s">
        <v>1686</v>
      </c>
      <c r="F369" s="142">
        <v>43</v>
      </c>
      <c r="G369" s="142">
        <v>505</v>
      </c>
      <c r="H369" s="142">
        <v>130</v>
      </c>
      <c r="I369" s="146" t="s">
        <v>1423</v>
      </c>
      <c r="J369" s="144" t="s">
        <v>1220</v>
      </c>
      <c r="K369" s="147"/>
      <c r="L369" s="144" t="s">
        <v>27</v>
      </c>
      <c r="M369" s="144" t="s">
        <v>165</v>
      </c>
      <c r="N369" s="144" t="s">
        <v>1359</v>
      </c>
    </row>
    <row r="370" spans="1:14" ht="60">
      <c r="A370" s="138">
        <v>370</v>
      </c>
      <c r="B370" s="142">
        <v>6</v>
      </c>
      <c r="C370" s="142">
        <v>23</v>
      </c>
      <c r="D370" s="142">
        <v>131</v>
      </c>
      <c r="E370" s="149" t="s">
        <v>1687</v>
      </c>
      <c r="F370" s="142">
        <v>43</v>
      </c>
      <c r="G370" s="142">
        <v>506</v>
      </c>
      <c r="H370" s="142">
        <v>131</v>
      </c>
      <c r="I370" s="146" t="s">
        <v>1423</v>
      </c>
      <c r="J370" s="144" t="s">
        <v>1220</v>
      </c>
      <c r="K370" s="147"/>
      <c r="L370" s="144" t="s">
        <v>27</v>
      </c>
      <c r="M370" s="144" t="s">
        <v>379</v>
      </c>
      <c r="N370" s="144" t="s">
        <v>1360</v>
      </c>
    </row>
    <row r="371" spans="1:14" ht="60">
      <c r="A371" s="138">
        <v>371</v>
      </c>
      <c r="B371" s="142">
        <v>6</v>
      </c>
      <c r="C371" s="142">
        <v>23</v>
      </c>
      <c r="D371" s="142">
        <v>321</v>
      </c>
      <c r="E371" s="149" t="s">
        <v>1688</v>
      </c>
      <c r="F371" s="142">
        <v>43</v>
      </c>
      <c r="G371" s="142">
        <v>507</v>
      </c>
      <c r="H371" s="142">
        <v>322</v>
      </c>
      <c r="I371" s="146" t="s">
        <v>1423</v>
      </c>
      <c r="J371" s="144" t="s">
        <v>1220</v>
      </c>
      <c r="K371" s="147"/>
      <c r="L371" s="144" t="s">
        <v>27</v>
      </c>
      <c r="M371" s="144" t="s">
        <v>380</v>
      </c>
      <c r="N371" s="144" t="s">
        <v>940</v>
      </c>
    </row>
    <row r="372" spans="1:14" ht="60">
      <c r="A372" s="138">
        <v>372</v>
      </c>
      <c r="B372" s="142">
        <v>6</v>
      </c>
      <c r="C372" s="142">
        <v>23</v>
      </c>
      <c r="D372" s="142">
        <v>322</v>
      </c>
      <c r="E372" s="149" t="s">
        <v>1689</v>
      </c>
      <c r="F372" s="142">
        <v>43</v>
      </c>
      <c r="G372" s="142">
        <v>508</v>
      </c>
      <c r="H372" s="142">
        <v>323</v>
      </c>
      <c r="I372" s="146" t="s">
        <v>1423</v>
      </c>
      <c r="J372" s="144" t="s">
        <v>1220</v>
      </c>
      <c r="K372" s="147"/>
      <c r="L372" s="144" t="s">
        <v>27</v>
      </c>
      <c r="M372" s="144" t="s">
        <v>381</v>
      </c>
      <c r="N372" s="144" t="s">
        <v>941</v>
      </c>
    </row>
    <row r="373" spans="1:14" ht="60">
      <c r="A373" s="138">
        <v>373</v>
      </c>
      <c r="B373" s="142">
        <v>6</v>
      </c>
      <c r="C373" s="142">
        <v>23</v>
      </c>
      <c r="D373" s="142">
        <v>323</v>
      </c>
      <c r="E373" s="149" t="s">
        <v>1690</v>
      </c>
      <c r="F373" s="142">
        <v>43</v>
      </c>
      <c r="G373" s="142">
        <v>509</v>
      </c>
      <c r="H373" s="142">
        <v>324</v>
      </c>
      <c r="I373" s="146" t="s">
        <v>1423</v>
      </c>
      <c r="J373" s="144" t="s">
        <v>1220</v>
      </c>
      <c r="K373" s="147"/>
      <c r="L373" s="144" t="s">
        <v>27</v>
      </c>
      <c r="M373" s="144" t="s">
        <v>382</v>
      </c>
      <c r="N373" s="144" t="s">
        <v>942</v>
      </c>
    </row>
    <row r="374" spans="1:14" ht="60">
      <c r="A374" s="138">
        <v>374</v>
      </c>
      <c r="B374" s="142">
        <v>6</v>
      </c>
      <c r="C374" s="142">
        <v>23</v>
      </c>
      <c r="D374" s="142">
        <v>324</v>
      </c>
      <c r="E374" s="149" t="s">
        <v>1691</v>
      </c>
      <c r="F374" s="142">
        <v>43</v>
      </c>
      <c r="G374" s="142">
        <v>510</v>
      </c>
      <c r="H374" s="142">
        <v>325</v>
      </c>
      <c r="I374" s="146" t="s">
        <v>1423</v>
      </c>
      <c r="J374" s="144" t="s">
        <v>1220</v>
      </c>
      <c r="K374" s="147"/>
      <c r="L374" s="144" t="s">
        <v>27</v>
      </c>
      <c r="M374" s="144" t="s">
        <v>383</v>
      </c>
      <c r="N374" s="144" t="s">
        <v>943</v>
      </c>
    </row>
    <row r="375" spans="1:14" ht="60">
      <c r="A375" s="138">
        <v>375</v>
      </c>
      <c r="B375" s="142">
        <v>6</v>
      </c>
      <c r="C375" s="142">
        <v>23</v>
      </c>
      <c r="D375" s="142">
        <v>325</v>
      </c>
      <c r="E375" s="149" t="s">
        <v>1692</v>
      </c>
      <c r="F375" s="142">
        <v>43</v>
      </c>
      <c r="G375" s="142">
        <v>511</v>
      </c>
      <c r="H375" s="142">
        <v>326</v>
      </c>
      <c r="I375" s="146" t="s">
        <v>1423</v>
      </c>
      <c r="J375" s="144" t="s">
        <v>1220</v>
      </c>
      <c r="K375" s="147"/>
      <c r="L375" s="144" t="s">
        <v>27</v>
      </c>
      <c r="M375" s="144" t="s">
        <v>384</v>
      </c>
      <c r="N375" s="144" t="s">
        <v>944</v>
      </c>
    </row>
    <row r="376" spans="1:14" ht="60">
      <c r="A376" s="138">
        <v>376</v>
      </c>
      <c r="B376" s="142">
        <v>6</v>
      </c>
      <c r="C376" s="142">
        <v>23</v>
      </c>
      <c r="D376" s="142">
        <v>326</v>
      </c>
      <c r="E376" s="149" t="s">
        <v>1693</v>
      </c>
      <c r="F376" s="142">
        <v>43</v>
      </c>
      <c r="G376" s="142">
        <v>512</v>
      </c>
      <c r="H376" s="142">
        <v>327</v>
      </c>
      <c r="I376" s="146" t="s">
        <v>1423</v>
      </c>
      <c r="J376" s="144" t="s">
        <v>1220</v>
      </c>
      <c r="K376" s="147"/>
      <c r="L376" s="144" t="s">
        <v>27</v>
      </c>
      <c r="M376" s="144" t="s">
        <v>385</v>
      </c>
      <c r="N376" s="144" t="s">
        <v>945</v>
      </c>
    </row>
    <row r="377" spans="1:14" ht="60">
      <c r="A377" s="138">
        <v>377</v>
      </c>
      <c r="B377" s="142">
        <v>6</v>
      </c>
      <c r="C377" s="142">
        <v>23</v>
      </c>
      <c r="D377" s="142">
        <v>327</v>
      </c>
      <c r="E377" s="149" t="s">
        <v>1694</v>
      </c>
      <c r="F377" s="142">
        <v>43</v>
      </c>
      <c r="G377" s="142">
        <v>513</v>
      </c>
      <c r="H377" s="142">
        <v>328</v>
      </c>
      <c r="I377" s="146" t="s">
        <v>1423</v>
      </c>
      <c r="J377" s="144" t="s">
        <v>1220</v>
      </c>
      <c r="K377" s="147"/>
      <c r="L377" s="144" t="s">
        <v>27</v>
      </c>
      <c r="M377" s="144" t="s">
        <v>386</v>
      </c>
      <c r="N377" s="144" t="s">
        <v>946</v>
      </c>
    </row>
    <row r="378" spans="1:14" ht="60">
      <c r="A378" s="138">
        <v>378</v>
      </c>
      <c r="B378" s="142">
        <v>6</v>
      </c>
      <c r="C378" s="142">
        <v>23</v>
      </c>
      <c r="D378" s="142">
        <v>328</v>
      </c>
      <c r="E378" s="149" t="s">
        <v>1695</v>
      </c>
      <c r="F378" s="142">
        <v>43</v>
      </c>
      <c r="G378" s="142">
        <v>514</v>
      </c>
      <c r="H378" s="142">
        <v>329</v>
      </c>
      <c r="I378" s="146" t="s">
        <v>1423</v>
      </c>
      <c r="J378" s="144" t="s">
        <v>1220</v>
      </c>
      <c r="K378" s="147"/>
      <c r="L378" s="144" t="s">
        <v>27</v>
      </c>
      <c r="M378" s="144" t="s">
        <v>387</v>
      </c>
      <c r="N378" s="144" t="s">
        <v>947</v>
      </c>
    </row>
    <row r="379" spans="1:14" ht="60">
      <c r="A379" s="138">
        <v>379</v>
      </c>
      <c r="B379" s="142">
        <v>6</v>
      </c>
      <c r="C379" s="142">
        <v>23</v>
      </c>
      <c r="D379" s="142">
        <v>329</v>
      </c>
      <c r="E379" s="149" t="s">
        <v>1696</v>
      </c>
      <c r="F379" s="142">
        <v>43</v>
      </c>
      <c r="G379" s="142">
        <v>515</v>
      </c>
      <c r="H379" s="142">
        <v>330</v>
      </c>
      <c r="I379" s="146" t="s">
        <v>1423</v>
      </c>
      <c r="J379" s="144" t="s">
        <v>1220</v>
      </c>
      <c r="K379" s="147"/>
      <c r="L379" s="144" t="s">
        <v>27</v>
      </c>
      <c r="M379" s="144" t="s">
        <v>388</v>
      </c>
      <c r="N379" s="144" t="s">
        <v>948</v>
      </c>
    </row>
    <row r="380" spans="1:14" ht="60">
      <c r="A380" s="138">
        <v>380</v>
      </c>
      <c r="B380" s="142">
        <v>6</v>
      </c>
      <c r="C380" s="142">
        <v>23</v>
      </c>
      <c r="D380" s="142">
        <v>330</v>
      </c>
      <c r="E380" s="149" t="s">
        <v>1697</v>
      </c>
      <c r="F380" s="142">
        <v>43</v>
      </c>
      <c r="G380" s="142">
        <v>516</v>
      </c>
      <c r="H380" s="142">
        <v>331</v>
      </c>
      <c r="I380" s="146" t="s">
        <v>1423</v>
      </c>
      <c r="J380" s="144" t="s">
        <v>1220</v>
      </c>
      <c r="K380" s="147"/>
      <c r="L380" s="144" t="s">
        <v>27</v>
      </c>
      <c r="M380" s="144" t="s">
        <v>389</v>
      </c>
      <c r="N380" s="144" t="s">
        <v>949</v>
      </c>
    </row>
    <row r="381" spans="1:14" ht="60">
      <c r="A381" s="138">
        <v>381</v>
      </c>
      <c r="B381" s="142">
        <v>6</v>
      </c>
      <c r="C381" s="142">
        <v>23</v>
      </c>
      <c r="D381" s="142">
        <v>331</v>
      </c>
      <c r="E381" s="149" t="s">
        <v>1698</v>
      </c>
      <c r="F381" s="142">
        <v>43</v>
      </c>
      <c r="G381" s="142">
        <v>517</v>
      </c>
      <c r="H381" s="142">
        <v>332</v>
      </c>
      <c r="I381" s="146" t="s">
        <v>1423</v>
      </c>
      <c r="J381" s="144" t="s">
        <v>1220</v>
      </c>
      <c r="K381" s="147"/>
      <c r="L381" s="144" t="s">
        <v>27</v>
      </c>
      <c r="M381" s="144" t="s">
        <v>390</v>
      </c>
      <c r="N381" s="144" t="s">
        <v>950</v>
      </c>
    </row>
    <row r="382" spans="1:14" ht="60">
      <c r="A382" s="138">
        <v>382</v>
      </c>
      <c r="B382" s="142">
        <v>6</v>
      </c>
      <c r="C382" s="142">
        <v>23</v>
      </c>
      <c r="D382" s="142">
        <v>332</v>
      </c>
      <c r="E382" s="149" t="s">
        <v>1699</v>
      </c>
      <c r="F382" s="142">
        <v>43</v>
      </c>
      <c r="G382" s="142">
        <v>518</v>
      </c>
      <c r="H382" s="142">
        <v>333</v>
      </c>
      <c r="I382" s="146" t="s">
        <v>1423</v>
      </c>
      <c r="J382" s="144" t="s">
        <v>1220</v>
      </c>
      <c r="K382" s="147"/>
      <c r="L382" s="144" t="s">
        <v>27</v>
      </c>
      <c r="M382" s="144" t="s">
        <v>391</v>
      </c>
      <c r="N382" s="144" t="s">
        <v>951</v>
      </c>
    </row>
    <row r="383" spans="1:14" ht="60">
      <c r="A383" s="138">
        <v>383</v>
      </c>
      <c r="B383" s="142">
        <v>6</v>
      </c>
      <c r="C383" s="142">
        <v>23</v>
      </c>
      <c r="D383" s="142">
        <v>333</v>
      </c>
      <c r="E383" s="149" t="s">
        <v>1700</v>
      </c>
      <c r="F383" s="142">
        <v>43</v>
      </c>
      <c r="G383" s="142">
        <v>519</v>
      </c>
      <c r="H383" s="142">
        <v>334</v>
      </c>
      <c r="I383" s="146" t="s">
        <v>1423</v>
      </c>
      <c r="J383" s="144" t="s">
        <v>1220</v>
      </c>
      <c r="K383" s="147"/>
      <c r="L383" s="144" t="s">
        <v>27</v>
      </c>
      <c r="M383" s="144" t="s">
        <v>392</v>
      </c>
      <c r="N383" s="144" t="s">
        <v>952</v>
      </c>
    </row>
    <row r="384" spans="1:14" ht="60">
      <c r="A384" s="138">
        <v>384</v>
      </c>
      <c r="B384" s="142">
        <v>6</v>
      </c>
      <c r="C384" s="142">
        <v>23</v>
      </c>
      <c r="D384" s="142">
        <v>334</v>
      </c>
      <c r="E384" s="149" t="s">
        <v>1701</v>
      </c>
      <c r="F384" s="142">
        <v>43</v>
      </c>
      <c r="G384" s="142">
        <v>520</v>
      </c>
      <c r="H384" s="142">
        <v>335</v>
      </c>
      <c r="I384" s="146" t="s">
        <v>1423</v>
      </c>
      <c r="J384" s="144" t="s">
        <v>1220</v>
      </c>
      <c r="K384" s="147"/>
      <c r="L384" s="144" t="s">
        <v>27</v>
      </c>
      <c r="M384" s="144" t="s">
        <v>393</v>
      </c>
      <c r="N384" s="144" t="s">
        <v>953</v>
      </c>
    </row>
    <row r="385" spans="1:14" ht="60">
      <c r="A385" s="138">
        <v>385</v>
      </c>
      <c r="B385" s="142">
        <v>6</v>
      </c>
      <c r="C385" s="142">
        <v>23</v>
      </c>
      <c r="D385" s="142">
        <v>335</v>
      </c>
      <c r="E385" s="149" t="s">
        <v>1702</v>
      </c>
      <c r="F385" s="142">
        <v>43</v>
      </c>
      <c r="G385" s="142">
        <v>521</v>
      </c>
      <c r="H385" s="142">
        <v>336</v>
      </c>
      <c r="I385" s="146" t="s">
        <v>1423</v>
      </c>
      <c r="J385" s="144" t="s">
        <v>1220</v>
      </c>
      <c r="K385" s="147"/>
      <c r="L385" s="144" t="s">
        <v>27</v>
      </c>
      <c r="M385" s="144" t="s">
        <v>394</v>
      </c>
      <c r="N385" s="144" t="s">
        <v>954</v>
      </c>
    </row>
    <row r="386" spans="1:14" ht="60">
      <c r="A386" s="138">
        <v>386</v>
      </c>
      <c r="B386" s="142">
        <v>6</v>
      </c>
      <c r="C386" s="142">
        <v>23</v>
      </c>
      <c r="D386" s="142">
        <v>336</v>
      </c>
      <c r="E386" s="149" t="s">
        <v>1703</v>
      </c>
      <c r="F386" s="142">
        <v>43</v>
      </c>
      <c r="G386" s="142">
        <v>522</v>
      </c>
      <c r="H386" s="142">
        <v>337</v>
      </c>
      <c r="I386" s="146" t="s">
        <v>1423</v>
      </c>
      <c r="J386" s="144" t="s">
        <v>1220</v>
      </c>
      <c r="K386" s="147"/>
      <c r="L386" s="144" t="s">
        <v>27</v>
      </c>
      <c r="M386" s="144" t="s">
        <v>395</v>
      </c>
      <c r="N386" s="144" t="s">
        <v>955</v>
      </c>
    </row>
    <row r="387" spans="1:14" ht="60">
      <c r="A387" s="138">
        <v>387</v>
      </c>
      <c r="B387" s="142">
        <v>6</v>
      </c>
      <c r="C387" s="142">
        <v>23</v>
      </c>
      <c r="D387" s="142">
        <v>337</v>
      </c>
      <c r="E387" s="149" t="s">
        <v>1704</v>
      </c>
      <c r="F387" s="142">
        <v>43</v>
      </c>
      <c r="G387" s="142">
        <v>523</v>
      </c>
      <c r="H387" s="142">
        <v>338</v>
      </c>
      <c r="I387" s="146" t="s">
        <v>1423</v>
      </c>
      <c r="J387" s="144" t="s">
        <v>1220</v>
      </c>
      <c r="K387" s="147"/>
      <c r="L387" s="144" t="s">
        <v>27</v>
      </c>
      <c r="M387" s="144" t="s">
        <v>396</v>
      </c>
      <c r="N387" s="144" t="s">
        <v>956</v>
      </c>
    </row>
    <row r="388" spans="1:14" ht="60">
      <c r="A388" s="138">
        <v>388</v>
      </c>
      <c r="B388" s="142">
        <v>6</v>
      </c>
      <c r="C388" s="142">
        <v>23</v>
      </c>
      <c r="D388" s="142">
        <v>338</v>
      </c>
      <c r="E388" s="149" t="s">
        <v>1705</v>
      </c>
      <c r="F388" s="142">
        <v>43</v>
      </c>
      <c r="G388" s="142">
        <v>524</v>
      </c>
      <c r="H388" s="142">
        <v>339</v>
      </c>
      <c r="I388" s="146" t="s">
        <v>1423</v>
      </c>
      <c r="J388" s="144" t="s">
        <v>1220</v>
      </c>
      <c r="K388" s="147"/>
      <c r="L388" s="144" t="s">
        <v>27</v>
      </c>
      <c r="M388" s="144" t="s">
        <v>397</v>
      </c>
      <c r="N388" s="144" t="s">
        <v>957</v>
      </c>
    </row>
    <row r="389" spans="1:14" ht="60">
      <c r="A389" s="138">
        <v>389</v>
      </c>
      <c r="B389" s="142">
        <v>6</v>
      </c>
      <c r="C389" s="142">
        <v>23</v>
      </c>
      <c r="D389" s="142">
        <v>339</v>
      </c>
      <c r="E389" s="149" t="s">
        <v>1706</v>
      </c>
      <c r="F389" s="142">
        <v>43</v>
      </c>
      <c r="G389" s="142">
        <v>525</v>
      </c>
      <c r="H389" s="142">
        <v>340</v>
      </c>
      <c r="I389" s="146" t="s">
        <v>1423</v>
      </c>
      <c r="J389" s="144" t="s">
        <v>1220</v>
      </c>
      <c r="K389" s="147"/>
      <c r="L389" s="144" t="s">
        <v>27</v>
      </c>
      <c r="M389" s="144" t="s">
        <v>398</v>
      </c>
      <c r="N389" s="144" t="s">
        <v>958</v>
      </c>
    </row>
    <row r="390" spans="1:14" ht="60">
      <c r="A390" s="138">
        <v>390</v>
      </c>
      <c r="B390" s="142">
        <v>6</v>
      </c>
      <c r="C390" s="142">
        <v>23</v>
      </c>
      <c r="D390" s="142">
        <v>161</v>
      </c>
      <c r="E390" s="149" t="s">
        <v>1707</v>
      </c>
      <c r="F390" s="142">
        <v>43</v>
      </c>
      <c r="G390" s="142">
        <v>526</v>
      </c>
      <c r="H390" s="142">
        <v>161</v>
      </c>
      <c r="I390" s="146" t="s">
        <v>1423</v>
      </c>
      <c r="J390" s="144" t="s">
        <v>1220</v>
      </c>
      <c r="K390" s="147"/>
      <c r="L390" s="144" t="s">
        <v>27</v>
      </c>
      <c r="M390" s="144" t="s">
        <v>399</v>
      </c>
      <c r="N390" s="144" t="s">
        <v>1365</v>
      </c>
    </row>
    <row r="391" spans="1:14" ht="60">
      <c r="A391" s="138">
        <v>391</v>
      </c>
      <c r="B391" s="142">
        <v>6</v>
      </c>
      <c r="C391" s="142">
        <v>23</v>
      </c>
      <c r="D391" s="142">
        <v>340</v>
      </c>
      <c r="E391" s="149" t="s">
        <v>1708</v>
      </c>
      <c r="F391" s="142">
        <v>43</v>
      </c>
      <c r="G391" s="142">
        <v>527</v>
      </c>
      <c r="H391" s="142">
        <v>341</v>
      </c>
      <c r="I391" s="146" t="s">
        <v>1423</v>
      </c>
      <c r="J391" s="144" t="s">
        <v>1220</v>
      </c>
      <c r="K391" s="147"/>
      <c r="L391" s="144" t="s">
        <v>27</v>
      </c>
      <c r="M391" s="144" t="s">
        <v>400</v>
      </c>
      <c r="N391" s="144" t="s">
        <v>960</v>
      </c>
    </row>
    <row r="392" spans="1:14" ht="60">
      <c r="A392" s="138">
        <v>392</v>
      </c>
      <c r="B392" s="142">
        <v>6</v>
      </c>
      <c r="C392" s="142">
        <v>24</v>
      </c>
      <c r="D392" s="142">
        <v>341</v>
      </c>
      <c r="E392" s="149" t="s">
        <v>1709</v>
      </c>
      <c r="F392" s="142">
        <v>44</v>
      </c>
      <c r="G392" s="142">
        <v>528</v>
      </c>
      <c r="H392" s="142">
        <v>342</v>
      </c>
      <c r="I392" s="146" t="s">
        <v>1423</v>
      </c>
      <c r="J392" s="144" t="s">
        <v>1220</v>
      </c>
      <c r="K392" s="147"/>
      <c r="L392" s="144" t="s">
        <v>28</v>
      </c>
      <c r="M392" s="144" t="s">
        <v>405</v>
      </c>
      <c r="N392" s="144" t="s">
        <v>961</v>
      </c>
    </row>
    <row r="393" spans="1:14" ht="60">
      <c r="A393" s="138">
        <v>393</v>
      </c>
      <c r="B393" s="142">
        <v>6</v>
      </c>
      <c r="C393" s="142">
        <v>24</v>
      </c>
      <c r="D393" s="142">
        <v>342</v>
      </c>
      <c r="E393" s="149" t="s">
        <v>1710</v>
      </c>
      <c r="F393" s="142">
        <v>44</v>
      </c>
      <c r="G393" s="142">
        <v>529</v>
      </c>
      <c r="H393" s="142">
        <v>343</v>
      </c>
      <c r="I393" s="146" t="s">
        <v>1423</v>
      </c>
      <c r="J393" s="144" t="s">
        <v>1220</v>
      </c>
      <c r="K393" s="147"/>
      <c r="L393" s="144" t="s">
        <v>28</v>
      </c>
      <c r="M393" s="144" t="s">
        <v>406</v>
      </c>
      <c r="N393" s="144" t="s">
        <v>962</v>
      </c>
    </row>
    <row r="394" spans="1:14" ht="60">
      <c r="A394" s="138">
        <v>394</v>
      </c>
      <c r="B394" s="142">
        <v>6</v>
      </c>
      <c r="C394" s="142">
        <v>24</v>
      </c>
      <c r="D394" s="142">
        <v>343</v>
      </c>
      <c r="E394" s="149" t="s">
        <v>1711</v>
      </c>
      <c r="F394" s="142">
        <v>44</v>
      </c>
      <c r="G394" s="142">
        <v>530</v>
      </c>
      <c r="H394" s="142">
        <v>344</v>
      </c>
      <c r="I394" s="146" t="s">
        <v>1423</v>
      </c>
      <c r="J394" s="144" t="s">
        <v>1220</v>
      </c>
      <c r="K394" s="147"/>
      <c r="L394" s="144" t="s">
        <v>28</v>
      </c>
      <c r="M394" s="144" t="s">
        <v>407</v>
      </c>
      <c r="N394" s="144" t="s">
        <v>963</v>
      </c>
    </row>
    <row r="395" spans="1:14" ht="60">
      <c r="A395" s="138">
        <v>395</v>
      </c>
      <c r="B395" s="142">
        <v>6</v>
      </c>
      <c r="C395" s="142">
        <v>24</v>
      </c>
      <c r="D395" s="142">
        <v>344</v>
      </c>
      <c r="E395" s="149" t="s">
        <v>1712</v>
      </c>
      <c r="F395" s="142">
        <v>44</v>
      </c>
      <c r="G395" s="142">
        <v>531</v>
      </c>
      <c r="H395" s="142">
        <v>345</v>
      </c>
      <c r="I395" s="146" t="s">
        <v>1423</v>
      </c>
      <c r="J395" s="144" t="s">
        <v>1220</v>
      </c>
      <c r="K395" s="147"/>
      <c r="L395" s="144" t="s">
        <v>28</v>
      </c>
      <c r="M395" s="144" t="s">
        <v>408</v>
      </c>
      <c r="N395" s="144" t="s">
        <v>964</v>
      </c>
    </row>
    <row r="396" spans="1:14" ht="60">
      <c r="A396" s="138">
        <v>396</v>
      </c>
      <c r="B396" s="142">
        <v>6</v>
      </c>
      <c r="C396" s="142">
        <v>24</v>
      </c>
      <c r="D396" s="142">
        <v>345</v>
      </c>
      <c r="E396" s="149" t="s">
        <v>1713</v>
      </c>
      <c r="F396" s="142">
        <v>44</v>
      </c>
      <c r="G396" s="142">
        <v>532</v>
      </c>
      <c r="H396" s="142">
        <v>346</v>
      </c>
      <c r="I396" s="146" t="s">
        <v>1423</v>
      </c>
      <c r="J396" s="144" t="s">
        <v>1220</v>
      </c>
      <c r="K396" s="147"/>
      <c r="L396" s="144" t="s">
        <v>28</v>
      </c>
      <c r="M396" s="144" t="s">
        <v>409</v>
      </c>
      <c r="N396" s="144" t="s">
        <v>965</v>
      </c>
    </row>
    <row r="397" spans="1:14" ht="60">
      <c r="A397" s="138">
        <v>397</v>
      </c>
      <c r="B397" s="142">
        <v>6</v>
      </c>
      <c r="C397" s="142">
        <v>24</v>
      </c>
      <c r="D397" s="142">
        <v>346</v>
      </c>
      <c r="E397" s="149" t="s">
        <v>1714</v>
      </c>
      <c r="F397" s="142">
        <v>44</v>
      </c>
      <c r="G397" s="142">
        <v>533</v>
      </c>
      <c r="H397" s="142">
        <v>347</v>
      </c>
      <c r="I397" s="146" t="s">
        <v>1423</v>
      </c>
      <c r="J397" s="144" t="s">
        <v>1220</v>
      </c>
      <c r="K397" s="147"/>
      <c r="L397" s="144" t="s">
        <v>28</v>
      </c>
      <c r="M397" s="144" t="s">
        <v>410</v>
      </c>
      <c r="N397" s="144" t="s">
        <v>966</v>
      </c>
    </row>
    <row r="398" spans="1:14" ht="60">
      <c r="A398" s="138">
        <v>398</v>
      </c>
      <c r="B398" s="142">
        <v>6</v>
      </c>
      <c r="C398" s="142">
        <v>24</v>
      </c>
      <c r="D398" s="142">
        <v>347</v>
      </c>
      <c r="E398" s="149" t="s">
        <v>1715</v>
      </c>
      <c r="F398" s="142">
        <v>44</v>
      </c>
      <c r="G398" s="142">
        <v>534</v>
      </c>
      <c r="H398" s="142">
        <v>348</v>
      </c>
      <c r="I398" s="146" t="s">
        <v>1423</v>
      </c>
      <c r="J398" s="144" t="s">
        <v>1220</v>
      </c>
      <c r="K398" s="147"/>
      <c r="L398" s="144" t="s">
        <v>28</v>
      </c>
      <c r="M398" s="144" t="s">
        <v>411</v>
      </c>
      <c r="N398" s="144" t="s">
        <v>967</v>
      </c>
    </row>
    <row r="399" spans="1:14" ht="60">
      <c r="A399" s="138">
        <v>399</v>
      </c>
      <c r="B399" s="142">
        <v>6</v>
      </c>
      <c r="C399" s="142">
        <v>24</v>
      </c>
      <c r="D399" s="142">
        <v>348</v>
      </c>
      <c r="E399" s="149" t="s">
        <v>1716</v>
      </c>
      <c r="F399" s="142">
        <v>44</v>
      </c>
      <c r="G399" s="142">
        <v>535</v>
      </c>
      <c r="H399" s="142">
        <v>349</v>
      </c>
      <c r="I399" s="146" t="s">
        <v>1423</v>
      </c>
      <c r="J399" s="144" t="s">
        <v>1220</v>
      </c>
      <c r="K399" s="147"/>
      <c r="L399" s="144" t="s">
        <v>28</v>
      </c>
      <c r="M399" s="144" t="s">
        <v>412</v>
      </c>
      <c r="N399" s="144" t="s">
        <v>968</v>
      </c>
    </row>
    <row r="400" spans="1:14" ht="60">
      <c r="A400" s="138">
        <v>400</v>
      </c>
      <c r="B400" s="142">
        <v>6</v>
      </c>
      <c r="C400" s="142">
        <v>24</v>
      </c>
      <c r="D400" s="142">
        <v>218</v>
      </c>
      <c r="E400" s="149" t="s">
        <v>1717</v>
      </c>
      <c r="F400" s="142">
        <v>44</v>
      </c>
      <c r="G400" s="142">
        <v>536</v>
      </c>
      <c r="H400" s="142">
        <v>218</v>
      </c>
      <c r="I400" s="146" t="s">
        <v>1423</v>
      </c>
      <c r="J400" s="144" t="s">
        <v>1220</v>
      </c>
      <c r="K400" s="147"/>
      <c r="L400" s="144" t="s">
        <v>28</v>
      </c>
      <c r="M400" s="144" t="s">
        <v>262</v>
      </c>
      <c r="N400" s="144" t="s">
        <v>969</v>
      </c>
    </row>
    <row r="401" spans="1:14" ht="60">
      <c r="A401" s="138">
        <v>401</v>
      </c>
      <c r="B401" s="142">
        <v>6</v>
      </c>
      <c r="C401" s="142">
        <v>24</v>
      </c>
      <c r="D401" s="142">
        <v>349</v>
      </c>
      <c r="E401" s="149" t="s">
        <v>1718</v>
      </c>
      <c r="F401" s="142">
        <v>44</v>
      </c>
      <c r="G401" s="142">
        <v>537</v>
      </c>
      <c r="H401" s="142">
        <v>350</v>
      </c>
      <c r="I401" s="146" t="s">
        <v>1423</v>
      </c>
      <c r="J401" s="144" t="s">
        <v>1220</v>
      </c>
      <c r="K401" s="147"/>
      <c r="L401" s="144" t="s">
        <v>28</v>
      </c>
      <c r="M401" s="144" t="s">
        <v>413</v>
      </c>
      <c r="N401" s="144" t="s">
        <v>970</v>
      </c>
    </row>
    <row r="402" spans="1:14" ht="60">
      <c r="A402" s="138">
        <v>402</v>
      </c>
      <c r="B402" s="142">
        <v>6</v>
      </c>
      <c r="C402" s="142">
        <v>24</v>
      </c>
      <c r="D402" s="142">
        <v>350</v>
      </c>
      <c r="E402" s="149" t="s">
        <v>1719</v>
      </c>
      <c r="F402" s="142">
        <v>44</v>
      </c>
      <c r="G402" s="142">
        <v>538</v>
      </c>
      <c r="H402" s="142">
        <v>351</v>
      </c>
      <c r="I402" s="146" t="s">
        <v>1423</v>
      </c>
      <c r="J402" s="144" t="s">
        <v>1220</v>
      </c>
      <c r="K402" s="147"/>
      <c r="L402" s="144" t="s">
        <v>28</v>
      </c>
      <c r="M402" s="144" t="s">
        <v>414</v>
      </c>
      <c r="N402" s="144" t="s">
        <v>971</v>
      </c>
    </row>
    <row r="403" spans="1:14" ht="60">
      <c r="A403" s="138">
        <v>403</v>
      </c>
      <c r="B403" s="142">
        <v>6</v>
      </c>
      <c r="C403" s="142">
        <v>24</v>
      </c>
      <c r="D403" s="142">
        <v>351</v>
      </c>
      <c r="E403" s="149" t="s">
        <v>1720</v>
      </c>
      <c r="F403" s="142">
        <v>44</v>
      </c>
      <c r="G403" s="142">
        <v>539</v>
      </c>
      <c r="H403" s="142">
        <v>352</v>
      </c>
      <c r="I403" s="146" t="s">
        <v>1423</v>
      </c>
      <c r="J403" s="144" t="s">
        <v>1220</v>
      </c>
      <c r="K403" s="147"/>
      <c r="L403" s="144" t="s">
        <v>28</v>
      </c>
      <c r="M403" s="144" t="s">
        <v>415</v>
      </c>
      <c r="N403" s="144" t="s">
        <v>972</v>
      </c>
    </row>
    <row r="404" spans="1:14" ht="60">
      <c r="A404" s="138">
        <v>404</v>
      </c>
      <c r="B404" s="142">
        <v>6</v>
      </c>
      <c r="C404" s="142">
        <v>24</v>
      </c>
      <c r="D404" s="142">
        <v>352</v>
      </c>
      <c r="E404" s="149" t="s">
        <v>1721</v>
      </c>
      <c r="F404" s="142">
        <v>44</v>
      </c>
      <c r="G404" s="142">
        <v>540</v>
      </c>
      <c r="H404" s="142">
        <v>353</v>
      </c>
      <c r="I404" s="146" t="s">
        <v>1423</v>
      </c>
      <c r="J404" s="144" t="s">
        <v>1220</v>
      </c>
      <c r="K404" s="147"/>
      <c r="L404" s="144" t="s">
        <v>28</v>
      </c>
      <c r="M404" s="144" t="s">
        <v>416</v>
      </c>
      <c r="N404" s="144" t="s">
        <v>973</v>
      </c>
    </row>
    <row r="405" spans="1:14" ht="60">
      <c r="A405" s="138">
        <v>405</v>
      </c>
      <c r="B405" s="142">
        <v>6</v>
      </c>
      <c r="C405" s="142">
        <v>24</v>
      </c>
      <c r="D405" s="142">
        <v>353</v>
      </c>
      <c r="E405" s="149" t="s">
        <v>1722</v>
      </c>
      <c r="F405" s="142">
        <v>44</v>
      </c>
      <c r="G405" s="142">
        <v>541</v>
      </c>
      <c r="H405" s="142">
        <v>354</v>
      </c>
      <c r="I405" s="146" t="s">
        <v>1423</v>
      </c>
      <c r="J405" s="144" t="s">
        <v>1220</v>
      </c>
      <c r="K405" s="147"/>
      <c r="L405" s="144" t="s">
        <v>28</v>
      </c>
      <c r="M405" s="144" t="s">
        <v>417</v>
      </c>
      <c r="N405" s="144" t="s">
        <v>974</v>
      </c>
    </row>
    <row r="406" spans="1:14" ht="60">
      <c r="A406" s="138">
        <v>406</v>
      </c>
      <c r="B406" s="142">
        <v>6</v>
      </c>
      <c r="C406" s="142">
        <v>24</v>
      </c>
      <c r="D406" s="142">
        <v>354</v>
      </c>
      <c r="E406" s="149" t="s">
        <v>1723</v>
      </c>
      <c r="F406" s="142">
        <v>44</v>
      </c>
      <c r="G406" s="142">
        <v>542</v>
      </c>
      <c r="H406" s="142">
        <v>355</v>
      </c>
      <c r="I406" s="146" t="s">
        <v>1423</v>
      </c>
      <c r="J406" s="144" t="s">
        <v>1220</v>
      </c>
      <c r="K406" s="147"/>
      <c r="L406" s="144" t="s">
        <v>28</v>
      </c>
      <c r="M406" s="144" t="s">
        <v>418</v>
      </c>
      <c r="N406" s="144" t="s">
        <v>975</v>
      </c>
    </row>
    <row r="407" spans="1:14" ht="60">
      <c r="A407" s="138">
        <v>407</v>
      </c>
      <c r="B407" s="142">
        <v>6</v>
      </c>
      <c r="C407" s="142">
        <v>24</v>
      </c>
      <c r="D407" s="142">
        <v>355</v>
      </c>
      <c r="E407" s="149" t="s">
        <v>1724</v>
      </c>
      <c r="F407" s="142">
        <v>44</v>
      </c>
      <c r="G407" s="142">
        <v>543</v>
      </c>
      <c r="H407" s="142">
        <v>356</v>
      </c>
      <c r="I407" s="146" t="s">
        <v>1423</v>
      </c>
      <c r="J407" s="144" t="s">
        <v>1220</v>
      </c>
      <c r="K407" s="147"/>
      <c r="L407" s="144" t="s">
        <v>28</v>
      </c>
      <c r="M407" s="144" t="s">
        <v>419</v>
      </c>
      <c r="N407" s="144" t="s">
        <v>976</v>
      </c>
    </row>
    <row r="408" spans="1:14" ht="60">
      <c r="A408" s="138">
        <v>408</v>
      </c>
      <c r="B408" s="142">
        <v>6</v>
      </c>
      <c r="C408" s="142">
        <v>24</v>
      </c>
      <c r="D408" s="142">
        <v>356</v>
      </c>
      <c r="E408" s="149" t="s">
        <v>1725</v>
      </c>
      <c r="F408" s="142">
        <v>44</v>
      </c>
      <c r="G408" s="142">
        <v>544</v>
      </c>
      <c r="H408" s="142">
        <v>357</v>
      </c>
      <c r="I408" s="146" t="s">
        <v>1423</v>
      </c>
      <c r="J408" s="144" t="s">
        <v>1220</v>
      </c>
      <c r="K408" s="147"/>
      <c r="L408" s="144" t="s">
        <v>28</v>
      </c>
      <c r="M408" s="144" t="s">
        <v>420</v>
      </c>
      <c r="N408" s="144" t="s">
        <v>977</v>
      </c>
    </row>
    <row r="409" spans="1:14" ht="60">
      <c r="A409" s="138">
        <v>409</v>
      </c>
      <c r="B409" s="142">
        <v>6</v>
      </c>
      <c r="C409" s="142">
        <v>24</v>
      </c>
      <c r="D409" s="142">
        <v>357</v>
      </c>
      <c r="E409" s="149" t="s">
        <v>1726</v>
      </c>
      <c r="F409" s="142">
        <v>44</v>
      </c>
      <c r="G409" s="142">
        <v>545</v>
      </c>
      <c r="H409" s="142">
        <v>358</v>
      </c>
      <c r="I409" s="146" t="s">
        <v>1423</v>
      </c>
      <c r="J409" s="144" t="s">
        <v>1220</v>
      </c>
      <c r="K409" s="147"/>
      <c r="L409" s="144" t="s">
        <v>28</v>
      </c>
      <c r="M409" s="144" t="s">
        <v>421</v>
      </c>
      <c r="N409" s="144" t="s">
        <v>978</v>
      </c>
    </row>
    <row r="410" spans="1:14" ht="60">
      <c r="A410" s="138">
        <v>410</v>
      </c>
      <c r="B410" s="142">
        <v>6</v>
      </c>
      <c r="C410" s="142">
        <v>24</v>
      </c>
      <c r="D410" s="142">
        <v>358</v>
      </c>
      <c r="E410" s="149" t="s">
        <v>1727</v>
      </c>
      <c r="F410" s="142">
        <v>44</v>
      </c>
      <c r="G410" s="142">
        <v>546</v>
      </c>
      <c r="H410" s="142">
        <v>359</v>
      </c>
      <c r="I410" s="146" t="s">
        <v>1423</v>
      </c>
      <c r="J410" s="144" t="s">
        <v>1220</v>
      </c>
      <c r="K410" s="147"/>
      <c r="L410" s="144" t="s">
        <v>28</v>
      </c>
      <c r="M410" s="144" t="s">
        <v>261</v>
      </c>
      <c r="N410" s="144" t="s">
        <v>979</v>
      </c>
    </row>
    <row r="411" spans="1:14" ht="60">
      <c r="A411" s="138">
        <v>411</v>
      </c>
      <c r="B411" s="142">
        <v>6</v>
      </c>
      <c r="C411" s="142">
        <v>24</v>
      </c>
      <c r="D411" s="142">
        <v>359</v>
      </c>
      <c r="E411" s="149" t="s">
        <v>1728</v>
      </c>
      <c r="F411" s="142">
        <v>44</v>
      </c>
      <c r="G411" s="142">
        <v>547</v>
      </c>
      <c r="H411" s="142">
        <v>360</v>
      </c>
      <c r="I411" s="146" t="s">
        <v>1423</v>
      </c>
      <c r="J411" s="144" t="s">
        <v>1220</v>
      </c>
      <c r="K411" s="147"/>
      <c r="L411" s="144" t="s">
        <v>28</v>
      </c>
      <c r="M411" s="144" t="s">
        <v>422</v>
      </c>
      <c r="N411" s="144" t="s">
        <v>980</v>
      </c>
    </row>
    <row r="412" spans="1:14" ht="60">
      <c r="A412" s="138">
        <v>412</v>
      </c>
      <c r="B412" s="142">
        <v>6</v>
      </c>
      <c r="C412" s="142">
        <v>24</v>
      </c>
      <c r="D412" s="142">
        <v>360</v>
      </c>
      <c r="E412" s="149" t="s">
        <v>1729</v>
      </c>
      <c r="F412" s="142">
        <v>44</v>
      </c>
      <c r="G412" s="142">
        <v>548</v>
      </c>
      <c r="H412" s="142">
        <v>361</v>
      </c>
      <c r="I412" s="146" t="s">
        <v>1423</v>
      </c>
      <c r="J412" s="144" t="s">
        <v>1220</v>
      </c>
      <c r="K412" s="147"/>
      <c r="L412" s="144" t="s">
        <v>28</v>
      </c>
      <c r="M412" s="144" t="s">
        <v>423</v>
      </c>
      <c r="N412" s="144" t="s">
        <v>981</v>
      </c>
    </row>
    <row r="413" spans="1:14" ht="60">
      <c r="A413" s="138">
        <v>413</v>
      </c>
      <c r="B413" s="142">
        <v>6</v>
      </c>
      <c r="C413" s="142">
        <v>24</v>
      </c>
      <c r="D413" s="142">
        <v>361</v>
      </c>
      <c r="E413" s="149" t="s">
        <v>1730</v>
      </c>
      <c r="F413" s="142">
        <v>44</v>
      </c>
      <c r="G413" s="142">
        <v>549</v>
      </c>
      <c r="H413" s="142">
        <v>362</v>
      </c>
      <c r="I413" s="146" t="s">
        <v>1423</v>
      </c>
      <c r="J413" s="144" t="s">
        <v>1220</v>
      </c>
      <c r="K413" s="147"/>
      <c r="L413" s="144" t="s">
        <v>28</v>
      </c>
      <c r="M413" s="144" t="s">
        <v>424</v>
      </c>
      <c r="N413" s="144" t="s">
        <v>982</v>
      </c>
    </row>
    <row r="414" spans="1:14" ht="60">
      <c r="A414" s="138">
        <v>414</v>
      </c>
      <c r="B414" s="142">
        <v>6</v>
      </c>
      <c r="C414" s="142">
        <v>24</v>
      </c>
      <c r="D414" s="142">
        <v>221</v>
      </c>
      <c r="E414" s="149" t="s">
        <v>1731</v>
      </c>
      <c r="F414" s="142">
        <v>44</v>
      </c>
      <c r="G414" s="142">
        <v>550</v>
      </c>
      <c r="H414" s="142">
        <v>221</v>
      </c>
      <c r="I414" s="146" t="s">
        <v>1423</v>
      </c>
      <c r="J414" s="144" t="s">
        <v>1220</v>
      </c>
      <c r="K414" s="147"/>
      <c r="L414" s="144" t="s">
        <v>28</v>
      </c>
      <c r="M414" s="144" t="s">
        <v>265</v>
      </c>
      <c r="N414" s="144" t="s">
        <v>1366</v>
      </c>
    </row>
    <row r="415" spans="1:14" ht="60">
      <c r="A415" s="138">
        <v>415</v>
      </c>
      <c r="B415" s="142">
        <v>6</v>
      </c>
      <c r="C415" s="142">
        <v>24</v>
      </c>
      <c r="D415" s="142">
        <v>362</v>
      </c>
      <c r="E415" s="149" t="s">
        <v>1732</v>
      </c>
      <c r="F415" s="142">
        <v>44</v>
      </c>
      <c r="G415" s="142">
        <v>551</v>
      </c>
      <c r="H415" s="142">
        <v>363</v>
      </c>
      <c r="I415" s="146" t="s">
        <v>1423</v>
      </c>
      <c r="J415" s="144" t="s">
        <v>1220</v>
      </c>
      <c r="K415" s="147"/>
      <c r="L415" s="144" t="s">
        <v>28</v>
      </c>
      <c r="M415" s="144" t="s">
        <v>425</v>
      </c>
      <c r="N415" s="144" t="s">
        <v>984</v>
      </c>
    </row>
    <row r="416" spans="1:14" ht="60">
      <c r="A416" s="138">
        <v>416</v>
      </c>
      <c r="B416" s="142">
        <v>6</v>
      </c>
      <c r="C416" s="142">
        <v>24</v>
      </c>
      <c r="D416" s="142">
        <v>363</v>
      </c>
      <c r="E416" s="149" t="s">
        <v>1733</v>
      </c>
      <c r="F416" s="142">
        <v>44</v>
      </c>
      <c r="G416" s="142">
        <v>552</v>
      </c>
      <c r="H416" s="142">
        <v>364</v>
      </c>
      <c r="I416" s="146" t="s">
        <v>1423</v>
      </c>
      <c r="J416" s="144" t="s">
        <v>1220</v>
      </c>
      <c r="K416" s="147"/>
      <c r="L416" s="144" t="s">
        <v>28</v>
      </c>
      <c r="M416" s="144" t="s">
        <v>426</v>
      </c>
      <c r="N416" s="144" t="s">
        <v>985</v>
      </c>
    </row>
    <row r="417" spans="1:14" ht="60">
      <c r="A417" s="138">
        <v>417</v>
      </c>
      <c r="B417" s="142">
        <v>6</v>
      </c>
      <c r="C417" s="142">
        <v>24</v>
      </c>
      <c r="D417" s="142">
        <v>364</v>
      </c>
      <c r="E417" s="149" t="s">
        <v>1734</v>
      </c>
      <c r="F417" s="142">
        <v>44</v>
      </c>
      <c r="G417" s="142">
        <v>553</v>
      </c>
      <c r="H417" s="142">
        <v>365</v>
      </c>
      <c r="I417" s="146" t="s">
        <v>1423</v>
      </c>
      <c r="J417" s="144" t="s">
        <v>1220</v>
      </c>
      <c r="K417" s="147"/>
      <c r="L417" s="144" t="s">
        <v>28</v>
      </c>
      <c r="M417" s="144" t="s">
        <v>427</v>
      </c>
      <c r="N417" s="144" t="s">
        <v>986</v>
      </c>
    </row>
    <row r="418" spans="1:14" ht="60">
      <c r="A418" s="138">
        <v>418</v>
      </c>
      <c r="B418" s="142">
        <v>6</v>
      </c>
      <c r="C418" s="142">
        <v>24</v>
      </c>
      <c r="D418" s="142">
        <v>365</v>
      </c>
      <c r="E418" s="149" t="s">
        <v>1735</v>
      </c>
      <c r="F418" s="142">
        <v>44</v>
      </c>
      <c r="G418" s="142">
        <v>554</v>
      </c>
      <c r="H418" s="142">
        <v>366</v>
      </c>
      <c r="I418" s="146" t="s">
        <v>1423</v>
      </c>
      <c r="J418" s="144" t="s">
        <v>1220</v>
      </c>
      <c r="K418" s="147"/>
      <c r="L418" s="144" t="s">
        <v>28</v>
      </c>
      <c r="M418" s="144" t="s">
        <v>428</v>
      </c>
      <c r="N418" s="144" t="s">
        <v>987</v>
      </c>
    </row>
    <row r="419" spans="1:14" ht="60">
      <c r="A419" s="138">
        <v>419</v>
      </c>
      <c r="B419" s="142">
        <v>6</v>
      </c>
      <c r="C419" s="142">
        <v>24</v>
      </c>
      <c r="D419" s="142">
        <v>366</v>
      </c>
      <c r="E419" s="149" t="s">
        <v>1736</v>
      </c>
      <c r="F419" s="142">
        <v>44</v>
      </c>
      <c r="G419" s="142">
        <v>555</v>
      </c>
      <c r="H419" s="142">
        <v>367</v>
      </c>
      <c r="I419" s="146" t="s">
        <v>1423</v>
      </c>
      <c r="J419" s="144" t="s">
        <v>1220</v>
      </c>
      <c r="K419" s="147"/>
      <c r="L419" s="144" t="s">
        <v>28</v>
      </c>
      <c r="M419" s="144" t="s">
        <v>429</v>
      </c>
      <c r="N419" s="144" t="s">
        <v>988</v>
      </c>
    </row>
    <row r="420" spans="1:14" ht="60">
      <c r="A420" s="138">
        <v>420</v>
      </c>
      <c r="B420" s="142">
        <v>6</v>
      </c>
      <c r="C420" s="142">
        <v>24</v>
      </c>
      <c r="D420" s="142">
        <v>32</v>
      </c>
      <c r="E420" s="149" t="s">
        <v>1737</v>
      </c>
      <c r="F420" s="142">
        <v>44</v>
      </c>
      <c r="G420" s="142">
        <v>556</v>
      </c>
      <c r="H420" s="142">
        <v>437</v>
      </c>
      <c r="I420" s="146" t="s">
        <v>1423</v>
      </c>
      <c r="J420" s="144" t="s">
        <v>1220</v>
      </c>
      <c r="K420" s="147"/>
      <c r="L420" s="144" t="s">
        <v>28</v>
      </c>
      <c r="M420" s="144" t="s">
        <v>32</v>
      </c>
      <c r="N420" s="144" t="s">
        <v>989</v>
      </c>
    </row>
    <row r="421" spans="1:14" ht="60">
      <c r="A421" s="138">
        <v>421</v>
      </c>
      <c r="B421" s="142">
        <v>6</v>
      </c>
      <c r="C421" s="142">
        <v>24</v>
      </c>
      <c r="D421" s="142">
        <v>146</v>
      </c>
      <c r="E421" s="149" t="s">
        <v>1738</v>
      </c>
      <c r="F421" s="142">
        <v>44</v>
      </c>
      <c r="G421" s="142">
        <v>557</v>
      </c>
      <c r="H421" s="142">
        <v>146</v>
      </c>
      <c r="I421" s="146" t="s">
        <v>1423</v>
      </c>
      <c r="J421" s="144" t="s">
        <v>1220</v>
      </c>
      <c r="K421" s="147"/>
      <c r="L421" s="144" t="s">
        <v>28</v>
      </c>
      <c r="M421" s="144" t="s">
        <v>181</v>
      </c>
      <c r="N421" s="144" t="s">
        <v>1364</v>
      </c>
    </row>
    <row r="422" spans="1:14" ht="60">
      <c r="A422" s="138">
        <v>422</v>
      </c>
      <c r="B422" s="142">
        <v>6</v>
      </c>
      <c r="C422" s="142">
        <v>24</v>
      </c>
      <c r="D422" s="142">
        <v>367</v>
      </c>
      <c r="E422" s="149" t="s">
        <v>1739</v>
      </c>
      <c r="F422" s="142">
        <v>44</v>
      </c>
      <c r="G422" s="142">
        <v>558</v>
      </c>
      <c r="H422" s="142">
        <v>368</v>
      </c>
      <c r="I422" s="146" t="s">
        <v>1423</v>
      </c>
      <c r="J422" s="144" t="s">
        <v>1220</v>
      </c>
      <c r="K422" s="147"/>
      <c r="L422" s="144" t="s">
        <v>28</v>
      </c>
      <c r="M422" s="144" t="s">
        <v>430</v>
      </c>
      <c r="N422" s="144" t="s">
        <v>769</v>
      </c>
    </row>
    <row r="423" spans="1:14" ht="60">
      <c r="A423" s="138">
        <v>423</v>
      </c>
      <c r="B423" s="142">
        <v>6</v>
      </c>
      <c r="C423" s="142">
        <v>24</v>
      </c>
      <c r="D423" s="142">
        <v>368</v>
      </c>
      <c r="E423" s="149" t="s">
        <v>1740</v>
      </c>
      <c r="F423" s="142">
        <v>44</v>
      </c>
      <c r="G423" s="142">
        <v>559</v>
      </c>
      <c r="H423" s="142">
        <v>369</v>
      </c>
      <c r="I423" s="146" t="s">
        <v>1423</v>
      </c>
      <c r="J423" s="144" t="s">
        <v>1220</v>
      </c>
      <c r="K423" s="147"/>
      <c r="L423" s="144" t="s">
        <v>28</v>
      </c>
      <c r="M423" s="144" t="s">
        <v>431</v>
      </c>
      <c r="N423" s="144" t="s">
        <v>992</v>
      </c>
    </row>
    <row r="424" spans="1:14" ht="60">
      <c r="A424" s="138">
        <v>424</v>
      </c>
      <c r="B424" s="142">
        <v>6</v>
      </c>
      <c r="C424" s="142">
        <v>24</v>
      </c>
      <c r="D424" s="142">
        <v>369</v>
      </c>
      <c r="E424" s="149" t="s">
        <v>1741</v>
      </c>
      <c r="F424" s="142">
        <v>44</v>
      </c>
      <c r="G424" s="142">
        <v>560</v>
      </c>
      <c r="H424" s="142">
        <v>370</v>
      </c>
      <c r="I424" s="146" t="s">
        <v>1423</v>
      </c>
      <c r="J424" s="144" t="s">
        <v>1220</v>
      </c>
      <c r="K424" s="147"/>
      <c r="L424" s="144" t="s">
        <v>28</v>
      </c>
      <c r="M424" s="144" t="s">
        <v>432</v>
      </c>
      <c r="N424" s="144" t="s">
        <v>993</v>
      </c>
    </row>
    <row r="425" spans="1:14" ht="60">
      <c r="A425" s="138">
        <v>425</v>
      </c>
      <c r="B425" s="142">
        <v>6</v>
      </c>
      <c r="C425" s="142">
        <v>24</v>
      </c>
      <c r="D425" s="142">
        <v>370</v>
      </c>
      <c r="E425" s="149" t="s">
        <v>1742</v>
      </c>
      <c r="F425" s="142">
        <v>44</v>
      </c>
      <c r="G425" s="142">
        <v>561</v>
      </c>
      <c r="H425" s="142">
        <v>371</v>
      </c>
      <c r="I425" s="146" t="s">
        <v>1423</v>
      </c>
      <c r="J425" s="144" t="s">
        <v>1220</v>
      </c>
      <c r="K425" s="147"/>
      <c r="L425" s="144" t="s">
        <v>28</v>
      </c>
      <c r="M425" s="144" t="s">
        <v>433</v>
      </c>
      <c r="N425" s="144" t="s">
        <v>994</v>
      </c>
    </row>
    <row r="426" spans="1:14" ht="60">
      <c r="A426" s="138">
        <v>426</v>
      </c>
      <c r="B426" s="142">
        <v>6</v>
      </c>
      <c r="C426" s="142">
        <v>25</v>
      </c>
      <c r="D426" s="142">
        <v>371</v>
      </c>
      <c r="E426" s="149" t="s">
        <v>1743</v>
      </c>
      <c r="F426" s="142">
        <v>45</v>
      </c>
      <c r="G426" s="142">
        <v>562</v>
      </c>
      <c r="H426" s="142">
        <v>372</v>
      </c>
      <c r="I426" s="146" t="s">
        <v>1423</v>
      </c>
      <c r="J426" s="144" t="s">
        <v>1220</v>
      </c>
      <c r="K426" s="147"/>
      <c r="L426" s="144" t="s">
        <v>29</v>
      </c>
      <c r="M426" s="144" t="s">
        <v>434</v>
      </c>
      <c r="N426" s="144" t="s">
        <v>995</v>
      </c>
    </row>
    <row r="427" spans="1:14" ht="60">
      <c r="A427" s="138">
        <v>427</v>
      </c>
      <c r="B427" s="142">
        <v>6</v>
      </c>
      <c r="C427" s="142">
        <v>25</v>
      </c>
      <c r="D427" s="142">
        <v>372</v>
      </c>
      <c r="E427" s="149" t="s">
        <v>1744</v>
      </c>
      <c r="F427" s="142">
        <v>45</v>
      </c>
      <c r="G427" s="142">
        <v>563</v>
      </c>
      <c r="H427" s="142">
        <v>373</v>
      </c>
      <c r="I427" s="146" t="s">
        <v>1423</v>
      </c>
      <c r="J427" s="144" t="s">
        <v>1220</v>
      </c>
      <c r="K427" s="147"/>
      <c r="L427" s="144" t="s">
        <v>29</v>
      </c>
      <c r="M427" s="144" t="s">
        <v>435</v>
      </c>
      <c r="N427" s="144" t="s">
        <v>996</v>
      </c>
    </row>
    <row r="428" spans="1:14" ht="60">
      <c r="A428" s="138">
        <v>428</v>
      </c>
      <c r="B428" s="142">
        <v>6</v>
      </c>
      <c r="C428" s="142">
        <v>25</v>
      </c>
      <c r="D428" s="142">
        <v>101</v>
      </c>
      <c r="E428" s="149" t="s">
        <v>1745</v>
      </c>
      <c r="F428" s="142">
        <v>45</v>
      </c>
      <c r="G428" s="142">
        <v>564</v>
      </c>
      <c r="H428" s="142">
        <v>450</v>
      </c>
      <c r="I428" s="146" t="s">
        <v>1423</v>
      </c>
      <c r="J428" s="144" t="s">
        <v>1220</v>
      </c>
      <c r="K428" s="147"/>
      <c r="L428" s="144" t="s">
        <v>29</v>
      </c>
      <c r="M428" s="144" t="s">
        <v>135</v>
      </c>
      <c r="N428" s="144" t="s">
        <v>997</v>
      </c>
    </row>
    <row r="429" spans="1:14" ht="60">
      <c r="A429" s="138">
        <v>429</v>
      </c>
      <c r="B429" s="142">
        <v>6</v>
      </c>
      <c r="C429" s="142">
        <v>25</v>
      </c>
      <c r="D429" s="142">
        <v>373</v>
      </c>
      <c r="E429" s="149" t="s">
        <v>1746</v>
      </c>
      <c r="F429" s="142">
        <v>45</v>
      </c>
      <c r="G429" s="142">
        <v>565</v>
      </c>
      <c r="H429" s="142">
        <v>374</v>
      </c>
      <c r="I429" s="146" t="s">
        <v>1423</v>
      </c>
      <c r="J429" s="144" t="s">
        <v>1220</v>
      </c>
      <c r="K429" s="147"/>
      <c r="L429" s="144" t="s">
        <v>29</v>
      </c>
      <c r="M429" s="144" t="s">
        <v>436</v>
      </c>
      <c r="N429" s="144" t="s">
        <v>998</v>
      </c>
    </row>
    <row r="430" spans="1:14" ht="60">
      <c r="A430" s="138">
        <v>430</v>
      </c>
      <c r="B430" s="142">
        <v>6</v>
      </c>
      <c r="C430" s="142">
        <v>25</v>
      </c>
      <c r="D430" s="142">
        <v>374</v>
      </c>
      <c r="E430" s="149" t="s">
        <v>1747</v>
      </c>
      <c r="F430" s="142">
        <v>45</v>
      </c>
      <c r="G430" s="142">
        <v>566</v>
      </c>
      <c r="H430" s="142">
        <v>375</v>
      </c>
      <c r="I430" s="146" t="s">
        <v>1423</v>
      </c>
      <c r="J430" s="144" t="s">
        <v>1220</v>
      </c>
      <c r="K430" s="147"/>
      <c r="L430" s="144" t="s">
        <v>29</v>
      </c>
      <c r="M430" s="144" t="s">
        <v>437</v>
      </c>
      <c r="N430" s="144" t="s">
        <v>999</v>
      </c>
    </row>
    <row r="431" spans="1:14" ht="60">
      <c r="A431" s="138">
        <v>431</v>
      </c>
      <c r="B431" s="142">
        <v>6</v>
      </c>
      <c r="C431" s="142">
        <v>25</v>
      </c>
      <c r="D431" s="142">
        <v>375</v>
      </c>
      <c r="E431" s="149" t="s">
        <v>1748</v>
      </c>
      <c r="F431" s="142">
        <v>45</v>
      </c>
      <c r="G431" s="142">
        <v>567</v>
      </c>
      <c r="H431" s="142">
        <v>376</v>
      </c>
      <c r="I431" s="146" t="s">
        <v>1423</v>
      </c>
      <c r="J431" s="144" t="s">
        <v>1220</v>
      </c>
      <c r="K431" s="147"/>
      <c r="L431" s="144" t="s">
        <v>29</v>
      </c>
      <c r="M431" s="144" t="s">
        <v>438</v>
      </c>
      <c r="N431" s="144" t="s">
        <v>1000</v>
      </c>
    </row>
    <row r="432" spans="1:14" ht="60">
      <c r="A432" s="138">
        <v>432</v>
      </c>
      <c r="B432" s="142">
        <v>6</v>
      </c>
      <c r="C432" s="142">
        <v>25</v>
      </c>
      <c r="D432" s="142">
        <v>376</v>
      </c>
      <c r="E432" s="149" t="s">
        <v>1749</v>
      </c>
      <c r="F432" s="142">
        <v>45</v>
      </c>
      <c r="G432" s="142">
        <v>568</v>
      </c>
      <c r="H432" s="142">
        <v>377</v>
      </c>
      <c r="I432" s="146" t="s">
        <v>1423</v>
      </c>
      <c r="J432" s="144" t="s">
        <v>1220</v>
      </c>
      <c r="K432" s="147"/>
      <c r="L432" s="144" t="s">
        <v>29</v>
      </c>
      <c r="M432" s="144" t="s">
        <v>439</v>
      </c>
      <c r="N432" s="144" t="s">
        <v>1001</v>
      </c>
    </row>
    <row r="433" spans="1:14" ht="60">
      <c r="A433" s="138">
        <v>433</v>
      </c>
      <c r="B433" s="142">
        <v>6</v>
      </c>
      <c r="C433" s="142">
        <v>25</v>
      </c>
      <c r="D433" s="142">
        <v>377</v>
      </c>
      <c r="E433" s="149" t="s">
        <v>1750</v>
      </c>
      <c r="F433" s="142">
        <v>45</v>
      </c>
      <c r="G433" s="142">
        <v>569</v>
      </c>
      <c r="H433" s="142">
        <v>378</v>
      </c>
      <c r="I433" s="146" t="s">
        <v>1423</v>
      </c>
      <c r="J433" s="144" t="s">
        <v>1220</v>
      </c>
      <c r="K433" s="147"/>
      <c r="L433" s="144" t="s">
        <v>29</v>
      </c>
      <c r="M433" s="144" t="s">
        <v>440</v>
      </c>
      <c r="N433" s="144" t="s">
        <v>1002</v>
      </c>
    </row>
    <row r="434" spans="1:14" ht="60">
      <c r="A434" s="138">
        <v>434</v>
      </c>
      <c r="B434" s="142">
        <v>6</v>
      </c>
      <c r="C434" s="142">
        <v>7</v>
      </c>
      <c r="D434" s="142">
        <v>225</v>
      </c>
      <c r="E434" s="149" t="s">
        <v>1751</v>
      </c>
      <c r="F434" s="142">
        <v>47</v>
      </c>
      <c r="G434" s="142">
        <v>570</v>
      </c>
      <c r="H434" s="142">
        <v>225</v>
      </c>
      <c r="I434" s="146" t="s">
        <v>1423</v>
      </c>
      <c r="J434" s="144" t="s">
        <v>1220</v>
      </c>
      <c r="K434" s="147"/>
      <c r="L434" s="144" t="s">
        <v>11</v>
      </c>
      <c r="M434" s="144" t="s">
        <v>270</v>
      </c>
      <c r="N434" s="144" t="s">
        <v>797</v>
      </c>
    </row>
    <row r="435" spans="1:14" ht="105">
      <c r="A435" s="138">
        <v>435</v>
      </c>
      <c r="B435" s="142">
        <v>6</v>
      </c>
      <c r="C435" s="142">
        <v>7</v>
      </c>
      <c r="D435" s="142">
        <v>226</v>
      </c>
      <c r="E435" s="149" t="s">
        <v>1752</v>
      </c>
      <c r="F435" s="142">
        <v>47</v>
      </c>
      <c r="G435" s="142">
        <v>571</v>
      </c>
      <c r="H435" s="142">
        <v>226</v>
      </c>
      <c r="I435" s="146" t="s">
        <v>1423</v>
      </c>
      <c r="J435" s="144" t="s">
        <v>1220</v>
      </c>
      <c r="K435" s="147"/>
      <c r="L435" s="144" t="s">
        <v>11</v>
      </c>
      <c r="M435" s="144" t="s">
        <v>351</v>
      </c>
      <c r="N435" s="144" t="s">
        <v>1063</v>
      </c>
    </row>
    <row r="436" spans="1:14" ht="60">
      <c r="A436" s="138">
        <v>436</v>
      </c>
      <c r="B436" s="142">
        <v>6</v>
      </c>
      <c r="C436" s="142">
        <v>7</v>
      </c>
      <c r="D436" s="142">
        <v>10</v>
      </c>
      <c r="E436" s="149" t="s">
        <v>1753</v>
      </c>
      <c r="F436" s="142">
        <v>47</v>
      </c>
      <c r="G436" s="142">
        <v>572</v>
      </c>
      <c r="H436" s="142">
        <v>10</v>
      </c>
      <c r="I436" s="146" t="s">
        <v>1423</v>
      </c>
      <c r="J436" s="144" t="s">
        <v>1220</v>
      </c>
      <c r="K436" s="147"/>
      <c r="L436" s="144" t="s">
        <v>11</v>
      </c>
      <c r="M436" s="144" t="s">
        <v>47</v>
      </c>
      <c r="N436" s="144" t="s">
        <v>910</v>
      </c>
    </row>
    <row r="437" spans="1:14" ht="60">
      <c r="A437" s="138">
        <v>437</v>
      </c>
      <c r="B437" s="142">
        <v>6</v>
      </c>
      <c r="C437" s="142">
        <v>7</v>
      </c>
      <c r="D437" s="142">
        <v>378</v>
      </c>
      <c r="E437" s="149" t="s">
        <v>1754</v>
      </c>
      <c r="F437" s="142">
        <v>47</v>
      </c>
      <c r="G437" s="142">
        <v>573</v>
      </c>
      <c r="H437" s="142">
        <v>379</v>
      </c>
      <c r="I437" s="146" t="s">
        <v>1423</v>
      </c>
      <c r="J437" s="144" t="s">
        <v>1220</v>
      </c>
      <c r="K437" s="147"/>
      <c r="L437" s="144" t="s">
        <v>11</v>
      </c>
      <c r="M437" s="144" t="s">
        <v>441</v>
      </c>
      <c r="N437" s="144" t="s">
        <v>1004</v>
      </c>
    </row>
    <row r="438" spans="1:14" ht="60">
      <c r="A438" s="138">
        <v>438</v>
      </c>
      <c r="B438" s="142">
        <v>6</v>
      </c>
      <c r="C438" s="142">
        <v>7</v>
      </c>
      <c r="D438" s="142">
        <v>73</v>
      </c>
      <c r="E438" s="149" t="s">
        <v>1755</v>
      </c>
      <c r="F438" s="142">
        <v>47</v>
      </c>
      <c r="G438" s="142">
        <v>574</v>
      </c>
      <c r="H438" s="142">
        <v>445</v>
      </c>
      <c r="I438" s="146" t="s">
        <v>1423</v>
      </c>
      <c r="J438" s="144" t="s">
        <v>1220</v>
      </c>
      <c r="K438" s="147"/>
      <c r="L438" s="144" t="s">
        <v>11</v>
      </c>
      <c r="M438" s="144" t="s">
        <v>353</v>
      </c>
      <c r="N438" s="144" t="s">
        <v>912</v>
      </c>
    </row>
    <row r="439" spans="1:14" ht="60">
      <c r="A439" s="138">
        <v>439</v>
      </c>
      <c r="B439" s="142">
        <v>6</v>
      </c>
      <c r="C439" s="142">
        <v>7</v>
      </c>
      <c r="D439" s="142">
        <v>74</v>
      </c>
      <c r="E439" s="149" t="s">
        <v>1756</v>
      </c>
      <c r="F439" s="142">
        <v>47</v>
      </c>
      <c r="G439" s="142">
        <v>575</v>
      </c>
      <c r="H439" s="142">
        <v>74</v>
      </c>
      <c r="I439" s="146" t="s">
        <v>1423</v>
      </c>
      <c r="J439" s="144" t="s">
        <v>1220</v>
      </c>
      <c r="K439" s="147"/>
      <c r="L439" s="144" t="s">
        <v>11</v>
      </c>
      <c r="M439" s="144" t="s">
        <v>109</v>
      </c>
      <c r="N439" s="144" t="s">
        <v>1067</v>
      </c>
    </row>
    <row r="440" spans="1:14" ht="60">
      <c r="A440" s="138">
        <v>440</v>
      </c>
      <c r="B440" s="142">
        <v>6</v>
      </c>
      <c r="C440" s="142">
        <v>7</v>
      </c>
      <c r="D440" s="142">
        <v>75</v>
      </c>
      <c r="E440" s="149" t="s">
        <v>1757</v>
      </c>
      <c r="F440" s="142">
        <v>47</v>
      </c>
      <c r="G440" s="142">
        <v>576</v>
      </c>
      <c r="H440" s="142">
        <v>75</v>
      </c>
      <c r="I440" s="146" t="s">
        <v>1423</v>
      </c>
      <c r="J440" s="144" t="s">
        <v>1220</v>
      </c>
      <c r="K440" s="147"/>
      <c r="L440" s="144" t="s">
        <v>11</v>
      </c>
      <c r="M440" s="144" t="s">
        <v>355</v>
      </c>
      <c r="N440" s="144" t="s">
        <v>1352</v>
      </c>
    </row>
    <row r="441" spans="1:14" ht="60">
      <c r="A441" s="138">
        <v>441</v>
      </c>
      <c r="B441" s="142">
        <v>6</v>
      </c>
      <c r="C441" s="142">
        <v>7</v>
      </c>
      <c r="D441" s="142">
        <v>301</v>
      </c>
      <c r="E441" s="149" t="s">
        <v>1758</v>
      </c>
      <c r="F441" s="142">
        <v>47</v>
      </c>
      <c r="G441" s="142">
        <v>577</v>
      </c>
      <c r="H441" s="142">
        <v>302</v>
      </c>
      <c r="I441" s="146" t="s">
        <v>1423</v>
      </c>
      <c r="J441" s="144" t="s">
        <v>1220</v>
      </c>
      <c r="K441" s="147"/>
      <c r="L441" s="144" t="s">
        <v>11</v>
      </c>
      <c r="M441" s="144" t="s">
        <v>357</v>
      </c>
      <c r="N441" s="144" t="s">
        <v>1367</v>
      </c>
    </row>
    <row r="442" spans="1:14" ht="60">
      <c r="A442" s="138">
        <v>442</v>
      </c>
      <c r="B442" s="142">
        <v>6</v>
      </c>
      <c r="C442" s="142">
        <v>7</v>
      </c>
      <c r="D442" s="142">
        <v>78</v>
      </c>
      <c r="E442" s="149" t="s">
        <v>1759</v>
      </c>
      <c r="F442" s="142">
        <v>47</v>
      </c>
      <c r="G442" s="142">
        <v>578</v>
      </c>
      <c r="H442" s="142">
        <v>78</v>
      </c>
      <c r="I442" s="146" t="s">
        <v>1423</v>
      </c>
      <c r="J442" s="144" t="s">
        <v>1220</v>
      </c>
      <c r="K442" s="147"/>
      <c r="L442" s="144" t="s">
        <v>11</v>
      </c>
      <c r="M442" s="144" t="s">
        <v>112</v>
      </c>
      <c r="N442" s="144" t="s">
        <v>808</v>
      </c>
    </row>
    <row r="443" spans="1:14" ht="60">
      <c r="A443" s="138">
        <v>443</v>
      </c>
      <c r="B443" s="142">
        <v>6</v>
      </c>
      <c r="C443" s="142">
        <v>7</v>
      </c>
      <c r="D443" s="142">
        <v>80</v>
      </c>
      <c r="E443" s="149" t="s">
        <v>1760</v>
      </c>
      <c r="F443" s="142">
        <v>47</v>
      </c>
      <c r="G443" s="142">
        <v>579</v>
      </c>
      <c r="H443" s="142">
        <v>80</v>
      </c>
      <c r="I443" s="146" t="s">
        <v>1423</v>
      </c>
      <c r="J443" s="144" t="s">
        <v>1220</v>
      </c>
      <c r="K443" s="147"/>
      <c r="L443" s="144" t="s">
        <v>11</v>
      </c>
      <c r="M443" s="144" t="s">
        <v>114</v>
      </c>
      <c r="N443" s="144" t="s">
        <v>810</v>
      </c>
    </row>
    <row r="444" spans="1:14" ht="60">
      <c r="A444" s="138">
        <v>444</v>
      </c>
      <c r="B444" s="142">
        <v>6</v>
      </c>
      <c r="C444" s="142">
        <v>7</v>
      </c>
      <c r="D444" s="142">
        <v>81</v>
      </c>
      <c r="E444" s="149" t="s">
        <v>1761</v>
      </c>
      <c r="F444" s="142">
        <v>47</v>
      </c>
      <c r="G444" s="142">
        <v>580</v>
      </c>
      <c r="H444" s="142">
        <v>81</v>
      </c>
      <c r="I444" s="146" t="s">
        <v>1423</v>
      </c>
      <c r="J444" s="144" t="s">
        <v>1220</v>
      </c>
      <c r="K444" s="147"/>
      <c r="L444" s="144" t="s">
        <v>11</v>
      </c>
      <c r="M444" s="144" t="s">
        <v>115</v>
      </c>
      <c r="N444" s="144" t="s">
        <v>812</v>
      </c>
    </row>
    <row r="445" spans="1:14" ht="60">
      <c r="A445" s="138">
        <v>445</v>
      </c>
      <c r="B445" s="142">
        <v>6</v>
      </c>
      <c r="C445" s="142">
        <v>7</v>
      </c>
      <c r="D445" s="142">
        <v>82</v>
      </c>
      <c r="E445" s="149" t="s">
        <v>1762</v>
      </c>
      <c r="F445" s="142">
        <v>47</v>
      </c>
      <c r="G445" s="142">
        <v>581</v>
      </c>
      <c r="H445" s="142">
        <v>82</v>
      </c>
      <c r="I445" s="146" t="s">
        <v>1423</v>
      </c>
      <c r="J445" s="144" t="s">
        <v>1220</v>
      </c>
      <c r="K445" s="147"/>
      <c r="L445" s="144" t="s">
        <v>11</v>
      </c>
      <c r="M445" s="144" t="s">
        <v>116</v>
      </c>
      <c r="N445" s="144" t="s">
        <v>1353</v>
      </c>
    </row>
    <row r="446" spans="1:14" ht="60">
      <c r="A446" s="138">
        <v>446</v>
      </c>
      <c r="B446" s="142">
        <v>6</v>
      </c>
      <c r="C446" s="142">
        <v>7</v>
      </c>
      <c r="D446" s="142">
        <v>234</v>
      </c>
      <c r="E446" s="149" t="s">
        <v>1763</v>
      </c>
      <c r="F446" s="142">
        <v>47</v>
      </c>
      <c r="G446" s="142">
        <v>582</v>
      </c>
      <c r="H446" s="142">
        <v>234</v>
      </c>
      <c r="I446" s="146" t="s">
        <v>1423</v>
      </c>
      <c r="J446" s="144" t="s">
        <v>1220</v>
      </c>
      <c r="K446" s="147"/>
      <c r="L446" s="144" t="s">
        <v>11</v>
      </c>
      <c r="M446" s="144" t="s">
        <v>279</v>
      </c>
      <c r="N446" s="144" t="s">
        <v>822</v>
      </c>
    </row>
    <row r="447" spans="1:14" ht="105">
      <c r="A447" s="138">
        <v>447</v>
      </c>
      <c r="B447" s="142">
        <v>6</v>
      </c>
      <c r="C447" s="142">
        <v>6</v>
      </c>
      <c r="D447" s="142">
        <v>379</v>
      </c>
      <c r="E447" s="149" t="s">
        <v>1764</v>
      </c>
      <c r="F447" s="142">
        <v>46</v>
      </c>
      <c r="G447" s="142">
        <v>583</v>
      </c>
      <c r="H447" s="142">
        <v>380</v>
      </c>
      <c r="I447" s="146" t="s">
        <v>1423</v>
      </c>
      <c r="J447" s="144" t="s">
        <v>1220</v>
      </c>
      <c r="K447" s="147"/>
      <c r="L447" s="144" t="s">
        <v>10</v>
      </c>
      <c r="M447" s="144" t="s">
        <v>442</v>
      </c>
      <c r="N447" s="144" t="s">
        <v>1007</v>
      </c>
    </row>
    <row r="448" spans="1:14" ht="60">
      <c r="A448" s="138">
        <v>448</v>
      </c>
      <c r="B448" s="142">
        <v>6</v>
      </c>
      <c r="C448" s="142">
        <v>6</v>
      </c>
      <c r="D448" s="142">
        <v>380</v>
      </c>
      <c r="E448" s="149" t="s">
        <v>1765</v>
      </c>
      <c r="F448" s="142">
        <v>46</v>
      </c>
      <c r="G448" s="142">
        <v>584</v>
      </c>
      <c r="H448" s="142">
        <v>381</v>
      </c>
      <c r="I448" s="146" t="s">
        <v>1423</v>
      </c>
      <c r="J448" s="144" t="s">
        <v>1220</v>
      </c>
      <c r="K448" s="147"/>
      <c r="L448" s="144" t="s">
        <v>10</v>
      </c>
      <c r="M448" s="144" t="s">
        <v>443</v>
      </c>
      <c r="N448" s="144" t="s">
        <v>1008</v>
      </c>
    </row>
    <row r="449" spans="1:14" ht="60">
      <c r="A449" s="138">
        <v>449</v>
      </c>
      <c r="B449" s="142">
        <v>6</v>
      </c>
      <c r="C449" s="142">
        <v>6</v>
      </c>
      <c r="D449" s="142">
        <v>381</v>
      </c>
      <c r="E449" s="149" t="s">
        <v>1766</v>
      </c>
      <c r="F449" s="142">
        <v>46</v>
      </c>
      <c r="G449" s="142">
        <v>585</v>
      </c>
      <c r="H449" s="142">
        <v>382</v>
      </c>
      <c r="I449" s="146" t="s">
        <v>1423</v>
      </c>
      <c r="J449" s="144" t="s">
        <v>1220</v>
      </c>
      <c r="K449" s="147"/>
      <c r="L449" s="144" t="s">
        <v>10</v>
      </c>
      <c r="M449" s="144" t="s">
        <v>444</v>
      </c>
      <c r="N449" s="144" t="s">
        <v>1186</v>
      </c>
    </row>
    <row r="450" spans="1:14" ht="60">
      <c r="A450" s="138">
        <v>450</v>
      </c>
      <c r="B450" s="142">
        <v>6</v>
      </c>
      <c r="C450" s="142">
        <v>6</v>
      </c>
      <c r="D450" s="142">
        <v>382</v>
      </c>
      <c r="E450" s="149" t="s">
        <v>1767</v>
      </c>
      <c r="F450" s="142">
        <v>46</v>
      </c>
      <c r="G450" s="142">
        <v>586</v>
      </c>
      <c r="H450" s="142">
        <v>383</v>
      </c>
      <c r="I450" s="146" t="s">
        <v>1423</v>
      </c>
      <c r="J450" s="144" t="s">
        <v>1220</v>
      </c>
      <c r="K450" s="147"/>
      <c r="L450" s="144" t="s">
        <v>10</v>
      </c>
      <c r="M450" s="144" t="s">
        <v>445</v>
      </c>
      <c r="N450" s="144" t="s">
        <v>1009</v>
      </c>
    </row>
    <row r="451" spans="1:14" ht="60">
      <c r="A451" s="138">
        <v>451</v>
      </c>
      <c r="B451" s="142">
        <v>6</v>
      </c>
      <c r="C451" s="142">
        <v>6</v>
      </c>
      <c r="D451" s="142">
        <v>65</v>
      </c>
      <c r="E451" s="149" t="s">
        <v>1768</v>
      </c>
      <c r="F451" s="142">
        <v>46</v>
      </c>
      <c r="G451" s="142">
        <v>587</v>
      </c>
      <c r="H451" s="142">
        <v>65</v>
      </c>
      <c r="I451" s="146" t="s">
        <v>1423</v>
      </c>
      <c r="J451" s="144" t="s">
        <v>1220</v>
      </c>
      <c r="K451" s="147"/>
      <c r="L451" s="144" t="s">
        <v>10</v>
      </c>
      <c r="M451" s="144" t="s">
        <v>362</v>
      </c>
      <c r="N451" s="144" t="s">
        <v>1349</v>
      </c>
    </row>
    <row r="452" spans="1:14" ht="60">
      <c r="A452" s="138">
        <v>452</v>
      </c>
      <c r="B452" s="142">
        <v>6</v>
      </c>
      <c r="C452" s="142">
        <v>6</v>
      </c>
      <c r="D452" s="142">
        <v>240</v>
      </c>
      <c r="E452" s="149" t="s">
        <v>1769</v>
      </c>
      <c r="F452" s="142">
        <v>46</v>
      </c>
      <c r="G452" s="142">
        <v>588</v>
      </c>
      <c r="H452" s="142">
        <v>240</v>
      </c>
      <c r="I452" s="146" t="s">
        <v>1423</v>
      </c>
      <c r="J452" s="144" t="s">
        <v>1220</v>
      </c>
      <c r="K452" s="147"/>
      <c r="L452" s="144" t="s">
        <v>10</v>
      </c>
      <c r="M452" s="144" t="s">
        <v>285</v>
      </c>
      <c r="N452" s="144" t="s">
        <v>1011</v>
      </c>
    </row>
    <row r="453" spans="1:14" ht="60">
      <c r="A453" s="138">
        <v>453</v>
      </c>
      <c r="B453" s="142">
        <v>6</v>
      </c>
      <c r="C453" s="142">
        <v>6</v>
      </c>
      <c r="D453" s="142">
        <v>66</v>
      </c>
      <c r="E453" s="149" t="s">
        <v>1770</v>
      </c>
      <c r="F453" s="142">
        <v>46</v>
      </c>
      <c r="G453" s="142">
        <v>589</v>
      </c>
      <c r="H453" s="142">
        <v>66</v>
      </c>
      <c r="I453" s="146" t="s">
        <v>1423</v>
      </c>
      <c r="J453" s="144" t="s">
        <v>1220</v>
      </c>
      <c r="K453" s="147"/>
      <c r="L453" s="144" t="s">
        <v>10</v>
      </c>
      <c r="M453" s="144" t="s">
        <v>286</v>
      </c>
      <c r="N453" s="144" t="s">
        <v>836</v>
      </c>
    </row>
    <row r="454" spans="1:14" ht="60">
      <c r="A454" s="138">
        <v>454</v>
      </c>
      <c r="B454" s="142">
        <v>6</v>
      </c>
      <c r="C454" s="142">
        <v>6</v>
      </c>
      <c r="D454" s="142">
        <v>241</v>
      </c>
      <c r="E454" s="149" t="s">
        <v>1771</v>
      </c>
      <c r="F454" s="142">
        <v>46</v>
      </c>
      <c r="G454" s="142">
        <v>590</v>
      </c>
      <c r="H454" s="142">
        <v>241</v>
      </c>
      <c r="I454" s="146" t="s">
        <v>1423</v>
      </c>
      <c r="J454" s="144" t="s">
        <v>1220</v>
      </c>
      <c r="K454" s="147"/>
      <c r="L454" s="144" t="s">
        <v>10</v>
      </c>
      <c r="M454" s="144" t="s">
        <v>287</v>
      </c>
      <c r="N454" s="144" t="s">
        <v>1012</v>
      </c>
    </row>
    <row r="455" spans="1:14" ht="60">
      <c r="A455" s="138">
        <v>455</v>
      </c>
      <c r="B455" s="142">
        <v>6</v>
      </c>
      <c r="C455" s="142">
        <v>8</v>
      </c>
      <c r="D455" s="142">
        <v>55</v>
      </c>
      <c r="E455" s="149" t="s">
        <v>1772</v>
      </c>
      <c r="F455" s="142">
        <v>48</v>
      </c>
      <c r="G455" s="142">
        <v>591</v>
      </c>
      <c r="H455" s="142">
        <v>439</v>
      </c>
      <c r="I455" s="146" t="s">
        <v>1423</v>
      </c>
      <c r="J455" s="144" t="s">
        <v>1220</v>
      </c>
      <c r="K455" s="147"/>
      <c r="L455" s="144" t="s">
        <v>12</v>
      </c>
      <c r="M455" s="144" t="s">
        <v>93</v>
      </c>
      <c r="N455" s="144" t="s">
        <v>1346</v>
      </c>
    </row>
    <row r="456" spans="1:14" ht="60">
      <c r="A456" s="138">
        <v>456</v>
      </c>
      <c r="B456" s="142">
        <v>6</v>
      </c>
      <c r="C456" s="142">
        <v>8</v>
      </c>
      <c r="D456" s="142">
        <v>383</v>
      </c>
      <c r="E456" s="149" t="s">
        <v>1773</v>
      </c>
      <c r="F456" s="142">
        <v>48</v>
      </c>
      <c r="G456" s="142">
        <v>592</v>
      </c>
      <c r="H456" s="142">
        <v>384</v>
      </c>
      <c r="I456" s="146" t="s">
        <v>1423</v>
      </c>
      <c r="J456" s="144" t="s">
        <v>1220</v>
      </c>
      <c r="K456" s="147"/>
      <c r="L456" s="144" t="s">
        <v>12</v>
      </c>
      <c r="M456" s="144" t="s">
        <v>446</v>
      </c>
      <c r="N456" s="144" t="s">
        <v>1014</v>
      </c>
    </row>
    <row r="457" spans="1:14" ht="60">
      <c r="A457" s="138">
        <v>457</v>
      </c>
      <c r="B457" s="142">
        <v>6</v>
      </c>
      <c r="C457" s="142">
        <v>8</v>
      </c>
      <c r="D457" s="142">
        <v>384</v>
      </c>
      <c r="E457" s="149" t="s">
        <v>1774</v>
      </c>
      <c r="F457" s="142">
        <v>48</v>
      </c>
      <c r="G457" s="142">
        <v>593</v>
      </c>
      <c r="H457" s="142">
        <v>385</v>
      </c>
      <c r="I457" s="146" t="s">
        <v>1423</v>
      </c>
      <c r="J457" s="144" t="s">
        <v>1220</v>
      </c>
      <c r="K457" s="147"/>
      <c r="L457" s="144" t="s">
        <v>12</v>
      </c>
      <c r="M457" s="144" t="s">
        <v>447</v>
      </c>
      <c r="N457" s="144" t="s">
        <v>1015</v>
      </c>
    </row>
    <row r="458" spans="1:14" ht="60">
      <c r="A458" s="138">
        <v>458</v>
      </c>
      <c r="B458" s="142">
        <v>6</v>
      </c>
      <c r="C458" s="142">
        <v>8</v>
      </c>
      <c r="D458" s="142">
        <v>385</v>
      </c>
      <c r="E458" s="149" t="s">
        <v>1775</v>
      </c>
      <c r="F458" s="142">
        <v>48</v>
      </c>
      <c r="G458" s="142">
        <v>594</v>
      </c>
      <c r="H458" s="142">
        <v>386</v>
      </c>
      <c r="I458" s="146" t="s">
        <v>1423</v>
      </c>
      <c r="J458" s="144" t="s">
        <v>1220</v>
      </c>
      <c r="K458" s="147"/>
      <c r="L458" s="144" t="s">
        <v>12</v>
      </c>
      <c r="M458" s="144" t="s">
        <v>448</v>
      </c>
      <c r="N458" s="144" t="s">
        <v>1016</v>
      </c>
    </row>
    <row r="459" spans="1:14" ht="60">
      <c r="A459" s="138">
        <v>459</v>
      </c>
      <c r="B459" s="142">
        <v>7</v>
      </c>
      <c r="C459" s="142">
        <v>26</v>
      </c>
      <c r="D459" s="142">
        <v>386</v>
      </c>
      <c r="E459" s="149" t="s">
        <v>1776</v>
      </c>
      <c r="F459" s="142">
        <v>49</v>
      </c>
      <c r="G459" s="142">
        <v>595</v>
      </c>
      <c r="H459" s="142">
        <v>387</v>
      </c>
      <c r="I459" s="146" t="s">
        <v>1423</v>
      </c>
      <c r="J459" s="144" t="s">
        <v>1372</v>
      </c>
      <c r="K459" s="147"/>
      <c r="L459" s="144" t="s">
        <v>30</v>
      </c>
      <c r="M459" s="144" t="s">
        <v>449</v>
      </c>
      <c r="N459" s="144" t="s">
        <v>1017</v>
      </c>
    </row>
    <row r="460" spans="1:14" ht="60">
      <c r="A460" s="138">
        <v>460</v>
      </c>
      <c r="B460" s="142">
        <v>7</v>
      </c>
      <c r="C460" s="142">
        <v>26</v>
      </c>
      <c r="D460" s="142">
        <v>387</v>
      </c>
      <c r="E460" s="149" t="s">
        <v>1777</v>
      </c>
      <c r="F460" s="142">
        <v>49</v>
      </c>
      <c r="G460" s="142">
        <v>596</v>
      </c>
      <c r="H460" s="142">
        <v>388</v>
      </c>
      <c r="I460" s="146" t="s">
        <v>1423</v>
      </c>
      <c r="J460" s="144" t="s">
        <v>1372</v>
      </c>
      <c r="K460" s="147"/>
      <c r="L460" s="144" t="s">
        <v>30</v>
      </c>
      <c r="M460" s="144" t="s">
        <v>450</v>
      </c>
      <c r="N460" s="144" t="s">
        <v>1018</v>
      </c>
    </row>
    <row r="461" spans="1:14" ht="60">
      <c r="A461" s="138">
        <v>461</v>
      </c>
      <c r="B461" s="142">
        <v>7</v>
      </c>
      <c r="C461" s="142">
        <v>26</v>
      </c>
      <c r="D461" s="142">
        <v>388</v>
      </c>
      <c r="E461" s="149" t="s">
        <v>1778</v>
      </c>
      <c r="F461" s="142">
        <v>49</v>
      </c>
      <c r="G461" s="142">
        <v>597</v>
      </c>
      <c r="H461" s="142">
        <v>389</v>
      </c>
      <c r="I461" s="146" t="s">
        <v>1423</v>
      </c>
      <c r="J461" s="144" t="s">
        <v>1372</v>
      </c>
      <c r="K461" s="147"/>
      <c r="L461" s="144" t="s">
        <v>30</v>
      </c>
      <c r="M461" s="144" t="s">
        <v>452</v>
      </c>
      <c r="N461" s="144" t="s">
        <v>1188</v>
      </c>
    </row>
    <row r="462" spans="1:14" ht="60">
      <c r="A462" s="138">
        <v>462</v>
      </c>
      <c r="B462" s="142">
        <v>7</v>
      </c>
      <c r="C462" s="142">
        <v>26</v>
      </c>
      <c r="D462" s="142">
        <v>389</v>
      </c>
      <c r="E462" s="149" t="s">
        <v>1779</v>
      </c>
      <c r="F462" s="142">
        <v>49</v>
      </c>
      <c r="G462" s="142">
        <v>598</v>
      </c>
      <c r="H462" s="142">
        <v>390</v>
      </c>
      <c r="I462" s="146" t="s">
        <v>1423</v>
      </c>
      <c r="J462" s="144" t="s">
        <v>1372</v>
      </c>
      <c r="K462" s="147"/>
      <c r="L462" s="144" t="s">
        <v>30</v>
      </c>
      <c r="M462" s="144" t="s">
        <v>453</v>
      </c>
      <c r="N462" s="144" t="s">
        <v>1020</v>
      </c>
    </row>
    <row r="463" spans="1:14" ht="60">
      <c r="A463" s="138">
        <v>463</v>
      </c>
      <c r="B463" s="142">
        <v>7</v>
      </c>
      <c r="C463" s="142">
        <v>26</v>
      </c>
      <c r="D463" s="142">
        <v>390</v>
      </c>
      <c r="E463" s="149" t="s">
        <v>1780</v>
      </c>
      <c r="F463" s="142">
        <v>49</v>
      </c>
      <c r="G463" s="142">
        <v>599</v>
      </c>
      <c r="H463" s="142">
        <v>391</v>
      </c>
      <c r="I463" s="146" t="s">
        <v>1423</v>
      </c>
      <c r="J463" s="144" t="s">
        <v>1372</v>
      </c>
      <c r="K463" s="147"/>
      <c r="L463" s="144" t="s">
        <v>30</v>
      </c>
      <c r="M463" s="144" t="s">
        <v>454</v>
      </c>
      <c r="N463" s="144" t="s">
        <v>1189</v>
      </c>
    </row>
    <row r="464" spans="1:14" ht="60">
      <c r="A464" s="138">
        <v>464</v>
      </c>
      <c r="B464" s="142">
        <v>7</v>
      </c>
      <c r="C464" s="142">
        <v>26</v>
      </c>
      <c r="D464" s="142">
        <v>391</v>
      </c>
      <c r="E464" s="149" t="s">
        <v>1781</v>
      </c>
      <c r="F464" s="142">
        <v>49</v>
      </c>
      <c r="G464" s="142">
        <v>600</v>
      </c>
      <c r="H464" s="142">
        <v>392</v>
      </c>
      <c r="I464" s="146" t="s">
        <v>1423</v>
      </c>
      <c r="J464" s="144" t="s">
        <v>1372</v>
      </c>
      <c r="K464" s="147"/>
      <c r="L464" s="144" t="s">
        <v>30</v>
      </c>
      <c r="M464" s="144" t="s">
        <v>455</v>
      </c>
      <c r="N464" s="144" t="s">
        <v>1022</v>
      </c>
    </row>
    <row r="465" spans="1:14" ht="60">
      <c r="A465" s="138">
        <v>465</v>
      </c>
      <c r="B465" s="142">
        <v>7</v>
      </c>
      <c r="C465" s="142">
        <v>26</v>
      </c>
      <c r="D465" s="142">
        <v>392</v>
      </c>
      <c r="E465" s="149" t="s">
        <v>1782</v>
      </c>
      <c r="F465" s="142">
        <v>49</v>
      </c>
      <c r="G465" s="142">
        <v>601</v>
      </c>
      <c r="H465" s="142">
        <v>393</v>
      </c>
      <c r="I465" s="146" t="s">
        <v>1423</v>
      </c>
      <c r="J465" s="144" t="s">
        <v>1372</v>
      </c>
      <c r="K465" s="147"/>
      <c r="L465" s="144" t="s">
        <v>30</v>
      </c>
      <c r="M465" s="144" t="s">
        <v>456</v>
      </c>
      <c r="N465" s="144" t="s">
        <v>1023</v>
      </c>
    </row>
    <row r="466" spans="1:14" ht="60">
      <c r="A466" s="138">
        <v>466</v>
      </c>
      <c r="B466" s="142">
        <v>7</v>
      </c>
      <c r="C466" s="142">
        <v>26</v>
      </c>
      <c r="D466" s="142">
        <v>393</v>
      </c>
      <c r="E466" s="149" t="s">
        <v>1783</v>
      </c>
      <c r="F466" s="142">
        <v>49</v>
      </c>
      <c r="G466" s="142">
        <v>602</v>
      </c>
      <c r="H466" s="142">
        <v>394</v>
      </c>
      <c r="I466" s="146" t="s">
        <v>1423</v>
      </c>
      <c r="J466" s="144" t="s">
        <v>1372</v>
      </c>
      <c r="K466" s="147"/>
      <c r="L466" s="144" t="s">
        <v>30</v>
      </c>
      <c r="M466" s="144" t="s">
        <v>457</v>
      </c>
      <c r="N466" s="144" t="s">
        <v>1025</v>
      </c>
    </row>
    <row r="467" spans="1:14" ht="60">
      <c r="A467" s="138">
        <v>467</v>
      </c>
      <c r="B467" s="142">
        <v>7</v>
      </c>
      <c r="C467" s="142">
        <v>26</v>
      </c>
      <c r="D467" s="142">
        <v>394</v>
      </c>
      <c r="E467" s="149" t="s">
        <v>1784</v>
      </c>
      <c r="F467" s="142">
        <v>49</v>
      </c>
      <c r="G467" s="142">
        <v>603</v>
      </c>
      <c r="H467" s="142">
        <v>395</v>
      </c>
      <c r="I467" s="146" t="s">
        <v>1423</v>
      </c>
      <c r="J467" s="144" t="s">
        <v>1372</v>
      </c>
      <c r="K467" s="147"/>
      <c r="L467" s="144" t="s">
        <v>30</v>
      </c>
      <c r="M467" s="144" t="s">
        <v>458</v>
      </c>
      <c r="N467" s="144" t="s">
        <v>1190</v>
      </c>
    </row>
    <row r="468" spans="1:14" ht="60">
      <c r="A468" s="138">
        <v>468</v>
      </c>
      <c r="B468" s="142">
        <v>7</v>
      </c>
      <c r="C468" s="142">
        <v>26</v>
      </c>
      <c r="D468" s="142">
        <v>395</v>
      </c>
      <c r="E468" s="149" t="s">
        <v>1785</v>
      </c>
      <c r="F468" s="142">
        <v>49</v>
      </c>
      <c r="G468" s="142">
        <v>604</v>
      </c>
      <c r="H468" s="142">
        <v>396</v>
      </c>
      <c r="I468" s="146" t="s">
        <v>1423</v>
      </c>
      <c r="J468" s="144" t="s">
        <v>1372</v>
      </c>
      <c r="K468" s="147"/>
      <c r="L468" s="144" t="s">
        <v>30</v>
      </c>
      <c r="M468" s="144" t="s">
        <v>459</v>
      </c>
      <c r="N468" s="144" t="s">
        <v>1191</v>
      </c>
    </row>
    <row r="469" spans="1:14" ht="60">
      <c r="A469" s="138">
        <v>469</v>
      </c>
      <c r="B469" s="142">
        <v>7</v>
      </c>
      <c r="C469" s="142">
        <v>26</v>
      </c>
      <c r="D469" s="142">
        <v>396</v>
      </c>
      <c r="E469" s="149" t="s">
        <v>1786</v>
      </c>
      <c r="F469" s="142">
        <v>49</v>
      </c>
      <c r="G469" s="142">
        <v>605</v>
      </c>
      <c r="H469" s="142">
        <v>397</v>
      </c>
      <c r="I469" s="146" t="s">
        <v>1423</v>
      </c>
      <c r="J469" s="144" t="s">
        <v>1372</v>
      </c>
      <c r="K469" s="147"/>
      <c r="L469" s="144" t="s">
        <v>30</v>
      </c>
      <c r="M469" s="144" t="s">
        <v>460</v>
      </c>
      <c r="N469" s="144" t="s">
        <v>1192</v>
      </c>
    </row>
    <row r="470" spans="1:14" ht="60">
      <c r="A470" s="138">
        <v>470</v>
      </c>
      <c r="B470" s="142">
        <v>7</v>
      </c>
      <c r="C470" s="142">
        <v>26</v>
      </c>
      <c r="D470" s="142">
        <v>115</v>
      </c>
      <c r="E470" s="149" t="s">
        <v>1787</v>
      </c>
      <c r="F470" s="142">
        <v>49</v>
      </c>
      <c r="G470" s="142">
        <v>606</v>
      </c>
      <c r="H470" s="142">
        <v>454</v>
      </c>
      <c r="I470" s="146" t="s">
        <v>1423</v>
      </c>
      <c r="J470" s="144" t="s">
        <v>1372</v>
      </c>
      <c r="K470" s="147"/>
      <c r="L470" s="144" t="s">
        <v>30</v>
      </c>
      <c r="M470" s="144" t="s">
        <v>150</v>
      </c>
      <c r="N470" s="144" t="s">
        <v>1028</v>
      </c>
    </row>
    <row r="471" spans="1:14" ht="60">
      <c r="A471" s="138">
        <v>471</v>
      </c>
      <c r="B471" s="142">
        <v>7</v>
      </c>
      <c r="C471" s="142">
        <v>26</v>
      </c>
      <c r="D471" s="142">
        <v>206</v>
      </c>
      <c r="E471" s="149" t="s">
        <v>1788</v>
      </c>
      <c r="F471" s="142">
        <v>49</v>
      </c>
      <c r="G471" s="142">
        <v>607</v>
      </c>
      <c r="H471" s="142">
        <v>206</v>
      </c>
      <c r="I471" s="146" t="s">
        <v>1423</v>
      </c>
      <c r="J471" s="144" t="s">
        <v>1372</v>
      </c>
      <c r="K471" s="147"/>
      <c r="L471" s="144" t="s">
        <v>30</v>
      </c>
      <c r="M471" s="144" t="s">
        <v>246</v>
      </c>
      <c r="N471" s="144" t="s">
        <v>753</v>
      </c>
    </row>
    <row r="472" spans="1:14" ht="60">
      <c r="A472" s="138">
        <v>472</v>
      </c>
      <c r="B472" s="142">
        <v>7</v>
      </c>
      <c r="C472" s="142">
        <v>26</v>
      </c>
      <c r="D472" s="142">
        <v>397</v>
      </c>
      <c r="E472" s="149" t="s">
        <v>1789</v>
      </c>
      <c r="F472" s="142">
        <v>49</v>
      </c>
      <c r="G472" s="142">
        <v>608</v>
      </c>
      <c r="H472" s="142">
        <v>398</v>
      </c>
      <c r="I472" s="146" t="s">
        <v>1423</v>
      </c>
      <c r="J472" s="144" t="s">
        <v>1372</v>
      </c>
      <c r="K472" s="147"/>
      <c r="L472" s="144" t="s">
        <v>30</v>
      </c>
      <c r="M472" s="144" t="s">
        <v>461</v>
      </c>
      <c r="N472" s="144" t="s">
        <v>1029</v>
      </c>
    </row>
    <row r="473" spans="1:14" ht="60">
      <c r="A473" s="138">
        <v>473</v>
      </c>
      <c r="B473" s="142">
        <v>7</v>
      </c>
      <c r="C473" s="142">
        <v>26</v>
      </c>
      <c r="D473" s="142">
        <v>398</v>
      </c>
      <c r="E473" s="149" t="s">
        <v>1790</v>
      </c>
      <c r="F473" s="142">
        <v>49</v>
      </c>
      <c r="G473" s="142">
        <v>609</v>
      </c>
      <c r="H473" s="142">
        <v>399</v>
      </c>
      <c r="I473" s="146" t="s">
        <v>1423</v>
      </c>
      <c r="J473" s="144" t="s">
        <v>1372</v>
      </c>
      <c r="K473" s="147"/>
      <c r="L473" s="144" t="s">
        <v>30</v>
      </c>
      <c r="M473" s="144" t="s">
        <v>462</v>
      </c>
      <c r="N473" s="144" t="s">
        <v>1193</v>
      </c>
    </row>
    <row r="474" spans="1:14" ht="60">
      <c r="A474" s="138">
        <v>474</v>
      </c>
      <c r="B474" s="142">
        <v>7</v>
      </c>
      <c r="C474" s="142">
        <v>26</v>
      </c>
      <c r="D474" s="142">
        <v>399</v>
      </c>
      <c r="E474" s="149" t="s">
        <v>1791</v>
      </c>
      <c r="F474" s="142">
        <v>49</v>
      </c>
      <c r="G474" s="142">
        <v>610</v>
      </c>
      <c r="H474" s="142">
        <v>400</v>
      </c>
      <c r="I474" s="146" t="s">
        <v>1423</v>
      </c>
      <c r="J474" s="144" t="s">
        <v>1372</v>
      </c>
      <c r="K474" s="147"/>
      <c r="L474" s="144" t="s">
        <v>30</v>
      </c>
      <c r="M474" s="144" t="s">
        <v>463</v>
      </c>
      <c r="N474" s="144" t="s">
        <v>755</v>
      </c>
    </row>
    <row r="475" spans="1:14" ht="60">
      <c r="A475" s="138">
        <v>475</v>
      </c>
      <c r="B475" s="142">
        <v>7</v>
      </c>
      <c r="C475" s="142">
        <v>26</v>
      </c>
      <c r="D475" s="142">
        <v>400</v>
      </c>
      <c r="E475" s="149" t="s">
        <v>1792</v>
      </c>
      <c r="F475" s="142">
        <v>49</v>
      </c>
      <c r="G475" s="142">
        <v>611</v>
      </c>
      <c r="H475" s="142">
        <v>401</v>
      </c>
      <c r="I475" s="146" t="s">
        <v>1423</v>
      </c>
      <c r="J475" s="144" t="s">
        <v>1372</v>
      </c>
      <c r="K475" s="147"/>
      <c r="L475" s="144" t="s">
        <v>30</v>
      </c>
      <c r="M475" s="144" t="s">
        <v>464</v>
      </c>
      <c r="N475" s="144" t="s">
        <v>1033</v>
      </c>
    </row>
    <row r="476" spans="1:14" ht="60">
      <c r="A476" s="138">
        <v>476</v>
      </c>
      <c r="B476" s="142">
        <v>7</v>
      </c>
      <c r="C476" s="142">
        <v>27</v>
      </c>
      <c r="D476" s="142">
        <v>401</v>
      </c>
      <c r="E476" s="149" t="s">
        <v>1793</v>
      </c>
      <c r="F476" s="142">
        <v>50</v>
      </c>
      <c r="G476" s="142">
        <v>612</v>
      </c>
      <c r="H476" s="142">
        <v>402</v>
      </c>
      <c r="I476" s="146" t="s">
        <v>1423</v>
      </c>
      <c r="J476" s="144" t="s">
        <v>1372</v>
      </c>
      <c r="K476" s="147"/>
      <c r="L476" s="144" t="s">
        <v>31</v>
      </c>
      <c r="M476" s="144" t="s">
        <v>466</v>
      </c>
      <c r="N476" s="144" t="s">
        <v>1194</v>
      </c>
    </row>
    <row r="477" spans="1:14" ht="60">
      <c r="A477" s="138">
        <v>477</v>
      </c>
      <c r="B477" s="142">
        <v>7</v>
      </c>
      <c r="C477" s="142">
        <v>27</v>
      </c>
      <c r="D477" s="142">
        <v>402</v>
      </c>
      <c r="E477" s="149" t="s">
        <v>1794</v>
      </c>
      <c r="F477" s="142">
        <v>50</v>
      </c>
      <c r="G477" s="142">
        <v>613</v>
      </c>
      <c r="H477" s="142">
        <v>403</v>
      </c>
      <c r="I477" s="146" t="s">
        <v>1423</v>
      </c>
      <c r="J477" s="144" t="s">
        <v>1372</v>
      </c>
      <c r="K477" s="147"/>
      <c r="L477" s="144" t="s">
        <v>31</v>
      </c>
      <c r="M477" s="144" t="s">
        <v>467</v>
      </c>
      <c r="N477" s="144" t="s">
        <v>1037</v>
      </c>
    </row>
    <row r="478" spans="1:14" ht="60">
      <c r="A478" s="138">
        <v>478</v>
      </c>
      <c r="B478" s="142">
        <v>7</v>
      </c>
      <c r="C478" s="142">
        <v>27</v>
      </c>
      <c r="D478" s="142">
        <v>344</v>
      </c>
      <c r="E478" s="149" t="s">
        <v>1795</v>
      </c>
      <c r="F478" s="142">
        <v>50</v>
      </c>
      <c r="G478" s="142">
        <v>614</v>
      </c>
      <c r="H478" s="142">
        <v>345</v>
      </c>
      <c r="I478" s="146" t="s">
        <v>1423</v>
      </c>
      <c r="J478" s="144" t="s">
        <v>1372</v>
      </c>
      <c r="K478" s="147"/>
      <c r="L478" s="144" t="s">
        <v>31</v>
      </c>
      <c r="M478" s="144" t="s">
        <v>408</v>
      </c>
      <c r="N478" s="144" t="s">
        <v>964</v>
      </c>
    </row>
    <row r="479" spans="1:14" ht="60">
      <c r="A479" s="138">
        <v>479</v>
      </c>
      <c r="B479" s="142">
        <v>7</v>
      </c>
      <c r="C479" s="142">
        <v>27</v>
      </c>
      <c r="D479" s="142">
        <v>403</v>
      </c>
      <c r="E479" s="149" t="s">
        <v>1796</v>
      </c>
      <c r="F479" s="142">
        <v>50</v>
      </c>
      <c r="G479" s="142">
        <v>615</v>
      </c>
      <c r="H479" s="142">
        <v>404</v>
      </c>
      <c r="I479" s="146" t="s">
        <v>1423</v>
      </c>
      <c r="J479" s="144" t="s">
        <v>1372</v>
      </c>
      <c r="K479" s="147"/>
      <c r="L479" s="144" t="s">
        <v>31</v>
      </c>
      <c r="M479" s="144" t="s">
        <v>469</v>
      </c>
      <c r="N479" s="144" t="s">
        <v>1039</v>
      </c>
    </row>
    <row r="480" spans="1:14" ht="60">
      <c r="A480" s="138">
        <v>480</v>
      </c>
      <c r="B480" s="142">
        <v>7</v>
      </c>
      <c r="C480" s="142">
        <v>27</v>
      </c>
      <c r="D480" s="142">
        <v>404</v>
      </c>
      <c r="E480" s="149" t="s">
        <v>1797</v>
      </c>
      <c r="F480" s="142">
        <v>50</v>
      </c>
      <c r="G480" s="142">
        <v>616</v>
      </c>
      <c r="H480" s="142">
        <v>405</v>
      </c>
      <c r="I480" s="146" t="s">
        <v>1423</v>
      </c>
      <c r="J480" s="144" t="s">
        <v>1372</v>
      </c>
      <c r="K480" s="147"/>
      <c r="L480" s="144" t="s">
        <v>31</v>
      </c>
      <c r="M480" s="144" t="s">
        <v>470</v>
      </c>
      <c r="N480" s="144" t="s">
        <v>1041</v>
      </c>
    </row>
    <row r="481" spans="1:14" ht="75">
      <c r="A481" s="138">
        <v>481</v>
      </c>
      <c r="B481" s="142">
        <v>7</v>
      </c>
      <c r="C481" s="142">
        <v>27</v>
      </c>
      <c r="D481" s="142">
        <v>405</v>
      </c>
      <c r="E481" s="149" t="s">
        <v>1798</v>
      </c>
      <c r="F481" s="142">
        <v>50</v>
      </c>
      <c r="G481" s="142">
        <v>617</v>
      </c>
      <c r="H481" s="142">
        <v>406</v>
      </c>
      <c r="I481" s="146" t="s">
        <v>1423</v>
      </c>
      <c r="J481" s="144" t="s">
        <v>1372</v>
      </c>
      <c r="K481" s="147"/>
      <c r="L481" s="144" t="s">
        <v>31</v>
      </c>
      <c r="M481" s="144" t="s">
        <v>520</v>
      </c>
      <c r="N481" s="144" t="s">
        <v>1043</v>
      </c>
    </row>
    <row r="482" spans="1:14" ht="60">
      <c r="A482" s="138">
        <v>482</v>
      </c>
      <c r="B482" s="142">
        <v>7</v>
      </c>
      <c r="C482" s="142">
        <v>27</v>
      </c>
      <c r="D482" s="142">
        <v>347</v>
      </c>
      <c r="E482" s="149" t="s">
        <v>1799</v>
      </c>
      <c r="F482" s="142">
        <v>50</v>
      </c>
      <c r="G482" s="142">
        <v>618</v>
      </c>
      <c r="H482" s="142">
        <v>348</v>
      </c>
      <c r="I482" s="146" t="s">
        <v>1423</v>
      </c>
      <c r="J482" s="144" t="s">
        <v>1372</v>
      </c>
      <c r="K482" s="147"/>
      <c r="L482" s="144" t="s">
        <v>31</v>
      </c>
      <c r="M482" s="144" t="s">
        <v>411</v>
      </c>
      <c r="N482" s="144" t="s">
        <v>967</v>
      </c>
    </row>
    <row r="483" spans="1:14" ht="60">
      <c r="A483" s="138">
        <v>483</v>
      </c>
      <c r="B483" s="142">
        <v>7</v>
      </c>
      <c r="C483" s="142">
        <v>27</v>
      </c>
      <c r="D483" s="142">
        <v>406</v>
      </c>
      <c r="E483" s="149" t="s">
        <v>1800</v>
      </c>
      <c r="F483" s="142">
        <v>50</v>
      </c>
      <c r="G483" s="142">
        <v>619</v>
      </c>
      <c r="H483" s="142">
        <v>407</v>
      </c>
      <c r="I483" s="146" t="s">
        <v>1423</v>
      </c>
      <c r="J483" s="144" t="s">
        <v>1372</v>
      </c>
      <c r="K483" s="147"/>
      <c r="L483" s="144" t="s">
        <v>31</v>
      </c>
      <c r="M483" s="144" t="s">
        <v>472</v>
      </c>
      <c r="N483" s="144" t="s">
        <v>1196</v>
      </c>
    </row>
    <row r="484" spans="1:14" ht="60">
      <c r="A484" s="138">
        <v>484</v>
      </c>
      <c r="B484" s="142">
        <v>7</v>
      </c>
      <c r="C484" s="142">
        <v>27</v>
      </c>
      <c r="D484" s="142">
        <v>407</v>
      </c>
      <c r="E484" s="149" t="s">
        <v>1801</v>
      </c>
      <c r="F484" s="142">
        <v>50</v>
      </c>
      <c r="G484" s="142">
        <v>620</v>
      </c>
      <c r="H484" s="142">
        <v>408</v>
      </c>
      <c r="I484" s="146" t="s">
        <v>1423</v>
      </c>
      <c r="J484" s="144" t="s">
        <v>1372</v>
      </c>
      <c r="K484" s="147"/>
      <c r="L484" s="144" t="s">
        <v>31</v>
      </c>
      <c r="M484" s="144" t="s">
        <v>473</v>
      </c>
      <c r="N484" s="144" t="s">
        <v>1045</v>
      </c>
    </row>
    <row r="485" spans="1:14" ht="60">
      <c r="A485" s="138">
        <v>485</v>
      </c>
      <c r="B485" s="142">
        <v>7</v>
      </c>
      <c r="C485" s="142">
        <v>27</v>
      </c>
      <c r="D485" s="142">
        <v>408</v>
      </c>
      <c r="E485" s="149" t="s">
        <v>1802</v>
      </c>
      <c r="F485" s="142">
        <v>50</v>
      </c>
      <c r="G485" s="142">
        <v>621</v>
      </c>
      <c r="H485" s="142">
        <v>409</v>
      </c>
      <c r="I485" s="146" t="s">
        <v>1423</v>
      </c>
      <c r="J485" s="144" t="s">
        <v>1372</v>
      </c>
      <c r="K485" s="147"/>
      <c r="L485" s="144" t="s">
        <v>31</v>
      </c>
      <c r="M485" s="144" t="s">
        <v>474</v>
      </c>
      <c r="N485" s="144" t="s">
        <v>1046</v>
      </c>
    </row>
    <row r="486" spans="1:14" ht="60">
      <c r="A486" s="138">
        <v>486</v>
      </c>
      <c r="B486" s="142">
        <v>7</v>
      </c>
      <c r="C486" s="142">
        <v>27</v>
      </c>
      <c r="D486" s="142">
        <v>208</v>
      </c>
      <c r="E486" s="149" t="s">
        <v>1803</v>
      </c>
      <c r="F486" s="142">
        <v>50</v>
      </c>
      <c r="G486" s="142">
        <v>622</v>
      </c>
      <c r="H486" s="142">
        <v>208</v>
      </c>
      <c r="I486" s="146" t="s">
        <v>1423</v>
      </c>
      <c r="J486" s="144" t="s">
        <v>1372</v>
      </c>
      <c r="K486" s="147"/>
      <c r="L486" s="144" t="s">
        <v>31</v>
      </c>
      <c r="M486" s="144" t="s">
        <v>248</v>
      </c>
      <c r="N486" s="144" t="s">
        <v>757</v>
      </c>
    </row>
    <row r="487" spans="1:14" ht="60">
      <c r="A487" s="138">
        <v>487</v>
      </c>
      <c r="B487" s="142">
        <v>7</v>
      </c>
      <c r="C487" s="142">
        <v>27</v>
      </c>
      <c r="D487" s="142">
        <v>409</v>
      </c>
      <c r="E487" s="149" t="s">
        <v>1804</v>
      </c>
      <c r="F487" s="142">
        <v>50</v>
      </c>
      <c r="G487" s="142">
        <v>623</v>
      </c>
      <c r="H487" s="142">
        <v>410</v>
      </c>
      <c r="I487" s="146" t="s">
        <v>1423</v>
      </c>
      <c r="J487" s="144" t="s">
        <v>1372</v>
      </c>
      <c r="K487" s="147"/>
      <c r="L487" s="144" t="s">
        <v>31</v>
      </c>
      <c r="M487" s="144" t="s">
        <v>476</v>
      </c>
      <c r="N487" s="144" t="s">
        <v>1049</v>
      </c>
    </row>
    <row r="488" spans="1:14" ht="60">
      <c r="A488" s="138">
        <v>488</v>
      </c>
      <c r="B488" s="142">
        <v>7</v>
      </c>
      <c r="C488" s="142">
        <v>27</v>
      </c>
      <c r="D488" s="142">
        <v>410</v>
      </c>
      <c r="E488" s="149" t="s">
        <v>1805</v>
      </c>
      <c r="F488" s="142">
        <v>50</v>
      </c>
      <c r="G488" s="142">
        <v>624</v>
      </c>
      <c r="H488" s="142">
        <v>411</v>
      </c>
      <c r="I488" s="146" t="s">
        <v>1423</v>
      </c>
      <c r="J488" s="144" t="s">
        <v>1372</v>
      </c>
      <c r="K488" s="147"/>
      <c r="L488" s="144" t="s">
        <v>31</v>
      </c>
      <c r="M488" s="144" t="s">
        <v>477</v>
      </c>
      <c r="N488" s="144" t="s">
        <v>1050</v>
      </c>
    </row>
    <row r="489" spans="1:14" ht="75">
      <c r="A489" s="138">
        <v>489</v>
      </c>
      <c r="B489" s="142">
        <v>7</v>
      </c>
      <c r="C489" s="142">
        <v>27</v>
      </c>
      <c r="D489" s="142">
        <v>411</v>
      </c>
      <c r="E489" s="149" t="s">
        <v>1806</v>
      </c>
      <c r="F489" s="142">
        <v>50</v>
      </c>
      <c r="G489" s="142">
        <v>625</v>
      </c>
      <c r="H489" s="142">
        <v>412</v>
      </c>
      <c r="I489" s="146" t="s">
        <v>1423</v>
      </c>
      <c r="J489" s="144" t="s">
        <v>1372</v>
      </c>
      <c r="K489" s="147"/>
      <c r="L489" s="144" t="s">
        <v>31</v>
      </c>
      <c r="M489" s="144" t="s">
        <v>478</v>
      </c>
      <c r="N489" s="144" t="s">
        <v>1051</v>
      </c>
    </row>
    <row r="490" spans="1:14" ht="60">
      <c r="A490" s="138">
        <v>490</v>
      </c>
      <c r="B490" s="142">
        <v>7</v>
      </c>
      <c r="C490" s="142">
        <v>27</v>
      </c>
      <c r="D490" s="142">
        <v>412</v>
      </c>
      <c r="E490" s="149" t="s">
        <v>1807</v>
      </c>
      <c r="F490" s="142">
        <v>50</v>
      </c>
      <c r="G490" s="142">
        <v>626</v>
      </c>
      <c r="H490" s="142">
        <v>413</v>
      </c>
      <c r="I490" s="146" t="s">
        <v>1423</v>
      </c>
      <c r="J490" s="144" t="s">
        <v>1372</v>
      </c>
      <c r="K490" s="147"/>
      <c r="L490" s="144" t="s">
        <v>31</v>
      </c>
      <c r="M490" s="144" t="s">
        <v>479</v>
      </c>
      <c r="N490" s="144" t="s">
        <v>1052</v>
      </c>
    </row>
    <row r="491" spans="1:14" ht="60">
      <c r="A491" s="138">
        <v>491</v>
      </c>
      <c r="B491" s="142">
        <v>7</v>
      </c>
      <c r="C491" s="142">
        <v>27</v>
      </c>
      <c r="D491" s="142">
        <v>413</v>
      </c>
      <c r="E491" s="149" t="s">
        <v>1808</v>
      </c>
      <c r="F491" s="142">
        <v>50</v>
      </c>
      <c r="G491" s="142">
        <v>627</v>
      </c>
      <c r="H491" s="142">
        <v>414</v>
      </c>
      <c r="I491" s="146" t="s">
        <v>1423</v>
      </c>
      <c r="J491" s="144" t="s">
        <v>1372</v>
      </c>
      <c r="K491" s="147"/>
      <c r="L491" s="144" t="s">
        <v>31</v>
      </c>
      <c r="M491" s="144" t="s">
        <v>480</v>
      </c>
      <c r="N491" s="144" t="s">
        <v>1053</v>
      </c>
    </row>
    <row r="492" spans="1:14" ht="60">
      <c r="A492" s="138">
        <v>492</v>
      </c>
      <c r="B492" s="142">
        <v>7</v>
      </c>
      <c r="C492" s="142">
        <v>27</v>
      </c>
      <c r="D492" s="142">
        <v>414</v>
      </c>
      <c r="E492" s="149" t="s">
        <v>1809</v>
      </c>
      <c r="F492" s="142">
        <v>50</v>
      </c>
      <c r="G492" s="142">
        <v>628</v>
      </c>
      <c r="H492" s="142">
        <v>415</v>
      </c>
      <c r="I492" s="146" t="s">
        <v>1423</v>
      </c>
      <c r="J492" s="144" t="s">
        <v>1372</v>
      </c>
      <c r="K492" s="147"/>
      <c r="L492" s="144" t="s">
        <v>31</v>
      </c>
      <c r="M492" s="144" t="s">
        <v>481</v>
      </c>
      <c r="N492" s="144" t="s">
        <v>1054</v>
      </c>
    </row>
    <row r="493" spans="1:14" ht="60">
      <c r="A493" s="138">
        <v>493</v>
      </c>
      <c r="B493" s="142">
        <v>7</v>
      </c>
      <c r="C493" s="142">
        <v>27</v>
      </c>
      <c r="D493" s="142">
        <v>415</v>
      </c>
      <c r="E493" s="149" t="s">
        <v>1810</v>
      </c>
      <c r="F493" s="142">
        <v>50</v>
      </c>
      <c r="G493" s="142">
        <v>629</v>
      </c>
      <c r="H493" s="142">
        <v>416</v>
      </c>
      <c r="I493" s="146" t="s">
        <v>1423</v>
      </c>
      <c r="J493" s="144" t="s">
        <v>1372</v>
      </c>
      <c r="K493" s="147"/>
      <c r="L493" s="144" t="s">
        <v>31</v>
      </c>
      <c r="M493" s="144" t="s">
        <v>483</v>
      </c>
      <c r="N493" s="144" t="s">
        <v>1055</v>
      </c>
    </row>
    <row r="494" spans="1:14" ht="60">
      <c r="A494" s="138">
        <v>494</v>
      </c>
      <c r="B494" s="142">
        <v>7</v>
      </c>
      <c r="C494" s="142">
        <v>27</v>
      </c>
      <c r="D494" s="142">
        <v>416</v>
      </c>
      <c r="E494" s="149" t="s">
        <v>1811</v>
      </c>
      <c r="F494" s="142">
        <v>50</v>
      </c>
      <c r="G494" s="142">
        <v>630</v>
      </c>
      <c r="H494" s="142">
        <v>417</v>
      </c>
      <c r="I494" s="146" t="s">
        <v>1423</v>
      </c>
      <c r="J494" s="144" t="s">
        <v>1372</v>
      </c>
      <c r="K494" s="147"/>
      <c r="L494" s="144" t="s">
        <v>31</v>
      </c>
      <c r="M494" s="144" t="s">
        <v>484</v>
      </c>
      <c r="N494" s="144" t="s">
        <v>1202</v>
      </c>
    </row>
    <row r="495" spans="1:14" ht="60">
      <c r="A495" s="138">
        <v>495</v>
      </c>
      <c r="B495" s="142">
        <v>7</v>
      </c>
      <c r="C495" s="142">
        <v>27</v>
      </c>
      <c r="D495" s="142">
        <v>417</v>
      </c>
      <c r="E495" s="149" t="s">
        <v>1812</v>
      </c>
      <c r="F495" s="142">
        <v>50</v>
      </c>
      <c r="G495" s="142">
        <v>631</v>
      </c>
      <c r="H495" s="142">
        <v>418</v>
      </c>
      <c r="I495" s="146" t="s">
        <v>1423</v>
      </c>
      <c r="J495" s="144" t="s">
        <v>1372</v>
      </c>
      <c r="K495" s="147"/>
      <c r="L495" s="144" t="s">
        <v>31</v>
      </c>
      <c r="M495" s="144" t="s">
        <v>485</v>
      </c>
      <c r="N495" s="144" t="s">
        <v>1204</v>
      </c>
    </row>
    <row r="496" spans="1:14" ht="60">
      <c r="A496" s="138">
        <v>496</v>
      </c>
      <c r="B496" s="142">
        <v>7</v>
      </c>
      <c r="C496" s="142">
        <v>28</v>
      </c>
      <c r="D496" s="142">
        <v>418</v>
      </c>
      <c r="E496" s="149" t="s">
        <v>1813</v>
      </c>
      <c r="F496" s="142">
        <v>51</v>
      </c>
      <c r="G496" s="142">
        <v>632</v>
      </c>
      <c r="H496" s="142">
        <v>419</v>
      </c>
      <c r="I496" s="146" t="s">
        <v>1423</v>
      </c>
      <c r="J496" s="144" t="s">
        <v>1372</v>
      </c>
      <c r="K496" s="147"/>
      <c r="L496" s="144" t="s">
        <v>32</v>
      </c>
      <c r="M496" s="144" t="s">
        <v>487</v>
      </c>
      <c r="N496" s="144" t="s">
        <v>1205</v>
      </c>
    </row>
    <row r="497" spans="1:14" ht="60">
      <c r="A497" s="138">
        <v>497</v>
      </c>
      <c r="B497" s="142">
        <v>7</v>
      </c>
      <c r="C497" s="142">
        <v>28</v>
      </c>
      <c r="D497" s="142">
        <v>419</v>
      </c>
      <c r="E497" s="149" t="s">
        <v>1814</v>
      </c>
      <c r="F497" s="142">
        <v>51</v>
      </c>
      <c r="G497" s="142">
        <v>633</v>
      </c>
      <c r="H497" s="142">
        <v>420</v>
      </c>
      <c r="I497" s="146" t="s">
        <v>1423</v>
      </c>
      <c r="J497" s="144" t="s">
        <v>1372</v>
      </c>
      <c r="K497" s="147"/>
      <c r="L497" s="144" t="s">
        <v>32</v>
      </c>
      <c r="M497" s="144" t="s">
        <v>488</v>
      </c>
      <c r="N497" s="144" t="s">
        <v>1206</v>
      </c>
    </row>
    <row r="498" spans="1:14" ht="60">
      <c r="A498" s="138">
        <v>498</v>
      </c>
      <c r="B498" s="142">
        <v>7</v>
      </c>
      <c r="C498" s="142">
        <v>28</v>
      </c>
      <c r="D498" s="142">
        <v>420</v>
      </c>
      <c r="E498" s="149" t="s">
        <v>1815</v>
      </c>
      <c r="F498" s="142">
        <v>51</v>
      </c>
      <c r="G498" s="142">
        <v>634</v>
      </c>
      <c r="H498" s="142">
        <v>421</v>
      </c>
      <c r="I498" s="146" t="s">
        <v>1423</v>
      </c>
      <c r="J498" s="144" t="s">
        <v>1372</v>
      </c>
      <c r="K498" s="147"/>
      <c r="L498" s="144" t="s">
        <v>32</v>
      </c>
      <c r="M498" s="144" t="s">
        <v>490</v>
      </c>
      <c r="N498" s="144" t="s">
        <v>1207</v>
      </c>
    </row>
    <row r="499" spans="1:14" ht="60">
      <c r="A499" s="138">
        <v>499</v>
      </c>
      <c r="B499" s="142">
        <v>7</v>
      </c>
      <c r="C499" s="142">
        <v>28</v>
      </c>
      <c r="D499" s="142">
        <v>421</v>
      </c>
      <c r="E499" s="149" t="s">
        <v>1816</v>
      </c>
      <c r="F499" s="142">
        <v>51</v>
      </c>
      <c r="G499" s="142">
        <v>635</v>
      </c>
      <c r="H499" s="142">
        <v>422</v>
      </c>
      <c r="I499" s="146" t="s">
        <v>1423</v>
      </c>
      <c r="J499" s="144" t="s">
        <v>1372</v>
      </c>
      <c r="K499" s="147"/>
      <c r="L499" s="144" t="s">
        <v>32</v>
      </c>
      <c r="M499" s="144" t="s">
        <v>491</v>
      </c>
      <c r="N499" s="144" t="s">
        <v>1058</v>
      </c>
    </row>
    <row r="500" spans="1:14" ht="60">
      <c r="A500" s="138">
        <v>500</v>
      </c>
      <c r="B500" s="142">
        <v>7</v>
      </c>
      <c r="C500" s="142">
        <v>28</v>
      </c>
      <c r="D500" s="142">
        <v>422</v>
      </c>
      <c r="E500" s="149" t="s">
        <v>1817</v>
      </c>
      <c r="F500" s="142">
        <v>51</v>
      </c>
      <c r="G500" s="142">
        <v>636</v>
      </c>
      <c r="H500" s="142">
        <v>423</v>
      </c>
      <c r="I500" s="146" t="s">
        <v>1423</v>
      </c>
      <c r="J500" s="144" t="s">
        <v>1372</v>
      </c>
      <c r="K500" s="147"/>
      <c r="L500" s="144" t="s">
        <v>32</v>
      </c>
      <c r="M500" s="144" t="s">
        <v>492</v>
      </c>
      <c r="N500" s="144" t="s">
        <v>1059</v>
      </c>
    </row>
    <row r="501" spans="1:14" ht="60">
      <c r="A501" s="138">
        <v>501</v>
      </c>
      <c r="B501" s="142">
        <v>7</v>
      </c>
      <c r="C501" s="142">
        <v>7</v>
      </c>
      <c r="D501" s="142">
        <v>423</v>
      </c>
      <c r="E501" s="149" t="s">
        <v>1818</v>
      </c>
      <c r="F501" s="142">
        <v>53</v>
      </c>
      <c r="G501" s="142">
        <v>637</v>
      </c>
      <c r="H501" s="142">
        <v>424</v>
      </c>
      <c r="I501" s="146" t="s">
        <v>1423</v>
      </c>
      <c r="J501" s="144" t="s">
        <v>1372</v>
      </c>
      <c r="K501" s="147"/>
      <c r="L501" s="144" t="s">
        <v>11</v>
      </c>
      <c r="M501" s="144" t="s">
        <v>494</v>
      </c>
      <c r="N501" s="144" t="s">
        <v>797</v>
      </c>
    </row>
    <row r="502" spans="1:14" ht="60">
      <c r="A502" s="138">
        <v>502</v>
      </c>
      <c r="B502" s="142">
        <v>7</v>
      </c>
      <c r="C502" s="142">
        <v>7</v>
      </c>
      <c r="D502" s="142">
        <v>424</v>
      </c>
      <c r="E502" s="149" t="s">
        <v>1819</v>
      </c>
      <c r="F502" s="142">
        <v>53</v>
      </c>
      <c r="G502" s="142">
        <v>638</v>
      </c>
      <c r="H502" s="142">
        <v>425</v>
      </c>
      <c r="I502" s="146" t="s">
        <v>1423</v>
      </c>
      <c r="J502" s="144" t="s">
        <v>1372</v>
      </c>
      <c r="K502" s="147"/>
      <c r="L502" s="144" t="s">
        <v>11</v>
      </c>
      <c r="M502" s="144" t="s">
        <v>495</v>
      </c>
      <c r="N502" s="144" t="s">
        <v>1209</v>
      </c>
    </row>
    <row r="503" spans="1:14" ht="60">
      <c r="A503" s="138">
        <v>503</v>
      </c>
      <c r="B503" s="142">
        <v>7</v>
      </c>
      <c r="C503" s="142">
        <v>7</v>
      </c>
      <c r="D503" s="142">
        <v>425</v>
      </c>
      <c r="E503" s="149" t="s">
        <v>1820</v>
      </c>
      <c r="F503" s="142">
        <v>53</v>
      </c>
      <c r="G503" s="142">
        <v>639</v>
      </c>
      <c r="H503" s="142">
        <v>426</v>
      </c>
      <c r="I503" s="146" t="s">
        <v>1423</v>
      </c>
      <c r="J503" s="144" t="s">
        <v>1372</v>
      </c>
      <c r="K503" s="147"/>
      <c r="L503" s="144" t="s">
        <v>11</v>
      </c>
      <c r="M503" s="144" t="s">
        <v>496</v>
      </c>
      <c r="N503" s="144" t="s">
        <v>1060</v>
      </c>
    </row>
    <row r="504" spans="1:14" ht="60">
      <c r="A504" s="138">
        <v>504</v>
      </c>
      <c r="B504" s="142">
        <v>7</v>
      </c>
      <c r="C504" s="142">
        <v>7</v>
      </c>
      <c r="D504" s="142">
        <v>426</v>
      </c>
      <c r="E504" s="149" t="s">
        <v>1821</v>
      </c>
      <c r="F504" s="142">
        <v>53</v>
      </c>
      <c r="G504" s="142">
        <v>640</v>
      </c>
      <c r="H504" s="142">
        <v>427</v>
      </c>
      <c r="I504" s="146" t="s">
        <v>1423</v>
      </c>
      <c r="J504" s="144" t="s">
        <v>1372</v>
      </c>
      <c r="K504" s="147"/>
      <c r="L504" s="144" t="s">
        <v>11</v>
      </c>
      <c r="M504" s="144" t="s">
        <v>497</v>
      </c>
      <c r="N504" s="144" t="s">
        <v>1062</v>
      </c>
    </row>
    <row r="505" spans="1:14" ht="105">
      <c r="A505" s="138">
        <v>505</v>
      </c>
      <c r="B505" s="142">
        <v>7</v>
      </c>
      <c r="C505" s="142">
        <v>7</v>
      </c>
      <c r="D505" s="142">
        <v>226</v>
      </c>
      <c r="E505" s="149" t="s">
        <v>1822</v>
      </c>
      <c r="F505" s="142">
        <v>53</v>
      </c>
      <c r="G505" s="142">
        <v>641</v>
      </c>
      <c r="H505" s="142">
        <v>226</v>
      </c>
      <c r="I505" s="146" t="s">
        <v>1423</v>
      </c>
      <c r="J505" s="144" t="s">
        <v>1372</v>
      </c>
      <c r="K505" s="147"/>
      <c r="L505" s="144" t="s">
        <v>11</v>
      </c>
      <c r="M505" s="144" t="s">
        <v>351</v>
      </c>
      <c r="N505" s="144" t="s">
        <v>1063</v>
      </c>
    </row>
    <row r="506" spans="1:14" ht="60">
      <c r="A506" s="138">
        <v>506</v>
      </c>
      <c r="B506" s="142">
        <v>7</v>
      </c>
      <c r="C506" s="142">
        <v>7</v>
      </c>
      <c r="D506" s="142">
        <v>427</v>
      </c>
      <c r="E506" s="149" t="s">
        <v>1823</v>
      </c>
      <c r="F506" s="142">
        <v>53</v>
      </c>
      <c r="G506" s="142">
        <v>642</v>
      </c>
      <c r="H506" s="142">
        <v>428</v>
      </c>
      <c r="I506" s="146" t="s">
        <v>1423</v>
      </c>
      <c r="J506" s="144" t="s">
        <v>1372</v>
      </c>
      <c r="K506" s="147"/>
      <c r="L506" s="144" t="s">
        <v>11</v>
      </c>
      <c r="M506" s="144" t="s">
        <v>498</v>
      </c>
      <c r="N506" s="144" t="s">
        <v>1210</v>
      </c>
    </row>
    <row r="507" spans="1:14" ht="75">
      <c r="A507" s="138">
        <v>507</v>
      </c>
      <c r="B507" s="142">
        <v>7</v>
      </c>
      <c r="C507" s="142">
        <v>7</v>
      </c>
      <c r="D507" s="142">
        <v>10</v>
      </c>
      <c r="E507" s="149" t="s">
        <v>1824</v>
      </c>
      <c r="F507" s="142">
        <v>53</v>
      </c>
      <c r="G507" s="142">
        <v>643</v>
      </c>
      <c r="H507" s="142">
        <v>436</v>
      </c>
      <c r="I507" s="146" t="s">
        <v>1423</v>
      </c>
      <c r="J507" s="144" t="s">
        <v>1372</v>
      </c>
      <c r="K507" s="147"/>
      <c r="L507" s="144" t="s">
        <v>11</v>
      </c>
      <c r="M507" s="144" t="s">
        <v>47</v>
      </c>
      <c r="N507" s="144" t="s">
        <v>1065</v>
      </c>
    </row>
    <row r="508" spans="1:14" ht="60">
      <c r="A508" s="138">
        <v>508</v>
      </c>
      <c r="B508" s="142">
        <v>7</v>
      </c>
      <c r="C508" s="142">
        <v>7</v>
      </c>
      <c r="D508" s="142">
        <v>428</v>
      </c>
      <c r="E508" s="149" t="s">
        <v>1825</v>
      </c>
      <c r="F508" s="142">
        <v>53</v>
      </c>
      <c r="G508" s="142">
        <v>644</v>
      </c>
      <c r="H508" s="142">
        <v>429</v>
      </c>
      <c r="I508" s="146" t="s">
        <v>1423</v>
      </c>
      <c r="J508" s="144" t="s">
        <v>1372</v>
      </c>
      <c r="K508" s="147"/>
      <c r="L508" s="144" t="s">
        <v>11</v>
      </c>
      <c r="M508" s="144" t="s">
        <v>499</v>
      </c>
      <c r="N508" s="144" t="s">
        <v>1004</v>
      </c>
    </row>
    <row r="509" spans="1:14" ht="60">
      <c r="A509" s="138">
        <v>509</v>
      </c>
      <c r="B509" s="142">
        <v>7</v>
      </c>
      <c r="C509" s="142">
        <v>7</v>
      </c>
      <c r="D509" s="142">
        <v>73</v>
      </c>
      <c r="E509" s="149" t="s">
        <v>1826</v>
      </c>
      <c r="F509" s="142">
        <v>53</v>
      </c>
      <c r="G509" s="142">
        <v>645</v>
      </c>
      <c r="H509" s="142">
        <v>445</v>
      </c>
      <c r="I509" s="146" t="s">
        <v>1423</v>
      </c>
      <c r="J509" s="144" t="s">
        <v>1372</v>
      </c>
      <c r="K509" s="147"/>
      <c r="L509" s="144" t="s">
        <v>11</v>
      </c>
      <c r="M509" s="144" t="s">
        <v>353</v>
      </c>
      <c r="N509" s="144" t="s">
        <v>912</v>
      </c>
    </row>
    <row r="510" spans="1:14" ht="60">
      <c r="A510" s="138">
        <v>510</v>
      </c>
      <c r="B510" s="142">
        <v>7</v>
      </c>
      <c r="C510" s="142">
        <v>7</v>
      </c>
      <c r="D510" s="142">
        <v>74</v>
      </c>
      <c r="E510" s="149" t="s">
        <v>1827</v>
      </c>
      <c r="F510" s="142">
        <v>53</v>
      </c>
      <c r="G510" s="142">
        <v>646</v>
      </c>
      <c r="H510" s="142">
        <v>74</v>
      </c>
      <c r="I510" s="146" t="s">
        <v>1423</v>
      </c>
      <c r="J510" s="144" t="s">
        <v>1372</v>
      </c>
      <c r="K510" s="147"/>
      <c r="L510" s="144" t="s">
        <v>11</v>
      </c>
      <c r="M510" s="144" t="s">
        <v>109</v>
      </c>
      <c r="N510" s="144" t="s">
        <v>1067</v>
      </c>
    </row>
    <row r="511" spans="1:14" ht="60">
      <c r="A511" s="138">
        <v>511</v>
      </c>
      <c r="B511" s="142">
        <v>7</v>
      </c>
      <c r="C511" s="142">
        <v>7</v>
      </c>
      <c r="D511" s="142">
        <v>75</v>
      </c>
      <c r="E511" s="149" t="s">
        <v>1828</v>
      </c>
      <c r="F511" s="142">
        <v>53</v>
      </c>
      <c r="G511" s="142">
        <v>647</v>
      </c>
      <c r="H511" s="142">
        <v>75</v>
      </c>
      <c r="I511" s="146" t="s">
        <v>1423</v>
      </c>
      <c r="J511" s="144" t="s">
        <v>1372</v>
      </c>
      <c r="K511" s="147"/>
      <c r="L511" s="144" t="s">
        <v>11</v>
      </c>
      <c r="M511" s="144" t="s">
        <v>355</v>
      </c>
      <c r="N511" s="144" t="s">
        <v>1352</v>
      </c>
    </row>
    <row r="512" spans="1:14" ht="60">
      <c r="A512" s="138">
        <v>512</v>
      </c>
      <c r="B512" s="142">
        <v>7</v>
      </c>
      <c r="C512" s="142">
        <v>7</v>
      </c>
      <c r="D512" s="142">
        <v>66</v>
      </c>
      <c r="E512" s="149" t="s">
        <v>1829</v>
      </c>
      <c r="F512" s="142">
        <v>53</v>
      </c>
      <c r="G512" s="142">
        <v>648</v>
      </c>
      <c r="H512" s="142">
        <v>442</v>
      </c>
      <c r="I512" s="146" t="s">
        <v>1423</v>
      </c>
      <c r="J512" s="144" t="s">
        <v>1372</v>
      </c>
      <c r="K512" s="147"/>
      <c r="L512" s="144" t="s">
        <v>11</v>
      </c>
      <c r="M512" s="144" t="s">
        <v>286</v>
      </c>
      <c r="N512" s="144" t="s">
        <v>1069</v>
      </c>
    </row>
    <row r="513" spans="1:14" ht="60">
      <c r="A513" s="138">
        <v>513</v>
      </c>
      <c r="B513" s="142">
        <v>7</v>
      </c>
      <c r="C513" s="142">
        <v>7</v>
      </c>
      <c r="D513" s="142">
        <v>78</v>
      </c>
      <c r="E513" s="149" t="s">
        <v>1830</v>
      </c>
      <c r="F513" s="142">
        <v>53</v>
      </c>
      <c r="G513" s="142">
        <v>649</v>
      </c>
      <c r="H513" s="142">
        <v>78</v>
      </c>
      <c r="I513" s="146" t="s">
        <v>1423</v>
      </c>
      <c r="J513" s="144" t="s">
        <v>1372</v>
      </c>
      <c r="K513" s="147"/>
      <c r="L513" s="144" t="s">
        <v>11</v>
      </c>
      <c r="M513" s="144" t="s">
        <v>112</v>
      </c>
      <c r="N513" s="144" t="s">
        <v>808</v>
      </c>
    </row>
    <row r="514" spans="1:14" ht="60">
      <c r="A514" s="138">
        <v>514</v>
      </c>
      <c r="B514" s="142">
        <v>7</v>
      </c>
      <c r="C514" s="142">
        <v>7</v>
      </c>
      <c r="D514" s="142">
        <v>429</v>
      </c>
      <c r="E514" s="149" t="s">
        <v>1831</v>
      </c>
      <c r="F514" s="142">
        <v>53</v>
      </c>
      <c r="G514" s="142">
        <v>650</v>
      </c>
      <c r="H514" s="142">
        <v>430</v>
      </c>
      <c r="I514" s="146" t="s">
        <v>1423</v>
      </c>
      <c r="J514" s="144" t="s">
        <v>1372</v>
      </c>
      <c r="K514" s="147"/>
      <c r="L514" s="144" t="s">
        <v>11</v>
      </c>
      <c r="M514" s="144" t="s">
        <v>500</v>
      </c>
      <c r="N514" s="144" t="s">
        <v>1071</v>
      </c>
    </row>
    <row r="515" spans="1:14" ht="60">
      <c r="A515" s="138">
        <v>515</v>
      </c>
      <c r="B515" s="142">
        <v>7</v>
      </c>
      <c r="C515" s="142">
        <v>7</v>
      </c>
      <c r="D515" s="142">
        <v>430</v>
      </c>
      <c r="E515" s="149" t="s">
        <v>1832</v>
      </c>
      <c r="F515" s="142">
        <v>53</v>
      </c>
      <c r="G515" s="142">
        <v>651</v>
      </c>
      <c r="H515" s="142">
        <v>431</v>
      </c>
      <c r="I515" s="146" t="s">
        <v>1423</v>
      </c>
      <c r="J515" s="144" t="s">
        <v>1372</v>
      </c>
      <c r="K515" s="147"/>
      <c r="L515" s="144" t="s">
        <v>11</v>
      </c>
      <c r="M515" s="144" t="s">
        <v>501</v>
      </c>
      <c r="N515" s="144" t="s">
        <v>1072</v>
      </c>
    </row>
    <row r="516" spans="1:14" ht="60">
      <c r="A516" s="138">
        <v>516</v>
      </c>
      <c r="B516" s="142">
        <v>7</v>
      </c>
      <c r="C516" s="142">
        <v>7</v>
      </c>
      <c r="D516" s="142">
        <v>80</v>
      </c>
      <c r="E516" s="149" t="s">
        <v>1833</v>
      </c>
      <c r="F516" s="142">
        <v>53</v>
      </c>
      <c r="G516" s="142">
        <v>652</v>
      </c>
      <c r="H516" s="142">
        <v>80</v>
      </c>
      <c r="I516" s="146" t="s">
        <v>1423</v>
      </c>
      <c r="J516" s="144" t="s">
        <v>1372</v>
      </c>
      <c r="K516" s="147"/>
      <c r="L516" s="144" t="s">
        <v>11</v>
      </c>
      <c r="M516" s="144" t="s">
        <v>114</v>
      </c>
      <c r="N516" s="144" t="s">
        <v>810</v>
      </c>
    </row>
    <row r="517" spans="1:14" ht="60">
      <c r="A517" s="138">
        <v>517</v>
      </c>
      <c r="B517" s="142">
        <v>7</v>
      </c>
      <c r="C517" s="142">
        <v>7</v>
      </c>
      <c r="D517" s="142">
        <v>81</v>
      </c>
      <c r="E517" s="149" t="s">
        <v>1834</v>
      </c>
      <c r="F517" s="142">
        <v>53</v>
      </c>
      <c r="G517" s="142">
        <v>653</v>
      </c>
      <c r="H517" s="142">
        <v>81</v>
      </c>
      <c r="I517" s="146" t="s">
        <v>1423</v>
      </c>
      <c r="J517" s="144" t="s">
        <v>1372</v>
      </c>
      <c r="K517" s="147"/>
      <c r="L517" s="144" t="s">
        <v>11</v>
      </c>
      <c r="M517" s="144" t="s">
        <v>115</v>
      </c>
      <c r="N517" s="144" t="s">
        <v>812</v>
      </c>
    </row>
    <row r="518" spans="1:14" ht="60">
      <c r="A518" s="138">
        <v>518</v>
      </c>
      <c r="B518" s="142">
        <v>7</v>
      </c>
      <c r="C518" s="142">
        <v>7</v>
      </c>
      <c r="D518" s="142">
        <v>82</v>
      </c>
      <c r="E518" s="149" t="s">
        <v>1835</v>
      </c>
      <c r="F518" s="142">
        <v>53</v>
      </c>
      <c r="G518" s="142">
        <v>654</v>
      </c>
      <c r="H518" s="142">
        <v>82</v>
      </c>
      <c r="I518" s="146" t="s">
        <v>1423</v>
      </c>
      <c r="J518" s="144" t="s">
        <v>1372</v>
      </c>
      <c r="K518" s="147"/>
      <c r="L518" s="144" t="s">
        <v>11</v>
      </c>
      <c r="M518" s="144" t="s">
        <v>116</v>
      </c>
      <c r="N518" s="144" t="s">
        <v>1353</v>
      </c>
    </row>
    <row r="519" spans="1:14" ht="60">
      <c r="A519" s="138">
        <v>519</v>
      </c>
      <c r="B519" s="142">
        <v>7</v>
      </c>
      <c r="C519" s="142">
        <v>7</v>
      </c>
      <c r="D519" s="142">
        <v>431</v>
      </c>
      <c r="E519" s="149" t="s">
        <v>1836</v>
      </c>
      <c r="F519" s="142">
        <v>53</v>
      </c>
      <c r="G519" s="142">
        <v>655</v>
      </c>
      <c r="H519" s="142">
        <v>432</v>
      </c>
      <c r="I519" s="146" t="s">
        <v>1423</v>
      </c>
      <c r="J519" s="144" t="s">
        <v>1372</v>
      </c>
      <c r="K519" s="147"/>
      <c r="L519" s="144" t="s">
        <v>11</v>
      </c>
      <c r="M519" s="144" t="s">
        <v>502</v>
      </c>
      <c r="N519" s="144" t="s">
        <v>1075</v>
      </c>
    </row>
    <row r="520" spans="1:14" ht="60">
      <c r="A520" s="138">
        <v>520</v>
      </c>
      <c r="B520" s="142">
        <v>7</v>
      </c>
      <c r="C520" s="142">
        <v>7</v>
      </c>
      <c r="D520" s="142">
        <v>432</v>
      </c>
      <c r="E520" s="149" t="s">
        <v>1837</v>
      </c>
      <c r="F520" s="142">
        <v>53</v>
      </c>
      <c r="G520" s="142">
        <v>656</v>
      </c>
      <c r="H520" s="142">
        <v>433</v>
      </c>
      <c r="I520" s="146" t="s">
        <v>1423</v>
      </c>
      <c r="J520" s="144" t="s">
        <v>1372</v>
      </c>
      <c r="K520" s="147"/>
      <c r="L520" s="144" t="s">
        <v>11</v>
      </c>
      <c r="M520" s="144" t="s">
        <v>503</v>
      </c>
      <c r="N520" s="144" t="s">
        <v>1076</v>
      </c>
    </row>
    <row r="521" spans="1:14" ht="60">
      <c r="A521" s="138">
        <v>521</v>
      </c>
      <c r="B521" s="142">
        <v>7</v>
      </c>
      <c r="C521" s="142">
        <v>7</v>
      </c>
      <c r="D521" s="142">
        <v>231</v>
      </c>
      <c r="E521" s="149" t="s">
        <v>1838</v>
      </c>
      <c r="F521" s="142">
        <v>53</v>
      </c>
      <c r="G521" s="142">
        <v>657</v>
      </c>
      <c r="H521" s="142">
        <v>231</v>
      </c>
      <c r="I521" s="146" t="s">
        <v>1423</v>
      </c>
      <c r="J521" s="144" t="s">
        <v>1372</v>
      </c>
      <c r="K521" s="147"/>
      <c r="L521" s="144" t="s">
        <v>11</v>
      </c>
      <c r="M521" s="144" t="s">
        <v>276</v>
      </c>
      <c r="N521" s="144" t="s">
        <v>1077</v>
      </c>
    </row>
    <row r="522" spans="1:14" ht="60">
      <c r="A522" s="138">
        <v>522</v>
      </c>
      <c r="B522" s="142">
        <v>7</v>
      </c>
      <c r="C522" s="142">
        <v>7</v>
      </c>
      <c r="D522" s="142">
        <v>232</v>
      </c>
      <c r="E522" s="149" t="s">
        <v>1839</v>
      </c>
      <c r="F522" s="142">
        <v>53</v>
      </c>
      <c r="G522" s="142">
        <v>658</v>
      </c>
      <c r="H522" s="142">
        <v>232</v>
      </c>
      <c r="I522" s="146" t="s">
        <v>1423</v>
      </c>
      <c r="J522" s="144" t="s">
        <v>1372</v>
      </c>
      <c r="K522" s="147"/>
      <c r="L522" s="144" t="s">
        <v>11</v>
      </c>
      <c r="M522" s="144" t="s">
        <v>277</v>
      </c>
      <c r="N522" s="144" t="s">
        <v>1079</v>
      </c>
    </row>
    <row r="523" spans="1:14" ht="60">
      <c r="A523" s="138">
        <v>523</v>
      </c>
      <c r="B523" s="142">
        <v>7</v>
      </c>
      <c r="C523" s="142">
        <v>7</v>
      </c>
      <c r="D523" s="142">
        <v>233</v>
      </c>
      <c r="E523" s="149" t="s">
        <v>1840</v>
      </c>
      <c r="F523" s="142">
        <v>53</v>
      </c>
      <c r="G523" s="142">
        <v>659</v>
      </c>
      <c r="H523" s="142">
        <v>233</v>
      </c>
      <c r="I523" s="146" t="s">
        <v>1423</v>
      </c>
      <c r="J523" s="144" t="s">
        <v>1372</v>
      </c>
      <c r="K523" s="147"/>
      <c r="L523" s="144" t="s">
        <v>11</v>
      </c>
      <c r="M523" s="144" t="s">
        <v>278</v>
      </c>
      <c r="N523" s="144" t="s">
        <v>1081</v>
      </c>
    </row>
    <row r="524" spans="1:14" ht="60">
      <c r="A524" s="138">
        <v>524</v>
      </c>
      <c r="B524" s="142">
        <v>7</v>
      </c>
      <c r="C524" s="142">
        <v>6</v>
      </c>
      <c r="D524" s="142">
        <v>433</v>
      </c>
      <c r="E524" s="149" t="s">
        <v>1841</v>
      </c>
      <c r="F524" s="142">
        <v>52</v>
      </c>
      <c r="G524" s="142">
        <v>660</v>
      </c>
      <c r="H524" s="142">
        <v>434</v>
      </c>
      <c r="I524" s="146" t="s">
        <v>1423</v>
      </c>
      <c r="J524" s="144" t="s">
        <v>1372</v>
      </c>
      <c r="K524" s="147"/>
      <c r="L524" s="144" t="s">
        <v>10</v>
      </c>
      <c r="M524" s="144" t="s">
        <v>521</v>
      </c>
      <c r="N524" s="144" t="s">
        <v>1082</v>
      </c>
    </row>
    <row r="525" spans="1:14" ht="60">
      <c r="A525" s="138">
        <v>525</v>
      </c>
      <c r="B525" s="142">
        <v>7</v>
      </c>
      <c r="C525" s="142">
        <v>6</v>
      </c>
      <c r="D525" s="142">
        <v>65</v>
      </c>
      <c r="E525" s="149" t="s">
        <v>1842</v>
      </c>
      <c r="F525" s="142">
        <v>52</v>
      </c>
      <c r="G525" s="142">
        <v>661</v>
      </c>
      <c r="H525" s="142">
        <v>65</v>
      </c>
      <c r="I525" s="146" t="s">
        <v>1423</v>
      </c>
      <c r="J525" s="144" t="s">
        <v>1372</v>
      </c>
      <c r="K525" s="147"/>
      <c r="L525" s="144" t="s">
        <v>10</v>
      </c>
      <c r="M525" s="144" t="s">
        <v>362</v>
      </c>
      <c r="N525" s="144" t="s">
        <v>1349</v>
      </c>
    </row>
    <row r="526" spans="1:14" ht="60">
      <c r="A526" s="138">
        <v>526</v>
      </c>
      <c r="B526" s="142">
        <v>7</v>
      </c>
      <c r="C526" s="142">
        <v>6</v>
      </c>
      <c r="D526" s="142">
        <v>240</v>
      </c>
      <c r="E526" s="149" t="s">
        <v>1843</v>
      </c>
      <c r="F526" s="142">
        <v>52</v>
      </c>
      <c r="G526" s="142">
        <v>662</v>
      </c>
      <c r="H526" s="142">
        <v>240</v>
      </c>
      <c r="I526" s="146" t="s">
        <v>1423</v>
      </c>
      <c r="J526" s="144" t="s">
        <v>1372</v>
      </c>
      <c r="K526" s="147"/>
      <c r="L526" s="144" t="s">
        <v>10</v>
      </c>
      <c r="M526" s="144" t="s">
        <v>285</v>
      </c>
      <c r="N526" s="144" t="s">
        <v>1011</v>
      </c>
    </row>
    <row r="527" spans="1:14" ht="60">
      <c r="A527" s="138">
        <v>527</v>
      </c>
      <c r="B527" s="142">
        <v>7</v>
      </c>
      <c r="C527" s="142">
        <v>6</v>
      </c>
      <c r="D527" s="142">
        <v>241</v>
      </c>
      <c r="E527" s="149" t="s">
        <v>1844</v>
      </c>
      <c r="F527" s="142">
        <v>52</v>
      </c>
      <c r="G527" s="142">
        <v>663</v>
      </c>
      <c r="H527" s="142">
        <v>241</v>
      </c>
      <c r="I527" s="146" t="s">
        <v>1423</v>
      </c>
      <c r="J527" s="144" t="s">
        <v>1372</v>
      </c>
      <c r="K527" s="147"/>
      <c r="L527" s="144" t="s">
        <v>10</v>
      </c>
      <c r="M527" s="144" t="s">
        <v>287</v>
      </c>
      <c r="N527" s="144" t="s">
        <v>1012</v>
      </c>
    </row>
    <row r="528" spans="1:14" ht="60">
      <c r="A528" s="138">
        <v>528</v>
      </c>
      <c r="B528" s="142">
        <v>7</v>
      </c>
      <c r="C528" s="142">
        <v>8</v>
      </c>
      <c r="D528" s="142">
        <v>434</v>
      </c>
      <c r="E528" s="149" t="s">
        <v>1845</v>
      </c>
      <c r="F528" s="142">
        <v>54</v>
      </c>
      <c r="G528" s="142">
        <v>664</v>
      </c>
      <c r="H528" s="142">
        <v>435</v>
      </c>
      <c r="I528" s="146" t="s">
        <v>1423</v>
      </c>
      <c r="J528" s="144" t="s">
        <v>1372</v>
      </c>
      <c r="K528" s="147"/>
      <c r="L528" s="144" t="s">
        <v>12</v>
      </c>
      <c r="M528" s="144" t="s">
        <v>12</v>
      </c>
      <c r="N528" s="144" t="s">
        <v>1211</v>
      </c>
    </row>
    <row r="529" spans="1:15" ht="224">
      <c r="A529" s="138">
        <v>529</v>
      </c>
      <c r="B529" s="144"/>
      <c r="C529" s="144"/>
      <c r="D529" s="144"/>
      <c r="E529" s="150"/>
      <c r="F529" s="144"/>
      <c r="G529" s="144"/>
      <c r="H529" s="144"/>
      <c r="I529" s="146"/>
      <c r="J529" s="139" t="s">
        <v>1398</v>
      </c>
      <c r="K529" s="140" t="s">
        <v>1398</v>
      </c>
      <c r="L529" s="140" t="s">
        <v>1420</v>
      </c>
      <c r="M529" s="140" t="s">
        <v>1421</v>
      </c>
      <c r="N529" s="140" t="s">
        <v>1306</v>
      </c>
      <c r="O529" s="143" t="s">
        <v>1422</v>
      </c>
    </row>
    <row r="530" spans="1:15" ht="28">
      <c r="A530" s="138">
        <v>530</v>
      </c>
      <c r="B530" s="144"/>
      <c r="C530" s="144"/>
      <c r="D530" s="144"/>
      <c r="E530" s="150"/>
      <c r="F530" s="144"/>
      <c r="G530" s="144"/>
      <c r="H530" s="144"/>
      <c r="I530" s="146"/>
      <c r="J530" s="139" t="s">
        <v>1398</v>
      </c>
      <c r="K530" s="140" t="s">
        <v>1398</v>
      </c>
      <c r="L530" s="140" t="s">
        <v>1420</v>
      </c>
      <c r="M530" s="145" t="s">
        <v>1307</v>
      </c>
      <c r="N530" s="145" t="s">
        <v>1307</v>
      </c>
      <c r="O530" s="144"/>
    </row>
    <row r="531" spans="1:15" ht="42">
      <c r="A531" s="138">
        <v>531</v>
      </c>
      <c r="B531" s="144"/>
      <c r="C531" s="144"/>
      <c r="D531" s="144"/>
      <c r="E531" s="150"/>
      <c r="F531" s="144"/>
      <c r="G531" s="144"/>
      <c r="H531" s="144"/>
      <c r="I531" s="146"/>
      <c r="J531" s="139" t="s">
        <v>1398</v>
      </c>
      <c r="K531" s="140" t="s">
        <v>1398</v>
      </c>
      <c r="L531" s="140" t="s">
        <v>1420</v>
      </c>
      <c r="M531" s="145" t="s">
        <v>1308</v>
      </c>
      <c r="N531" s="145" t="s">
        <v>1308</v>
      </c>
      <c r="O531" s="144"/>
    </row>
    <row r="532" spans="1:15" ht="28">
      <c r="A532" s="138">
        <v>532</v>
      </c>
      <c r="B532" s="144"/>
      <c r="C532" s="144"/>
      <c r="D532" s="144"/>
      <c r="E532" s="150"/>
      <c r="F532" s="144"/>
      <c r="G532" s="144"/>
      <c r="H532" s="144"/>
      <c r="I532" s="146"/>
      <c r="J532" s="139" t="s">
        <v>1398</v>
      </c>
      <c r="K532" s="140" t="s">
        <v>1398</v>
      </c>
      <c r="L532" s="140" t="s">
        <v>1420</v>
      </c>
      <c r="M532" s="145" t="s">
        <v>1309</v>
      </c>
      <c r="N532" s="145" t="s">
        <v>1309</v>
      </c>
      <c r="O532" s="144"/>
    </row>
    <row r="533" spans="1:15" ht="28">
      <c r="A533" s="138">
        <v>533</v>
      </c>
      <c r="B533" s="144"/>
      <c r="C533" s="144"/>
      <c r="D533" s="144"/>
      <c r="E533" s="150"/>
      <c r="F533" s="144"/>
      <c r="G533" s="144"/>
      <c r="H533" s="144"/>
      <c r="I533" s="146"/>
      <c r="J533" s="139" t="s">
        <v>1398</v>
      </c>
      <c r="K533" s="140" t="s">
        <v>1398</v>
      </c>
      <c r="L533" s="140" t="s">
        <v>1420</v>
      </c>
      <c r="M533" s="145" t="s">
        <v>1310</v>
      </c>
      <c r="N533" s="145" t="s">
        <v>1310</v>
      </c>
      <c r="O533" s="144"/>
    </row>
    <row r="534" spans="1:15" ht="28">
      <c r="A534" s="138">
        <v>534</v>
      </c>
      <c r="B534" s="144"/>
      <c r="C534" s="144"/>
      <c r="D534" s="144"/>
      <c r="E534" s="150"/>
      <c r="F534" s="144"/>
      <c r="G534" s="144"/>
      <c r="H534" s="144"/>
      <c r="I534" s="146"/>
      <c r="J534" s="139" t="s">
        <v>1398</v>
      </c>
      <c r="K534" s="140" t="s">
        <v>1398</v>
      </c>
      <c r="L534" s="140" t="s">
        <v>1420</v>
      </c>
      <c r="M534" s="145" t="s">
        <v>1311</v>
      </c>
      <c r="N534" s="145" t="s">
        <v>1311</v>
      </c>
      <c r="O534" s="144"/>
    </row>
    <row r="535" spans="1:15" ht="28">
      <c r="A535" s="138">
        <v>535</v>
      </c>
      <c r="B535" s="144"/>
      <c r="C535" s="144"/>
      <c r="D535" s="144"/>
      <c r="E535" s="150"/>
      <c r="F535" s="144"/>
      <c r="G535" s="144"/>
      <c r="H535" s="144"/>
      <c r="I535" s="146"/>
      <c r="J535" s="139" t="s">
        <v>1398</v>
      </c>
      <c r="K535" s="140" t="s">
        <v>1398</v>
      </c>
      <c r="L535" s="140" t="s">
        <v>1420</v>
      </c>
      <c r="M535" s="145" t="s">
        <v>1312</v>
      </c>
      <c r="N535" s="145" t="s">
        <v>1312</v>
      </c>
      <c r="O535" s="144"/>
    </row>
    <row r="536" spans="1:15" ht="42">
      <c r="A536" s="138">
        <v>536</v>
      </c>
      <c r="B536" s="144"/>
      <c r="C536" s="144"/>
      <c r="D536" s="144"/>
      <c r="E536" s="150"/>
      <c r="F536" s="144"/>
      <c r="G536" s="144"/>
      <c r="H536" s="144"/>
      <c r="I536" s="146"/>
      <c r="J536" s="139" t="s">
        <v>1398</v>
      </c>
      <c r="K536" s="140" t="s">
        <v>1398</v>
      </c>
      <c r="L536" s="140" t="s">
        <v>1420</v>
      </c>
      <c r="M536" s="145" t="s">
        <v>1314</v>
      </c>
      <c r="N536" s="145" t="s">
        <v>1314</v>
      </c>
      <c r="O536" s="144"/>
    </row>
    <row r="537" spans="1:15" ht="28">
      <c r="A537" s="138">
        <v>537</v>
      </c>
      <c r="B537" s="144"/>
      <c r="C537" s="144"/>
      <c r="D537" s="144"/>
      <c r="E537" s="150"/>
      <c r="F537" s="144"/>
      <c r="G537" s="144"/>
      <c r="H537" s="144"/>
      <c r="I537" s="146"/>
      <c r="J537" s="139" t="s">
        <v>1398</v>
      </c>
      <c r="K537" s="140" t="s">
        <v>1398</v>
      </c>
      <c r="L537" s="140" t="s">
        <v>1420</v>
      </c>
      <c r="M537" s="145" t="s">
        <v>1315</v>
      </c>
      <c r="N537" s="145" t="s">
        <v>1315</v>
      </c>
      <c r="O537" s="144"/>
    </row>
    <row r="538" spans="1:15" ht="28">
      <c r="A538" s="138">
        <v>538</v>
      </c>
      <c r="B538" s="144"/>
      <c r="C538" s="144"/>
      <c r="D538" s="144"/>
      <c r="E538" s="150"/>
      <c r="F538" s="144"/>
      <c r="G538" s="144"/>
      <c r="H538" s="144"/>
      <c r="I538" s="146"/>
      <c r="J538" s="139" t="s">
        <v>1398</v>
      </c>
      <c r="K538" s="140" t="s">
        <v>1398</v>
      </c>
      <c r="L538" s="140" t="s">
        <v>1420</v>
      </c>
      <c r="M538" s="145" t="s">
        <v>1316</v>
      </c>
      <c r="N538" s="145" t="s">
        <v>1316</v>
      </c>
      <c r="O538" s="144"/>
    </row>
    <row r="539" spans="1:15" ht="28">
      <c r="A539" s="138">
        <v>539</v>
      </c>
      <c r="B539" s="144"/>
      <c r="C539" s="144"/>
      <c r="D539" s="144"/>
      <c r="E539" s="150"/>
      <c r="F539" s="144"/>
      <c r="G539" s="144"/>
      <c r="H539" s="144"/>
      <c r="I539" s="146"/>
      <c r="J539" s="139" t="s">
        <v>1398</v>
      </c>
      <c r="K539" s="140" t="s">
        <v>1398</v>
      </c>
      <c r="L539" s="140" t="s">
        <v>1420</v>
      </c>
      <c r="M539" s="145" t="s">
        <v>1317</v>
      </c>
      <c r="N539" s="145" t="s">
        <v>1317</v>
      </c>
      <c r="O539" s="144"/>
    </row>
    <row r="540" spans="1:15" ht="28">
      <c r="A540" s="138">
        <v>540</v>
      </c>
      <c r="B540" s="144"/>
      <c r="C540" s="144"/>
      <c r="D540" s="144"/>
      <c r="E540" s="150"/>
      <c r="F540" s="144"/>
      <c r="G540" s="144"/>
      <c r="H540" s="144"/>
      <c r="I540" s="146"/>
      <c r="J540" s="139" t="s">
        <v>1398</v>
      </c>
      <c r="K540" s="140" t="s">
        <v>1398</v>
      </c>
      <c r="L540" s="140" t="s">
        <v>1420</v>
      </c>
      <c r="M540" s="145" t="s">
        <v>1318</v>
      </c>
      <c r="N540" s="145" t="s">
        <v>1318</v>
      </c>
      <c r="O540" s="144"/>
    </row>
    <row r="541" spans="1:15" ht="42">
      <c r="A541" s="138">
        <v>541</v>
      </c>
      <c r="B541" s="144"/>
      <c r="C541" s="144"/>
      <c r="D541" s="144"/>
      <c r="E541" s="150"/>
      <c r="F541" s="144"/>
      <c r="G541" s="144"/>
      <c r="H541" s="144"/>
      <c r="I541" s="146"/>
      <c r="J541" s="139" t="s">
        <v>1398</v>
      </c>
      <c r="K541" s="140" t="s">
        <v>1398</v>
      </c>
      <c r="L541" s="140" t="s">
        <v>1420</v>
      </c>
      <c r="M541" s="145" t="s">
        <v>1319</v>
      </c>
      <c r="N541" s="145" t="s">
        <v>1319</v>
      </c>
      <c r="O541" s="144"/>
    </row>
    <row r="542" spans="1:15" ht="28">
      <c r="A542" s="138">
        <v>542</v>
      </c>
      <c r="B542" s="144"/>
      <c r="C542" s="144"/>
      <c r="D542" s="144"/>
      <c r="E542" s="150"/>
      <c r="F542" s="144"/>
      <c r="G542" s="144"/>
      <c r="H542" s="144"/>
      <c r="I542" s="146"/>
      <c r="J542" s="139" t="s">
        <v>1398</v>
      </c>
      <c r="K542" s="140" t="s">
        <v>1398</v>
      </c>
      <c r="L542" s="140" t="s">
        <v>1420</v>
      </c>
      <c r="M542" s="145" t="s">
        <v>1320</v>
      </c>
      <c r="N542" s="145" t="s">
        <v>1320</v>
      </c>
      <c r="O542" s="144"/>
    </row>
    <row r="543" spans="1:15" ht="28">
      <c r="A543" s="138">
        <v>543</v>
      </c>
      <c r="B543" s="144"/>
      <c r="C543" s="144"/>
      <c r="D543" s="144"/>
      <c r="E543" s="150"/>
      <c r="F543" s="144"/>
      <c r="G543" s="144"/>
      <c r="H543" s="144"/>
      <c r="I543" s="146"/>
      <c r="J543" s="139" t="s">
        <v>1398</v>
      </c>
      <c r="K543" s="140" t="s">
        <v>1398</v>
      </c>
      <c r="L543" s="140" t="s">
        <v>1420</v>
      </c>
      <c r="M543" s="145" t="s">
        <v>1324</v>
      </c>
      <c r="N543" s="145" t="s">
        <v>1324</v>
      </c>
      <c r="O543" s="144"/>
    </row>
    <row r="544" spans="1:15" ht="28">
      <c r="A544" s="138">
        <v>544</v>
      </c>
      <c r="B544" s="144"/>
      <c r="C544" s="144"/>
      <c r="D544" s="144"/>
      <c r="E544" s="150"/>
      <c r="F544" s="144"/>
      <c r="G544" s="144"/>
      <c r="H544" s="144"/>
      <c r="I544" s="146"/>
      <c r="J544" s="139" t="s">
        <v>1398</v>
      </c>
      <c r="K544" s="140" t="s">
        <v>1398</v>
      </c>
      <c r="L544" s="140" t="s">
        <v>1420</v>
      </c>
      <c r="M544" s="145" t="s">
        <v>1325</v>
      </c>
      <c r="N544" s="145" t="s">
        <v>1325</v>
      </c>
      <c r="O544" s="144"/>
    </row>
    <row r="545" spans="1:15" ht="56">
      <c r="A545" s="138">
        <v>545</v>
      </c>
      <c r="B545" s="144"/>
      <c r="C545" s="144"/>
      <c r="D545" s="144"/>
      <c r="E545" s="150"/>
      <c r="F545" s="144"/>
      <c r="G545" s="144"/>
      <c r="H545" s="144"/>
      <c r="I545" s="146"/>
      <c r="J545" s="139" t="s">
        <v>1398</v>
      </c>
      <c r="K545" s="140" t="s">
        <v>1398</v>
      </c>
      <c r="L545" s="140" t="s">
        <v>1420</v>
      </c>
      <c r="M545" s="145" t="s">
        <v>1323</v>
      </c>
      <c r="N545" s="145" t="s">
        <v>1323</v>
      </c>
      <c r="O545" s="144"/>
    </row>
    <row r="546" spans="1:15" ht="42">
      <c r="A546" s="138">
        <v>546</v>
      </c>
      <c r="B546" s="144"/>
      <c r="C546" s="144"/>
      <c r="D546" s="144"/>
      <c r="E546" s="150"/>
      <c r="F546" s="144"/>
      <c r="G546" s="144"/>
      <c r="H546" s="144"/>
      <c r="I546" s="146"/>
      <c r="J546" s="139" t="s">
        <v>1398</v>
      </c>
      <c r="K546" s="140" t="s">
        <v>1398</v>
      </c>
      <c r="L546" s="140" t="s">
        <v>1420</v>
      </c>
      <c r="M546" s="145" t="s">
        <v>1326</v>
      </c>
      <c r="N546" s="145" t="s">
        <v>1326</v>
      </c>
      <c r="O546" s="144"/>
    </row>
    <row r="547" spans="1:15" ht="28">
      <c r="A547" s="138">
        <v>547</v>
      </c>
      <c r="B547" s="144"/>
      <c r="C547" s="144"/>
      <c r="D547" s="144"/>
      <c r="E547" s="150"/>
      <c r="F547" s="144"/>
      <c r="G547" s="144"/>
      <c r="H547" s="144"/>
      <c r="I547" s="146"/>
      <c r="J547" s="139" t="s">
        <v>1398</v>
      </c>
      <c r="K547" s="140" t="s">
        <v>1398</v>
      </c>
      <c r="L547" s="140" t="s">
        <v>1420</v>
      </c>
      <c r="M547" s="145" t="s">
        <v>1327</v>
      </c>
      <c r="N547" s="145" t="s">
        <v>1327</v>
      </c>
      <c r="O547" s="144"/>
    </row>
    <row r="548" spans="1:15" ht="28">
      <c r="A548" s="138">
        <v>548</v>
      </c>
      <c r="B548" s="144"/>
      <c r="C548" s="144"/>
      <c r="D548" s="144"/>
      <c r="E548" s="150"/>
      <c r="F548" s="144"/>
      <c r="G548" s="144"/>
      <c r="H548" s="144"/>
      <c r="I548" s="146"/>
      <c r="J548" s="139" t="s">
        <v>1398</v>
      </c>
      <c r="K548" s="140" t="s">
        <v>1398</v>
      </c>
      <c r="L548" s="140" t="s">
        <v>1420</v>
      </c>
      <c r="M548" s="145" t="s">
        <v>1328</v>
      </c>
      <c r="N548" s="145" t="s">
        <v>1328</v>
      </c>
      <c r="O548" s="144"/>
    </row>
    <row r="549" spans="1:15" ht="28">
      <c r="A549" s="138">
        <v>549</v>
      </c>
      <c r="B549" s="144"/>
      <c r="C549" s="144"/>
      <c r="D549" s="144"/>
      <c r="E549" s="150"/>
      <c r="F549" s="144"/>
      <c r="G549" s="144"/>
      <c r="H549" s="144"/>
      <c r="I549" s="146"/>
      <c r="J549" s="139" t="s">
        <v>1398</v>
      </c>
      <c r="K549" s="140" t="s">
        <v>1398</v>
      </c>
      <c r="L549" s="140" t="s">
        <v>1420</v>
      </c>
      <c r="M549" s="145" t="s">
        <v>1329</v>
      </c>
      <c r="N549" s="145" t="s">
        <v>1329</v>
      </c>
      <c r="O549" s="144"/>
    </row>
    <row r="550" spans="1:15" ht="28">
      <c r="A550" s="138">
        <v>550</v>
      </c>
      <c r="B550" s="144"/>
      <c r="C550" s="144"/>
      <c r="D550" s="144"/>
      <c r="E550" s="150"/>
      <c r="F550" s="144"/>
      <c r="G550" s="144"/>
      <c r="H550" s="144"/>
      <c r="I550" s="146"/>
      <c r="J550" s="139" t="s">
        <v>1398</v>
      </c>
      <c r="K550" s="140" t="s">
        <v>1398</v>
      </c>
      <c r="L550" s="140" t="s">
        <v>1420</v>
      </c>
      <c r="M550" s="145" t="s">
        <v>10</v>
      </c>
      <c r="N550" s="145" t="s">
        <v>10</v>
      </c>
      <c r="O550" s="144"/>
    </row>
    <row r="551" spans="1:15" ht="28">
      <c r="A551" s="138">
        <v>551</v>
      </c>
      <c r="B551" s="144"/>
      <c r="C551" s="144"/>
      <c r="D551" s="144"/>
      <c r="E551" s="150"/>
      <c r="F551" s="144"/>
      <c r="G551" s="144"/>
      <c r="H551" s="144"/>
      <c r="I551" s="146"/>
      <c r="J551" s="139" t="s">
        <v>1398</v>
      </c>
      <c r="K551" s="140" t="s">
        <v>1398</v>
      </c>
      <c r="L551" s="140" t="s">
        <v>1420</v>
      </c>
      <c r="M551" s="145" t="s">
        <v>1330</v>
      </c>
      <c r="N551" s="145" t="s">
        <v>1330</v>
      </c>
      <c r="O551" s="144"/>
    </row>
    <row r="552" spans="1:15">
      <c r="A552" s="144"/>
      <c r="B552" s="144"/>
      <c r="C552" s="144"/>
      <c r="D552" s="144"/>
      <c r="E552" s="150"/>
      <c r="F552" s="144"/>
      <c r="G552" s="144"/>
      <c r="H552" s="144"/>
      <c r="I552" s="146"/>
      <c r="J552" s="144"/>
      <c r="K552" s="144"/>
      <c r="L552" s="144"/>
      <c r="M552" s="144"/>
      <c r="N552" s="144"/>
    </row>
    <row r="553" spans="1:15">
      <c r="A553" s="144"/>
      <c r="B553" s="144"/>
      <c r="C553" s="144"/>
      <c r="D553" s="144"/>
      <c r="E553" s="150"/>
      <c r="F553" s="144"/>
      <c r="G553" s="144"/>
      <c r="H553" s="144"/>
      <c r="I553" s="146"/>
      <c r="J553" s="144"/>
      <c r="K553" s="144"/>
      <c r="L553" s="144"/>
      <c r="M553" s="144"/>
      <c r="N553" s="144"/>
    </row>
    <row r="554" spans="1:15">
      <c r="A554" s="144"/>
      <c r="B554" s="144"/>
      <c r="C554" s="144"/>
      <c r="D554" s="144"/>
      <c r="E554" s="150"/>
      <c r="F554" s="144"/>
      <c r="G554" s="144"/>
      <c r="H554" s="144"/>
      <c r="I554" s="146"/>
      <c r="J554" s="144"/>
      <c r="K554" s="144"/>
      <c r="L554" s="144"/>
      <c r="M554" s="144"/>
      <c r="N554" s="144"/>
    </row>
    <row r="555" spans="1:15">
      <c r="A555" s="144"/>
      <c r="B555" s="144"/>
      <c r="C555" s="144"/>
      <c r="D555" s="144"/>
      <c r="E555" s="150"/>
      <c r="F555" s="144"/>
      <c r="G555" s="144"/>
      <c r="H555" s="144"/>
      <c r="I555" s="146"/>
      <c r="J555" s="144"/>
      <c r="K555" s="144"/>
      <c r="L555" s="144"/>
      <c r="M555" s="144"/>
      <c r="N555" s="144"/>
    </row>
    <row r="556" spans="1:15">
      <c r="A556" s="144"/>
      <c r="B556" s="144"/>
      <c r="C556" s="144"/>
      <c r="D556" s="144"/>
      <c r="E556" s="150"/>
      <c r="F556" s="144"/>
      <c r="G556" s="144"/>
      <c r="H556" s="144"/>
      <c r="I556" s="146"/>
      <c r="J556" s="144"/>
      <c r="K556" s="144"/>
      <c r="L556" s="144"/>
      <c r="M556" s="144"/>
      <c r="N556" s="144"/>
    </row>
    <row r="557" spans="1:15">
      <c r="A557" s="144"/>
      <c r="B557" s="144"/>
      <c r="C557" s="144"/>
      <c r="D557" s="144"/>
      <c r="E557" s="150"/>
      <c r="F557" s="144"/>
      <c r="G557" s="144"/>
      <c r="H557" s="144"/>
      <c r="I557" s="146"/>
      <c r="J557" s="144"/>
      <c r="K557" s="144"/>
      <c r="L557" s="144"/>
      <c r="M557" s="144"/>
      <c r="N557" s="144"/>
    </row>
    <row r="558" spans="1:15">
      <c r="A558" s="144"/>
      <c r="B558" s="144"/>
      <c r="C558" s="144"/>
      <c r="D558" s="144"/>
      <c r="E558" s="150"/>
      <c r="F558" s="144"/>
      <c r="G558" s="144"/>
      <c r="H558" s="144"/>
      <c r="I558" s="146"/>
      <c r="J558" s="144"/>
      <c r="K558" s="144"/>
      <c r="L558" s="144"/>
      <c r="M558" s="144"/>
      <c r="N558" s="144"/>
    </row>
    <row r="559" spans="1:15">
      <c r="A559" s="144"/>
      <c r="B559" s="144"/>
      <c r="C559" s="144"/>
      <c r="D559" s="144"/>
      <c r="E559" s="150"/>
      <c r="F559" s="144"/>
      <c r="G559" s="144"/>
      <c r="H559" s="144"/>
      <c r="I559" s="146"/>
      <c r="J559" s="144"/>
      <c r="K559" s="144"/>
      <c r="L559" s="144"/>
      <c r="M559" s="144"/>
      <c r="N559" s="144"/>
    </row>
    <row r="560" spans="1:15">
      <c r="A560" s="144"/>
      <c r="B560" s="144"/>
      <c r="C560" s="144"/>
      <c r="D560" s="144"/>
      <c r="E560" s="150"/>
      <c r="F560" s="144"/>
      <c r="G560" s="144"/>
      <c r="H560" s="144"/>
      <c r="I560" s="146"/>
      <c r="J560" s="144"/>
      <c r="K560" s="144"/>
      <c r="L560" s="144"/>
      <c r="M560" s="144"/>
      <c r="N560" s="144"/>
    </row>
    <row r="561" spans="1:14">
      <c r="A561" s="144"/>
      <c r="B561" s="144"/>
      <c r="C561" s="144"/>
      <c r="D561" s="144"/>
      <c r="E561" s="150"/>
      <c r="F561" s="144"/>
      <c r="G561" s="144"/>
      <c r="H561" s="144"/>
      <c r="I561" s="146"/>
      <c r="J561" s="144"/>
      <c r="K561" s="144"/>
      <c r="L561" s="144"/>
      <c r="M561" s="144"/>
      <c r="N561" s="144"/>
    </row>
    <row r="562" spans="1:14">
      <c r="A562" s="144"/>
      <c r="B562" s="144"/>
      <c r="C562" s="144"/>
      <c r="D562" s="144"/>
      <c r="E562" s="150"/>
      <c r="F562" s="144"/>
      <c r="G562" s="144"/>
      <c r="H562" s="144"/>
      <c r="I562" s="146"/>
      <c r="J562" s="144"/>
      <c r="K562" s="144"/>
      <c r="L562" s="144"/>
      <c r="M562" s="144"/>
      <c r="N562" s="144"/>
    </row>
    <row r="563" spans="1:14">
      <c r="A563" s="144"/>
      <c r="B563" s="144"/>
      <c r="C563" s="144"/>
      <c r="D563" s="144"/>
      <c r="E563" s="150"/>
      <c r="F563" s="144"/>
      <c r="G563" s="144"/>
      <c r="H563" s="144"/>
      <c r="I563" s="146"/>
      <c r="J563" s="144"/>
      <c r="K563" s="144"/>
      <c r="L563" s="144"/>
      <c r="M563" s="144"/>
      <c r="N563" s="144"/>
    </row>
    <row r="564" spans="1:14">
      <c r="A564" s="144"/>
      <c r="B564" s="144"/>
      <c r="C564" s="144"/>
      <c r="D564" s="144"/>
      <c r="E564" s="150"/>
      <c r="F564" s="144"/>
      <c r="G564" s="144"/>
      <c r="H564" s="144"/>
      <c r="I564" s="146"/>
      <c r="J564" s="144"/>
      <c r="K564" s="144"/>
      <c r="L564" s="144"/>
      <c r="M564" s="144"/>
      <c r="N564" s="144"/>
    </row>
    <row r="565" spans="1:14">
      <c r="A565" s="144"/>
      <c r="B565" s="144"/>
      <c r="C565" s="144"/>
      <c r="D565" s="144"/>
      <c r="E565" s="150"/>
      <c r="F565" s="144"/>
      <c r="G565" s="144"/>
      <c r="H565" s="144"/>
      <c r="I565" s="146"/>
      <c r="J565" s="144"/>
      <c r="K565" s="144"/>
      <c r="L565" s="144"/>
      <c r="M565" s="144"/>
      <c r="N565" s="144"/>
    </row>
    <row r="566" spans="1:14">
      <c r="A566" s="144"/>
      <c r="B566" s="144"/>
      <c r="C566" s="144"/>
      <c r="D566" s="144"/>
      <c r="E566" s="150"/>
      <c r="F566" s="144"/>
      <c r="G566" s="144"/>
      <c r="H566" s="144"/>
      <c r="I566" s="146"/>
      <c r="J566" s="144"/>
      <c r="K566" s="144"/>
      <c r="L566" s="144"/>
      <c r="M566" s="144"/>
      <c r="N566" s="144"/>
    </row>
    <row r="567" spans="1:14">
      <c r="A567" s="144"/>
      <c r="B567" s="144"/>
      <c r="C567" s="144"/>
      <c r="D567" s="144"/>
      <c r="E567" s="150"/>
      <c r="F567" s="144"/>
      <c r="G567" s="144"/>
      <c r="H567" s="144"/>
      <c r="I567" s="146"/>
      <c r="J567" s="144"/>
      <c r="K567" s="144"/>
      <c r="L567" s="144"/>
      <c r="M567" s="144"/>
      <c r="N567" s="144"/>
    </row>
    <row r="568" spans="1:14">
      <c r="A568" s="144"/>
      <c r="B568" s="144"/>
      <c r="C568" s="144"/>
      <c r="D568" s="144"/>
      <c r="E568" s="150"/>
      <c r="F568" s="144"/>
      <c r="G568" s="144"/>
      <c r="H568" s="144"/>
      <c r="I568" s="146"/>
      <c r="J568" s="144"/>
      <c r="K568" s="144"/>
      <c r="L568" s="144"/>
      <c r="M568" s="144"/>
      <c r="N568" s="144"/>
    </row>
    <row r="569" spans="1:14">
      <c r="A569" s="144"/>
      <c r="B569" s="144"/>
      <c r="C569" s="144"/>
      <c r="D569" s="144"/>
      <c r="E569" s="150"/>
      <c r="F569" s="144"/>
      <c r="G569" s="144"/>
      <c r="H569" s="144"/>
      <c r="I569" s="146"/>
      <c r="J569" s="144"/>
      <c r="K569" s="144"/>
      <c r="L569" s="144"/>
      <c r="M569" s="144"/>
      <c r="N569" s="144"/>
    </row>
    <row r="570" spans="1:14">
      <c r="A570" s="144"/>
      <c r="B570" s="144"/>
      <c r="C570" s="144"/>
      <c r="D570" s="144"/>
      <c r="E570" s="150"/>
      <c r="F570" s="144"/>
      <c r="G570" s="144"/>
      <c r="H570" s="144"/>
      <c r="I570" s="146"/>
      <c r="J570" s="144"/>
      <c r="K570" s="144"/>
      <c r="L570" s="144"/>
      <c r="M570" s="144"/>
      <c r="N570" s="144"/>
    </row>
    <row r="571" spans="1:14">
      <c r="A571" s="144"/>
      <c r="B571" s="144"/>
      <c r="C571" s="144"/>
      <c r="D571" s="144"/>
      <c r="E571" s="150"/>
      <c r="F571" s="144"/>
      <c r="G571" s="144"/>
      <c r="H571" s="144"/>
      <c r="I571" s="146"/>
      <c r="J571" s="144"/>
      <c r="K571" s="144"/>
      <c r="L571" s="144"/>
      <c r="M571" s="144"/>
      <c r="N571" s="144"/>
    </row>
    <row r="572" spans="1:14">
      <c r="A572" s="144"/>
      <c r="B572" s="144"/>
      <c r="C572" s="144"/>
      <c r="D572" s="144"/>
      <c r="E572" s="150"/>
      <c r="F572" s="144"/>
      <c r="G572" s="144"/>
      <c r="H572" s="144"/>
      <c r="I572" s="146"/>
      <c r="J572" s="144"/>
      <c r="K572" s="144"/>
      <c r="L572" s="144"/>
      <c r="M572" s="144"/>
      <c r="N572" s="144"/>
    </row>
    <row r="573" spans="1:14">
      <c r="A573" s="144"/>
      <c r="B573" s="144"/>
      <c r="C573" s="144"/>
      <c r="D573" s="144"/>
      <c r="E573" s="150"/>
      <c r="F573" s="144"/>
      <c r="G573" s="144"/>
      <c r="H573" s="144"/>
      <c r="I573" s="146"/>
      <c r="J573" s="144"/>
      <c r="K573" s="144"/>
      <c r="L573" s="144"/>
      <c r="M573" s="144"/>
      <c r="N573" s="144"/>
    </row>
    <row r="574" spans="1:14">
      <c r="A574" s="144"/>
      <c r="B574" s="144"/>
      <c r="C574" s="144"/>
      <c r="D574" s="144"/>
      <c r="E574" s="150"/>
      <c r="F574" s="144"/>
      <c r="G574" s="144"/>
      <c r="H574" s="144"/>
      <c r="I574" s="146"/>
      <c r="J574" s="144"/>
      <c r="K574" s="144"/>
      <c r="L574" s="144"/>
      <c r="M574" s="144"/>
      <c r="N574" s="144"/>
    </row>
    <row r="575" spans="1:14">
      <c r="A575" s="144"/>
      <c r="B575" s="144"/>
      <c r="C575" s="144"/>
      <c r="D575" s="144"/>
      <c r="E575" s="150"/>
      <c r="F575" s="144"/>
      <c r="G575" s="144"/>
      <c r="H575" s="144"/>
      <c r="I575" s="146"/>
      <c r="J575" s="144"/>
      <c r="K575" s="144"/>
      <c r="L575" s="144"/>
      <c r="M575" s="144"/>
      <c r="N575" s="144"/>
    </row>
    <row r="576" spans="1:14">
      <c r="A576" s="144"/>
      <c r="B576" s="144"/>
      <c r="C576" s="144"/>
      <c r="D576" s="144"/>
      <c r="E576" s="150"/>
      <c r="F576" s="144"/>
      <c r="G576" s="144"/>
      <c r="H576" s="144"/>
      <c r="I576" s="146"/>
      <c r="J576" s="144"/>
      <c r="K576" s="144"/>
      <c r="L576" s="144"/>
      <c r="M576" s="144"/>
      <c r="N576" s="144"/>
    </row>
    <row r="577" spans="1:14">
      <c r="A577" s="144"/>
      <c r="B577" s="144"/>
      <c r="C577" s="144"/>
      <c r="D577" s="144"/>
      <c r="E577" s="150"/>
      <c r="F577" s="144"/>
      <c r="G577" s="144"/>
      <c r="H577" s="144"/>
      <c r="I577" s="146"/>
      <c r="J577" s="144"/>
      <c r="K577" s="144"/>
      <c r="L577" s="144"/>
      <c r="M577" s="144"/>
      <c r="N577" s="144"/>
    </row>
    <row r="578" spans="1:14">
      <c r="A578" s="144"/>
      <c r="B578" s="144"/>
      <c r="C578" s="144"/>
      <c r="D578" s="144"/>
      <c r="E578" s="150"/>
      <c r="F578" s="144"/>
      <c r="G578" s="144"/>
      <c r="H578" s="144"/>
      <c r="I578" s="146"/>
      <c r="J578" s="144"/>
      <c r="K578" s="144"/>
      <c r="L578" s="144"/>
      <c r="M578" s="144"/>
      <c r="N578" s="144"/>
    </row>
    <row r="579" spans="1:14">
      <c r="A579" s="144"/>
      <c r="B579" s="144"/>
      <c r="C579" s="144"/>
      <c r="D579" s="144"/>
      <c r="E579" s="150"/>
      <c r="F579" s="144"/>
      <c r="G579" s="144"/>
      <c r="H579" s="144"/>
      <c r="I579" s="146"/>
      <c r="J579" s="144"/>
      <c r="K579" s="144"/>
      <c r="L579" s="144"/>
      <c r="M579" s="144"/>
      <c r="N579" s="144"/>
    </row>
    <row r="580" spans="1:14">
      <c r="A580" s="144"/>
      <c r="B580" s="144"/>
      <c r="C580" s="144"/>
      <c r="D580" s="144"/>
      <c r="E580" s="150"/>
      <c r="F580" s="144"/>
      <c r="G580" s="144"/>
      <c r="H580" s="144"/>
      <c r="I580" s="146"/>
      <c r="J580" s="144"/>
      <c r="K580" s="144"/>
      <c r="L580" s="144"/>
      <c r="M580" s="144"/>
      <c r="N580" s="144"/>
    </row>
    <row r="581" spans="1:14">
      <c r="A581" s="144"/>
      <c r="B581" s="144"/>
      <c r="C581" s="144"/>
      <c r="D581" s="144"/>
      <c r="E581" s="150"/>
      <c r="F581" s="144"/>
      <c r="G581" s="144"/>
      <c r="H581" s="144"/>
      <c r="I581" s="146"/>
      <c r="J581" s="144"/>
      <c r="K581" s="144"/>
      <c r="L581" s="144"/>
      <c r="M581" s="144"/>
      <c r="N581" s="144"/>
    </row>
    <row r="582" spans="1:14">
      <c r="A582" s="144"/>
      <c r="B582" s="144"/>
      <c r="C582" s="144"/>
      <c r="D582" s="144"/>
      <c r="E582" s="150"/>
      <c r="F582" s="144"/>
      <c r="G582" s="144"/>
      <c r="H582" s="144"/>
      <c r="I582" s="146"/>
      <c r="J582" s="144"/>
      <c r="K582" s="144"/>
      <c r="L582" s="144"/>
      <c r="M582" s="144"/>
      <c r="N582" s="144"/>
    </row>
    <row r="583" spans="1:14">
      <c r="A583" s="144"/>
      <c r="B583" s="144"/>
      <c r="C583" s="144"/>
      <c r="D583" s="144"/>
      <c r="E583" s="150"/>
      <c r="F583" s="144"/>
      <c r="G583" s="144"/>
      <c r="H583" s="144"/>
      <c r="I583" s="146"/>
      <c r="J583" s="144"/>
      <c r="K583" s="144"/>
      <c r="L583" s="144"/>
      <c r="M583" s="144"/>
      <c r="N583" s="144"/>
    </row>
    <row r="584" spans="1:14">
      <c r="A584" s="144"/>
      <c r="B584" s="144"/>
      <c r="C584" s="144"/>
      <c r="D584" s="144"/>
      <c r="E584" s="150"/>
      <c r="F584" s="144"/>
      <c r="G584" s="144"/>
      <c r="H584" s="144"/>
      <c r="I584" s="146"/>
      <c r="J584" s="144"/>
      <c r="K584" s="144"/>
      <c r="L584" s="144"/>
      <c r="M584" s="144"/>
      <c r="N584" s="144"/>
    </row>
    <row r="585" spans="1:14">
      <c r="A585" s="144"/>
      <c r="B585" s="144"/>
      <c r="C585" s="144"/>
      <c r="D585" s="144"/>
      <c r="E585" s="150"/>
      <c r="F585" s="144"/>
      <c r="G585" s="144"/>
      <c r="H585" s="144"/>
      <c r="I585" s="146"/>
      <c r="J585" s="144"/>
      <c r="K585" s="144"/>
      <c r="L585" s="144"/>
      <c r="M585" s="144"/>
      <c r="N585" s="144"/>
    </row>
    <row r="586" spans="1:14">
      <c r="A586" s="144"/>
      <c r="B586" s="144"/>
      <c r="C586" s="144"/>
      <c r="D586" s="144"/>
      <c r="E586" s="150"/>
      <c r="F586" s="144"/>
      <c r="G586" s="144"/>
      <c r="H586" s="144"/>
      <c r="I586" s="146"/>
      <c r="J586" s="144"/>
      <c r="K586" s="144"/>
      <c r="L586" s="144"/>
      <c r="M586" s="144"/>
      <c r="N586" s="144"/>
    </row>
    <row r="587" spans="1:14">
      <c r="A587" s="144"/>
      <c r="B587" s="144"/>
      <c r="C587" s="144"/>
      <c r="D587" s="144"/>
      <c r="E587" s="150"/>
      <c r="F587" s="144"/>
      <c r="G587" s="144"/>
      <c r="H587" s="144"/>
      <c r="I587" s="146"/>
      <c r="J587" s="144"/>
      <c r="K587" s="144"/>
      <c r="L587" s="144"/>
      <c r="M587" s="144"/>
      <c r="N587" s="144"/>
    </row>
    <row r="588" spans="1:14">
      <c r="A588" s="144"/>
      <c r="B588" s="144"/>
      <c r="C588" s="144"/>
      <c r="D588" s="144"/>
      <c r="E588" s="150"/>
      <c r="F588" s="144"/>
      <c r="G588" s="144"/>
      <c r="H588" s="144"/>
      <c r="I588" s="146"/>
      <c r="J588" s="144"/>
      <c r="K588" s="144"/>
      <c r="L588" s="144"/>
      <c r="M588" s="144"/>
      <c r="N588" s="144"/>
    </row>
    <row r="589" spans="1:14">
      <c r="A589" s="144"/>
      <c r="B589" s="144"/>
      <c r="C589" s="144"/>
      <c r="D589" s="144"/>
      <c r="E589" s="150"/>
      <c r="F589" s="144"/>
      <c r="G589" s="144"/>
      <c r="H589" s="144"/>
      <c r="I589" s="146"/>
      <c r="J589" s="144"/>
      <c r="K589" s="144"/>
      <c r="L589" s="144"/>
      <c r="M589" s="144"/>
      <c r="N589" s="144"/>
    </row>
    <row r="590" spans="1:14">
      <c r="A590" s="144"/>
      <c r="B590" s="144"/>
      <c r="C590" s="144"/>
      <c r="D590" s="144"/>
      <c r="E590" s="150"/>
      <c r="F590" s="144"/>
      <c r="G590" s="144"/>
      <c r="H590" s="144"/>
      <c r="I590" s="146"/>
      <c r="J590" s="144"/>
      <c r="K590" s="144"/>
      <c r="L590" s="144"/>
      <c r="M590" s="144"/>
      <c r="N590" s="144"/>
    </row>
    <row r="591" spans="1:14">
      <c r="A591" s="144"/>
      <c r="B591" s="144"/>
      <c r="C591" s="144"/>
      <c r="D591" s="144"/>
      <c r="E591" s="150"/>
      <c r="F591" s="144"/>
      <c r="G591" s="144"/>
      <c r="H591" s="144"/>
      <c r="I591" s="146"/>
      <c r="J591" s="144"/>
      <c r="K591" s="144"/>
      <c r="L591" s="144"/>
      <c r="M591" s="144"/>
      <c r="N591" s="144"/>
    </row>
    <row r="592" spans="1:14">
      <c r="A592" s="144"/>
      <c r="B592" s="144"/>
      <c r="C592" s="144"/>
      <c r="D592" s="144"/>
      <c r="E592" s="150"/>
      <c r="F592" s="144"/>
      <c r="G592" s="144"/>
      <c r="H592" s="144"/>
      <c r="I592" s="146"/>
      <c r="J592" s="144"/>
      <c r="K592" s="144"/>
      <c r="L592" s="144"/>
      <c r="M592" s="144"/>
      <c r="N592" s="144"/>
    </row>
    <row r="593" spans="1:14">
      <c r="A593" s="144"/>
      <c r="B593" s="144"/>
      <c r="C593" s="144"/>
      <c r="D593" s="144"/>
      <c r="E593" s="150"/>
      <c r="F593" s="144"/>
      <c r="G593" s="144"/>
      <c r="H593" s="144"/>
      <c r="I593" s="146"/>
      <c r="J593" s="144"/>
      <c r="K593" s="144"/>
      <c r="L593" s="144"/>
      <c r="M593" s="144"/>
      <c r="N593" s="144"/>
    </row>
    <row r="594" spans="1:14">
      <c r="A594" s="144"/>
      <c r="B594" s="144"/>
      <c r="C594" s="144"/>
      <c r="D594" s="144"/>
      <c r="E594" s="150"/>
      <c r="F594" s="144"/>
      <c r="G594" s="144"/>
      <c r="H594" s="144"/>
      <c r="I594" s="146"/>
      <c r="J594" s="144"/>
      <c r="K594" s="144"/>
      <c r="L594" s="144"/>
      <c r="M594" s="144"/>
      <c r="N594" s="144"/>
    </row>
    <row r="595" spans="1:14">
      <c r="A595" s="144"/>
      <c r="B595" s="144"/>
      <c r="C595" s="144"/>
      <c r="D595" s="144"/>
      <c r="E595" s="150"/>
      <c r="F595" s="144"/>
      <c r="G595" s="144"/>
      <c r="H595" s="144"/>
      <c r="I595" s="146"/>
      <c r="J595" s="144"/>
      <c r="K595" s="144"/>
      <c r="L595" s="144"/>
      <c r="M595" s="144"/>
      <c r="N595" s="144"/>
    </row>
    <row r="596" spans="1:14">
      <c r="A596" s="144"/>
      <c r="B596" s="144"/>
      <c r="C596" s="144"/>
      <c r="D596" s="144"/>
      <c r="E596" s="150"/>
      <c r="F596" s="144"/>
      <c r="G596" s="144"/>
      <c r="H596" s="144"/>
      <c r="I596" s="146"/>
      <c r="J596" s="144"/>
      <c r="K596" s="144"/>
      <c r="L596" s="144"/>
      <c r="M596" s="144"/>
      <c r="N596" s="144"/>
    </row>
    <row r="597" spans="1:14">
      <c r="A597" s="144"/>
      <c r="B597" s="144"/>
      <c r="C597" s="144"/>
      <c r="D597" s="144"/>
      <c r="E597" s="150"/>
      <c r="F597" s="144"/>
      <c r="G597" s="144"/>
      <c r="H597" s="144"/>
      <c r="I597" s="146"/>
      <c r="J597" s="144"/>
      <c r="K597" s="144"/>
      <c r="L597" s="144"/>
      <c r="M597" s="144"/>
      <c r="N597" s="144"/>
    </row>
    <row r="598" spans="1:14">
      <c r="A598" s="144"/>
      <c r="B598" s="144"/>
      <c r="C598" s="144"/>
      <c r="D598" s="144"/>
      <c r="E598" s="150"/>
      <c r="F598" s="144"/>
      <c r="G598" s="144"/>
      <c r="H598" s="144"/>
      <c r="I598" s="146"/>
      <c r="J598" s="144"/>
      <c r="K598" s="144"/>
      <c r="L598" s="144"/>
      <c r="M598" s="144"/>
      <c r="N598" s="144"/>
    </row>
    <row r="599" spans="1:14">
      <c r="A599" s="144"/>
      <c r="B599" s="144"/>
      <c r="C599" s="144"/>
      <c r="D599" s="144"/>
      <c r="E599" s="150"/>
      <c r="F599" s="144"/>
      <c r="G599" s="144"/>
      <c r="H599" s="144"/>
      <c r="I599" s="146"/>
      <c r="J599" s="144"/>
      <c r="K599" s="144"/>
      <c r="L599" s="144"/>
      <c r="M599" s="144"/>
      <c r="N599" s="144"/>
    </row>
    <row r="600" spans="1:14">
      <c r="A600" s="144"/>
      <c r="B600" s="144"/>
      <c r="C600" s="144"/>
      <c r="D600" s="144"/>
      <c r="E600" s="150"/>
      <c r="F600" s="144"/>
      <c r="G600" s="144"/>
      <c r="H600" s="144"/>
      <c r="I600" s="146"/>
      <c r="J600" s="144"/>
      <c r="K600" s="144"/>
      <c r="L600" s="144"/>
      <c r="M600" s="144"/>
      <c r="N600" s="144"/>
    </row>
    <row r="601" spans="1:14">
      <c r="A601" s="144"/>
      <c r="B601" s="144"/>
      <c r="C601" s="144"/>
      <c r="D601" s="144"/>
      <c r="E601" s="150"/>
      <c r="F601" s="144"/>
      <c r="G601" s="144"/>
      <c r="H601" s="144"/>
      <c r="I601" s="146"/>
      <c r="J601" s="144"/>
      <c r="K601" s="144"/>
      <c r="L601" s="144"/>
      <c r="M601" s="144"/>
      <c r="N601" s="144"/>
    </row>
    <row r="602" spans="1:14">
      <c r="A602" s="144"/>
      <c r="B602" s="144"/>
      <c r="C602" s="144"/>
      <c r="D602" s="144"/>
      <c r="E602" s="150"/>
      <c r="F602" s="144"/>
      <c r="G602" s="144"/>
      <c r="H602" s="144"/>
      <c r="I602" s="146"/>
      <c r="J602" s="144"/>
      <c r="K602" s="144"/>
      <c r="L602" s="144"/>
      <c r="M602" s="144"/>
      <c r="N602" s="144"/>
    </row>
    <row r="603" spans="1:14">
      <c r="A603" s="144"/>
      <c r="B603" s="144"/>
      <c r="C603" s="144"/>
      <c r="D603" s="144"/>
      <c r="E603" s="150"/>
      <c r="F603" s="144"/>
      <c r="G603" s="144"/>
      <c r="H603" s="144"/>
      <c r="I603" s="146"/>
      <c r="J603" s="144"/>
      <c r="K603" s="144"/>
      <c r="L603" s="144"/>
      <c r="M603" s="144"/>
      <c r="N603" s="144"/>
    </row>
    <row r="604" spans="1:14">
      <c r="A604" s="144"/>
      <c r="B604" s="144"/>
      <c r="C604" s="144"/>
      <c r="D604" s="144"/>
      <c r="E604" s="150"/>
      <c r="F604" s="144"/>
      <c r="G604" s="144"/>
      <c r="H604" s="144"/>
      <c r="I604" s="146"/>
      <c r="J604" s="144"/>
      <c r="K604" s="144"/>
      <c r="L604" s="144"/>
      <c r="M604" s="144"/>
      <c r="N604" s="144"/>
    </row>
    <row r="605" spans="1:14">
      <c r="A605" s="144"/>
      <c r="B605" s="144"/>
      <c r="C605" s="144"/>
      <c r="D605" s="144"/>
      <c r="E605" s="150"/>
      <c r="F605" s="144"/>
      <c r="G605" s="144"/>
      <c r="H605" s="144"/>
      <c r="I605" s="146"/>
      <c r="J605" s="144"/>
      <c r="K605" s="144"/>
      <c r="L605" s="144"/>
      <c r="M605" s="144"/>
      <c r="N605" s="144"/>
    </row>
    <row r="606" spans="1:14">
      <c r="A606" s="144"/>
      <c r="B606" s="144"/>
      <c r="C606" s="144"/>
      <c r="D606" s="144"/>
      <c r="E606" s="150"/>
      <c r="F606" s="144"/>
      <c r="G606" s="144"/>
      <c r="H606" s="144"/>
      <c r="I606" s="146"/>
      <c r="J606" s="144"/>
      <c r="K606" s="144"/>
      <c r="L606" s="144"/>
      <c r="M606" s="144"/>
      <c r="N606" s="144"/>
    </row>
    <row r="607" spans="1:14">
      <c r="A607" s="144"/>
      <c r="B607" s="144"/>
      <c r="C607" s="144"/>
      <c r="D607" s="144"/>
      <c r="E607" s="150"/>
      <c r="F607" s="144"/>
      <c r="G607" s="144"/>
      <c r="H607" s="144"/>
      <c r="I607" s="146"/>
      <c r="J607" s="144"/>
      <c r="K607" s="144"/>
      <c r="L607" s="144"/>
      <c r="M607" s="144"/>
      <c r="N607" s="144"/>
    </row>
    <row r="608" spans="1:14">
      <c r="A608" s="144"/>
      <c r="B608" s="144"/>
      <c r="C608" s="144"/>
      <c r="D608" s="144"/>
      <c r="E608" s="150"/>
      <c r="F608" s="144"/>
      <c r="G608" s="144"/>
      <c r="H608" s="144"/>
      <c r="I608" s="146"/>
      <c r="J608" s="144"/>
      <c r="K608" s="144"/>
      <c r="L608" s="144"/>
      <c r="M608" s="144"/>
      <c r="N608" s="144"/>
    </row>
    <row r="609" spans="1:14">
      <c r="A609" s="144"/>
      <c r="B609" s="144"/>
      <c r="C609" s="144"/>
      <c r="D609" s="144"/>
      <c r="E609" s="150"/>
      <c r="F609" s="144"/>
      <c r="G609" s="144"/>
      <c r="H609" s="144"/>
      <c r="I609" s="146"/>
      <c r="J609" s="144"/>
      <c r="K609" s="144"/>
      <c r="L609" s="144"/>
      <c r="M609" s="144"/>
      <c r="N609" s="144"/>
    </row>
    <row r="610" spans="1:14">
      <c r="A610" s="144"/>
      <c r="B610" s="144"/>
      <c r="C610" s="144"/>
      <c r="D610" s="144"/>
      <c r="E610" s="150"/>
      <c r="F610" s="144"/>
      <c r="G610" s="144"/>
      <c r="H610" s="144"/>
      <c r="I610" s="146"/>
      <c r="J610" s="144"/>
      <c r="K610" s="144"/>
      <c r="L610" s="144"/>
      <c r="M610" s="144"/>
      <c r="N610" s="144"/>
    </row>
    <row r="611" spans="1:14">
      <c r="A611" s="144"/>
      <c r="B611" s="144"/>
      <c r="C611" s="144"/>
      <c r="D611" s="144"/>
      <c r="E611" s="150"/>
      <c r="F611" s="144"/>
      <c r="G611" s="144"/>
      <c r="H611" s="144"/>
      <c r="I611" s="146"/>
      <c r="J611" s="144"/>
      <c r="K611" s="144"/>
      <c r="L611" s="144"/>
      <c r="M611" s="144"/>
      <c r="N611" s="144"/>
    </row>
    <row r="612" spans="1:14">
      <c r="A612" s="144"/>
      <c r="B612" s="144"/>
      <c r="C612" s="144"/>
      <c r="D612" s="144"/>
      <c r="E612" s="150"/>
      <c r="F612" s="144"/>
      <c r="G612" s="144"/>
      <c r="H612" s="144"/>
      <c r="I612" s="146"/>
      <c r="J612" s="144"/>
      <c r="K612" s="144"/>
      <c r="L612" s="144"/>
      <c r="M612" s="144"/>
      <c r="N612" s="144"/>
    </row>
    <row r="613" spans="1:14">
      <c r="A613" s="144"/>
      <c r="B613" s="144"/>
      <c r="C613" s="144"/>
      <c r="D613" s="144"/>
      <c r="E613" s="150"/>
      <c r="F613" s="144"/>
      <c r="G613" s="144"/>
      <c r="H613" s="144"/>
      <c r="I613" s="146"/>
      <c r="J613" s="144"/>
      <c r="K613" s="144"/>
      <c r="L613" s="144"/>
      <c r="M613" s="144"/>
      <c r="N613" s="144"/>
    </row>
    <row r="614" spans="1:14">
      <c r="A614" s="144"/>
      <c r="B614" s="144"/>
      <c r="C614" s="144"/>
      <c r="D614" s="144"/>
      <c r="E614" s="150"/>
      <c r="F614" s="144"/>
      <c r="G614" s="144"/>
      <c r="H614" s="144"/>
      <c r="I614" s="146"/>
      <c r="J614" s="144"/>
      <c r="K614" s="144"/>
      <c r="L614" s="144"/>
      <c r="M614" s="144"/>
      <c r="N614" s="144"/>
    </row>
    <row r="615" spans="1:14">
      <c r="A615" s="144"/>
      <c r="B615" s="144"/>
      <c r="C615" s="144"/>
      <c r="D615" s="144"/>
      <c r="E615" s="150"/>
      <c r="F615" s="144"/>
      <c r="G615" s="144"/>
      <c r="H615" s="144"/>
      <c r="I615" s="146"/>
      <c r="J615" s="144"/>
      <c r="K615" s="144"/>
      <c r="L615" s="144"/>
      <c r="M615" s="144"/>
      <c r="N615" s="144"/>
    </row>
    <row r="616" spans="1:14">
      <c r="A616" s="144"/>
      <c r="B616" s="144"/>
      <c r="C616" s="144"/>
      <c r="D616" s="144"/>
      <c r="E616" s="150"/>
      <c r="F616" s="144"/>
      <c r="G616" s="144"/>
      <c r="H616" s="144"/>
      <c r="I616" s="146"/>
      <c r="J616" s="144"/>
      <c r="K616" s="144"/>
      <c r="L616" s="144"/>
      <c r="M616" s="144"/>
      <c r="N616" s="144"/>
    </row>
    <row r="617" spans="1:14">
      <c r="A617" s="144"/>
      <c r="B617" s="144"/>
      <c r="C617" s="144"/>
      <c r="D617" s="144"/>
      <c r="E617" s="150"/>
      <c r="F617" s="144"/>
      <c r="G617" s="144"/>
      <c r="H617" s="144"/>
      <c r="I617" s="146"/>
      <c r="J617" s="144"/>
      <c r="K617" s="144"/>
      <c r="L617" s="144"/>
      <c r="M617" s="144"/>
      <c r="N617" s="144"/>
    </row>
    <row r="618" spans="1:14">
      <c r="A618" s="144"/>
      <c r="B618" s="144"/>
      <c r="C618" s="144"/>
      <c r="D618" s="144"/>
      <c r="E618" s="150"/>
      <c r="F618" s="144"/>
      <c r="G618" s="144"/>
      <c r="H618" s="144"/>
      <c r="I618" s="146"/>
      <c r="J618" s="144"/>
      <c r="K618" s="144"/>
      <c r="L618" s="144"/>
      <c r="M618" s="144"/>
      <c r="N618" s="144"/>
    </row>
    <row r="619" spans="1:14">
      <c r="A619" s="144"/>
      <c r="B619" s="144"/>
      <c r="C619" s="144"/>
      <c r="D619" s="144"/>
      <c r="E619" s="150"/>
      <c r="F619" s="144"/>
      <c r="G619" s="144"/>
      <c r="H619" s="144"/>
      <c r="I619" s="146"/>
      <c r="J619" s="144"/>
      <c r="K619" s="144"/>
      <c r="L619" s="144"/>
      <c r="M619" s="144"/>
      <c r="N619" s="144"/>
    </row>
    <row r="620" spans="1:14">
      <c r="A620" s="144"/>
      <c r="B620" s="144"/>
      <c r="C620" s="144"/>
      <c r="D620" s="144"/>
      <c r="E620" s="150"/>
      <c r="F620" s="144"/>
      <c r="G620" s="144"/>
      <c r="H620" s="144"/>
      <c r="I620" s="146"/>
      <c r="J620" s="144"/>
      <c r="K620" s="144"/>
      <c r="L620" s="144"/>
      <c r="M620" s="144"/>
      <c r="N620" s="144"/>
    </row>
    <row r="621" spans="1:14">
      <c r="A621" s="144"/>
      <c r="B621" s="144"/>
      <c r="C621" s="144"/>
      <c r="D621" s="144"/>
      <c r="E621" s="150"/>
      <c r="F621" s="144"/>
      <c r="G621" s="144"/>
      <c r="H621" s="144"/>
      <c r="I621" s="146"/>
      <c r="J621" s="144"/>
      <c r="K621" s="144"/>
      <c r="L621" s="144"/>
      <c r="M621" s="144"/>
      <c r="N621" s="144"/>
    </row>
    <row r="622" spans="1:14">
      <c r="A622" s="144"/>
      <c r="B622" s="144"/>
      <c r="C622" s="144"/>
      <c r="D622" s="144"/>
      <c r="E622" s="150"/>
      <c r="F622" s="144"/>
      <c r="G622" s="144"/>
      <c r="H622" s="144"/>
      <c r="I622" s="146"/>
      <c r="J622" s="144"/>
      <c r="K622" s="144"/>
      <c r="L622" s="144"/>
      <c r="M622" s="144"/>
      <c r="N622" s="144"/>
    </row>
    <row r="623" spans="1:14">
      <c r="A623" s="144"/>
      <c r="B623" s="144"/>
      <c r="C623" s="144"/>
      <c r="D623" s="144"/>
      <c r="E623" s="150"/>
      <c r="F623" s="144"/>
      <c r="G623" s="144"/>
      <c r="H623" s="144"/>
      <c r="I623" s="146"/>
      <c r="J623" s="144"/>
      <c r="K623" s="144"/>
      <c r="L623" s="144"/>
      <c r="M623" s="144"/>
      <c r="N623" s="144"/>
    </row>
    <row r="624" spans="1:14">
      <c r="A624" s="144"/>
      <c r="B624" s="144"/>
      <c r="C624" s="144"/>
      <c r="D624" s="144"/>
      <c r="E624" s="150"/>
      <c r="F624" s="144"/>
      <c r="G624" s="144"/>
      <c r="H624" s="144"/>
      <c r="I624" s="146"/>
      <c r="J624" s="144"/>
      <c r="K624" s="144"/>
      <c r="L624" s="144"/>
      <c r="M624" s="144"/>
      <c r="N624" s="144"/>
    </row>
    <row r="625" spans="1:14">
      <c r="A625" s="144"/>
      <c r="B625" s="144"/>
      <c r="C625" s="144"/>
      <c r="D625" s="144"/>
      <c r="E625" s="150"/>
      <c r="F625" s="144"/>
      <c r="G625" s="144"/>
      <c r="H625" s="144"/>
      <c r="I625" s="146"/>
      <c r="J625" s="144"/>
      <c r="K625" s="144"/>
      <c r="L625" s="144"/>
      <c r="M625" s="144"/>
      <c r="N625" s="144"/>
    </row>
    <row r="626" spans="1:14">
      <c r="A626" s="144"/>
      <c r="B626" s="144"/>
      <c r="C626" s="144"/>
      <c r="D626" s="144"/>
      <c r="E626" s="150"/>
      <c r="F626" s="144"/>
      <c r="G626" s="144"/>
      <c r="H626" s="144"/>
      <c r="I626" s="146"/>
      <c r="J626" s="144"/>
      <c r="K626" s="144"/>
      <c r="L626" s="144"/>
      <c r="M626" s="144"/>
      <c r="N626" s="144"/>
    </row>
    <row r="627" spans="1:14">
      <c r="A627" s="144"/>
      <c r="B627" s="144"/>
      <c r="C627" s="144"/>
      <c r="D627" s="144"/>
      <c r="E627" s="150"/>
      <c r="F627" s="144"/>
      <c r="G627" s="144"/>
      <c r="H627" s="144"/>
      <c r="I627" s="146"/>
      <c r="J627" s="144"/>
      <c r="K627" s="144"/>
      <c r="L627" s="144"/>
      <c r="M627" s="144"/>
      <c r="N627" s="144"/>
    </row>
    <row r="628" spans="1:14">
      <c r="A628" s="144"/>
      <c r="B628" s="144"/>
      <c r="C628" s="144"/>
      <c r="D628" s="144"/>
      <c r="E628" s="150"/>
      <c r="F628" s="144"/>
      <c r="G628" s="144"/>
      <c r="H628" s="144"/>
      <c r="I628" s="146"/>
      <c r="J628" s="144"/>
      <c r="K628" s="144"/>
      <c r="L628" s="144"/>
      <c r="M628" s="144"/>
      <c r="N628" s="144"/>
    </row>
    <row r="629" spans="1:14">
      <c r="A629" s="144"/>
      <c r="B629" s="144"/>
      <c r="C629" s="144"/>
      <c r="D629" s="144"/>
      <c r="E629" s="150"/>
      <c r="F629" s="144"/>
      <c r="G629" s="144"/>
      <c r="H629" s="144"/>
      <c r="I629" s="146"/>
      <c r="J629" s="144"/>
      <c r="K629" s="144"/>
      <c r="L629" s="144"/>
      <c r="M629" s="144"/>
      <c r="N629" s="144"/>
    </row>
    <row r="630" spans="1:14">
      <c r="A630" s="144"/>
      <c r="B630" s="144"/>
      <c r="C630" s="144"/>
      <c r="D630" s="144"/>
      <c r="E630" s="150"/>
      <c r="F630" s="144"/>
      <c r="G630" s="144"/>
      <c r="H630" s="144"/>
      <c r="I630" s="146"/>
      <c r="J630" s="144"/>
      <c r="K630" s="144"/>
      <c r="L630" s="144"/>
      <c r="M630" s="144"/>
      <c r="N630" s="144"/>
    </row>
    <row r="631" spans="1:14">
      <c r="A631" s="144"/>
      <c r="B631" s="144"/>
      <c r="C631" s="144"/>
      <c r="D631" s="144"/>
      <c r="E631" s="150"/>
      <c r="F631" s="144"/>
      <c r="G631" s="144"/>
      <c r="H631" s="144"/>
      <c r="I631" s="146"/>
      <c r="J631" s="144"/>
      <c r="K631" s="144"/>
      <c r="L631" s="144"/>
      <c r="M631" s="144"/>
      <c r="N631" s="144"/>
    </row>
    <row r="632" spans="1:14">
      <c r="A632" s="144"/>
      <c r="B632" s="144"/>
      <c r="C632" s="144"/>
      <c r="D632" s="144"/>
      <c r="E632" s="150"/>
      <c r="F632" s="144"/>
      <c r="G632" s="144"/>
      <c r="H632" s="144"/>
      <c r="I632" s="146"/>
      <c r="J632" s="144"/>
      <c r="K632" s="144"/>
      <c r="L632" s="144"/>
      <c r="M632" s="144"/>
      <c r="N632" s="144"/>
    </row>
    <row r="633" spans="1:14">
      <c r="A633" s="144"/>
      <c r="B633" s="144"/>
      <c r="C633" s="144"/>
      <c r="D633" s="144"/>
      <c r="E633" s="150"/>
      <c r="F633" s="144"/>
      <c r="G633" s="144"/>
      <c r="H633" s="144"/>
      <c r="I633" s="146"/>
      <c r="J633" s="144"/>
      <c r="K633" s="144"/>
      <c r="L633" s="144"/>
      <c r="M633" s="144"/>
      <c r="N633" s="144"/>
    </row>
    <row r="634" spans="1:14">
      <c r="A634" s="144"/>
      <c r="B634" s="144"/>
      <c r="C634" s="144"/>
      <c r="D634" s="144"/>
      <c r="E634" s="150"/>
      <c r="F634" s="144"/>
      <c r="G634" s="144"/>
      <c r="H634" s="144"/>
      <c r="I634" s="146"/>
      <c r="J634" s="144"/>
      <c r="K634" s="144"/>
      <c r="L634" s="144"/>
      <c r="M634" s="144"/>
      <c r="N634" s="144"/>
    </row>
    <row r="635" spans="1:14">
      <c r="A635" s="144"/>
      <c r="B635" s="144"/>
      <c r="C635" s="144"/>
      <c r="D635" s="144"/>
      <c r="E635" s="150"/>
      <c r="F635" s="144"/>
      <c r="G635" s="144"/>
      <c r="H635" s="144"/>
      <c r="I635" s="146"/>
      <c r="J635" s="144"/>
      <c r="K635" s="144"/>
      <c r="L635" s="144"/>
      <c r="M635" s="144"/>
      <c r="N635" s="144"/>
    </row>
    <row r="636" spans="1:14">
      <c r="A636" s="144"/>
      <c r="B636" s="144"/>
      <c r="C636" s="144"/>
      <c r="D636" s="144"/>
      <c r="E636" s="150"/>
      <c r="F636" s="144"/>
      <c r="G636" s="144"/>
      <c r="H636" s="144"/>
      <c r="I636" s="146"/>
      <c r="J636" s="144"/>
      <c r="K636" s="144"/>
      <c r="L636" s="144"/>
      <c r="M636" s="144"/>
      <c r="N636" s="144"/>
    </row>
    <row r="637" spans="1:14">
      <c r="A637" s="144"/>
      <c r="B637" s="144"/>
      <c r="C637" s="144"/>
      <c r="D637" s="144"/>
      <c r="E637" s="150"/>
      <c r="F637" s="144"/>
      <c r="G637" s="144"/>
      <c r="H637" s="144"/>
      <c r="I637" s="146"/>
      <c r="J637" s="144"/>
      <c r="K637" s="144"/>
      <c r="L637" s="144"/>
      <c r="M637" s="144"/>
      <c r="N637" s="144"/>
    </row>
    <row r="638" spans="1:14">
      <c r="A638" s="144"/>
      <c r="B638" s="144"/>
      <c r="C638" s="144"/>
      <c r="D638" s="144"/>
      <c r="E638" s="150"/>
      <c r="F638" s="144"/>
      <c r="G638" s="144"/>
      <c r="H638" s="144"/>
      <c r="I638" s="146"/>
      <c r="J638" s="144"/>
      <c r="K638" s="144"/>
      <c r="L638" s="144"/>
      <c r="M638" s="144"/>
      <c r="N638" s="144"/>
    </row>
    <row r="639" spans="1:14">
      <c r="A639" s="144"/>
      <c r="B639" s="144"/>
      <c r="C639" s="144"/>
      <c r="D639" s="144"/>
      <c r="E639" s="150"/>
      <c r="F639" s="144"/>
      <c r="G639" s="144"/>
      <c r="H639" s="144"/>
      <c r="I639" s="146"/>
      <c r="J639" s="144"/>
      <c r="K639" s="144"/>
      <c r="L639" s="144"/>
      <c r="M639" s="144"/>
      <c r="N639" s="144"/>
    </row>
    <row r="640" spans="1:14">
      <c r="A640" s="144"/>
      <c r="B640" s="144"/>
      <c r="C640" s="144"/>
      <c r="D640" s="144"/>
      <c r="E640" s="150"/>
      <c r="F640" s="144"/>
      <c r="G640" s="144"/>
      <c r="H640" s="144"/>
      <c r="I640" s="146"/>
      <c r="J640" s="144"/>
      <c r="K640" s="144"/>
      <c r="L640" s="144"/>
      <c r="M640" s="144"/>
      <c r="N640" s="144"/>
    </row>
    <row r="641" spans="1:14">
      <c r="A641" s="144"/>
      <c r="B641" s="144"/>
      <c r="C641" s="144"/>
      <c r="D641" s="144"/>
      <c r="E641" s="150"/>
      <c r="F641" s="144"/>
      <c r="G641" s="144"/>
      <c r="H641" s="144"/>
      <c r="I641" s="146"/>
      <c r="J641" s="144"/>
      <c r="K641" s="144"/>
      <c r="L641" s="144"/>
      <c r="M641" s="144"/>
      <c r="N641" s="144"/>
    </row>
    <row r="642" spans="1:14">
      <c r="A642" s="144"/>
      <c r="B642" s="144"/>
      <c r="C642" s="144"/>
      <c r="D642" s="144"/>
      <c r="E642" s="150"/>
      <c r="F642" s="144"/>
      <c r="G642" s="144"/>
      <c r="H642" s="144"/>
      <c r="I642" s="146"/>
      <c r="J642" s="144"/>
      <c r="K642" s="144"/>
      <c r="L642" s="144"/>
      <c r="M642" s="144"/>
      <c r="N642" s="144"/>
    </row>
    <row r="643" spans="1:14">
      <c r="A643" s="144"/>
      <c r="B643" s="144"/>
      <c r="C643" s="144"/>
      <c r="D643" s="144"/>
      <c r="E643" s="150"/>
      <c r="F643" s="144"/>
      <c r="G643" s="144"/>
      <c r="H643" s="144"/>
      <c r="I643" s="146"/>
      <c r="J643" s="144"/>
      <c r="K643" s="144"/>
      <c r="L643" s="144"/>
      <c r="M643" s="144"/>
      <c r="N643" s="144"/>
    </row>
    <row r="644" spans="1:14">
      <c r="A644" s="144"/>
      <c r="B644" s="144"/>
      <c r="C644" s="144"/>
      <c r="D644" s="144"/>
      <c r="E644" s="150"/>
      <c r="F644" s="144"/>
      <c r="G644" s="144"/>
      <c r="H644" s="144"/>
      <c r="I644" s="146"/>
      <c r="J644" s="144"/>
      <c r="K644" s="144"/>
      <c r="L644" s="144"/>
      <c r="M644" s="144"/>
      <c r="N644" s="144"/>
    </row>
    <row r="645" spans="1:14">
      <c r="A645" s="144"/>
      <c r="B645" s="144"/>
      <c r="C645" s="144"/>
      <c r="D645" s="144"/>
      <c r="E645" s="150"/>
      <c r="F645" s="144"/>
      <c r="G645" s="144"/>
      <c r="H645" s="144"/>
      <c r="I645" s="146"/>
      <c r="J645" s="144"/>
      <c r="K645" s="144"/>
      <c r="L645" s="144"/>
      <c r="M645" s="144"/>
      <c r="N645" s="144"/>
    </row>
    <row r="646" spans="1:14">
      <c r="A646" s="144"/>
      <c r="B646" s="144"/>
      <c r="C646" s="144"/>
      <c r="D646" s="144"/>
      <c r="E646" s="150"/>
      <c r="F646" s="144"/>
      <c r="G646" s="144"/>
      <c r="H646" s="144"/>
      <c r="I646" s="146"/>
      <c r="J646" s="144"/>
      <c r="K646" s="144"/>
      <c r="L646" s="144"/>
      <c r="M646" s="144"/>
      <c r="N646" s="144"/>
    </row>
    <row r="647" spans="1:14">
      <c r="A647" s="144"/>
      <c r="B647" s="144"/>
      <c r="C647" s="144"/>
      <c r="D647" s="144"/>
      <c r="E647" s="150"/>
      <c r="F647" s="144"/>
      <c r="G647" s="144"/>
      <c r="H647" s="144"/>
      <c r="I647" s="146"/>
      <c r="J647" s="144"/>
      <c r="K647" s="144"/>
      <c r="L647" s="144"/>
      <c r="M647" s="144"/>
      <c r="N647" s="144"/>
    </row>
    <row r="648" spans="1:14">
      <c r="A648" s="144"/>
      <c r="B648" s="144"/>
      <c r="C648" s="144"/>
      <c r="D648" s="144"/>
      <c r="E648" s="150"/>
      <c r="F648" s="144"/>
      <c r="G648" s="144"/>
      <c r="H648" s="144"/>
      <c r="I648" s="146"/>
      <c r="J648" s="144"/>
      <c r="K648" s="144"/>
      <c r="L648" s="144"/>
      <c r="M648" s="144"/>
      <c r="N648" s="144"/>
    </row>
    <row r="649" spans="1:14">
      <c r="A649" s="144"/>
      <c r="B649" s="144"/>
      <c r="C649" s="144"/>
      <c r="D649" s="144"/>
      <c r="E649" s="150"/>
      <c r="F649" s="144"/>
      <c r="G649" s="144"/>
      <c r="H649" s="144"/>
      <c r="I649" s="146"/>
      <c r="J649" s="144"/>
      <c r="K649" s="144"/>
      <c r="L649" s="144"/>
      <c r="M649" s="144"/>
      <c r="N649" s="144"/>
    </row>
    <row r="650" spans="1:14">
      <c r="A650" s="144"/>
      <c r="B650" s="144"/>
      <c r="C650" s="144"/>
      <c r="D650" s="144"/>
      <c r="E650" s="150"/>
      <c r="F650" s="144"/>
      <c r="G650" s="144"/>
      <c r="H650" s="144"/>
      <c r="I650" s="146"/>
      <c r="J650" s="144"/>
      <c r="K650" s="144"/>
      <c r="L650" s="144"/>
      <c r="M650" s="144"/>
      <c r="N650" s="144"/>
    </row>
    <row r="651" spans="1:14">
      <c r="A651" s="144"/>
      <c r="B651" s="144"/>
      <c r="C651" s="144"/>
      <c r="D651" s="144"/>
      <c r="E651" s="150"/>
      <c r="F651" s="144"/>
      <c r="G651" s="144"/>
      <c r="H651" s="144"/>
      <c r="I651" s="146"/>
      <c r="J651" s="144"/>
      <c r="K651" s="144"/>
      <c r="L651" s="144"/>
      <c r="M651" s="144"/>
      <c r="N651" s="144"/>
    </row>
    <row r="652" spans="1:14">
      <c r="A652" s="144"/>
      <c r="B652" s="144"/>
      <c r="C652" s="144"/>
      <c r="D652" s="144"/>
      <c r="E652" s="150"/>
      <c r="F652" s="144"/>
      <c r="G652" s="144"/>
      <c r="H652" s="144"/>
      <c r="I652" s="146"/>
      <c r="J652" s="144"/>
      <c r="K652" s="144"/>
      <c r="L652" s="144"/>
      <c r="M652" s="144"/>
      <c r="N652" s="144"/>
    </row>
    <row r="653" spans="1:14">
      <c r="A653" s="144"/>
      <c r="B653" s="144"/>
      <c r="C653" s="144"/>
      <c r="D653" s="144"/>
      <c r="E653" s="150"/>
      <c r="F653" s="144"/>
      <c r="G653" s="144"/>
      <c r="H653" s="144"/>
      <c r="I653" s="146"/>
      <c r="J653" s="144"/>
      <c r="K653" s="144"/>
      <c r="L653" s="144"/>
      <c r="M653" s="144"/>
      <c r="N653" s="144"/>
    </row>
    <row r="654" spans="1:14">
      <c r="A654" s="144"/>
      <c r="B654" s="144"/>
      <c r="C654" s="144"/>
      <c r="D654" s="144"/>
      <c r="E654" s="150"/>
      <c r="F654" s="144"/>
      <c r="G654" s="144"/>
      <c r="H654" s="144"/>
      <c r="I654" s="146"/>
      <c r="J654" s="144"/>
      <c r="K654" s="144"/>
      <c r="L654" s="144"/>
      <c r="M654" s="144"/>
      <c r="N654" s="144"/>
    </row>
    <row r="655" spans="1:14">
      <c r="A655" s="144"/>
      <c r="B655" s="144"/>
      <c r="C655" s="144"/>
      <c r="D655" s="144"/>
      <c r="E655" s="150"/>
      <c r="F655" s="144"/>
      <c r="G655" s="144"/>
      <c r="H655" s="144"/>
      <c r="I655" s="146"/>
      <c r="J655" s="144"/>
      <c r="K655" s="144"/>
      <c r="L655" s="144"/>
      <c r="M655" s="144"/>
      <c r="N655" s="144"/>
    </row>
    <row r="656" spans="1:14">
      <c r="A656" s="144"/>
      <c r="B656" s="144"/>
      <c r="C656" s="144"/>
      <c r="D656" s="144"/>
      <c r="E656" s="150"/>
      <c r="F656" s="144"/>
      <c r="G656" s="144"/>
      <c r="H656" s="144"/>
      <c r="I656" s="146"/>
      <c r="J656" s="144"/>
      <c r="K656" s="144"/>
      <c r="L656" s="144"/>
      <c r="M656" s="144"/>
      <c r="N656" s="144"/>
    </row>
    <row r="657" spans="1:14">
      <c r="A657" s="144"/>
      <c r="B657" s="144"/>
      <c r="C657" s="144"/>
      <c r="D657" s="144"/>
      <c r="E657" s="150"/>
      <c r="F657" s="144"/>
      <c r="G657" s="144"/>
      <c r="H657" s="144"/>
      <c r="I657" s="146"/>
      <c r="J657" s="144"/>
      <c r="K657" s="144"/>
      <c r="L657" s="144"/>
      <c r="M657" s="144"/>
      <c r="N657" s="144"/>
    </row>
    <row r="658" spans="1:14">
      <c r="A658" s="144"/>
      <c r="B658" s="144"/>
      <c r="C658" s="144"/>
      <c r="D658" s="144"/>
      <c r="E658" s="150"/>
      <c r="F658" s="144"/>
      <c r="G658" s="144"/>
      <c r="H658" s="144"/>
      <c r="I658" s="146"/>
      <c r="J658" s="144"/>
      <c r="K658" s="144"/>
      <c r="L658" s="144"/>
      <c r="M658" s="144"/>
      <c r="N658" s="144"/>
    </row>
    <row r="659" spans="1:14">
      <c r="A659" s="144"/>
      <c r="B659" s="144"/>
      <c r="C659" s="144"/>
      <c r="D659" s="144"/>
      <c r="E659" s="150"/>
      <c r="F659" s="144"/>
      <c r="G659" s="144"/>
      <c r="H659" s="144"/>
      <c r="I659" s="146"/>
      <c r="J659" s="144"/>
      <c r="K659" s="144"/>
      <c r="L659" s="144"/>
      <c r="M659" s="144"/>
      <c r="N659" s="144"/>
    </row>
    <row r="660" spans="1:14">
      <c r="A660" s="144"/>
      <c r="B660" s="144"/>
      <c r="C660" s="144"/>
      <c r="D660" s="144"/>
      <c r="E660" s="150"/>
      <c r="F660" s="144"/>
      <c r="G660" s="144"/>
      <c r="H660" s="144"/>
      <c r="I660" s="146"/>
      <c r="J660" s="144"/>
      <c r="K660" s="144"/>
      <c r="L660" s="144"/>
      <c r="M660" s="144"/>
      <c r="N660" s="144"/>
    </row>
    <row r="661" spans="1:14">
      <c r="A661" s="144"/>
      <c r="B661" s="144"/>
      <c r="C661" s="144"/>
      <c r="D661" s="144"/>
      <c r="E661" s="150"/>
      <c r="F661" s="144"/>
      <c r="G661" s="144"/>
      <c r="H661" s="144"/>
      <c r="I661" s="146"/>
      <c r="J661" s="144"/>
      <c r="K661" s="144"/>
      <c r="L661" s="144"/>
      <c r="M661" s="144"/>
      <c r="N661" s="144"/>
    </row>
    <row r="662" spans="1:14">
      <c r="A662" s="144"/>
      <c r="B662" s="144"/>
      <c r="C662" s="144"/>
      <c r="D662" s="144"/>
      <c r="E662" s="150"/>
      <c r="F662" s="144"/>
      <c r="G662" s="144"/>
      <c r="H662" s="144"/>
      <c r="I662" s="146"/>
      <c r="J662" s="144"/>
      <c r="K662" s="144"/>
      <c r="L662" s="144"/>
      <c r="M662" s="144"/>
      <c r="N662" s="144"/>
    </row>
    <row r="663" spans="1:14">
      <c r="A663" s="144"/>
      <c r="B663" s="144"/>
      <c r="C663" s="144"/>
      <c r="D663" s="144"/>
      <c r="E663" s="150"/>
      <c r="F663" s="144"/>
      <c r="G663" s="144"/>
      <c r="H663" s="144"/>
      <c r="I663" s="146"/>
      <c r="J663" s="144"/>
      <c r="K663" s="144"/>
      <c r="L663" s="144"/>
      <c r="M663" s="144"/>
      <c r="N663" s="144"/>
    </row>
    <row r="664" spans="1:14">
      <c r="A664" s="144"/>
      <c r="B664" s="144"/>
      <c r="C664" s="144"/>
      <c r="D664" s="144"/>
      <c r="E664" s="150"/>
      <c r="F664" s="144"/>
      <c r="G664" s="144"/>
      <c r="H664" s="144"/>
      <c r="I664" s="146"/>
      <c r="J664" s="144"/>
      <c r="K664" s="144"/>
      <c r="L664" s="144"/>
      <c r="M664" s="144"/>
      <c r="N664" s="144"/>
    </row>
    <row r="665" spans="1:14">
      <c r="A665" s="144"/>
      <c r="B665" s="144"/>
      <c r="C665" s="144"/>
      <c r="D665" s="144"/>
      <c r="E665" s="150"/>
      <c r="F665" s="144"/>
      <c r="G665" s="144"/>
      <c r="H665" s="144"/>
      <c r="I665" s="146"/>
      <c r="J665" s="144"/>
      <c r="K665" s="144"/>
      <c r="L665" s="144"/>
      <c r="M665" s="144"/>
      <c r="N665" s="144"/>
    </row>
    <row r="666" spans="1:14">
      <c r="A666" s="144"/>
      <c r="B666" s="144"/>
      <c r="C666" s="144"/>
      <c r="D666" s="144"/>
      <c r="E666" s="150"/>
      <c r="F666" s="144"/>
      <c r="G666" s="144"/>
      <c r="H666" s="144"/>
      <c r="I666" s="146"/>
      <c r="J666" s="144"/>
      <c r="K666" s="144"/>
      <c r="L666" s="144"/>
      <c r="M666" s="144"/>
      <c r="N666" s="144"/>
    </row>
    <row r="667" spans="1:14">
      <c r="A667" s="144"/>
      <c r="B667" s="144"/>
      <c r="C667" s="144"/>
      <c r="D667" s="144"/>
      <c r="E667" s="150"/>
      <c r="F667" s="144"/>
      <c r="G667" s="144"/>
      <c r="H667" s="144"/>
      <c r="I667" s="146"/>
      <c r="J667" s="144"/>
      <c r="K667" s="144"/>
      <c r="L667" s="144"/>
      <c r="M667" s="144"/>
      <c r="N667" s="144"/>
    </row>
    <row r="668" spans="1:14">
      <c r="A668" s="144"/>
      <c r="B668" s="144"/>
      <c r="C668" s="144"/>
      <c r="D668" s="144"/>
      <c r="E668" s="150"/>
      <c r="F668" s="144"/>
      <c r="G668" s="144"/>
      <c r="H668" s="144"/>
      <c r="I668" s="146"/>
      <c r="J668" s="144"/>
      <c r="K668" s="144"/>
      <c r="L668" s="144"/>
      <c r="M668" s="144"/>
      <c r="N668" s="144"/>
    </row>
    <row r="669" spans="1:14">
      <c r="A669" s="144"/>
      <c r="B669" s="144"/>
      <c r="C669" s="144"/>
      <c r="D669" s="144"/>
      <c r="E669" s="150"/>
      <c r="F669" s="144"/>
      <c r="G669" s="144"/>
      <c r="H669" s="144"/>
      <c r="I669" s="146"/>
      <c r="J669" s="144"/>
      <c r="K669" s="144"/>
      <c r="L669" s="144"/>
      <c r="M669" s="144"/>
      <c r="N669" s="144"/>
    </row>
    <row r="670" spans="1:14">
      <c r="A670" s="144"/>
      <c r="B670" s="144"/>
      <c r="C670" s="144"/>
      <c r="D670" s="144"/>
      <c r="E670" s="150"/>
      <c r="F670" s="144"/>
      <c r="G670" s="144"/>
      <c r="H670" s="144"/>
      <c r="I670" s="146"/>
      <c r="J670" s="144"/>
      <c r="K670" s="144"/>
      <c r="L670" s="144"/>
      <c r="M670" s="144"/>
      <c r="N670" s="144"/>
    </row>
    <row r="671" spans="1:14">
      <c r="A671" s="144"/>
      <c r="B671" s="144"/>
      <c r="C671" s="144"/>
      <c r="D671" s="144"/>
      <c r="E671" s="150"/>
      <c r="F671" s="144"/>
      <c r="G671" s="144"/>
      <c r="H671" s="144"/>
      <c r="I671" s="146"/>
      <c r="J671" s="144"/>
      <c r="K671" s="144"/>
      <c r="L671" s="144"/>
      <c r="M671" s="144"/>
      <c r="N671" s="144"/>
    </row>
    <row r="672" spans="1:14">
      <c r="A672" s="144"/>
      <c r="B672" s="144"/>
      <c r="C672" s="144"/>
      <c r="D672" s="144"/>
      <c r="E672" s="150"/>
      <c r="F672" s="144"/>
      <c r="G672" s="144"/>
      <c r="H672" s="144"/>
      <c r="I672" s="146"/>
      <c r="J672" s="144"/>
      <c r="K672" s="144"/>
      <c r="L672" s="144"/>
      <c r="M672" s="144"/>
      <c r="N672" s="144"/>
    </row>
    <row r="673" spans="1:14">
      <c r="A673" s="144"/>
      <c r="B673" s="144"/>
      <c r="C673" s="144"/>
      <c r="D673" s="144"/>
      <c r="E673" s="150"/>
      <c r="F673" s="144"/>
      <c r="G673" s="144"/>
      <c r="H673" s="144"/>
      <c r="I673" s="146"/>
      <c r="J673" s="144"/>
      <c r="K673" s="144"/>
      <c r="L673" s="144"/>
      <c r="M673" s="144"/>
      <c r="N673" s="144"/>
    </row>
    <row r="674" spans="1:14">
      <c r="A674" s="144"/>
      <c r="B674" s="144"/>
      <c r="C674" s="144"/>
      <c r="D674" s="144"/>
      <c r="E674" s="150"/>
      <c r="F674" s="144"/>
      <c r="G674" s="144"/>
      <c r="H674" s="144"/>
      <c r="I674" s="146"/>
      <c r="J674" s="144"/>
      <c r="K674" s="144"/>
      <c r="L674" s="144"/>
      <c r="M674" s="144"/>
      <c r="N674" s="144"/>
    </row>
    <row r="675" spans="1:14">
      <c r="A675" s="144"/>
      <c r="B675" s="144"/>
      <c r="C675" s="144"/>
      <c r="D675" s="144"/>
      <c r="E675" s="150"/>
      <c r="F675" s="144"/>
      <c r="G675" s="144"/>
      <c r="H675" s="144"/>
      <c r="I675" s="146"/>
      <c r="J675" s="144"/>
      <c r="K675" s="144"/>
      <c r="L675" s="144"/>
      <c r="M675" s="144"/>
      <c r="N675" s="144"/>
    </row>
    <row r="676" spans="1:14">
      <c r="A676" s="144"/>
      <c r="B676" s="144"/>
      <c r="C676" s="144"/>
      <c r="D676" s="144"/>
      <c r="E676" s="150"/>
      <c r="F676" s="144"/>
      <c r="G676" s="144"/>
      <c r="H676" s="144"/>
      <c r="I676" s="146"/>
      <c r="J676" s="144"/>
      <c r="K676" s="144"/>
      <c r="L676" s="144"/>
      <c r="M676" s="144"/>
      <c r="N676" s="144"/>
    </row>
    <row r="677" spans="1:14">
      <c r="A677" s="144"/>
      <c r="B677" s="144"/>
      <c r="C677" s="144"/>
      <c r="D677" s="144"/>
      <c r="E677" s="150"/>
      <c r="F677" s="144"/>
      <c r="G677" s="144"/>
      <c r="H677" s="144"/>
      <c r="I677" s="146"/>
      <c r="J677" s="144"/>
      <c r="K677" s="144"/>
      <c r="L677" s="144"/>
      <c r="M677" s="144"/>
      <c r="N677" s="144"/>
    </row>
    <row r="678" spans="1:14">
      <c r="A678" s="144"/>
      <c r="B678" s="144"/>
      <c r="C678" s="144"/>
      <c r="D678" s="144"/>
      <c r="E678" s="150"/>
      <c r="F678" s="144"/>
      <c r="G678" s="144"/>
      <c r="H678" s="144"/>
      <c r="I678" s="146"/>
      <c r="J678" s="144"/>
      <c r="K678" s="144"/>
      <c r="L678" s="144"/>
      <c r="M678" s="144"/>
      <c r="N678" s="144"/>
    </row>
    <row r="679" spans="1:14">
      <c r="A679" s="144"/>
      <c r="B679" s="144"/>
      <c r="C679" s="144"/>
      <c r="D679" s="144"/>
      <c r="E679" s="150"/>
      <c r="F679" s="144"/>
      <c r="G679" s="144"/>
      <c r="H679" s="144"/>
      <c r="I679" s="146"/>
      <c r="J679" s="144"/>
      <c r="K679" s="144"/>
      <c r="L679" s="144"/>
      <c r="M679" s="144"/>
      <c r="N679" s="144"/>
    </row>
    <row r="680" spans="1:14">
      <c r="A680" s="144"/>
      <c r="B680" s="144"/>
      <c r="C680" s="144"/>
      <c r="D680" s="144"/>
      <c r="E680" s="150"/>
      <c r="F680" s="144"/>
      <c r="G680" s="144"/>
      <c r="H680" s="144"/>
      <c r="I680" s="146"/>
      <c r="J680" s="144"/>
      <c r="K680" s="144"/>
      <c r="L680" s="144"/>
      <c r="M680" s="144"/>
      <c r="N680" s="144"/>
    </row>
    <row r="681" spans="1:14">
      <c r="A681" s="144"/>
      <c r="B681" s="144"/>
      <c r="C681" s="144"/>
      <c r="D681" s="144"/>
      <c r="E681" s="150"/>
      <c r="F681" s="144"/>
      <c r="G681" s="144"/>
      <c r="H681" s="144"/>
      <c r="I681" s="146"/>
      <c r="J681" s="144"/>
      <c r="K681" s="144"/>
      <c r="L681" s="144"/>
      <c r="M681" s="144"/>
      <c r="N681" s="144"/>
    </row>
    <row r="682" spans="1:14">
      <c r="A682" s="144"/>
      <c r="B682" s="144"/>
      <c r="C682" s="144"/>
      <c r="D682" s="144"/>
      <c r="E682" s="150"/>
      <c r="F682" s="144"/>
      <c r="G682" s="144"/>
      <c r="H682" s="144"/>
      <c r="I682" s="146"/>
      <c r="J682" s="144"/>
      <c r="K682" s="144"/>
      <c r="L682" s="144"/>
      <c r="M682" s="144"/>
      <c r="N682" s="144"/>
    </row>
    <row r="683" spans="1:14">
      <c r="A683" s="144"/>
      <c r="B683" s="144"/>
      <c r="C683" s="144"/>
      <c r="D683" s="144"/>
      <c r="E683" s="150"/>
      <c r="F683" s="144"/>
      <c r="G683" s="144"/>
      <c r="H683" s="144"/>
      <c r="I683" s="146"/>
      <c r="J683" s="144"/>
      <c r="K683" s="144"/>
      <c r="L683" s="144"/>
      <c r="M683" s="144"/>
      <c r="N683" s="144"/>
    </row>
    <row r="684" spans="1:14">
      <c r="A684" s="144"/>
      <c r="B684" s="144"/>
      <c r="C684" s="144"/>
      <c r="D684" s="144"/>
      <c r="E684" s="150"/>
      <c r="F684" s="144"/>
      <c r="G684" s="144"/>
      <c r="H684" s="144"/>
      <c r="I684" s="146"/>
      <c r="J684" s="144"/>
      <c r="K684" s="144"/>
      <c r="L684" s="144"/>
      <c r="M684" s="144"/>
      <c r="N684" s="144"/>
    </row>
    <row r="685" spans="1:14">
      <c r="A685" s="144"/>
      <c r="B685" s="144"/>
      <c r="C685" s="144"/>
      <c r="D685" s="144"/>
      <c r="E685" s="150"/>
      <c r="F685" s="144"/>
      <c r="G685" s="144"/>
      <c r="H685" s="144"/>
      <c r="I685" s="146"/>
      <c r="J685" s="144"/>
      <c r="K685" s="144"/>
      <c r="L685" s="144"/>
      <c r="M685" s="144"/>
      <c r="N685" s="144"/>
    </row>
    <row r="686" spans="1:14">
      <c r="A686" s="144"/>
      <c r="B686" s="144"/>
      <c r="C686" s="144"/>
      <c r="D686" s="144"/>
      <c r="E686" s="150"/>
      <c r="F686" s="144"/>
      <c r="G686" s="144"/>
      <c r="H686" s="144"/>
      <c r="I686" s="146"/>
      <c r="J686" s="144"/>
      <c r="K686" s="144"/>
      <c r="L686" s="144"/>
      <c r="M686" s="144"/>
      <c r="N686" s="144"/>
    </row>
    <row r="687" spans="1:14">
      <c r="A687" s="144"/>
      <c r="B687" s="144"/>
      <c r="C687" s="144"/>
      <c r="D687" s="144"/>
      <c r="E687" s="150"/>
      <c r="F687" s="144"/>
      <c r="G687" s="144"/>
      <c r="H687" s="144"/>
      <c r="I687" s="146"/>
      <c r="J687" s="144"/>
      <c r="K687" s="144"/>
      <c r="L687" s="144"/>
      <c r="M687" s="144"/>
      <c r="N687" s="144"/>
    </row>
    <row r="688" spans="1:14">
      <c r="A688" s="144"/>
      <c r="B688" s="144"/>
      <c r="C688" s="144"/>
      <c r="D688" s="144"/>
      <c r="E688" s="150"/>
      <c r="F688" s="144"/>
      <c r="G688" s="144"/>
      <c r="H688" s="144"/>
      <c r="I688" s="146"/>
      <c r="J688" s="144"/>
      <c r="K688" s="144"/>
      <c r="L688" s="144"/>
      <c r="M688" s="144"/>
      <c r="N688" s="144"/>
    </row>
    <row r="689" spans="1:14">
      <c r="A689" s="144"/>
      <c r="B689" s="144"/>
      <c r="C689" s="144"/>
      <c r="D689" s="144"/>
      <c r="E689" s="150"/>
      <c r="F689" s="144"/>
      <c r="G689" s="144"/>
      <c r="H689" s="144"/>
      <c r="I689" s="146"/>
      <c r="J689" s="144"/>
      <c r="K689" s="144"/>
      <c r="L689" s="144"/>
      <c r="M689" s="144"/>
      <c r="N689" s="144"/>
    </row>
    <row r="690" spans="1:14">
      <c r="A690" s="144"/>
      <c r="B690" s="144"/>
      <c r="C690" s="144"/>
      <c r="D690" s="144"/>
      <c r="E690" s="150"/>
      <c r="F690" s="144"/>
      <c r="G690" s="144"/>
      <c r="H690" s="144"/>
      <c r="I690" s="146"/>
      <c r="J690" s="144"/>
      <c r="K690" s="144"/>
      <c r="L690" s="144"/>
      <c r="M690" s="144"/>
      <c r="N690" s="144"/>
    </row>
    <row r="691" spans="1:14">
      <c r="A691" s="144"/>
      <c r="B691" s="144"/>
      <c r="C691" s="144"/>
      <c r="D691" s="144"/>
      <c r="E691" s="150"/>
      <c r="F691" s="144"/>
      <c r="G691" s="144"/>
      <c r="H691" s="144"/>
      <c r="I691" s="146"/>
      <c r="J691" s="144"/>
      <c r="K691" s="144"/>
      <c r="L691" s="144"/>
      <c r="M691" s="144"/>
      <c r="N691" s="144"/>
    </row>
    <row r="692" spans="1:14">
      <c r="A692" s="144"/>
      <c r="B692" s="144"/>
      <c r="C692" s="144"/>
      <c r="D692" s="144"/>
      <c r="E692" s="150"/>
      <c r="F692" s="144"/>
      <c r="G692" s="144"/>
      <c r="H692" s="144"/>
      <c r="I692" s="146"/>
      <c r="J692" s="144"/>
      <c r="K692" s="144"/>
      <c r="L692" s="144"/>
      <c r="M692" s="144"/>
      <c r="N692" s="144"/>
    </row>
    <row r="693" spans="1:14">
      <c r="A693" s="144"/>
      <c r="B693" s="144"/>
      <c r="C693" s="144"/>
      <c r="D693" s="144"/>
      <c r="E693" s="150"/>
      <c r="F693" s="144"/>
      <c r="G693" s="144"/>
      <c r="H693" s="144"/>
      <c r="I693" s="146"/>
      <c r="J693" s="144"/>
      <c r="K693" s="144"/>
      <c r="L693" s="144"/>
      <c r="M693" s="144"/>
      <c r="N693" s="144"/>
    </row>
    <row r="694" spans="1:14">
      <c r="A694" s="144"/>
      <c r="B694" s="144"/>
      <c r="C694" s="144"/>
      <c r="D694" s="144"/>
      <c r="E694" s="150"/>
      <c r="F694" s="144"/>
      <c r="G694" s="144"/>
      <c r="H694" s="144"/>
      <c r="I694" s="146"/>
      <c r="J694" s="144"/>
      <c r="K694" s="144"/>
      <c r="L694" s="144"/>
      <c r="M694" s="144"/>
      <c r="N694" s="144"/>
    </row>
    <row r="695" spans="1:14">
      <c r="A695" s="144"/>
      <c r="B695" s="144"/>
      <c r="C695" s="144"/>
      <c r="D695" s="144"/>
      <c r="E695" s="150"/>
      <c r="F695" s="144"/>
      <c r="G695" s="144"/>
      <c r="H695" s="144"/>
      <c r="I695" s="146"/>
      <c r="J695" s="144"/>
      <c r="K695" s="144"/>
      <c r="L695" s="144"/>
      <c r="M695" s="144"/>
      <c r="N695" s="144"/>
    </row>
    <row r="696" spans="1:14">
      <c r="A696" s="144"/>
      <c r="B696" s="144"/>
      <c r="C696" s="144"/>
      <c r="D696" s="144"/>
      <c r="E696" s="150"/>
      <c r="F696" s="144"/>
      <c r="G696" s="144"/>
      <c r="H696" s="144"/>
      <c r="I696" s="146"/>
      <c r="J696" s="144"/>
      <c r="K696" s="144"/>
      <c r="L696" s="144"/>
      <c r="M696" s="144"/>
      <c r="N696" s="144"/>
    </row>
    <row r="697" spans="1:14">
      <c r="A697" s="144"/>
      <c r="B697" s="144"/>
      <c r="C697" s="144"/>
      <c r="D697" s="144"/>
      <c r="E697" s="150"/>
      <c r="F697" s="144"/>
      <c r="G697" s="144"/>
      <c r="H697" s="144"/>
      <c r="I697" s="146"/>
      <c r="J697" s="144"/>
      <c r="K697" s="144"/>
      <c r="L697" s="144"/>
      <c r="M697" s="144"/>
      <c r="N697" s="144"/>
    </row>
    <row r="698" spans="1:14">
      <c r="A698" s="144"/>
      <c r="B698" s="144"/>
      <c r="C698" s="144"/>
      <c r="D698" s="144"/>
      <c r="E698" s="150"/>
      <c r="F698" s="144"/>
      <c r="G698" s="144"/>
      <c r="H698" s="144"/>
      <c r="I698" s="146"/>
      <c r="J698" s="144"/>
      <c r="K698" s="144"/>
      <c r="L698" s="144"/>
      <c r="M698" s="144"/>
      <c r="N698" s="144"/>
    </row>
    <row r="699" spans="1:14">
      <c r="A699" s="144"/>
      <c r="B699" s="144"/>
      <c r="C699" s="144"/>
      <c r="D699" s="144"/>
      <c r="E699" s="150"/>
      <c r="F699" s="144"/>
      <c r="G699" s="144"/>
      <c r="H699" s="144"/>
      <c r="I699" s="146"/>
      <c r="J699" s="144"/>
      <c r="K699" s="144"/>
      <c r="L699" s="144"/>
      <c r="M699" s="144"/>
      <c r="N699" s="144"/>
    </row>
    <row r="700" spans="1:14">
      <c r="A700" s="144"/>
      <c r="B700" s="144"/>
      <c r="C700" s="144"/>
      <c r="D700" s="144"/>
      <c r="E700" s="150"/>
      <c r="F700" s="144"/>
      <c r="G700" s="144"/>
      <c r="H700" s="144"/>
      <c r="I700" s="146"/>
      <c r="J700" s="144"/>
      <c r="K700" s="144"/>
      <c r="L700" s="144"/>
      <c r="M700" s="144"/>
      <c r="N700" s="144"/>
    </row>
    <row r="701" spans="1:14">
      <c r="A701" s="144"/>
      <c r="B701" s="144"/>
      <c r="C701" s="144"/>
      <c r="D701" s="144"/>
      <c r="E701" s="150"/>
      <c r="F701" s="144"/>
      <c r="G701" s="144"/>
      <c r="H701" s="144"/>
      <c r="I701" s="146"/>
      <c r="J701" s="144"/>
      <c r="K701" s="144"/>
      <c r="L701" s="144"/>
      <c r="M701" s="144"/>
      <c r="N701" s="144"/>
    </row>
    <row r="702" spans="1:14">
      <c r="A702" s="144"/>
      <c r="B702" s="144"/>
      <c r="C702" s="144"/>
      <c r="D702" s="144"/>
      <c r="E702" s="150"/>
      <c r="F702" s="144"/>
      <c r="G702" s="144"/>
      <c r="H702" s="144"/>
      <c r="I702" s="146"/>
      <c r="J702" s="144"/>
      <c r="K702" s="144"/>
      <c r="L702" s="144"/>
      <c r="M702" s="144"/>
      <c r="N702" s="144"/>
    </row>
    <row r="703" spans="1:14">
      <c r="A703" s="144"/>
      <c r="B703" s="144"/>
      <c r="C703" s="144"/>
      <c r="D703" s="144"/>
      <c r="E703" s="150"/>
      <c r="F703" s="144"/>
      <c r="G703" s="144"/>
      <c r="H703" s="144"/>
      <c r="I703" s="146"/>
      <c r="J703" s="144"/>
      <c r="K703" s="144"/>
      <c r="L703" s="144"/>
      <c r="M703" s="144"/>
      <c r="N703" s="144"/>
    </row>
    <row r="704" spans="1:14">
      <c r="A704" s="144"/>
      <c r="B704" s="144"/>
      <c r="C704" s="144"/>
      <c r="D704" s="144"/>
      <c r="E704" s="150"/>
      <c r="F704" s="144"/>
      <c r="G704" s="144"/>
      <c r="H704" s="144"/>
      <c r="I704" s="146"/>
      <c r="J704" s="144"/>
      <c r="K704" s="144"/>
      <c r="L704" s="144"/>
      <c r="M704" s="144"/>
      <c r="N704" s="144"/>
    </row>
    <row r="705" spans="1:14">
      <c r="A705" s="144"/>
      <c r="B705" s="144"/>
      <c r="C705" s="144"/>
      <c r="D705" s="144"/>
      <c r="E705" s="150"/>
      <c r="F705" s="144"/>
      <c r="G705" s="144"/>
      <c r="H705" s="144"/>
      <c r="I705" s="146"/>
      <c r="J705" s="144"/>
      <c r="K705" s="144"/>
      <c r="L705" s="144"/>
      <c r="M705" s="144"/>
      <c r="N705" s="144"/>
    </row>
    <row r="706" spans="1:14">
      <c r="A706" s="144"/>
      <c r="B706" s="144"/>
      <c r="C706" s="144"/>
      <c r="D706" s="144"/>
      <c r="E706" s="150"/>
      <c r="F706" s="144"/>
      <c r="G706" s="144"/>
      <c r="H706" s="144"/>
      <c r="I706" s="146"/>
      <c r="J706" s="144"/>
      <c r="K706" s="144"/>
      <c r="L706" s="144"/>
      <c r="M706" s="144"/>
      <c r="N706" s="144"/>
    </row>
    <row r="707" spans="1:14">
      <c r="A707" s="144"/>
      <c r="B707" s="144"/>
      <c r="C707" s="144"/>
      <c r="D707" s="144"/>
      <c r="E707" s="150"/>
      <c r="F707" s="144"/>
      <c r="G707" s="144"/>
      <c r="H707" s="144"/>
      <c r="I707" s="146"/>
      <c r="J707" s="144"/>
      <c r="K707" s="144"/>
      <c r="L707" s="144"/>
      <c r="M707" s="144"/>
      <c r="N707" s="144"/>
    </row>
    <row r="708" spans="1:14">
      <c r="A708" s="144"/>
      <c r="B708" s="144"/>
      <c r="C708" s="144"/>
      <c r="D708" s="144"/>
      <c r="E708" s="150"/>
      <c r="F708" s="144"/>
      <c r="G708" s="144"/>
      <c r="H708" s="144"/>
      <c r="I708" s="146"/>
      <c r="J708" s="144"/>
      <c r="K708" s="144"/>
      <c r="L708" s="144"/>
      <c r="M708" s="144"/>
      <c r="N708" s="144"/>
    </row>
    <row r="709" spans="1:14">
      <c r="A709" s="144"/>
      <c r="B709" s="144"/>
      <c r="C709" s="144"/>
      <c r="D709" s="144"/>
      <c r="E709" s="150"/>
      <c r="F709" s="144"/>
      <c r="G709" s="144"/>
      <c r="H709" s="144"/>
      <c r="I709" s="146"/>
      <c r="J709" s="144"/>
      <c r="K709" s="144"/>
      <c r="L709" s="144"/>
      <c r="M709" s="144"/>
      <c r="N709" s="144"/>
    </row>
    <row r="710" spans="1:14">
      <c r="A710" s="144"/>
      <c r="B710" s="144"/>
      <c r="C710" s="144"/>
      <c r="D710" s="144"/>
      <c r="E710" s="150"/>
      <c r="F710" s="144"/>
      <c r="G710" s="144"/>
      <c r="H710" s="144"/>
      <c r="I710" s="146"/>
      <c r="J710" s="144"/>
      <c r="K710" s="144"/>
      <c r="L710" s="144"/>
      <c r="M710" s="144"/>
      <c r="N710" s="144"/>
    </row>
    <row r="711" spans="1:14">
      <c r="A711" s="144"/>
      <c r="B711" s="144"/>
      <c r="C711" s="144"/>
      <c r="D711" s="144"/>
      <c r="E711" s="150"/>
      <c r="F711" s="144"/>
      <c r="G711" s="144"/>
      <c r="H711" s="144"/>
      <c r="I711" s="146"/>
      <c r="J711" s="144"/>
      <c r="K711" s="144"/>
      <c r="L711" s="144"/>
      <c r="M711" s="144"/>
      <c r="N711" s="144"/>
    </row>
    <row r="712" spans="1:14">
      <c r="A712" s="144"/>
      <c r="B712" s="144"/>
      <c r="C712" s="144"/>
      <c r="D712" s="144"/>
      <c r="E712" s="150"/>
      <c r="F712" s="144"/>
      <c r="G712" s="144"/>
      <c r="H712" s="144"/>
      <c r="I712" s="146"/>
      <c r="J712" s="144"/>
      <c r="K712" s="144"/>
      <c r="L712" s="144"/>
      <c r="M712" s="144"/>
      <c r="N712" s="144"/>
    </row>
    <row r="713" spans="1:14">
      <c r="A713" s="144"/>
      <c r="B713" s="144"/>
      <c r="C713" s="144"/>
      <c r="D713" s="144"/>
      <c r="E713" s="150"/>
      <c r="F713" s="144"/>
      <c r="G713" s="144"/>
      <c r="H713" s="144"/>
      <c r="I713" s="146"/>
      <c r="J713" s="144"/>
      <c r="K713" s="144"/>
      <c r="L713" s="144"/>
      <c r="M713" s="144"/>
      <c r="N713" s="144"/>
    </row>
    <row r="714" spans="1:14">
      <c r="A714" s="144"/>
      <c r="B714" s="144"/>
      <c r="C714" s="144"/>
      <c r="D714" s="144"/>
      <c r="E714" s="150"/>
      <c r="F714" s="144"/>
      <c r="G714" s="144"/>
      <c r="H714" s="144"/>
      <c r="I714" s="146"/>
      <c r="J714" s="144"/>
      <c r="K714" s="144"/>
      <c r="L714" s="144"/>
      <c r="M714" s="144"/>
      <c r="N714" s="144"/>
    </row>
    <row r="715" spans="1:14">
      <c r="A715" s="144"/>
      <c r="B715" s="144"/>
      <c r="C715" s="144"/>
      <c r="D715" s="144"/>
      <c r="E715" s="150"/>
      <c r="F715" s="144"/>
      <c r="G715" s="144"/>
      <c r="H715" s="144"/>
      <c r="I715" s="146"/>
      <c r="J715" s="144"/>
      <c r="K715" s="144"/>
      <c r="L715" s="144"/>
      <c r="M715" s="144"/>
      <c r="N715" s="144"/>
    </row>
    <row r="716" spans="1:14">
      <c r="A716" s="144"/>
      <c r="B716" s="144"/>
      <c r="C716" s="144"/>
      <c r="D716" s="144"/>
      <c r="E716" s="150"/>
      <c r="F716" s="144"/>
      <c r="G716" s="144"/>
      <c r="H716" s="144"/>
      <c r="I716" s="146"/>
      <c r="J716" s="144"/>
      <c r="K716" s="144"/>
      <c r="L716" s="144"/>
      <c r="M716" s="144"/>
      <c r="N716" s="144"/>
    </row>
    <row r="717" spans="1:14">
      <c r="A717" s="144"/>
      <c r="B717" s="144"/>
      <c r="C717" s="144"/>
      <c r="D717" s="144"/>
      <c r="E717" s="150"/>
      <c r="F717" s="144"/>
      <c r="G717" s="144"/>
      <c r="H717" s="144"/>
      <c r="I717" s="146"/>
      <c r="J717" s="144"/>
      <c r="K717" s="144"/>
      <c r="L717" s="144"/>
      <c r="M717" s="144"/>
      <c r="N717" s="144"/>
    </row>
    <row r="718" spans="1:14">
      <c r="A718" s="144"/>
      <c r="B718" s="144"/>
      <c r="C718" s="144"/>
      <c r="D718" s="144"/>
      <c r="E718" s="150"/>
      <c r="F718" s="144"/>
      <c r="G718" s="144"/>
      <c r="H718" s="144"/>
      <c r="I718" s="146"/>
      <c r="J718" s="144"/>
      <c r="K718" s="144"/>
      <c r="L718" s="144"/>
      <c r="M718" s="144"/>
      <c r="N718" s="144"/>
    </row>
    <row r="719" spans="1:14">
      <c r="A719" s="144"/>
      <c r="B719" s="144"/>
      <c r="C719" s="144"/>
      <c r="D719" s="144"/>
      <c r="E719" s="150"/>
      <c r="F719" s="144"/>
      <c r="G719" s="144"/>
      <c r="H719" s="144"/>
      <c r="I719" s="146"/>
      <c r="J719" s="144"/>
      <c r="K719" s="144"/>
      <c r="L719" s="144"/>
      <c r="M719" s="144"/>
      <c r="N719" s="144"/>
    </row>
    <row r="720" spans="1:14">
      <c r="A720" s="144"/>
      <c r="B720" s="144"/>
      <c r="C720" s="144"/>
      <c r="D720" s="144"/>
      <c r="E720" s="150"/>
      <c r="F720" s="144"/>
      <c r="G720" s="144"/>
      <c r="H720" s="144"/>
      <c r="I720" s="146"/>
      <c r="J720" s="144"/>
      <c r="K720" s="144"/>
      <c r="L720" s="144"/>
      <c r="M720" s="144"/>
      <c r="N720" s="144"/>
    </row>
    <row r="721" spans="1:14">
      <c r="A721" s="144"/>
      <c r="B721" s="144"/>
      <c r="C721" s="144"/>
      <c r="D721" s="144"/>
      <c r="E721" s="150"/>
      <c r="F721" s="144"/>
      <c r="G721" s="144"/>
      <c r="H721" s="144"/>
      <c r="I721" s="146"/>
      <c r="J721" s="144"/>
      <c r="K721" s="144"/>
      <c r="L721" s="144"/>
      <c r="M721" s="144"/>
      <c r="N721" s="144"/>
    </row>
    <row r="722" spans="1:14">
      <c r="A722" s="144"/>
      <c r="B722" s="144"/>
      <c r="C722" s="144"/>
      <c r="D722" s="144"/>
      <c r="E722" s="150"/>
      <c r="F722" s="144"/>
      <c r="G722" s="144"/>
      <c r="H722" s="144"/>
      <c r="I722" s="146"/>
      <c r="J722" s="144"/>
      <c r="K722" s="144"/>
      <c r="L722" s="144"/>
      <c r="M722" s="144"/>
      <c r="N722" s="144"/>
    </row>
    <row r="723" spans="1:14">
      <c r="A723" s="144"/>
      <c r="B723" s="144"/>
      <c r="C723" s="144"/>
      <c r="D723" s="144"/>
      <c r="E723" s="150"/>
      <c r="F723" s="144"/>
      <c r="G723" s="144"/>
      <c r="H723" s="144"/>
      <c r="I723" s="146"/>
      <c r="J723" s="144"/>
      <c r="K723" s="144"/>
      <c r="L723" s="144"/>
      <c r="M723" s="144"/>
      <c r="N723" s="144"/>
    </row>
    <row r="724" spans="1:14">
      <c r="A724" s="144"/>
      <c r="B724" s="144"/>
      <c r="C724" s="144"/>
      <c r="D724" s="144"/>
      <c r="E724" s="150"/>
      <c r="F724" s="144"/>
      <c r="G724" s="144"/>
      <c r="H724" s="144"/>
      <c r="I724" s="146"/>
      <c r="J724" s="144"/>
      <c r="K724" s="144"/>
      <c r="L724" s="144"/>
      <c r="M724" s="144"/>
      <c r="N724" s="144"/>
    </row>
    <row r="725" spans="1:14">
      <c r="A725" s="144"/>
      <c r="B725" s="144"/>
      <c r="C725" s="144"/>
      <c r="D725" s="144"/>
      <c r="E725" s="150"/>
      <c r="F725" s="144"/>
      <c r="G725" s="144"/>
      <c r="H725" s="144"/>
      <c r="I725" s="146"/>
      <c r="J725" s="144"/>
      <c r="K725" s="144"/>
      <c r="L725" s="144"/>
      <c r="M725" s="144"/>
      <c r="N725" s="144"/>
    </row>
    <row r="726" spans="1:14">
      <c r="A726" s="144"/>
      <c r="B726" s="144"/>
      <c r="C726" s="144"/>
      <c r="D726" s="144"/>
      <c r="E726" s="150"/>
      <c r="F726" s="144"/>
      <c r="G726" s="144"/>
      <c r="H726" s="144"/>
      <c r="I726" s="146"/>
      <c r="J726" s="144"/>
      <c r="K726" s="144"/>
      <c r="L726" s="144"/>
      <c r="M726" s="144"/>
      <c r="N726" s="144"/>
    </row>
    <row r="727" spans="1:14">
      <c r="A727" s="144"/>
      <c r="B727" s="144"/>
      <c r="C727" s="144"/>
      <c r="D727" s="144"/>
      <c r="E727" s="150"/>
      <c r="F727" s="144"/>
      <c r="G727" s="144"/>
      <c r="H727" s="144"/>
      <c r="I727" s="146"/>
      <c r="J727" s="144"/>
      <c r="K727" s="144"/>
      <c r="L727" s="144"/>
      <c r="M727" s="144"/>
      <c r="N727" s="144"/>
    </row>
    <row r="728" spans="1:14">
      <c r="A728" s="144"/>
      <c r="B728" s="144"/>
      <c r="C728" s="144"/>
      <c r="D728" s="144"/>
      <c r="E728" s="150"/>
      <c r="F728" s="144"/>
      <c r="G728" s="144"/>
      <c r="H728" s="144"/>
      <c r="I728" s="146"/>
      <c r="J728" s="144"/>
      <c r="K728" s="144"/>
      <c r="L728" s="144"/>
      <c r="M728" s="144"/>
      <c r="N728" s="144"/>
    </row>
    <row r="729" spans="1:14">
      <c r="A729" s="144"/>
      <c r="B729" s="144"/>
      <c r="C729" s="144"/>
      <c r="D729" s="144"/>
      <c r="E729" s="150"/>
      <c r="F729" s="144"/>
      <c r="G729" s="144"/>
      <c r="H729" s="144"/>
      <c r="I729" s="146"/>
      <c r="J729" s="144"/>
      <c r="K729" s="144"/>
      <c r="L729" s="144"/>
      <c r="M729" s="144"/>
      <c r="N729" s="144"/>
    </row>
    <row r="730" spans="1:14">
      <c r="A730" s="144"/>
      <c r="B730" s="144"/>
      <c r="C730" s="144"/>
      <c r="D730" s="144"/>
      <c r="E730" s="150"/>
      <c r="F730" s="144"/>
      <c r="G730" s="144"/>
      <c r="H730" s="144"/>
      <c r="I730" s="146"/>
      <c r="J730" s="144"/>
      <c r="K730" s="144"/>
      <c r="L730" s="144"/>
      <c r="M730" s="144"/>
      <c r="N730" s="144"/>
    </row>
    <row r="731" spans="1:14">
      <c r="A731" s="144"/>
      <c r="B731" s="144"/>
      <c r="C731" s="144"/>
      <c r="D731" s="144"/>
      <c r="E731" s="150"/>
      <c r="F731" s="144"/>
      <c r="G731" s="144"/>
      <c r="H731" s="144"/>
      <c r="I731" s="146"/>
      <c r="J731" s="144"/>
      <c r="K731" s="144"/>
      <c r="L731" s="144"/>
      <c r="M731" s="144"/>
      <c r="N731" s="144"/>
    </row>
    <row r="732" spans="1:14">
      <c r="A732" s="144"/>
      <c r="B732" s="144"/>
      <c r="C732" s="144"/>
      <c r="D732" s="144"/>
      <c r="E732" s="150"/>
      <c r="F732" s="144"/>
      <c r="G732" s="144"/>
      <c r="H732" s="144"/>
      <c r="I732" s="146"/>
      <c r="J732" s="144"/>
      <c r="K732" s="144"/>
      <c r="L732" s="144"/>
      <c r="M732" s="144"/>
      <c r="N732" s="144"/>
    </row>
    <row r="733" spans="1:14">
      <c r="A733" s="144"/>
      <c r="B733" s="144"/>
      <c r="C733" s="144"/>
      <c r="D733" s="144"/>
      <c r="E733" s="150"/>
      <c r="F733" s="144"/>
      <c r="G733" s="144"/>
      <c r="H733" s="144"/>
      <c r="I733" s="146"/>
      <c r="J733" s="144"/>
      <c r="K733" s="144"/>
      <c r="L733" s="144"/>
      <c r="M733" s="144"/>
      <c r="N733" s="144"/>
    </row>
    <row r="734" spans="1:14">
      <c r="A734" s="144"/>
      <c r="B734" s="144"/>
      <c r="C734" s="144"/>
      <c r="D734" s="144"/>
      <c r="E734" s="150"/>
      <c r="F734" s="144"/>
      <c r="G734" s="144"/>
      <c r="H734" s="144"/>
      <c r="I734" s="146"/>
      <c r="J734" s="144"/>
      <c r="K734" s="144"/>
      <c r="L734" s="144"/>
      <c r="M734" s="144"/>
      <c r="N734" s="144"/>
    </row>
    <row r="735" spans="1:14">
      <c r="A735" s="144"/>
      <c r="B735" s="144"/>
      <c r="C735" s="144"/>
      <c r="D735" s="144"/>
      <c r="E735" s="150"/>
      <c r="F735" s="144"/>
      <c r="G735" s="144"/>
      <c r="H735" s="144"/>
      <c r="I735" s="146"/>
      <c r="J735" s="144"/>
      <c r="K735" s="144"/>
      <c r="L735" s="144"/>
      <c r="M735" s="144"/>
      <c r="N735" s="144"/>
    </row>
    <row r="736" spans="1:14">
      <c r="A736" s="144"/>
      <c r="B736" s="144"/>
      <c r="C736" s="144"/>
      <c r="D736" s="144"/>
      <c r="E736" s="150"/>
      <c r="F736" s="144"/>
      <c r="G736" s="144"/>
      <c r="H736" s="144"/>
      <c r="I736" s="146"/>
      <c r="J736" s="144"/>
      <c r="K736" s="144"/>
      <c r="L736" s="144"/>
      <c r="M736" s="144"/>
      <c r="N736" s="144"/>
    </row>
    <row r="737" spans="1:14">
      <c r="A737" s="144"/>
      <c r="B737" s="144"/>
      <c r="C737" s="144"/>
      <c r="D737" s="144"/>
      <c r="E737" s="150"/>
      <c r="F737" s="144"/>
      <c r="G737" s="144"/>
      <c r="H737" s="144"/>
      <c r="I737" s="146"/>
      <c r="J737" s="144"/>
      <c r="K737" s="144"/>
      <c r="L737" s="144"/>
      <c r="M737" s="144"/>
      <c r="N737" s="144"/>
    </row>
    <row r="738" spans="1:14">
      <c r="A738" s="144"/>
      <c r="B738" s="144"/>
      <c r="C738" s="144"/>
      <c r="D738" s="144"/>
      <c r="E738" s="150"/>
      <c r="F738" s="144"/>
      <c r="G738" s="144"/>
      <c r="H738" s="144"/>
      <c r="I738" s="146"/>
      <c r="J738" s="144"/>
      <c r="K738" s="144"/>
      <c r="L738" s="144"/>
      <c r="M738" s="144"/>
      <c r="N738" s="144"/>
    </row>
    <row r="739" spans="1:14">
      <c r="A739" s="144"/>
      <c r="B739" s="144"/>
      <c r="C739" s="144"/>
      <c r="D739" s="144"/>
      <c r="E739" s="150"/>
      <c r="F739" s="144"/>
      <c r="G739" s="144"/>
      <c r="H739" s="144"/>
      <c r="I739" s="146"/>
      <c r="J739" s="144"/>
      <c r="K739" s="144"/>
      <c r="L739" s="144"/>
      <c r="M739" s="144"/>
      <c r="N739" s="144"/>
    </row>
    <row r="740" spans="1:14">
      <c r="A740" s="144"/>
      <c r="B740" s="144"/>
      <c r="C740" s="144"/>
      <c r="D740" s="144"/>
      <c r="E740" s="150"/>
      <c r="F740" s="144"/>
      <c r="G740" s="144"/>
      <c r="H740" s="144"/>
      <c r="I740" s="146"/>
      <c r="J740" s="144"/>
      <c r="K740" s="144"/>
      <c r="L740" s="144"/>
      <c r="M740" s="144"/>
      <c r="N740" s="144"/>
    </row>
    <row r="741" spans="1:14">
      <c r="A741" s="144"/>
      <c r="B741" s="144"/>
      <c r="C741" s="144"/>
      <c r="D741" s="144"/>
      <c r="E741" s="150"/>
      <c r="F741" s="144"/>
      <c r="G741" s="144"/>
      <c r="H741" s="144"/>
      <c r="I741" s="146"/>
      <c r="J741" s="144"/>
      <c r="K741" s="144"/>
      <c r="L741" s="144"/>
      <c r="M741" s="144"/>
      <c r="N741" s="144"/>
    </row>
    <row r="742" spans="1:14">
      <c r="A742" s="144"/>
      <c r="B742" s="144"/>
      <c r="C742" s="144"/>
      <c r="D742" s="144"/>
      <c r="E742" s="150"/>
      <c r="F742" s="144"/>
      <c r="G742" s="144"/>
      <c r="H742" s="144"/>
      <c r="I742" s="146"/>
      <c r="J742" s="144"/>
      <c r="K742" s="144"/>
      <c r="L742" s="144"/>
      <c r="M742" s="144"/>
      <c r="N742" s="144"/>
    </row>
    <row r="743" spans="1:14">
      <c r="A743" s="144"/>
      <c r="B743" s="144"/>
      <c r="C743" s="144"/>
      <c r="D743" s="144"/>
      <c r="E743" s="150"/>
      <c r="F743" s="144"/>
      <c r="G743" s="144"/>
      <c r="H743" s="144"/>
      <c r="I743" s="146"/>
      <c r="J743" s="144"/>
      <c r="K743" s="144"/>
      <c r="L743" s="144"/>
      <c r="M743" s="144"/>
      <c r="N743" s="144"/>
    </row>
    <row r="744" spans="1:14">
      <c r="A744" s="144"/>
      <c r="B744" s="144"/>
      <c r="C744" s="144"/>
      <c r="D744" s="144"/>
      <c r="E744" s="150"/>
      <c r="F744" s="144"/>
      <c r="G744" s="144"/>
      <c r="H744" s="144"/>
      <c r="I744" s="146"/>
      <c r="J744" s="144"/>
      <c r="K744" s="144"/>
      <c r="L744" s="144"/>
      <c r="M744" s="144"/>
      <c r="N744" s="144"/>
    </row>
    <row r="745" spans="1:14">
      <c r="A745" s="144"/>
      <c r="B745" s="144"/>
      <c r="C745" s="144"/>
      <c r="D745" s="144"/>
      <c r="E745" s="150"/>
      <c r="F745" s="144"/>
      <c r="G745" s="144"/>
      <c r="H745" s="144"/>
      <c r="I745" s="146"/>
      <c r="J745" s="144"/>
      <c r="K745" s="144"/>
      <c r="L745" s="144"/>
      <c r="M745" s="144"/>
      <c r="N745" s="144"/>
    </row>
    <row r="746" spans="1:14">
      <c r="A746" s="144"/>
      <c r="B746" s="144"/>
      <c r="C746" s="144"/>
      <c r="D746" s="144"/>
      <c r="E746" s="150"/>
      <c r="F746" s="144"/>
      <c r="G746" s="144"/>
      <c r="H746" s="144"/>
      <c r="I746" s="146"/>
      <c r="J746" s="144"/>
      <c r="K746" s="144"/>
      <c r="L746" s="144"/>
      <c r="M746" s="144"/>
      <c r="N746" s="144"/>
    </row>
    <row r="747" spans="1:14">
      <c r="A747" s="144"/>
      <c r="B747" s="144"/>
      <c r="C747" s="144"/>
      <c r="D747" s="144"/>
      <c r="E747" s="150"/>
      <c r="F747" s="144"/>
      <c r="G747" s="144"/>
      <c r="H747" s="144"/>
      <c r="I747" s="146"/>
      <c r="J747" s="144"/>
      <c r="K747" s="144"/>
      <c r="L747" s="144"/>
      <c r="M747" s="144"/>
      <c r="N747" s="144"/>
    </row>
    <row r="748" spans="1:14">
      <c r="A748" s="144"/>
      <c r="B748" s="144"/>
      <c r="C748" s="144"/>
      <c r="D748" s="144"/>
      <c r="E748" s="150"/>
      <c r="F748" s="144"/>
      <c r="G748" s="144"/>
      <c r="H748" s="144"/>
      <c r="I748" s="146"/>
      <c r="J748" s="144"/>
      <c r="K748" s="144"/>
      <c r="L748" s="144"/>
      <c r="M748" s="144"/>
      <c r="N748" s="144"/>
    </row>
    <row r="749" spans="1:14">
      <c r="A749" s="144"/>
      <c r="B749" s="144"/>
      <c r="C749" s="144"/>
      <c r="D749" s="144"/>
      <c r="E749" s="150"/>
      <c r="F749" s="144"/>
      <c r="G749" s="144"/>
      <c r="H749" s="144"/>
      <c r="I749" s="146"/>
      <c r="J749" s="144"/>
      <c r="K749" s="144"/>
      <c r="L749" s="144"/>
      <c r="M749" s="144"/>
      <c r="N749" s="144"/>
    </row>
    <row r="750" spans="1:14">
      <c r="A750" s="144"/>
      <c r="B750" s="144"/>
      <c r="C750" s="144"/>
      <c r="D750" s="144"/>
      <c r="E750" s="150"/>
      <c r="F750" s="144"/>
      <c r="G750" s="144"/>
      <c r="H750" s="144"/>
      <c r="I750" s="146"/>
      <c r="J750" s="144"/>
      <c r="K750" s="144"/>
      <c r="L750" s="144"/>
      <c r="M750" s="144"/>
      <c r="N750" s="144"/>
    </row>
    <row r="751" spans="1:14">
      <c r="A751" s="144"/>
      <c r="B751" s="144"/>
      <c r="C751" s="144"/>
      <c r="D751" s="144"/>
      <c r="E751" s="150"/>
      <c r="F751" s="144"/>
      <c r="G751" s="144"/>
      <c r="H751" s="144"/>
      <c r="I751" s="146"/>
      <c r="J751" s="144"/>
      <c r="K751" s="144"/>
      <c r="L751" s="144"/>
      <c r="M751" s="144"/>
      <c r="N751" s="144"/>
    </row>
    <row r="752" spans="1:14">
      <c r="A752" s="144"/>
      <c r="B752" s="144"/>
      <c r="C752" s="144"/>
      <c r="D752" s="144"/>
      <c r="E752" s="150"/>
      <c r="F752" s="144"/>
      <c r="G752" s="144"/>
      <c r="H752" s="144"/>
      <c r="I752" s="146"/>
      <c r="J752" s="144"/>
      <c r="K752" s="144"/>
      <c r="L752" s="144"/>
      <c r="M752" s="144"/>
      <c r="N752" s="144"/>
    </row>
    <row r="753" spans="1:14">
      <c r="A753" s="144"/>
      <c r="B753" s="144"/>
      <c r="C753" s="144"/>
      <c r="D753" s="144"/>
      <c r="E753" s="150"/>
      <c r="F753" s="144"/>
      <c r="G753" s="144"/>
      <c r="H753" s="144"/>
      <c r="I753" s="146"/>
      <c r="J753" s="144"/>
      <c r="K753" s="144"/>
      <c r="L753" s="144"/>
      <c r="M753" s="144"/>
      <c r="N753" s="144"/>
    </row>
    <row r="754" spans="1:14">
      <c r="A754" s="144"/>
      <c r="B754" s="144"/>
      <c r="C754" s="144"/>
      <c r="D754" s="144"/>
      <c r="E754" s="150"/>
      <c r="F754" s="144"/>
      <c r="G754" s="144"/>
      <c r="H754" s="144"/>
      <c r="I754" s="146"/>
      <c r="J754" s="144"/>
      <c r="K754" s="144"/>
      <c r="L754" s="144"/>
      <c r="M754" s="144"/>
      <c r="N754" s="144"/>
    </row>
    <row r="755" spans="1:14">
      <c r="A755" s="144"/>
      <c r="B755" s="144"/>
      <c r="C755" s="144"/>
      <c r="D755" s="144"/>
      <c r="E755" s="150"/>
      <c r="F755" s="144"/>
      <c r="G755" s="144"/>
      <c r="H755" s="144"/>
      <c r="I755" s="146"/>
      <c r="J755" s="144"/>
      <c r="K755" s="144"/>
      <c r="L755" s="144"/>
      <c r="M755" s="144"/>
      <c r="N755" s="144"/>
    </row>
    <row r="756" spans="1:14">
      <c r="A756" s="144"/>
      <c r="B756" s="144"/>
      <c r="C756" s="144"/>
      <c r="D756" s="144"/>
      <c r="E756" s="150"/>
      <c r="F756" s="144"/>
      <c r="G756" s="144"/>
      <c r="H756" s="144"/>
      <c r="I756" s="146"/>
      <c r="J756" s="144"/>
      <c r="K756" s="144"/>
      <c r="L756" s="144"/>
      <c r="M756" s="144"/>
      <c r="N756" s="144"/>
    </row>
    <row r="757" spans="1:14">
      <c r="A757" s="144"/>
      <c r="B757" s="144"/>
      <c r="C757" s="144"/>
      <c r="D757" s="144"/>
      <c r="E757" s="150"/>
      <c r="F757" s="144"/>
      <c r="G757" s="144"/>
      <c r="H757" s="144"/>
      <c r="I757" s="146"/>
      <c r="J757" s="144"/>
      <c r="K757" s="144"/>
      <c r="L757" s="144"/>
      <c r="M757" s="144"/>
      <c r="N757" s="144"/>
    </row>
    <row r="758" spans="1:14">
      <c r="A758" s="144"/>
      <c r="B758" s="144"/>
      <c r="C758" s="144"/>
      <c r="D758" s="144"/>
      <c r="E758" s="150"/>
      <c r="F758" s="144"/>
      <c r="G758" s="144"/>
      <c r="H758" s="144"/>
      <c r="I758" s="146"/>
      <c r="J758" s="144"/>
      <c r="K758" s="144"/>
      <c r="L758" s="144"/>
      <c r="M758" s="144"/>
      <c r="N758" s="144"/>
    </row>
    <row r="759" spans="1:14">
      <c r="A759" s="144"/>
      <c r="B759" s="144"/>
      <c r="C759" s="144"/>
      <c r="D759" s="144"/>
      <c r="E759" s="150"/>
      <c r="F759" s="144"/>
      <c r="G759" s="144"/>
      <c r="H759" s="144"/>
      <c r="I759" s="146"/>
      <c r="J759" s="144"/>
      <c r="K759" s="144"/>
      <c r="L759" s="144"/>
      <c r="M759" s="144"/>
      <c r="N759" s="144"/>
    </row>
    <row r="760" spans="1:14">
      <c r="A760" s="144"/>
      <c r="B760" s="144"/>
      <c r="C760" s="144"/>
      <c r="D760" s="144"/>
      <c r="E760" s="150"/>
      <c r="F760" s="144"/>
      <c r="G760" s="144"/>
      <c r="H760" s="144"/>
      <c r="I760" s="146"/>
      <c r="J760" s="144"/>
      <c r="K760" s="144"/>
      <c r="L760" s="144"/>
      <c r="M760" s="144"/>
      <c r="N760" s="144"/>
    </row>
    <row r="761" spans="1:14">
      <c r="A761" s="144"/>
      <c r="B761" s="144"/>
      <c r="C761" s="144"/>
      <c r="D761" s="144"/>
      <c r="E761" s="150"/>
      <c r="F761" s="144"/>
      <c r="G761" s="144"/>
      <c r="H761" s="144"/>
      <c r="I761" s="146"/>
      <c r="J761" s="144"/>
      <c r="K761" s="144"/>
      <c r="L761" s="144"/>
      <c r="M761" s="144"/>
      <c r="N761" s="144"/>
    </row>
    <row r="762" spans="1:14">
      <c r="A762" s="144"/>
      <c r="B762" s="144"/>
      <c r="C762" s="144"/>
      <c r="D762" s="144"/>
      <c r="E762" s="150"/>
      <c r="F762" s="144"/>
      <c r="G762" s="144"/>
      <c r="H762" s="144"/>
      <c r="I762" s="146"/>
      <c r="J762" s="144"/>
      <c r="K762" s="144"/>
      <c r="L762" s="144"/>
      <c r="M762" s="144"/>
      <c r="N762" s="144"/>
    </row>
    <row r="763" spans="1:14">
      <c r="A763" s="144"/>
      <c r="B763" s="144"/>
      <c r="C763" s="144"/>
      <c r="D763" s="144"/>
      <c r="E763" s="150"/>
      <c r="F763" s="144"/>
      <c r="G763" s="144"/>
      <c r="H763" s="144"/>
      <c r="I763" s="146"/>
      <c r="J763" s="144"/>
      <c r="K763" s="144"/>
      <c r="L763" s="144"/>
      <c r="M763" s="144"/>
      <c r="N763" s="144"/>
    </row>
    <row r="764" spans="1:14">
      <c r="A764" s="144"/>
      <c r="B764" s="144"/>
      <c r="C764" s="144"/>
      <c r="D764" s="144"/>
      <c r="E764" s="150"/>
      <c r="F764" s="144"/>
      <c r="G764" s="144"/>
      <c r="H764" s="144"/>
      <c r="I764" s="146"/>
      <c r="J764" s="144"/>
      <c r="K764" s="144"/>
      <c r="L764" s="144"/>
      <c r="M764" s="144"/>
      <c r="N764" s="144"/>
    </row>
    <row r="765" spans="1:14">
      <c r="A765" s="144"/>
      <c r="B765" s="144"/>
      <c r="C765" s="144"/>
      <c r="D765" s="144"/>
      <c r="E765" s="150"/>
      <c r="F765" s="144"/>
      <c r="G765" s="144"/>
      <c r="H765" s="144"/>
      <c r="I765" s="146"/>
      <c r="J765" s="144"/>
      <c r="K765" s="144"/>
      <c r="L765" s="144"/>
      <c r="M765" s="144"/>
      <c r="N765" s="144"/>
    </row>
    <row r="766" spans="1:14">
      <c r="A766" s="144"/>
      <c r="B766" s="144"/>
      <c r="C766" s="144"/>
      <c r="D766" s="144"/>
      <c r="E766" s="150"/>
      <c r="F766" s="144"/>
      <c r="G766" s="144"/>
      <c r="H766" s="144"/>
      <c r="I766" s="146"/>
      <c r="J766" s="144"/>
      <c r="K766" s="144"/>
      <c r="L766" s="144"/>
      <c r="M766" s="144"/>
      <c r="N766" s="144"/>
    </row>
    <row r="767" spans="1:14">
      <c r="A767" s="144"/>
      <c r="B767" s="144"/>
      <c r="C767" s="144"/>
      <c r="D767" s="144"/>
      <c r="E767" s="150"/>
      <c r="F767" s="144"/>
      <c r="G767" s="144"/>
      <c r="H767" s="144"/>
      <c r="I767" s="146"/>
      <c r="J767" s="144"/>
      <c r="K767" s="144"/>
      <c r="L767" s="144"/>
      <c r="M767" s="144"/>
      <c r="N767" s="144"/>
    </row>
    <row r="768" spans="1:14">
      <c r="A768" s="144"/>
      <c r="B768" s="144"/>
      <c r="C768" s="144"/>
      <c r="D768" s="144"/>
      <c r="E768" s="150"/>
      <c r="F768" s="144"/>
      <c r="G768" s="144"/>
      <c r="H768" s="144"/>
      <c r="I768" s="146"/>
      <c r="J768" s="144"/>
      <c r="K768" s="144"/>
      <c r="L768" s="144"/>
      <c r="M768" s="144"/>
      <c r="N768" s="144"/>
    </row>
    <row r="769" spans="1:14">
      <c r="A769" s="144"/>
      <c r="B769" s="144"/>
      <c r="C769" s="144"/>
      <c r="D769" s="144"/>
      <c r="E769" s="150"/>
      <c r="F769" s="144"/>
      <c r="G769" s="144"/>
      <c r="H769" s="144"/>
      <c r="I769" s="146"/>
      <c r="J769" s="144"/>
      <c r="K769" s="144"/>
      <c r="L769" s="144"/>
      <c r="M769" s="144"/>
      <c r="N769" s="144"/>
    </row>
    <row r="770" spans="1:14">
      <c r="A770" s="144"/>
      <c r="B770" s="144"/>
      <c r="C770" s="144"/>
      <c r="D770" s="144"/>
      <c r="E770" s="150"/>
      <c r="F770" s="144"/>
      <c r="G770" s="144"/>
      <c r="H770" s="144"/>
      <c r="I770" s="146"/>
      <c r="J770" s="144"/>
      <c r="K770" s="144"/>
      <c r="L770" s="144"/>
      <c r="M770" s="144"/>
      <c r="N770" s="144"/>
    </row>
    <row r="771" spans="1:14">
      <c r="A771" s="144"/>
      <c r="B771" s="144"/>
      <c r="C771" s="144"/>
      <c r="D771" s="144"/>
      <c r="E771" s="150"/>
      <c r="F771" s="144"/>
      <c r="G771" s="144"/>
      <c r="H771" s="144"/>
      <c r="I771" s="146"/>
      <c r="J771" s="144"/>
      <c r="K771" s="144"/>
      <c r="L771" s="144"/>
      <c r="M771" s="144"/>
      <c r="N771" s="144"/>
    </row>
    <row r="772" spans="1:14">
      <c r="A772" s="144"/>
      <c r="B772" s="144"/>
      <c r="C772" s="144"/>
      <c r="D772" s="144"/>
      <c r="E772" s="150"/>
      <c r="F772" s="144"/>
      <c r="G772" s="144"/>
      <c r="H772" s="144"/>
      <c r="I772" s="146"/>
      <c r="J772" s="144"/>
      <c r="K772" s="144"/>
      <c r="L772" s="144"/>
      <c r="M772" s="144"/>
      <c r="N772" s="144"/>
    </row>
    <row r="773" spans="1:14">
      <c r="A773" s="144"/>
      <c r="B773" s="144"/>
      <c r="C773" s="144"/>
      <c r="D773" s="144"/>
      <c r="E773" s="150"/>
      <c r="F773" s="144"/>
      <c r="G773" s="144"/>
      <c r="H773" s="144"/>
      <c r="I773" s="146"/>
      <c r="J773" s="144"/>
      <c r="K773" s="144"/>
      <c r="L773" s="144"/>
      <c r="M773" s="144"/>
      <c r="N773" s="144"/>
    </row>
    <row r="774" spans="1:14">
      <c r="A774" s="144"/>
      <c r="B774" s="144"/>
      <c r="C774" s="144"/>
      <c r="D774" s="144"/>
      <c r="E774" s="150"/>
      <c r="F774" s="144"/>
      <c r="G774" s="144"/>
      <c r="H774" s="144"/>
      <c r="I774" s="146"/>
      <c r="J774" s="144"/>
      <c r="K774" s="144"/>
      <c r="L774" s="144"/>
      <c r="M774" s="144"/>
      <c r="N774" s="144"/>
    </row>
    <row r="775" spans="1:14">
      <c r="A775" s="144"/>
      <c r="B775" s="144"/>
      <c r="C775" s="144"/>
      <c r="D775" s="144"/>
      <c r="E775" s="150"/>
      <c r="F775" s="144"/>
      <c r="G775" s="144"/>
      <c r="H775" s="144"/>
      <c r="I775" s="146"/>
      <c r="J775" s="144"/>
      <c r="K775" s="144"/>
      <c r="L775" s="144"/>
      <c r="M775" s="144"/>
      <c r="N775" s="144"/>
    </row>
    <row r="776" spans="1:14">
      <c r="A776" s="144"/>
      <c r="B776" s="144"/>
      <c r="C776" s="144"/>
      <c r="D776" s="144"/>
      <c r="E776" s="150"/>
      <c r="F776" s="144"/>
      <c r="G776" s="144"/>
      <c r="H776" s="144"/>
      <c r="I776" s="146"/>
      <c r="J776" s="144"/>
      <c r="K776" s="144"/>
      <c r="L776" s="144"/>
      <c r="M776" s="144"/>
      <c r="N776" s="144"/>
    </row>
    <row r="777" spans="1:14">
      <c r="A777" s="144"/>
      <c r="B777" s="144"/>
      <c r="C777" s="144"/>
      <c r="D777" s="144"/>
      <c r="E777" s="150"/>
      <c r="F777" s="144"/>
      <c r="G777" s="144"/>
      <c r="H777" s="144"/>
      <c r="I777" s="146"/>
      <c r="J777" s="144"/>
      <c r="K777" s="144"/>
      <c r="L777" s="144"/>
      <c r="M777" s="144"/>
      <c r="N777" s="144"/>
    </row>
    <row r="778" spans="1:14">
      <c r="A778" s="144"/>
      <c r="B778" s="144"/>
      <c r="C778" s="144"/>
      <c r="D778" s="144"/>
      <c r="E778" s="150"/>
      <c r="F778" s="144"/>
      <c r="G778" s="144"/>
      <c r="H778" s="144"/>
      <c r="I778" s="146"/>
      <c r="J778" s="144"/>
      <c r="K778" s="144"/>
      <c r="L778" s="144"/>
      <c r="M778" s="144"/>
      <c r="N778" s="144"/>
    </row>
    <row r="779" spans="1:14">
      <c r="A779" s="144"/>
      <c r="B779" s="144"/>
      <c r="C779" s="144"/>
      <c r="D779" s="144"/>
      <c r="E779" s="150"/>
      <c r="F779" s="144"/>
      <c r="G779" s="144"/>
      <c r="H779" s="144"/>
      <c r="I779" s="146"/>
      <c r="J779" s="144"/>
      <c r="K779" s="144"/>
      <c r="L779" s="144"/>
      <c r="M779" s="144"/>
      <c r="N779" s="144"/>
    </row>
    <row r="780" spans="1:14">
      <c r="A780" s="144"/>
      <c r="B780" s="144"/>
      <c r="C780" s="144"/>
      <c r="D780" s="144"/>
      <c r="E780" s="150"/>
      <c r="F780" s="144"/>
      <c r="G780" s="144"/>
      <c r="H780" s="144"/>
      <c r="I780" s="146"/>
      <c r="J780" s="144"/>
      <c r="K780" s="144"/>
      <c r="L780" s="144"/>
      <c r="M780" s="144"/>
      <c r="N780" s="144"/>
    </row>
    <row r="781" spans="1:14">
      <c r="A781" s="144"/>
      <c r="B781" s="144"/>
      <c r="C781" s="144"/>
      <c r="D781" s="144"/>
      <c r="E781" s="150"/>
      <c r="F781" s="144"/>
      <c r="G781" s="144"/>
      <c r="H781" s="144"/>
      <c r="I781" s="146"/>
      <c r="J781" s="144"/>
      <c r="K781" s="144"/>
      <c r="L781" s="144"/>
      <c r="M781" s="144"/>
      <c r="N781" s="144"/>
    </row>
    <row r="782" spans="1:14">
      <c r="A782" s="144"/>
      <c r="B782" s="144"/>
      <c r="C782" s="144"/>
      <c r="D782" s="144"/>
      <c r="E782" s="150"/>
      <c r="F782" s="144"/>
      <c r="G782" s="144"/>
      <c r="H782" s="144"/>
      <c r="I782" s="146"/>
      <c r="J782" s="144"/>
      <c r="K782" s="144"/>
      <c r="L782" s="144"/>
      <c r="M782" s="144"/>
      <c r="N782" s="144"/>
    </row>
    <row r="783" spans="1:14">
      <c r="A783" s="144"/>
      <c r="B783" s="144"/>
      <c r="C783" s="144"/>
      <c r="D783" s="144"/>
      <c r="E783" s="150"/>
      <c r="F783" s="144"/>
      <c r="G783" s="144"/>
      <c r="H783" s="144"/>
      <c r="I783" s="146"/>
      <c r="J783" s="144"/>
      <c r="K783" s="144"/>
      <c r="L783" s="144"/>
      <c r="M783" s="144"/>
      <c r="N783" s="144"/>
    </row>
    <row r="784" spans="1:14">
      <c r="A784" s="144"/>
      <c r="B784" s="144"/>
      <c r="C784" s="144"/>
      <c r="D784" s="144"/>
      <c r="E784" s="150"/>
      <c r="F784" s="144"/>
      <c r="G784" s="144"/>
      <c r="H784" s="144"/>
      <c r="I784" s="146"/>
      <c r="J784" s="144"/>
      <c r="K784" s="144"/>
      <c r="L784" s="144"/>
      <c r="M784" s="144"/>
      <c r="N784" s="144"/>
    </row>
    <row r="785" spans="1:14">
      <c r="A785" s="144"/>
      <c r="B785" s="144"/>
      <c r="C785" s="144"/>
      <c r="D785" s="144"/>
      <c r="E785" s="150"/>
      <c r="F785" s="144"/>
      <c r="G785" s="144"/>
      <c r="H785" s="144"/>
      <c r="I785" s="146"/>
      <c r="J785" s="144"/>
      <c r="K785" s="144"/>
      <c r="L785" s="144"/>
      <c r="M785" s="144"/>
      <c r="N785" s="144"/>
    </row>
    <row r="786" spans="1:14">
      <c r="A786" s="144"/>
      <c r="B786" s="144"/>
      <c r="C786" s="144"/>
      <c r="D786" s="144"/>
      <c r="E786" s="150"/>
      <c r="F786" s="144"/>
      <c r="G786" s="144"/>
      <c r="H786" s="144"/>
      <c r="I786" s="146"/>
      <c r="J786" s="144"/>
      <c r="K786" s="144"/>
      <c r="L786" s="144"/>
      <c r="M786" s="144"/>
      <c r="N786" s="144"/>
    </row>
    <row r="787" spans="1:14">
      <c r="A787" s="144"/>
      <c r="B787" s="144"/>
      <c r="C787" s="144"/>
      <c r="D787" s="144"/>
      <c r="E787" s="150"/>
      <c r="F787" s="144"/>
      <c r="G787" s="144"/>
      <c r="H787" s="144"/>
      <c r="I787" s="146"/>
      <c r="J787" s="144"/>
      <c r="K787" s="144"/>
      <c r="L787" s="144"/>
      <c r="M787" s="144"/>
      <c r="N787" s="144"/>
    </row>
    <row r="788" spans="1:14">
      <c r="A788" s="144"/>
      <c r="B788" s="144"/>
      <c r="C788" s="144"/>
      <c r="D788" s="144"/>
      <c r="E788" s="150"/>
      <c r="F788" s="144"/>
      <c r="G788" s="144"/>
      <c r="H788" s="144"/>
      <c r="I788" s="146"/>
      <c r="J788" s="144"/>
      <c r="K788" s="144"/>
      <c r="L788" s="144"/>
      <c r="M788" s="144"/>
      <c r="N788" s="144"/>
    </row>
    <row r="789" spans="1:14">
      <c r="A789" s="144"/>
      <c r="B789" s="144"/>
      <c r="C789" s="144"/>
      <c r="D789" s="144"/>
      <c r="E789" s="150"/>
      <c r="F789" s="144"/>
      <c r="G789" s="144"/>
      <c r="H789" s="144"/>
      <c r="I789" s="146"/>
      <c r="J789" s="144"/>
      <c r="K789" s="144"/>
      <c r="L789" s="144"/>
      <c r="M789" s="144"/>
      <c r="N789" s="144"/>
    </row>
    <row r="790" spans="1:14">
      <c r="A790" s="144"/>
      <c r="B790" s="144"/>
      <c r="C790" s="144"/>
      <c r="D790" s="144"/>
      <c r="E790" s="150"/>
      <c r="F790" s="144"/>
      <c r="G790" s="144"/>
      <c r="H790" s="144"/>
      <c r="I790" s="146"/>
      <c r="J790" s="144"/>
      <c r="K790" s="144"/>
      <c r="L790" s="144"/>
      <c r="M790" s="144"/>
      <c r="N790" s="144"/>
    </row>
    <row r="791" spans="1:14">
      <c r="A791" s="144"/>
      <c r="B791" s="144"/>
      <c r="C791" s="144"/>
      <c r="D791" s="144"/>
      <c r="E791" s="150"/>
      <c r="F791" s="144"/>
      <c r="G791" s="144"/>
      <c r="H791" s="144"/>
      <c r="I791" s="146"/>
      <c r="J791" s="144"/>
      <c r="K791" s="144"/>
      <c r="L791" s="144"/>
      <c r="M791" s="144"/>
      <c r="N791" s="144"/>
    </row>
    <row r="792" spans="1:14">
      <c r="A792" s="144"/>
      <c r="B792" s="144"/>
      <c r="C792" s="144"/>
      <c r="D792" s="144"/>
      <c r="E792" s="150"/>
      <c r="F792" s="144"/>
      <c r="G792" s="144"/>
      <c r="H792" s="144"/>
      <c r="I792" s="146"/>
      <c r="J792" s="144"/>
      <c r="K792" s="144"/>
      <c r="L792" s="144"/>
      <c r="M792" s="144"/>
      <c r="N792" s="144"/>
    </row>
    <row r="793" spans="1:14">
      <c r="A793" s="144"/>
      <c r="B793" s="144"/>
      <c r="C793" s="144"/>
      <c r="D793" s="144"/>
      <c r="E793" s="150"/>
      <c r="F793" s="144"/>
      <c r="G793" s="144"/>
      <c r="H793" s="144"/>
      <c r="I793" s="146"/>
      <c r="J793" s="144"/>
      <c r="K793" s="144"/>
      <c r="L793" s="144"/>
      <c r="M793" s="144"/>
      <c r="N793" s="144"/>
    </row>
    <row r="794" spans="1:14">
      <c r="A794" s="144"/>
      <c r="B794" s="144"/>
      <c r="C794" s="144"/>
      <c r="D794" s="144"/>
      <c r="E794" s="150"/>
      <c r="F794" s="144"/>
      <c r="G794" s="144"/>
      <c r="H794" s="144"/>
      <c r="I794" s="146"/>
      <c r="J794" s="144"/>
      <c r="K794" s="144"/>
      <c r="L794" s="144"/>
      <c r="M794" s="144"/>
      <c r="N794" s="144"/>
    </row>
    <row r="795" spans="1:14">
      <c r="A795" s="144"/>
      <c r="B795" s="144"/>
      <c r="C795" s="144"/>
      <c r="D795" s="144"/>
      <c r="E795" s="150"/>
      <c r="F795" s="144"/>
      <c r="G795" s="144"/>
      <c r="H795" s="144"/>
      <c r="I795" s="146"/>
      <c r="J795" s="144"/>
      <c r="K795" s="144"/>
      <c r="L795" s="144"/>
      <c r="M795" s="144"/>
      <c r="N795" s="144"/>
    </row>
    <row r="796" spans="1:14">
      <c r="A796" s="144"/>
      <c r="B796" s="144"/>
      <c r="C796" s="144"/>
      <c r="D796" s="144"/>
      <c r="E796" s="150"/>
      <c r="F796" s="144"/>
      <c r="G796" s="144"/>
      <c r="H796" s="144"/>
      <c r="I796" s="146"/>
      <c r="J796" s="144"/>
      <c r="K796" s="144"/>
      <c r="L796" s="144"/>
      <c r="M796" s="144"/>
      <c r="N796" s="144"/>
    </row>
    <row r="797" spans="1:14">
      <c r="A797" s="144"/>
      <c r="B797" s="144"/>
      <c r="C797" s="144"/>
      <c r="D797" s="144"/>
      <c r="E797" s="150"/>
      <c r="F797" s="144"/>
      <c r="G797" s="144"/>
      <c r="H797" s="144"/>
      <c r="I797" s="146"/>
      <c r="J797" s="144"/>
      <c r="K797" s="144"/>
      <c r="L797" s="144"/>
      <c r="M797" s="144"/>
      <c r="N797" s="144"/>
    </row>
    <row r="798" spans="1:14">
      <c r="A798" s="144"/>
      <c r="B798" s="144"/>
      <c r="C798" s="144"/>
      <c r="D798" s="144"/>
      <c r="E798" s="150"/>
      <c r="F798" s="144"/>
      <c r="G798" s="144"/>
      <c r="H798" s="144"/>
      <c r="I798" s="146"/>
      <c r="J798" s="144"/>
      <c r="K798" s="144"/>
      <c r="L798" s="144"/>
      <c r="M798" s="144"/>
      <c r="N798" s="144"/>
    </row>
    <row r="799" spans="1:14">
      <c r="A799" s="144"/>
      <c r="B799" s="144"/>
      <c r="C799" s="144"/>
      <c r="D799" s="144"/>
      <c r="E799" s="150"/>
      <c r="F799" s="144"/>
      <c r="G799" s="144"/>
      <c r="H799" s="144"/>
      <c r="I799" s="146"/>
      <c r="J799" s="144"/>
      <c r="K799" s="144"/>
      <c r="L799" s="144"/>
      <c r="M799" s="144"/>
      <c r="N799" s="144"/>
    </row>
    <row r="800" spans="1:14">
      <c r="A800" s="144"/>
      <c r="B800" s="144"/>
      <c r="C800" s="144"/>
      <c r="D800" s="144"/>
      <c r="E800" s="150"/>
      <c r="F800" s="144"/>
      <c r="G800" s="144"/>
      <c r="H800" s="144"/>
      <c r="I800" s="146"/>
      <c r="J800" s="144"/>
      <c r="K800" s="144"/>
      <c r="L800" s="144"/>
      <c r="M800" s="144"/>
      <c r="N800" s="144"/>
    </row>
    <row r="801" spans="1:14">
      <c r="A801" s="144"/>
      <c r="B801" s="144"/>
      <c r="C801" s="144"/>
      <c r="D801" s="144"/>
      <c r="E801" s="150"/>
      <c r="F801" s="144"/>
      <c r="G801" s="144"/>
      <c r="H801" s="144"/>
      <c r="I801" s="146"/>
      <c r="J801" s="144"/>
      <c r="K801" s="144"/>
      <c r="L801" s="144"/>
      <c r="M801" s="144"/>
      <c r="N801" s="144"/>
    </row>
    <row r="802" spans="1:14">
      <c r="A802" s="144"/>
      <c r="B802" s="144"/>
      <c r="C802" s="144"/>
      <c r="D802" s="144"/>
      <c r="E802" s="150"/>
      <c r="F802" s="144"/>
      <c r="G802" s="144"/>
      <c r="H802" s="144"/>
      <c r="I802" s="146"/>
      <c r="J802" s="144"/>
      <c r="K802" s="144"/>
      <c r="L802" s="144"/>
      <c r="M802" s="144"/>
      <c r="N802" s="144"/>
    </row>
    <row r="803" spans="1:14">
      <c r="A803" s="144"/>
      <c r="B803" s="144"/>
      <c r="C803" s="144"/>
      <c r="D803" s="144"/>
      <c r="E803" s="150"/>
      <c r="F803" s="144"/>
      <c r="G803" s="144"/>
      <c r="H803" s="144"/>
      <c r="I803" s="146"/>
      <c r="J803" s="144"/>
      <c r="K803" s="144"/>
      <c r="L803" s="144"/>
      <c r="M803" s="144"/>
      <c r="N803" s="144"/>
    </row>
    <row r="804" spans="1:14">
      <c r="A804" s="144"/>
      <c r="B804" s="144"/>
      <c r="C804" s="144"/>
      <c r="D804" s="144"/>
      <c r="E804" s="150"/>
      <c r="F804" s="144"/>
      <c r="G804" s="144"/>
      <c r="H804" s="144"/>
      <c r="I804" s="146"/>
      <c r="J804" s="144"/>
      <c r="K804" s="144"/>
      <c r="L804" s="144"/>
      <c r="M804" s="144"/>
      <c r="N804" s="144"/>
    </row>
    <row r="805" spans="1:14">
      <c r="A805" s="144"/>
      <c r="B805" s="144"/>
      <c r="C805" s="144"/>
      <c r="D805" s="144"/>
      <c r="E805" s="150"/>
      <c r="F805" s="144"/>
      <c r="G805" s="144"/>
      <c r="H805" s="144"/>
      <c r="I805" s="146"/>
      <c r="J805" s="144"/>
      <c r="K805" s="144"/>
      <c r="L805" s="144"/>
      <c r="M805" s="144"/>
      <c r="N805" s="144"/>
    </row>
    <row r="806" spans="1:14">
      <c r="A806" s="144"/>
      <c r="B806" s="144"/>
      <c r="C806" s="144"/>
      <c r="D806" s="144"/>
      <c r="E806" s="150"/>
      <c r="F806" s="144"/>
      <c r="G806" s="144"/>
      <c r="H806" s="144"/>
      <c r="I806" s="146"/>
      <c r="J806" s="144"/>
      <c r="K806" s="144"/>
      <c r="L806" s="144"/>
      <c r="M806" s="144"/>
      <c r="N806" s="144"/>
    </row>
    <row r="807" spans="1:14">
      <c r="A807" s="144"/>
      <c r="B807" s="144"/>
      <c r="C807" s="144"/>
      <c r="D807" s="144"/>
      <c r="E807" s="150"/>
      <c r="F807" s="144"/>
      <c r="G807" s="144"/>
      <c r="H807" s="144"/>
      <c r="I807" s="146"/>
      <c r="J807" s="144"/>
      <c r="K807" s="144"/>
      <c r="L807" s="144"/>
      <c r="M807" s="144"/>
      <c r="N807" s="144"/>
    </row>
    <row r="808" spans="1:14">
      <c r="A808" s="144"/>
      <c r="B808" s="144"/>
      <c r="C808" s="144"/>
      <c r="D808" s="144"/>
      <c r="E808" s="150"/>
      <c r="F808" s="144"/>
      <c r="G808" s="144"/>
      <c r="H808" s="144"/>
      <c r="I808" s="146"/>
      <c r="J808" s="144"/>
      <c r="K808" s="144"/>
      <c r="L808" s="144"/>
      <c r="M808" s="144"/>
      <c r="N808" s="144"/>
    </row>
    <row r="809" spans="1:14">
      <c r="A809" s="144"/>
      <c r="B809" s="144"/>
      <c r="C809" s="144"/>
      <c r="D809" s="144"/>
      <c r="E809" s="150"/>
      <c r="F809" s="144"/>
      <c r="G809" s="144"/>
      <c r="H809" s="144"/>
      <c r="I809" s="146"/>
      <c r="J809" s="144"/>
      <c r="K809" s="144"/>
      <c r="L809" s="144"/>
      <c r="M809" s="144"/>
      <c r="N809" s="144"/>
    </row>
    <row r="810" spans="1:14">
      <c r="A810" s="144"/>
      <c r="B810" s="144"/>
      <c r="C810" s="144"/>
      <c r="D810" s="144"/>
      <c r="E810" s="150"/>
      <c r="F810" s="144"/>
      <c r="G810" s="144"/>
      <c r="H810" s="144"/>
      <c r="I810" s="146"/>
      <c r="J810" s="144"/>
      <c r="K810" s="144"/>
      <c r="L810" s="144"/>
      <c r="M810" s="144"/>
      <c r="N810" s="144"/>
    </row>
    <row r="811" spans="1:14">
      <c r="A811" s="144"/>
      <c r="B811" s="144"/>
      <c r="C811" s="144"/>
      <c r="D811" s="144"/>
      <c r="E811" s="150"/>
      <c r="F811" s="144"/>
      <c r="G811" s="144"/>
      <c r="H811" s="144"/>
      <c r="I811" s="146"/>
      <c r="J811" s="144"/>
      <c r="K811" s="144"/>
      <c r="L811" s="144"/>
      <c r="M811" s="144"/>
      <c r="N811" s="144"/>
    </row>
    <row r="812" spans="1:14">
      <c r="A812" s="144"/>
      <c r="B812" s="144"/>
      <c r="C812" s="144"/>
      <c r="D812" s="144"/>
      <c r="E812" s="150"/>
      <c r="F812" s="144"/>
      <c r="G812" s="144"/>
      <c r="H812" s="144"/>
      <c r="I812" s="146"/>
      <c r="J812" s="144"/>
      <c r="K812" s="144"/>
      <c r="L812" s="144"/>
      <c r="M812" s="144"/>
      <c r="N812" s="144"/>
    </row>
    <row r="813" spans="1:14">
      <c r="A813" s="144"/>
      <c r="B813" s="144"/>
      <c r="C813" s="144"/>
      <c r="D813" s="144"/>
      <c r="E813" s="150"/>
      <c r="F813" s="144"/>
      <c r="G813" s="144"/>
      <c r="H813" s="144"/>
      <c r="I813" s="146"/>
      <c r="J813" s="144"/>
      <c r="K813" s="144"/>
      <c r="L813" s="144"/>
      <c r="M813" s="144"/>
      <c r="N813" s="144"/>
    </row>
    <row r="814" spans="1:14">
      <c r="A814" s="144"/>
      <c r="B814" s="144"/>
      <c r="C814" s="144"/>
      <c r="D814" s="144"/>
      <c r="E814" s="150"/>
      <c r="F814" s="144"/>
      <c r="G814" s="144"/>
      <c r="H814" s="144"/>
      <c r="I814" s="146"/>
      <c r="J814" s="144"/>
      <c r="K814" s="144"/>
      <c r="L814" s="144"/>
      <c r="M814" s="144"/>
      <c r="N814" s="144"/>
    </row>
    <row r="815" spans="1:14">
      <c r="A815" s="144"/>
      <c r="B815" s="144"/>
      <c r="C815" s="144"/>
      <c r="D815" s="144"/>
      <c r="E815" s="150"/>
      <c r="F815" s="144"/>
      <c r="G815" s="144"/>
      <c r="H815" s="144"/>
      <c r="I815" s="146"/>
      <c r="J815" s="144"/>
      <c r="K815" s="144"/>
      <c r="L815" s="144"/>
      <c r="M815" s="144"/>
      <c r="N815" s="144"/>
    </row>
    <row r="816" spans="1:14">
      <c r="A816" s="144"/>
      <c r="B816" s="144"/>
      <c r="C816" s="144"/>
      <c r="D816" s="144"/>
      <c r="E816" s="150"/>
      <c r="F816" s="144"/>
      <c r="G816" s="144"/>
      <c r="H816" s="144"/>
      <c r="I816" s="146"/>
      <c r="J816" s="144"/>
      <c r="K816" s="144"/>
      <c r="L816" s="144"/>
      <c r="M816" s="144"/>
      <c r="N816" s="144"/>
    </row>
    <row r="817" spans="1:14">
      <c r="A817" s="144"/>
      <c r="B817" s="144"/>
      <c r="C817" s="144"/>
      <c r="D817" s="144"/>
      <c r="E817" s="150"/>
      <c r="F817" s="144"/>
      <c r="G817" s="144"/>
      <c r="H817" s="144"/>
      <c r="I817" s="146"/>
      <c r="J817" s="144"/>
      <c r="K817" s="144"/>
      <c r="L817" s="144"/>
      <c r="M817" s="144"/>
      <c r="N817" s="144"/>
    </row>
    <row r="818" spans="1:14">
      <c r="A818" s="144"/>
      <c r="B818" s="144"/>
      <c r="C818" s="144"/>
      <c r="D818" s="144"/>
      <c r="E818" s="150"/>
      <c r="F818" s="144"/>
      <c r="G818" s="144"/>
      <c r="H818" s="144"/>
      <c r="I818" s="146"/>
      <c r="J818" s="144"/>
      <c r="K818" s="144"/>
      <c r="L818" s="144"/>
      <c r="M818" s="144"/>
      <c r="N818" s="144"/>
    </row>
    <row r="819" spans="1:14">
      <c r="A819" s="144"/>
      <c r="B819" s="144"/>
      <c r="C819" s="144"/>
      <c r="D819" s="144"/>
      <c r="E819" s="150"/>
      <c r="F819" s="144"/>
      <c r="G819" s="144"/>
      <c r="H819" s="144"/>
      <c r="I819" s="146"/>
      <c r="J819" s="144"/>
      <c r="K819" s="144"/>
      <c r="L819" s="144"/>
      <c r="M819" s="144"/>
      <c r="N819" s="144"/>
    </row>
    <row r="820" spans="1:14">
      <c r="A820" s="144"/>
      <c r="B820" s="144"/>
      <c r="C820" s="144"/>
      <c r="D820" s="144"/>
      <c r="E820" s="150"/>
      <c r="F820" s="144"/>
      <c r="G820" s="144"/>
      <c r="H820" s="144"/>
      <c r="I820" s="146"/>
      <c r="J820" s="144"/>
      <c r="K820" s="144"/>
      <c r="L820" s="144"/>
      <c r="M820" s="144"/>
      <c r="N820" s="144"/>
    </row>
    <row r="821" spans="1:14">
      <c r="A821" s="144"/>
      <c r="B821" s="144"/>
      <c r="C821" s="144"/>
      <c r="D821" s="144"/>
      <c r="E821" s="150"/>
      <c r="F821" s="144"/>
      <c r="G821" s="144"/>
      <c r="H821" s="144"/>
      <c r="I821" s="146"/>
      <c r="J821" s="144"/>
      <c r="K821" s="144"/>
      <c r="L821" s="144"/>
      <c r="M821" s="144"/>
      <c r="N821" s="144"/>
    </row>
    <row r="822" spans="1:14">
      <c r="A822" s="144"/>
      <c r="B822" s="144"/>
      <c r="C822" s="144"/>
      <c r="D822" s="144"/>
      <c r="E822" s="150"/>
      <c r="F822" s="144"/>
      <c r="G822" s="144"/>
      <c r="H822" s="144"/>
      <c r="I822" s="146"/>
      <c r="J822" s="144"/>
      <c r="K822" s="144"/>
      <c r="L822" s="144"/>
      <c r="M822" s="144"/>
      <c r="N822" s="144"/>
    </row>
    <row r="823" spans="1:14">
      <c r="A823" s="144"/>
      <c r="B823" s="144"/>
      <c r="C823" s="144"/>
      <c r="D823" s="144"/>
      <c r="E823" s="150"/>
      <c r="F823" s="144"/>
      <c r="G823" s="144"/>
      <c r="H823" s="144"/>
      <c r="I823" s="146"/>
      <c r="J823" s="144"/>
      <c r="K823" s="144"/>
      <c r="L823" s="144"/>
      <c r="M823" s="144"/>
      <c r="N823" s="144"/>
    </row>
    <row r="824" spans="1:14">
      <c r="A824" s="144"/>
      <c r="B824" s="144"/>
      <c r="C824" s="144"/>
      <c r="D824" s="144"/>
      <c r="E824" s="150"/>
      <c r="F824" s="144"/>
      <c r="G824" s="144"/>
      <c r="H824" s="144"/>
      <c r="I824" s="146"/>
      <c r="J824" s="144"/>
      <c r="K824" s="144"/>
      <c r="L824" s="144"/>
      <c r="M824" s="144"/>
      <c r="N824" s="144"/>
    </row>
    <row r="825" spans="1:14">
      <c r="A825" s="144"/>
      <c r="B825" s="144"/>
      <c r="C825" s="144"/>
      <c r="D825" s="144"/>
      <c r="E825" s="150"/>
      <c r="F825" s="144"/>
      <c r="G825" s="144"/>
      <c r="H825" s="144"/>
      <c r="I825" s="146"/>
      <c r="J825" s="144"/>
      <c r="K825" s="144"/>
      <c r="L825" s="144"/>
      <c r="M825" s="144"/>
      <c r="N825" s="144"/>
    </row>
    <row r="826" spans="1:14">
      <c r="A826" s="144"/>
      <c r="B826" s="144"/>
      <c r="C826" s="144"/>
      <c r="D826" s="144"/>
      <c r="E826" s="150"/>
      <c r="F826" s="144"/>
      <c r="G826" s="144"/>
      <c r="H826" s="144"/>
      <c r="I826" s="146"/>
      <c r="J826" s="144"/>
      <c r="K826" s="144"/>
      <c r="L826" s="144"/>
      <c r="M826" s="144"/>
      <c r="N826" s="144"/>
    </row>
    <row r="827" spans="1:14">
      <c r="A827" s="144"/>
      <c r="B827" s="144"/>
      <c r="C827" s="144"/>
      <c r="D827" s="144"/>
      <c r="E827" s="150"/>
      <c r="F827" s="144"/>
      <c r="G827" s="144"/>
      <c r="H827" s="144"/>
      <c r="I827" s="146"/>
      <c r="J827" s="144"/>
      <c r="K827" s="144"/>
      <c r="L827" s="144"/>
      <c r="M827" s="144"/>
      <c r="N827" s="144"/>
    </row>
    <row r="828" spans="1:14">
      <c r="A828" s="144"/>
      <c r="B828" s="144"/>
      <c r="C828" s="144"/>
      <c r="D828" s="144"/>
      <c r="E828" s="150"/>
      <c r="F828" s="144"/>
      <c r="G828" s="144"/>
      <c r="H828" s="144"/>
      <c r="I828" s="146"/>
      <c r="J828" s="144"/>
      <c r="K828" s="144"/>
      <c r="L828" s="144"/>
      <c r="M828" s="144"/>
      <c r="N828" s="144"/>
    </row>
    <row r="829" spans="1:14">
      <c r="A829" s="144"/>
      <c r="B829" s="144"/>
      <c r="C829" s="144"/>
      <c r="D829" s="144"/>
      <c r="E829" s="150"/>
      <c r="F829" s="144"/>
      <c r="G829" s="144"/>
      <c r="H829" s="144"/>
      <c r="I829" s="146"/>
      <c r="J829" s="144"/>
      <c r="K829" s="144"/>
      <c r="L829" s="144"/>
      <c r="M829" s="144"/>
      <c r="N829" s="144"/>
    </row>
    <row r="830" spans="1:14">
      <c r="A830" s="144"/>
      <c r="B830" s="144"/>
      <c r="C830" s="144"/>
      <c r="D830" s="144"/>
      <c r="E830" s="150"/>
      <c r="F830" s="144"/>
      <c r="G830" s="144"/>
      <c r="H830" s="144"/>
      <c r="I830" s="146"/>
      <c r="J830" s="144"/>
      <c r="K830" s="144"/>
      <c r="L830" s="144"/>
      <c r="M830" s="144"/>
      <c r="N830" s="144"/>
    </row>
    <row r="831" spans="1:14">
      <c r="A831" s="144"/>
      <c r="B831" s="144"/>
      <c r="C831" s="144"/>
      <c r="D831" s="144"/>
      <c r="E831" s="150"/>
      <c r="F831" s="144"/>
      <c r="G831" s="144"/>
      <c r="H831" s="144"/>
      <c r="I831" s="146"/>
      <c r="J831" s="144"/>
      <c r="K831" s="144"/>
      <c r="L831" s="144"/>
      <c r="M831" s="144"/>
      <c r="N831" s="144"/>
    </row>
    <row r="832" spans="1:14">
      <c r="A832" s="144"/>
      <c r="B832" s="144"/>
      <c r="C832" s="144"/>
      <c r="D832" s="144"/>
      <c r="E832" s="150"/>
      <c r="F832" s="144"/>
      <c r="G832" s="144"/>
      <c r="H832" s="144"/>
      <c r="I832" s="146"/>
      <c r="J832" s="144"/>
      <c r="K832" s="144"/>
      <c r="L832" s="144"/>
      <c r="M832" s="144"/>
      <c r="N832" s="144"/>
    </row>
    <row r="833" spans="1:14">
      <c r="A833" s="144"/>
      <c r="B833" s="144"/>
      <c r="C833" s="144"/>
      <c r="D833" s="144"/>
      <c r="E833" s="150"/>
      <c r="F833" s="144"/>
      <c r="G833" s="144"/>
      <c r="H833" s="144"/>
      <c r="I833" s="146"/>
      <c r="J833" s="144"/>
      <c r="K833" s="144"/>
      <c r="L833" s="144"/>
      <c r="M833" s="144"/>
      <c r="N833" s="144"/>
    </row>
    <row r="834" spans="1:14">
      <c r="A834" s="144"/>
      <c r="B834" s="144"/>
      <c r="C834" s="144"/>
      <c r="D834" s="144"/>
      <c r="E834" s="150"/>
      <c r="F834" s="144"/>
      <c r="G834" s="144"/>
      <c r="H834" s="144"/>
      <c r="I834" s="146"/>
      <c r="J834" s="144"/>
      <c r="K834" s="144"/>
      <c r="L834" s="144"/>
      <c r="M834" s="144"/>
      <c r="N834" s="144"/>
    </row>
    <row r="835" spans="1:14">
      <c r="A835" s="144"/>
      <c r="B835" s="144"/>
      <c r="C835" s="144"/>
      <c r="D835" s="144"/>
      <c r="E835" s="150"/>
      <c r="F835" s="144"/>
      <c r="G835" s="144"/>
      <c r="H835" s="144"/>
      <c r="I835" s="146"/>
      <c r="J835" s="144"/>
      <c r="K835" s="144"/>
      <c r="L835" s="144"/>
      <c r="M835" s="144"/>
      <c r="N835" s="144"/>
    </row>
    <row r="836" spans="1:14">
      <c r="A836" s="144"/>
      <c r="B836" s="144"/>
      <c r="C836" s="144"/>
      <c r="D836" s="144"/>
      <c r="E836" s="150"/>
      <c r="F836" s="144"/>
      <c r="G836" s="144"/>
      <c r="H836" s="144"/>
      <c r="I836" s="146"/>
      <c r="J836" s="144"/>
      <c r="K836" s="144"/>
      <c r="L836" s="144"/>
      <c r="M836" s="144"/>
      <c r="N836" s="144"/>
    </row>
    <row r="837" spans="1:14">
      <c r="A837" s="144"/>
      <c r="B837" s="144"/>
      <c r="C837" s="144"/>
      <c r="D837" s="144"/>
      <c r="E837" s="150"/>
      <c r="F837" s="144"/>
      <c r="G837" s="144"/>
      <c r="H837" s="144"/>
      <c r="I837" s="146"/>
      <c r="J837" s="144"/>
      <c r="K837" s="144"/>
      <c r="L837" s="144"/>
      <c r="M837" s="144"/>
      <c r="N837" s="144"/>
    </row>
    <row r="838" spans="1:14">
      <c r="A838" s="144"/>
      <c r="B838" s="144"/>
      <c r="C838" s="144"/>
      <c r="D838" s="144"/>
      <c r="E838" s="150"/>
      <c r="F838" s="144"/>
      <c r="G838" s="144"/>
      <c r="H838" s="144"/>
      <c r="I838" s="146"/>
      <c r="J838" s="144"/>
      <c r="K838" s="144"/>
      <c r="L838" s="144"/>
      <c r="M838" s="144"/>
      <c r="N838" s="144"/>
    </row>
    <row r="839" spans="1:14">
      <c r="A839" s="144"/>
      <c r="B839" s="144"/>
      <c r="C839" s="144"/>
      <c r="D839" s="144"/>
      <c r="E839" s="150"/>
      <c r="F839" s="144"/>
      <c r="G839" s="144"/>
      <c r="H839" s="144"/>
      <c r="I839" s="146"/>
      <c r="J839" s="144"/>
      <c r="K839" s="144"/>
      <c r="L839" s="144"/>
      <c r="M839" s="144"/>
      <c r="N839" s="144"/>
    </row>
    <row r="840" spans="1:14">
      <c r="A840" s="144"/>
      <c r="B840" s="144"/>
      <c r="C840" s="144"/>
      <c r="D840" s="144"/>
      <c r="E840" s="150"/>
      <c r="F840" s="144"/>
      <c r="G840" s="144"/>
      <c r="H840" s="144"/>
      <c r="I840" s="146"/>
      <c r="J840" s="144"/>
      <c r="K840" s="144"/>
      <c r="L840" s="144"/>
      <c r="M840" s="144"/>
      <c r="N840" s="144"/>
    </row>
    <row r="841" spans="1:14">
      <c r="A841" s="144"/>
      <c r="B841" s="144"/>
      <c r="C841" s="144"/>
      <c r="D841" s="144"/>
      <c r="E841" s="150"/>
      <c r="F841" s="144"/>
      <c r="G841" s="144"/>
      <c r="H841" s="144"/>
      <c r="I841" s="146"/>
      <c r="J841" s="144"/>
      <c r="K841" s="144"/>
      <c r="L841" s="144"/>
      <c r="M841" s="144"/>
      <c r="N841" s="144"/>
    </row>
    <row r="842" spans="1:14">
      <c r="A842" s="144"/>
      <c r="B842" s="144"/>
      <c r="C842" s="144"/>
      <c r="D842" s="144"/>
      <c r="E842" s="150"/>
      <c r="F842" s="144"/>
      <c r="G842" s="144"/>
      <c r="H842" s="144"/>
      <c r="I842" s="146"/>
      <c r="J842" s="144"/>
      <c r="K842" s="144"/>
      <c r="L842" s="144"/>
      <c r="M842" s="144"/>
      <c r="N842" s="144"/>
    </row>
    <row r="843" spans="1:14">
      <c r="A843" s="144"/>
      <c r="B843" s="144"/>
      <c r="C843" s="144"/>
      <c r="D843" s="144"/>
      <c r="E843" s="150"/>
      <c r="F843" s="144"/>
      <c r="G843" s="144"/>
      <c r="H843" s="144"/>
      <c r="I843" s="146"/>
      <c r="J843" s="144"/>
      <c r="K843" s="144"/>
      <c r="L843" s="144"/>
      <c r="M843" s="144"/>
      <c r="N843" s="144"/>
    </row>
    <row r="844" spans="1:14">
      <c r="A844" s="144"/>
      <c r="B844" s="144"/>
      <c r="C844" s="144"/>
      <c r="D844" s="144"/>
      <c r="E844" s="150"/>
      <c r="F844" s="144"/>
      <c r="G844" s="144"/>
      <c r="H844" s="144"/>
      <c r="I844" s="146"/>
      <c r="J844" s="144"/>
      <c r="K844" s="144"/>
      <c r="L844" s="144"/>
      <c r="M844" s="144"/>
      <c r="N844" s="144"/>
    </row>
    <row r="845" spans="1:14">
      <c r="A845" s="144"/>
      <c r="B845" s="144"/>
      <c r="C845" s="144"/>
      <c r="D845" s="144"/>
      <c r="E845" s="150"/>
      <c r="F845" s="144"/>
      <c r="G845" s="144"/>
      <c r="H845" s="144"/>
      <c r="I845" s="146"/>
      <c r="J845" s="144"/>
      <c r="K845" s="144"/>
      <c r="L845" s="144"/>
      <c r="M845" s="144"/>
      <c r="N845" s="144"/>
    </row>
    <row r="846" spans="1:14">
      <c r="A846" s="144"/>
      <c r="B846" s="144"/>
      <c r="C846" s="144"/>
      <c r="D846" s="144"/>
      <c r="E846" s="150"/>
      <c r="F846" s="144"/>
      <c r="G846" s="144"/>
      <c r="H846" s="144"/>
      <c r="I846" s="146"/>
      <c r="J846" s="144"/>
      <c r="K846" s="144"/>
      <c r="L846" s="144"/>
      <c r="M846" s="144"/>
      <c r="N846" s="144"/>
    </row>
    <row r="847" spans="1:14">
      <c r="A847" s="144"/>
      <c r="B847" s="144"/>
      <c r="C847" s="144"/>
      <c r="D847" s="144"/>
      <c r="E847" s="150"/>
      <c r="F847" s="144"/>
      <c r="G847" s="144"/>
      <c r="H847" s="144"/>
      <c r="I847" s="146"/>
      <c r="J847" s="144"/>
      <c r="K847" s="144"/>
      <c r="L847" s="144"/>
      <c r="M847" s="144"/>
      <c r="N847" s="144"/>
    </row>
    <row r="848" spans="1:14">
      <c r="A848" s="144"/>
      <c r="B848" s="144"/>
      <c r="C848" s="144"/>
      <c r="D848" s="144"/>
      <c r="E848" s="150"/>
      <c r="F848" s="144"/>
      <c r="G848" s="144"/>
      <c r="H848" s="144"/>
      <c r="I848" s="146"/>
      <c r="J848" s="144"/>
      <c r="K848" s="144"/>
      <c r="L848" s="144"/>
      <c r="M848" s="144"/>
      <c r="N848" s="144"/>
    </row>
    <row r="849" spans="1:14">
      <c r="A849" s="144"/>
      <c r="B849" s="144"/>
      <c r="C849" s="144"/>
      <c r="D849" s="144"/>
      <c r="E849" s="150"/>
      <c r="F849" s="144"/>
      <c r="G849" s="144"/>
      <c r="H849" s="144"/>
      <c r="I849" s="146"/>
      <c r="J849" s="144"/>
      <c r="K849" s="144"/>
      <c r="L849" s="144"/>
      <c r="M849" s="144"/>
      <c r="N849" s="144"/>
    </row>
    <row r="850" spans="1:14">
      <c r="A850" s="144"/>
      <c r="B850" s="144"/>
      <c r="C850" s="144"/>
      <c r="D850" s="144"/>
      <c r="E850" s="150"/>
      <c r="F850" s="144"/>
      <c r="G850" s="144"/>
      <c r="H850" s="144"/>
      <c r="I850" s="146"/>
      <c r="J850" s="144"/>
      <c r="K850" s="144"/>
      <c r="L850" s="144"/>
      <c r="M850" s="144"/>
      <c r="N850" s="144"/>
    </row>
    <row r="851" spans="1:14">
      <c r="A851" s="144"/>
      <c r="B851" s="144"/>
      <c r="C851" s="144"/>
      <c r="D851" s="144"/>
      <c r="E851" s="150"/>
      <c r="F851" s="144"/>
      <c r="G851" s="144"/>
      <c r="H851" s="144"/>
      <c r="I851" s="146"/>
      <c r="J851" s="144"/>
      <c r="K851" s="144"/>
      <c r="L851" s="144"/>
      <c r="M851" s="144"/>
      <c r="N851" s="144"/>
    </row>
    <row r="852" spans="1:14">
      <c r="A852" s="144"/>
      <c r="B852" s="144"/>
      <c r="C852" s="144"/>
      <c r="D852" s="144"/>
      <c r="E852" s="150"/>
      <c r="F852" s="144"/>
      <c r="G852" s="144"/>
      <c r="H852" s="144"/>
      <c r="I852" s="146"/>
      <c r="J852" s="144"/>
      <c r="K852" s="144"/>
      <c r="L852" s="144"/>
      <c r="M852" s="144"/>
      <c r="N852" s="144"/>
    </row>
    <row r="853" spans="1:14">
      <c r="A853" s="144"/>
      <c r="B853" s="144"/>
      <c r="C853" s="144"/>
      <c r="D853" s="144"/>
      <c r="E853" s="150"/>
      <c r="F853" s="144"/>
      <c r="G853" s="144"/>
      <c r="H853" s="144"/>
      <c r="I853" s="146"/>
      <c r="J853" s="144"/>
      <c r="K853" s="144"/>
      <c r="L853" s="144"/>
      <c r="M853" s="144"/>
      <c r="N853" s="144"/>
    </row>
    <row r="854" spans="1:14">
      <c r="A854" s="144"/>
      <c r="B854" s="144"/>
      <c r="C854" s="144"/>
      <c r="D854" s="144"/>
      <c r="E854" s="150"/>
      <c r="F854" s="144"/>
      <c r="G854" s="144"/>
      <c r="H854" s="144"/>
      <c r="I854" s="146"/>
      <c r="J854" s="144"/>
      <c r="K854" s="144"/>
      <c r="L854" s="144"/>
      <c r="M854" s="144"/>
      <c r="N854" s="144"/>
    </row>
    <row r="855" spans="1:14">
      <c r="A855" s="144"/>
      <c r="B855" s="144"/>
      <c r="C855" s="144"/>
      <c r="D855" s="144"/>
      <c r="E855" s="150"/>
      <c r="F855" s="144"/>
      <c r="G855" s="144"/>
      <c r="H855" s="144"/>
      <c r="I855" s="146"/>
      <c r="J855" s="144"/>
      <c r="K855" s="144"/>
      <c r="L855" s="144"/>
      <c r="M855" s="144"/>
      <c r="N855" s="144"/>
    </row>
    <row r="856" spans="1:14">
      <c r="A856" s="144"/>
      <c r="B856" s="144"/>
      <c r="C856" s="144"/>
      <c r="D856" s="144"/>
      <c r="E856" s="150"/>
      <c r="F856" s="144"/>
      <c r="G856" s="144"/>
      <c r="H856" s="144"/>
      <c r="I856" s="146"/>
      <c r="J856" s="144"/>
      <c r="K856" s="144"/>
      <c r="L856" s="144"/>
      <c r="M856" s="144"/>
      <c r="N856" s="144"/>
    </row>
    <row r="857" spans="1:14">
      <c r="A857" s="144"/>
      <c r="B857" s="144"/>
      <c r="C857" s="144"/>
      <c r="D857" s="144"/>
      <c r="E857" s="150"/>
      <c r="F857" s="144"/>
      <c r="G857" s="144"/>
      <c r="H857" s="144"/>
      <c r="I857" s="146"/>
      <c r="J857" s="144"/>
      <c r="K857" s="144"/>
      <c r="L857" s="144"/>
      <c r="M857" s="144"/>
      <c r="N857" s="144"/>
    </row>
    <row r="858" spans="1:14">
      <c r="A858" s="144"/>
      <c r="B858" s="144"/>
      <c r="C858" s="144"/>
      <c r="D858" s="144"/>
      <c r="E858" s="150"/>
      <c r="F858" s="144"/>
      <c r="G858" s="144"/>
      <c r="H858" s="144"/>
      <c r="I858" s="146"/>
      <c r="J858" s="144"/>
      <c r="K858" s="144"/>
      <c r="L858" s="144"/>
      <c r="M858" s="144"/>
      <c r="N858" s="144"/>
    </row>
    <row r="859" spans="1:14">
      <c r="A859" s="144"/>
      <c r="B859" s="144"/>
      <c r="C859" s="144"/>
      <c r="D859" s="144"/>
      <c r="E859" s="150"/>
      <c r="F859" s="144"/>
      <c r="G859" s="144"/>
      <c r="H859" s="144"/>
      <c r="I859" s="146"/>
      <c r="J859" s="144"/>
      <c r="K859" s="144"/>
      <c r="L859" s="144"/>
      <c r="M859" s="144"/>
      <c r="N859" s="144"/>
    </row>
    <row r="860" spans="1:14">
      <c r="A860" s="144"/>
      <c r="B860" s="144"/>
      <c r="C860" s="144"/>
      <c r="D860" s="144"/>
      <c r="E860" s="150"/>
      <c r="F860" s="144"/>
      <c r="G860" s="144"/>
      <c r="H860" s="144"/>
      <c r="I860" s="146"/>
      <c r="J860" s="144"/>
      <c r="K860" s="144"/>
      <c r="L860" s="144"/>
      <c r="M860" s="144"/>
      <c r="N860" s="144"/>
    </row>
    <row r="861" spans="1:14">
      <c r="A861" s="144"/>
      <c r="B861" s="144"/>
      <c r="C861" s="144"/>
      <c r="D861" s="144"/>
      <c r="E861" s="150"/>
      <c r="F861" s="144"/>
      <c r="G861" s="144"/>
      <c r="H861" s="144"/>
      <c r="I861" s="146"/>
      <c r="J861" s="144"/>
      <c r="K861" s="144"/>
      <c r="L861" s="144"/>
      <c r="M861" s="144"/>
      <c r="N861" s="144"/>
    </row>
    <row r="862" spans="1:14">
      <c r="A862" s="144"/>
      <c r="B862" s="144"/>
      <c r="C862" s="144"/>
      <c r="D862" s="144"/>
      <c r="E862" s="150"/>
      <c r="F862" s="144"/>
      <c r="G862" s="144"/>
      <c r="H862" s="144"/>
      <c r="I862" s="146"/>
      <c r="J862" s="144"/>
      <c r="K862" s="144"/>
      <c r="L862" s="144"/>
      <c r="M862" s="144"/>
      <c r="N862" s="144"/>
    </row>
    <row r="863" spans="1:14">
      <c r="A863" s="144"/>
      <c r="B863" s="144"/>
      <c r="C863" s="144"/>
      <c r="D863" s="144"/>
      <c r="E863" s="150"/>
      <c r="F863" s="144"/>
      <c r="G863" s="144"/>
      <c r="H863" s="144"/>
      <c r="I863" s="146"/>
      <c r="J863" s="144"/>
      <c r="K863" s="144"/>
      <c r="L863" s="144"/>
      <c r="M863" s="144"/>
      <c r="N863" s="144"/>
    </row>
    <row r="864" spans="1:14">
      <c r="A864" s="144"/>
      <c r="B864" s="144"/>
      <c r="C864" s="144"/>
      <c r="D864" s="144"/>
      <c r="E864" s="150"/>
      <c r="F864" s="144"/>
      <c r="G864" s="144"/>
      <c r="H864" s="144"/>
      <c r="I864" s="146"/>
      <c r="J864" s="144"/>
      <c r="K864" s="144"/>
      <c r="L864" s="144"/>
      <c r="M864" s="144"/>
      <c r="N864" s="144"/>
    </row>
    <row r="865" spans="1:14">
      <c r="A865" s="144"/>
      <c r="B865" s="144"/>
      <c r="C865" s="144"/>
      <c r="D865" s="144"/>
      <c r="E865" s="150"/>
      <c r="F865" s="144"/>
      <c r="G865" s="144"/>
      <c r="H865" s="144"/>
      <c r="I865" s="146"/>
      <c r="J865" s="144"/>
      <c r="K865" s="144"/>
      <c r="L865" s="144"/>
      <c r="M865" s="144"/>
      <c r="N865" s="144"/>
    </row>
    <row r="866" spans="1:14">
      <c r="A866" s="144"/>
      <c r="B866" s="144"/>
      <c r="C866" s="144"/>
      <c r="D866" s="144"/>
      <c r="E866" s="150"/>
      <c r="F866" s="144"/>
      <c r="G866" s="144"/>
      <c r="H866" s="144"/>
      <c r="I866" s="146"/>
      <c r="J866" s="144"/>
      <c r="K866" s="144"/>
      <c r="L866" s="144"/>
      <c r="M866" s="144"/>
      <c r="N866" s="144"/>
    </row>
    <row r="867" spans="1:14">
      <c r="A867" s="144"/>
      <c r="B867" s="144"/>
      <c r="C867" s="144"/>
      <c r="D867" s="144"/>
      <c r="E867" s="150"/>
      <c r="F867" s="144"/>
      <c r="G867" s="144"/>
      <c r="H867" s="144"/>
      <c r="I867" s="146"/>
      <c r="J867" s="144"/>
      <c r="K867" s="144"/>
      <c r="L867" s="144"/>
      <c r="M867" s="144"/>
      <c r="N867" s="144"/>
    </row>
    <row r="868" spans="1:14">
      <c r="A868" s="144"/>
      <c r="B868" s="144"/>
      <c r="C868" s="144"/>
      <c r="D868" s="144"/>
      <c r="E868" s="150"/>
      <c r="F868" s="144"/>
      <c r="G868" s="144"/>
      <c r="H868" s="144"/>
      <c r="I868" s="146"/>
      <c r="J868" s="144"/>
      <c r="K868" s="144"/>
      <c r="L868" s="144"/>
      <c r="M868" s="144"/>
      <c r="N868" s="144"/>
    </row>
    <row r="869" spans="1:14">
      <c r="A869" s="144"/>
      <c r="B869" s="144"/>
      <c r="C869" s="144"/>
      <c r="D869" s="144"/>
      <c r="E869" s="150"/>
      <c r="F869" s="144"/>
      <c r="G869" s="144"/>
      <c r="H869" s="144"/>
      <c r="I869" s="146"/>
      <c r="J869" s="144"/>
      <c r="K869" s="144"/>
      <c r="L869" s="144"/>
      <c r="M869" s="144"/>
      <c r="N869" s="144"/>
    </row>
    <row r="870" spans="1:14">
      <c r="A870" s="144"/>
      <c r="B870" s="144"/>
      <c r="C870" s="144"/>
      <c r="D870" s="144"/>
      <c r="E870" s="150"/>
      <c r="F870" s="144"/>
      <c r="G870" s="144"/>
      <c r="H870" s="144"/>
      <c r="I870" s="146"/>
      <c r="J870" s="144"/>
      <c r="K870" s="144"/>
      <c r="L870" s="144"/>
      <c r="M870" s="144"/>
      <c r="N870" s="144"/>
    </row>
    <row r="871" spans="1:14">
      <c r="A871" s="144"/>
      <c r="B871" s="144"/>
      <c r="C871" s="144"/>
      <c r="D871" s="144"/>
      <c r="E871" s="150"/>
      <c r="F871" s="144"/>
      <c r="G871" s="144"/>
      <c r="H871" s="144"/>
      <c r="I871" s="146"/>
      <c r="J871" s="144"/>
      <c r="K871" s="144"/>
      <c r="L871" s="144"/>
      <c r="M871" s="144"/>
      <c r="N871" s="144"/>
    </row>
    <row r="872" spans="1:14">
      <c r="A872" s="144"/>
      <c r="B872" s="144"/>
      <c r="C872" s="144"/>
      <c r="D872" s="144"/>
      <c r="E872" s="150"/>
      <c r="F872" s="144"/>
      <c r="G872" s="144"/>
      <c r="H872" s="144"/>
      <c r="I872" s="146"/>
      <c r="J872" s="144"/>
      <c r="K872" s="144"/>
      <c r="L872" s="144"/>
      <c r="M872" s="144"/>
      <c r="N872" s="144"/>
    </row>
    <row r="873" spans="1:14">
      <c r="A873" s="144"/>
      <c r="B873" s="144"/>
      <c r="C873" s="144"/>
      <c r="D873" s="144"/>
      <c r="E873" s="150"/>
      <c r="F873" s="144"/>
      <c r="G873" s="144"/>
      <c r="H873" s="144"/>
      <c r="I873" s="146"/>
      <c r="J873" s="144"/>
      <c r="K873" s="144"/>
      <c r="L873" s="144"/>
      <c r="M873" s="144"/>
      <c r="N873" s="144"/>
    </row>
    <row r="874" spans="1:14">
      <c r="A874" s="144"/>
      <c r="B874" s="144"/>
      <c r="C874" s="144"/>
      <c r="D874" s="144"/>
      <c r="E874" s="150"/>
      <c r="F874" s="144"/>
      <c r="G874" s="144"/>
      <c r="H874" s="144"/>
      <c r="I874" s="146"/>
      <c r="J874" s="144"/>
      <c r="K874" s="144"/>
      <c r="L874" s="144"/>
      <c r="M874" s="144"/>
      <c r="N874" s="144"/>
    </row>
    <row r="875" spans="1:14">
      <c r="A875" s="144"/>
      <c r="B875" s="144"/>
      <c r="C875" s="144"/>
      <c r="D875" s="144"/>
      <c r="E875" s="150"/>
      <c r="F875" s="144"/>
      <c r="G875" s="144"/>
      <c r="H875" s="144"/>
      <c r="I875" s="146"/>
      <c r="J875" s="144"/>
      <c r="K875" s="144"/>
      <c r="L875" s="144"/>
      <c r="M875" s="144"/>
      <c r="N875" s="144"/>
    </row>
    <row r="876" spans="1:14">
      <c r="A876" s="144"/>
      <c r="B876" s="144"/>
      <c r="C876" s="144"/>
      <c r="D876" s="144"/>
      <c r="E876" s="150"/>
      <c r="F876" s="144"/>
      <c r="G876" s="144"/>
      <c r="H876" s="144"/>
      <c r="I876" s="146"/>
      <c r="J876" s="144"/>
      <c r="K876" s="144"/>
      <c r="L876" s="144"/>
      <c r="M876" s="144"/>
      <c r="N876" s="144"/>
    </row>
    <row r="877" spans="1:14">
      <c r="A877" s="144"/>
      <c r="B877" s="144"/>
      <c r="C877" s="144"/>
      <c r="D877" s="144"/>
      <c r="E877" s="150"/>
      <c r="F877" s="144"/>
      <c r="G877" s="144"/>
      <c r="H877" s="144"/>
      <c r="I877" s="146"/>
      <c r="J877" s="144"/>
      <c r="K877" s="144"/>
      <c r="L877" s="144"/>
      <c r="M877" s="144"/>
      <c r="N877" s="144"/>
    </row>
    <row r="878" spans="1:14">
      <c r="A878" s="144"/>
      <c r="B878" s="144"/>
      <c r="C878" s="144"/>
      <c r="D878" s="144"/>
      <c r="E878" s="150"/>
      <c r="F878" s="144"/>
      <c r="G878" s="144"/>
      <c r="H878" s="144"/>
      <c r="I878" s="146"/>
      <c r="J878" s="144"/>
      <c r="K878" s="144"/>
      <c r="L878" s="144"/>
      <c r="M878" s="144"/>
      <c r="N878" s="144"/>
    </row>
    <row r="879" spans="1:14">
      <c r="A879" s="144"/>
      <c r="B879" s="144"/>
      <c r="C879" s="144"/>
      <c r="D879" s="144"/>
      <c r="E879" s="150"/>
      <c r="F879" s="144"/>
      <c r="G879" s="144"/>
      <c r="H879" s="144"/>
      <c r="I879" s="146"/>
      <c r="J879" s="144"/>
      <c r="K879" s="144"/>
      <c r="L879" s="144"/>
      <c r="M879" s="144"/>
      <c r="N879" s="144"/>
    </row>
    <row r="880" spans="1:14">
      <c r="A880" s="144"/>
      <c r="B880" s="144"/>
      <c r="C880" s="144"/>
      <c r="D880" s="144"/>
      <c r="E880" s="150"/>
      <c r="F880" s="144"/>
      <c r="G880" s="144"/>
      <c r="H880" s="144"/>
      <c r="I880" s="146"/>
      <c r="J880" s="144"/>
      <c r="K880" s="144"/>
      <c r="L880" s="144"/>
      <c r="M880" s="144"/>
      <c r="N880" s="144"/>
    </row>
    <row r="881" spans="1:14">
      <c r="A881" s="144"/>
      <c r="B881" s="144"/>
      <c r="C881" s="144"/>
      <c r="D881" s="144"/>
      <c r="E881" s="150"/>
      <c r="F881" s="144"/>
      <c r="G881" s="144"/>
      <c r="H881" s="144"/>
      <c r="I881" s="146"/>
      <c r="J881" s="144"/>
      <c r="K881" s="144"/>
      <c r="L881" s="144"/>
      <c r="M881" s="144"/>
      <c r="N881" s="144"/>
    </row>
    <row r="882" spans="1:14">
      <c r="A882" s="144"/>
      <c r="B882" s="144"/>
      <c r="C882" s="144"/>
      <c r="D882" s="144"/>
      <c r="E882" s="150"/>
      <c r="F882" s="144"/>
      <c r="G882" s="144"/>
      <c r="H882" s="144"/>
      <c r="I882" s="146"/>
      <c r="J882" s="144"/>
      <c r="K882" s="144"/>
      <c r="L882" s="144"/>
      <c r="M882" s="144"/>
      <c r="N882" s="144"/>
    </row>
    <row r="883" spans="1:14">
      <c r="A883" s="144"/>
      <c r="B883" s="144"/>
      <c r="C883" s="144"/>
      <c r="D883" s="144"/>
      <c r="E883" s="150"/>
      <c r="F883" s="144"/>
      <c r="G883" s="144"/>
      <c r="H883" s="144"/>
      <c r="I883" s="146"/>
      <c r="J883" s="144"/>
      <c r="K883" s="144"/>
      <c r="L883" s="144"/>
      <c r="M883" s="144"/>
      <c r="N883" s="144"/>
    </row>
    <row r="884" spans="1:14">
      <c r="A884" s="144"/>
      <c r="B884" s="144"/>
      <c r="C884" s="144"/>
      <c r="D884" s="144"/>
      <c r="E884" s="150"/>
      <c r="F884" s="144"/>
      <c r="G884" s="144"/>
      <c r="H884" s="144"/>
      <c r="I884" s="146"/>
      <c r="J884" s="144"/>
      <c r="K884" s="144"/>
      <c r="L884" s="144"/>
      <c r="M884" s="144"/>
      <c r="N884" s="144"/>
    </row>
    <row r="885" spans="1:14">
      <c r="A885" s="144"/>
      <c r="B885" s="144"/>
      <c r="C885" s="144"/>
      <c r="D885" s="144"/>
      <c r="E885" s="150"/>
      <c r="F885" s="144"/>
      <c r="G885" s="144"/>
      <c r="H885" s="144"/>
      <c r="I885" s="146"/>
      <c r="J885" s="144"/>
      <c r="K885" s="144"/>
      <c r="L885" s="144"/>
      <c r="M885" s="144"/>
      <c r="N885" s="144"/>
    </row>
    <row r="886" spans="1:14">
      <c r="A886" s="144"/>
      <c r="B886" s="144"/>
      <c r="C886" s="144"/>
      <c r="D886" s="144"/>
      <c r="E886" s="150"/>
      <c r="F886" s="144"/>
      <c r="G886" s="144"/>
      <c r="H886" s="144"/>
      <c r="I886" s="146"/>
      <c r="J886" s="144"/>
      <c r="K886" s="144"/>
      <c r="L886" s="144"/>
      <c r="M886" s="144"/>
      <c r="N886" s="144"/>
    </row>
    <row r="887" spans="1:14">
      <c r="A887" s="144"/>
      <c r="B887" s="144"/>
      <c r="C887" s="144"/>
      <c r="D887" s="144"/>
      <c r="E887" s="150"/>
      <c r="F887" s="144"/>
      <c r="G887" s="144"/>
      <c r="H887" s="144"/>
      <c r="I887" s="146"/>
      <c r="J887" s="144"/>
      <c r="K887" s="144"/>
      <c r="L887" s="144"/>
      <c r="M887" s="144"/>
      <c r="N887" s="144"/>
    </row>
    <row r="888" spans="1:14">
      <c r="A888" s="144"/>
      <c r="B888" s="144"/>
      <c r="C888" s="144"/>
      <c r="D888" s="144"/>
      <c r="E888" s="150"/>
      <c r="F888" s="144"/>
      <c r="G888" s="144"/>
      <c r="H888" s="144"/>
      <c r="I888" s="146"/>
      <c r="J888" s="144"/>
      <c r="K888" s="144"/>
      <c r="L888" s="144"/>
      <c r="M888" s="144"/>
      <c r="N888" s="144"/>
    </row>
    <row r="889" spans="1:14">
      <c r="A889" s="144"/>
      <c r="B889" s="144"/>
      <c r="C889" s="144"/>
      <c r="D889" s="144"/>
      <c r="E889" s="150"/>
      <c r="F889" s="144"/>
      <c r="G889" s="144"/>
      <c r="H889" s="144"/>
      <c r="I889" s="146"/>
      <c r="J889" s="144"/>
      <c r="K889" s="144"/>
      <c r="L889" s="144"/>
      <c r="M889" s="144"/>
      <c r="N889" s="144"/>
    </row>
    <row r="890" spans="1:14">
      <c r="A890" s="144"/>
      <c r="B890" s="144"/>
      <c r="C890" s="144"/>
      <c r="D890" s="144"/>
      <c r="E890" s="150"/>
      <c r="F890" s="144"/>
      <c r="G890" s="144"/>
      <c r="H890" s="144"/>
      <c r="I890" s="146"/>
      <c r="J890" s="144"/>
      <c r="K890" s="144"/>
      <c r="L890" s="144"/>
      <c r="M890" s="144"/>
      <c r="N890" s="144"/>
    </row>
    <row r="891" spans="1:14">
      <c r="A891" s="144"/>
      <c r="B891" s="144"/>
      <c r="C891" s="144"/>
      <c r="D891" s="144"/>
      <c r="E891" s="150"/>
      <c r="F891" s="144"/>
      <c r="G891" s="144"/>
      <c r="H891" s="144"/>
      <c r="I891" s="146"/>
      <c r="J891" s="144"/>
      <c r="K891" s="144"/>
      <c r="L891" s="144"/>
      <c r="M891" s="144"/>
      <c r="N891" s="144"/>
    </row>
    <row r="892" spans="1:14">
      <c r="A892" s="144"/>
      <c r="B892" s="144"/>
      <c r="C892" s="144"/>
      <c r="D892" s="144"/>
      <c r="E892" s="150"/>
      <c r="F892" s="144"/>
      <c r="G892" s="144"/>
      <c r="H892" s="144"/>
      <c r="I892" s="146"/>
      <c r="J892" s="144"/>
      <c r="K892" s="144"/>
      <c r="L892" s="144"/>
      <c r="M892" s="144"/>
      <c r="N892" s="144"/>
    </row>
    <row r="893" spans="1:14">
      <c r="A893" s="144"/>
      <c r="B893" s="144"/>
      <c r="C893" s="144"/>
      <c r="D893" s="144"/>
      <c r="E893" s="150"/>
      <c r="F893" s="144"/>
      <c r="G893" s="144"/>
      <c r="H893" s="144"/>
      <c r="I893" s="146"/>
      <c r="J893" s="144"/>
      <c r="K893" s="144"/>
      <c r="L893" s="144"/>
      <c r="M893" s="144"/>
      <c r="N893" s="144"/>
    </row>
    <row r="894" spans="1:14">
      <c r="A894" s="144"/>
      <c r="B894" s="144"/>
      <c r="C894" s="144"/>
      <c r="D894" s="144"/>
      <c r="E894" s="150"/>
      <c r="F894" s="144"/>
      <c r="G894" s="144"/>
      <c r="H894" s="144"/>
      <c r="I894" s="146"/>
      <c r="J894" s="144"/>
      <c r="K894" s="144"/>
      <c r="L894" s="144"/>
      <c r="M894" s="144"/>
      <c r="N894" s="144"/>
    </row>
    <row r="895" spans="1:14">
      <c r="A895" s="144"/>
      <c r="B895" s="144"/>
      <c r="C895" s="144"/>
      <c r="D895" s="144"/>
      <c r="E895" s="150"/>
      <c r="F895" s="144"/>
      <c r="G895" s="144"/>
      <c r="H895" s="144"/>
      <c r="I895" s="146"/>
      <c r="J895" s="144"/>
      <c r="K895" s="144"/>
      <c r="L895" s="144"/>
      <c r="M895" s="144"/>
      <c r="N895" s="144"/>
    </row>
    <row r="896" spans="1:14">
      <c r="A896" s="144"/>
      <c r="B896" s="144"/>
      <c r="C896" s="144"/>
      <c r="D896" s="144"/>
      <c r="E896" s="150"/>
      <c r="F896" s="144"/>
      <c r="G896" s="144"/>
      <c r="H896" s="144"/>
      <c r="I896" s="146"/>
      <c r="J896" s="144"/>
      <c r="K896" s="144"/>
      <c r="L896" s="144"/>
      <c r="M896" s="144"/>
      <c r="N896" s="144"/>
    </row>
    <row r="897" spans="1:14">
      <c r="A897" s="144"/>
      <c r="B897" s="144"/>
      <c r="C897" s="144"/>
      <c r="D897" s="144"/>
      <c r="E897" s="150"/>
      <c r="F897" s="144"/>
      <c r="G897" s="144"/>
      <c r="H897" s="144"/>
      <c r="I897" s="146"/>
      <c r="J897" s="144"/>
      <c r="K897" s="144"/>
      <c r="L897" s="144"/>
      <c r="M897" s="144"/>
      <c r="N897" s="144"/>
    </row>
    <row r="898" spans="1:14">
      <c r="A898" s="144"/>
      <c r="B898" s="144"/>
      <c r="C898" s="144"/>
      <c r="D898" s="144"/>
      <c r="E898" s="150"/>
      <c r="F898" s="144"/>
      <c r="G898" s="144"/>
      <c r="H898" s="144"/>
      <c r="I898" s="146"/>
      <c r="J898" s="144"/>
      <c r="K898" s="144"/>
      <c r="L898" s="144"/>
      <c r="M898" s="144"/>
      <c r="N898" s="144"/>
    </row>
    <row r="899" spans="1:14">
      <c r="A899" s="144"/>
      <c r="B899" s="144"/>
      <c r="C899" s="144"/>
      <c r="D899" s="144"/>
      <c r="E899" s="150"/>
      <c r="F899" s="144"/>
      <c r="G899" s="144"/>
      <c r="H899" s="144"/>
      <c r="I899" s="146"/>
      <c r="J899" s="144"/>
      <c r="K899" s="144"/>
      <c r="L899" s="144"/>
      <c r="M899" s="144"/>
      <c r="N899" s="144"/>
    </row>
    <row r="900" spans="1:14">
      <c r="A900" s="144"/>
      <c r="B900" s="144"/>
      <c r="C900" s="144"/>
      <c r="D900" s="144"/>
      <c r="E900" s="150"/>
      <c r="F900" s="144"/>
      <c r="G900" s="144"/>
      <c r="H900" s="144"/>
      <c r="I900" s="146"/>
      <c r="J900" s="144"/>
      <c r="K900" s="144"/>
      <c r="L900" s="144"/>
      <c r="M900" s="144"/>
      <c r="N900" s="144"/>
    </row>
    <row r="901" spans="1:14">
      <c r="A901" s="144"/>
      <c r="B901" s="144"/>
      <c r="C901" s="144"/>
      <c r="D901" s="144"/>
      <c r="E901" s="150"/>
      <c r="F901" s="144"/>
      <c r="G901" s="144"/>
      <c r="H901" s="144"/>
      <c r="I901" s="146"/>
      <c r="J901" s="144"/>
      <c r="K901" s="144"/>
      <c r="L901" s="144"/>
      <c r="M901" s="144"/>
      <c r="N901" s="144"/>
    </row>
    <row r="902" spans="1:14">
      <c r="A902" s="144"/>
      <c r="B902" s="144"/>
      <c r="C902" s="144"/>
      <c r="D902" s="144"/>
      <c r="E902" s="150"/>
      <c r="F902" s="144"/>
      <c r="G902" s="144"/>
      <c r="H902" s="144"/>
      <c r="I902" s="146"/>
      <c r="J902" s="144"/>
      <c r="K902" s="144"/>
      <c r="L902" s="144"/>
      <c r="M902" s="144"/>
      <c r="N902" s="144"/>
    </row>
    <row r="903" spans="1:14">
      <c r="A903" s="144"/>
      <c r="B903" s="144"/>
      <c r="C903" s="144"/>
      <c r="D903" s="144"/>
      <c r="E903" s="150"/>
      <c r="F903" s="144"/>
      <c r="G903" s="144"/>
      <c r="H903" s="144"/>
      <c r="I903" s="146"/>
      <c r="J903" s="144"/>
      <c r="K903" s="144"/>
      <c r="L903" s="144"/>
      <c r="M903" s="144"/>
      <c r="N903" s="144"/>
    </row>
    <row r="904" spans="1:14">
      <c r="A904" s="144"/>
      <c r="B904" s="144"/>
      <c r="C904" s="144"/>
      <c r="D904" s="144"/>
      <c r="E904" s="150"/>
      <c r="F904" s="144"/>
      <c r="G904" s="144"/>
      <c r="H904" s="144"/>
      <c r="I904" s="146"/>
      <c r="J904" s="144"/>
      <c r="K904" s="144"/>
      <c r="L904" s="144"/>
      <c r="M904" s="144"/>
      <c r="N904" s="144"/>
    </row>
    <row r="905" spans="1:14">
      <c r="A905" s="144"/>
      <c r="B905" s="144"/>
      <c r="C905" s="144"/>
      <c r="D905" s="144"/>
      <c r="E905" s="150"/>
      <c r="F905" s="144"/>
      <c r="G905" s="144"/>
      <c r="H905" s="144"/>
      <c r="I905" s="146"/>
      <c r="J905" s="144"/>
      <c r="K905" s="144"/>
      <c r="L905" s="144"/>
      <c r="M905" s="144"/>
      <c r="N905" s="144"/>
    </row>
    <row r="906" spans="1:14">
      <c r="A906" s="144"/>
      <c r="B906" s="144"/>
      <c r="C906" s="144"/>
      <c r="D906" s="144"/>
      <c r="E906" s="150"/>
      <c r="F906" s="144"/>
      <c r="G906" s="144"/>
      <c r="H906" s="144"/>
      <c r="I906" s="146"/>
      <c r="J906" s="144"/>
      <c r="K906" s="144"/>
      <c r="L906" s="144"/>
      <c r="M906" s="144"/>
      <c r="N906" s="144"/>
    </row>
    <row r="907" spans="1:14">
      <c r="A907" s="144"/>
      <c r="B907" s="144"/>
      <c r="C907" s="144"/>
      <c r="D907" s="144"/>
      <c r="E907" s="150"/>
      <c r="F907" s="144"/>
      <c r="G907" s="144"/>
      <c r="H907" s="144"/>
      <c r="I907" s="146"/>
      <c r="J907" s="144"/>
      <c r="K907" s="144"/>
      <c r="L907" s="144"/>
      <c r="M907" s="144"/>
      <c r="N907" s="144"/>
    </row>
    <row r="908" spans="1:14">
      <c r="A908" s="144"/>
      <c r="B908" s="144"/>
      <c r="C908" s="144"/>
      <c r="D908" s="144"/>
      <c r="E908" s="150"/>
      <c r="F908" s="144"/>
      <c r="G908" s="144"/>
      <c r="H908" s="144"/>
      <c r="I908" s="146"/>
      <c r="J908" s="144"/>
      <c r="K908" s="144"/>
      <c r="L908" s="144"/>
      <c r="M908" s="144"/>
      <c r="N908" s="144"/>
    </row>
    <row r="909" spans="1:14">
      <c r="A909" s="144"/>
      <c r="B909" s="144"/>
      <c r="C909" s="144"/>
      <c r="D909" s="144"/>
      <c r="E909" s="150"/>
      <c r="F909" s="144"/>
      <c r="G909" s="144"/>
      <c r="H909" s="144"/>
      <c r="I909" s="146"/>
      <c r="J909" s="144"/>
      <c r="K909" s="144"/>
      <c r="L909" s="144"/>
      <c r="M909" s="144"/>
      <c r="N909" s="144"/>
    </row>
    <row r="910" spans="1:14">
      <c r="A910" s="144"/>
      <c r="B910" s="144"/>
      <c r="C910" s="144"/>
      <c r="D910" s="144"/>
      <c r="E910" s="150"/>
      <c r="F910" s="144"/>
      <c r="G910" s="144"/>
      <c r="H910" s="144"/>
      <c r="I910" s="146"/>
      <c r="J910" s="144"/>
      <c r="K910" s="144"/>
      <c r="L910" s="144"/>
      <c r="M910" s="144"/>
      <c r="N910" s="144"/>
    </row>
    <row r="911" spans="1:14">
      <c r="A911" s="144"/>
      <c r="B911" s="144"/>
      <c r="C911" s="144"/>
      <c r="D911" s="144"/>
      <c r="E911" s="150"/>
      <c r="F911" s="144"/>
      <c r="G911" s="144"/>
      <c r="H911" s="144"/>
      <c r="I911" s="146"/>
      <c r="J911" s="144"/>
      <c r="K911" s="144"/>
      <c r="L911" s="144"/>
      <c r="M911" s="144"/>
      <c r="N911" s="144"/>
    </row>
    <row r="912" spans="1:14">
      <c r="A912" s="144"/>
      <c r="B912" s="144"/>
      <c r="C912" s="144"/>
      <c r="D912" s="144"/>
      <c r="E912" s="150"/>
      <c r="F912" s="144"/>
      <c r="G912" s="144"/>
      <c r="H912" s="144"/>
      <c r="I912" s="146"/>
      <c r="J912" s="144"/>
      <c r="K912" s="144"/>
      <c r="L912" s="144"/>
      <c r="M912" s="144"/>
      <c r="N912" s="144"/>
    </row>
    <row r="913" spans="1:14">
      <c r="A913" s="144"/>
      <c r="B913" s="144"/>
      <c r="C913" s="144"/>
      <c r="D913" s="144"/>
      <c r="E913" s="150"/>
      <c r="F913" s="144"/>
      <c r="G913" s="144"/>
      <c r="H913" s="144"/>
      <c r="I913" s="146"/>
      <c r="J913" s="144"/>
      <c r="K913" s="144"/>
      <c r="L913" s="144"/>
      <c r="M913" s="144"/>
      <c r="N913" s="144"/>
    </row>
    <row r="914" spans="1:14">
      <c r="A914" s="144"/>
      <c r="B914" s="144"/>
      <c r="C914" s="144"/>
      <c r="D914" s="144"/>
      <c r="E914" s="150"/>
      <c r="F914" s="144"/>
      <c r="G914" s="144"/>
      <c r="H914" s="144"/>
      <c r="I914" s="146"/>
      <c r="J914" s="144"/>
      <c r="K914" s="144"/>
      <c r="L914" s="144"/>
      <c r="M914" s="144"/>
      <c r="N914" s="144"/>
    </row>
    <row r="915" spans="1:14">
      <c r="A915" s="144"/>
      <c r="B915" s="144"/>
      <c r="C915" s="144"/>
      <c r="D915" s="144"/>
      <c r="E915" s="150"/>
      <c r="F915" s="144"/>
      <c r="G915" s="144"/>
      <c r="H915" s="144"/>
      <c r="I915" s="146"/>
      <c r="J915" s="144"/>
      <c r="K915" s="144"/>
      <c r="L915" s="144"/>
      <c r="M915" s="144"/>
      <c r="N915" s="144"/>
    </row>
    <row r="916" spans="1:14">
      <c r="A916" s="144"/>
      <c r="B916" s="144"/>
      <c r="C916" s="144"/>
      <c r="D916" s="144"/>
      <c r="E916" s="150"/>
      <c r="F916" s="144"/>
      <c r="G916" s="144"/>
      <c r="H916" s="144"/>
      <c r="I916" s="146"/>
      <c r="J916" s="144"/>
      <c r="K916" s="144"/>
      <c r="L916" s="144"/>
      <c r="M916" s="144"/>
      <c r="N916" s="144"/>
    </row>
    <row r="917" spans="1:14">
      <c r="A917" s="144"/>
      <c r="B917" s="144"/>
      <c r="C917" s="144"/>
      <c r="D917" s="144"/>
      <c r="E917" s="150"/>
      <c r="F917" s="144"/>
      <c r="G917" s="144"/>
      <c r="H917" s="144"/>
      <c r="I917" s="146"/>
      <c r="J917" s="144"/>
      <c r="K917" s="144"/>
      <c r="L917" s="144"/>
      <c r="M917" s="144"/>
      <c r="N917" s="144"/>
    </row>
  </sheetData>
  <pageMargins left="0.7" right="0.7" top="0.75" bottom="0.75" header="0.3" footer="0.3"/>
  <pageSetup orientation="portrait" horizontalDpi="0" verticalDpi="0"/>
  <ignoredErrors>
    <ignoredError sqref="E2:E528" twoDigitTextYea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B13F-08AE-7D40-B64B-B2663422628E}">
  <sheetPr codeName="Sheet3"/>
  <dimension ref="A1:K739"/>
  <sheetViews>
    <sheetView workbookViewId="0"/>
  </sheetViews>
  <sheetFormatPr baseColWidth="10" defaultRowHeight="16"/>
  <cols>
    <col min="1" max="1" width="31.83203125" bestFit="1" customWidth="1"/>
    <col min="2" max="4" width="31.83203125" hidden="1" customWidth="1"/>
    <col min="5" max="5" width="0" hidden="1" customWidth="1"/>
    <col min="6" max="6" width="7.6640625" bestFit="1" customWidth="1"/>
    <col min="7" max="7" width="6.33203125" bestFit="1" customWidth="1"/>
    <col min="8" max="8" width="11.6640625" customWidth="1"/>
    <col min="10" max="10" width="29.5" customWidth="1"/>
  </cols>
  <sheetData>
    <row r="1" spans="1:10">
      <c r="A1" t="s">
        <v>506</v>
      </c>
      <c r="B1" t="s">
        <v>529</v>
      </c>
      <c r="C1" t="s">
        <v>186</v>
      </c>
      <c r="D1" t="s">
        <v>530</v>
      </c>
      <c r="E1" t="s">
        <v>34</v>
      </c>
      <c r="F1" t="s">
        <v>37</v>
      </c>
      <c r="G1" t="s">
        <v>297</v>
      </c>
      <c r="H1" t="s">
        <v>296</v>
      </c>
      <c r="J1" t="s">
        <v>36</v>
      </c>
    </row>
    <row r="2" spans="1:10">
      <c r="A2" s="8" t="s">
        <v>5</v>
      </c>
      <c r="F2" t="s">
        <v>50</v>
      </c>
    </row>
    <row r="3" spans="1:10">
      <c r="A3" t="s">
        <v>38</v>
      </c>
      <c r="J3" t="str">
        <f t="shared" ref="J3:J14" si="0">IF(AND(F3="",G3=""),A3,"")</f>
        <v xml:space="preserve">Catalog Creation / Onboarding </v>
      </c>
    </row>
    <row r="4" spans="1:10">
      <c r="A4" t="s">
        <v>39</v>
      </c>
      <c r="J4" t="str">
        <f t="shared" si="0"/>
        <v>Catalog Data Quality Control</v>
      </c>
    </row>
    <row r="5" spans="1:10">
      <c r="A5" t="s">
        <v>40</v>
      </c>
      <c r="J5" t="str">
        <f t="shared" si="0"/>
        <v xml:space="preserve">Catalog Maintenance </v>
      </c>
    </row>
    <row r="6" spans="1:10">
      <c r="A6" t="s">
        <v>41</v>
      </c>
      <c r="J6" t="str">
        <f t="shared" si="0"/>
        <v>Catalog Approvals</v>
      </c>
    </row>
    <row r="7" spans="1:10">
      <c r="A7" t="s">
        <v>42</v>
      </c>
      <c r="J7" t="str">
        <f t="shared" si="0"/>
        <v xml:space="preserve">Catalog Objects </v>
      </c>
    </row>
    <row r="8" spans="1:10">
      <c r="A8" t="s">
        <v>43</v>
      </c>
      <c r="J8" t="str">
        <f t="shared" si="0"/>
        <v>Catalog Mobility</v>
      </c>
    </row>
    <row r="9" spans="1:10">
      <c r="A9" t="s">
        <v>44</v>
      </c>
      <c r="J9" t="str">
        <f t="shared" si="0"/>
        <v>Catalog Analytics</v>
      </c>
    </row>
    <row r="10" spans="1:10">
      <c r="A10" t="s">
        <v>45</v>
      </c>
      <c r="J10" t="str">
        <f t="shared" si="0"/>
        <v>Catalog Roadmap</v>
      </c>
    </row>
    <row r="11" spans="1:10">
      <c r="A11" t="s">
        <v>46</v>
      </c>
      <c r="J11" t="str">
        <f t="shared" si="0"/>
        <v>Catalog Contracts</v>
      </c>
    </row>
    <row r="12" spans="1:10">
      <c r="A12" t="s">
        <v>47</v>
      </c>
      <c r="J12" t="str">
        <f t="shared" si="0"/>
        <v>On-Premise Software Option</v>
      </c>
    </row>
    <row r="13" spans="1:10">
      <c r="A13" t="s">
        <v>48</v>
      </c>
      <c r="J13" t="str">
        <f t="shared" si="0"/>
        <v>Internet Shopping / Catalog Visibility</v>
      </c>
    </row>
    <row r="14" spans="1:10">
      <c r="A14" t="s">
        <v>49</v>
      </c>
      <c r="J14" t="str">
        <f t="shared" si="0"/>
        <v xml:space="preserve">Catalog "Secret Sauce" </v>
      </c>
    </row>
    <row r="15" spans="1:10">
      <c r="A15" s="8" t="s">
        <v>6</v>
      </c>
      <c r="F15" t="s">
        <v>50</v>
      </c>
    </row>
    <row r="16" spans="1:10">
      <c r="A16" t="s">
        <v>51</v>
      </c>
      <c r="J16" t="str">
        <f t="shared" ref="J16:J38" si="1">IF(AND(F16="",G16=""),A16,"")</f>
        <v>Requisitioning Set Up</v>
      </c>
    </row>
    <row r="17" spans="1:10">
      <c r="A17" t="s">
        <v>52</v>
      </c>
      <c r="J17" t="str">
        <f t="shared" si="1"/>
        <v>Marketplace User Interface</v>
      </c>
    </row>
    <row r="18" spans="1:10">
      <c r="A18" t="s">
        <v>53</v>
      </c>
      <c r="J18" t="str">
        <f t="shared" si="1"/>
        <v xml:space="preserve">Markeplace Dashboard </v>
      </c>
    </row>
    <row r="19" spans="1:10">
      <c r="A19" t="s">
        <v>54</v>
      </c>
      <c r="J19" t="str">
        <f t="shared" si="1"/>
        <v>Profiles</v>
      </c>
    </row>
    <row r="20" spans="1:10">
      <c r="A20" t="s">
        <v>55</v>
      </c>
      <c r="J20" t="str">
        <f t="shared" si="1"/>
        <v>Search Engine</v>
      </c>
    </row>
    <row r="21" spans="1:10">
      <c r="A21" t="s">
        <v>56</v>
      </c>
      <c r="J21" t="str">
        <f t="shared" si="1"/>
        <v>Third-Party Content</v>
      </c>
    </row>
    <row r="22" spans="1:10">
      <c r="A22" t="s">
        <v>57</v>
      </c>
      <c r="J22" t="str">
        <f t="shared" si="1"/>
        <v>Requisitioning Process</v>
      </c>
    </row>
    <row r="23" spans="1:10">
      <c r="A23" t="s">
        <v>58</v>
      </c>
      <c r="J23" t="str">
        <f t="shared" si="1"/>
        <v>Systems Integration</v>
      </c>
    </row>
    <row r="24" spans="1:10">
      <c r="A24" t="s">
        <v>59</v>
      </c>
      <c r="J24" t="str">
        <f t="shared" si="1"/>
        <v>Non-Catalog / Services Requisitions</v>
      </c>
    </row>
    <row r="25" spans="1:10">
      <c r="A25" t="s">
        <v>60</v>
      </c>
      <c r="J25" t="str">
        <f t="shared" si="1"/>
        <v>Preferred Supplier Management</v>
      </c>
    </row>
    <row r="26" spans="1:10">
      <c r="A26" t="s">
        <v>61</v>
      </c>
      <c r="J26" t="str">
        <f t="shared" si="1"/>
        <v>Repetitive Requisitions</v>
      </c>
    </row>
    <row r="27" spans="1:10">
      <c r="A27" t="s">
        <v>62</v>
      </c>
      <c r="J27" t="str">
        <f t="shared" si="1"/>
        <v xml:space="preserve">Help &amp; Support </v>
      </c>
    </row>
    <row r="28" spans="1:10">
      <c r="A28" t="s">
        <v>63</v>
      </c>
      <c r="J28" t="str">
        <f t="shared" si="1"/>
        <v>Shopping Cart / Checkout Process</v>
      </c>
    </row>
    <row r="29" spans="1:10">
      <c r="A29" t="s">
        <v>64</v>
      </c>
      <c r="J29" t="str">
        <f t="shared" si="1"/>
        <v>Approval Process / Approval Engine</v>
      </c>
    </row>
    <row r="30" spans="1:10">
      <c r="A30" t="s">
        <v>65</v>
      </c>
      <c r="J30" t="str">
        <f t="shared" si="1"/>
        <v xml:space="preserve">Guided Buying </v>
      </c>
    </row>
    <row r="31" spans="1:10">
      <c r="A31" t="s">
        <v>66</v>
      </c>
      <c r="J31" t="str">
        <f t="shared" si="1"/>
        <v>Sourcing Integration</v>
      </c>
    </row>
    <row r="32" spans="1:10">
      <c r="A32" t="s">
        <v>67</v>
      </c>
      <c r="J32" t="str">
        <f t="shared" si="1"/>
        <v>Requisitioning Budget Checking Process</v>
      </c>
    </row>
    <row r="33" spans="1:10">
      <c r="A33" t="s">
        <v>68</v>
      </c>
      <c r="J33" t="str">
        <f t="shared" si="1"/>
        <v>Requisitioning Inventory Checking Process</v>
      </c>
    </row>
    <row r="34" spans="1:10">
      <c r="A34" t="s">
        <v>69</v>
      </c>
      <c r="J34" t="str">
        <f t="shared" si="1"/>
        <v>Mobility</v>
      </c>
    </row>
    <row r="35" spans="1:10">
      <c r="A35" t="s">
        <v>32</v>
      </c>
      <c r="J35" t="str">
        <f t="shared" si="1"/>
        <v>Analytics</v>
      </c>
    </row>
    <row r="36" spans="1:10">
      <c r="A36" t="s">
        <v>70</v>
      </c>
      <c r="J36" t="str">
        <f t="shared" si="1"/>
        <v>Multi-Currency / Languages</v>
      </c>
    </row>
    <row r="37" spans="1:10">
      <c r="A37" t="s">
        <v>71</v>
      </c>
      <c r="J37" t="str">
        <f t="shared" si="1"/>
        <v>Requisition Roadmap</v>
      </c>
    </row>
    <row r="38" spans="1:10">
      <c r="A38" t="s">
        <v>47</v>
      </c>
      <c r="J38" t="str">
        <f t="shared" si="1"/>
        <v>On-Premise Software Option</v>
      </c>
    </row>
    <row r="39" spans="1:10">
      <c r="A39" s="8" t="s">
        <v>7</v>
      </c>
      <c r="F39" t="s">
        <v>50</v>
      </c>
    </row>
    <row r="40" spans="1:10">
      <c r="A40" t="s">
        <v>72</v>
      </c>
      <c r="J40" t="str">
        <f t="shared" ref="J40:J53" si="2">IF(AND(F40="",G40=""),A40,"")</f>
        <v xml:space="preserve">Order Setup </v>
      </c>
    </row>
    <row r="41" spans="1:10">
      <c r="A41" t="s">
        <v>73</v>
      </c>
      <c r="J41" t="str">
        <f t="shared" si="2"/>
        <v xml:space="preserve">Order Creation </v>
      </c>
    </row>
    <row r="42" spans="1:10">
      <c r="A42" t="s">
        <v>74</v>
      </c>
      <c r="J42" t="str">
        <f t="shared" si="2"/>
        <v>Contract Compliance</v>
      </c>
    </row>
    <row r="43" spans="1:10">
      <c r="A43" t="s">
        <v>75</v>
      </c>
      <c r="J43" t="str">
        <f t="shared" si="2"/>
        <v>Extensibility</v>
      </c>
    </row>
    <row r="44" spans="1:10">
      <c r="A44" t="s">
        <v>76</v>
      </c>
      <c r="J44" t="str">
        <f t="shared" si="2"/>
        <v>Order Processing (buy-side)</v>
      </c>
    </row>
    <row r="45" spans="1:10">
      <c r="A45" t="s">
        <v>77</v>
      </c>
      <c r="J45" t="str">
        <f t="shared" si="2"/>
        <v>Order Delivery / Communication</v>
      </c>
    </row>
    <row r="46" spans="1:10">
      <c r="A46" t="s">
        <v>78</v>
      </c>
      <c r="J46" t="str">
        <f t="shared" si="2"/>
        <v>Order Collaboration (buyer/supplier)</v>
      </c>
    </row>
    <row r="47" spans="1:10">
      <c r="A47" t="s">
        <v>79</v>
      </c>
      <c r="J47" t="str">
        <f t="shared" si="2"/>
        <v>Order Processing (supply-side)</v>
      </c>
    </row>
    <row r="48" spans="1:10">
      <c r="A48" t="s">
        <v>80</v>
      </c>
      <c r="J48" t="str">
        <f t="shared" si="2"/>
        <v>Services Procurement Integration</v>
      </c>
    </row>
    <row r="49" spans="1:10">
      <c r="A49" t="s">
        <v>81</v>
      </c>
      <c r="J49" t="str">
        <f t="shared" si="2"/>
        <v>International Trade and Logistics</v>
      </c>
    </row>
    <row r="50" spans="1:10">
      <c r="A50" t="s">
        <v>82</v>
      </c>
      <c r="J50" t="str">
        <f t="shared" si="2"/>
        <v>PO Mobility</v>
      </c>
    </row>
    <row r="51" spans="1:10">
      <c r="A51" t="s">
        <v>83</v>
      </c>
      <c r="J51" t="str">
        <f t="shared" si="2"/>
        <v>PO Analytics</v>
      </c>
    </row>
    <row r="52" spans="1:10">
      <c r="A52" t="s">
        <v>84</v>
      </c>
      <c r="J52" t="str">
        <f t="shared" si="2"/>
        <v xml:space="preserve">Multi-languages &amp; currencies </v>
      </c>
    </row>
    <row r="53" spans="1:10">
      <c r="A53" t="s">
        <v>85</v>
      </c>
      <c r="J53" t="str">
        <f t="shared" si="2"/>
        <v>PO Roadmap</v>
      </c>
    </row>
    <row r="54" spans="1:10">
      <c r="A54" s="8" t="s">
        <v>8</v>
      </c>
      <c r="F54" t="s">
        <v>50</v>
      </c>
    </row>
    <row r="55" spans="1:10">
      <c r="A55" t="s">
        <v>86</v>
      </c>
      <c r="J55" t="str">
        <f t="shared" ref="J55:J62" si="3">IF(AND(F55="",G55=""),A55,"")</f>
        <v xml:space="preserve">Receiving Setup </v>
      </c>
    </row>
    <row r="56" spans="1:10">
      <c r="A56" t="s">
        <v>87</v>
      </c>
      <c r="J56" t="str">
        <f t="shared" si="3"/>
        <v xml:space="preserve">Fulfillment </v>
      </c>
    </row>
    <row r="57" spans="1:10">
      <c r="A57" t="s">
        <v>88</v>
      </c>
      <c r="J57" t="str">
        <f t="shared" si="3"/>
        <v>Receiving Process</v>
      </c>
    </row>
    <row r="58" spans="1:10">
      <c r="A58" t="s">
        <v>89</v>
      </c>
      <c r="J58" t="str">
        <f t="shared" si="3"/>
        <v xml:space="preserve">Receiving Integration </v>
      </c>
    </row>
    <row r="59" spans="1:10">
      <c r="A59" t="s">
        <v>90</v>
      </c>
      <c r="J59" t="str">
        <f t="shared" si="3"/>
        <v>Receiving Mobility</v>
      </c>
    </row>
    <row r="60" spans="1:10">
      <c r="A60" t="s">
        <v>91</v>
      </c>
      <c r="J60" t="str">
        <f t="shared" si="3"/>
        <v>Receiving Analytics</v>
      </c>
    </row>
    <row r="61" spans="1:10">
      <c r="A61" t="s">
        <v>92</v>
      </c>
      <c r="J61" t="str">
        <f t="shared" si="3"/>
        <v>Receiving Roadmap</v>
      </c>
    </row>
    <row r="62" spans="1:10">
      <c r="A62" t="s">
        <v>81</v>
      </c>
      <c r="J62" t="str">
        <f t="shared" si="3"/>
        <v>International Trade and Logistics</v>
      </c>
    </row>
    <row r="63" spans="1:10">
      <c r="A63" s="8" t="s">
        <v>9</v>
      </c>
      <c r="F63" t="s">
        <v>50</v>
      </c>
    </row>
    <row r="64" spans="1:10">
      <c r="A64" t="s">
        <v>93</v>
      </c>
      <c r="J64" t="str">
        <f t="shared" ref="J64:J72" si="4">IF(AND(F64="",G64=""),A64,"")</f>
        <v>Supplier Onboarding</v>
      </c>
    </row>
    <row r="65" spans="1:10">
      <c r="A65" t="s">
        <v>94</v>
      </c>
      <c r="J65" t="str">
        <f t="shared" si="4"/>
        <v>Supplier Information Management</v>
      </c>
    </row>
    <row r="66" spans="1:10">
      <c r="A66" t="s">
        <v>95</v>
      </c>
      <c r="J66" t="str">
        <f t="shared" si="4"/>
        <v>Supplier Performance and Risk Management</v>
      </c>
    </row>
    <row r="67" spans="1:10">
      <c r="A67" t="s">
        <v>96</v>
      </c>
      <c r="J67" t="str">
        <f t="shared" si="4"/>
        <v>Catalog Management</v>
      </c>
    </row>
    <row r="68" spans="1:10">
      <c r="A68" t="s">
        <v>97</v>
      </c>
      <c r="J68" t="str">
        <f t="shared" si="4"/>
        <v>Order Management</v>
      </c>
    </row>
    <row r="69" spans="1:10">
      <c r="A69" t="s">
        <v>13</v>
      </c>
      <c r="J69" t="str">
        <f t="shared" si="4"/>
        <v>Invoicing</v>
      </c>
    </row>
    <row r="70" spans="1:10">
      <c r="A70" t="s">
        <v>98</v>
      </c>
      <c r="J70" t="str">
        <f t="shared" si="4"/>
        <v>Other Supplier Network Value-Added Services</v>
      </c>
    </row>
    <row r="71" spans="1:10">
      <c r="A71" t="s">
        <v>99</v>
      </c>
      <c r="J71" t="str">
        <f t="shared" si="4"/>
        <v>Ability to Connect to Multiple Supplier/Business Networks</v>
      </c>
    </row>
    <row r="72" spans="1:10">
      <c r="A72" t="s">
        <v>100</v>
      </c>
      <c r="J72" t="str">
        <f t="shared" si="4"/>
        <v>Other Capabilities</v>
      </c>
    </row>
    <row r="73" spans="1:10">
      <c r="A73" s="8" t="s">
        <v>10</v>
      </c>
      <c r="F73" t="s">
        <v>50</v>
      </c>
    </row>
    <row r="74" spans="1:10">
      <c r="A74" t="s">
        <v>101</v>
      </c>
      <c r="J74" t="str">
        <f t="shared" ref="J74:J80" si="5">IF(AND(F74="",G74=""),A74,"")</f>
        <v>P2P Configuration Set Up</v>
      </c>
    </row>
    <row r="75" spans="1:10">
      <c r="A75" t="s">
        <v>362</v>
      </c>
      <c r="J75" t="str">
        <f t="shared" si="5"/>
        <v>Business Rules / Workflow</v>
      </c>
    </row>
    <row r="76" spans="1:10">
      <c r="A76" t="s">
        <v>102</v>
      </c>
      <c r="J76" t="str">
        <f t="shared" si="5"/>
        <v xml:space="preserve">Multi-Currency </v>
      </c>
    </row>
    <row r="77" spans="1:10">
      <c r="A77" t="s">
        <v>288</v>
      </c>
      <c r="J77" t="str">
        <f t="shared" si="5"/>
        <v>Business User Configuration</v>
      </c>
    </row>
    <row r="78" spans="1:10">
      <c r="A78" t="s">
        <v>104</v>
      </c>
      <c r="J78" t="str">
        <f t="shared" si="5"/>
        <v>Technical Configuration</v>
      </c>
    </row>
    <row r="79" spans="1:10">
      <c r="A79" t="s">
        <v>105</v>
      </c>
      <c r="J79" t="str">
        <f t="shared" si="5"/>
        <v>Vendor/Consultant Configuration</v>
      </c>
    </row>
    <row r="80" spans="1:10">
      <c r="A80" t="s">
        <v>106</v>
      </c>
      <c r="J80" t="str">
        <f t="shared" si="5"/>
        <v>Customizations</v>
      </c>
    </row>
    <row r="81" spans="1:10">
      <c r="A81" s="8" t="s">
        <v>11</v>
      </c>
      <c r="F81" t="s">
        <v>50</v>
      </c>
    </row>
    <row r="82" spans="1:10">
      <c r="A82" t="s">
        <v>107</v>
      </c>
      <c r="J82" t="str">
        <f t="shared" ref="J82:J94" si="6">IF(AND(F82="",G82=""),A82,"")</f>
        <v xml:space="preserve">Cloud </v>
      </c>
    </row>
    <row r="83" spans="1:10">
      <c r="A83" t="s">
        <v>47</v>
      </c>
      <c r="J83" t="str">
        <f t="shared" si="6"/>
        <v>On-Premise Software Option</v>
      </c>
    </row>
    <row r="84" spans="1:10">
      <c r="A84" t="s">
        <v>108</v>
      </c>
      <c r="J84" t="str">
        <f t="shared" si="6"/>
        <v>Robotics / AI / Machine Learning</v>
      </c>
    </row>
    <row r="85" spans="1:10">
      <c r="A85" t="s">
        <v>353</v>
      </c>
      <c r="J85" t="str">
        <f t="shared" si="6"/>
        <v>Big Data</v>
      </c>
    </row>
    <row r="86" spans="1:10">
      <c r="A86" t="s">
        <v>109</v>
      </c>
      <c r="J86" t="str">
        <f t="shared" si="6"/>
        <v>Block chain</v>
      </c>
    </row>
    <row r="87" spans="1:10">
      <c r="A87" t="s">
        <v>355</v>
      </c>
      <c r="J87" t="str">
        <f t="shared" si="6"/>
        <v>Mobile</v>
      </c>
    </row>
    <row r="88" spans="1:10">
      <c r="A88" t="s">
        <v>110</v>
      </c>
      <c r="J88" t="str">
        <f t="shared" si="6"/>
        <v>Internet of Things (IoT)</v>
      </c>
    </row>
    <row r="89" spans="1:10">
      <c r="A89" t="s">
        <v>111</v>
      </c>
      <c r="J89" t="str">
        <f t="shared" si="6"/>
        <v>OCR / Scanners</v>
      </c>
    </row>
    <row r="90" spans="1:10">
      <c r="A90" t="s">
        <v>112</v>
      </c>
      <c r="J90" t="str">
        <f t="shared" si="6"/>
        <v>Intelligent Apps</v>
      </c>
    </row>
    <row r="91" spans="1:10">
      <c r="A91" t="s">
        <v>113</v>
      </c>
      <c r="J91" t="str">
        <f t="shared" si="6"/>
        <v>Conversational Systems</v>
      </c>
    </row>
    <row r="92" spans="1:10">
      <c r="A92" t="s">
        <v>114</v>
      </c>
      <c r="J92" t="str">
        <f t="shared" si="6"/>
        <v>Personalization</v>
      </c>
    </row>
    <row r="93" spans="1:10">
      <c r="A93" t="s">
        <v>115</v>
      </c>
      <c r="J93" t="str">
        <f t="shared" si="6"/>
        <v>Open Standards</v>
      </c>
    </row>
    <row r="94" spans="1:10">
      <c r="A94" t="s">
        <v>116</v>
      </c>
      <c r="J94" t="str">
        <f t="shared" si="6"/>
        <v>Integrations</v>
      </c>
    </row>
    <row r="95" spans="1:10">
      <c r="A95" s="8" t="s">
        <v>12</v>
      </c>
      <c r="F95" t="s">
        <v>50</v>
      </c>
    </row>
    <row r="96" spans="1:10">
      <c r="A96" t="s">
        <v>117</v>
      </c>
      <c r="J96" t="str">
        <f>IF(AND(F96="",G96=""),A96,"")</f>
        <v>Data Management Services</v>
      </c>
    </row>
    <row r="97" spans="1:10">
      <c r="A97" t="s">
        <v>118</v>
      </c>
      <c r="J97" t="str">
        <f>IF(AND(F97="",G97=""),A97,"")</f>
        <v>Managed Services / Co-Sourcing / Outsourcing</v>
      </c>
    </row>
    <row r="98" spans="1:10">
      <c r="A98" t="s">
        <v>119</v>
      </c>
      <c r="J98" t="str">
        <f>IF(AND(F98="",G98=""),A98,"")</f>
        <v>Consulting / Change Management</v>
      </c>
    </row>
    <row r="99" spans="1:10">
      <c r="A99" s="8" t="s">
        <v>13</v>
      </c>
      <c r="F99" t="s">
        <v>50</v>
      </c>
    </row>
    <row r="100" spans="1:10">
      <c r="A100" t="s">
        <v>120</v>
      </c>
      <c r="J100" t="str">
        <f t="shared" ref="J100:J109" si="7">IF(AND(F100="",G100=""),A100,"")</f>
        <v xml:space="preserve">Invoicing Setup </v>
      </c>
    </row>
    <row r="101" spans="1:10">
      <c r="A101" t="s">
        <v>121</v>
      </c>
      <c r="J101" t="str">
        <f t="shared" si="7"/>
        <v>Invoice Creation / Capturing / submission</v>
      </c>
    </row>
    <row r="102" spans="1:10">
      <c r="A102" t="s">
        <v>122</v>
      </c>
      <c r="J102" t="str">
        <f t="shared" si="7"/>
        <v>Services Invoicing &amp; Contract Invoicing</v>
      </c>
    </row>
    <row r="103" spans="1:10">
      <c r="A103" t="s">
        <v>123</v>
      </c>
      <c r="J103" t="str">
        <f t="shared" si="7"/>
        <v>Invoice Collaboration</v>
      </c>
    </row>
    <row r="104" spans="1:10">
      <c r="A104" t="s">
        <v>124</v>
      </c>
      <c r="J104" t="str">
        <f t="shared" si="7"/>
        <v>Invoice Validation / Approvals</v>
      </c>
    </row>
    <row r="105" spans="1:10">
      <c r="A105" t="s">
        <v>125</v>
      </c>
      <c r="J105" t="str">
        <f t="shared" si="7"/>
        <v xml:space="preserve">Invoice Integrations </v>
      </c>
    </row>
    <row r="106" spans="1:10">
      <c r="A106" t="s">
        <v>126</v>
      </c>
      <c r="J106" t="str">
        <f t="shared" si="7"/>
        <v>Invoice Compliance</v>
      </c>
    </row>
    <row r="107" spans="1:10">
      <c r="A107" t="s">
        <v>127</v>
      </c>
      <c r="J107" t="str">
        <f t="shared" si="7"/>
        <v>Invoice Mobility</v>
      </c>
    </row>
    <row r="108" spans="1:10">
      <c r="A108" t="s">
        <v>128</v>
      </c>
      <c r="J108" t="str">
        <f t="shared" si="7"/>
        <v>Invoicing Analytics</v>
      </c>
    </row>
    <row r="109" spans="1:10">
      <c r="A109" t="s">
        <v>129</v>
      </c>
      <c r="J109" t="str">
        <f t="shared" si="7"/>
        <v>Invoicing Roadmap</v>
      </c>
    </row>
    <row r="110" spans="1:10">
      <c r="A110" s="8" t="s">
        <v>14</v>
      </c>
      <c r="F110" t="s">
        <v>50</v>
      </c>
    </row>
    <row r="111" spans="1:10">
      <c r="A111" t="s">
        <v>130</v>
      </c>
      <c r="J111" t="str">
        <f t="shared" ref="J111:J117" si="8">IF(AND(F111="",G111=""),A111,"")</f>
        <v xml:space="preserve">Payment Methods </v>
      </c>
    </row>
    <row r="112" spans="1:10">
      <c r="A112" t="s">
        <v>131</v>
      </c>
      <c r="J112" t="str">
        <f t="shared" si="8"/>
        <v>Payment Processing</v>
      </c>
    </row>
    <row r="113" spans="1:10">
      <c r="A113" t="s">
        <v>132</v>
      </c>
      <c r="J113" t="str">
        <f t="shared" si="8"/>
        <v>Payment Cards</v>
      </c>
    </row>
    <row r="114" spans="1:10">
      <c r="A114" t="s">
        <v>133</v>
      </c>
      <c r="J114" t="str">
        <f t="shared" si="8"/>
        <v>Financing On-Boarding</v>
      </c>
    </row>
    <row r="115" spans="1:10">
      <c r="A115" t="s">
        <v>134</v>
      </c>
      <c r="J115" t="str">
        <f t="shared" si="8"/>
        <v xml:space="preserve">Trade Financing (Receivables and Payables Financing)  </v>
      </c>
    </row>
    <row r="116" spans="1:10">
      <c r="A116" t="s">
        <v>135</v>
      </c>
      <c r="J116" t="str">
        <f t="shared" si="8"/>
        <v>Collaboration</v>
      </c>
    </row>
    <row r="117" spans="1:10">
      <c r="A117" t="s">
        <v>136</v>
      </c>
      <c r="J117" t="str">
        <f t="shared" si="8"/>
        <v>Financing Analytics</v>
      </c>
    </row>
    <row r="118" spans="1:10">
      <c r="A118" s="9" t="s">
        <v>15</v>
      </c>
      <c r="F118" t="s">
        <v>50</v>
      </c>
    </row>
    <row r="119" spans="1:10">
      <c r="A119" s="11" t="s">
        <v>504</v>
      </c>
      <c r="G119" t="s">
        <v>50</v>
      </c>
    </row>
    <row r="120" spans="1:10" ht="32">
      <c r="A120" s="10" t="s">
        <v>137</v>
      </c>
      <c r="H120" t="s">
        <v>50</v>
      </c>
      <c r="J120" t="str">
        <f t="shared" ref="J120:J126" si="9">IF(AND(F120="",G120=""),A120,"")</f>
        <v>Arbitrary Categorization in Spend Analysis</v>
      </c>
    </row>
    <row r="121" spans="1:10">
      <c r="A121" s="10" t="s">
        <v>138</v>
      </c>
      <c r="H121" t="s">
        <v>50</v>
      </c>
      <c r="J121" t="str">
        <f t="shared" si="9"/>
        <v>Category Benchmarks</v>
      </c>
    </row>
    <row r="122" spans="1:10" ht="32">
      <c r="A122" s="10" t="s">
        <v>139</v>
      </c>
      <c r="H122" t="s">
        <v>50</v>
      </c>
      <c r="J122" t="str">
        <f t="shared" si="9"/>
        <v>Trend Analysis and Demand Forecasting</v>
      </c>
    </row>
    <row r="123" spans="1:10">
      <c r="A123" s="10" t="s">
        <v>140</v>
      </c>
      <c r="H123" t="s">
        <v>50</v>
      </c>
      <c r="J123" t="str">
        <f t="shared" si="9"/>
        <v>Category Sourcing Plans/Templates</v>
      </c>
    </row>
    <row r="124" spans="1:10">
      <c r="A124" s="10" t="s">
        <v>141</v>
      </c>
      <c r="H124" t="s">
        <v>50</v>
      </c>
      <c r="J124" t="str">
        <f t="shared" si="9"/>
        <v>Benchmarking</v>
      </c>
    </row>
    <row r="125" spans="1:10">
      <c r="A125" s="10" t="s">
        <v>142</v>
      </c>
      <c r="H125" t="s">
        <v>50</v>
      </c>
      <c r="J125" t="str">
        <f t="shared" si="9"/>
        <v>Tracking / Scorecard Integration</v>
      </c>
    </row>
    <row r="126" spans="1:10">
      <c r="A126" s="10" t="s">
        <v>143</v>
      </c>
      <c r="H126" t="s">
        <v>50</v>
      </c>
      <c r="J126" t="str">
        <f t="shared" si="9"/>
        <v>Prescriptive Analytics</v>
      </c>
    </row>
    <row r="127" spans="1:10">
      <c r="A127" s="11" t="s">
        <v>144</v>
      </c>
      <c r="G127" t="s">
        <v>50</v>
      </c>
    </row>
    <row r="128" spans="1:10">
      <c r="A128" s="10" t="s">
        <v>145</v>
      </c>
      <c r="H128" t="s">
        <v>50</v>
      </c>
      <c r="J128" t="str">
        <f t="shared" ref="J128:J133" si="10">IF(AND(F128="",G128=""),A128,"")</f>
        <v>Basic Should Cost Modelling</v>
      </c>
    </row>
    <row r="129" spans="1:10">
      <c r="A129" s="10" t="s">
        <v>146</v>
      </c>
      <c r="H129" t="s">
        <v>50</v>
      </c>
      <c r="J129" t="str">
        <f t="shared" si="10"/>
        <v>Market Data Feeds</v>
      </c>
    </row>
    <row r="130" spans="1:10">
      <c r="A130" s="10" t="s">
        <v>147</v>
      </c>
      <c r="H130" t="s">
        <v>50</v>
      </c>
      <c r="J130" t="str">
        <f t="shared" si="10"/>
        <v>Benchmarks</v>
      </c>
    </row>
    <row r="131" spans="1:10">
      <c r="A131" s="10" t="s">
        <v>148</v>
      </c>
      <c r="H131" t="s">
        <v>50</v>
      </c>
      <c r="J131" t="str">
        <f t="shared" si="10"/>
        <v>Bill of Material Support</v>
      </c>
    </row>
    <row r="132" spans="1:10">
      <c r="A132" s="10" t="s">
        <v>149</v>
      </c>
      <c r="H132" t="s">
        <v>50</v>
      </c>
      <c r="J132" t="str">
        <f t="shared" si="10"/>
        <v>Formula Support</v>
      </c>
    </row>
    <row r="133" spans="1:10">
      <c r="A133" s="10" t="s">
        <v>150</v>
      </c>
      <c r="H133" t="s">
        <v>50</v>
      </c>
      <c r="J133" t="str">
        <f t="shared" si="10"/>
        <v>Templates</v>
      </c>
    </row>
    <row r="134" spans="1:10">
      <c r="A134" s="9" t="s">
        <v>16</v>
      </c>
      <c r="F134" t="s">
        <v>50</v>
      </c>
    </row>
    <row r="135" spans="1:10">
      <c r="A135" s="10" t="s">
        <v>151</v>
      </c>
      <c r="J135" t="str">
        <f t="shared" ref="J135:J141" si="11">IF(AND(F135="",G135=""),A135,"")</f>
        <v>Sourcing Strategy Definition</v>
      </c>
    </row>
    <row r="136" spans="1:10" ht="32">
      <c r="A136" s="10" t="s">
        <v>152</v>
      </c>
      <c r="J136" t="str">
        <f t="shared" si="11"/>
        <v>Task, Timeline, and Milestone Definition</v>
      </c>
    </row>
    <row r="137" spans="1:10">
      <c r="A137" s="10" t="s">
        <v>153</v>
      </c>
      <c r="J137" t="str">
        <f t="shared" si="11"/>
        <v>Role-Based Team Definition</v>
      </c>
    </row>
    <row r="138" spans="1:10">
      <c r="A138" s="10" t="s">
        <v>154</v>
      </c>
      <c r="J138" t="str">
        <f t="shared" si="11"/>
        <v>Workflow Integration</v>
      </c>
    </row>
    <row r="139" spans="1:10">
      <c r="A139" s="10" t="s">
        <v>155</v>
      </c>
      <c r="J139" t="str">
        <f t="shared" si="11"/>
        <v>Approvals and Sign-Offs</v>
      </c>
    </row>
    <row r="140" spans="1:10">
      <c r="A140" s="10" t="s">
        <v>156</v>
      </c>
      <c r="J140" t="str">
        <f t="shared" si="11"/>
        <v>Budget and Demand Definition</v>
      </c>
    </row>
    <row r="141" spans="1:10">
      <c r="A141" s="10" t="s">
        <v>157</v>
      </c>
      <c r="J141" t="str">
        <f t="shared" si="11"/>
        <v>Execution Support</v>
      </c>
    </row>
    <row r="142" spans="1:10">
      <c r="A142" s="9" t="s">
        <v>17</v>
      </c>
      <c r="F142" t="s">
        <v>50</v>
      </c>
    </row>
    <row r="143" spans="1:10">
      <c r="A143" s="10" t="s">
        <v>158</v>
      </c>
      <c r="J143" t="str">
        <f t="shared" ref="J143:J153" si="12">IF(AND(F143="",G143=""),A143,"")</f>
        <v>Single Sign-On</v>
      </c>
    </row>
    <row r="144" spans="1:10" ht="32">
      <c r="A144" s="10" t="s">
        <v>159</v>
      </c>
      <c r="J144" t="str">
        <f t="shared" si="12"/>
        <v>Distributed Supplier RFX Response Management</v>
      </c>
    </row>
    <row r="145" spans="1:10" ht="32">
      <c r="A145" s="10" t="s">
        <v>160</v>
      </c>
      <c r="J145" t="str">
        <f t="shared" si="12"/>
        <v>Distributed Supplier Auction Management</v>
      </c>
    </row>
    <row r="146" spans="1:10">
      <c r="A146" s="10" t="s">
        <v>161</v>
      </c>
      <c r="J146" t="str">
        <f t="shared" si="12"/>
        <v>Result/Award Notification</v>
      </c>
    </row>
    <row r="147" spans="1:10">
      <c r="A147" s="10" t="s">
        <v>162</v>
      </c>
      <c r="J147" t="str">
        <f t="shared" si="12"/>
        <v>Contract Negotiation Management</v>
      </c>
    </row>
    <row r="148" spans="1:10">
      <c r="A148" s="10" t="s">
        <v>94</v>
      </c>
      <c r="J148" t="str">
        <f t="shared" si="12"/>
        <v>Supplier Information Management</v>
      </c>
    </row>
    <row r="149" spans="1:10">
      <c r="A149" s="10" t="s">
        <v>163</v>
      </c>
      <c r="J149" t="str">
        <f t="shared" si="12"/>
        <v>Scorecards</v>
      </c>
    </row>
    <row r="150" spans="1:10">
      <c r="A150" s="10" t="s">
        <v>164</v>
      </c>
      <c r="J150" t="str">
        <f t="shared" si="12"/>
        <v>Corrective Action Management</v>
      </c>
    </row>
    <row r="151" spans="1:10">
      <c r="A151" s="10" t="s">
        <v>93</v>
      </c>
      <c r="J151" t="str">
        <f t="shared" si="12"/>
        <v>Supplier Onboarding</v>
      </c>
    </row>
    <row r="152" spans="1:10">
      <c r="A152" s="10" t="s">
        <v>165</v>
      </c>
      <c r="J152" t="str">
        <f t="shared" si="12"/>
        <v>Invitation Management</v>
      </c>
    </row>
    <row r="153" spans="1:10">
      <c r="A153" s="10" t="s">
        <v>166</v>
      </c>
      <c r="J153" t="str">
        <f t="shared" si="12"/>
        <v>Self Registration</v>
      </c>
    </row>
    <row r="154" spans="1:10">
      <c r="A154" s="9" t="s">
        <v>18</v>
      </c>
      <c r="F154" t="s">
        <v>50</v>
      </c>
    </row>
    <row r="155" spans="1:10">
      <c r="A155" s="10" t="s">
        <v>167</v>
      </c>
      <c r="J155" t="str">
        <f t="shared" ref="J155:J169" si="13">IF(AND(F155="",G155=""),A155,"")</f>
        <v>ETL Support</v>
      </c>
    </row>
    <row r="156" spans="1:10">
      <c r="A156" s="10" t="s">
        <v>168</v>
      </c>
      <c r="J156" t="str">
        <f t="shared" si="13"/>
        <v>ERP Integration</v>
      </c>
    </row>
    <row r="157" spans="1:10">
      <c r="A157" s="10" t="s">
        <v>169</v>
      </c>
      <c r="J157" t="str">
        <f t="shared" si="13"/>
        <v>P2P/S2P Integration</v>
      </c>
    </row>
    <row r="158" spans="1:10">
      <c r="A158" s="10" t="s">
        <v>170</v>
      </c>
      <c r="J158" t="str">
        <f t="shared" si="13"/>
        <v>3rd Party Feeds</v>
      </c>
    </row>
    <row r="159" spans="1:10">
      <c r="A159" s="10" t="s">
        <v>171</v>
      </c>
      <c r="J159" t="str">
        <f t="shared" si="13"/>
        <v>Cleansing</v>
      </c>
    </row>
    <row r="160" spans="1:10" ht="32">
      <c r="A160" s="10" t="s">
        <v>172</v>
      </c>
      <c r="J160" t="str">
        <f t="shared" si="13"/>
        <v>Automatic data correction based on known fields</v>
      </c>
    </row>
    <row r="161" spans="1:10" ht="32">
      <c r="A161" s="10" t="s">
        <v>173</v>
      </c>
      <c r="J161" t="str">
        <f t="shared" si="13"/>
        <v>Simple rules for automatic correction based on common errors</v>
      </c>
    </row>
    <row r="162" spans="1:10" ht="32">
      <c r="A162" s="10" t="s">
        <v>174</v>
      </c>
      <c r="J162" t="str">
        <f t="shared" si="13"/>
        <v>Advanced rules for correction based on industry data</v>
      </c>
    </row>
    <row r="163" spans="1:10">
      <c r="A163" s="10" t="s">
        <v>175</v>
      </c>
      <c r="J163" t="str">
        <f t="shared" si="13"/>
        <v>Categorization</v>
      </c>
    </row>
    <row r="164" spans="1:10" ht="32">
      <c r="A164" s="10" t="s">
        <v>176</v>
      </c>
      <c r="J164" t="str">
        <f t="shared" si="13"/>
        <v>Built in Schemas (UNSPSC, Best in Class, etc.)</v>
      </c>
    </row>
    <row r="165" spans="1:10">
      <c r="A165" s="10" t="s">
        <v>177</v>
      </c>
      <c r="J165" t="str">
        <f t="shared" si="13"/>
        <v>AI</v>
      </c>
    </row>
    <row r="166" spans="1:10" ht="32">
      <c r="A166" s="10" t="s">
        <v>178</v>
      </c>
      <c r="J166" t="str">
        <f t="shared" si="13"/>
        <v>Out-of-the-Box Reports and Analytics</v>
      </c>
    </row>
    <row r="167" spans="1:10">
      <c r="A167" s="10" t="s">
        <v>179</v>
      </c>
      <c r="J167" t="str">
        <f t="shared" si="13"/>
        <v>Standard Spend Reports</v>
      </c>
    </row>
    <row r="168" spans="1:10">
      <c r="A168" s="10" t="s">
        <v>180</v>
      </c>
      <c r="J168" t="str">
        <f t="shared" si="13"/>
        <v>Customization Capability</v>
      </c>
    </row>
    <row r="169" spans="1:10">
      <c r="A169" s="10" t="s">
        <v>181</v>
      </c>
      <c r="J169" t="str">
        <f t="shared" si="13"/>
        <v>Report Builder</v>
      </c>
    </row>
    <row r="170" spans="1:10">
      <c r="A170" s="9" t="s">
        <v>182</v>
      </c>
      <c r="F170" t="s">
        <v>50</v>
      </c>
    </row>
    <row r="171" spans="1:10">
      <c r="A171" s="11" t="s">
        <v>182</v>
      </c>
      <c r="G171" t="s">
        <v>505</v>
      </c>
    </row>
    <row r="172" spans="1:10">
      <c r="A172" s="10" t="s">
        <v>183</v>
      </c>
      <c r="H172" t="s">
        <v>50</v>
      </c>
      <c r="J172" t="str">
        <f t="shared" ref="J172:J207" si="14">IF(AND(F172="",G172=""),A172,"")</f>
        <v>Creation Methodology</v>
      </c>
    </row>
    <row r="173" spans="1:10">
      <c r="A173" s="10" t="s">
        <v>184</v>
      </c>
      <c r="H173" t="s">
        <v>50</v>
      </c>
      <c r="J173" t="str">
        <f t="shared" si="14"/>
        <v>Components</v>
      </c>
    </row>
    <row r="174" spans="1:10">
      <c r="A174" s="10" t="s">
        <v>150</v>
      </c>
      <c r="H174" t="s">
        <v>50</v>
      </c>
      <c r="J174" t="str">
        <f t="shared" si="14"/>
        <v>Templates</v>
      </c>
    </row>
    <row r="175" spans="1:10">
      <c r="A175" s="10" t="s">
        <v>185</v>
      </c>
      <c r="H175" t="s">
        <v>50</v>
      </c>
      <c r="J175" t="str">
        <f t="shared" si="14"/>
        <v>Template Library</v>
      </c>
    </row>
    <row r="176" spans="1:10">
      <c r="A176" s="10" t="s">
        <v>186</v>
      </c>
      <c r="H176" t="s">
        <v>50</v>
      </c>
      <c r="J176" t="str">
        <f t="shared" si="14"/>
        <v>Category</v>
      </c>
    </row>
    <row r="177" spans="1:10">
      <c r="A177" s="10" t="s">
        <v>187</v>
      </c>
      <c r="H177" t="s">
        <v>50</v>
      </c>
      <c r="J177" t="str">
        <f t="shared" si="14"/>
        <v>Industry</v>
      </c>
    </row>
    <row r="178" spans="1:10">
      <c r="A178" s="10" t="s">
        <v>188</v>
      </c>
      <c r="H178" t="s">
        <v>50</v>
      </c>
      <c r="J178" t="str">
        <f t="shared" si="14"/>
        <v>Weighting</v>
      </c>
    </row>
    <row r="179" spans="1:10">
      <c r="A179" s="10" t="s">
        <v>189</v>
      </c>
      <c r="H179" t="s">
        <v>50</v>
      </c>
      <c r="J179" t="str">
        <f t="shared" si="14"/>
        <v>Formula Based</v>
      </c>
    </row>
    <row r="180" spans="1:10">
      <c r="A180" s="10" t="s">
        <v>190</v>
      </c>
      <c r="H180" t="s">
        <v>50</v>
      </c>
      <c r="J180" t="str">
        <f t="shared" si="14"/>
        <v>Optimization Backed</v>
      </c>
    </row>
    <row r="181" spans="1:10">
      <c r="A181" s="10" t="s">
        <v>191</v>
      </c>
      <c r="H181" t="s">
        <v>50</v>
      </c>
      <c r="J181" t="str">
        <f t="shared" si="14"/>
        <v>Multi-Party</v>
      </c>
    </row>
    <row r="182" spans="1:10">
      <c r="A182" s="10" t="s">
        <v>192</v>
      </c>
      <c r="H182" t="s">
        <v>50</v>
      </c>
      <c r="J182" t="str">
        <f t="shared" si="14"/>
        <v>Advanced Scoring</v>
      </c>
    </row>
    <row r="183" spans="1:10">
      <c r="A183" s="10" t="s">
        <v>193</v>
      </c>
      <c r="H183" t="s">
        <v>50</v>
      </c>
      <c r="J183" t="str">
        <f t="shared" si="14"/>
        <v>Documentary Support</v>
      </c>
    </row>
    <row r="184" spans="1:10" ht="32">
      <c r="A184" s="10" t="s">
        <v>194</v>
      </c>
      <c r="H184" t="s">
        <v>50</v>
      </c>
      <c r="J184" t="str">
        <f t="shared" si="14"/>
        <v>Unlimited Attachments w/ Revision Control</v>
      </c>
    </row>
    <row r="185" spans="1:10">
      <c r="A185" s="10" t="s">
        <v>195</v>
      </c>
      <c r="H185" t="s">
        <v>50</v>
      </c>
      <c r="J185" t="str">
        <f t="shared" si="14"/>
        <v>Bulk Upload and Association</v>
      </c>
    </row>
    <row r="186" spans="1:10">
      <c r="A186" s="10" t="s">
        <v>196</v>
      </c>
      <c r="H186" t="s">
        <v>50</v>
      </c>
      <c r="J186" t="str">
        <f t="shared" si="14"/>
        <v>CAD/CAM Visualization Support</v>
      </c>
    </row>
    <row r="187" spans="1:10">
      <c r="A187" s="10" t="s">
        <v>135</v>
      </c>
      <c r="H187" t="s">
        <v>50</v>
      </c>
      <c r="J187" t="str">
        <f t="shared" si="14"/>
        <v>Collaboration</v>
      </c>
    </row>
    <row r="188" spans="1:10">
      <c r="A188" s="10" t="s">
        <v>197</v>
      </c>
      <c r="H188" t="s">
        <v>50</v>
      </c>
      <c r="J188" t="str">
        <f t="shared" si="14"/>
        <v>Real Time Messaging</v>
      </c>
    </row>
    <row r="189" spans="1:10">
      <c r="A189" s="10" t="s">
        <v>198</v>
      </c>
      <c r="H189" t="s">
        <v>50</v>
      </c>
      <c r="J189" t="str">
        <f t="shared" si="14"/>
        <v>Virtual Whiteboard Integration</v>
      </c>
    </row>
    <row r="190" spans="1:10">
      <c r="A190" s="10" t="s">
        <v>199</v>
      </c>
      <c r="H190" t="s">
        <v>50</v>
      </c>
      <c r="J190" t="str">
        <f t="shared" si="14"/>
        <v>Other Party View Support</v>
      </c>
    </row>
    <row r="191" spans="1:10">
      <c r="A191" s="10" t="s">
        <v>200</v>
      </c>
      <c r="H191" t="s">
        <v>50</v>
      </c>
      <c r="J191" t="str">
        <f t="shared" si="14"/>
        <v>Screen Sharing</v>
      </c>
    </row>
    <row r="192" spans="1:10">
      <c r="A192" s="10" t="s">
        <v>148</v>
      </c>
      <c r="H192" t="s">
        <v>50</v>
      </c>
      <c r="J192" t="str">
        <f t="shared" si="14"/>
        <v>Bill of Material Support</v>
      </c>
    </row>
    <row r="193" spans="1:10">
      <c r="A193" s="10" t="s">
        <v>168</v>
      </c>
      <c r="H193" t="s">
        <v>50</v>
      </c>
      <c r="J193" t="str">
        <f t="shared" si="14"/>
        <v>ERP Integration</v>
      </c>
    </row>
    <row r="194" spans="1:10">
      <c r="A194" s="10" t="s">
        <v>201</v>
      </c>
      <c r="H194" t="s">
        <v>50</v>
      </c>
      <c r="J194" t="str">
        <f t="shared" si="14"/>
        <v>Multi-SKU Mapping</v>
      </c>
    </row>
    <row r="195" spans="1:10">
      <c r="A195" s="10" t="s">
        <v>202</v>
      </c>
      <c r="H195" t="s">
        <v>50</v>
      </c>
      <c r="J195" t="str">
        <f t="shared" si="14"/>
        <v>Automatic Supplier Identification</v>
      </c>
    </row>
    <row r="196" spans="1:10">
      <c r="A196" s="10" t="s">
        <v>203</v>
      </c>
      <c r="H196" t="s">
        <v>50</v>
      </c>
      <c r="J196" t="str">
        <f t="shared" si="14"/>
        <v>from SIM</v>
      </c>
    </row>
    <row r="197" spans="1:10">
      <c r="A197" s="10" t="s">
        <v>204</v>
      </c>
      <c r="H197" t="s">
        <v>50</v>
      </c>
      <c r="J197" t="str">
        <f t="shared" si="14"/>
        <v>from Supplier Network</v>
      </c>
    </row>
    <row r="198" spans="1:10">
      <c r="A198" s="10" t="s">
        <v>205</v>
      </c>
      <c r="H198" t="s">
        <v>50</v>
      </c>
      <c r="J198" t="str">
        <f t="shared" si="14"/>
        <v>Bidding</v>
      </c>
    </row>
    <row r="199" spans="1:10">
      <c r="A199" s="10" t="s">
        <v>206</v>
      </c>
      <c r="H199" t="s">
        <v>50</v>
      </c>
      <c r="J199" t="str">
        <f t="shared" si="14"/>
        <v>Open, Blind, or Closed</v>
      </c>
    </row>
    <row r="200" spans="1:10">
      <c r="A200" s="10" t="s">
        <v>207</v>
      </c>
      <c r="H200" t="s">
        <v>50</v>
      </c>
      <c r="J200" t="str">
        <f t="shared" si="14"/>
        <v>Multiple Offers Per Line</v>
      </c>
    </row>
    <row r="201" spans="1:10">
      <c r="A201" s="11" t="s">
        <v>208</v>
      </c>
      <c r="G201" t="s">
        <v>50</v>
      </c>
      <c r="J201" t="str">
        <f t="shared" si="14"/>
        <v/>
      </c>
    </row>
    <row r="202" spans="1:10">
      <c r="A202" s="10" t="s">
        <v>209</v>
      </c>
      <c r="H202" t="s">
        <v>50</v>
      </c>
      <c r="J202" t="str">
        <f t="shared" si="14"/>
        <v>Multi-Party Support</v>
      </c>
    </row>
    <row r="203" spans="1:10">
      <c r="A203" s="10" t="s">
        <v>210</v>
      </c>
      <c r="H203" t="s">
        <v>50</v>
      </c>
      <c r="J203" t="str">
        <f t="shared" si="14"/>
        <v>Each Field Single or Multi-User Rank</v>
      </c>
    </row>
    <row r="204" spans="1:10">
      <c r="A204" s="10" t="s">
        <v>211</v>
      </c>
      <c r="H204" t="s">
        <v>50</v>
      </c>
      <c r="J204" t="str">
        <f t="shared" si="14"/>
        <v>Side-by-Side Comparison</v>
      </c>
    </row>
    <row r="205" spans="1:10">
      <c r="A205" s="11" t="s">
        <v>212</v>
      </c>
      <c r="G205" t="s">
        <v>50</v>
      </c>
      <c r="J205" t="str">
        <f t="shared" si="14"/>
        <v/>
      </c>
    </row>
    <row r="206" spans="1:10">
      <c r="A206" s="10" t="s">
        <v>213</v>
      </c>
      <c r="H206" t="s">
        <v>50</v>
      </c>
      <c r="J206" t="str">
        <f t="shared" si="14"/>
        <v>Pause, Edit, Re-Issue</v>
      </c>
    </row>
    <row r="207" spans="1:10">
      <c r="A207" s="10" t="s">
        <v>214</v>
      </c>
      <c r="H207" t="s">
        <v>50</v>
      </c>
      <c r="J207" t="str">
        <f t="shared" si="14"/>
        <v>Multi-Round Support</v>
      </c>
    </row>
    <row r="208" spans="1:10">
      <c r="A208" s="11" t="s">
        <v>215</v>
      </c>
      <c r="G208" t="s">
        <v>50</v>
      </c>
    </row>
    <row r="209" spans="1:10">
      <c r="A209" s="10" t="s">
        <v>216</v>
      </c>
      <c r="H209" t="s">
        <v>50</v>
      </c>
      <c r="J209" t="str">
        <f t="shared" ref="J209:J218" si="15">IF(AND(F209="",G209=""),A209,"")</f>
        <v>Out-of-the-Box Auction Formats</v>
      </c>
    </row>
    <row r="210" spans="1:10">
      <c r="A210" s="10" t="s">
        <v>217</v>
      </c>
      <c r="H210" t="s">
        <v>50</v>
      </c>
      <c r="J210" t="str">
        <f t="shared" si="15"/>
        <v>Configuration Options</v>
      </c>
    </row>
    <row r="211" spans="1:10">
      <c r="A211" s="10" t="s">
        <v>218</v>
      </c>
      <c r="H211" t="s">
        <v>50</v>
      </c>
      <c r="J211" t="str">
        <f t="shared" si="15"/>
        <v>Saved Market Baskets</v>
      </c>
    </row>
    <row r="212" spans="1:10">
      <c r="A212" s="10" t="s">
        <v>219</v>
      </c>
      <c r="H212" t="s">
        <v>50</v>
      </c>
      <c r="J212" t="str">
        <f t="shared" si="15"/>
        <v>RFX Integration</v>
      </c>
    </row>
    <row r="213" spans="1:10">
      <c r="A213" s="10" t="s">
        <v>220</v>
      </c>
      <c r="H213" t="s">
        <v>50</v>
      </c>
      <c r="J213" t="str">
        <f t="shared" si="15"/>
        <v>Real-Time Control Mechanisms</v>
      </c>
    </row>
    <row r="214" spans="1:10">
      <c r="A214" s="10" t="s">
        <v>221</v>
      </c>
      <c r="H214" t="s">
        <v>50</v>
      </c>
      <c r="J214" t="str">
        <f t="shared" si="15"/>
        <v>Proxy Support</v>
      </c>
    </row>
    <row r="215" spans="1:10">
      <c r="A215" s="10" t="s">
        <v>222</v>
      </c>
      <c r="H215" t="s">
        <v>50</v>
      </c>
      <c r="J215" t="str">
        <f t="shared" si="15"/>
        <v>Messaging</v>
      </c>
    </row>
    <row r="216" spans="1:10">
      <c r="A216" s="10" t="s">
        <v>223</v>
      </c>
      <c r="H216" t="s">
        <v>50</v>
      </c>
      <c r="J216" t="str">
        <f t="shared" si="15"/>
        <v>Real-Time Monitoring</v>
      </c>
    </row>
    <row r="217" spans="1:10">
      <c r="A217" s="10" t="s">
        <v>224</v>
      </c>
      <c r="H217" t="s">
        <v>50</v>
      </c>
      <c r="J217" t="str">
        <f t="shared" si="15"/>
        <v>Integrated Optimization Capability</v>
      </c>
    </row>
    <row r="218" spans="1:10" ht="32">
      <c r="A218" s="10" t="s">
        <v>225</v>
      </c>
      <c r="H218" t="s">
        <v>50</v>
      </c>
      <c r="J218" t="str">
        <f t="shared" si="15"/>
        <v>Automatic Supplier Identification/Invitation</v>
      </c>
    </row>
    <row r="219" spans="1:10">
      <c r="A219" s="9" t="s">
        <v>20</v>
      </c>
      <c r="F219" t="s">
        <v>50</v>
      </c>
    </row>
    <row r="220" spans="1:10">
      <c r="A220" s="10" t="s">
        <v>226</v>
      </c>
      <c r="J220" t="str">
        <f t="shared" ref="J220:J235" si="16">IF(AND(F220="",G220=""),A220,"")</f>
        <v>Solid Mathematical Foundations</v>
      </c>
    </row>
    <row r="221" spans="1:10">
      <c r="A221" s="10" t="s">
        <v>227</v>
      </c>
      <c r="J221" t="str">
        <f t="shared" si="16"/>
        <v>True Cost Modelling</v>
      </c>
    </row>
    <row r="222" spans="1:10">
      <c r="A222" s="10" t="s">
        <v>228</v>
      </c>
      <c r="J222" t="str">
        <f t="shared" si="16"/>
        <v>Capacity</v>
      </c>
    </row>
    <row r="223" spans="1:10">
      <c r="A223" s="10" t="s">
        <v>229</v>
      </c>
      <c r="J223" t="str">
        <f t="shared" si="16"/>
        <v>Allocation</v>
      </c>
    </row>
    <row r="224" spans="1:10">
      <c r="A224" s="10" t="s">
        <v>230</v>
      </c>
      <c r="J224" t="str">
        <f t="shared" si="16"/>
        <v>Risk Mitigation</v>
      </c>
    </row>
    <row r="225" spans="1:10">
      <c r="A225" s="10" t="s">
        <v>231</v>
      </c>
      <c r="J225" t="str">
        <f t="shared" si="16"/>
        <v>Qualitative</v>
      </c>
    </row>
    <row r="226" spans="1:10">
      <c r="A226" s="10" t="s">
        <v>232</v>
      </c>
      <c r="J226" t="str">
        <f t="shared" si="16"/>
        <v>What If? Capability</v>
      </c>
    </row>
    <row r="227" spans="1:10">
      <c r="A227" s="10" t="s">
        <v>233</v>
      </c>
      <c r="J227" t="str">
        <f t="shared" si="16"/>
        <v>Out-of-the-Box</v>
      </c>
    </row>
    <row r="228" spans="1:10">
      <c r="A228" s="10" t="s">
        <v>234</v>
      </c>
      <c r="J228" t="str">
        <f t="shared" si="16"/>
        <v>Constraint Relaxation</v>
      </c>
    </row>
    <row r="229" spans="1:10">
      <c r="A229" s="10" t="s">
        <v>235</v>
      </c>
      <c r="J229" t="str">
        <f t="shared" si="16"/>
        <v>Scenario Comparison</v>
      </c>
    </row>
    <row r="230" spans="1:10">
      <c r="A230" s="10" t="s">
        <v>236</v>
      </c>
      <c r="J230" t="str">
        <f t="shared" si="16"/>
        <v>Sensitivity Analysis</v>
      </c>
    </row>
    <row r="231" spans="1:10">
      <c r="A231" s="10" t="s">
        <v>237</v>
      </c>
      <c r="J231" t="str">
        <f t="shared" si="16"/>
        <v>Hard Constraint Identification</v>
      </c>
    </row>
    <row r="232" spans="1:10">
      <c r="A232" s="10" t="s">
        <v>238</v>
      </c>
      <c r="J232" t="str">
        <f t="shared" si="16"/>
        <v>Soft Constraint Support</v>
      </c>
    </row>
    <row r="233" spans="1:10">
      <c r="A233" s="10" t="s">
        <v>239</v>
      </c>
      <c r="J233" t="str">
        <f t="shared" si="16"/>
        <v>Model Templates</v>
      </c>
    </row>
    <row r="234" spans="1:10">
      <c r="A234" s="10" t="s">
        <v>240</v>
      </c>
      <c r="J234" t="str">
        <f t="shared" si="16"/>
        <v>RFX/Auction Integration</v>
      </c>
    </row>
    <row r="235" spans="1:10">
      <c r="A235" s="10" t="s">
        <v>241</v>
      </c>
      <c r="J235" t="str">
        <f t="shared" si="16"/>
        <v>Scalability</v>
      </c>
    </row>
    <row r="236" spans="1:10">
      <c r="A236" s="9" t="s">
        <v>242</v>
      </c>
      <c r="F236" t="s">
        <v>50</v>
      </c>
    </row>
    <row r="237" spans="1:10">
      <c r="A237" s="10" t="s">
        <v>243</v>
      </c>
      <c r="J237" t="str">
        <f t="shared" ref="J237:J245" si="17">IF(AND(F237="",G237=""),A237,"")</f>
        <v>Negotiation Management</v>
      </c>
    </row>
    <row r="238" spans="1:10">
      <c r="A238" s="10" t="s">
        <v>244</v>
      </c>
      <c r="J238" t="str">
        <f t="shared" si="17"/>
        <v>Auditable, Unalterable, Messaging</v>
      </c>
    </row>
    <row r="239" spans="1:10">
      <c r="A239" s="10" t="s">
        <v>245</v>
      </c>
      <c r="J239" t="str">
        <f t="shared" si="17"/>
        <v>Contract Creation</v>
      </c>
    </row>
    <row r="240" spans="1:10">
      <c r="A240" s="10" t="s">
        <v>150</v>
      </c>
      <c r="J240" t="str">
        <f t="shared" si="17"/>
        <v>Templates</v>
      </c>
    </row>
    <row r="241" spans="1:10">
      <c r="A241" s="10" t="s">
        <v>246</v>
      </c>
      <c r="J241" t="str">
        <f t="shared" si="17"/>
        <v>Clauses</v>
      </c>
    </row>
    <row r="242" spans="1:10">
      <c r="A242" s="10" t="s">
        <v>247</v>
      </c>
      <c r="J242" t="str">
        <f t="shared" si="17"/>
        <v>Attachments</v>
      </c>
    </row>
    <row r="243" spans="1:10">
      <c r="A243" s="10" t="s">
        <v>248</v>
      </c>
      <c r="J243" t="str">
        <f t="shared" si="17"/>
        <v>Word Integration</v>
      </c>
    </row>
    <row r="244" spans="1:10">
      <c r="A244" s="10" t="s">
        <v>249</v>
      </c>
      <c r="J244" t="str">
        <f t="shared" si="17"/>
        <v>Version Control</v>
      </c>
    </row>
    <row r="245" spans="1:10">
      <c r="A245" s="10" t="s">
        <v>250</v>
      </c>
      <c r="J245" t="str">
        <f t="shared" si="17"/>
        <v>e-Signatures</v>
      </c>
    </row>
    <row r="246" spans="1:10">
      <c r="A246" s="9" t="s">
        <v>251</v>
      </c>
      <c r="F246" t="s">
        <v>50</v>
      </c>
    </row>
    <row r="247" spans="1:10">
      <c r="A247" s="11" t="s">
        <v>252</v>
      </c>
      <c r="G247" t="s">
        <v>50</v>
      </c>
    </row>
    <row r="248" spans="1:10">
      <c r="A248" s="10" t="s">
        <v>253</v>
      </c>
      <c r="H248" t="s">
        <v>50</v>
      </c>
      <c r="J248" t="str">
        <f t="shared" ref="J248:J257" si="18">IF(AND(F248="",G248=""),A248,"")</f>
        <v>ETL for Key Metrics</v>
      </c>
    </row>
    <row r="249" spans="1:10">
      <c r="A249" s="10" t="s">
        <v>254</v>
      </c>
      <c r="H249" t="s">
        <v>50</v>
      </c>
      <c r="J249" t="str">
        <f t="shared" si="18"/>
        <v>RFX/Survey Integration</v>
      </c>
    </row>
    <row r="250" spans="1:10">
      <c r="A250" s="10" t="s">
        <v>163</v>
      </c>
      <c r="H250" t="s">
        <v>50</v>
      </c>
      <c r="J250" t="str">
        <f t="shared" si="18"/>
        <v>Scorecards</v>
      </c>
    </row>
    <row r="251" spans="1:10">
      <c r="A251" s="10" t="s">
        <v>233</v>
      </c>
      <c r="H251" t="s">
        <v>50</v>
      </c>
      <c r="J251" t="str">
        <f t="shared" si="18"/>
        <v>Out-of-the-Box</v>
      </c>
    </row>
    <row r="252" spans="1:10">
      <c r="A252" s="10" t="s">
        <v>256</v>
      </c>
      <c r="H252" t="s">
        <v>50</v>
      </c>
      <c r="J252" t="str">
        <f t="shared" si="18"/>
        <v>KPIs</v>
      </c>
    </row>
    <row r="253" spans="1:10">
      <c r="A253" s="10" t="s">
        <v>255</v>
      </c>
      <c r="H253" t="s">
        <v>50</v>
      </c>
      <c r="J253" t="str">
        <f t="shared" si="18"/>
        <v>Out of the Box</v>
      </c>
    </row>
    <row r="254" spans="1:10">
      <c r="A254" s="10" t="s">
        <v>257</v>
      </c>
      <c r="H254" t="s">
        <v>50</v>
      </c>
      <c r="J254" t="str">
        <f t="shared" si="18"/>
        <v>Advanced Definition</v>
      </c>
    </row>
    <row r="255" spans="1:10">
      <c r="A255" s="10" t="s">
        <v>258</v>
      </c>
      <c r="H255" t="s">
        <v>50</v>
      </c>
      <c r="J255" t="str">
        <f t="shared" si="18"/>
        <v>Budget Management</v>
      </c>
    </row>
    <row r="256" spans="1:10">
      <c r="A256" s="10" t="s">
        <v>259</v>
      </c>
      <c r="H256" t="s">
        <v>50</v>
      </c>
      <c r="J256" t="str">
        <f t="shared" si="18"/>
        <v>Finance Integration</v>
      </c>
    </row>
    <row r="257" spans="1:10">
      <c r="A257" s="10" t="s">
        <v>260</v>
      </c>
      <c r="H257" t="s">
        <v>50</v>
      </c>
      <c r="J257" t="str">
        <f t="shared" si="18"/>
        <v>Demand Management</v>
      </c>
    </row>
    <row r="258" spans="1:10">
      <c r="A258" s="11" t="s">
        <v>261</v>
      </c>
      <c r="G258" t="s">
        <v>50</v>
      </c>
    </row>
    <row r="259" spans="1:10">
      <c r="A259" s="10" t="s">
        <v>262</v>
      </c>
      <c r="H259" t="s">
        <v>50</v>
      </c>
      <c r="J259" t="str">
        <f>IF(AND(F259="",G259=""),A259,"")</f>
        <v>3rd Party Data Integration</v>
      </c>
    </row>
    <row r="260" spans="1:10" ht="32">
      <c r="A260" s="10" t="s">
        <v>263</v>
      </c>
      <c r="H260" t="s">
        <v>50</v>
      </c>
      <c r="J260" t="str">
        <f>IF(AND(F260="",G260=""),A260,"")</f>
        <v>Scorecard Based Alerts/Notifications</v>
      </c>
    </row>
    <row r="261" spans="1:10">
      <c r="A261" s="10" t="s">
        <v>264</v>
      </c>
      <c r="H261" t="s">
        <v>50</v>
      </c>
      <c r="J261" t="str">
        <f>IF(AND(F261="",G261=""),A261,"")</f>
        <v>Trend Detection</v>
      </c>
    </row>
    <row r="262" spans="1:10">
      <c r="A262" s="10" t="s">
        <v>265</v>
      </c>
      <c r="H262" t="s">
        <v>50</v>
      </c>
      <c r="J262" t="str">
        <f>IF(AND(F262="",G262=""),A262,"")</f>
        <v>Event Monitoring</v>
      </c>
    </row>
    <row r="263" spans="1:10">
      <c r="A263" s="11" t="s">
        <v>266</v>
      </c>
      <c r="G263" t="s">
        <v>50</v>
      </c>
    </row>
    <row r="264" spans="1:10">
      <c r="A264" s="10" t="s">
        <v>267</v>
      </c>
      <c r="H264" t="s">
        <v>50</v>
      </c>
      <c r="J264" t="str">
        <f>IF(AND(F264="",G264=""),A264,"")</f>
        <v>Issue Identification</v>
      </c>
    </row>
    <row r="265" spans="1:10">
      <c r="A265" s="10" t="s">
        <v>268</v>
      </c>
      <c r="H265" t="s">
        <v>50</v>
      </c>
      <c r="J265" t="str">
        <f>IF(AND(F265="",G265=""),A265,"")</f>
        <v>Collaborative Plan Creation</v>
      </c>
    </row>
    <row r="266" spans="1:10">
      <c r="A266" s="10" t="s">
        <v>269</v>
      </c>
      <c r="H266" t="s">
        <v>50</v>
      </c>
      <c r="J266" t="str">
        <f>IF(AND(F266="",G266=""),A266,"")</f>
        <v>Milestone Tracking</v>
      </c>
    </row>
    <row r="267" spans="1:10">
      <c r="A267" s="9" t="s">
        <v>11</v>
      </c>
      <c r="F267" t="s">
        <v>50</v>
      </c>
    </row>
    <row r="268" spans="1:10">
      <c r="A268" s="10" t="s">
        <v>270</v>
      </c>
      <c r="J268" t="str">
        <f t="shared" ref="J268:J281" si="19">IF(AND(F268="",G268=""),A268,"")</f>
        <v>Core Tech Platform</v>
      </c>
    </row>
    <row r="269" spans="1:10">
      <c r="A269" s="10" t="s">
        <v>271</v>
      </c>
      <c r="J269" t="str">
        <f t="shared" si="19"/>
        <v>SaaS/Cloud</v>
      </c>
    </row>
    <row r="270" spans="1:10">
      <c r="A270" s="10" t="s">
        <v>47</v>
      </c>
      <c r="J270" t="str">
        <f t="shared" si="19"/>
        <v>On-Premise Software Option</v>
      </c>
    </row>
    <row r="271" spans="1:10">
      <c r="A271" s="10" t="s">
        <v>272</v>
      </c>
      <c r="J271" t="str">
        <f t="shared" si="19"/>
        <v>Mobile Support</v>
      </c>
    </row>
    <row r="272" spans="1:10">
      <c r="A272" s="10" t="s">
        <v>273</v>
      </c>
      <c r="J272" t="str">
        <f t="shared" si="19"/>
        <v>Block Chain Support</v>
      </c>
    </row>
    <row r="273" spans="1:10">
      <c r="A273" s="10" t="s">
        <v>274</v>
      </c>
      <c r="J273" t="str">
        <f t="shared" si="19"/>
        <v>OCR Support</v>
      </c>
    </row>
    <row r="274" spans="1:10">
      <c r="A274" s="10" t="s">
        <v>112</v>
      </c>
      <c r="J274" t="str">
        <f t="shared" si="19"/>
        <v>Intelligent Apps</v>
      </c>
    </row>
    <row r="275" spans="1:10">
      <c r="A275" s="10" t="s">
        <v>275</v>
      </c>
      <c r="J275" t="str">
        <f t="shared" si="19"/>
        <v>Personalization Technology</v>
      </c>
    </row>
    <row r="276" spans="1:10">
      <c r="A276" s="10" t="s">
        <v>115</v>
      </c>
      <c r="J276" t="str">
        <f t="shared" si="19"/>
        <v>Open Standards</v>
      </c>
    </row>
    <row r="277" spans="1:10">
      <c r="A277" s="10" t="s">
        <v>116</v>
      </c>
      <c r="J277" t="str">
        <f t="shared" si="19"/>
        <v>Integrations</v>
      </c>
    </row>
    <row r="278" spans="1:10">
      <c r="A278" s="10" t="s">
        <v>276</v>
      </c>
      <c r="J278" t="str">
        <f t="shared" si="19"/>
        <v>ERP</v>
      </c>
    </row>
    <row r="279" spans="1:10">
      <c r="A279" s="10" t="s">
        <v>277</v>
      </c>
      <c r="J279" t="str">
        <f t="shared" si="19"/>
        <v>P2P</v>
      </c>
    </row>
    <row r="280" spans="1:10">
      <c r="A280" s="10" t="s">
        <v>278</v>
      </c>
      <c r="J280" t="str">
        <f t="shared" si="19"/>
        <v>Other</v>
      </c>
    </row>
    <row r="281" spans="1:10" ht="32">
      <c r="A281" s="10" t="s">
        <v>279</v>
      </c>
      <c r="J281" t="str">
        <f t="shared" si="19"/>
        <v>Fine Grained Role/Data/Action Based Security</v>
      </c>
    </row>
    <row r="282" spans="1:10">
      <c r="A282" s="9" t="s">
        <v>10</v>
      </c>
      <c r="F282" t="s">
        <v>50</v>
      </c>
    </row>
    <row r="283" spans="1:10">
      <c r="A283" s="10" t="s">
        <v>280</v>
      </c>
      <c r="J283" t="str">
        <f t="shared" ref="J283:J294" si="20">IF(AND(F283="",G283=""),A283,"")</f>
        <v>Sourcing Process</v>
      </c>
    </row>
    <row r="284" spans="1:10">
      <c r="A284" s="10" t="s">
        <v>281</v>
      </c>
      <c r="J284" t="str">
        <f t="shared" si="20"/>
        <v>Workflow</v>
      </c>
    </row>
    <row r="285" spans="1:10">
      <c r="A285" s="10" t="s">
        <v>282</v>
      </c>
      <c r="J285" t="str">
        <f t="shared" si="20"/>
        <v>Configurable Rules</v>
      </c>
    </row>
    <row r="286" spans="1:10">
      <c r="A286" s="10" t="s">
        <v>283</v>
      </c>
      <c r="J286" t="str">
        <f t="shared" si="20"/>
        <v>Team Management</v>
      </c>
    </row>
    <row r="287" spans="1:10">
      <c r="A287" s="10" t="s">
        <v>284</v>
      </c>
      <c r="J287" t="str">
        <f t="shared" si="20"/>
        <v>Project Integration</v>
      </c>
    </row>
    <row r="288" spans="1:10">
      <c r="A288" s="10" t="s">
        <v>285</v>
      </c>
      <c r="J288" t="str">
        <f t="shared" si="20"/>
        <v>Globalization</v>
      </c>
    </row>
    <row r="289" spans="1:10">
      <c r="A289" s="10" t="s">
        <v>286</v>
      </c>
      <c r="J289" t="str">
        <f t="shared" si="20"/>
        <v>Multi-Currency</v>
      </c>
    </row>
    <row r="290" spans="1:10">
      <c r="A290" s="10" t="s">
        <v>287</v>
      </c>
      <c r="J290" t="str">
        <f t="shared" si="20"/>
        <v>Multi-Lingual</v>
      </c>
    </row>
    <row r="291" spans="1:10">
      <c r="A291" s="10" t="s">
        <v>288</v>
      </c>
      <c r="J291" t="str">
        <f t="shared" si="20"/>
        <v>Business User Configuration</v>
      </c>
    </row>
    <row r="292" spans="1:10">
      <c r="A292" s="10" t="s">
        <v>289</v>
      </c>
      <c r="J292" t="str">
        <f t="shared" si="20"/>
        <v>Manager Configuration</v>
      </c>
    </row>
    <row r="293" spans="1:10">
      <c r="A293" s="10" t="s">
        <v>290</v>
      </c>
      <c r="J293" t="str">
        <f t="shared" si="20"/>
        <v>Stakeholder Configuration</v>
      </c>
    </row>
    <row r="294" spans="1:10">
      <c r="A294" s="10" t="s">
        <v>105</v>
      </c>
      <c r="J294" t="str">
        <f t="shared" si="20"/>
        <v>Vendor/Consultant Configuration</v>
      </c>
    </row>
    <row r="295" spans="1:10">
      <c r="A295" s="9" t="s">
        <v>12</v>
      </c>
      <c r="F295" t="s">
        <v>50</v>
      </c>
    </row>
    <row r="296" spans="1:10">
      <c r="A296" s="10" t="s">
        <v>117</v>
      </c>
      <c r="J296" t="str">
        <f t="shared" ref="J296:J302" si="21">IF(AND(F296="",G296=""),A296,"")</f>
        <v>Data Management Services</v>
      </c>
    </row>
    <row r="297" spans="1:10">
      <c r="A297" s="10" t="s">
        <v>291</v>
      </c>
      <c r="J297" t="str">
        <f t="shared" si="21"/>
        <v>Category Specific Consulting</v>
      </c>
    </row>
    <row r="298" spans="1:10">
      <c r="A298" s="10" t="s">
        <v>292</v>
      </c>
      <c r="J298" t="str">
        <f t="shared" si="21"/>
        <v>Spend/Opportunity Analysis</v>
      </c>
    </row>
    <row r="299" spans="1:10" ht="32">
      <c r="A299" s="10" t="s">
        <v>293</v>
      </c>
      <c r="J299" t="str">
        <f t="shared" si="21"/>
        <v>Sourcing Events (managed RFX/Auction/Optimization)</v>
      </c>
    </row>
    <row r="300" spans="1:10">
      <c r="A300" s="10" t="s">
        <v>294</v>
      </c>
      <c r="J300" t="str">
        <f t="shared" si="21"/>
        <v>Risk Identification and Management</v>
      </c>
    </row>
    <row r="301" spans="1:10">
      <c r="A301" s="10" t="s">
        <v>295</v>
      </c>
      <c r="J301" t="str">
        <f t="shared" si="21"/>
        <v>Managed Services</v>
      </c>
    </row>
    <row r="302" spans="1:10">
      <c r="A302" s="10" t="s">
        <v>119</v>
      </c>
      <c r="J302" t="str">
        <f t="shared" si="21"/>
        <v>Consulting / Change Management</v>
      </c>
    </row>
    <row r="303" spans="1:10">
      <c r="A303" s="12" t="s">
        <v>23</v>
      </c>
      <c r="F303" t="s">
        <v>50</v>
      </c>
    </row>
    <row r="304" spans="1:10">
      <c r="A304" s="13" t="s">
        <v>298</v>
      </c>
    </row>
    <row r="305" spans="1:10">
      <c r="A305" s="13" t="s">
        <v>299</v>
      </c>
      <c r="J305" t="str">
        <f>IF(AND(F305="",G305=""),A305,"")</f>
        <v>Schema Support (general)</v>
      </c>
    </row>
    <row r="306" spans="1:10">
      <c r="A306" s="13" t="s">
        <v>300</v>
      </c>
      <c r="J306" t="str">
        <f>IF(AND(F306="",G306=""),A306,"")</f>
        <v>Schema Support (out-of-the-box)</v>
      </c>
    </row>
    <row r="307" spans="1:10">
      <c r="A307" s="13" t="s">
        <v>301</v>
      </c>
      <c r="J307" t="str">
        <f>IF(AND(F307="",G307=""),A307,"")</f>
        <v>Schema Support (custom)</v>
      </c>
    </row>
    <row r="308" spans="1:10">
      <c r="A308" s="13" t="s">
        <v>302</v>
      </c>
      <c r="J308" t="str">
        <f>IF(AND(F308="",G308=""),A308,"")</f>
        <v>Schema Support (multi)</v>
      </c>
    </row>
    <row r="309" spans="1:10">
      <c r="A309" s="13"/>
    </row>
    <row r="310" spans="1:10">
      <c r="A310" s="13" t="s">
        <v>303</v>
      </c>
      <c r="J310" t="str">
        <f>IF(AND(F310="",G310=""),A310,"")</f>
        <v>Cube Capability</v>
      </c>
    </row>
    <row r="311" spans="1:10">
      <c r="A311" s="13"/>
    </row>
    <row r="312" spans="1:10">
      <c r="A312" s="13" t="s">
        <v>304</v>
      </c>
      <c r="J312" t="str">
        <f>IF(AND(F312="",G312=""),A312,"")</f>
        <v>Familying/Normalization</v>
      </c>
    </row>
    <row r="313" spans="1:10">
      <c r="A313" s="13"/>
    </row>
    <row r="314" spans="1:10">
      <c r="A314" s="13" t="s">
        <v>149</v>
      </c>
      <c r="J314" t="str">
        <f>IF(AND(F314="",G314=""),A314,"")</f>
        <v>Formula Support</v>
      </c>
    </row>
    <row r="315" spans="1:10">
      <c r="A315" s="13"/>
    </row>
    <row r="316" spans="1:10">
      <c r="A316" s="13" t="s">
        <v>305</v>
      </c>
      <c r="J316" t="str">
        <f>IF(AND(F316="",G316=""),A316,"")</f>
        <v>Rule/Knowledge Model Editor</v>
      </c>
    </row>
    <row r="317" spans="1:10">
      <c r="A317" s="13"/>
    </row>
    <row r="318" spans="1:10">
      <c r="A318" s="13"/>
    </row>
    <row r="319" spans="1:10">
      <c r="A319" s="12" t="s">
        <v>24</v>
      </c>
      <c r="F319" t="s">
        <v>50</v>
      </c>
    </row>
    <row r="320" spans="1:10">
      <c r="A320" s="13"/>
    </row>
    <row r="321" spans="1:10">
      <c r="A321" s="13" t="s">
        <v>306</v>
      </c>
      <c r="J321" t="str">
        <f>IF(AND(F321="",G321=""),A321,"")</f>
        <v>ETL (Extract / Transform / Load)</v>
      </c>
    </row>
    <row r="322" spans="1:10">
      <c r="A322" s="13" t="s">
        <v>307</v>
      </c>
      <c r="J322" t="str">
        <f>IF(AND(F322="",G322=""),A322,"")</f>
        <v>Out of the box ERP integrations</v>
      </c>
    </row>
    <row r="323" spans="1:10">
      <c r="A323" s="13" t="s">
        <v>308</v>
      </c>
      <c r="J323" t="str">
        <f>IF(AND(F323="",G323=""),A323,"")</f>
        <v>Source-to-Pay Integrations (out-of-the-box )</v>
      </c>
    </row>
    <row r="324" spans="1:10">
      <c r="A324" s="13" t="s">
        <v>309</v>
      </c>
      <c r="J324" t="str">
        <f>IF(AND(F324="",G324=""),A324,"")</f>
        <v>Rules Set</v>
      </c>
    </row>
    <row r="325" spans="1:10">
      <c r="A325" s="13" t="s">
        <v>310</v>
      </c>
      <c r="J325" t="str">
        <f>IF(AND(F325="",G325=""),A325,"")</f>
        <v>Rule Groups (including reg-ex / formula support)</v>
      </c>
    </row>
    <row r="326" spans="1:10">
      <c r="A326" s="13"/>
    </row>
    <row r="327" spans="1:10">
      <c r="A327" s="13" t="s">
        <v>311</v>
      </c>
      <c r="J327" t="str">
        <f>IF(AND(F327="",G327=""),A327,"")</f>
        <v>Enrich</v>
      </c>
    </row>
    <row r="328" spans="1:10">
      <c r="A328" s="13" t="s">
        <v>312</v>
      </c>
      <c r="J328" t="str">
        <f>IF(AND(F328="",G328=""),A328,"")</f>
        <v xml:space="preserve">3rd Party Data Feed Integrations (out-of-the-box) </v>
      </c>
    </row>
    <row r="329" spans="1:10">
      <c r="A329" s="13" t="s">
        <v>313</v>
      </c>
      <c r="J329" t="str">
        <f>IF(AND(F329="",G329=""),A329,"")</f>
        <v>Multi-Source Cross-Joins</v>
      </c>
    </row>
    <row r="330" spans="1:10">
      <c r="A330" s="13"/>
    </row>
    <row r="331" spans="1:10">
      <c r="A331" s="13" t="s">
        <v>314</v>
      </c>
      <c r="J331" t="str">
        <f t="shared" ref="J331:J337" si="22">IF(AND(F331="",G331=""),A331,"")</f>
        <v>Classification / Categorization</v>
      </c>
    </row>
    <row r="332" spans="1:10">
      <c r="A332" s="13" t="s">
        <v>315</v>
      </c>
      <c r="J332" t="str">
        <f t="shared" si="22"/>
        <v>Manual Support</v>
      </c>
    </row>
    <row r="333" spans="1:10">
      <c r="A333" s="13" t="s">
        <v>316</v>
      </c>
      <c r="J333" t="str">
        <f t="shared" si="22"/>
        <v>Arbitrary Dimensions in Rules</v>
      </c>
    </row>
    <row r="334" spans="1:10">
      <c r="A334" s="13" t="s">
        <v>135</v>
      </c>
      <c r="J334" t="str">
        <f t="shared" si="22"/>
        <v>Collaboration</v>
      </c>
    </row>
    <row r="335" spans="1:10">
      <c r="A335" s="13" t="s">
        <v>317</v>
      </c>
      <c r="J335" t="str">
        <f t="shared" si="22"/>
        <v>Query Capability</v>
      </c>
    </row>
    <row r="336" spans="1:10">
      <c r="A336" s="13" t="s">
        <v>177</v>
      </c>
      <c r="J336" t="str">
        <f t="shared" si="22"/>
        <v>AI</v>
      </c>
    </row>
    <row r="337" spans="1:10">
      <c r="A337" s="13" t="s">
        <v>318</v>
      </c>
      <c r="J337" t="str">
        <f t="shared" si="22"/>
        <v>Hybrid</v>
      </c>
    </row>
    <row r="338" spans="1:10">
      <c r="A338" s="13"/>
    </row>
    <row r="339" spans="1:10">
      <c r="A339" s="13" t="s">
        <v>319</v>
      </c>
      <c r="J339" t="str">
        <f>IF(AND(F339="",G339=""),A339,"")</f>
        <v>Data Integrity Analytics</v>
      </c>
    </row>
    <row r="340" spans="1:10">
      <c r="A340" s="13" t="s">
        <v>320</v>
      </c>
      <c r="J340" t="str">
        <f>IF(AND(F340="",G340=""),A340,"")</f>
        <v>Outlier Identification</v>
      </c>
    </row>
    <row r="341" spans="1:10">
      <c r="A341" s="13" t="s">
        <v>321</v>
      </c>
      <c r="J341" t="str">
        <f>IF(AND(F341="",G341=""),A341,"")</f>
        <v>Statistical Analysis / Frequency Mapping</v>
      </c>
    </row>
    <row r="342" spans="1:10">
      <c r="A342" s="13" t="s">
        <v>322</v>
      </c>
      <c r="J342" t="str">
        <f>IF(AND(F342="",G342=""),A342,"")</f>
        <v>Sliding Time-Scale</v>
      </c>
    </row>
    <row r="343" spans="1:10">
      <c r="A343" s="13"/>
    </row>
    <row r="344" spans="1:10">
      <c r="A344" s="13" t="s">
        <v>323</v>
      </c>
      <c r="J344" t="str">
        <f>IF(AND(F344="",G344=""),A344,"")</f>
        <v>VAR: Visualize, Analyze, Report</v>
      </c>
    </row>
    <row r="345" spans="1:10">
      <c r="A345" s="13" t="s">
        <v>324</v>
      </c>
      <c r="J345" t="str">
        <f>IF(AND(F345="",G345=""),A345,"")</f>
        <v>Filter Support</v>
      </c>
    </row>
    <row r="346" spans="1:10">
      <c r="A346" s="13" t="s">
        <v>325</v>
      </c>
      <c r="J346" t="str">
        <f>IF(AND(F346="",G346=""),A346,"")</f>
        <v>Formula / Derived Dimension Support</v>
      </c>
    </row>
    <row r="347" spans="1:10">
      <c r="A347" s="13" t="s">
        <v>326</v>
      </c>
      <c r="J347" t="str">
        <f>IF(AND(F347="",G347=""),A347,"")</f>
        <v>Extent of Charting / Graphing Capability</v>
      </c>
    </row>
    <row r="348" spans="1:10">
      <c r="A348" s="13" t="s">
        <v>327</v>
      </c>
      <c r="J348" t="str">
        <f>IF(AND(F348="",G348=""),A348,"")</f>
        <v>Extent of Report Definition / Building</v>
      </c>
    </row>
    <row r="349" spans="1:10">
      <c r="A349" s="13"/>
    </row>
    <row r="350" spans="1:10">
      <c r="A350" s="13" t="s">
        <v>328</v>
      </c>
      <c r="J350" t="str">
        <f>IF(AND(F350="",G350=""),A350,"")</f>
        <v>ETD (extract / transform / dump)</v>
      </c>
    </row>
    <row r="351" spans="1:10">
      <c r="A351" s="13" t="s">
        <v>329</v>
      </c>
      <c r="J351" t="str">
        <f>IF(AND(F351="",G351=""),A351,"")</f>
        <v>Flat File / FTP</v>
      </c>
    </row>
    <row r="352" spans="1:10">
      <c r="A352" s="13" t="s">
        <v>330</v>
      </c>
      <c r="J352" t="str">
        <f>IF(AND(F352="",G352=""),A352,"")</f>
        <v>Real-Time Integration</v>
      </c>
    </row>
    <row r="353" spans="1:10">
      <c r="A353" s="13"/>
    </row>
    <row r="354" spans="1:10">
      <c r="A354" s="13"/>
    </row>
    <row r="355" spans="1:10">
      <c r="A355" s="12" t="s">
        <v>25</v>
      </c>
      <c r="F355" t="s">
        <v>50</v>
      </c>
    </row>
    <row r="356" spans="1:10">
      <c r="A356" s="14" t="s">
        <v>331</v>
      </c>
      <c r="G356" t="s">
        <v>50</v>
      </c>
    </row>
    <row r="357" spans="1:10">
      <c r="A357" s="13" t="s">
        <v>332</v>
      </c>
      <c r="H357" t="s">
        <v>50</v>
      </c>
      <c r="J357" t="str">
        <f>IF(AND(F357="",G357=""),A357,"")</f>
        <v>Advanced Analytics</v>
      </c>
    </row>
    <row r="358" spans="1:10">
      <c r="A358" s="13"/>
    </row>
    <row r="359" spans="1:10">
      <c r="A359" s="13"/>
    </row>
    <row r="360" spans="1:10">
      <c r="A360" s="13"/>
    </row>
    <row r="361" spans="1:10">
      <c r="A361" s="13" t="s">
        <v>333</v>
      </c>
      <c r="H361" t="s">
        <v>50</v>
      </c>
      <c r="J361" t="str">
        <f>IF(AND(F361="",G361=""),A361,"")</f>
        <v>Predictive Analytics</v>
      </c>
    </row>
    <row r="362" spans="1:10">
      <c r="A362" s="13"/>
    </row>
    <row r="363" spans="1:10">
      <c r="A363" s="13" t="s">
        <v>143</v>
      </c>
      <c r="H363" t="s">
        <v>50</v>
      </c>
      <c r="J363" t="str">
        <f>IF(AND(F363="",G363=""),A363,"")</f>
        <v>Prescriptive Analytics</v>
      </c>
    </row>
    <row r="364" spans="1:10">
      <c r="A364" s="13"/>
    </row>
    <row r="365" spans="1:10">
      <c r="A365" s="13" t="s">
        <v>334</v>
      </c>
      <c r="H365" t="s">
        <v>50</v>
      </c>
      <c r="J365" t="str">
        <f>IF(AND(F365="",G365=""),A365,"")</f>
        <v>Permissive Analytics</v>
      </c>
    </row>
    <row r="366" spans="1:10">
      <c r="A366" s="13"/>
    </row>
    <row r="367" spans="1:10">
      <c r="A367" s="13" t="s">
        <v>163</v>
      </c>
      <c r="H367" t="s">
        <v>50</v>
      </c>
      <c r="J367" t="str">
        <f>IF(AND(F367="",G367=""),A367,"")</f>
        <v>Scorecards</v>
      </c>
    </row>
    <row r="368" spans="1:10">
      <c r="A368" s="13" t="s">
        <v>185</v>
      </c>
      <c r="H368" t="s">
        <v>50</v>
      </c>
      <c r="J368" t="str">
        <f>IF(AND(F368="",G368=""),A368,"")</f>
        <v>Template Library</v>
      </c>
    </row>
    <row r="369" spans="1:10">
      <c r="A369" s="13" t="s">
        <v>256</v>
      </c>
      <c r="H369" t="s">
        <v>50</v>
      </c>
      <c r="J369" t="str">
        <f>IF(AND(F369="",G369=""),A369,"")</f>
        <v>KPIs</v>
      </c>
    </row>
    <row r="370" spans="1:10">
      <c r="A370" s="13" t="s">
        <v>335</v>
      </c>
      <c r="H370" t="s">
        <v>50</v>
      </c>
      <c r="J370" t="str">
        <f>IF(AND(F370="",G370=""),A370,"")</f>
        <v>KPI Library</v>
      </c>
    </row>
    <row r="371" spans="1:10">
      <c r="A371" s="13"/>
      <c r="J371" s="25"/>
    </row>
    <row r="372" spans="1:10">
      <c r="A372" s="13" t="s">
        <v>147</v>
      </c>
      <c r="H372" t="s">
        <v>50</v>
      </c>
      <c r="J372" t="str">
        <f>IF(AND(F372="",G372=""),A372,"")</f>
        <v>Benchmarks</v>
      </c>
    </row>
    <row r="373" spans="1:10">
      <c r="A373" s="13" t="s">
        <v>336</v>
      </c>
      <c r="H373" t="s">
        <v>50</v>
      </c>
      <c r="J373" t="str">
        <f>IF(AND(F373="",G373=""),A373,"")</f>
        <v>Internal</v>
      </c>
    </row>
    <row r="374" spans="1:10">
      <c r="A374" s="13" t="s">
        <v>337</v>
      </c>
      <c r="H374" t="s">
        <v>50</v>
      </c>
      <c r="J374" t="str">
        <f>IF(AND(F374="",G374=""),A374,"")</f>
        <v>External</v>
      </c>
    </row>
    <row r="375" spans="1:10">
      <c r="A375" s="13"/>
    </row>
    <row r="376" spans="1:10">
      <c r="A376" s="13" t="s">
        <v>338</v>
      </c>
      <c r="H376" t="s">
        <v>50</v>
      </c>
      <c r="J376" t="str">
        <f>IF(AND(F376="",G376=""),A376,"")</f>
        <v>Cost Avoidance / Opportunity Program Management</v>
      </c>
    </row>
    <row r="377" spans="1:10">
      <c r="A377" s="14" t="s">
        <v>255</v>
      </c>
      <c r="G377" t="s">
        <v>50</v>
      </c>
    </row>
    <row r="378" spans="1:10">
      <c r="A378" s="13" t="s">
        <v>339</v>
      </c>
      <c r="H378" t="s">
        <v>50</v>
      </c>
      <c r="J378" t="str">
        <f>IF(AND(F378="",G378=""),A378,"")</f>
        <v>Out-of-the-Box Sourcing Support</v>
      </c>
    </row>
    <row r="379" spans="1:10">
      <c r="A379" s="13"/>
    </row>
    <row r="380" spans="1:10">
      <c r="A380" s="13" t="s">
        <v>340</v>
      </c>
      <c r="H380" t="s">
        <v>50</v>
      </c>
      <c r="J380" t="str">
        <f>IF(AND(F380="",G380=""),A380,"")</f>
        <v>Out-of-the-Box Procurement Support</v>
      </c>
    </row>
    <row r="381" spans="1:10">
      <c r="A381" s="13"/>
    </row>
    <row r="382" spans="1:10">
      <c r="A382" s="13" t="s">
        <v>341</v>
      </c>
      <c r="H382" t="s">
        <v>50</v>
      </c>
      <c r="J382" t="str">
        <f>IF(AND(F382="",G382=""),A382,"")</f>
        <v>Out-of-the-Box Travel &amp; Expense Support</v>
      </c>
    </row>
    <row r="383" spans="1:10">
      <c r="A383" s="13"/>
    </row>
    <row r="384" spans="1:10">
      <c r="A384" s="13" t="s">
        <v>342</v>
      </c>
      <c r="H384" t="s">
        <v>50</v>
      </c>
      <c r="J384" t="str">
        <f>IF(AND(F384="",G384=""),A384,"")</f>
        <v>Out-of-the-Box Finance Support</v>
      </c>
    </row>
    <row r="385" spans="1:10">
      <c r="A385" s="13"/>
    </row>
    <row r="386" spans="1:10">
      <c r="A386" s="13" t="s">
        <v>343</v>
      </c>
      <c r="H386" t="s">
        <v>50</v>
      </c>
      <c r="J386" t="str">
        <f>IF(AND(F386="",G386=""),A386,"")</f>
        <v>Out-of-the-Box Product (Lifecycle) Support</v>
      </c>
    </row>
    <row r="387" spans="1:10">
      <c r="A387" s="13"/>
    </row>
    <row r="388" spans="1:10">
      <c r="A388" s="13" t="s">
        <v>344</v>
      </c>
      <c r="H388" t="s">
        <v>50</v>
      </c>
      <c r="J388" t="str">
        <f>IF(AND(F388="",G388=""),A388,"")</f>
        <v>Out-of-the-Box Services Support</v>
      </c>
    </row>
    <row r="389" spans="1:10">
      <c r="A389" s="13"/>
    </row>
    <row r="390" spans="1:10">
      <c r="A390" s="13" t="s">
        <v>345</v>
      </c>
      <c r="H390" t="s">
        <v>50</v>
      </c>
      <c r="J390" t="str">
        <f>IF(AND(F390="",G390=""),A390,"")</f>
        <v>Out-of-the-Box CWM Support</v>
      </c>
    </row>
    <row r="391" spans="1:10">
      <c r="A391" s="13"/>
    </row>
    <row r="392" spans="1:10">
      <c r="A392" s="13" t="s">
        <v>346</v>
      </c>
      <c r="H392" t="s">
        <v>50</v>
      </c>
      <c r="J392" t="str">
        <f>IF(AND(F392="",G392=""),A392,"")</f>
        <v>Out-of-the-Box Logistics Support</v>
      </c>
    </row>
    <row r="393" spans="1:10">
      <c r="A393" s="13"/>
    </row>
    <row r="394" spans="1:10">
      <c r="A394" s="13" t="s">
        <v>347</v>
      </c>
      <c r="H394" t="s">
        <v>50</v>
      </c>
      <c r="J394" t="str">
        <f>IF(AND(F394="",G394=""),A394,"")</f>
        <v>Out-of-the-Box Inventory/MRO Support</v>
      </c>
    </row>
    <row r="395" spans="1:10">
      <c r="A395" s="13"/>
    </row>
    <row r="396" spans="1:10">
      <c r="A396" s="13" t="s">
        <v>348</v>
      </c>
      <c r="H396" t="s">
        <v>50</v>
      </c>
      <c r="J396" t="str">
        <f>IF(AND(F396="",G396=""),A396,"")</f>
        <v>Out-of-the-Box Supplier Analysis Support</v>
      </c>
    </row>
    <row r="397" spans="1:10">
      <c r="A397" s="13"/>
    </row>
    <row r="398" spans="1:10">
      <c r="A398" s="13" t="s">
        <v>349</v>
      </c>
      <c r="H398" t="s">
        <v>50</v>
      </c>
      <c r="J398" t="str">
        <f>IF(AND(F398="",G398=""),A398,"")</f>
        <v>Out-of-the-Box Risk Management Support</v>
      </c>
    </row>
    <row r="399" spans="1:10">
      <c r="A399" s="13"/>
    </row>
    <row r="400" spans="1:10">
      <c r="A400" s="13"/>
    </row>
    <row r="401" spans="1:10">
      <c r="A401" s="12" t="s">
        <v>11</v>
      </c>
      <c r="F401" t="s">
        <v>50</v>
      </c>
    </row>
    <row r="402" spans="1:10">
      <c r="A402" s="13"/>
    </row>
    <row r="403" spans="1:10">
      <c r="A403" s="13" t="s">
        <v>350</v>
      </c>
      <c r="J403" t="str">
        <f>IF(AND(F403="",G403=""),A403,"")</f>
        <v>3rd Party BI Integration</v>
      </c>
    </row>
    <row r="404" spans="1:10">
      <c r="A404" s="13"/>
    </row>
    <row r="405" spans="1:10">
      <c r="A405" s="13" t="s">
        <v>351</v>
      </c>
      <c r="J405" t="str">
        <f>IF(AND(F405="",G405=""),A405,"")</f>
        <v>SaaS / Cloud</v>
      </c>
    </row>
    <row r="406" spans="1:10">
      <c r="A406" s="13"/>
    </row>
    <row r="407" spans="1:10">
      <c r="A407" s="13" t="s">
        <v>47</v>
      </c>
      <c r="J407" t="str">
        <f>IF(AND(F407="",G407=""),A407,"")</f>
        <v>On-Premise Software Option</v>
      </c>
    </row>
    <row r="408" spans="1:10">
      <c r="A408" s="13"/>
    </row>
    <row r="409" spans="1:10">
      <c r="A409" s="13" t="s">
        <v>352</v>
      </c>
      <c r="J409" t="str">
        <f>IF(AND(F409="",G409=""),A409,"")</f>
        <v>AI / Machine Learning</v>
      </c>
    </row>
    <row r="410" spans="1:10">
      <c r="A410" s="13"/>
    </row>
    <row r="411" spans="1:10">
      <c r="A411" s="13" t="s">
        <v>353</v>
      </c>
      <c r="J411" t="str">
        <f>IF(AND(F411="",G411=""),A411,"")</f>
        <v>Big Data</v>
      </c>
    </row>
    <row r="412" spans="1:10">
      <c r="A412" s="13"/>
    </row>
    <row r="413" spans="1:10">
      <c r="A413" s="13" t="s">
        <v>354</v>
      </c>
      <c r="J413" t="str">
        <f>IF(AND(F413="",G413=""),A413,"")</f>
        <v>Block Chain</v>
      </c>
    </row>
    <row r="414" spans="1:10">
      <c r="A414" s="13"/>
    </row>
    <row r="415" spans="1:10">
      <c r="A415" s="13" t="s">
        <v>355</v>
      </c>
      <c r="J415" t="str">
        <f>IF(AND(F415="",G415=""),A415,"")</f>
        <v>Mobile</v>
      </c>
    </row>
    <row r="416" spans="1:10">
      <c r="A416" s="13"/>
    </row>
    <row r="417" spans="1:10">
      <c r="A417" s="13" t="s">
        <v>356</v>
      </c>
      <c r="J417" t="str">
        <f>IF(AND(F417="",G417=""),A417,"")</f>
        <v>Semi-Structured / Unstructured Data</v>
      </c>
    </row>
    <row r="418" spans="1:10">
      <c r="A418" s="13"/>
    </row>
    <row r="419" spans="1:10">
      <c r="A419" s="13" t="s">
        <v>357</v>
      </c>
      <c r="J419" t="str">
        <f>IF(AND(F419="",G419=""),A419,"")</f>
        <v>OCR</v>
      </c>
    </row>
    <row r="420" spans="1:10">
      <c r="A420" s="13"/>
    </row>
    <row r="421" spans="1:10">
      <c r="A421" s="13" t="s">
        <v>112</v>
      </c>
      <c r="J421" t="str">
        <f>IF(AND(F421="",G421=""),A421,"")</f>
        <v>Intelligent Apps</v>
      </c>
    </row>
    <row r="422" spans="1:10">
      <c r="A422" s="13"/>
    </row>
    <row r="423" spans="1:10">
      <c r="A423" s="13" t="s">
        <v>114</v>
      </c>
      <c r="J423" t="str">
        <f>IF(AND(F423="",G423=""),A423,"")</f>
        <v>Personalization</v>
      </c>
    </row>
    <row r="424" spans="1:10">
      <c r="A424" s="13"/>
    </row>
    <row r="425" spans="1:10">
      <c r="A425" s="13" t="s">
        <v>115</v>
      </c>
      <c r="J425" t="str">
        <f>IF(AND(F425="",G425=""),A425,"")</f>
        <v>Open Standards</v>
      </c>
    </row>
    <row r="426" spans="1:10">
      <c r="A426" s="13"/>
    </row>
    <row r="427" spans="1:10">
      <c r="A427" s="13" t="s">
        <v>116</v>
      </c>
      <c r="J427" t="str">
        <f>IF(AND(F427="",G427=""),A427,"")</f>
        <v>Integrations</v>
      </c>
    </row>
    <row r="428" spans="1:10">
      <c r="A428" s="13"/>
    </row>
    <row r="429" spans="1:10">
      <c r="A429" s="13" t="s">
        <v>358</v>
      </c>
      <c r="J429" t="str">
        <f>IF(AND(F429="",G429=""),A429,"")</f>
        <v>Fine-Grained Role/Data/Action Based Security</v>
      </c>
    </row>
    <row r="430" spans="1:10">
      <c r="A430" s="13"/>
    </row>
    <row r="431" spans="1:10">
      <c r="A431" s="13"/>
    </row>
    <row r="432" spans="1:10">
      <c r="A432" s="12" t="s">
        <v>10</v>
      </c>
      <c r="F432" t="s">
        <v>50</v>
      </c>
    </row>
    <row r="433" spans="1:10">
      <c r="A433" s="13"/>
    </row>
    <row r="434" spans="1:10">
      <c r="A434" s="13" t="s">
        <v>359</v>
      </c>
      <c r="J434" t="str">
        <f>IF(AND(F434="",G434=""),A434,"")</f>
        <v>Company/Function/Group Configuration</v>
      </c>
    </row>
    <row r="435" spans="1:10">
      <c r="A435" s="13"/>
    </row>
    <row r="436" spans="1:10">
      <c r="A436" s="13" t="s">
        <v>360</v>
      </c>
      <c r="J436" t="str">
        <f>IF(AND(F436="",G436=""),A436,"")</f>
        <v>Private vs. Public Workspaces</v>
      </c>
    </row>
    <row r="437" spans="1:10">
      <c r="A437" s="13"/>
    </row>
    <row r="438" spans="1:10">
      <c r="A438" s="13" t="s">
        <v>361</v>
      </c>
      <c r="J438" t="str">
        <f>IF(AND(F438="",G438=""),A438,"")</f>
        <v>Built in vs. External Visualization</v>
      </c>
    </row>
    <row r="439" spans="1:10">
      <c r="A439" s="13"/>
    </row>
    <row r="440" spans="1:10">
      <c r="A440" s="13" t="s">
        <v>362</v>
      </c>
      <c r="J440" t="str">
        <f>IF(AND(F440="",G440=""),A440,"")</f>
        <v>Business Rules / Workflow</v>
      </c>
    </row>
    <row r="441" spans="1:10">
      <c r="A441" s="13"/>
    </row>
    <row r="442" spans="1:10">
      <c r="A442" s="13" t="s">
        <v>285</v>
      </c>
      <c r="J442" t="str">
        <f>IF(AND(F442="",G442=""),A442,"")</f>
        <v>Globalization</v>
      </c>
    </row>
    <row r="443" spans="1:10">
      <c r="A443" s="13" t="s">
        <v>286</v>
      </c>
      <c r="J443" t="str">
        <f>IF(AND(F443="",G443=""),A443,"")</f>
        <v>Multi-Currency</v>
      </c>
    </row>
    <row r="444" spans="1:10">
      <c r="A444" s="13" t="s">
        <v>363</v>
      </c>
      <c r="J444" t="str">
        <f>IF(AND(F444="",G444=""),A444,"")</f>
        <v>Multi-Language</v>
      </c>
    </row>
    <row r="445" spans="1:10">
      <c r="A445" s="13"/>
    </row>
    <row r="446" spans="1:10">
      <c r="A446" s="13"/>
    </row>
    <row r="447" spans="1:10">
      <c r="A447" s="12" t="s">
        <v>12</v>
      </c>
      <c r="F447" t="s">
        <v>50</v>
      </c>
    </row>
    <row r="448" spans="1:10">
      <c r="A448" s="13"/>
    </row>
    <row r="449" spans="1:10">
      <c r="A449" s="13" t="s">
        <v>364</v>
      </c>
      <c r="J449" t="str">
        <f>IF(AND(F449="",G449=""),A449,"")</f>
        <v>Implementation / Integration / Maintenance Services</v>
      </c>
    </row>
    <row r="450" spans="1:10">
      <c r="A450" s="13"/>
    </row>
    <row r="451" spans="1:10">
      <c r="A451" s="13" t="s">
        <v>365</v>
      </c>
      <c r="J451" t="str">
        <f>IF(AND(F451="",G451=""),A451,"")</f>
        <v>ETL / Cleansing / Classification / Categorization</v>
      </c>
    </row>
    <row r="452" spans="1:10">
      <c r="A452" s="13"/>
    </row>
    <row r="453" spans="1:10">
      <c r="A453" s="13" t="s">
        <v>117</v>
      </c>
      <c r="J453" t="str">
        <f>IF(AND(F453="",G453=""),A453,"")</f>
        <v>Data Management Services</v>
      </c>
    </row>
    <row r="454" spans="1:10">
      <c r="A454" s="13"/>
    </row>
    <row r="455" spans="1:10">
      <c r="A455" s="13" t="s">
        <v>366</v>
      </c>
      <c r="J455" t="str">
        <f>IF(AND(F455="",G455=""),A455,"")</f>
        <v>Analytics / Data Science</v>
      </c>
    </row>
    <row r="456" spans="1:10">
      <c r="A456" s="13"/>
    </row>
    <row r="457" spans="1:10">
      <c r="A457" s="13" t="s">
        <v>367</v>
      </c>
      <c r="J457" t="str">
        <f>IF(AND(F457="",G457=""),A457,"")</f>
        <v>Category / Project Management</v>
      </c>
    </row>
    <row r="458" spans="1:10">
      <c r="A458" s="13"/>
    </row>
    <row r="459" spans="1:10">
      <c r="A459" s="13" t="s">
        <v>119</v>
      </c>
      <c r="J459" t="str">
        <f>IF(AND(F459="",G459=""),A459,"")</f>
        <v>Consulting / Change Management</v>
      </c>
    </row>
    <row r="460" spans="1:10">
      <c r="A460" s="13"/>
    </row>
    <row r="461" spans="1:10">
      <c r="A461" s="12" t="s">
        <v>26</v>
      </c>
      <c r="F461" t="s">
        <v>50</v>
      </c>
    </row>
    <row r="462" spans="1:10">
      <c r="A462" s="13" t="s">
        <v>368</v>
      </c>
      <c r="J462" t="str">
        <f t="shared" ref="J462:J471" si="23">IF(AND(F462="",G462=""),A462,"")</f>
        <v>Schema Support</v>
      </c>
    </row>
    <row r="463" spans="1:10">
      <c r="A463" s="13" t="s">
        <v>369</v>
      </c>
      <c r="J463" t="str">
        <f t="shared" si="23"/>
        <v>Supplier Information (industry codes)</v>
      </c>
    </row>
    <row r="464" spans="1:10">
      <c r="A464" s="13" t="s">
        <v>370</v>
      </c>
      <c r="J464" t="str">
        <f t="shared" si="23"/>
        <v>Product / Service Information (e.g., UNSPSC)</v>
      </c>
    </row>
    <row r="465" spans="1:10">
      <c r="A465" s="13" t="s">
        <v>371</v>
      </c>
      <c r="J465" t="str">
        <f t="shared" si="23"/>
        <v>Multi-Source Integration</v>
      </c>
    </row>
    <row r="466" spans="1:10">
      <c r="A466" s="13" t="s">
        <v>372</v>
      </c>
      <c r="J466" t="str">
        <f t="shared" si="23"/>
        <v>Multi-Source Federation Control</v>
      </c>
    </row>
    <row r="467" spans="1:10">
      <c r="A467" s="13" t="s">
        <v>373</v>
      </c>
      <c r="J467" t="str">
        <f t="shared" si="23"/>
        <v>Fine Grained Access / Permission Control</v>
      </c>
    </row>
    <row r="468" spans="1:10">
      <c r="A468" s="13" t="s">
        <v>374</v>
      </c>
      <c r="J468" t="str">
        <f t="shared" si="23"/>
        <v>Form Support</v>
      </c>
    </row>
    <row r="469" spans="1:10">
      <c r="A469" s="13" t="s">
        <v>375</v>
      </c>
      <c r="J469" t="str">
        <f t="shared" si="23"/>
        <v>Data Archival and Auditing</v>
      </c>
    </row>
    <row r="470" spans="1:10">
      <c r="A470" s="13" t="s">
        <v>376</v>
      </c>
      <c r="J470" t="str">
        <f t="shared" si="23"/>
        <v>Document and Version Management</v>
      </c>
    </row>
    <row r="471" spans="1:10">
      <c r="A471" s="13" t="s">
        <v>377</v>
      </c>
      <c r="J471" t="str">
        <f t="shared" si="23"/>
        <v>OCR and Automatic (meta-data) Indexing</v>
      </c>
    </row>
    <row r="472" spans="1:10">
      <c r="A472" s="13" t="s">
        <v>298</v>
      </c>
    </row>
    <row r="473" spans="1:10">
      <c r="A473" s="13" t="s">
        <v>298</v>
      </c>
    </row>
    <row r="474" spans="1:10">
      <c r="A474" s="12" t="s">
        <v>27</v>
      </c>
      <c r="F474" t="s">
        <v>50</v>
      </c>
    </row>
    <row r="475" spans="1:10">
      <c r="A475" s="13" t="s">
        <v>378</v>
      </c>
      <c r="J475" t="str">
        <f>IF(AND(F475="",G475=""),A475,"")</f>
        <v>Supplier (Pre) Registration</v>
      </c>
    </row>
    <row r="476" spans="1:10">
      <c r="A476" s="13" t="s">
        <v>165</v>
      </c>
      <c r="J476" t="str">
        <f>IF(AND(F476="",G476=""),A476,"")</f>
        <v>Invitation Management</v>
      </c>
    </row>
    <row r="477" spans="1:10">
      <c r="A477" s="13" t="s">
        <v>379</v>
      </c>
      <c r="J477" t="str">
        <f>IF(AND(F477="",G477=""),A477,"")</f>
        <v>Self-Registration</v>
      </c>
    </row>
    <row r="478" spans="1:10">
      <c r="A478" s="13" t="s">
        <v>380</v>
      </c>
      <c r="J478" t="str">
        <f>IF(AND(F478="",G478=""),A478,"")</f>
        <v>SIC Support</v>
      </c>
    </row>
    <row r="479" spans="1:10">
      <c r="A479" s="13"/>
    </row>
    <row r="480" spans="1:10">
      <c r="A480" s="13" t="s">
        <v>381</v>
      </c>
      <c r="J480" t="str">
        <f>IF(AND(F480="",G480=""),A480,"")</f>
        <v>Supplier On-Boarding</v>
      </c>
    </row>
    <row r="481" spans="1:10">
      <c r="A481" s="13" t="s">
        <v>382</v>
      </c>
      <c r="J481" t="str">
        <f>IF(AND(F481="",G481=""),A481,"")</f>
        <v>On-Boarding Templates</v>
      </c>
    </row>
    <row r="482" spans="1:10">
      <c r="A482" s="13" t="s">
        <v>383</v>
      </c>
      <c r="J482" t="str">
        <f>IF(AND(F482="",G482=""),A482,"")</f>
        <v>Integrated Off-Line Reach Out (phone, fax)</v>
      </c>
    </row>
    <row r="483" spans="1:10">
      <c r="A483" s="13" t="s">
        <v>384</v>
      </c>
      <c r="J483" t="str">
        <f>IF(AND(F483="",G483=""),A483,"")</f>
        <v>Supplier Network Integration</v>
      </c>
    </row>
    <row r="484" spans="1:10">
      <c r="A484" s="13" t="s">
        <v>385</v>
      </c>
      <c r="J484" t="str">
        <f>IF(AND(F484="",G484=""),A484,"")</f>
        <v>Auto Data Verification</v>
      </c>
    </row>
    <row r="485" spans="1:10">
      <c r="A485" s="13"/>
    </row>
    <row r="486" spans="1:10">
      <c r="A486" s="13" t="s">
        <v>386</v>
      </c>
      <c r="J486" t="str">
        <f>IF(AND(F486="",G486=""),A486,"")</f>
        <v>Supplier Qualification</v>
      </c>
    </row>
    <row r="487" spans="1:10">
      <c r="A487" s="13" t="s">
        <v>387</v>
      </c>
      <c r="J487" t="str">
        <f>IF(AND(F487="",G487=""),A487,"")</f>
        <v>Data Collection / Branching Workflow</v>
      </c>
    </row>
    <row r="488" spans="1:10">
      <c r="A488" s="13" t="s">
        <v>388</v>
      </c>
      <c r="J488" t="str">
        <f>IF(AND(F488="",G488=""),A488,"")</f>
        <v>Delegation of Control</v>
      </c>
    </row>
    <row r="489" spans="1:10">
      <c r="A489" s="13" t="s">
        <v>389</v>
      </c>
      <c r="J489" t="str">
        <f>IF(AND(F489="",G489=""),A489,"")</f>
        <v>Auto Document Identification &amp; Verification</v>
      </c>
    </row>
    <row r="490" spans="1:10">
      <c r="A490" s="13"/>
    </row>
    <row r="491" spans="1:10">
      <c r="A491" s="13" t="s">
        <v>390</v>
      </c>
      <c r="J491" t="str">
        <f t="shared" ref="J491:J498" si="24">IF(AND(F491="",G491=""),A491,"")</f>
        <v>Supplier Data Management</v>
      </c>
    </row>
    <row r="492" spans="1:10">
      <c r="A492" s="13" t="s">
        <v>391</v>
      </c>
      <c r="J492" t="str">
        <f t="shared" si="24"/>
        <v>Entity Core Data</v>
      </c>
    </row>
    <row r="493" spans="1:10">
      <c r="A493" s="13" t="s">
        <v>392</v>
      </c>
      <c r="J493" t="str">
        <f t="shared" si="24"/>
        <v>Financial Data / ACH Integration</v>
      </c>
    </row>
    <row r="494" spans="1:10">
      <c r="A494" s="13" t="s">
        <v>393</v>
      </c>
      <c r="J494" t="str">
        <f t="shared" si="24"/>
        <v>3P Data Integration (scores/audits/etc.)</v>
      </c>
    </row>
    <row r="495" spans="1:10">
      <c r="A495" s="13" t="s">
        <v>394</v>
      </c>
      <c r="J495" t="str">
        <f t="shared" si="24"/>
        <v>Document Management</v>
      </c>
    </row>
    <row r="496" spans="1:10">
      <c r="A496" s="13" t="s">
        <v>395</v>
      </c>
      <c r="J496" t="str">
        <f t="shared" si="24"/>
        <v>Certificates / Insurance</v>
      </c>
    </row>
    <row r="497" spans="1:10">
      <c r="A497" s="13" t="s">
        <v>396</v>
      </c>
      <c r="J497" t="str">
        <f t="shared" si="24"/>
        <v>Product / Catalog Management</v>
      </c>
    </row>
    <row r="498" spans="1:10">
      <c r="A498" s="13" t="s">
        <v>397</v>
      </c>
      <c r="J498" t="str">
        <f t="shared" si="24"/>
        <v>Ratings, Approvals, &amp; Preferred Suppliers</v>
      </c>
    </row>
    <row r="499" spans="1:10">
      <c r="A499" s="13"/>
    </row>
    <row r="500" spans="1:10">
      <c r="A500" s="13" t="s">
        <v>398</v>
      </c>
      <c r="J500" t="str">
        <f>IF(AND(F500="",G500=""),A500,"")</f>
        <v>Supplier Collaboration</v>
      </c>
    </row>
    <row r="501" spans="1:10">
      <c r="A501" s="13" t="s">
        <v>399</v>
      </c>
      <c r="J501" t="str">
        <f>IF(AND(F501="",G501=""),A501,"")</f>
        <v>Real-Time Messaging</v>
      </c>
    </row>
    <row r="502" spans="1:10">
      <c r="A502" s="13" t="s">
        <v>400</v>
      </c>
      <c r="J502" t="str">
        <f>IF(AND(F502="",G502=""),A502,"")</f>
        <v>Collaborative Whiteboards</v>
      </c>
    </row>
    <row r="503" spans="1:10">
      <c r="A503" s="13"/>
    </row>
    <row r="504" spans="1:10">
      <c r="A504" s="13"/>
    </row>
    <row r="505" spans="1:10">
      <c r="A505" s="12" t="s">
        <v>28</v>
      </c>
      <c r="F505" t="s">
        <v>50</v>
      </c>
    </row>
    <row r="506" spans="1:10">
      <c r="A506" s="15" t="s">
        <v>401</v>
      </c>
      <c r="G506" t="s">
        <v>50</v>
      </c>
    </row>
    <row r="507" spans="1:10">
      <c r="A507" s="16" t="s">
        <v>402</v>
      </c>
      <c r="G507" t="s">
        <v>50</v>
      </c>
    </row>
    <row r="508" spans="1:10">
      <c r="A508" s="17" t="s">
        <v>403</v>
      </c>
      <c r="G508" t="s">
        <v>50</v>
      </c>
    </row>
    <row r="509" spans="1:10">
      <c r="A509" s="18" t="s">
        <v>404</v>
      </c>
      <c r="G509" t="s">
        <v>50</v>
      </c>
    </row>
    <row r="510" spans="1:10">
      <c r="A510" s="19" t="s">
        <v>298</v>
      </c>
    </row>
    <row r="511" spans="1:10">
      <c r="A511" s="20" t="s">
        <v>405</v>
      </c>
      <c r="H511" t="s">
        <v>50</v>
      </c>
      <c r="J511" t="str">
        <f>IF(AND(F511="",G511=""),A511,"")</f>
        <v>Conflict Resolution CAR/CAM</v>
      </c>
    </row>
    <row r="512" spans="1:10">
      <c r="A512" s="20" t="s">
        <v>406</v>
      </c>
      <c r="H512" t="s">
        <v>50</v>
      </c>
      <c r="J512" t="str">
        <f>IF(AND(F512="",G512=""),A512,"")</f>
        <v>Issue Identification and Tracking</v>
      </c>
    </row>
    <row r="513" spans="1:10" ht="32">
      <c r="A513" s="20" t="s">
        <v>407</v>
      </c>
      <c r="H513" t="s">
        <v>50</v>
      </c>
      <c r="J513" t="str">
        <f>IF(AND(F513="",G513=""),A513,"")</f>
        <v>Plan Development &amp; Milestone Definition</v>
      </c>
    </row>
    <row r="514" spans="1:10">
      <c r="A514" s="20" t="s">
        <v>408</v>
      </c>
      <c r="H514" t="s">
        <v>50</v>
      </c>
      <c r="J514" t="str">
        <f>IF(AND(F514="",G514=""),A514,"")</f>
        <v>Status Updates</v>
      </c>
    </row>
    <row r="515" spans="1:10">
      <c r="A515" s="20" t="s">
        <v>409</v>
      </c>
      <c r="H515" t="s">
        <v>50</v>
      </c>
      <c r="J515" t="str">
        <f>IF(AND(F515="",G515=""),A515,"")</f>
        <v>Resolution Mechanisms</v>
      </c>
    </row>
    <row r="516" spans="1:10">
      <c r="A516" s="19"/>
    </row>
    <row r="517" spans="1:10">
      <c r="A517" s="21" t="s">
        <v>410</v>
      </c>
      <c r="H517" t="s">
        <v>50</v>
      </c>
      <c r="J517" t="str">
        <f>IF(AND(F517="",G517=""),A517,"")</f>
        <v>Measurement</v>
      </c>
    </row>
    <row r="518" spans="1:10">
      <c r="A518" s="21" t="s">
        <v>411</v>
      </c>
      <c r="H518" t="s">
        <v>50</v>
      </c>
      <c r="J518" t="str">
        <f>IF(AND(F518="",G518=""),A518,"")</f>
        <v>Survey Integration</v>
      </c>
    </row>
    <row r="519" spans="1:10" ht="32">
      <c r="A519" s="21" t="s">
        <v>412</v>
      </c>
      <c r="H519" t="s">
        <v>50</v>
      </c>
      <c r="J519" t="str">
        <f>IF(AND(F519="",G519=""),A519,"")</f>
        <v>Formulaic Metric Definition on Raw Data</v>
      </c>
    </row>
    <row r="520" spans="1:10">
      <c r="A520" s="21" t="s">
        <v>262</v>
      </c>
      <c r="H520" t="s">
        <v>50</v>
      </c>
      <c r="J520" t="str">
        <f>IF(AND(F520="",G520=""),A520,"")</f>
        <v>3rd Party Data Integration</v>
      </c>
    </row>
    <row r="521" spans="1:10">
      <c r="A521" s="21" t="s">
        <v>413</v>
      </c>
      <c r="H521" t="s">
        <v>50</v>
      </c>
      <c r="J521" t="str">
        <f>IF(AND(F521="",G521=""),A521,"")</f>
        <v>Scorecards w/ Automatic Updates</v>
      </c>
    </row>
    <row r="522" spans="1:10">
      <c r="A522" s="19"/>
    </row>
    <row r="523" spans="1:10" ht="32">
      <c r="A523" s="22" t="s">
        <v>414</v>
      </c>
      <c r="H523" t="s">
        <v>50</v>
      </c>
      <c r="J523" t="str">
        <f>IF(AND(F523="",G523=""),A523,"")</f>
        <v>Development &amp; Innovation Management</v>
      </c>
    </row>
    <row r="524" spans="1:10">
      <c r="A524" s="22" t="s">
        <v>415</v>
      </c>
      <c r="H524" t="s">
        <v>50</v>
      </c>
      <c r="J524" t="str">
        <f>IF(AND(F524="",G524=""),A524,"")</f>
        <v>Challenge Definition</v>
      </c>
    </row>
    <row r="525" spans="1:10">
      <c r="A525" s="22" t="s">
        <v>416</v>
      </c>
      <c r="H525" t="s">
        <v>50</v>
      </c>
      <c r="J525" t="str">
        <f>IF(AND(F525="",G525=""),A525,"")</f>
        <v>Unsolicited Idea Management</v>
      </c>
    </row>
    <row r="526" spans="1:10">
      <c r="A526" s="22" t="s">
        <v>417</v>
      </c>
      <c r="H526" t="s">
        <v>50</v>
      </c>
      <c r="J526" t="str">
        <f>IF(AND(F526="",G526=""),A526,"")</f>
        <v>Review and Decision Support</v>
      </c>
    </row>
    <row r="527" spans="1:10">
      <c r="A527" s="19"/>
    </row>
    <row r="528" spans="1:10">
      <c r="A528" s="21" t="s">
        <v>418</v>
      </c>
      <c r="H528" t="s">
        <v>50</v>
      </c>
      <c r="J528" t="str">
        <f>IF(AND(F528="",G528=""),A528,"")</f>
        <v>Monitoring</v>
      </c>
    </row>
    <row r="529" spans="1:10">
      <c r="A529" s="21" t="s">
        <v>419</v>
      </c>
      <c r="H529" t="s">
        <v>50</v>
      </c>
      <c r="J529" t="str">
        <f>IF(AND(F529="",G529=""),A529,"")</f>
        <v>Automatic Data / Scorecard Updates</v>
      </c>
    </row>
    <row r="530" spans="1:10">
      <c r="A530" s="21" t="s">
        <v>420</v>
      </c>
      <c r="H530" t="s">
        <v>50</v>
      </c>
      <c r="J530" t="str">
        <f>IF(AND(F530="",G530=""),A530,"")</f>
        <v>Alerts &amp; Notification</v>
      </c>
    </row>
    <row r="531" spans="1:10">
      <c r="A531" s="20" t="s">
        <v>421</v>
      </c>
      <c r="H531" t="s">
        <v>50</v>
      </c>
      <c r="J531" t="str">
        <f>IF(AND(F531="",G531=""),A531,"")</f>
        <v>Integration with CAR/CAM</v>
      </c>
    </row>
    <row r="532" spans="1:10">
      <c r="A532" s="19"/>
    </row>
    <row r="533" spans="1:10">
      <c r="A533" s="23" t="s">
        <v>261</v>
      </c>
      <c r="H533" t="s">
        <v>50</v>
      </c>
      <c r="J533" t="str">
        <f>IF(AND(F533="",G533=""),A533,"")</f>
        <v>Risk Management</v>
      </c>
    </row>
    <row r="534" spans="1:10">
      <c r="A534" s="23" t="s">
        <v>422</v>
      </c>
      <c r="H534" t="s">
        <v>50</v>
      </c>
      <c r="J534" t="str">
        <f>IF(AND(F534="",G534=""),A534,"")</f>
        <v>Risk Identification</v>
      </c>
    </row>
    <row r="535" spans="1:10">
      <c r="A535" s="23" t="s">
        <v>423</v>
      </c>
      <c r="H535" t="s">
        <v>50</v>
      </c>
      <c r="J535" t="str">
        <f>IF(AND(F535="",G535=""),A535,"")</f>
        <v>Mitigation Plan</v>
      </c>
    </row>
    <row r="536" spans="1:10">
      <c r="A536" s="23" t="s">
        <v>424</v>
      </c>
      <c r="H536" t="s">
        <v>50</v>
      </c>
      <c r="J536" t="str">
        <f>IF(AND(F536="",G536=""),A536,"")</f>
        <v>Trend Monitoring</v>
      </c>
    </row>
    <row r="537" spans="1:10">
      <c r="A537" s="23" t="s">
        <v>265</v>
      </c>
      <c r="H537" t="s">
        <v>50</v>
      </c>
      <c r="J537" t="str">
        <f>IF(AND(F537="",G537=""),A537,"")</f>
        <v>Event Monitoring</v>
      </c>
    </row>
    <row r="538" spans="1:10">
      <c r="A538" s="19"/>
    </row>
    <row r="539" spans="1:10">
      <c r="A539" s="22" t="s">
        <v>425</v>
      </c>
      <c r="H539" t="s">
        <v>50</v>
      </c>
      <c r="J539" t="str">
        <f>IF(AND(F539="",G539=""),A539,"")</f>
        <v>NPD / NPI</v>
      </c>
    </row>
    <row r="540" spans="1:10">
      <c r="A540" s="22" t="s">
        <v>426</v>
      </c>
      <c r="H540" t="s">
        <v>50</v>
      </c>
      <c r="J540" t="str">
        <f>IF(AND(F540="",G540=""),A540,"")</f>
        <v>Product Management</v>
      </c>
    </row>
    <row r="541" spans="1:10">
      <c r="A541" s="22" t="s">
        <v>427</v>
      </c>
      <c r="H541" t="s">
        <v>50</v>
      </c>
      <c r="J541" t="str">
        <f>IF(AND(F541="",G541=""),A541,"")</f>
        <v>BoM Management</v>
      </c>
    </row>
    <row r="542" spans="1:10">
      <c r="A542" s="22" t="s">
        <v>428</v>
      </c>
      <c r="H542" t="s">
        <v>50</v>
      </c>
      <c r="J542" t="str">
        <f>IF(AND(F542="",G542=""),A542,"")</f>
        <v>Innovation Integration</v>
      </c>
    </row>
    <row r="543" spans="1:10">
      <c r="A543" s="22" t="s">
        <v>429</v>
      </c>
      <c r="H543" t="s">
        <v>50</v>
      </c>
      <c r="J543" t="str">
        <f>IF(AND(F543="",G543=""),A543,"")</f>
        <v>Process Management</v>
      </c>
    </row>
    <row r="544" spans="1:10">
      <c r="A544" s="19"/>
    </row>
    <row r="545" spans="1:10">
      <c r="A545" s="21" t="s">
        <v>32</v>
      </c>
      <c r="H545" t="s">
        <v>50</v>
      </c>
      <c r="J545" t="str">
        <f t="shared" ref="J545:J550" si="25">IF(AND(F545="",G545=""),A545,"")</f>
        <v>Analytics</v>
      </c>
    </row>
    <row r="546" spans="1:10">
      <c r="A546" s="21" t="s">
        <v>181</v>
      </c>
      <c r="H546" t="s">
        <v>50</v>
      </c>
      <c r="J546" t="str">
        <f t="shared" si="25"/>
        <v>Report Builder</v>
      </c>
    </row>
    <row r="547" spans="1:10">
      <c r="A547" s="21" t="s">
        <v>430</v>
      </c>
      <c r="H547" t="s">
        <v>50</v>
      </c>
      <c r="J547" t="str">
        <f t="shared" si="25"/>
        <v>Out-of-the-Box Scorecards</v>
      </c>
    </row>
    <row r="548" spans="1:10">
      <c r="A548" s="21" t="s">
        <v>431</v>
      </c>
      <c r="H548" t="s">
        <v>50</v>
      </c>
      <c r="J548" t="str">
        <f t="shared" si="25"/>
        <v>Out-of-the-Box Metric Reports</v>
      </c>
    </row>
    <row r="549" spans="1:10">
      <c r="A549" s="21" t="s">
        <v>432</v>
      </c>
      <c r="H549" t="s">
        <v>50</v>
      </c>
      <c r="J549" t="str">
        <f t="shared" si="25"/>
        <v>Out-of-the-Box Trend Reports</v>
      </c>
    </row>
    <row r="550" spans="1:10">
      <c r="A550" s="23" t="s">
        <v>433</v>
      </c>
      <c r="H550" t="s">
        <v>50</v>
      </c>
      <c r="J550" t="str">
        <f t="shared" si="25"/>
        <v>Out-of-the-Box Risk Reports</v>
      </c>
    </row>
    <row r="551" spans="1:10">
      <c r="A551" s="13"/>
    </row>
    <row r="552" spans="1:10">
      <c r="A552" s="13"/>
    </row>
    <row r="553" spans="1:10">
      <c r="A553" s="12" t="s">
        <v>29</v>
      </c>
      <c r="F553" t="s">
        <v>50</v>
      </c>
    </row>
    <row r="554" spans="1:10">
      <c r="A554" s="13"/>
    </row>
    <row r="555" spans="1:10">
      <c r="A555" s="13" t="s">
        <v>434</v>
      </c>
      <c r="J555" t="str">
        <f>IF(AND(F555="",G555=""),A555,"")</f>
        <v>Single View &amp; Sign-On</v>
      </c>
    </row>
    <row r="556" spans="1:10">
      <c r="A556" s="13"/>
    </row>
    <row r="557" spans="1:10">
      <c r="A557" s="13" t="s">
        <v>435</v>
      </c>
      <c r="J557" t="str">
        <f>IF(AND(F557="",G557=""),A557,"")</f>
        <v>Deep Onboarding Support</v>
      </c>
    </row>
    <row r="558" spans="1:10">
      <c r="A558" s="13"/>
    </row>
    <row r="559" spans="1:10">
      <c r="A559" s="13" t="s">
        <v>135</v>
      </c>
      <c r="J559" t="str">
        <f>IF(AND(F559="",G559=""),A559,"")</f>
        <v>Collaboration</v>
      </c>
    </row>
    <row r="560" spans="1:10">
      <c r="A560" s="13"/>
    </row>
    <row r="561" spans="1:10">
      <c r="A561" s="13" t="s">
        <v>436</v>
      </c>
      <c r="J561" t="str">
        <f>IF(AND(F561="",G561=""),A561,"")</f>
        <v>SPM/SRM Data Review</v>
      </c>
    </row>
    <row r="562" spans="1:10">
      <c r="A562" s="13" t="s">
        <v>437</v>
      </c>
      <c r="J562" t="str">
        <f>IF(AND(F562="",G562=""),A562,"")</f>
        <v>360-Degree Scorecards</v>
      </c>
    </row>
    <row r="563" spans="1:10">
      <c r="A563" s="13"/>
    </row>
    <row r="564" spans="1:10">
      <c r="A564" s="13" t="s">
        <v>438</v>
      </c>
      <c r="J564" t="str">
        <f>IF(AND(F564="",G564=""),A564,"")</f>
        <v>Document Management &amp; Updates</v>
      </c>
    </row>
    <row r="565" spans="1:10">
      <c r="A565" s="13"/>
    </row>
    <row r="566" spans="1:10">
      <c r="A566" s="13" t="s">
        <v>439</v>
      </c>
      <c r="J566" t="str">
        <f>IF(AND(F566="",G566=""),A566,"")</f>
        <v>VMI</v>
      </c>
    </row>
    <row r="567" spans="1:10">
      <c r="A567" s="13"/>
    </row>
    <row r="568" spans="1:10">
      <c r="A568" s="13" t="s">
        <v>440</v>
      </c>
      <c r="J568" t="str">
        <f>IF(AND(F568="",G568=""),A568,"")</f>
        <v>PO/Invoice/Payment Support</v>
      </c>
    </row>
    <row r="569" spans="1:10">
      <c r="A569" s="13"/>
    </row>
    <row r="570" spans="1:10">
      <c r="A570" s="13"/>
    </row>
    <row r="571" spans="1:10">
      <c r="A571" s="12" t="s">
        <v>11</v>
      </c>
      <c r="F571" t="s">
        <v>50</v>
      </c>
    </row>
    <row r="572" spans="1:10">
      <c r="A572" s="13"/>
    </row>
    <row r="573" spans="1:10">
      <c r="A573" s="13" t="s">
        <v>270</v>
      </c>
      <c r="J573" t="str">
        <f>IF(AND(F573="",G573=""),A573,"")</f>
        <v>Core Tech Platform</v>
      </c>
    </row>
    <row r="574" spans="1:10">
      <c r="A574" s="13"/>
    </row>
    <row r="575" spans="1:10">
      <c r="A575" s="13" t="s">
        <v>351</v>
      </c>
      <c r="J575" t="str">
        <f>IF(AND(F575="",G575=""),A575,"")</f>
        <v>SaaS / Cloud</v>
      </c>
    </row>
    <row r="576" spans="1:10">
      <c r="A576" s="13"/>
    </row>
    <row r="577" spans="1:10">
      <c r="A577" s="13" t="s">
        <v>47</v>
      </c>
      <c r="J577" t="str">
        <f>IF(AND(F577="",G577=""),A577,"")</f>
        <v>On-Premise Software Option</v>
      </c>
    </row>
    <row r="578" spans="1:10">
      <c r="A578" s="13"/>
    </row>
    <row r="579" spans="1:10">
      <c r="A579" s="13" t="s">
        <v>441</v>
      </c>
      <c r="J579" t="str">
        <f>IF(AND(F579="",G579=""),A579,"")</f>
        <v>AR/Auto Detection of Missing / Needed / Erroneous Data</v>
      </c>
    </row>
    <row r="580" spans="1:10">
      <c r="A580" s="13"/>
    </row>
    <row r="581" spans="1:10">
      <c r="A581" s="13" t="s">
        <v>353</v>
      </c>
      <c r="J581" t="str">
        <f>IF(AND(F581="",G581=""),A581,"")</f>
        <v>Big Data</v>
      </c>
    </row>
    <row r="582" spans="1:10">
      <c r="A582" s="13"/>
    </row>
    <row r="583" spans="1:10">
      <c r="A583" s="13" t="s">
        <v>354</v>
      </c>
      <c r="J583" t="str">
        <f>IF(AND(F583="",G583=""),A583,"")</f>
        <v>Block Chain</v>
      </c>
    </row>
    <row r="584" spans="1:10">
      <c r="A584" s="13"/>
    </row>
    <row r="585" spans="1:10">
      <c r="A585" s="13" t="s">
        <v>355</v>
      </c>
      <c r="J585" t="str">
        <f>IF(AND(F585="",G585=""),A585,"")</f>
        <v>Mobile</v>
      </c>
    </row>
    <row r="586" spans="1:10">
      <c r="A586" s="13"/>
    </row>
    <row r="587" spans="1:10">
      <c r="A587" s="13" t="s">
        <v>357</v>
      </c>
      <c r="J587" t="str">
        <f>IF(AND(F587="",G587=""),A587,"")</f>
        <v>OCR</v>
      </c>
    </row>
    <row r="588" spans="1:10">
      <c r="A588" s="13"/>
    </row>
    <row r="589" spans="1:10">
      <c r="A589" s="13" t="s">
        <v>112</v>
      </c>
      <c r="J589" t="str">
        <f>IF(AND(F589="",G589=""),A589,"")</f>
        <v>Intelligent Apps</v>
      </c>
    </row>
    <row r="590" spans="1:10">
      <c r="A590" s="13"/>
    </row>
    <row r="591" spans="1:10">
      <c r="A591" s="13" t="s">
        <v>114</v>
      </c>
      <c r="J591" t="str">
        <f>IF(AND(F591="",G591=""),A591,"")</f>
        <v>Personalization</v>
      </c>
    </row>
    <row r="592" spans="1:10">
      <c r="A592" s="13"/>
    </row>
    <row r="593" spans="1:10">
      <c r="A593" s="13" t="s">
        <v>115</v>
      </c>
      <c r="J593" t="str">
        <f>IF(AND(F593="",G593=""),A593,"")</f>
        <v>Open Standards</v>
      </c>
    </row>
    <row r="594" spans="1:10">
      <c r="A594" s="13"/>
    </row>
    <row r="595" spans="1:10">
      <c r="A595" s="13" t="s">
        <v>116</v>
      </c>
      <c r="J595" t="str">
        <f>IF(AND(F595="",G595=""),A595,"")</f>
        <v>Integrations</v>
      </c>
    </row>
    <row r="596" spans="1:10">
      <c r="A596" s="13"/>
    </row>
    <row r="597" spans="1:10">
      <c r="A597" s="13" t="s">
        <v>279</v>
      </c>
      <c r="J597" t="str">
        <f>IF(AND(F597="",G597=""),A597,"")</f>
        <v>Fine Grained Role/Data/Action Based Security</v>
      </c>
    </row>
    <row r="598" spans="1:10">
      <c r="A598" s="13"/>
    </row>
    <row r="599" spans="1:10">
      <c r="A599" s="13"/>
    </row>
    <row r="600" spans="1:10">
      <c r="A600" s="12" t="s">
        <v>10</v>
      </c>
      <c r="F600" t="s">
        <v>50</v>
      </c>
    </row>
    <row r="601" spans="1:10">
      <c r="A601" s="13"/>
    </row>
    <row r="602" spans="1:10">
      <c r="A602" s="13" t="s">
        <v>442</v>
      </c>
      <c r="J602" t="str">
        <f>IF(AND(F602="",G602=""),A602,"")</f>
        <v>SIM / SPM / SRM Configurability</v>
      </c>
    </row>
    <row r="603" spans="1:10">
      <c r="A603" s="13"/>
    </row>
    <row r="604" spans="1:10">
      <c r="A604" s="13" t="s">
        <v>443</v>
      </c>
      <c r="J604" t="str">
        <f>IF(AND(F604="",G604=""),A604,"")</f>
        <v>Network Data Model</v>
      </c>
    </row>
    <row r="605" spans="1:10">
      <c r="A605" s="13"/>
    </row>
    <row r="606" spans="1:10">
      <c r="A606" s="13" t="s">
        <v>444</v>
      </c>
      <c r="J606" t="str">
        <f>IF(AND(F606="",G606=""),A606,"")</f>
        <v>Multi-Tier</v>
      </c>
    </row>
    <row r="607" spans="1:10">
      <c r="A607" s="13"/>
    </row>
    <row r="608" spans="1:10">
      <c r="A608" s="13" t="s">
        <v>445</v>
      </c>
      <c r="J608" t="str">
        <f>IF(AND(F608="",G608=""),A608,"")</f>
        <v>Supplier Portal Configurability</v>
      </c>
    </row>
    <row r="609" spans="1:10">
      <c r="A609" s="13"/>
    </row>
    <row r="610" spans="1:10">
      <c r="A610" s="13" t="s">
        <v>362</v>
      </c>
      <c r="J610" t="str">
        <f>IF(AND(F610="",G610=""),A610,"")</f>
        <v>Business Rules / Workflow</v>
      </c>
    </row>
    <row r="611" spans="1:10">
      <c r="A611" s="13"/>
    </row>
    <row r="612" spans="1:10">
      <c r="A612" s="13" t="s">
        <v>285</v>
      </c>
      <c r="J612" t="str">
        <f>IF(AND(F612="",G612=""),A612,"")</f>
        <v>Globalization</v>
      </c>
    </row>
    <row r="613" spans="1:10">
      <c r="A613" s="13" t="s">
        <v>286</v>
      </c>
      <c r="J613" t="str">
        <f>IF(AND(F613="",G613=""),A613,"")</f>
        <v>Multi-Currency</v>
      </c>
    </row>
    <row r="614" spans="1:10">
      <c r="A614" s="13" t="s">
        <v>287</v>
      </c>
      <c r="J614" t="str">
        <f>IF(AND(F614="",G614=""),A614,"")</f>
        <v>Multi-Lingual</v>
      </c>
    </row>
    <row r="615" spans="1:10">
      <c r="A615" s="13"/>
    </row>
    <row r="616" spans="1:10">
      <c r="A616" s="13"/>
    </row>
    <row r="617" spans="1:10">
      <c r="A617" s="12" t="s">
        <v>12</v>
      </c>
      <c r="F617" t="s">
        <v>50</v>
      </c>
    </row>
    <row r="618" spans="1:10">
      <c r="A618" s="13"/>
    </row>
    <row r="619" spans="1:10">
      <c r="A619" s="13" t="s">
        <v>93</v>
      </c>
      <c r="J619" t="str">
        <f>IF(AND(F619="",G619=""),A619,"")</f>
        <v>Supplier Onboarding</v>
      </c>
    </row>
    <row r="620" spans="1:10">
      <c r="A620" s="13"/>
    </row>
    <row r="621" spans="1:10">
      <c r="A621" s="13" t="s">
        <v>446</v>
      </c>
      <c r="J621" t="str">
        <f>IF(AND(F621="",G621=""),A621,"")</f>
        <v>Data/Document Management Services</v>
      </c>
    </row>
    <row r="622" spans="1:10">
      <c r="A622" s="13"/>
    </row>
    <row r="623" spans="1:10">
      <c r="A623" s="13" t="s">
        <v>447</v>
      </c>
      <c r="J623" t="str">
        <f>IF(AND(F623="",G623=""),A623,"")</f>
        <v>Supplier Management Services</v>
      </c>
    </row>
    <row r="624" spans="1:10">
      <c r="A624" s="13"/>
    </row>
    <row r="625" spans="1:11">
      <c r="A625" s="13" t="s">
        <v>448</v>
      </c>
      <c r="J625" t="str">
        <f>IF(AND(F625="",G625=""),A625,"")</f>
        <v>Supplier Development / Innovation Management</v>
      </c>
    </row>
    <row r="627" spans="1:11" ht="19">
      <c r="A627" s="161" t="s">
        <v>30</v>
      </c>
      <c r="F627" t="s">
        <v>505</v>
      </c>
    </row>
    <row r="628" spans="1:11">
      <c r="A628" s="162" t="s">
        <v>1970</v>
      </c>
      <c r="G628" t="s">
        <v>505</v>
      </c>
    </row>
    <row r="629" spans="1:11">
      <c r="A629" s="31" t="s">
        <v>449</v>
      </c>
      <c r="H629" t="s">
        <v>505</v>
      </c>
      <c r="J629" t="str">
        <f>IF(AND(F629="",G629=""),A629,"")</f>
        <v>Enterprise Contracts Support (beyond buy-side)</v>
      </c>
    </row>
    <row r="630" spans="1:11">
      <c r="A630" s="31" t="s">
        <v>450</v>
      </c>
      <c r="H630" t="s">
        <v>505</v>
      </c>
      <c r="J630" t="str">
        <f t="shared" ref="J630:J692" si="26">IF(AND(F630="",G630=""),A630,"")</f>
        <v>Richness of Contract Level Data Modeled</v>
      </c>
    </row>
    <row r="631" spans="1:11">
      <c r="A631" s="31"/>
    </row>
    <row r="632" spans="1:11">
      <c r="A632" s="163" t="s">
        <v>1971</v>
      </c>
      <c r="H632" t="s">
        <v>505</v>
      </c>
      <c r="J632" t="str">
        <f t="shared" si="26"/>
        <v>Templates (From Contracts, Sourcing)</v>
      </c>
      <c r="K632" t="s">
        <v>1975</v>
      </c>
    </row>
    <row r="633" spans="1:11">
      <c r="A633" s="163" t="s">
        <v>1972</v>
      </c>
      <c r="H633" t="s">
        <v>505</v>
      </c>
      <c r="J633" t="str">
        <f t="shared" si="26"/>
        <v>Clauses (From Contracts, Sourcing)</v>
      </c>
      <c r="K633" t="s">
        <v>1975</v>
      </c>
    </row>
    <row r="634" spans="1:11">
      <c r="A634" s="31"/>
    </row>
    <row r="635" spans="1:11">
      <c r="A635" s="31" t="s">
        <v>461</v>
      </c>
      <c r="H635" t="s">
        <v>505</v>
      </c>
      <c r="J635" t="str">
        <f t="shared" si="26"/>
        <v>Performance Specifications and Deliverables</v>
      </c>
    </row>
    <row r="636" spans="1:11">
      <c r="A636" s="31" t="s">
        <v>462</v>
      </c>
      <c r="H636" t="s">
        <v>505</v>
      </c>
      <c r="J636" t="str">
        <f t="shared" si="26"/>
        <v>Obligations</v>
      </c>
    </row>
    <row r="637" spans="1:11">
      <c r="A637" s="31" t="s">
        <v>463</v>
      </c>
      <c r="H637" t="s">
        <v>505</v>
      </c>
      <c r="J637" t="str">
        <f t="shared" si="26"/>
        <v>File Attachments</v>
      </c>
    </row>
    <row r="638" spans="1:11">
      <c r="A638" s="31" t="s">
        <v>464</v>
      </c>
      <c r="H638" t="s">
        <v>505</v>
      </c>
      <c r="J638" t="str">
        <f t="shared" si="26"/>
        <v>Document Linking and Integration</v>
      </c>
    </row>
    <row r="639" spans="1:11">
      <c r="A639" s="163" t="s">
        <v>1969</v>
      </c>
      <c r="H639" t="s">
        <v>505</v>
      </c>
      <c r="J639" t="str">
        <f t="shared" si="26"/>
        <v>Access Control</v>
      </c>
      <c r="K639" t="s">
        <v>1976</v>
      </c>
    </row>
    <row r="640" spans="1:11">
      <c r="A640" s="164" t="s">
        <v>1973</v>
      </c>
      <c r="H640" t="s">
        <v>505</v>
      </c>
      <c r="J640" t="str">
        <f t="shared" si="26"/>
        <v>Auditable, Unalterable, Messaging (From Contracts, Sourcing)</v>
      </c>
      <c r="K640" t="s">
        <v>1977</v>
      </c>
    </row>
    <row r="641" spans="1:11">
      <c r="A641" s="164" t="s">
        <v>1974</v>
      </c>
      <c r="H641" t="s">
        <v>505</v>
      </c>
      <c r="J641" t="str">
        <f t="shared" si="26"/>
        <v>Version Control (From Contracts, Sourcing)</v>
      </c>
      <c r="K641" t="s">
        <v>1977</v>
      </c>
    </row>
    <row r="642" spans="1:11">
      <c r="A642" s="31"/>
    </row>
    <row r="643" spans="1:11">
      <c r="A643" s="162" t="s">
        <v>451</v>
      </c>
      <c r="G643" t="s">
        <v>505</v>
      </c>
      <c r="J643" t="str">
        <f t="shared" si="26"/>
        <v/>
      </c>
    </row>
    <row r="644" spans="1:11">
      <c r="A644" s="31" t="s">
        <v>452</v>
      </c>
      <c r="H644" t="s">
        <v>505</v>
      </c>
      <c r="J644" t="str">
        <f t="shared" si="26"/>
        <v>Pricing</v>
      </c>
    </row>
    <row r="645" spans="1:11">
      <c r="A645" s="31" t="s">
        <v>453</v>
      </c>
      <c r="H645" t="s">
        <v>505</v>
      </c>
      <c r="J645" t="str">
        <f t="shared" si="26"/>
        <v>"Categories"</v>
      </c>
    </row>
    <row r="646" spans="1:11">
      <c r="A646" s="31" t="s">
        <v>454</v>
      </c>
      <c r="H646" t="s">
        <v>505</v>
      </c>
      <c r="J646" t="str">
        <f t="shared" si="26"/>
        <v>General Risk</v>
      </c>
    </row>
    <row r="647" spans="1:11">
      <c r="A647" s="31" t="s">
        <v>455</v>
      </c>
      <c r="H647" t="s">
        <v>505</v>
      </c>
      <c r="J647" t="str">
        <f t="shared" si="26"/>
        <v>Commodity Risk</v>
      </c>
    </row>
    <row r="648" spans="1:11">
      <c r="A648" s="31" t="s">
        <v>456</v>
      </c>
      <c r="H648" t="s">
        <v>505</v>
      </c>
      <c r="J648" t="str">
        <f t="shared" si="26"/>
        <v>Supplier / Partner</v>
      </c>
    </row>
    <row r="649" spans="1:11">
      <c r="A649" s="31" t="s">
        <v>457</v>
      </c>
      <c r="H649" t="s">
        <v>505</v>
      </c>
      <c r="J649" t="str">
        <f t="shared" si="26"/>
        <v>Regulatory Compliance</v>
      </c>
    </row>
    <row r="650" spans="1:11">
      <c r="A650" s="31" t="s">
        <v>458</v>
      </c>
      <c r="H650" t="s">
        <v>505</v>
      </c>
      <c r="J650" t="str">
        <f t="shared" si="26"/>
        <v>"Financials"</v>
      </c>
    </row>
    <row r="651" spans="1:11">
      <c r="A651" s="31" t="s">
        <v>459</v>
      </c>
      <c r="H651" t="s">
        <v>505</v>
      </c>
      <c r="J651" t="str">
        <f t="shared" si="26"/>
        <v>Projects</v>
      </c>
    </row>
    <row r="652" spans="1:11">
      <c r="A652" s="31" t="s">
        <v>460</v>
      </c>
      <c r="H652" t="s">
        <v>505</v>
      </c>
      <c r="J652" t="str">
        <f t="shared" si="26"/>
        <v>Assets (e.g., software licenses)</v>
      </c>
    </row>
    <row r="653" spans="1:11">
      <c r="A653" s="31"/>
    </row>
    <row r="654" spans="1:11">
      <c r="A654" s="31"/>
    </row>
    <row r="655" spans="1:11">
      <c r="A655" s="31"/>
    </row>
    <row r="656" spans="1:11" ht="19">
      <c r="A656" s="161" t="s">
        <v>31</v>
      </c>
      <c r="F656" t="s">
        <v>505</v>
      </c>
      <c r="J656" t="str">
        <f t="shared" si="26"/>
        <v/>
      </c>
    </row>
    <row r="657" spans="1:10">
      <c r="A657" s="162" t="s">
        <v>465</v>
      </c>
      <c r="G657" t="s">
        <v>505</v>
      </c>
      <c r="J657" t="str">
        <f t="shared" si="26"/>
        <v/>
      </c>
    </row>
    <row r="658" spans="1:10">
      <c r="A658" s="31" t="s">
        <v>466</v>
      </c>
      <c r="H658" t="s">
        <v>505</v>
      </c>
      <c r="J658" t="str">
        <f t="shared" si="26"/>
        <v>Contract Action, Renewals</v>
      </c>
    </row>
    <row r="659" spans="1:10">
      <c r="A659" s="31" t="s">
        <v>467</v>
      </c>
      <c r="H659" t="s">
        <v>505</v>
      </c>
      <c r="J659" t="str">
        <f t="shared" si="26"/>
        <v>Contract Expiration (non-renewal)</v>
      </c>
    </row>
    <row r="660" spans="1:10">
      <c r="A660" s="31" t="s">
        <v>408</v>
      </c>
      <c r="H660" t="s">
        <v>505</v>
      </c>
      <c r="J660" t="str">
        <f t="shared" si="26"/>
        <v>Status Updates</v>
      </c>
    </row>
    <row r="661" spans="1:10">
      <c r="A661" s="31"/>
    </row>
    <row r="662" spans="1:10">
      <c r="A662" s="162" t="s">
        <v>468</v>
      </c>
      <c r="G662" t="s">
        <v>505</v>
      </c>
      <c r="J662" t="str">
        <f t="shared" si="26"/>
        <v/>
      </c>
    </row>
    <row r="663" spans="1:10">
      <c r="A663" s="31" t="s">
        <v>469</v>
      </c>
      <c r="H663" t="s">
        <v>505</v>
      </c>
      <c r="J663" t="str">
        <f t="shared" si="26"/>
        <v>Search / Discovery</v>
      </c>
    </row>
    <row r="664" spans="1:10">
      <c r="A664" s="31" t="s">
        <v>470</v>
      </c>
      <c r="H664" t="s">
        <v>505</v>
      </c>
      <c r="J664" t="str">
        <f t="shared" si="26"/>
        <v>Legacy Contract Upload / Conversion</v>
      </c>
    </row>
    <row r="665" spans="1:10">
      <c r="A665" s="31" t="s">
        <v>520</v>
      </c>
      <c r="H665" t="s">
        <v>505</v>
      </c>
      <c r="J665" t="str">
        <f t="shared" si="26"/>
        <v>Clause Extraction, Classification, and Harmonization</v>
      </c>
    </row>
    <row r="666" spans="1:10">
      <c r="A666" s="165"/>
    </row>
    <row r="667" spans="1:10">
      <c r="A667" s="31" t="s">
        <v>471</v>
      </c>
      <c r="H667" t="s">
        <v>505</v>
      </c>
      <c r="J667" t="str">
        <f t="shared" si="26"/>
        <v>Survey integration</v>
      </c>
    </row>
    <row r="668" spans="1:10">
      <c r="A668" s="31" t="s">
        <v>472</v>
      </c>
      <c r="H668" t="s">
        <v>505</v>
      </c>
      <c r="J668" t="str">
        <f t="shared" si="26"/>
        <v>Contract Import from E-Sourcing</v>
      </c>
    </row>
    <row r="669" spans="1:10">
      <c r="A669" s="31" t="s">
        <v>473</v>
      </c>
      <c r="H669" t="s">
        <v>505</v>
      </c>
      <c r="J669" t="str">
        <f t="shared" si="26"/>
        <v>Ability to Manage Counter-Party Originated Contracts</v>
      </c>
    </row>
    <row r="670" spans="1:10">
      <c r="A670" s="31" t="s">
        <v>474</v>
      </c>
      <c r="H670" t="s">
        <v>505</v>
      </c>
      <c r="J670" t="str">
        <f t="shared" si="26"/>
        <v>Amendment Creation</v>
      </c>
    </row>
    <row r="671" spans="1:10">
      <c r="A671" s="31"/>
    </row>
    <row r="672" spans="1:10">
      <c r="A672" s="162" t="s">
        <v>475</v>
      </c>
      <c r="G672" t="s">
        <v>505</v>
      </c>
      <c r="J672" t="str">
        <f t="shared" si="26"/>
        <v/>
      </c>
    </row>
    <row r="673" spans="1:10">
      <c r="A673" s="31" t="s">
        <v>248</v>
      </c>
      <c r="H673" t="s">
        <v>505</v>
      </c>
      <c r="J673" t="str">
        <f t="shared" si="26"/>
        <v>Word Integration</v>
      </c>
    </row>
    <row r="674" spans="1:10">
      <c r="A674" s="31" t="s">
        <v>476</v>
      </c>
      <c r="H674" t="s">
        <v>505</v>
      </c>
      <c r="J674" t="str">
        <f t="shared" si="26"/>
        <v>Core Workflow and Approvals</v>
      </c>
    </row>
    <row r="675" spans="1:10">
      <c r="A675" s="31" t="s">
        <v>477</v>
      </c>
      <c r="H675" t="s">
        <v>505</v>
      </c>
      <c r="J675" t="str">
        <f t="shared" si="26"/>
        <v>Contract Negotiation</v>
      </c>
    </row>
    <row r="676" spans="1:10">
      <c r="A676" s="31" t="s">
        <v>478</v>
      </c>
      <c r="H676" t="s">
        <v>505</v>
      </c>
      <c r="J676" t="str">
        <f t="shared" si="26"/>
        <v>"Collaboration" Support (which extends across contract lifecycle)</v>
      </c>
    </row>
    <row r="677" spans="1:10">
      <c r="A677" s="31" t="s">
        <v>479</v>
      </c>
      <c r="H677" t="s">
        <v>505</v>
      </c>
      <c r="J677" t="str">
        <f t="shared" si="26"/>
        <v>Sub-Contracting Support</v>
      </c>
    </row>
    <row r="678" spans="1:10">
      <c r="A678" s="31" t="s">
        <v>480</v>
      </c>
      <c r="H678" t="s">
        <v>505</v>
      </c>
      <c r="J678" t="str">
        <f t="shared" si="26"/>
        <v>"Guided Contracting" (e.g., user questionnaires)</v>
      </c>
    </row>
    <row r="679" spans="1:10">
      <c r="A679" s="31"/>
    </row>
    <row r="680" spans="1:10">
      <c r="A680" s="31" t="s">
        <v>481</v>
      </c>
      <c r="H680" t="s">
        <v>505</v>
      </c>
      <c r="J680" t="str">
        <f t="shared" si="26"/>
        <v>Contract Implementation</v>
      </c>
    </row>
    <row r="681" spans="1:10">
      <c r="A681" s="31"/>
    </row>
    <row r="682" spans="1:10">
      <c r="A682" s="162" t="s">
        <v>482</v>
      </c>
      <c r="G682" t="s">
        <v>505</v>
      </c>
      <c r="J682" t="str">
        <f t="shared" si="26"/>
        <v/>
      </c>
    </row>
    <row r="683" spans="1:10">
      <c r="A683" s="31" t="s">
        <v>483</v>
      </c>
      <c r="H683" t="s">
        <v>505</v>
      </c>
      <c r="J683" t="str">
        <f t="shared" si="26"/>
        <v>Compliance Management</v>
      </c>
    </row>
    <row r="684" spans="1:10">
      <c r="A684" s="31" t="s">
        <v>484</v>
      </c>
      <c r="H684" t="s">
        <v>505</v>
      </c>
      <c r="J684" t="str">
        <f t="shared" si="26"/>
        <v>Financial Management</v>
      </c>
    </row>
    <row r="685" spans="1:10">
      <c r="A685" s="31" t="s">
        <v>485</v>
      </c>
      <c r="H685" t="s">
        <v>505</v>
      </c>
      <c r="J685" t="str">
        <f t="shared" si="26"/>
        <v>Corrective Action &amp; Conflict Resolution</v>
      </c>
    </row>
    <row r="686" spans="1:10">
      <c r="A686" s="142"/>
    </row>
    <row r="687" spans="1:10">
      <c r="A687" s="31"/>
    </row>
    <row r="688" spans="1:10">
      <c r="A688" s="31"/>
    </row>
    <row r="689" spans="1:10" ht="19">
      <c r="A689" s="161" t="s">
        <v>32</v>
      </c>
      <c r="F689" t="s">
        <v>505</v>
      </c>
      <c r="J689" t="str">
        <f t="shared" si="26"/>
        <v/>
      </c>
    </row>
    <row r="690" spans="1:10">
      <c r="A690" s="162" t="s">
        <v>486</v>
      </c>
      <c r="J690" t="str">
        <f t="shared" si="26"/>
        <v>Performance Management Analytics</v>
      </c>
    </row>
    <row r="691" spans="1:10">
      <c r="A691" s="31" t="s">
        <v>487</v>
      </c>
      <c r="H691" t="s">
        <v>505</v>
      </c>
      <c r="J691" t="str">
        <f t="shared" si="26"/>
        <v>Contracting Reports and Analytics</v>
      </c>
    </row>
    <row r="692" spans="1:10">
      <c r="A692" s="31" t="s">
        <v>488</v>
      </c>
      <c r="H692" t="s">
        <v>505</v>
      </c>
      <c r="J692" t="str">
        <f t="shared" si="26"/>
        <v>Contract / Cmmercial Performance Analysis</v>
      </c>
    </row>
    <row r="693" spans="1:10">
      <c r="A693" s="31"/>
    </row>
    <row r="694" spans="1:10">
      <c r="A694" s="162" t="s">
        <v>489</v>
      </c>
      <c r="J694" t="str">
        <f t="shared" ref="J694:J739" si="27">IF(AND(F694="",G694=""),A694,"")</f>
        <v>Knowledge Management and Expertise</v>
      </c>
    </row>
    <row r="695" spans="1:10">
      <c r="A695" s="31" t="s">
        <v>490</v>
      </c>
      <c r="H695" t="s">
        <v>505</v>
      </c>
      <c r="J695" t="str">
        <f t="shared" si="27"/>
        <v>Knowledge Beyond Technology Applications</v>
      </c>
    </row>
    <row r="696" spans="1:10">
      <c r="A696" s="31" t="s">
        <v>491</v>
      </c>
      <c r="H696" t="s">
        <v>505</v>
      </c>
      <c r="J696" t="str">
        <f t="shared" si="27"/>
        <v>Community Knowledge</v>
      </c>
    </row>
    <row r="697" spans="1:10">
      <c r="A697" s="31" t="s">
        <v>492</v>
      </c>
      <c r="H697" t="s">
        <v>505</v>
      </c>
      <c r="J697" t="str">
        <f t="shared" si="27"/>
        <v>Value Creation Methodology and Approach</v>
      </c>
    </row>
    <row r="698" spans="1:10">
      <c r="A698" s="142"/>
    </row>
    <row r="699" spans="1:10">
      <c r="A699" s="31"/>
    </row>
    <row r="700" spans="1:10">
      <c r="A700" s="31"/>
    </row>
    <row r="701" spans="1:10" ht="19">
      <c r="A701" s="161" t="s">
        <v>11</v>
      </c>
      <c r="F701" t="s">
        <v>505</v>
      </c>
      <c r="J701" t="str">
        <f t="shared" si="27"/>
        <v/>
      </c>
    </row>
    <row r="702" spans="1:10">
      <c r="A702" s="162" t="s">
        <v>493</v>
      </c>
      <c r="G702" t="s">
        <v>505</v>
      </c>
      <c r="J702" t="str">
        <f t="shared" si="27"/>
        <v/>
      </c>
    </row>
    <row r="703" spans="1:10">
      <c r="A703" s="31" t="s">
        <v>494</v>
      </c>
      <c r="H703" t="s">
        <v>505</v>
      </c>
      <c r="J703" t="str">
        <f t="shared" si="27"/>
        <v>Core Technology Platform</v>
      </c>
    </row>
    <row r="704" spans="1:10">
      <c r="A704" s="31" t="s">
        <v>495</v>
      </c>
      <c r="H704" t="s">
        <v>505</v>
      </c>
      <c r="J704" t="str">
        <f t="shared" si="27"/>
        <v>Security</v>
      </c>
    </row>
    <row r="705" spans="1:10">
      <c r="A705" s="31" t="s">
        <v>496</v>
      </c>
      <c r="H705" t="s">
        <v>505</v>
      </c>
      <c r="J705" t="str">
        <f t="shared" si="27"/>
        <v>Fine Grained Role / Data / Action Based Security</v>
      </c>
    </row>
    <row r="706" spans="1:10">
      <c r="A706" s="31" t="s">
        <v>497</v>
      </c>
      <c r="H706" t="s">
        <v>505</v>
      </c>
      <c r="J706" t="str">
        <f t="shared" si="27"/>
        <v>User Experience</v>
      </c>
    </row>
    <row r="707" spans="1:10">
      <c r="A707" s="31" t="s">
        <v>351</v>
      </c>
      <c r="H707" t="s">
        <v>505</v>
      </c>
      <c r="J707" t="str">
        <f t="shared" si="27"/>
        <v>SaaS / Cloud</v>
      </c>
    </row>
    <row r="708" spans="1:10">
      <c r="A708" s="31" t="s">
        <v>498</v>
      </c>
      <c r="H708" t="s">
        <v>505</v>
      </c>
      <c r="J708" t="str">
        <f t="shared" si="27"/>
        <v>IaaS</v>
      </c>
    </row>
    <row r="709" spans="1:10">
      <c r="A709" s="31" t="s">
        <v>47</v>
      </c>
      <c r="H709" t="s">
        <v>505</v>
      </c>
      <c r="J709" t="str">
        <f t="shared" si="27"/>
        <v>On-Premise Software Option</v>
      </c>
    </row>
    <row r="710" spans="1:10">
      <c r="A710" s="31" t="s">
        <v>499</v>
      </c>
      <c r="H710" t="s">
        <v>505</v>
      </c>
      <c r="J710" t="str">
        <f t="shared" si="27"/>
        <v>AR / Auto Detection of Missing / Needed / Erroneous Data</v>
      </c>
    </row>
    <row r="711" spans="1:10">
      <c r="A711" s="31" t="s">
        <v>353</v>
      </c>
      <c r="H711" t="s">
        <v>505</v>
      </c>
      <c r="J711" t="str">
        <f t="shared" si="27"/>
        <v>Big Data</v>
      </c>
    </row>
    <row r="712" spans="1:10">
      <c r="A712" s="31" t="s">
        <v>354</v>
      </c>
      <c r="H712" t="s">
        <v>505</v>
      </c>
      <c r="J712" t="str">
        <f t="shared" si="27"/>
        <v>Block Chain</v>
      </c>
    </row>
    <row r="713" spans="1:10">
      <c r="A713" s="31" t="s">
        <v>355</v>
      </c>
      <c r="H713" t="s">
        <v>505</v>
      </c>
      <c r="J713" t="str">
        <f t="shared" si="27"/>
        <v>Mobile</v>
      </c>
    </row>
    <row r="714" spans="1:10">
      <c r="A714" s="31" t="s">
        <v>286</v>
      </c>
      <c r="H714" t="s">
        <v>505</v>
      </c>
      <c r="J714" t="str">
        <f t="shared" si="27"/>
        <v>Multi-Currency</v>
      </c>
    </row>
    <row r="715" spans="1:10">
      <c r="A715" s="31" t="s">
        <v>112</v>
      </c>
      <c r="H715" t="s">
        <v>505</v>
      </c>
      <c r="J715" t="str">
        <f t="shared" si="27"/>
        <v>Intelligent Apps</v>
      </c>
    </row>
    <row r="716" spans="1:10">
      <c r="A716" s="31" t="s">
        <v>500</v>
      </c>
      <c r="H716" t="s">
        <v>505</v>
      </c>
      <c r="J716" t="str">
        <f t="shared" si="27"/>
        <v>Machine Learning</v>
      </c>
    </row>
    <row r="717" spans="1:10">
      <c r="A717" s="31" t="s">
        <v>501</v>
      </c>
      <c r="H717" t="s">
        <v>505</v>
      </c>
      <c r="J717" t="str">
        <f t="shared" si="27"/>
        <v>"Bots"</v>
      </c>
    </row>
    <row r="718" spans="1:10">
      <c r="A718" s="31" t="s">
        <v>114</v>
      </c>
      <c r="H718" t="s">
        <v>505</v>
      </c>
      <c r="J718" t="str">
        <f t="shared" si="27"/>
        <v>Personalization</v>
      </c>
    </row>
    <row r="719" spans="1:10">
      <c r="A719" s="31" t="s">
        <v>115</v>
      </c>
      <c r="H719" t="s">
        <v>505</v>
      </c>
      <c r="J719" t="str">
        <f t="shared" si="27"/>
        <v>Open Standards</v>
      </c>
    </row>
    <row r="720" spans="1:10">
      <c r="A720" s="31"/>
    </row>
    <row r="721" spans="1:11">
      <c r="A721" s="166" t="s">
        <v>116</v>
      </c>
      <c r="G721" t="s">
        <v>505</v>
      </c>
      <c r="J721" t="str">
        <f t="shared" si="27"/>
        <v/>
      </c>
      <c r="K721" t="s">
        <v>1978</v>
      </c>
    </row>
    <row r="722" spans="1:11">
      <c r="A722" s="31" t="s">
        <v>502</v>
      </c>
      <c r="H722" t="s">
        <v>505</v>
      </c>
      <c r="J722" t="str">
        <f t="shared" si="27"/>
        <v>Approach</v>
      </c>
    </row>
    <row r="723" spans="1:11">
      <c r="A723" s="31" t="s">
        <v>503</v>
      </c>
      <c r="H723" t="s">
        <v>505</v>
      </c>
      <c r="J723" t="str">
        <f t="shared" si="27"/>
        <v>APIs</v>
      </c>
    </row>
    <row r="724" spans="1:11">
      <c r="A724" s="31" t="s">
        <v>276</v>
      </c>
      <c r="H724" t="s">
        <v>505</v>
      </c>
      <c r="J724" t="str">
        <f t="shared" si="27"/>
        <v>ERP</v>
      </c>
    </row>
    <row r="725" spans="1:11">
      <c r="A725" s="31" t="s">
        <v>277</v>
      </c>
      <c r="H725" t="s">
        <v>505</v>
      </c>
      <c r="J725" t="str">
        <f t="shared" si="27"/>
        <v>P2P</v>
      </c>
    </row>
    <row r="726" spans="1:11">
      <c r="A726" s="31" t="s">
        <v>278</v>
      </c>
      <c r="H726" t="s">
        <v>505</v>
      </c>
      <c r="J726" t="str">
        <f t="shared" si="27"/>
        <v>Other</v>
      </c>
    </row>
    <row r="727" spans="1:11">
      <c r="A727" s="142"/>
    </row>
    <row r="728" spans="1:11">
      <c r="A728" s="31"/>
    </row>
    <row r="729" spans="1:11">
      <c r="A729" s="31"/>
    </row>
    <row r="730" spans="1:11" ht="19">
      <c r="A730" s="161" t="s">
        <v>10</v>
      </c>
      <c r="F730" t="s">
        <v>505</v>
      </c>
      <c r="J730" t="str">
        <f t="shared" si="27"/>
        <v/>
      </c>
    </row>
    <row r="731" spans="1:11">
      <c r="A731" s="31" t="s">
        <v>521</v>
      </c>
      <c r="H731" t="s">
        <v>505</v>
      </c>
      <c r="J731" t="str">
        <f t="shared" si="27"/>
        <v>CLM Configuration</v>
      </c>
    </row>
    <row r="732" spans="1:11">
      <c r="A732" s="31" t="s">
        <v>362</v>
      </c>
      <c r="H732" t="s">
        <v>505</v>
      </c>
      <c r="J732" t="str">
        <f t="shared" si="27"/>
        <v>Business Rules / Workflow</v>
      </c>
    </row>
    <row r="733" spans="1:11">
      <c r="A733" s="31" t="s">
        <v>285</v>
      </c>
      <c r="H733" t="s">
        <v>505</v>
      </c>
      <c r="J733" t="str">
        <f t="shared" si="27"/>
        <v>Globalization</v>
      </c>
    </row>
    <row r="734" spans="1:11">
      <c r="A734" s="31" t="s">
        <v>287</v>
      </c>
      <c r="H734" t="s">
        <v>505</v>
      </c>
      <c r="J734" t="str">
        <f t="shared" si="27"/>
        <v>Multi-Lingual</v>
      </c>
    </row>
    <row r="735" spans="1:11">
      <c r="A735" s="142"/>
    </row>
    <row r="736" spans="1:11">
      <c r="A736" s="31"/>
    </row>
    <row r="737" spans="1:10">
      <c r="A737" s="31"/>
    </row>
    <row r="738" spans="1:10" ht="19">
      <c r="A738" s="161" t="s">
        <v>33</v>
      </c>
      <c r="F738" t="s">
        <v>505</v>
      </c>
      <c r="J738" t="str">
        <f t="shared" si="27"/>
        <v/>
      </c>
    </row>
    <row r="739" spans="1:10">
      <c r="A739" s="31" t="s">
        <v>12</v>
      </c>
      <c r="H739" t="s">
        <v>505</v>
      </c>
      <c r="J739" t="str">
        <f t="shared" si="27"/>
        <v>General Services</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0ABE-307E-4E48-BEFB-6633745F9C39}">
  <sheetPr codeName="Sheet9"/>
  <dimension ref="A1:H75"/>
  <sheetViews>
    <sheetView workbookViewId="0"/>
  </sheetViews>
  <sheetFormatPr baseColWidth="10" defaultRowHeight="16"/>
  <cols>
    <col min="1" max="1" width="16.33203125" customWidth="1"/>
  </cols>
  <sheetData>
    <row r="1" spans="1:2">
      <c r="A1" t="s">
        <v>1847</v>
      </c>
    </row>
    <row r="2" spans="1:2">
      <c r="A2" t="s">
        <v>70</v>
      </c>
    </row>
    <row r="3" spans="1:2">
      <c r="A3" s="26" t="s">
        <v>363</v>
      </c>
      <c r="B3" t="s">
        <v>528</v>
      </c>
    </row>
    <row r="4" spans="1:2">
      <c r="A4" s="26" t="s">
        <v>508</v>
      </c>
    </row>
    <row r="5" spans="1:2">
      <c r="A5" s="7" t="s">
        <v>287</v>
      </c>
    </row>
    <row r="6" spans="1:2">
      <c r="A6" s="26" t="s">
        <v>255</v>
      </c>
    </row>
    <row r="7" spans="1:2">
      <c r="A7" t="s">
        <v>233</v>
      </c>
    </row>
    <row r="8" spans="1:2">
      <c r="A8" s="26" t="s">
        <v>197</v>
      </c>
    </row>
    <row r="9" spans="1:2">
      <c r="A9" t="s">
        <v>399</v>
      </c>
    </row>
    <row r="10" spans="1:2">
      <c r="A10" t="s">
        <v>351</v>
      </c>
    </row>
    <row r="11" spans="1:2">
      <c r="A11" s="26" t="s">
        <v>271</v>
      </c>
    </row>
    <row r="12" spans="1:2">
      <c r="A12" s="26" t="s">
        <v>166</v>
      </c>
    </row>
    <row r="13" spans="1:2">
      <c r="A13" t="s">
        <v>379</v>
      </c>
    </row>
    <row r="14" spans="1:2">
      <c r="A14" t="s">
        <v>288</v>
      </c>
    </row>
    <row r="15" spans="1:2">
      <c r="A15" s="26" t="s">
        <v>103</v>
      </c>
    </row>
    <row r="17" spans="1:7" s="42" customFormat="1">
      <c r="A17" s="41" t="s">
        <v>96</v>
      </c>
      <c r="G17" s="42" t="s">
        <v>545</v>
      </c>
    </row>
    <row r="19" spans="1:7" s="44" customFormat="1">
      <c r="A19" s="43" t="s">
        <v>100</v>
      </c>
      <c r="B19" s="44">
        <v>1</v>
      </c>
      <c r="C19" s="44">
        <v>2</v>
      </c>
      <c r="D19" s="44">
        <v>5</v>
      </c>
      <c r="E19" s="44">
        <f>VLOOKUP(A19,Elements!$C$2:$D$435,2,0)</f>
        <v>0</v>
      </c>
      <c r="F19" s="44">
        <v>97</v>
      </c>
      <c r="G19" s="44" t="s">
        <v>546</v>
      </c>
    </row>
    <row r="21" spans="1:7">
      <c r="A21" t="s">
        <v>547</v>
      </c>
    </row>
    <row r="23" spans="1:7">
      <c r="A23" t="s">
        <v>683</v>
      </c>
    </row>
    <row r="25" spans="1:7">
      <c r="A25" t="s">
        <v>885</v>
      </c>
    </row>
    <row r="27" spans="1:7">
      <c r="A27" t="s">
        <v>1035</v>
      </c>
    </row>
    <row r="29" spans="1:7">
      <c r="A29" t="s">
        <v>1223</v>
      </c>
    </row>
    <row r="31" spans="1:7">
      <c r="A31" t="s">
        <v>1350</v>
      </c>
    </row>
    <row r="32" spans="1:7">
      <c r="A32" t="s">
        <v>1224</v>
      </c>
      <c r="B32" t="s">
        <v>1362</v>
      </c>
      <c r="C32" t="s">
        <v>1363</v>
      </c>
    </row>
    <row r="33" spans="1:3">
      <c r="A33">
        <v>643</v>
      </c>
      <c r="B33">
        <v>10</v>
      </c>
      <c r="C33">
        <v>436</v>
      </c>
    </row>
    <row r="34" spans="1:3">
      <c r="A34">
        <v>556</v>
      </c>
      <c r="B34">
        <v>32</v>
      </c>
      <c r="C34">
        <v>437</v>
      </c>
    </row>
    <row r="35" spans="1:3">
      <c r="A35" t="s">
        <v>1347</v>
      </c>
      <c r="B35">
        <v>33</v>
      </c>
      <c r="C35">
        <v>438</v>
      </c>
    </row>
    <row r="36" spans="1:3">
      <c r="A36" t="s">
        <v>1348</v>
      </c>
      <c r="B36">
        <v>55</v>
      </c>
      <c r="C36">
        <v>439</v>
      </c>
    </row>
    <row r="37" spans="1:3">
      <c r="A37">
        <v>269</v>
      </c>
      <c r="B37">
        <v>56</v>
      </c>
      <c r="C37">
        <v>440</v>
      </c>
    </row>
    <row r="38" spans="1:3">
      <c r="A38">
        <v>484</v>
      </c>
      <c r="B38">
        <v>65</v>
      </c>
      <c r="C38">
        <v>441</v>
      </c>
    </row>
    <row r="39" spans="1:3">
      <c r="A39">
        <v>648</v>
      </c>
      <c r="B39">
        <v>66</v>
      </c>
      <c r="C39">
        <v>442</v>
      </c>
    </row>
    <row r="40" spans="1:3">
      <c r="A40">
        <v>398</v>
      </c>
      <c r="B40">
        <v>67</v>
      </c>
      <c r="C40">
        <v>443</v>
      </c>
    </row>
    <row r="41" spans="1:3">
      <c r="A41">
        <v>401</v>
      </c>
      <c r="B41">
        <v>69</v>
      </c>
      <c r="C41">
        <v>444</v>
      </c>
    </row>
    <row r="42" spans="1:3">
      <c r="A42" t="s">
        <v>1351</v>
      </c>
      <c r="B42">
        <v>73</v>
      </c>
      <c r="C42">
        <v>445</v>
      </c>
    </row>
    <row r="43" spans="1:3">
      <c r="A43">
        <v>476</v>
      </c>
      <c r="B43">
        <v>78</v>
      </c>
      <c r="C43">
        <v>446</v>
      </c>
    </row>
    <row r="44" spans="1:3">
      <c r="A44">
        <v>490</v>
      </c>
      <c r="B44">
        <v>83</v>
      </c>
      <c r="C44">
        <v>447</v>
      </c>
    </row>
    <row r="45" spans="1:3">
      <c r="A45">
        <v>305</v>
      </c>
      <c r="B45">
        <v>101</v>
      </c>
      <c r="C45">
        <v>448</v>
      </c>
    </row>
    <row r="46" spans="1:3">
      <c r="A46">
        <v>428</v>
      </c>
      <c r="B46">
        <v>101</v>
      </c>
      <c r="C46">
        <v>449</v>
      </c>
    </row>
    <row r="47" spans="1:3">
      <c r="A47">
        <v>564</v>
      </c>
      <c r="B47">
        <v>101</v>
      </c>
      <c r="C47">
        <v>450</v>
      </c>
    </row>
    <row r="48" spans="1:3">
      <c r="A48">
        <v>310</v>
      </c>
      <c r="B48">
        <v>113</v>
      </c>
      <c r="C48">
        <v>451</v>
      </c>
    </row>
    <row r="49" spans="1:8">
      <c r="A49">
        <v>415</v>
      </c>
      <c r="B49">
        <v>114</v>
      </c>
      <c r="C49">
        <v>452</v>
      </c>
    </row>
    <row r="50" spans="1:8">
      <c r="A50">
        <v>292</v>
      </c>
      <c r="B50">
        <v>115</v>
      </c>
      <c r="C50">
        <v>453</v>
      </c>
    </row>
    <row r="51" spans="1:8">
      <c r="A51" t="s">
        <v>1354</v>
      </c>
      <c r="B51">
        <v>115</v>
      </c>
      <c r="C51">
        <v>454</v>
      </c>
    </row>
    <row r="52" spans="1:8">
      <c r="A52">
        <v>361</v>
      </c>
      <c r="B52">
        <v>128</v>
      </c>
      <c r="C52">
        <v>455</v>
      </c>
    </row>
    <row r="53" spans="1:8">
      <c r="A53">
        <v>448</v>
      </c>
      <c r="B53">
        <v>128</v>
      </c>
      <c r="C53">
        <v>456</v>
      </c>
    </row>
    <row r="54" spans="1:8">
      <c r="A54">
        <v>430</v>
      </c>
      <c r="B54">
        <v>142</v>
      </c>
      <c r="C54">
        <v>457</v>
      </c>
    </row>
    <row r="55" spans="1:8">
      <c r="A55">
        <v>449</v>
      </c>
      <c r="B55">
        <v>149</v>
      </c>
      <c r="C55">
        <v>458</v>
      </c>
    </row>
    <row r="56" spans="1:8">
      <c r="A56">
        <v>364</v>
      </c>
      <c r="B56">
        <v>194</v>
      </c>
      <c r="C56">
        <v>248</v>
      </c>
    </row>
    <row r="57" spans="1:8">
      <c r="A57">
        <v>450</v>
      </c>
      <c r="B57">
        <v>213</v>
      </c>
      <c r="C57">
        <v>459</v>
      </c>
    </row>
    <row r="58" spans="1:8">
      <c r="A58" t="s">
        <v>1368</v>
      </c>
    </row>
    <row r="59" spans="1:8">
      <c r="A59" s="26">
        <v>407</v>
      </c>
      <c r="B59" s="26">
        <v>248</v>
      </c>
      <c r="C59" s="26">
        <v>84</v>
      </c>
      <c r="D59" s="26" t="s">
        <v>1371</v>
      </c>
    </row>
    <row r="61" spans="1:8">
      <c r="A61" t="s">
        <v>1369</v>
      </c>
    </row>
    <row r="63" spans="1:8">
      <c r="A63" t="s">
        <v>1286</v>
      </c>
      <c r="B63" t="s">
        <v>531</v>
      </c>
      <c r="C63" t="s">
        <v>532</v>
      </c>
      <c r="D63" t="s">
        <v>1276</v>
      </c>
      <c r="E63" t="s">
        <v>536</v>
      </c>
      <c r="F63" t="s">
        <v>1277</v>
      </c>
      <c r="G63" t="s">
        <v>535</v>
      </c>
      <c r="H63" t="s">
        <v>1278</v>
      </c>
    </row>
    <row r="64" spans="1:8">
      <c r="A64" t="s">
        <v>1227</v>
      </c>
    </row>
    <row r="66" spans="1:1">
      <c r="A66" t="s">
        <v>1287</v>
      </c>
    </row>
    <row r="67" spans="1:1">
      <c r="A67" t="s">
        <v>1288</v>
      </c>
    </row>
    <row r="71" spans="1:1">
      <c r="A71" t="s">
        <v>1339</v>
      </c>
    </row>
    <row r="74" spans="1:1">
      <c r="A74" t="s">
        <v>1344</v>
      </c>
    </row>
    <row r="75" spans="1:1">
      <c r="A75" t="s">
        <v>1345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31BE0-D61E-744E-B2CB-9B3F54D6425F}">
  <sheetPr codeName="Sheet14"/>
  <dimension ref="A1:M178"/>
  <sheetViews>
    <sheetView workbookViewId="0"/>
  </sheetViews>
  <sheetFormatPr baseColWidth="10" defaultRowHeight="66" customHeight="1"/>
  <cols>
    <col min="1" max="1" width="4.5" style="51" customWidth="1"/>
    <col min="2" max="2" width="11" style="50" customWidth="1"/>
    <col min="3" max="3" width="4" style="51" customWidth="1"/>
    <col min="4" max="4" width="10.83203125" style="50"/>
    <col min="5" max="5" width="10.83203125" style="51"/>
    <col min="6" max="6" width="26.33203125" style="50" customWidth="1"/>
    <col min="7" max="7" width="6.33203125" style="51" customWidth="1"/>
    <col min="8" max="8" width="7" style="51" customWidth="1"/>
    <col min="9" max="9" width="76.5" style="50" customWidth="1"/>
    <col min="10" max="10" width="48.5" style="50" customWidth="1"/>
    <col min="11" max="11" width="10.83203125" style="50"/>
    <col min="12" max="12" width="40.6640625" style="50" customWidth="1"/>
    <col min="13" max="13" width="52.33203125" style="50" customWidth="1"/>
    <col min="14" max="16384" width="10.83203125" style="50"/>
  </cols>
  <sheetData>
    <row r="1" spans="1:13" ht="48">
      <c r="A1" s="52" t="s">
        <v>1212</v>
      </c>
      <c r="B1" s="52" t="s">
        <v>186</v>
      </c>
      <c r="C1" s="52" t="s">
        <v>1222</v>
      </c>
      <c r="D1" s="52" t="s">
        <v>543</v>
      </c>
      <c r="E1" s="52" t="s">
        <v>34</v>
      </c>
      <c r="F1" s="52" t="s">
        <v>36</v>
      </c>
      <c r="G1" s="52" t="s">
        <v>531</v>
      </c>
      <c r="H1" s="52" t="s">
        <v>533</v>
      </c>
      <c r="I1" s="52" t="s">
        <v>542</v>
      </c>
      <c r="J1" s="52" t="s">
        <v>541</v>
      </c>
      <c r="L1" s="50" t="s">
        <v>1225</v>
      </c>
      <c r="M1" s="50" t="s">
        <v>1226</v>
      </c>
    </row>
    <row r="2" spans="1:13" ht="64">
      <c r="A2" s="51">
        <v>1</v>
      </c>
      <c r="B2" s="50" t="s">
        <v>1215</v>
      </c>
      <c r="C2" s="51">
        <v>1</v>
      </c>
      <c r="D2" s="50" t="s">
        <v>5</v>
      </c>
      <c r="E2" s="51">
        <v>10</v>
      </c>
      <c r="F2" s="50" t="s">
        <v>47</v>
      </c>
      <c r="G2" s="51">
        <v>10</v>
      </c>
      <c r="H2" s="51">
        <v>10</v>
      </c>
      <c r="I2" s="50" t="s">
        <v>910</v>
      </c>
      <c r="J2" s="50" t="s">
        <v>298</v>
      </c>
    </row>
    <row r="3" spans="1:13" ht="64">
      <c r="A3" s="51">
        <v>1</v>
      </c>
      <c r="B3" s="50" t="s">
        <v>1215</v>
      </c>
      <c r="C3" s="51">
        <v>2</v>
      </c>
      <c r="D3" s="50" t="s">
        <v>6</v>
      </c>
      <c r="E3" s="51">
        <v>10</v>
      </c>
      <c r="F3" s="50" t="s">
        <v>47</v>
      </c>
      <c r="G3" s="51">
        <v>35</v>
      </c>
      <c r="H3" s="51">
        <v>10</v>
      </c>
      <c r="I3" s="50" t="s">
        <v>910</v>
      </c>
      <c r="J3" s="50" t="s">
        <v>298</v>
      </c>
    </row>
    <row r="4" spans="1:13" ht="64">
      <c r="A4" s="51">
        <v>1</v>
      </c>
      <c r="B4" s="50" t="s">
        <v>1215</v>
      </c>
      <c r="C4" s="51">
        <v>7</v>
      </c>
      <c r="D4" s="50" t="s">
        <v>11</v>
      </c>
      <c r="E4" s="51">
        <v>10</v>
      </c>
      <c r="F4" s="50" t="s">
        <v>47</v>
      </c>
      <c r="G4" s="51">
        <v>75</v>
      </c>
      <c r="H4" s="51">
        <v>10</v>
      </c>
      <c r="I4" s="50" t="s">
        <v>910</v>
      </c>
      <c r="J4" s="50" t="s">
        <v>298</v>
      </c>
    </row>
    <row r="5" spans="1:13" ht="64">
      <c r="A5" s="51">
        <v>2</v>
      </c>
      <c r="B5" s="50" t="s">
        <v>1216</v>
      </c>
      <c r="C5" s="51">
        <v>7</v>
      </c>
      <c r="D5" s="50" t="s">
        <v>11</v>
      </c>
      <c r="E5" s="51">
        <v>10</v>
      </c>
      <c r="F5" s="50" t="s">
        <v>47</v>
      </c>
      <c r="G5" s="51">
        <v>106</v>
      </c>
      <c r="H5" s="51">
        <v>10</v>
      </c>
      <c r="I5" s="50" t="s">
        <v>910</v>
      </c>
      <c r="J5" s="50" t="s">
        <v>298</v>
      </c>
    </row>
    <row r="6" spans="1:13" ht="64">
      <c r="A6" s="51">
        <v>3</v>
      </c>
      <c r="B6" s="50" t="s">
        <v>277</v>
      </c>
      <c r="C6" s="51">
        <v>1</v>
      </c>
      <c r="D6" s="50" t="s">
        <v>5</v>
      </c>
      <c r="E6" s="51">
        <v>10</v>
      </c>
      <c r="F6" s="50" t="s">
        <v>47</v>
      </c>
      <c r="G6" s="51">
        <v>147</v>
      </c>
      <c r="H6" s="51">
        <v>10</v>
      </c>
      <c r="I6" s="50" t="s">
        <v>910</v>
      </c>
      <c r="J6" s="50" t="s">
        <v>298</v>
      </c>
    </row>
    <row r="7" spans="1:13" ht="64">
      <c r="A7" s="51">
        <v>3</v>
      </c>
      <c r="B7" s="50" t="s">
        <v>277</v>
      </c>
      <c r="C7" s="51">
        <v>2</v>
      </c>
      <c r="D7" s="50" t="s">
        <v>6</v>
      </c>
      <c r="E7" s="51">
        <v>10</v>
      </c>
      <c r="F7" s="50" t="s">
        <v>47</v>
      </c>
      <c r="G7" s="51">
        <v>172</v>
      </c>
      <c r="H7" s="51">
        <v>10</v>
      </c>
      <c r="I7" s="50" t="s">
        <v>910</v>
      </c>
      <c r="J7" s="50" t="s">
        <v>298</v>
      </c>
    </row>
    <row r="8" spans="1:13" ht="64">
      <c r="A8" s="51">
        <v>3</v>
      </c>
      <c r="B8" s="50" t="s">
        <v>277</v>
      </c>
      <c r="C8" s="51">
        <v>7</v>
      </c>
      <c r="D8" s="50" t="s">
        <v>11</v>
      </c>
      <c r="E8" s="51">
        <v>10</v>
      </c>
      <c r="F8" s="50" t="s">
        <v>47</v>
      </c>
      <c r="G8" s="51">
        <v>212</v>
      </c>
      <c r="H8" s="51">
        <v>10</v>
      </c>
      <c r="I8" s="50" t="s">
        <v>910</v>
      </c>
      <c r="J8" s="50" t="s">
        <v>298</v>
      </c>
    </row>
    <row r="9" spans="1:13" ht="112">
      <c r="A9" s="51">
        <v>4</v>
      </c>
      <c r="B9" s="50" t="s">
        <v>1218</v>
      </c>
      <c r="C9" s="51">
        <v>7</v>
      </c>
      <c r="D9" s="50" t="s">
        <v>11</v>
      </c>
      <c r="E9" s="51">
        <v>10</v>
      </c>
      <c r="F9" s="50" t="s">
        <v>47</v>
      </c>
      <c r="G9" s="51">
        <v>378</v>
      </c>
      <c r="H9" s="51">
        <v>10</v>
      </c>
      <c r="I9" s="50" t="s">
        <v>800</v>
      </c>
      <c r="J9" s="50" t="s">
        <v>801</v>
      </c>
    </row>
    <row r="10" spans="1:13" ht="64">
      <c r="A10" s="51">
        <v>5</v>
      </c>
      <c r="B10" s="50" t="s">
        <v>1219</v>
      </c>
      <c r="C10" s="51">
        <v>7</v>
      </c>
      <c r="D10" s="50" t="s">
        <v>11</v>
      </c>
      <c r="E10" s="51">
        <v>10</v>
      </c>
      <c r="F10" s="50" t="s">
        <v>47</v>
      </c>
      <c r="G10" s="51">
        <v>469</v>
      </c>
      <c r="H10" s="51">
        <v>10</v>
      </c>
      <c r="I10" s="50" t="s">
        <v>910</v>
      </c>
      <c r="J10" s="50" t="s">
        <v>298</v>
      </c>
    </row>
    <row r="11" spans="1:13" ht="64">
      <c r="A11" s="51">
        <v>6</v>
      </c>
      <c r="B11" s="50" t="s">
        <v>28</v>
      </c>
      <c r="C11" s="51">
        <v>7</v>
      </c>
      <c r="D11" s="50" t="s">
        <v>11</v>
      </c>
      <c r="E11" s="51">
        <v>10</v>
      </c>
      <c r="F11" s="50" t="s">
        <v>47</v>
      </c>
      <c r="G11" s="51">
        <v>572</v>
      </c>
      <c r="H11" s="51">
        <v>10</v>
      </c>
      <c r="I11" s="50" t="s">
        <v>910</v>
      </c>
      <c r="J11" s="50" t="s">
        <v>298</v>
      </c>
    </row>
    <row r="12" spans="1:13" ht="112">
      <c r="A12" s="51">
        <v>7</v>
      </c>
      <c r="B12" s="50" t="s">
        <v>1221</v>
      </c>
      <c r="C12" s="51">
        <v>7</v>
      </c>
      <c r="D12" s="50" t="s">
        <v>11</v>
      </c>
      <c r="E12" s="51">
        <v>10</v>
      </c>
      <c r="F12" s="50" t="s">
        <v>47</v>
      </c>
      <c r="G12" s="51">
        <v>643</v>
      </c>
      <c r="H12" s="51">
        <v>10</v>
      </c>
      <c r="I12" s="50" t="s">
        <v>1065</v>
      </c>
      <c r="J12" s="50" t="s">
        <v>1066</v>
      </c>
    </row>
    <row r="13" spans="1:13" ht="80">
      <c r="A13" s="51">
        <v>1</v>
      </c>
      <c r="B13" s="50" t="s">
        <v>1215</v>
      </c>
      <c r="C13" s="51">
        <v>2</v>
      </c>
      <c r="D13" s="50" t="s">
        <v>6</v>
      </c>
      <c r="E13" s="51">
        <v>32</v>
      </c>
      <c r="F13" s="50" t="s">
        <v>32</v>
      </c>
      <c r="G13" s="51">
        <v>32</v>
      </c>
      <c r="H13" s="51">
        <v>32</v>
      </c>
      <c r="I13" s="50" t="s">
        <v>1117</v>
      </c>
      <c r="J13" s="50" t="s">
        <v>298</v>
      </c>
    </row>
    <row r="14" spans="1:13" ht="80">
      <c r="A14" s="51">
        <v>3</v>
      </c>
      <c r="B14" s="50" t="s">
        <v>277</v>
      </c>
      <c r="C14" s="51">
        <v>2</v>
      </c>
      <c r="D14" s="50" t="s">
        <v>6</v>
      </c>
      <c r="E14" s="51">
        <v>32</v>
      </c>
      <c r="F14" s="50" t="s">
        <v>32</v>
      </c>
      <c r="G14" s="51">
        <v>169</v>
      </c>
      <c r="H14" s="51">
        <v>32</v>
      </c>
      <c r="I14" s="50" t="s">
        <v>1117</v>
      </c>
      <c r="J14" s="50" t="s">
        <v>298</v>
      </c>
    </row>
    <row r="15" spans="1:13" ht="16">
      <c r="A15" s="51">
        <v>6</v>
      </c>
      <c r="B15" s="50" t="s">
        <v>28</v>
      </c>
      <c r="C15" s="51">
        <v>24</v>
      </c>
      <c r="D15" s="50" t="s">
        <v>28</v>
      </c>
      <c r="E15" s="51">
        <v>32</v>
      </c>
      <c r="F15" s="50" t="s">
        <v>32</v>
      </c>
      <c r="G15" s="51">
        <v>556</v>
      </c>
      <c r="H15" s="51">
        <v>32</v>
      </c>
      <c r="I15" s="50" t="s">
        <v>989</v>
      </c>
      <c r="J15" s="50" t="s">
        <v>298</v>
      </c>
    </row>
    <row r="16" spans="1:13" ht="48">
      <c r="A16" s="51">
        <v>1</v>
      </c>
      <c r="B16" s="50" t="s">
        <v>1215</v>
      </c>
      <c r="C16" s="51">
        <v>2</v>
      </c>
      <c r="D16" s="50" t="s">
        <v>6</v>
      </c>
      <c r="E16" s="51">
        <v>33</v>
      </c>
      <c r="F16" s="50" t="s">
        <v>70</v>
      </c>
      <c r="G16" s="51">
        <v>33</v>
      </c>
      <c r="H16" s="51">
        <v>33</v>
      </c>
      <c r="I16" s="50" t="s">
        <v>1118</v>
      </c>
      <c r="J16" s="50" t="s">
        <v>298</v>
      </c>
    </row>
    <row r="17" spans="1:10" ht="48">
      <c r="A17" s="51">
        <v>1</v>
      </c>
      <c r="B17" s="50" t="s">
        <v>1215</v>
      </c>
      <c r="C17" s="51">
        <v>3</v>
      </c>
      <c r="D17" s="50" t="s">
        <v>7</v>
      </c>
      <c r="E17" s="51">
        <v>33</v>
      </c>
      <c r="F17" s="50" t="s">
        <v>70</v>
      </c>
      <c r="G17" s="51">
        <v>48</v>
      </c>
      <c r="H17" s="51">
        <v>33</v>
      </c>
      <c r="I17" s="50" t="s">
        <v>1119</v>
      </c>
      <c r="J17" s="50" t="s">
        <v>298</v>
      </c>
    </row>
    <row r="18" spans="1:10" ht="48">
      <c r="A18" s="51">
        <v>3</v>
      </c>
      <c r="B18" s="50" t="s">
        <v>277</v>
      </c>
      <c r="C18" s="51">
        <v>2</v>
      </c>
      <c r="D18" s="50" t="s">
        <v>6</v>
      </c>
      <c r="E18" s="51">
        <v>33</v>
      </c>
      <c r="F18" s="50" t="s">
        <v>70</v>
      </c>
      <c r="G18" s="51">
        <v>170</v>
      </c>
      <c r="H18" s="51">
        <v>33</v>
      </c>
      <c r="I18" s="50" t="s">
        <v>1118</v>
      </c>
      <c r="J18" s="50" t="s">
        <v>298</v>
      </c>
    </row>
    <row r="19" spans="1:10" ht="48">
      <c r="A19" s="51">
        <v>3</v>
      </c>
      <c r="B19" s="50" t="s">
        <v>277</v>
      </c>
      <c r="C19" s="51">
        <v>3</v>
      </c>
      <c r="D19" s="50" t="s">
        <v>7</v>
      </c>
      <c r="E19" s="51">
        <v>33</v>
      </c>
      <c r="F19" s="50" t="s">
        <v>70</v>
      </c>
      <c r="G19" s="51">
        <v>185</v>
      </c>
      <c r="H19" s="51">
        <v>33</v>
      </c>
      <c r="I19" s="50" t="s">
        <v>1119</v>
      </c>
      <c r="J19" s="50" t="s">
        <v>298</v>
      </c>
    </row>
    <row r="20" spans="1:10" ht="304">
      <c r="A20" s="51">
        <v>1</v>
      </c>
      <c r="B20" s="50" t="s">
        <v>1215</v>
      </c>
      <c r="C20" s="51">
        <v>5</v>
      </c>
      <c r="D20" s="50" t="s">
        <v>9</v>
      </c>
      <c r="E20" s="51">
        <v>55</v>
      </c>
      <c r="F20" s="50" t="s">
        <v>93</v>
      </c>
      <c r="G20" s="51">
        <v>58</v>
      </c>
      <c r="H20" s="51">
        <v>55</v>
      </c>
      <c r="I20" s="50" t="s">
        <v>1141</v>
      </c>
      <c r="J20" s="50" t="s">
        <v>298</v>
      </c>
    </row>
    <row r="21" spans="1:10" ht="304">
      <c r="A21" s="51">
        <v>2</v>
      </c>
      <c r="B21" s="50" t="s">
        <v>1216</v>
      </c>
      <c r="C21" s="51">
        <v>5</v>
      </c>
      <c r="D21" s="50" t="s">
        <v>9</v>
      </c>
      <c r="E21" s="51">
        <v>55</v>
      </c>
      <c r="F21" s="50" t="s">
        <v>93</v>
      </c>
      <c r="G21" s="51">
        <v>90</v>
      </c>
      <c r="H21" s="51">
        <v>55</v>
      </c>
      <c r="I21" s="50" t="s">
        <v>1141</v>
      </c>
      <c r="J21" s="50" t="s">
        <v>298</v>
      </c>
    </row>
    <row r="22" spans="1:10" ht="304">
      <c r="A22" s="51">
        <v>3</v>
      </c>
      <c r="B22" s="50" t="s">
        <v>277</v>
      </c>
      <c r="C22" s="51">
        <v>5</v>
      </c>
      <c r="D22" s="50" t="s">
        <v>9</v>
      </c>
      <c r="E22" s="51">
        <v>55</v>
      </c>
      <c r="F22" s="50" t="s">
        <v>93</v>
      </c>
      <c r="G22" s="51">
        <v>195</v>
      </c>
      <c r="H22" s="51">
        <v>55</v>
      </c>
      <c r="I22" s="50" t="s">
        <v>1141</v>
      </c>
      <c r="J22" s="50" t="s">
        <v>298</v>
      </c>
    </row>
    <row r="23" spans="1:10" ht="80">
      <c r="A23" s="51">
        <v>4</v>
      </c>
      <c r="B23" s="50" t="s">
        <v>1218</v>
      </c>
      <c r="C23" s="51">
        <v>13</v>
      </c>
      <c r="D23" s="50" t="s">
        <v>17</v>
      </c>
      <c r="E23" s="51">
        <v>55</v>
      </c>
      <c r="F23" s="50" t="s">
        <v>93</v>
      </c>
      <c r="G23" s="51">
        <v>272</v>
      </c>
      <c r="H23" s="51">
        <v>55</v>
      </c>
      <c r="I23" s="50" t="s">
        <v>604</v>
      </c>
      <c r="J23" s="50" t="s">
        <v>605</v>
      </c>
    </row>
    <row r="24" spans="1:10" ht="32">
      <c r="A24" s="51">
        <v>6</v>
      </c>
      <c r="B24" s="50" t="s">
        <v>28</v>
      </c>
      <c r="C24" s="51">
        <v>8</v>
      </c>
      <c r="D24" s="50" t="s">
        <v>12</v>
      </c>
      <c r="E24" s="51">
        <v>55</v>
      </c>
      <c r="F24" s="50" t="s">
        <v>93</v>
      </c>
      <c r="G24" s="51">
        <v>591</v>
      </c>
      <c r="H24" s="51">
        <v>55</v>
      </c>
      <c r="I24" s="50" t="s">
        <v>1013</v>
      </c>
      <c r="J24" s="50" t="s">
        <v>298</v>
      </c>
    </row>
    <row r="25" spans="1:10" ht="160">
      <c r="A25" s="51">
        <v>1</v>
      </c>
      <c r="B25" s="50" t="s">
        <v>1215</v>
      </c>
      <c r="C25" s="51">
        <v>5</v>
      </c>
      <c r="D25" s="50" t="s">
        <v>9</v>
      </c>
      <c r="E25" s="51">
        <v>56</v>
      </c>
      <c r="F25" s="50" t="s">
        <v>94</v>
      </c>
      <c r="G25" s="51">
        <v>59</v>
      </c>
      <c r="H25" s="51">
        <v>56</v>
      </c>
      <c r="I25" s="50" t="s">
        <v>1142</v>
      </c>
      <c r="J25" s="50" t="s">
        <v>298</v>
      </c>
    </row>
    <row r="26" spans="1:10" ht="160">
      <c r="A26" s="51">
        <v>2</v>
      </c>
      <c r="B26" s="50" t="s">
        <v>1216</v>
      </c>
      <c r="C26" s="51">
        <v>5</v>
      </c>
      <c r="D26" s="50" t="s">
        <v>9</v>
      </c>
      <c r="E26" s="51">
        <v>56</v>
      </c>
      <c r="F26" s="50" t="s">
        <v>94</v>
      </c>
      <c r="G26" s="51">
        <v>91</v>
      </c>
      <c r="H26" s="51">
        <v>56</v>
      </c>
      <c r="I26" s="50" t="s">
        <v>1142</v>
      </c>
      <c r="J26" s="50" t="s">
        <v>298</v>
      </c>
    </row>
    <row r="27" spans="1:10" ht="160">
      <c r="A27" s="51">
        <v>3</v>
      </c>
      <c r="B27" s="50" t="s">
        <v>277</v>
      </c>
      <c r="C27" s="51">
        <v>5</v>
      </c>
      <c r="D27" s="50" t="s">
        <v>9</v>
      </c>
      <c r="E27" s="51">
        <v>56</v>
      </c>
      <c r="F27" s="50" t="s">
        <v>94</v>
      </c>
      <c r="G27" s="51">
        <v>196</v>
      </c>
      <c r="H27" s="51">
        <v>56</v>
      </c>
      <c r="I27" s="50" t="s">
        <v>1142</v>
      </c>
      <c r="J27" s="50" t="s">
        <v>298</v>
      </c>
    </row>
    <row r="28" spans="1:10" ht="128">
      <c r="A28" s="51">
        <v>4</v>
      </c>
      <c r="B28" s="50" t="s">
        <v>1218</v>
      </c>
      <c r="C28" s="51">
        <v>13</v>
      </c>
      <c r="D28" s="50" t="s">
        <v>17</v>
      </c>
      <c r="E28" s="51">
        <v>56</v>
      </c>
      <c r="F28" s="50" t="s">
        <v>94</v>
      </c>
      <c r="G28" s="51">
        <v>269</v>
      </c>
      <c r="H28" s="51">
        <v>56</v>
      </c>
      <c r="I28" s="50" t="s">
        <v>598</v>
      </c>
      <c r="J28" s="50" t="s">
        <v>599</v>
      </c>
    </row>
    <row r="29" spans="1:10" ht="64">
      <c r="A29" s="51">
        <v>1</v>
      </c>
      <c r="B29" s="50" t="s">
        <v>1215</v>
      </c>
      <c r="C29" s="51">
        <v>6</v>
      </c>
      <c r="D29" s="50" t="s">
        <v>10</v>
      </c>
      <c r="E29" s="51">
        <v>65</v>
      </c>
      <c r="F29" s="50" t="s">
        <v>362</v>
      </c>
      <c r="G29" s="51">
        <v>68</v>
      </c>
      <c r="H29" s="51">
        <v>65</v>
      </c>
      <c r="I29" s="50" t="s">
        <v>1151</v>
      </c>
      <c r="J29" s="50" t="s">
        <v>298</v>
      </c>
    </row>
    <row r="30" spans="1:10" ht="64">
      <c r="A30" s="51">
        <v>2</v>
      </c>
      <c r="B30" s="50" t="s">
        <v>1216</v>
      </c>
      <c r="C30" s="51">
        <v>6</v>
      </c>
      <c r="D30" s="50" t="s">
        <v>10</v>
      </c>
      <c r="E30" s="51">
        <v>65</v>
      </c>
      <c r="F30" s="50" t="s">
        <v>362</v>
      </c>
      <c r="G30" s="51">
        <v>99</v>
      </c>
      <c r="H30" s="51">
        <v>65</v>
      </c>
      <c r="I30" s="50" t="s">
        <v>1151</v>
      </c>
      <c r="J30" s="50" t="s">
        <v>298</v>
      </c>
    </row>
    <row r="31" spans="1:10" ht="64">
      <c r="A31" s="51">
        <v>3</v>
      </c>
      <c r="B31" s="50" t="s">
        <v>277</v>
      </c>
      <c r="C31" s="51">
        <v>6</v>
      </c>
      <c r="D31" s="50" t="s">
        <v>10</v>
      </c>
      <c r="E31" s="51">
        <v>65</v>
      </c>
      <c r="F31" s="50" t="s">
        <v>362</v>
      </c>
      <c r="G31" s="51">
        <v>205</v>
      </c>
      <c r="H31" s="51">
        <v>65</v>
      </c>
      <c r="I31" s="50" t="s">
        <v>1151</v>
      </c>
      <c r="J31" s="50" t="s">
        <v>298</v>
      </c>
    </row>
    <row r="32" spans="1:10" ht="80">
      <c r="A32" s="51">
        <v>5</v>
      </c>
      <c r="B32" s="50" t="s">
        <v>1219</v>
      </c>
      <c r="C32" s="51">
        <v>6</v>
      </c>
      <c r="D32" s="50" t="s">
        <v>10</v>
      </c>
      <c r="E32" s="51">
        <v>65</v>
      </c>
      <c r="F32" s="50" t="s">
        <v>362</v>
      </c>
      <c r="G32" s="51">
        <v>484</v>
      </c>
      <c r="H32" s="51">
        <v>65</v>
      </c>
      <c r="I32" s="50" t="s">
        <v>921</v>
      </c>
      <c r="J32" s="50" t="s">
        <v>298</v>
      </c>
    </row>
    <row r="33" spans="1:10" ht="32">
      <c r="A33" s="51">
        <v>6</v>
      </c>
      <c r="B33" s="50" t="s">
        <v>28</v>
      </c>
      <c r="C33" s="51">
        <v>6</v>
      </c>
      <c r="D33" s="50" t="s">
        <v>10</v>
      </c>
      <c r="E33" s="51">
        <v>65</v>
      </c>
      <c r="F33" s="50" t="s">
        <v>362</v>
      </c>
      <c r="G33" s="51">
        <v>587</v>
      </c>
      <c r="H33" s="51">
        <v>65</v>
      </c>
      <c r="I33" s="50" t="s">
        <v>1010</v>
      </c>
      <c r="J33" s="50" t="s">
        <v>298</v>
      </c>
    </row>
    <row r="34" spans="1:10" ht="32">
      <c r="A34" s="51">
        <v>7</v>
      </c>
      <c r="B34" s="50" t="s">
        <v>1221</v>
      </c>
      <c r="C34" s="51">
        <v>6</v>
      </c>
      <c r="D34" s="50" t="s">
        <v>10</v>
      </c>
      <c r="E34" s="51">
        <v>65</v>
      </c>
      <c r="F34" s="50" t="s">
        <v>362</v>
      </c>
      <c r="G34" s="51">
        <v>661</v>
      </c>
      <c r="H34" s="51">
        <v>65</v>
      </c>
      <c r="I34" s="50" t="s">
        <v>1083</v>
      </c>
      <c r="J34" s="50" t="s">
        <v>298</v>
      </c>
    </row>
    <row r="35" spans="1:10" ht="48">
      <c r="A35" s="51">
        <v>1</v>
      </c>
      <c r="B35" s="50" t="s">
        <v>1215</v>
      </c>
      <c r="C35" s="51">
        <v>6</v>
      </c>
      <c r="D35" s="50" t="s">
        <v>10</v>
      </c>
      <c r="E35" s="51">
        <v>66</v>
      </c>
      <c r="F35" s="50" t="s">
        <v>286</v>
      </c>
      <c r="G35" s="51">
        <v>69</v>
      </c>
      <c r="H35" s="51">
        <v>66</v>
      </c>
      <c r="I35" s="50" t="s">
        <v>836</v>
      </c>
      <c r="J35" s="50" t="s">
        <v>298</v>
      </c>
    </row>
    <row r="36" spans="1:10" ht="48">
      <c r="A36" s="51">
        <v>2</v>
      </c>
      <c r="B36" s="50" t="s">
        <v>1216</v>
      </c>
      <c r="C36" s="51">
        <v>6</v>
      </c>
      <c r="D36" s="50" t="s">
        <v>10</v>
      </c>
      <c r="E36" s="51">
        <v>66</v>
      </c>
      <c r="F36" s="50" t="s">
        <v>286</v>
      </c>
      <c r="G36" s="51">
        <v>100</v>
      </c>
      <c r="H36" s="51">
        <v>66</v>
      </c>
      <c r="I36" s="50" t="s">
        <v>836</v>
      </c>
      <c r="J36" s="50" t="s">
        <v>298</v>
      </c>
    </row>
    <row r="37" spans="1:10" ht="48">
      <c r="A37" s="51">
        <v>3</v>
      </c>
      <c r="B37" s="50" t="s">
        <v>277</v>
      </c>
      <c r="C37" s="51">
        <v>6</v>
      </c>
      <c r="D37" s="50" t="s">
        <v>10</v>
      </c>
      <c r="E37" s="51">
        <v>66</v>
      </c>
      <c r="F37" s="50" t="s">
        <v>286</v>
      </c>
      <c r="G37" s="51">
        <v>206</v>
      </c>
      <c r="H37" s="51">
        <v>66</v>
      </c>
      <c r="I37" s="50" t="s">
        <v>836</v>
      </c>
      <c r="J37" s="50" t="s">
        <v>298</v>
      </c>
    </row>
    <row r="38" spans="1:10" ht="96">
      <c r="A38" s="51">
        <v>4</v>
      </c>
      <c r="B38" s="50" t="s">
        <v>1218</v>
      </c>
      <c r="C38" s="51">
        <v>6</v>
      </c>
      <c r="D38" s="50" t="s">
        <v>10</v>
      </c>
      <c r="E38" s="51">
        <v>66</v>
      </c>
      <c r="F38" s="50" t="s">
        <v>286</v>
      </c>
      <c r="G38" s="51">
        <v>396</v>
      </c>
      <c r="H38" s="51">
        <v>66</v>
      </c>
      <c r="I38" s="50" t="s">
        <v>836</v>
      </c>
      <c r="J38" s="50" t="s">
        <v>837</v>
      </c>
    </row>
    <row r="39" spans="1:10" ht="48">
      <c r="A39" s="51">
        <v>5</v>
      </c>
      <c r="B39" s="50" t="s">
        <v>1219</v>
      </c>
      <c r="C39" s="51">
        <v>6</v>
      </c>
      <c r="D39" s="50" t="s">
        <v>10</v>
      </c>
      <c r="E39" s="51">
        <v>66</v>
      </c>
      <c r="F39" s="50" t="s">
        <v>286</v>
      </c>
      <c r="G39" s="51">
        <v>486</v>
      </c>
      <c r="H39" s="51">
        <v>66</v>
      </c>
      <c r="I39" s="50" t="s">
        <v>836</v>
      </c>
      <c r="J39" s="50" t="s">
        <v>298</v>
      </c>
    </row>
    <row r="40" spans="1:10" ht="48">
      <c r="A40" s="51">
        <v>6</v>
      </c>
      <c r="B40" s="50" t="s">
        <v>28</v>
      </c>
      <c r="C40" s="51">
        <v>6</v>
      </c>
      <c r="D40" s="50" t="s">
        <v>10</v>
      </c>
      <c r="E40" s="51">
        <v>66</v>
      </c>
      <c r="F40" s="50" t="s">
        <v>286</v>
      </c>
      <c r="G40" s="51">
        <v>589</v>
      </c>
      <c r="H40" s="51">
        <v>66</v>
      </c>
      <c r="I40" s="50" t="s">
        <v>836</v>
      </c>
      <c r="J40" s="50" t="s">
        <v>298</v>
      </c>
    </row>
    <row r="41" spans="1:10" ht="48">
      <c r="A41" s="51">
        <v>7</v>
      </c>
      <c r="B41" s="50" t="s">
        <v>1221</v>
      </c>
      <c r="C41" s="51">
        <v>7</v>
      </c>
      <c r="D41" s="50" t="s">
        <v>11</v>
      </c>
      <c r="E41" s="51">
        <v>66</v>
      </c>
      <c r="F41" s="50" t="s">
        <v>286</v>
      </c>
      <c r="G41" s="51">
        <v>648</v>
      </c>
      <c r="H41" s="51">
        <v>66</v>
      </c>
      <c r="I41" s="50" t="s">
        <v>1069</v>
      </c>
      <c r="J41" s="50" t="s">
        <v>1152</v>
      </c>
    </row>
    <row r="42" spans="1:10" ht="64">
      <c r="A42" s="51">
        <v>1</v>
      </c>
      <c r="B42" s="50" t="s">
        <v>1215</v>
      </c>
      <c r="C42" s="51">
        <v>6</v>
      </c>
      <c r="D42" s="50" t="s">
        <v>10</v>
      </c>
      <c r="E42" s="51">
        <v>67</v>
      </c>
      <c r="F42" s="50" t="s">
        <v>288</v>
      </c>
      <c r="G42" s="51">
        <v>70</v>
      </c>
      <c r="H42" s="51">
        <v>67</v>
      </c>
      <c r="I42" s="50" t="s">
        <v>1153</v>
      </c>
      <c r="J42" s="50" t="s">
        <v>298</v>
      </c>
    </row>
    <row r="43" spans="1:10" ht="64">
      <c r="A43" s="51">
        <v>2</v>
      </c>
      <c r="B43" s="50" t="s">
        <v>1216</v>
      </c>
      <c r="C43" s="51">
        <v>6</v>
      </c>
      <c r="D43" s="50" t="s">
        <v>10</v>
      </c>
      <c r="E43" s="51">
        <v>67</v>
      </c>
      <c r="F43" s="50" t="s">
        <v>288</v>
      </c>
      <c r="G43" s="51">
        <v>101</v>
      </c>
      <c r="H43" s="51">
        <v>67</v>
      </c>
      <c r="I43" s="50" t="s">
        <v>1153</v>
      </c>
      <c r="J43" s="50" t="s">
        <v>298</v>
      </c>
    </row>
    <row r="44" spans="1:10" ht="64">
      <c r="A44" s="51">
        <v>3</v>
      </c>
      <c r="B44" s="50" t="s">
        <v>277</v>
      </c>
      <c r="C44" s="51">
        <v>6</v>
      </c>
      <c r="D44" s="50" t="s">
        <v>10</v>
      </c>
      <c r="E44" s="51">
        <v>67</v>
      </c>
      <c r="F44" s="50" t="s">
        <v>288</v>
      </c>
      <c r="G44" s="51">
        <v>207</v>
      </c>
      <c r="H44" s="51">
        <v>67</v>
      </c>
      <c r="I44" s="50" t="s">
        <v>1153</v>
      </c>
      <c r="J44" s="50" t="s">
        <v>298</v>
      </c>
    </row>
    <row r="45" spans="1:10" ht="32">
      <c r="A45" s="51">
        <v>4</v>
      </c>
      <c r="B45" s="50" t="s">
        <v>1218</v>
      </c>
      <c r="C45" s="51">
        <v>6</v>
      </c>
      <c r="D45" s="50" t="s">
        <v>10</v>
      </c>
      <c r="E45" s="51">
        <v>67</v>
      </c>
      <c r="F45" s="50" t="s">
        <v>288</v>
      </c>
      <c r="G45" s="51">
        <v>398</v>
      </c>
      <c r="H45" s="51">
        <v>67</v>
      </c>
      <c r="I45" s="50" t="s">
        <v>840</v>
      </c>
      <c r="J45" s="50" t="s">
        <v>841</v>
      </c>
    </row>
    <row r="46" spans="1:10" ht="32">
      <c r="A46" s="51">
        <v>1</v>
      </c>
      <c r="B46" s="50" t="s">
        <v>1215</v>
      </c>
      <c r="C46" s="51">
        <v>6</v>
      </c>
      <c r="D46" s="50" t="s">
        <v>10</v>
      </c>
      <c r="E46" s="51">
        <v>69</v>
      </c>
      <c r="F46" s="50" t="s">
        <v>105</v>
      </c>
      <c r="G46" s="51">
        <v>72</v>
      </c>
      <c r="H46" s="51">
        <v>69</v>
      </c>
      <c r="I46" s="50" t="s">
        <v>1155</v>
      </c>
      <c r="J46" s="50" t="s">
        <v>298</v>
      </c>
    </row>
    <row r="47" spans="1:10" ht="32">
      <c r="A47" s="51">
        <v>2</v>
      </c>
      <c r="B47" s="50" t="s">
        <v>1216</v>
      </c>
      <c r="C47" s="51">
        <v>6</v>
      </c>
      <c r="D47" s="50" t="s">
        <v>10</v>
      </c>
      <c r="E47" s="51">
        <v>69</v>
      </c>
      <c r="F47" s="50" t="s">
        <v>105</v>
      </c>
      <c r="G47" s="51">
        <v>103</v>
      </c>
      <c r="H47" s="51">
        <v>69</v>
      </c>
      <c r="I47" s="50" t="s">
        <v>1155</v>
      </c>
      <c r="J47" s="50" t="s">
        <v>298</v>
      </c>
    </row>
    <row r="48" spans="1:10" ht="32">
      <c r="A48" s="51">
        <v>3</v>
      </c>
      <c r="B48" s="50" t="s">
        <v>277</v>
      </c>
      <c r="C48" s="51">
        <v>6</v>
      </c>
      <c r="D48" s="50" t="s">
        <v>10</v>
      </c>
      <c r="E48" s="51">
        <v>69</v>
      </c>
      <c r="F48" s="50" t="s">
        <v>105</v>
      </c>
      <c r="G48" s="51">
        <v>209</v>
      </c>
      <c r="H48" s="51">
        <v>69</v>
      </c>
      <c r="I48" s="50" t="s">
        <v>1155</v>
      </c>
      <c r="J48" s="50" t="s">
        <v>298</v>
      </c>
    </row>
    <row r="49" spans="1:10" ht="32">
      <c r="A49" s="51">
        <v>4</v>
      </c>
      <c r="B49" s="50" t="s">
        <v>1218</v>
      </c>
      <c r="C49" s="51">
        <v>6</v>
      </c>
      <c r="D49" s="50" t="s">
        <v>10</v>
      </c>
      <c r="E49" s="51">
        <v>69</v>
      </c>
      <c r="F49" s="50" t="s">
        <v>105</v>
      </c>
      <c r="G49" s="51">
        <v>401</v>
      </c>
      <c r="H49" s="51">
        <v>69</v>
      </c>
      <c r="I49" s="50" t="s">
        <v>844</v>
      </c>
      <c r="J49" s="50" t="s">
        <v>841</v>
      </c>
    </row>
    <row r="50" spans="1:10" ht="48">
      <c r="A50" s="51">
        <v>1</v>
      </c>
      <c r="B50" s="50" t="s">
        <v>1215</v>
      </c>
      <c r="C50" s="51">
        <v>7</v>
      </c>
      <c r="D50" s="50" t="s">
        <v>11</v>
      </c>
      <c r="E50" s="51">
        <v>73</v>
      </c>
      <c r="F50" s="50" t="s">
        <v>353</v>
      </c>
      <c r="G50" s="51">
        <v>77</v>
      </c>
      <c r="H50" s="51">
        <v>73</v>
      </c>
      <c r="I50" s="50" t="s">
        <v>1159</v>
      </c>
      <c r="J50" s="50" t="s">
        <v>298</v>
      </c>
    </row>
    <row r="51" spans="1:10" ht="48">
      <c r="A51" s="51">
        <v>2</v>
      </c>
      <c r="B51" s="50" t="s">
        <v>1216</v>
      </c>
      <c r="C51" s="51">
        <v>7</v>
      </c>
      <c r="D51" s="50" t="s">
        <v>11</v>
      </c>
      <c r="E51" s="51">
        <v>73</v>
      </c>
      <c r="F51" s="50" t="s">
        <v>353</v>
      </c>
      <c r="G51" s="51">
        <v>108</v>
      </c>
      <c r="H51" s="51">
        <v>73</v>
      </c>
      <c r="I51" s="50" t="s">
        <v>1159</v>
      </c>
      <c r="J51" s="50" t="s">
        <v>298</v>
      </c>
    </row>
    <row r="52" spans="1:10" ht="48">
      <c r="A52" s="51">
        <v>3</v>
      </c>
      <c r="B52" s="50" t="s">
        <v>277</v>
      </c>
      <c r="C52" s="51">
        <v>7</v>
      </c>
      <c r="D52" s="50" t="s">
        <v>11</v>
      </c>
      <c r="E52" s="51">
        <v>73</v>
      </c>
      <c r="F52" s="50" t="s">
        <v>353</v>
      </c>
      <c r="G52" s="51">
        <v>214</v>
      </c>
      <c r="H52" s="51">
        <v>73</v>
      </c>
      <c r="I52" s="50" t="s">
        <v>1159</v>
      </c>
      <c r="J52" s="50" t="s">
        <v>298</v>
      </c>
    </row>
    <row r="53" spans="1:10" ht="32">
      <c r="A53" s="51">
        <v>5</v>
      </c>
      <c r="B53" s="50" t="s">
        <v>1219</v>
      </c>
      <c r="C53" s="51">
        <v>7</v>
      </c>
      <c r="D53" s="50" t="s">
        <v>11</v>
      </c>
      <c r="E53" s="51">
        <v>73</v>
      </c>
      <c r="F53" s="50" t="s">
        <v>353</v>
      </c>
      <c r="G53" s="51">
        <v>471</v>
      </c>
      <c r="H53" s="51">
        <v>73</v>
      </c>
      <c r="I53" s="50" t="s">
        <v>912</v>
      </c>
      <c r="J53" s="50" t="s">
        <v>298</v>
      </c>
    </row>
    <row r="54" spans="1:10" ht="32">
      <c r="A54" s="51">
        <v>6</v>
      </c>
      <c r="B54" s="50" t="s">
        <v>28</v>
      </c>
      <c r="C54" s="51">
        <v>7</v>
      </c>
      <c r="D54" s="50" t="s">
        <v>11</v>
      </c>
      <c r="E54" s="51">
        <v>73</v>
      </c>
      <c r="F54" s="50" t="s">
        <v>353</v>
      </c>
      <c r="G54" s="51">
        <v>574</v>
      </c>
      <c r="H54" s="51">
        <v>73</v>
      </c>
      <c r="I54" s="50" t="s">
        <v>912</v>
      </c>
      <c r="J54" s="50" t="s">
        <v>298</v>
      </c>
    </row>
    <row r="55" spans="1:10" ht="32">
      <c r="A55" s="51">
        <v>7</v>
      </c>
      <c r="B55" s="50" t="s">
        <v>1221</v>
      </c>
      <c r="C55" s="51">
        <v>7</v>
      </c>
      <c r="D55" s="50" t="s">
        <v>11</v>
      </c>
      <c r="E55" s="51">
        <v>73</v>
      </c>
      <c r="F55" s="50" t="s">
        <v>353</v>
      </c>
      <c r="G55" s="51">
        <v>645</v>
      </c>
      <c r="H55" s="51">
        <v>73</v>
      </c>
      <c r="I55" s="50" t="s">
        <v>912</v>
      </c>
      <c r="J55" s="50" t="s">
        <v>1152</v>
      </c>
    </row>
    <row r="56" spans="1:10" ht="48">
      <c r="A56" s="51">
        <v>1</v>
      </c>
      <c r="B56" s="50" t="s">
        <v>1215</v>
      </c>
      <c r="C56" s="51">
        <v>7</v>
      </c>
      <c r="D56" s="50" t="s">
        <v>11</v>
      </c>
      <c r="E56" s="51">
        <v>74</v>
      </c>
      <c r="F56" s="50" t="s">
        <v>109</v>
      </c>
      <c r="G56" s="51">
        <v>78</v>
      </c>
      <c r="H56" s="51">
        <v>74</v>
      </c>
      <c r="I56" s="50" t="s">
        <v>804</v>
      </c>
      <c r="J56" s="50" t="s">
        <v>298</v>
      </c>
    </row>
    <row r="57" spans="1:10" ht="48">
      <c r="A57" s="51">
        <v>2</v>
      </c>
      <c r="B57" s="50" t="s">
        <v>1216</v>
      </c>
      <c r="C57" s="51">
        <v>7</v>
      </c>
      <c r="D57" s="50" t="s">
        <v>11</v>
      </c>
      <c r="E57" s="51">
        <v>74</v>
      </c>
      <c r="F57" s="50" t="s">
        <v>109</v>
      </c>
      <c r="G57" s="51">
        <v>109</v>
      </c>
      <c r="H57" s="51">
        <v>74</v>
      </c>
      <c r="I57" s="50" t="s">
        <v>804</v>
      </c>
      <c r="J57" s="50" t="s">
        <v>298</v>
      </c>
    </row>
    <row r="58" spans="1:10" ht="48">
      <c r="A58" s="51">
        <v>3</v>
      </c>
      <c r="B58" s="50" t="s">
        <v>277</v>
      </c>
      <c r="C58" s="51">
        <v>7</v>
      </c>
      <c r="D58" s="50" t="s">
        <v>11</v>
      </c>
      <c r="E58" s="51">
        <v>74</v>
      </c>
      <c r="F58" s="50" t="s">
        <v>109</v>
      </c>
      <c r="G58" s="51">
        <v>215</v>
      </c>
      <c r="H58" s="51">
        <v>74</v>
      </c>
      <c r="I58" s="50" t="s">
        <v>804</v>
      </c>
      <c r="J58" s="50" t="s">
        <v>298</v>
      </c>
    </row>
    <row r="59" spans="1:10" ht="48">
      <c r="A59" s="51">
        <v>5</v>
      </c>
      <c r="B59" s="50" t="s">
        <v>1219</v>
      </c>
      <c r="C59" s="51">
        <v>7</v>
      </c>
      <c r="D59" s="50" t="s">
        <v>11</v>
      </c>
      <c r="E59" s="51">
        <v>74</v>
      </c>
      <c r="F59" s="50" t="s">
        <v>354</v>
      </c>
      <c r="G59" s="51">
        <v>472</v>
      </c>
      <c r="H59" s="51">
        <v>74</v>
      </c>
      <c r="I59" s="50" t="s">
        <v>804</v>
      </c>
      <c r="J59" s="50" t="s">
        <v>298</v>
      </c>
    </row>
    <row r="60" spans="1:10" ht="48">
      <c r="A60" s="51">
        <v>6</v>
      </c>
      <c r="B60" s="50" t="s">
        <v>28</v>
      </c>
      <c r="C60" s="51">
        <v>7</v>
      </c>
      <c r="D60" s="50" t="s">
        <v>11</v>
      </c>
      <c r="E60" s="51">
        <v>74</v>
      </c>
      <c r="F60" s="50" t="s">
        <v>354</v>
      </c>
      <c r="G60" s="51">
        <v>575</v>
      </c>
      <c r="H60" s="51">
        <v>74</v>
      </c>
      <c r="I60" s="50" t="s">
        <v>804</v>
      </c>
      <c r="J60" s="50" t="s">
        <v>298</v>
      </c>
    </row>
    <row r="61" spans="1:10" ht="80">
      <c r="A61" s="51">
        <v>7</v>
      </c>
      <c r="B61" s="50" t="s">
        <v>1221</v>
      </c>
      <c r="C61" s="51">
        <v>7</v>
      </c>
      <c r="D61" s="50" t="s">
        <v>11</v>
      </c>
      <c r="E61" s="51">
        <v>74</v>
      </c>
      <c r="F61" s="50" t="s">
        <v>354</v>
      </c>
      <c r="G61" s="51">
        <v>646</v>
      </c>
      <c r="H61" s="51">
        <v>74</v>
      </c>
      <c r="I61" s="50" t="s">
        <v>1067</v>
      </c>
      <c r="J61" s="50" t="s">
        <v>1152</v>
      </c>
    </row>
    <row r="62" spans="1:10" ht="48">
      <c r="A62" s="51">
        <v>1</v>
      </c>
      <c r="B62" s="50" t="s">
        <v>1215</v>
      </c>
      <c r="C62" s="51">
        <v>7</v>
      </c>
      <c r="D62" s="50" t="s">
        <v>11</v>
      </c>
      <c r="E62" s="51">
        <v>75</v>
      </c>
      <c r="F62" s="50" t="s">
        <v>355</v>
      </c>
      <c r="G62" s="51">
        <v>79</v>
      </c>
      <c r="H62" s="51">
        <v>75</v>
      </c>
      <c r="I62" s="50" t="s">
        <v>802</v>
      </c>
      <c r="J62" s="50" t="s">
        <v>298</v>
      </c>
    </row>
    <row r="63" spans="1:10" ht="48">
      <c r="A63" s="51">
        <v>2</v>
      </c>
      <c r="B63" s="50" t="s">
        <v>1216</v>
      </c>
      <c r="C63" s="51">
        <v>7</v>
      </c>
      <c r="D63" s="50" t="s">
        <v>11</v>
      </c>
      <c r="E63" s="51">
        <v>75</v>
      </c>
      <c r="F63" s="50" t="s">
        <v>355</v>
      </c>
      <c r="G63" s="51">
        <v>110</v>
      </c>
      <c r="H63" s="51">
        <v>75</v>
      </c>
      <c r="I63" s="50" t="s">
        <v>802</v>
      </c>
      <c r="J63" s="50" t="s">
        <v>298</v>
      </c>
    </row>
    <row r="64" spans="1:10" ht="48">
      <c r="A64" s="51">
        <v>3</v>
      </c>
      <c r="B64" s="50" t="s">
        <v>277</v>
      </c>
      <c r="C64" s="51">
        <v>7</v>
      </c>
      <c r="D64" s="50" t="s">
        <v>11</v>
      </c>
      <c r="E64" s="51">
        <v>75</v>
      </c>
      <c r="F64" s="50" t="s">
        <v>355</v>
      </c>
      <c r="G64" s="51">
        <v>216</v>
      </c>
      <c r="H64" s="51">
        <v>75</v>
      </c>
      <c r="I64" s="50" t="s">
        <v>802</v>
      </c>
      <c r="J64" s="50" t="s">
        <v>298</v>
      </c>
    </row>
    <row r="65" spans="1:10" ht="48">
      <c r="A65" s="51">
        <v>5</v>
      </c>
      <c r="B65" s="50" t="s">
        <v>1219</v>
      </c>
      <c r="C65" s="51">
        <v>7</v>
      </c>
      <c r="D65" s="50" t="s">
        <v>11</v>
      </c>
      <c r="E65" s="51">
        <v>75</v>
      </c>
      <c r="F65" s="50" t="s">
        <v>355</v>
      </c>
      <c r="G65" s="51">
        <v>473</v>
      </c>
      <c r="H65" s="51">
        <v>75</v>
      </c>
      <c r="I65" s="50" t="s">
        <v>802</v>
      </c>
      <c r="J65" s="50" t="s">
        <v>298</v>
      </c>
    </row>
    <row r="66" spans="1:10" ht="48">
      <c r="A66" s="51">
        <v>6</v>
      </c>
      <c r="B66" s="50" t="s">
        <v>28</v>
      </c>
      <c r="C66" s="51">
        <v>7</v>
      </c>
      <c r="D66" s="50" t="s">
        <v>11</v>
      </c>
      <c r="E66" s="51">
        <v>75</v>
      </c>
      <c r="F66" s="50" t="s">
        <v>355</v>
      </c>
      <c r="G66" s="51">
        <v>576</v>
      </c>
      <c r="H66" s="51">
        <v>75</v>
      </c>
      <c r="I66" s="50" t="s">
        <v>802</v>
      </c>
      <c r="J66" s="50" t="s">
        <v>298</v>
      </c>
    </row>
    <row r="67" spans="1:10" ht="160">
      <c r="A67" s="51">
        <v>7</v>
      </c>
      <c r="B67" s="50" t="s">
        <v>1221</v>
      </c>
      <c r="C67" s="51">
        <v>7</v>
      </c>
      <c r="D67" s="50" t="s">
        <v>11</v>
      </c>
      <c r="E67" s="51">
        <v>75</v>
      </c>
      <c r="F67" s="50" t="s">
        <v>355</v>
      </c>
      <c r="G67" s="51">
        <v>647</v>
      </c>
      <c r="H67" s="51">
        <v>75</v>
      </c>
      <c r="I67" s="50" t="s">
        <v>1068</v>
      </c>
      <c r="J67" s="50" t="s">
        <v>1160</v>
      </c>
    </row>
    <row r="68" spans="1:10" ht="32">
      <c r="A68" s="51">
        <v>1</v>
      </c>
      <c r="B68" s="50" t="s">
        <v>1215</v>
      </c>
      <c r="C68" s="51">
        <v>7</v>
      </c>
      <c r="D68" s="50" t="s">
        <v>11</v>
      </c>
      <c r="E68" s="51">
        <v>78</v>
      </c>
      <c r="F68" s="50" t="s">
        <v>112</v>
      </c>
      <c r="G68" s="51">
        <v>82</v>
      </c>
      <c r="H68" s="51">
        <v>78</v>
      </c>
      <c r="I68" s="50" t="s">
        <v>808</v>
      </c>
      <c r="J68" s="50" t="s">
        <v>298</v>
      </c>
    </row>
    <row r="69" spans="1:10" ht="32">
      <c r="A69" s="51">
        <v>2</v>
      </c>
      <c r="B69" s="50" t="s">
        <v>1216</v>
      </c>
      <c r="C69" s="51">
        <v>7</v>
      </c>
      <c r="D69" s="50" t="s">
        <v>11</v>
      </c>
      <c r="E69" s="51">
        <v>78</v>
      </c>
      <c r="F69" s="50" t="s">
        <v>112</v>
      </c>
      <c r="G69" s="51">
        <v>113</v>
      </c>
      <c r="H69" s="51">
        <v>78</v>
      </c>
      <c r="I69" s="50" t="s">
        <v>808</v>
      </c>
      <c r="J69" s="50" t="s">
        <v>298</v>
      </c>
    </row>
    <row r="70" spans="1:10" ht="32">
      <c r="A70" s="51">
        <v>3</v>
      </c>
      <c r="B70" s="50" t="s">
        <v>277</v>
      </c>
      <c r="C70" s="51">
        <v>7</v>
      </c>
      <c r="D70" s="50" t="s">
        <v>11</v>
      </c>
      <c r="E70" s="51">
        <v>78</v>
      </c>
      <c r="F70" s="50" t="s">
        <v>112</v>
      </c>
      <c r="G70" s="51">
        <v>219</v>
      </c>
      <c r="H70" s="51">
        <v>78</v>
      </c>
      <c r="I70" s="50" t="s">
        <v>808</v>
      </c>
      <c r="J70" s="50" t="s">
        <v>298</v>
      </c>
    </row>
    <row r="71" spans="1:10" ht="112">
      <c r="A71" s="51">
        <v>4</v>
      </c>
      <c r="B71" s="50" t="s">
        <v>1218</v>
      </c>
      <c r="C71" s="51">
        <v>7</v>
      </c>
      <c r="D71" s="50" t="s">
        <v>11</v>
      </c>
      <c r="E71" s="51">
        <v>78</v>
      </c>
      <c r="F71" s="50" t="s">
        <v>112</v>
      </c>
      <c r="G71" s="51">
        <v>382</v>
      </c>
      <c r="H71" s="51">
        <v>78</v>
      </c>
      <c r="I71" s="50" t="s">
        <v>808</v>
      </c>
      <c r="J71" s="50" t="s">
        <v>809</v>
      </c>
    </row>
    <row r="72" spans="1:10" ht="80">
      <c r="A72" s="51">
        <v>5</v>
      </c>
      <c r="B72" s="50" t="s">
        <v>1219</v>
      </c>
      <c r="C72" s="51">
        <v>7</v>
      </c>
      <c r="D72" s="50" t="s">
        <v>11</v>
      </c>
      <c r="E72" s="51">
        <v>78</v>
      </c>
      <c r="F72" s="50" t="s">
        <v>112</v>
      </c>
      <c r="G72" s="51">
        <v>476</v>
      </c>
      <c r="H72" s="51">
        <v>78</v>
      </c>
      <c r="I72" s="50" t="s">
        <v>915</v>
      </c>
      <c r="J72" s="50" t="s">
        <v>298</v>
      </c>
    </row>
    <row r="73" spans="1:10" ht="32">
      <c r="A73" s="51">
        <v>6</v>
      </c>
      <c r="B73" s="50" t="s">
        <v>28</v>
      </c>
      <c r="C73" s="51">
        <v>7</v>
      </c>
      <c r="D73" s="50" t="s">
        <v>11</v>
      </c>
      <c r="E73" s="51">
        <v>78</v>
      </c>
      <c r="F73" s="50" t="s">
        <v>112</v>
      </c>
      <c r="G73" s="51">
        <v>578</v>
      </c>
      <c r="H73" s="51">
        <v>78</v>
      </c>
      <c r="I73" s="50" t="s">
        <v>808</v>
      </c>
      <c r="J73" s="50" t="s">
        <v>298</v>
      </c>
    </row>
    <row r="74" spans="1:10" ht="112">
      <c r="A74" s="51">
        <v>7</v>
      </c>
      <c r="B74" s="50" t="s">
        <v>1221</v>
      </c>
      <c r="C74" s="51">
        <v>7</v>
      </c>
      <c r="D74" s="50" t="s">
        <v>11</v>
      </c>
      <c r="E74" s="51">
        <v>78</v>
      </c>
      <c r="F74" s="50" t="s">
        <v>112</v>
      </c>
      <c r="G74" s="51">
        <v>649</v>
      </c>
      <c r="H74" s="51">
        <v>78</v>
      </c>
      <c r="I74" s="50" t="s">
        <v>808</v>
      </c>
      <c r="J74" s="50" t="s">
        <v>1070</v>
      </c>
    </row>
    <row r="75" spans="1:10" ht="32">
      <c r="A75" s="51">
        <v>1</v>
      </c>
      <c r="B75" s="50" t="s">
        <v>1215</v>
      </c>
      <c r="C75" s="51">
        <v>7</v>
      </c>
      <c r="D75" s="50" t="s">
        <v>11</v>
      </c>
      <c r="E75" s="51">
        <v>80</v>
      </c>
      <c r="F75" s="50" t="s">
        <v>114</v>
      </c>
      <c r="G75" s="51">
        <v>84</v>
      </c>
      <c r="H75" s="51">
        <v>80</v>
      </c>
      <c r="I75" s="50" t="s">
        <v>810</v>
      </c>
      <c r="J75" s="50" t="s">
        <v>298</v>
      </c>
    </row>
    <row r="76" spans="1:10" ht="32">
      <c r="A76" s="51">
        <v>2</v>
      </c>
      <c r="B76" s="50" t="s">
        <v>1216</v>
      </c>
      <c r="C76" s="51">
        <v>7</v>
      </c>
      <c r="D76" s="50" t="s">
        <v>11</v>
      </c>
      <c r="E76" s="51">
        <v>80</v>
      </c>
      <c r="F76" s="50" t="s">
        <v>114</v>
      </c>
      <c r="G76" s="51">
        <v>115</v>
      </c>
      <c r="H76" s="51">
        <v>80</v>
      </c>
      <c r="I76" s="50" t="s">
        <v>810</v>
      </c>
      <c r="J76" s="50" t="s">
        <v>298</v>
      </c>
    </row>
    <row r="77" spans="1:10" ht="32">
      <c r="A77" s="51">
        <v>3</v>
      </c>
      <c r="B77" s="50" t="s">
        <v>277</v>
      </c>
      <c r="C77" s="51">
        <v>7</v>
      </c>
      <c r="D77" s="50" t="s">
        <v>11</v>
      </c>
      <c r="E77" s="51">
        <v>80</v>
      </c>
      <c r="F77" s="50" t="s">
        <v>114</v>
      </c>
      <c r="G77" s="51">
        <v>221</v>
      </c>
      <c r="H77" s="51">
        <v>80</v>
      </c>
      <c r="I77" s="50" t="s">
        <v>810</v>
      </c>
      <c r="J77" s="50" t="s">
        <v>298</v>
      </c>
    </row>
    <row r="78" spans="1:10" ht="32">
      <c r="A78" s="51">
        <v>5</v>
      </c>
      <c r="B78" s="50" t="s">
        <v>1219</v>
      </c>
      <c r="C78" s="51">
        <v>7</v>
      </c>
      <c r="D78" s="50" t="s">
        <v>11</v>
      </c>
      <c r="E78" s="51">
        <v>80</v>
      </c>
      <c r="F78" s="50" t="s">
        <v>114</v>
      </c>
      <c r="G78" s="51">
        <v>477</v>
      </c>
      <c r="H78" s="51">
        <v>80</v>
      </c>
      <c r="I78" s="50" t="s">
        <v>916</v>
      </c>
      <c r="J78" s="50" t="s">
        <v>298</v>
      </c>
    </row>
    <row r="79" spans="1:10" ht="32">
      <c r="A79" s="51">
        <v>6</v>
      </c>
      <c r="B79" s="50" t="s">
        <v>28</v>
      </c>
      <c r="C79" s="51">
        <v>7</v>
      </c>
      <c r="D79" s="50" t="s">
        <v>11</v>
      </c>
      <c r="E79" s="51">
        <v>80</v>
      </c>
      <c r="F79" s="50" t="s">
        <v>114</v>
      </c>
      <c r="G79" s="51">
        <v>579</v>
      </c>
      <c r="H79" s="51">
        <v>80</v>
      </c>
      <c r="I79" s="50" t="s">
        <v>810</v>
      </c>
      <c r="J79" s="50" t="s">
        <v>298</v>
      </c>
    </row>
    <row r="80" spans="1:10" ht="80">
      <c r="A80" s="51">
        <v>7</v>
      </c>
      <c r="B80" s="50" t="s">
        <v>1221</v>
      </c>
      <c r="C80" s="51">
        <v>7</v>
      </c>
      <c r="D80" s="50" t="s">
        <v>11</v>
      </c>
      <c r="E80" s="51">
        <v>80</v>
      </c>
      <c r="F80" s="50" t="s">
        <v>114</v>
      </c>
      <c r="G80" s="51">
        <v>652</v>
      </c>
      <c r="H80" s="51">
        <v>80</v>
      </c>
      <c r="I80" s="50" t="s">
        <v>810</v>
      </c>
      <c r="J80" s="50" t="s">
        <v>1073</v>
      </c>
    </row>
    <row r="81" spans="1:10" ht="80">
      <c r="A81" s="51">
        <v>1</v>
      </c>
      <c r="B81" s="50" t="s">
        <v>1215</v>
      </c>
      <c r="C81" s="51">
        <v>7</v>
      </c>
      <c r="D81" s="50" t="s">
        <v>11</v>
      </c>
      <c r="E81" s="51">
        <v>81</v>
      </c>
      <c r="F81" s="50" t="s">
        <v>115</v>
      </c>
      <c r="G81" s="51">
        <v>85</v>
      </c>
      <c r="H81" s="51">
        <v>81</v>
      </c>
      <c r="I81" s="50" t="s">
        <v>1163</v>
      </c>
      <c r="J81" s="50" t="s">
        <v>298</v>
      </c>
    </row>
    <row r="82" spans="1:10" ht="80">
      <c r="A82" s="51">
        <v>2</v>
      </c>
      <c r="B82" s="50" t="s">
        <v>1216</v>
      </c>
      <c r="C82" s="51">
        <v>7</v>
      </c>
      <c r="D82" s="50" t="s">
        <v>11</v>
      </c>
      <c r="E82" s="51">
        <v>81</v>
      </c>
      <c r="F82" s="50" t="s">
        <v>115</v>
      </c>
      <c r="G82" s="51">
        <v>116</v>
      </c>
      <c r="H82" s="51">
        <v>81</v>
      </c>
      <c r="I82" s="50" t="s">
        <v>1163</v>
      </c>
      <c r="J82" s="50" t="s">
        <v>298</v>
      </c>
    </row>
    <row r="83" spans="1:10" ht="80">
      <c r="A83" s="51">
        <v>3</v>
      </c>
      <c r="B83" s="50" t="s">
        <v>277</v>
      </c>
      <c r="C83" s="51">
        <v>7</v>
      </c>
      <c r="D83" s="50" t="s">
        <v>11</v>
      </c>
      <c r="E83" s="51">
        <v>81</v>
      </c>
      <c r="F83" s="50" t="s">
        <v>115</v>
      </c>
      <c r="G83" s="51">
        <v>222</v>
      </c>
      <c r="H83" s="51">
        <v>81</v>
      </c>
      <c r="I83" s="50" t="s">
        <v>1163</v>
      </c>
      <c r="J83" s="50" t="s">
        <v>298</v>
      </c>
    </row>
    <row r="84" spans="1:10" ht="112">
      <c r="A84" s="51">
        <v>4</v>
      </c>
      <c r="B84" s="50" t="s">
        <v>1218</v>
      </c>
      <c r="C84" s="51">
        <v>7</v>
      </c>
      <c r="D84" s="50" t="s">
        <v>11</v>
      </c>
      <c r="E84" s="51">
        <v>81</v>
      </c>
      <c r="F84" s="50" t="s">
        <v>115</v>
      </c>
      <c r="G84" s="51">
        <v>384</v>
      </c>
      <c r="H84" s="51">
        <v>81</v>
      </c>
      <c r="I84" s="50" t="s">
        <v>812</v>
      </c>
      <c r="J84" s="50" t="s">
        <v>813</v>
      </c>
    </row>
    <row r="85" spans="1:10" ht="16">
      <c r="A85" s="51">
        <v>5</v>
      </c>
      <c r="B85" s="50" t="s">
        <v>1219</v>
      </c>
      <c r="C85" s="51">
        <v>7</v>
      </c>
      <c r="D85" s="50" t="s">
        <v>11</v>
      </c>
      <c r="E85" s="51">
        <v>81</v>
      </c>
      <c r="F85" s="50" t="s">
        <v>115</v>
      </c>
      <c r="G85" s="51">
        <v>478</v>
      </c>
      <c r="H85" s="51">
        <v>81</v>
      </c>
      <c r="I85" s="50" t="s">
        <v>298</v>
      </c>
      <c r="J85" s="50" t="s">
        <v>298</v>
      </c>
    </row>
    <row r="86" spans="1:10" ht="80">
      <c r="A86" s="51">
        <v>6</v>
      </c>
      <c r="B86" s="50" t="s">
        <v>28</v>
      </c>
      <c r="C86" s="51">
        <v>7</v>
      </c>
      <c r="D86" s="50" t="s">
        <v>11</v>
      </c>
      <c r="E86" s="51">
        <v>81</v>
      </c>
      <c r="F86" s="50" t="s">
        <v>115</v>
      </c>
      <c r="G86" s="51">
        <v>580</v>
      </c>
      <c r="H86" s="51">
        <v>81</v>
      </c>
      <c r="I86" s="50" t="s">
        <v>812</v>
      </c>
      <c r="J86" s="50" t="s">
        <v>298</v>
      </c>
    </row>
    <row r="87" spans="1:10" ht="112">
      <c r="A87" s="51">
        <v>7</v>
      </c>
      <c r="B87" s="50" t="s">
        <v>1221</v>
      </c>
      <c r="C87" s="51">
        <v>7</v>
      </c>
      <c r="D87" s="50" t="s">
        <v>11</v>
      </c>
      <c r="E87" s="51">
        <v>81</v>
      </c>
      <c r="F87" s="50" t="s">
        <v>115</v>
      </c>
      <c r="G87" s="51">
        <v>653</v>
      </c>
      <c r="H87" s="51">
        <v>81</v>
      </c>
      <c r="I87" s="50" t="s">
        <v>812</v>
      </c>
      <c r="J87" s="50" t="s">
        <v>1074</v>
      </c>
    </row>
    <row r="88" spans="1:10" ht="64">
      <c r="A88" s="51">
        <v>1</v>
      </c>
      <c r="B88" s="50" t="s">
        <v>1215</v>
      </c>
      <c r="C88" s="51">
        <v>7</v>
      </c>
      <c r="D88" s="50" t="s">
        <v>11</v>
      </c>
      <c r="E88" s="51">
        <v>82</v>
      </c>
      <c r="F88" s="50" t="s">
        <v>116</v>
      </c>
      <c r="G88" s="51">
        <v>86</v>
      </c>
      <c r="H88" s="51">
        <v>82</v>
      </c>
      <c r="I88" s="50" t="s">
        <v>1164</v>
      </c>
      <c r="J88" s="50" t="s">
        <v>298</v>
      </c>
    </row>
    <row r="89" spans="1:10" ht="64">
      <c r="A89" s="51">
        <v>2</v>
      </c>
      <c r="B89" s="50" t="s">
        <v>1216</v>
      </c>
      <c r="C89" s="51">
        <v>7</v>
      </c>
      <c r="D89" s="50" t="s">
        <v>11</v>
      </c>
      <c r="E89" s="51">
        <v>82</v>
      </c>
      <c r="F89" s="50" t="s">
        <v>116</v>
      </c>
      <c r="G89" s="51">
        <v>117</v>
      </c>
      <c r="H89" s="51">
        <v>82</v>
      </c>
      <c r="I89" s="50" t="s">
        <v>1164</v>
      </c>
      <c r="J89" s="50" t="s">
        <v>298</v>
      </c>
    </row>
    <row r="90" spans="1:10" ht="64">
      <c r="A90" s="51">
        <v>3</v>
      </c>
      <c r="B90" s="50" t="s">
        <v>277</v>
      </c>
      <c r="C90" s="51">
        <v>7</v>
      </c>
      <c r="D90" s="50" t="s">
        <v>11</v>
      </c>
      <c r="E90" s="51">
        <v>82</v>
      </c>
      <c r="F90" s="50" t="s">
        <v>116</v>
      </c>
      <c r="G90" s="51">
        <v>223</v>
      </c>
      <c r="H90" s="51">
        <v>82</v>
      </c>
      <c r="I90" s="50" t="s">
        <v>1164</v>
      </c>
      <c r="J90" s="50" t="s">
        <v>298</v>
      </c>
    </row>
    <row r="91" spans="1:10" ht="80">
      <c r="A91" s="51">
        <v>4</v>
      </c>
      <c r="B91" s="50" t="s">
        <v>1218</v>
      </c>
      <c r="C91" s="51">
        <v>7</v>
      </c>
      <c r="D91" s="50" t="s">
        <v>11</v>
      </c>
      <c r="E91" s="51">
        <v>82</v>
      </c>
      <c r="F91" s="50" t="s">
        <v>116</v>
      </c>
      <c r="G91" s="51">
        <v>385</v>
      </c>
      <c r="H91" s="51">
        <v>82</v>
      </c>
      <c r="I91" s="50" t="s">
        <v>814</v>
      </c>
      <c r="J91" s="50" t="s">
        <v>815</v>
      </c>
    </row>
    <row r="92" spans="1:10" ht="48">
      <c r="A92" s="51">
        <v>5</v>
      </c>
      <c r="B92" s="50" t="s">
        <v>1219</v>
      </c>
      <c r="C92" s="51">
        <v>7</v>
      </c>
      <c r="D92" s="50" t="s">
        <v>11</v>
      </c>
      <c r="E92" s="51">
        <v>82</v>
      </c>
      <c r="F92" s="50" t="s">
        <v>116</v>
      </c>
      <c r="G92" s="51">
        <v>479</v>
      </c>
      <c r="H92" s="51">
        <v>82</v>
      </c>
      <c r="I92" s="50" t="s">
        <v>917</v>
      </c>
      <c r="J92" s="50" t="s">
        <v>298</v>
      </c>
    </row>
    <row r="93" spans="1:10" ht="48">
      <c r="A93" s="51">
        <v>6</v>
      </c>
      <c r="B93" s="50" t="s">
        <v>28</v>
      </c>
      <c r="C93" s="51">
        <v>7</v>
      </c>
      <c r="D93" s="50" t="s">
        <v>11</v>
      </c>
      <c r="E93" s="51">
        <v>82</v>
      </c>
      <c r="F93" s="50" t="s">
        <v>116</v>
      </c>
      <c r="G93" s="51">
        <v>581</v>
      </c>
      <c r="H93" s="51">
        <v>82</v>
      </c>
      <c r="I93" s="50" t="s">
        <v>1006</v>
      </c>
      <c r="J93" s="50" t="s">
        <v>298</v>
      </c>
    </row>
    <row r="94" spans="1:10" ht="16">
      <c r="A94" s="51">
        <v>7</v>
      </c>
      <c r="B94" s="50" t="s">
        <v>1221</v>
      </c>
      <c r="C94" s="51">
        <v>7</v>
      </c>
      <c r="D94" s="50" t="s">
        <v>11</v>
      </c>
      <c r="E94" s="51">
        <v>82</v>
      </c>
      <c r="F94" s="50" t="s">
        <v>116</v>
      </c>
      <c r="G94" s="51">
        <v>654</v>
      </c>
      <c r="H94" s="51">
        <v>82</v>
      </c>
      <c r="I94" s="50" t="s">
        <v>298</v>
      </c>
      <c r="J94" s="50" t="s">
        <v>298</v>
      </c>
    </row>
    <row r="95" spans="1:10" ht="80">
      <c r="A95" s="51">
        <v>1</v>
      </c>
      <c r="B95" s="50" t="s">
        <v>1215</v>
      </c>
      <c r="C95" s="51">
        <v>8</v>
      </c>
      <c r="D95" s="50" t="s">
        <v>12</v>
      </c>
      <c r="E95" s="51">
        <v>83</v>
      </c>
      <c r="F95" s="50" t="s">
        <v>117</v>
      </c>
      <c r="G95" s="51">
        <v>87</v>
      </c>
      <c r="H95" s="51">
        <v>83</v>
      </c>
      <c r="I95" s="50" t="s">
        <v>1165</v>
      </c>
      <c r="J95" s="50" t="s">
        <v>298</v>
      </c>
    </row>
    <row r="96" spans="1:10" ht="80">
      <c r="A96" s="51">
        <v>2</v>
      </c>
      <c r="B96" s="50" t="s">
        <v>1216</v>
      </c>
      <c r="C96" s="51">
        <v>8</v>
      </c>
      <c r="D96" s="50" t="s">
        <v>12</v>
      </c>
      <c r="E96" s="51">
        <v>83</v>
      </c>
      <c r="F96" s="50" t="s">
        <v>117</v>
      </c>
      <c r="G96" s="51">
        <v>118</v>
      </c>
      <c r="H96" s="51">
        <v>83</v>
      </c>
      <c r="I96" s="50" t="s">
        <v>1165</v>
      </c>
      <c r="J96" s="50" t="s">
        <v>298</v>
      </c>
    </row>
    <row r="97" spans="1:10" ht="80">
      <c r="A97" s="51">
        <v>3</v>
      </c>
      <c r="B97" s="50" t="s">
        <v>277</v>
      </c>
      <c r="C97" s="51">
        <v>8</v>
      </c>
      <c r="D97" s="50" t="s">
        <v>12</v>
      </c>
      <c r="E97" s="51">
        <v>83</v>
      </c>
      <c r="F97" s="50" t="s">
        <v>117</v>
      </c>
      <c r="G97" s="51">
        <v>224</v>
      </c>
      <c r="H97" s="51">
        <v>83</v>
      </c>
      <c r="I97" s="50" t="s">
        <v>1165</v>
      </c>
      <c r="J97" s="50" t="s">
        <v>298</v>
      </c>
    </row>
    <row r="98" spans="1:10" ht="80">
      <c r="A98" s="51">
        <v>4</v>
      </c>
      <c r="B98" s="50" t="s">
        <v>1218</v>
      </c>
      <c r="C98" s="51">
        <v>8</v>
      </c>
      <c r="D98" s="50" t="s">
        <v>12</v>
      </c>
      <c r="E98" s="51">
        <v>83</v>
      </c>
      <c r="F98" s="50" t="s">
        <v>117</v>
      </c>
      <c r="G98" s="51">
        <v>402</v>
      </c>
      <c r="H98" s="51">
        <v>83</v>
      </c>
      <c r="I98" s="50" t="s">
        <v>845</v>
      </c>
      <c r="J98" s="50" t="s">
        <v>298</v>
      </c>
    </row>
    <row r="99" spans="1:10" ht="32">
      <c r="A99" s="51">
        <v>5</v>
      </c>
      <c r="B99" s="50" t="s">
        <v>1219</v>
      </c>
      <c r="C99" s="51">
        <v>8</v>
      </c>
      <c r="D99" s="50" t="s">
        <v>12</v>
      </c>
      <c r="E99" s="51">
        <v>83</v>
      </c>
      <c r="F99" s="50" t="s">
        <v>117</v>
      </c>
      <c r="G99" s="51">
        <v>490</v>
      </c>
      <c r="H99" s="51">
        <v>83</v>
      </c>
      <c r="I99" s="50" t="s">
        <v>923</v>
      </c>
      <c r="J99" s="50" t="s">
        <v>298</v>
      </c>
    </row>
    <row r="100" spans="1:10" ht="96">
      <c r="A100" s="51">
        <v>1</v>
      </c>
      <c r="B100" s="50" t="s">
        <v>1215</v>
      </c>
      <c r="C100" s="51">
        <v>8</v>
      </c>
      <c r="D100" s="50" t="s">
        <v>12</v>
      </c>
      <c r="E100" s="51">
        <v>85</v>
      </c>
      <c r="F100" s="50" t="s">
        <v>119</v>
      </c>
      <c r="G100" s="51">
        <v>89</v>
      </c>
      <c r="H100" s="51">
        <v>85</v>
      </c>
      <c r="I100" s="50" t="s">
        <v>851</v>
      </c>
      <c r="J100" s="50" t="s">
        <v>298</v>
      </c>
    </row>
    <row r="101" spans="1:10" ht="96">
      <c r="A101" s="51">
        <v>2</v>
      </c>
      <c r="B101" s="50" t="s">
        <v>1216</v>
      </c>
      <c r="C101" s="51">
        <v>8</v>
      </c>
      <c r="D101" s="50" t="s">
        <v>12</v>
      </c>
      <c r="E101" s="51">
        <v>85</v>
      </c>
      <c r="F101" s="50" t="s">
        <v>119</v>
      </c>
      <c r="G101" s="51">
        <v>120</v>
      </c>
      <c r="H101" s="51">
        <v>85</v>
      </c>
      <c r="I101" s="50" t="s">
        <v>851</v>
      </c>
      <c r="J101" s="50" t="s">
        <v>298</v>
      </c>
    </row>
    <row r="102" spans="1:10" ht="96">
      <c r="A102" s="51">
        <v>3</v>
      </c>
      <c r="B102" s="50" t="s">
        <v>277</v>
      </c>
      <c r="C102" s="51">
        <v>8</v>
      </c>
      <c r="D102" s="50" t="s">
        <v>12</v>
      </c>
      <c r="E102" s="51">
        <v>85</v>
      </c>
      <c r="F102" s="50" t="s">
        <v>119</v>
      </c>
      <c r="G102" s="51">
        <v>226</v>
      </c>
      <c r="H102" s="51">
        <v>85</v>
      </c>
      <c r="I102" s="50" t="s">
        <v>851</v>
      </c>
      <c r="J102" s="50" t="s">
        <v>298</v>
      </c>
    </row>
    <row r="103" spans="1:10" ht="96">
      <c r="A103" s="51">
        <v>4</v>
      </c>
      <c r="B103" s="50" t="s">
        <v>1218</v>
      </c>
      <c r="C103" s="51">
        <v>8</v>
      </c>
      <c r="D103" s="50" t="s">
        <v>12</v>
      </c>
      <c r="E103" s="51">
        <v>85</v>
      </c>
      <c r="F103" s="50" t="s">
        <v>119</v>
      </c>
      <c r="G103" s="51">
        <v>408</v>
      </c>
      <c r="H103" s="51">
        <v>85</v>
      </c>
      <c r="I103" s="50" t="s">
        <v>851</v>
      </c>
      <c r="J103" s="50" t="s">
        <v>298</v>
      </c>
    </row>
    <row r="104" spans="1:10" ht="48">
      <c r="A104" s="51">
        <v>5</v>
      </c>
      <c r="B104" s="50" t="s">
        <v>1219</v>
      </c>
      <c r="C104" s="51">
        <v>8</v>
      </c>
      <c r="D104" s="50" t="s">
        <v>12</v>
      </c>
      <c r="E104" s="51">
        <v>85</v>
      </c>
      <c r="F104" s="50" t="s">
        <v>119</v>
      </c>
      <c r="G104" s="51">
        <v>493</v>
      </c>
      <c r="H104" s="51">
        <v>85</v>
      </c>
      <c r="I104" s="50" t="s">
        <v>926</v>
      </c>
      <c r="J104" s="50" t="s">
        <v>298</v>
      </c>
    </row>
    <row r="105" spans="1:10" ht="48">
      <c r="A105" s="51">
        <v>2</v>
      </c>
      <c r="B105" s="50" t="s">
        <v>1216</v>
      </c>
      <c r="C105" s="51">
        <v>10</v>
      </c>
      <c r="D105" s="50" t="s">
        <v>14</v>
      </c>
      <c r="E105" s="51">
        <v>101</v>
      </c>
      <c r="F105" s="50" t="s">
        <v>135</v>
      </c>
      <c r="G105" s="51">
        <v>136</v>
      </c>
      <c r="H105" s="51">
        <v>101</v>
      </c>
      <c r="I105" s="50" t="s">
        <v>1181</v>
      </c>
      <c r="J105" s="50" t="s">
        <v>298</v>
      </c>
    </row>
    <row r="106" spans="1:10" ht="48">
      <c r="A106" s="51">
        <v>3</v>
      </c>
      <c r="B106" s="50" t="s">
        <v>277</v>
      </c>
      <c r="C106" s="51">
        <v>10</v>
      </c>
      <c r="D106" s="50" t="s">
        <v>14</v>
      </c>
      <c r="E106" s="51">
        <v>101</v>
      </c>
      <c r="F106" s="50" t="s">
        <v>135</v>
      </c>
      <c r="G106" s="51">
        <v>242</v>
      </c>
      <c r="H106" s="51">
        <v>101</v>
      </c>
      <c r="I106" s="50" t="s">
        <v>1181</v>
      </c>
      <c r="J106" s="50" t="s">
        <v>298</v>
      </c>
    </row>
    <row r="107" spans="1:10" ht="64">
      <c r="A107" s="51">
        <v>4</v>
      </c>
      <c r="B107" s="50" t="s">
        <v>1218</v>
      </c>
      <c r="C107" s="51">
        <v>15</v>
      </c>
      <c r="D107" s="50" t="s">
        <v>19</v>
      </c>
      <c r="E107" s="51">
        <v>101</v>
      </c>
      <c r="F107" s="50" t="s">
        <v>135</v>
      </c>
      <c r="G107" s="51">
        <v>305</v>
      </c>
      <c r="H107" s="51">
        <v>101</v>
      </c>
      <c r="I107" s="50" t="s">
        <v>655</v>
      </c>
      <c r="J107" s="50" t="s">
        <v>656</v>
      </c>
    </row>
    <row r="108" spans="1:10" ht="64">
      <c r="A108" s="51">
        <v>5</v>
      </c>
      <c r="B108" s="50" t="s">
        <v>1219</v>
      </c>
      <c r="C108" s="51">
        <v>20</v>
      </c>
      <c r="D108" s="50" t="s">
        <v>24</v>
      </c>
      <c r="E108" s="51">
        <v>101</v>
      </c>
      <c r="F108" s="50" t="s">
        <v>135</v>
      </c>
      <c r="G108" s="51">
        <v>428</v>
      </c>
      <c r="H108" s="51">
        <v>101</v>
      </c>
      <c r="I108" s="50" t="s">
        <v>870</v>
      </c>
      <c r="J108" s="50" t="s">
        <v>298</v>
      </c>
    </row>
    <row r="109" spans="1:10" ht="32">
      <c r="A109" s="51">
        <v>6</v>
      </c>
      <c r="B109" s="50" t="s">
        <v>28</v>
      </c>
      <c r="C109" s="51">
        <v>25</v>
      </c>
      <c r="D109" s="50" t="s">
        <v>29</v>
      </c>
      <c r="E109" s="51">
        <v>101</v>
      </c>
      <c r="F109" s="50" t="s">
        <v>135</v>
      </c>
      <c r="G109" s="51">
        <v>564</v>
      </c>
      <c r="H109" s="51">
        <v>101</v>
      </c>
      <c r="I109" s="50" t="s">
        <v>997</v>
      </c>
      <c r="J109" s="50" t="s">
        <v>298</v>
      </c>
    </row>
    <row r="110" spans="1:10" ht="112">
      <c r="A110" s="51">
        <v>4</v>
      </c>
      <c r="B110" s="50" t="s">
        <v>1218</v>
      </c>
      <c r="C110" s="51">
        <v>11</v>
      </c>
      <c r="D110" s="50" t="s">
        <v>15</v>
      </c>
      <c r="E110" s="51">
        <v>109</v>
      </c>
      <c r="F110" s="50" t="s">
        <v>143</v>
      </c>
      <c r="G110" s="51">
        <v>250</v>
      </c>
      <c r="H110" s="51">
        <v>109</v>
      </c>
      <c r="I110" s="50" t="s">
        <v>560</v>
      </c>
      <c r="J110" s="50" t="s">
        <v>561</v>
      </c>
    </row>
    <row r="111" spans="1:10" ht="32">
      <c r="A111" s="51">
        <v>5</v>
      </c>
      <c r="B111" s="50" t="s">
        <v>1219</v>
      </c>
      <c r="C111" s="51">
        <v>21</v>
      </c>
      <c r="D111" s="50" t="s">
        <v>25</v>
      </c>
      <c r="E111" s="51">
        <v>109</v>
      </c>
      <c r="F111" s="50" t="s">
        <v>143</v>
      </c>
      <c r="G111" s="51">
        <v>446</v>
      </c>
      <c r="H111" s="51">
        <v>109</v>
      </c>
      <c r="I111" s="50" t="s">
        <v>888</v>
      </c>
      <c r="J111" s="50" t="s">
        <v>298</v>
      </c>
    </row>
    <row r="112" spans="1:10" ht="80">
      <c r="A112" s="51">
        <v>4</v>
      </c>
      <c r="B112" s="50" t="s">
        <v>1218</v>
      </c>
      <c r="C112" s="51">
        <v>11</v>
      </c>
      <c r="D112" s="50" t="s">
        <v>15</v>
      </c>
      <c r="E112" s="51">
        <v>112</v>
      </c>
      <c r="F112" s="50" t="s">
        <v>147</v>
      </c>
      <c r="G112" s="51">
        <v>253</v>
      </c>
      <c r="H112" s="51">
        <v>112</v>
      </c>
      <c r="I112" s="50" t="s">
        <v>566</v>
      </c>
      <c r="J112" s="50" t="s">
        <v>567</v>
      </c>
    </row>
    <row r="113" spans="1:10" ht="32">
      <c r="A113" s="51">
        <v>5</v>
      </c>
      <c r="B113" s="50" t="s">
        <v>1219</v>
      </c>
      <c r="C113" s="51">
        <v>21</v>
      </c>
      <c r="D113" s="50" t="s">
        <v>25</v>
      </c>
      <c r="E113" s="51">
        <v>112</v>
      </c>
      <c r="F113" s="50" t="s">
        <v>147</v>
      </c>
      <c r="G113" s="51">
        <v>452</v>
      </c>
      <c r="H113" s="51">
        <v>112</v>
      </c>
      <c r="I113" s="50" t="s">
        <v>894</v>
      </c>
      <c r="J113" s="50" t="s">
        <v>298</v>
      </c>
    </row>
    <row r="114" spans="1:10" ht="64">
      <c r="A114" s="51">
        <v>4</v>
      </c>
      <c r="B114" s="50" t="s">
        <v>1218</v>
      </c>
      <c r="C114" s="51">
        <v>11</v>
      </c>
      <c r="D114" s="50" t="s">
        <v>15</v>
      </c>
      <c r="E114" s="51">
        <v>113</v>
      </c>
      <c r="F114" s="50" t="s">
        <v>148</v>
      </c>
      <c r="G114" s="51">
        <v>254</v>
      </c>
      <c r="H114" s="51">
        <v>113</v>
      </c>
      <c r="I114" s="50" t="s">
        <v>568</v>
      </c>
      <c r="J114" s="50" t="s">
        <v>569</v>
      </c>
    </row>
    <row r="115" spans="1:10" ht="96">
      <c r="A115" s="51">
        <v>4</v>
      </c>
      <c r="B115" s="50" t="s">
        <v>1218</v>
      </c>
      <c r="C115" s="51">
        <v>15</v>
      </c>
      <c r="D115" s="50" t="s">
        <v>19</v>
      </c>
      <c r="E115" s="51">
        <v>113</v>
      </c>
      <c r="F115" s="50" t="s">
        <v>148</v>
      </c>
      <c r="G115" s="51">
        <v>310</v>
      </c>
      <c r="H115" s="51">
        <v>113</v>
      </c>
      <c r="I115" s="50" t="s">
        <v>665</v>
      </c>
      <c r="J115" s="50" t="s">
        <v>666</v>
      </c>
    </row>
    <row r="116" spans="1:10" ht="32">
      <c r="A116" s="51">
        <v>4</v>
      </c>
      <c r="B116" s="50" t="s">
        <v>1218</v>
      </c>
      <c r="C116" s="51">
        <v>11</v>
      </c>
      <c r="D116" s="50" t="s">
        <v>15</v>
      </c>
      <c r="E116" s="51">
        <v>114</v>
      </c>
      <c r="F116" s="50" t="s">
        <v>149</v>
      </c>
      <c r="G116" s="51">
        <v>255</v>
      </c>
      <c r="H116" s="51">
        <v>114</v>
      </c>
      <c r="I116" s="50" t="s">
        <v>570</v>
      </c>
      <c r="J116" s="50" t="s">
        <v>571</v>
      </c>
    </row>
    <row r="117" spans="1:10" ht="32">
      <c r="A117" s="51">
        <v>5</v>
      </c>
      <c r="B117" s="50" t="s">
        <v>1219</v>
      </c>
      <c r="C117" s="51">
        <v>19</v>
      </c>
      <c r="D117" s="50" t="s">
        <v>23</v>
      </c>
      <c r="E117" s="51">
        <v>114</v>
      </c>
      <c r="F117" s="50" t="s">
        <v>149</v>
      </c>
      <c r="G117" s="51">
        <v>415</v>
      </c>
      <c r="H117" s="51">
        <v>114</v>
      </c>
      <c r="I117" s="50" t="s">
        <v>858</v>
      </c>
      <c r="J117" s="50" t="s">
        <v>298</v>
      </c>
    </row>
    <row r="118" spans="1:10" ht="80">
      <c r="A118" s="51">
        <v>4</v>
      </c>
      <c r="B118" s="50" t="s">
        <v>1218</v>
      </c>
      <c r="C118" s="51">
        <v>11</v>
      </c>
      <c r="D118" s="50" t="s">
        <v>15</v>
      </c>
      <c r="E118" s="51">
        <v>115</v>
      </c>
      <c r="F118" s="50" t="s">
        <v>150</v>
      </c>
      <c r="G118" s="51">
        <v>256</v>
      </c>
      <c r="H118" s="51">
        <v>115</v>
      </c>
      <c r="I118" s="50" t="s">
        <v>572</v>
      </c>
      <c r="J118" s="50" t="s">
        <v>573</v>
      </c>
    </row>
    <row r="119" spans="1:10" ht="96">
      <c r="A119" s="51">
        <v>4</v>
      </c>
      <c r="B119" s="50" t="s">
        <v>1218</v>
      </c>
      <c r="C119" s="51">
        <v>15</v>
      </c>
      <c r="D119" s="50" t="s">
        <v>19</v>
      </c>
      <c r="E119" s="51">
        <v>115</v>
      </c>
      <c r="F119" s="50" t="s">
        <v>150</v>
      </c>
      <c r="G119" s="51">
        <v>292</v>
      </c>
      <c r="H119" s="51">
        <v>115</v>
      </c>
      <c r="I119" s="50" t="s">
        <v>629</v>
      </c>
      <c r="J119" s="50" t="s">
        <v>630</v>
      </c>
    </row>
    <row r="120" spans="1:10" ht="144">
      <c r="A120" s="51">
        <v>4</v>
      </c>
      <c r="B120" s="50" t="s">
        <v>1218</v>
      </c>
      <c r="C120" s="51">
        <v>17</v>
      </c>
      <c r="D120" s="50" t="s">
        <v>21</v>
      </c>
      <c r="E120" s="51">
        <v>115</v>
      </c>
      <c r="F120" s="50" t="s">
        <v>150</v>
      </c>
      <c r="G120" s="51">
        <v>353</v>
      </c>
      <c r="H120" s="51">
        <v>115</v>
      </c>
      <c r="I120" s="50" t="s">
        <v>751</v>
      </c>
      <c r="J120" s="50" t="s">
        <v>752</v>
      </c>
    </row>
    <row r="121" spans="1:10" ht="144">
      <c r="A121" s="51">
        <v>7</v>
      </c>
      <c r="B121" s="50" t="s">
        <v>1221</v>
      </c>
      <c r="C121" s="51">
        <v>26</v>
      </c>
      <c r="D121" s="50" t="s">
        <v>30</v>
      </c>
      <c r="E121" s="51">
        <v>115</v>
      </c>
      <c r="F121" s="50" t="s">
        <v>150</v>
      </c>
      <c r="G121" s="51">
        <v>606</v>
      </c>
      <c r="H121" s="51">
        <v>115</v>
      </c>
      <c r="I121" s="50" t="s">
        <v>1028</v>
      </c>
      <c r="J121" s="50" t="s">
        <v>752</v>
      </c>
    </row>
    <row r="122" spans="1:10" ht="80">
      <c r="A122" s="51">
        <v>4</v>
      </c>
      <c r="B122" s="50" t="s">
        <v>1218</v>
      </c>
      <c r="C122" s="51">
        <v>13</v>
      </c>
      <c r="D122" s="50" t="s">
        <v>17</v>
      </c>
      <c r="E122" s="51">
        <v>128</v>
      </c>
      <c r="F122" s="50" t="s">
        <v>163</v>
      </c>
      <c r="G122" s="51">
        <v>270</v>
      </c>
      <c r="H122" s="51">
        <v>128</v>
      </c>
      <c r="I122" s="50" t="s">
        <v>600</v>
      </c>
      <c r="J122" s="50" t="s">
        <v>601</v>
      </c>
    </row>
    <row r="123" spans="1:10" ht="112">
      <c r="A123" s="51">
        <v>4</v>
      </c>
      <c r="B123" s="50" t="s">
        <v>1218</v>
      </c>
      <c r="C123" s="51">
        <v>18</v>
      </c>
      <c r="D123" s="50" t="s">
        <v>22</v>
      </c>
      <c r="E123" s="51">
        <v>128</v>
      </c>
      <c r="F123" s="50" t="s">
        <v>163</v>
      </c>
      <c r="G123" s="51">
        <v>361</v>
      </c>
      <c r="H123" s="51">
        <v>128</v>
      </c>
      <c r="I123" s="50" t="s">
        <v>767</v>
      </c>
      <c r="J123" s="50" t="s">
        <v>768</v>
      </c>
    </row>
    <row r="124" spans="1:10" ht="64">
      <c r="A124" s="51">
        <v>5</v>
      </c>
      <c r="B124" s="50" t="s">
        <v>1219</v>
      </c>
      <c r="C124" s="51">
        <v>21</v>
      </c>
      <c r="D124" s="50" t="s">
        <v>25</v>
      </c>
      <c r="E124" s="51">
        <v>128</v>
      </c>
      <c r="F124" s="50" t="s">
        <v>163</v>
      </c>
      <c r="G124" s="51">
        <v>448</v>
      </c>
      <c r="H124" s="51">
        <v>128</v>
      </c>
      <c r="I124" s="50" t="s">
        <v>890</v>
      </c>
      <c r="J124" s="50" t="s">
        <v>298</v>
      </c>
    </row>
    <row r="125" spans="1:10" ht="64">
      <c r="A125" s="51">
        <v>4</v>
      </c>
      <c r="B125" s="50" t="s">
        <v>1218</v>
      </c>
      <c r="C125" s="51">
        <v>13</v>
      </c>
      <c r="D125" s="50" t="s">
        <v>17</v>
      </c>
      <c r="E125" s="51">
        <v>130</v>
      </c>
      <c r="F125" s="50" t="s">
        <v>165</v>
      </c>
      <c r="G125" s="51">
        <v>273</v>
      </c>
      <c r="H125" s="51">
        <v>130</v>
      </c>
      <c r="I125" s="50" t="s">
        <v>606</v>
      </c>
      <c r="J125" s="50" t="s">
        <v>607</v>
      </c>
    </row>
    <row r="126" spans="1:10" ht="64">
      <c r="A126" s="51">
        <v>6</v>
      </c>
      <c r="B126" s="50" t="s">
        <v>28</v>
      </c>
      <c r="C126" s="51">
        <v>23</v>
      </c>
      <c r="D126" s="50" t="s">
        <v>27</v>
      </c>
      <c r="E126" s="51">
        <v>130</v>
      </c>
      <c r="F126" s="50" t="s">
        <v>165</v>
      </c>
      <c r="G126" s="51">
        <v>505</v>
      </c>
      <c r="H126" s="51">
        <v>130</v>
      </c>
      <c r="I126" s="50" t="s">
        <v>938</v>
      </c>
      <c r="J126" s="50" t="s">
        <v>298</v>
      </c>
    </row>
    <row r="127" spans="1:10" ht="112">
      <c r="A127" s="51">
        <v>4</v>
      </c>
      <c r="B127" s="50" t="s">
        <v>1218</v>
      </c>
      <c r="C127" s="51">
        <v>13</v>
      </c>
      <c r="D127" s="50" t="s">
        <v>17</v>
      </c>
      <c r="E127" s="51">
        <v>131</v>
      </c>
      <c r="F127" s="50" t="s">
        <v>379</v>
      </c>
      <c r="G127" s="51">
        <v>274</v>
      </c>
      <c r="H127" s="51">
        <v>131</v>
      </c>
      <c r="I127" s="50" t="s">
        <v>608</v>
      </c>
      <c r="J127" s="50" t="s">
        <v>609</v>
      </c>
    </row>
    <row r="128" spans="1:10" ht="32">
      <c r="A128" s="51">
        <v>6</v>
      </c>
      <c r="B128" s="50" t="s">
        <v>28</v>
      </c>
      <c r="C128" s="51">
        <v>23</v>
      </c>
      <c r="D128" s="50" t="s">
        <v>27</v>
      </c>
      <c r="E128" s="51">
        <v>131</v>
      </c>
      <c r="F128" s="50" t="s">
        <v>379</v>
      </c>
      <c r="G128" s="51">
        <v>506</v>
      </c>
      <c r="H128" s="51">
        <v>131</v>
      </c>
      <c r="I128" s="50" t="s">
        <v>939</v>
      </c>
      <c r="J128" s="50" t="s">
        <v>298</v>
      </c>
    </row>
    <row r="129" spans="1:10" ht="32">
      <c r="A129" s="51">
        <v>4</v>
      </c>
      <c r="B129" s="50" t="s">
        <v>1218</v>
      </c>
      <c r="C129" s="51">
        <v>14</v>
      </c>
      <c r="D129" s="50" t="s">
        <v>18</v>
      </c>
      <c r="E129" s="51">
        <v>133</v>
      </c>
      <c r="F129" s="50" t="s">
        <v>168</v>
      </c>
      <c r="G129" s="51">
        <v>276</v>
      </c>
      <c r="H129" s="51">
        <v>133</v>
      </c>
      <c r="I129" s="50" t="s">
        <v>611</v>
      </c>
      <c r="J129" s="50" t="s">
        <v>298</v>
      </c>
    </row>
    <row r="130" spans="1:10" ht="128">
      <c r="A130" s="51">
        <v>4</v>
      </c>
      <c r="B130" s="50" t="s">
        <v>1218</v>
      </c>
      <c r="C130" s="51">
        <v>15</v>
      </c>
      <c r="D130" s="50" t="s">
        <v>19</v>
      </c>
      <c r="E130" s="51">
        <v>133</v>
      </c>
      <c r="F130" s="50" t="s">
        <v>168</v>
      </c>
      <c r="G130" s="51">
        <v>311</v>
      </c>
      <c r="H130" s="51">
        <v>133</v>
      </c>
      <c r="I130" s="50" t="s">
        <v>667</v>
      </c>
      <c r="J130" s="50" t="s">
        <v>668</v>
      </c>
    </row>
    <row r="131" spans="1:10" ht="32">
      <c r="A131" s="51">
        <v>4</v>
      </c>
      <c r="B131" s="50" t="s">
        <v>1218</v>
      </c>
      <c r="C131" s="51">
        <v>14</v>
      </c>
      <c r="D131" s="50" t="s">
        <v>18</v>
      </c>
      <c r="E131" s="51">
        <v>142</v>
      </c>
      <c r="F131" s="50" t="s">
        <v>177</v>
      </c>
      <c r="G131" s="51">
        <v>285</v>
      </c>
      <c r="H131" s="51">
        <v>142</v>
      </c>
      <c r="I131" s="50" t="s">
        <v>620</v>
      </c>
      <c r="J131" s="50" t="s">
        <v>298</v>
      </c>
    </row>
    <row r="132" spans="1:10" ht="80">
      <c r="A132" s="51">
        <v>5</v>
      </c>
      <c r="B132" s="50" t="s">
        <v>1219</v>
      </c>
      <c r="C132" s="51">
        <v>20</v>
      </c>
      <c r="D132" s="50" t="s">
        <v>24</v>
      </c>
      <c r="E132" s="51">
        <v>142</v>
      </c>
      <c r="F132" s="50" t="s">
        <v>177</v>
      </c>
      <c r="G132" s="51">
        <v>430</v>
      </c>
      <c r="H132" s="51">
        <v>142</v>
      </c>
      <c r="I132" s="50" t="s">
        <v>872</v>
      </c>
      <c r="J132" s="50" t="s">
        <v>298</v>
      </c>
    </row>
    <row r="133" spans="1:10" ht="32">
      <c r="A133" s="51">
        <v>4</v>
      </c>
      <c r="B133" s="50" t="s">
        <v>1218</v>
      </c>
      <c r="C133" s="51">
        <v>14</v>
      </c>
      <c r="D133" s="50" t="s">
        <v>18</v>
      </c>
      <c r="E133" s="51">
        <v>146</v>
      </c>
      <c r="F133" s="50" t="s">
        <v>181</v>
      </c>
      <c r="G133" s="51">
        <v>289</v>
      </c>
      <c r="H133" s="51">
        <v>146</v>
      </c>
      <c r="I133" s="50" t="s">
        <v>624</v>
      </c>
      <c r="J133" s="50" t="s">
        <v>298</v>
      </c>
    </row>
    <row r="134" spans="1:10" ht="32">
      <c r="A134" s="51">
        <v>6</v>
      </c>
      <c r="B134" s="50" t="s">
        <v>28</v>
      </c>
      <c r="C134" s="51">
        <v>24</v>
      </c>
      <c r="D134" s="50" t="s">
        <v>28</v>
      </c>
      <c r="E134" s="51">
        <v>146</v>
      </c>
      <c r="F134" s="50" t="s">
        <v>181</v>
      </c>
      <c r="G134" s="51">
        <v>557</v>
      </c>
      <c r="H134" s="51">
        <v>146</v>
      </c>
      <c r="I134" s="50" t="s">
        <v>990</v>
      </c>
      <c r="J134" s="50" t="s">
        <v>298</v>
      </c>
    </row>
    <row r="135" spans="1:10" ht="96">
      <c r="A135" s="51">
        <v>4</v>
      </c>
      <c r="B135" s="50" t="s">
        <v>1218</v>
      </c>
      <c r="C135" s="51">
        <v>15</v>
      </c>
      <c r="D135" s="50" t="s">
        <v>19</v>
      </c>
      <c r="E135" s="51">
        <v>149</v>
      </c>
      <c r="F135" s="50" t="s">
        <v>185</v>
      </c>
      <c r="G135" s="51">
        <v>293</v>
      </c>
      <c r="H135" s="51">
        <v>149</v>
      </c>
      <c r="I135" s="50" t="s">
        <v>631</v>
      </c>
      <c r="J135" s="50" t="s">
        <v>632</v>
      </c>
    </row>
    <row r="136" spans="1:10" ht="32">
      <c r="A136" s="51">
        <v>5</v>
      </c>
      <c r="B136" s="50" t="s">
        <v>1219</v>
      </c>
      <c r="C136" s="51">
        <v>21</v>
      </c>
      <c r="D136" s="50" t="s">
        <v>25</v>
      </c>
      <c r="E136" s="51">
        <v>149</v>
      </c>
      <c r="F136" s="50" t="s">
        <v>185</v>
      </c>
      <c r="G136" s="51">
        <v>449</v>
      </c>
      <c r="H136" s="51">
        <v>149</v>
      </c>
      <c r="I136" s="50" t="s">
        <v>891</v>
      </c>
      <c r="J136" s="50" t="s">
        <v>298</v>
      </c>
    </row>
    <row r="137" spans="1:10" ht="64">
      <c r="A137" s="51">
        <v>4</v>
      </c>
      <c r="B137" s="50" t="s">
        <v>1218</v>
      </c>
      <c r="C137" s="51">
        <v>15</v>
      </c>
      <c r="D137" s="50" t="s">
        <v>19</v>
      </c>
      <c r="E137" s="51">
        <v>161</v>
      </c>
      <c r="F137" s="50" t="s">
        <v>399</v>
      </c>
      <c r="G137" s="51">
        <v>306</v>
      </c>
      <c r="H137" s="51">
        <v>161</v>
      </c>
      <c r="I137" s="50" t="s">
        <v>657</v>
      </c>
      <c r="J137" s="50" t="s">
        <v>658</v>
      </c>
    </row>
    <row r="138" spans="1:10" ht="32">
      <c r="A138" s="51">
        <v>6</v>
      </c>
      <c r="B138" s="50" t="s">
        <v>28</v>
      </c>
      <c r="C138" s="51">
        <v>23</v>
      </c>
      <c r="D138" s="50" t="s">
        <v>27</v>
      </c>
      <c r="E138" s="51">
        <v>161</v>
      </c>
      <c r="F138" s="50" t="s">
        <v>399</v>
      </c>
      <c r="G138" s="51">
        <v>526</v>
      </c>
      <c r="H138" s="51">
        <v>161</v>
      </c>
      <c r="I138" s="50" t="s">
        <v>959</v>
      </c>
      <c r="J138" s="50" t="s">
        <v>298</v>
      </c>
    </row>
    <row r="139" spans="1:10" ht="112">
      <c r="A139" s="51">
        <v>4</v>
      </c>
      <c r="B139" s="50" t="s">
        <v>1218</v>
      </c>
      <c r="C139" s="51">
        <v>16</v>
      </c>
      <c r="D139" s="50" t="s">
        <v>20</v>
      </c>
      <c r="E139" s="51">
        <v>194</v>
      </c>
      <c r="F139" s="50" t="s">
        <v>233</v>
      </c>
      <c r="G139" s="51">
        <v>341</v>
      </c>
      <c r="H139" s="51">
        <v>194</v>
      </c>
      <c r="I139" s="50" t="s">
        <v>727</v>
      </c>
      <c r="J139" s="50" t="s">
        <v>728</v>
      </c>
    </row>
    <row r="140" spans="1:10" ht="80">
      <c r="A140" s="51">
        <v>4</v>
      </c>
      <c r="B140" s="50" t="s">
        <v>1218</v>
      </c>
      <c r="C140" s="51">
        <v>18</v>
      </c>
      <c r="D140" s="50" t="s">
        <v>22</v>
      </c>
      <c r="E140" s="51">
        <v>194</v>
      </c>
      <c r="F140" s="50" t="s">
        <v>233</v>
      </c>
      <c r="G140" s="51">
        <v>364</v>
      </c>
      <c r="H140" s="51">
        <v>194</v>
      </c>
      <c r="I140" s="50" t="s">
        <v>773</v>
      </c>
      <c r="J140" s="50" t="s">
        <v>774</v>
      </c>
    </row>
    <row r="141" spans="1:10" ht="160">
      <c r="A141" s="51">
        <v>4</v>
      </c>
      <c r="B141" s="50" t="s">
        <v>1218</v>
      </c>
      <c r="C141" s="51">
        <v>17</v>
      </c>
      <c r="D141" s="50" t="s">
        <v>21</v>
      </c>
      <c r="E141" s="51">
        <v>208</v>
      </c>
      <c r="F141" s="50" t="s">
        <v>248</v>
      </c>
      <c r="G141" s="51">
        <v>356</v>
      </c>
      <c r="H141" s="51">
        <v>208</v>
      </c>
      <c r="I141" s="50" t="s">
        <v>757</v>
      </c>
      <c r="J141" s="50" t="s">
        <v>758</v>
      </c>
    </row>
    <row r="142" spans="1:10" ht="160">
      <c r="A142" s="51">
        <v>7</v>
      </c>
      <c r="B142" s="50" t="s">
        <v>1221</v>
      </c>
      <c r="C142" s="51">
        <v>27</v>
      </c>
      <c r="D142" s="50" t="s">
        <v>31</v>
      </c>
      <c r="E142" s="51">
        <v>208</v>
      </c>
      <c r="F142" s="50" t="s">
        <v>248</v>
      </c>
      <c r="G142" s="51">
        <v>622</v>
      </c>
      <c r="H142" s="51">
        <v>208</v>
      </c>
      <c r="I142" s="50" t="s">
        <v>757</v>
      </c>
      <c r="J142" s="50" t="s">
        <v>1048</v>
      </c>
    </row>
    <row r="143" spans="1:10" ht="112">
      <c r="A143" s="51">
        <v>4</v>
      </c>
      <c r="B143" s="50" t="s">
        <v>1218</v>
      </c>
      <c r="C143" s="51">
        <v>18</v>
      </c>
      <c r="D143" s="50" t="s">
        <v>22</v>
      </c>
      <c r="E143" s="51">
        <v>213</v>
      </c>
      <c r="F143" s="50" t="s">
        <v>256</v>
      </c>
      <c r="G143" s="51">
        <v>363</v>
      </c>
      <c r="H143" s="51">
        <v>213</v>
      </c>
      <c r="I143" s="50" t="s">
        <v>771</v>
      </c>
      <c r="J143" s="50" t="s">
        <v>772</v>
      </c>
    </row>
    <row r="144" spans="1:10" ht="32">
      <c r="A144" s="51">
        <v>5</v>
      </c>
      <c r="B144" s="50" t="s">
        <v>1219</v>
      </c>
      <c r="C144" s="51">
        <v>21</v>
      </c>
      <c r="D144" s="50" t="s">
        <v>25</v>
      </c>
      <c r="E144" s="51">
        <v>213</v>
      </c>
      <c r="F144" s="50" t="s">
        <v>256</v>
      </c>
      <c r="G144" s="51">
        <v>450</v>
      </c>
      <c r="H144" s="51">
        <v>213</v>
      </c>
      <c r="I144" s="50" t="s">
        <v>892</v>
      </c>
      <c r="J144" s="50" t="s">
        <v>298</v>
      </c>
    </row>
    <row r="145" spans="1:10" ht="112">
      <c r="A145" s="51">
        <v>4</v>
      </c>
      <c r="B145" s="50" t="s">
        <v>1218</v>
      </c>
      <c r="C145" s="51">
        <v>18</v>
      </c>
      <c r="D145" s="50" t="s">
        <v>22</v>
      </c>
      <c r="E145" s="51">
        <v>218</v>
      </c>
      <c r="F145" s="50" t="s">
        <v>262</v>
      </c>
      <c r="G145" s="51">
        <v>369</v>
      </c>
      <c r="H145" s="51">
        <v>218</v>
      </c>
      <c r="I145" s="50" t="s">
        <v>783</v>
      </c>
      <c r="J145" s="50" t="s">
        <v>784</v>
      </c>
    </row>
    <row r="146" spans="1:10" ht="48">
      <c r="A146" s="51">
        <v>6</v>
      </c>
      <c r="B146" s="50" t="s">
        <v>28</v>
      </c>
      <c r="C146" s="51">
        <v>24</v>
      </c>
      <c r="D146" s="50" t="s">
        <v>28</v>
      </c>
      <c r="E146" s="51">
        <v>218</v>
      </c>
      <c r="F146" s="50" t="s">
        <v>262</v>
      </c>
      <c r="G146" s="51">
        <v>536</v>
      </c>
      <c r="H146" s="51">
        <v>218</v>
      </c>
      <c r="I146" s="50" t="s">
        <v>969</v>
      </c>
      <c r="J146" s="50" t="s">
        <v>298</v>
      </c>
    </row>
    <row r="147" spans="1:10" ht="112">
      <c r="A147" s="51">
        <v>4</v>
      </c>
      <c r="B147" s="50" t="s">
        <v>1218</v>
      </c>
      <c r="C147" s="51">
        <v>18</v>
      </c>
      <c r="D147" s="50" t="s">
        <v>22</v>
      </c>
      <c r="E147" s="51">
        <v>221</v>
      </c>
      <c r="F147" s="50" t="s">
        <v>265</v>
      </c>
      <c r="G147" s="51">
        <v>372</v>
      </c>
      <c r="H147" s="51">
        <v>221</v>
      </c>
      <c r="I147" s="50" t="s">
        <v>789</v>
      </c>
      <c r="J147" s="50" t="s">
        <v>790</v>
      </c>
    </row>
    <row r="148" spans="1:10" ht="48">
      <c r="A148" s="51">
        <v>6</v>
      </c>
      <c r="B148" s="50" t="s">
        <v>28</v>
      </c>
      <c r="C148" s="51">
        <v>24</v>
      </c>
      <c r="D148" s="50" t="s">
        <v>28</v>
      </c>
      <c r="E148" s="51">
        <v>221</v>
      </c>
      <c r="F148" s="50" t="s">
        <v>265</v>
      </c>
      <c r="G148" s="51">
        <v>550</v>
      </c>
      <c r="H148" s="51">
        <v>221</v>
      </c>
      <c r="I148" s="50" t="s">
        <v>983</v>
      </c>
      <c r="J148" s="50" t="s">
        <v>298</v>
      </c>
    </row>
    <row r="149" spans="1:10" ht="128">
      <c r="A149" s="51">
        <v>4</v>
      </c>
      <c r="B149" s="50" t="s">
        <v>1218</v>
      </c>
      <c r="C149" s="51">
        <v>7</v>
      </c>
      <c r="D149" s="50" t="s">
        <v>11</v>
      </c>
      <c r="E149" s="51">
        <v>225</v>
      </c>
      <c r="F149" s="50" t="s">
        <v>270</v>
      </c>
      <c r="G149" s="51">
        <v>376</v>
      </c>
      <c r="H149" s="51">
        <v>225</v>
      </c>
      <c r="I149" s="50" t="s">
        <v>797</v>
      </c>
      <c r="J149" s="50" t="s">
        <v>1183</v>
      </c>
    </row>
    <row r="150" spans="1:10" ht="32">
      <c r="A150" s="51">
        <v>6</v>
      </c>
      <c r="B150" s="50" t="s">
        <v>28</v>
      </c>
      <c r="C150" s="51">
        <v>7</v>
      </c>
      <c r="D150" s="50" t="s">
        <v>11</v>
      </c>
      <c r="E150" s="51">
        <v>225</v>
      </c>
      <c r="F150" s="50" t="s">
        <v>270</v>
      </c>
      <c r="G150" s="51">
        <v>570</v>
      </c>
      <c r="H150" s="51">
        <v>225</v>
      </c>
      <c r="I150" s="50" t="s">
        <v>797</v>
      </c>
      <c r="J150" s="50" t="s">
        <v>298</v>
      </c>
    </row>
    <row r="151" spans="1:10" ht="144">
      <c r="A151" s="51">
        <v>4</v>
      </c>
      <c r="B151" s="50" t="s">
        <v>1218</v>
      </c>
      <c r="C151" s="51">
        <v>7</v>
      </c>
      <c r="D151" s="50" t="s">
        <v>11</v>
      </c>
      <c r="E151" s="51">
        <v>226</v>
      </c>
      <c r="F151" s="50" t="s">
        <v>351</v>
      </c>
      <c r="G151" s="51">
        <v>377</v>
      </c>
      <c r="H151" s="51">
        <v>226</v>
      </c>
      <c r="I151" s="50" t="s">
        <v>798</v>
      </c>
      <c r="J151" s="50" t="s">
        <v>799</v>
      </c>
    </row>
    <row r="152" spans="1:10" ht="128">
      <c r="A152" s="51">
        <v>5</v>
      </c>
      <c r="B152" s="50" t="s">
        <v>1219</v>
      </c>
      <c r="C152" s="51">
        <v>7</v>
      </c>
      <c r="D152" s="50" t="s">
        <v>11</v>
      </c>
      <c r="E152" s="51">
        <v>226</v>
      </c>
      <c r="F152" s="50" t="s">
        <v>351</v>
      </c>
      <c r="G152" s="51">
        <v>468</v>
      </c>
      <c r="H152" s="51">
        <v>226</v>
      </c>
      <c r="I152" s="50" t="s">
        <v>798</v>
      </c>
      <c r="J152" s="50" t="s">
        <v>298</v>
      </c>
    </row>
    <row r="153" spans="1:10" ht="128">
      <c r="A153" s="51">
        <v>6</v>
      </c>
      <c r="B153" s="50" t="s">
        <v>28</v>
      </c>
      <c r="C153" s="51">
        <v>7</v>
      </c>
      <c r="D153" s="50" t="s">
        <v>11</v>
      </c>
      <c r="E153" s="51">
        <v>226</v>
      </c>
      <c r="F153" s="50" t="s">
        <v>351</v>
      </c>
      <c r="G153" s="51">
        <v>571</v>
      </c>
      <c r="H153" s="51">
        <v>226</v>
      </c>
      <c r="I153" s="50" t="s">
        <v>1003</v>
      </c>
      <c r="J153" s="50" t="s">
        <v>298</v>
      </c>
    </row>
    <row r="154" spans="1:10" ht="160">
      <c r="A154" s="51">
        <v>7</v>
      </c>
      <c r="B154" s="50" t="s">
        <v>1221</v>
      </c>
      <c r="C154" s="51">
        <v>7</v>
      </c>
      <c r="D154" s="50" t="s">
        <v>11</v>
      </c>
      <c r="E154" s="51">
        <v>226</v>
      </c>
      <c r="F154" s="50" t="s">
        <v>351</v>
      </c>
      <c r="G154" s="51">
        <v>641</v>
      </c>
      <c r="H154" s="51">
        <v>226</v>
      </c>
      <c r="I154" s="50" t="s">
        <v>1063</v>
      </c>
      <c r="J154" s="50" t="s">
        <v>1064</v>
      </c>
    </row>
    <row r="155" spans="1:10" ht="96">
      <c r="A155" s="51">
        <v>4</v>
      </c>
      <c r="B155" s="50" t="s">
        <v>1218</v>
      </c>
      <c r="C155" s="51">
        <v>7</v>
      </c>
      <c r="D155" s="50" t="s">
        <v>11</v>
      </c>
      <c r="E155" s="51">
        <v>231</v>
      </c>
      <c r="F155" s="50" t="s">
        <v>276</v>
      </c>
      <c r="G155" s="51">
        <v>386</v>
      </c>
      <c r="H155" s="51">
        <v>231</v>
      </c>
      <c r="I155" s="50" t="s">
        <v>816</v>
      </c>
      <c r="J155" s="50" t="s">
        <v>817</v>
      </c>
    </row>
    <row r="156" spans="1:10" ht="96">
      <c r="A156" s="51">
        <v>7</v>
      </c>
      <c r="B156" s="50" t="s">
        <v>1221</v>
      </c>
      <c r="C156" s="51">
        <v>7</v>
      </c>
      <c r="D156" s="50" t="s">
        <v>11</v>
      </c>
      <c r="E156" s="51">
        <v>231</v>
      </c>
      <c r="F156" s="50" t="s">
        <v>276</v>
      </c>
      <c r="G156" s="51">
        <v>657</v>
      </c>
      <c r="H156" s="51">
        <v>231</v>
      </c>
      <c r="I156" s="50" t="s">
        <v>1077</v>
      </c>
      <c r="J156" s="50" t="s">
        <v>1078</v>
      </c>
    </row>
    <row r="157" spans="1:10" ht="96">
      <c r="A157" s="51">
        <v>4</v>
      </c>
      <c r="B157" s="50" t="s">
        <v>1218</v>
      </c>
      <c r="C157" s="51">
        <v>7</v>
      </c>
      <c r="D157" s="50" t="s">
        <v>11</v>
      </c>
      <c r="E157" s="51">
        <v>232</v>
      </c>
      <c r="F157" s="50" t="s">
        <v>277</v>
      </c>
      <c r="G157" s="51">
        <v>387</v>
      </c>
      <c r="H157" s="51">
        <v>232</v>
      </c>
      <c r="I157" s="50" t="s">
        <v>818</v>
      </c>
      <c r="J157" s="50" t="s">
        <v>819</v>
      </c>
    </row>
    <row r="158" spans="1:10" ht="96">
      <c r="A158" s="51">
        <v>7</v>
      </c>
      <c r="B158" s="50" t="s">
        <v>1221</v>
      </c>
      <c r="C158" s="51">
        <v>7</v>
      </c>
      <c r="D158" s="50" t="s">
        <v>11</v>
      </c>
      <c r="E158" s="51">
        <v>232</v>
      </c>
      <c r="F158" s="50" t="s">
        <v>277</v>
      </c>
      <c r="G158" s="51">
        <v>658</v>
      </c>
      <c r="H158" s="51">
        <v>232</v>
      </c>
      <c r="I158" s="50" t="s">
        <v>1079</v>
      </c>
      <c r="J158" s="50" t="s">
        <v>1080</v>
      </c>
    </row>
    <row r="159" spans="1:10" ht="32">
      <c r="A159" s="51">
        <v>4</v>
      </c>
      <c r="B159" s="50" t="s">
        <v>1218</v>
      </c>
      <c r="C159" s="51">
        <v>7</v>
      </c>
      <c r="D159" s="50" t="s">
        <v>11</v>
      </c>
      <c r="E159" s="51">
        <v>233</v>
      </c>
      <c r="F159" s="50" t="s">
        <v>278</v>
      </c>
      <c r="G159" s="51">
        <v>388</v>
      </c>
      <c r="H159" s="51">
        <v>233</v>
      </c>
      <c r="I159" s="50" t="s">
        <v>820</v>
      </c>
      <c r="J159" s="50" t="s">
        <v>821</v>
      </c>
    </row>
    <row r="160" spans="1:10" ht="32">
      <c r="A160" s="51">
        <v>7</v>
      </c>
      <c r="B160" s="50" t="s">
        <v>1221</v>
      </c>
      <c r="C160" s="51">
        <v>7</v>
      </c>
      <c r="D160" s="50" t="s">
        <v>11</v>
      </c>
      <c r="E160" s="51">
        <v>233</v>
      </c>
      <c r="F160" s="50" t="s">
        <v>278</v>
      </c>
      <c r="G160" s="51">
        <v>659</v>
      </c>
      <c r="H160" s="51">
        <v>233</v>
      </c>
      <c r="I160" s="50" t="s">
        <v>1081</v>
      </c>
      <c r="J160" s="50" t="s">
        <v>821</v>
      </c>
    </row>
    <row r="161" spans="1:10" ht="80">
      <c r="A161" s="51">
        <v>4</v>
      </c>
      <c r="B161" s="50" t="s">
        <v>1218</v>
      </c>
      <c r="C161" s="51">
        <v>7</v>
      </c>
      <c r="D161" s="50" t="s">
        <v>11</v>
      </c>
      <c r="E161" s="51">
        <v>234</v>
      </c>
      <c r="F161" s="50" t="s">
        <v>279</v>
      </c>
      <c r="G161" s="51">
        <v>389</v>
      </c>
      <c r="H161" s="51">
        <v>234</v>
      </c>
      <c r="I161" s="50" t="s">
        <v>822</v>
      </c>
      <c r="J161" s="50" t="s">
        <v>823</v>
      </c>
    </row>
    <row r="162" spans="1:10" ht="48">
      <c r="A162" s="51">
        <v>6</v>
      </c>
      <c r="B162" s="50" t="s">
        <v>28</v>
      </c>
      <c r="C162" s="51">
        <v>7</v>
      </c>
      <c r="D162" s="50" t="s">
        <v>11</v>
      </c>
      <c r="E162" s="51">
        <v>234</v>
      </c>
      <c r="F162" s="50" t="s">
        <v>279</v>
      </c>
      <c r="G162" s="51">
        <v>582</v>
      </c>
      <c r="H162" s="51">
        <v>234</v>
      </c>
      <c r="I162" s="50" t="s">
        <v>822</v>
      </c>
      <c r="J162" s="50" t="s">
        <v>298</v>
      </c>
    </row>
    <row r="163" spans="1:10" ht="96">
      <c r="A163" s="51">
        <v>4</v>
      </c>
      <c r="B163" s="50" t="s">
        <v>1218</v>
      </c>
      <c r="C163" s="51">
        <v>6</v>
      </c>
      <c r="D163" s="50" t="s">
        <v>10</v>
      </c>
      <c r="E163" s="51">
        <v>240</v>
      </c>
      <c r="F163" s="50" t="s">
        <v>285</v>
      </c>
      <c r="G163" s="51">
        <v>395</v>
      </c>
      <c r="H163" s="51">
        <v>240</v>
      </c>
      <c r="I163" s="50" t="s">
        <v>834</v>
      </c>
      <c r="J163" s="50" t="s">
        <v>835</v>
      </c>
    </row>
    <row r="164" spans="1:10" ht="32">
      <c r="A164" s="51">
        <v>5</v>
      </c>
      <c r="B164" s="50" t="s">
        <v>1219</v>
      </c>
      <c r="C164" s="51">
        <v>6</v>
      </c>
      <c r="D164" s="50" t="s">
        <v>10</v>
      </c>
      <c r="E164" s="51">
        <v>240</v>
      </c>
      <c r="F164" s="50" t="s">
        <v>285</v>
      </c>
      <c r="G164" s="51">
        <v>485</v>
      </c>
      <c r="H164" s="51">
        <v>240</v>
      </c>
      <c r="I164" s="50" t="s">
        <v>834</v>
      </c>
      <c r="J164" s="50" t="s">
        <v>298</v>
      </c>
    </row>
    <row r="165" spans="1:10" ht="32">
      <c r="A165" s="51">
        <v>6</v>
      </c>
      <c r="B165" s="50" t="s">
        <v>28</v>
      </c>
      <c r="C165" s="51">
        <v>6</v>
      </c>
      <c r="D165" s="50" t="s">
        <v>10</v>
      </c>
      <c r="E165" s="51">
        <v>240</v>
      </c>
      <c r="F165" s="50" t="s">
        <v>285</v>
      </c>
      <c r="G165" s="51">
        <v>588</v>
      </c>
      <c r="H165" s="51">
        <v>240</v>
      </c>
      <c r="I165" s="50" t="s">
        <v>1011</v>
      </c>
      <c r="J165" s="50" t="s">
        <v>298</v>
      </c>
    </row>
    <row r="166" spans="1:10" ht="32">
      <c r="A166" s="51">
        <v>7</v>
      </c>
      <c r="B166" s="50" t="s">
        <v>1221</v>
      </c>
      <c r="C166" s="51">
        <v>6</v>
      </c>
      <c r="D166" s="50" t="s">
        <v>10</v>
      </c>
      <c r="E166" s="51">
        <v>240</v>
      </c>
      <c r="F166" s="50" t="s">
        <v>285</v>
      </c>
      <c r="G166" s="51">
        <v>662</v>
      </c>
      <c r="H166" s="51">
        <v>240</v>
      </c>
      <c r="I166" s="50" t="s">
        <v>1084</v>
      </c>
      <c r="J166" s="50" t="s">
        <v>298</v>
      </c>
    </row>
    <row r="167" spans="1:10" ht="112">
      <c r="A167" s="51">
        <v>4</v>
      </c>
      <c r="B167" s="50" t="s">
        <v>1218</v>
      </c>
      <c r="C167" s="51">
        <v>6</v>
      </c>
      <c r="D167" s="50" t="s">
        <v>10</v>
      </c>
      <c r="E167" s="51">
        <v>241</v>
      </c>
      <c r="F167" s="50" t="s">
        <v>287</v>
      </c>
      <c r="G167" s="51">
        <v>397</v>
      </c>
      <c r="H167" s="51">
        <v>241</v>
      </c>
      <c r="I167" s="50" t="s">
        <v>838</v>
      </c>
      <c r="J167" s="50" t="s">
        <v>839</v>
      </c>
    </row>
    <row r="168" spans="1:10" ht="32">
      <c r="A168" s="51">
        <v>5</v>
      </c>
      <c r="B168" s="50" t="s">
        <v>1219</v>
      </c>
      <c r="C168" s="51">
        <v>6</v>
      </c>
      <c r="D168" s="50" t="s">
        <v>10</v>
      </c>
      <c r="E168" s="51">
        <v>241</v>
      </c>
      <c r="F168" s="50" t="s">
        <v>287</v>
      </c>
      <c r="G168" s="51">
        <v>487</v>
      </c>
      <c r="H168" s="51">
        <v>241</v>
      </c>
      <c r="I168" s="50" t="s">
        <v>838</v>
      </c>
      <c r="J168" s="50" t="s">
        <v>298</v>
      </c>
    </row>
    <row r="169" spans="1:10" ht="32">
      <c r="A169" s="51">
        <v>6</v>
      </c>
      <c r="B169" s="50" t="s">
        <v>28</v>
      </c>
      <c r="C169" s="51">
        <v>6</v>
      </c>
      <c r="D169" s="50" t="s">
        <v>10</v>
      </c>
      <c r="E169" s="51">
        <v>241</v>
      </c>
      <c r="F169" s="50" t="s">
        <v>287</v>
      </c>
      <c r="G169" s="51">
        <v>590</v>
      </c>
      <c r="H169" s="51">
        <v>241</v>
      </c>
      <c r="I169" s="50" t="s">
        <v>1012</v>
      </c>
      <c r="J169" s="50" t="s">
        <v>298</v>
      </c>
    </row>
    <row r="170" spans="1:10" ht="32">
      <c r="A170" s="51">
        <v>7</v>
      </c>
      <c r="B170" s="50" t="s">
        <v>1221</v>
      </c>
      <c r="C170" s="51">
        <v>6</v>
      </c>
      <c r="D170" s="50" t="s">
        <v>10</v>
      </c>
      <c r="E170" s="51">
        <v>241</v>
      </c>
      <c r="F170" s="50" t="s">
        <v>287</v>
      </c>
      <c r="G170" s="51">
        <v>663</v>
      </c>
      <c r="H170" s="51">
        <v>241</v>
      </c>
      <c r="I170" s="50" t="s">
        <v>1012</v>
      </c>
      <c r="J170" s="50" t="s">
        <v>298</v>
      </c>
    </row>
    <row r="171" spans="1:10" ht="64">
      <c r="A171" s="51">
        <v>5</v>
      </c>
      <c r="B171" s="50" t="s">
        <v>1219</v>
      </c>
      <c r="C171" s="51">
        <v>7</v>
      </c>
      <c r="D171" s="50" t="s">
        <v>11</v>
      </c>
      <c r="E171" s="51">
        <v>302</v>
      </c>
      <c r="F171" s="50" t="s">
        <v>357</v>
      </c>
      <c r="G171" s="51">
        <v>475</v>
      </c>
      <c r="H171" s="51">
        <v>302</v>
      </c>
      <c r="I171" s="50" t="s">
        <v>914</v>
      </c>
      <c r="J171" s="50" t="s">
        <v>298</v>
      </c>
    </row>
    <row r="172" spans="1:10" ht="32">
      <c r="A172" s="51">
        <v>6</v>
      </c>
      <c r="B172" s="50" t="s">
        <v>28</v>
      </c>
      <c r="C172" s="51">
        <v>7</v>
      </c>
      <c r="D172" s="50" t="s">
        <v>11</v>
      </c>
      <c r="E172" s="51">
        <v>302</v>
      </c>
      <c r="F172" s="50" t="s">
        <v>357</v>
      </c>
      <c r="G172" s="51">
        <v>577</v>
      </c>
      <c r="H172" s="51">
        <v>302</v>
      </c>
      <c r="I172" s="50" t="s">
        <v>1005</v>
      </c>
      <c r="J172" s="50" t="s">
        <v>298</v>
      </c>
    </row>
    <row r="173" spans="1:10" ht="32">
      <c r="A173" s="51">
        <v>6</v>
      </c>
      <c r="B173" s="50" t="s">
        <v>28</v>
      </c>
      <c r="C173" s="51">
        <v>24</v>
      </c>
      <c r="D173" s="50" t="s">
        <v>28</v>
      </c>
      <c r="E173" s="51">
        <v>345</v>
      </c>
      <c r="F173" s="50" t="s">
        <v>408</v>
      </c>
      <c r="G173" s="51">
        <v>531</v>
      </c>
      <c r="H173" s="51">
        <v>345</v>
      </c>
      <c r="I173" s="50" t="s">
        <v>964</v>
      </c>
      <c r="J173" s="50" t="s">
        <v>298</v>
      </c>
    </row>
    <row r="174" spans="1:10" ht="64">
      <c r="A174" s="51">
        <v>7</v>
      </c>
      <c r="B174" s="50" t="s">
        <v>1221</v>
      </c>
      <c r="C174" s="51">
        <v>27</v>
      </c>
      <c r="D174" s="50" t="s">
        <v>31</v>
      </c>
      <c r="E174" s="51">
        <v>345</v>
      </c>
      <c r="F174" s="50" t="s">
        <v>408</v>
      </c>
      <c r="G174" s="51">
        <v>614</v>
      </c>
      <c r="H174" s="51">
        <v>345</v>
      </c>
      <c r="I174" s="50" t="s">
        <v>964</v>
      </c>
      <c r="J174" s="50" t="s">
        <v>1034</v>
      </c>
    </row>
    <row r="175" spans="1:10" ht="32">
      <c r="A175" s="51">
        <v>6</v>
      </c>
      <c r="B175" s="50" t="s">
        <v>28</v>
      </c>
      <c r="C175" s="51">
        <v>24</v>
      </c>
      <c r="D175" s="50" t="s">
        <v>28</v>
      </c>
      <c r="E175" s="51">
        <v>348</v>
      </c>
      <c r="F175" s="50" t="s">
        <v>411</v>
      </c>
      <c r="G175" s="51">
        <v>534</v>
      </c>
      <c r="H175" s="51">
        <v>348</v>
      </c>
      <c r="I175" s="50" t="s">
        <v>967</v>
      </c>
      <c r="J175" s="50" t="s">
        <v>298</v>
      </c>
    </row>
    <row r="176" spans="1:10" ht="64">
      <c r="A176" s="51">
        <v>7</v>
      </c>
      <c r="B176" s="50" t="s">
        <v>1221</v>
      </c>
      <c r="C176" s="51">
        <v>27</v>
      </c>
      <c r="D176" s="50" t="s">
        <v>31</v>
      </c>
      <c r="E176" s="51">
        <v>348</v>
      </c>
      <c r="F176" s="50" t="s">
        <v>471</v>
      </c>
      <c r="G176" s="51">
        <v>618</v>
      </c>
      <c r="H176" s="51">
        <v>348</v>
      </c>
      <c r="I176" s="50" t="s">
        <v>967</v>
      </c>
      <c r="J176" s="50" t="s">
        <v>1034</v>
      </c>
    </row>
    <row r="177" spans="1:10" ht="128">
      <c r="A177" s="51">
        <v>4</v>
      </c>
      <c r="B177" s="50" t="s">
        <v>1218</v>
      </c>
      <c r="C177" s="51">
        <v>18</v>
      </c>
      <c r="D177" s="50" t="s">
        <v>22</v>
      </c>
      <c r="E177" s="51">
        <v>368</v>
      </c>
      <c r="F177" s="50" t="s">
        <v>430</v>
      </c>
      <c r="G177" s="51">
        <v>362</v>
      </c>
      <c r="H177" s="51">
        <v>368</v>
      </c>
      <c r="I177" s="50" t="s">
        <v>769</v>
      </c>
      <c r="J177" s="50" t="s">
        <v>770</v>
      </c>
    </row>
    <row r="178" spans="1:10" ht="16">
      <c r="A178" s="51">
        <v>6</v>
      </c>
      <c r="B178" s="50" t="s">
        <v>28</v>
      </c>
      <c r="C178" s="51">
        <v>24</v>
      </c>
      <c r="D178" s="50" t="s">
        <v>28</v>
      </c>
      <c r="E178" s="51">
        <v>368</v>
      </c>
      <c r="F178" s="50" t="s">
        <v>430</v>
      </c>
      <c r="G178" s="51">
        <v>558</v>
      </c>
      <c r="H178" s="51">
        <v>368</v>
      </c>
      <c r="I178" s="50" t="s">
        <v>991</v>
      </c>
      <c r="J178" s="50" t="s">
        <v>298</v>
      </c>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52049-FC17-1F4E-834A-3A17405A0041}">
  <sheetPr codeName="Sheet8"/>
  <dimension ref="A1:F463"/>
  <sheetViews>
    <sheetView workbookViewId="0"/>
  </sheetViews>
  <sheetFormatPr baseColWidth="10" defaultRowHeight="16"/>
  <cols>
    <col min="1" max="1" width="10.83203125" style="95"/>
    <col min="2" max="2" width="96" style="167" customWidth="1"/>
    <col min="3" max="3" width="76" style="167" customWidth="1"/>
    <col min="4" max="4" width="18.1640625" style="95" bestFit="1" customWidth="1"/>
    <col min="5" max="5" width="10.83203125" style="95"/>
    <col min="7" max="16384" width="10.83203125" style="95"/>
  </cols>
  <sheetData>
    <row r="1" spans="1:6">
      <c r="A1" s="95" t="s">
        <v>533</v>
      </c>
      <c r="B1" s="167" t="s">
        <v>540</v>
      </c>
      <c r="C1" s="167" t="s">
        <v>541</v>
      </c>
      <c r="D1" s="95" t="s">
        <v>536</v>
      </c>
      <c r="E1" s="95" t="s">
        <v>535</v>
      </c>
      <c r="F1" t="s">
        <v>1986</v>
      </c>
    </row>
    <row r="2" spans="1:6">
      <c r="A2" s="95">
        <v>1</v>
      </c>
      <c r="B2" s="168" t="s">
        <v>1088</v>
      </c>
      <c r="C2" s="168" t="s">
        <v>298</v>
      </c>
      <c r="D2" s="127">
        <v>42826.000011574077</v>
      </c>
      <c r="E2" s="95">
        <v>1</v>
      </c>
      <c r="F2">
        <v>1</v>
      </c>
    </row>
    <row r="3" spans="1:6">
      <c r="A3" s="95">
        <v>2</v>
      </c>
      <c r="B3" s="168" t="s">
        <v>1089</v>
      </c>
      <c r="C3" s="168" t="s">
        <v>298</v>
      </c>
      <c r="D3" s="127">
        <v>42826.000011574077</v>
      </c>
      <c r="E3" s="95">
        <v>1</v>
      </c>
      <c r="F3">
        <v>1</v>
      </c>
    </row>
    <row r="4" spans="1:6">
      <c r="A4" s="95">
        <v>3</v>
      </c>
      <c r="B4" s="168" t="s">
        <v>1090</v>
      </c>
      <c r="C4" s="168" t="s">
        <v>298</v>
      </c>
      <c r="D4" s="127">
        <v>42826.000011574077</v>
      </c>
      <c r="E4" s="95">
        <v>1</v>
      </c>
      <c r="F4">
        <v>1</v>
      </c>
    </row>
    <row r="5" spans="1:6">
      <c r="A5" s="95">
        <v>4</v>
      </c>
      <c r="B5" s="168" t="s">
        <v>1091</v>
      </c>
      <c r="C5" s="168" t="s">
        <v>298</v>
      </c>
      <c r="D5" s="127">
        <v>42826.000011574077</v>
      </c>
      <c r="E5" s="95">
        <v>1</v>
      </c>
      <c r="F5">
        <v>1</v>
      </c>
    </row>
    <row r="6" spans="1:6">
      <c r="A6" s="95">
        <v>5</v>
      </c>
      <c r="B6" s="168" t="s">
        <v>1092</v>
      </c>
      <c r="C6" s="168" t="s">
        <v>298</v>
      </c>
      <c r="D6" s="127">
        <v>42826.000011574077</v>
      </c>
      <c r="E6" s="95">
        <v>1</v>
      </c>
      <c r="F6">
        <v>1</v>
      </c>
    </row>
    <row r="7" spans="1:6">
      <c r="A7" s="95">
        <v>6</v>
      </c>
      <c r="B7" s="168" t="s">
        <v>1093</v>
      </c>
      <c r="C7" s="168" t="s">
        <v>298</v>
      </c>
      <c r="D7" s="127">
        <v>42826.000011574077</v>
      </c>
      <c r="E7" s="95">
        <v>1</v>
      </c>
      <c r="F7">
        <v>1</v>
      </c>
    </row>
    <row r="8" spans="1:6">
      <c r="A8" s="95">
        <v>7</v>
      </c>
      <c r="B8" s="168" t="s">
        <v>1094</v>
      </c>
      <c r="C8" s="168" t="s">
        <v>298</v>
      </c>
      <c r="D8" s="127">
        <v>42826.000011574077</v>
      </c>
      <c r="E8" s="95">
        <v>1</v>
      </c>
      <c r="F8">
        <v>1</v>
      </c>
    </row>
    <row r="9" spans="1:6">
      <c r="A9" s="95">
        <v>8</v>
      </c>
      <c r="B9" s="168" t="s">
        <v>1095</v>
      </c>
      <c r="C9" s="168" t="s">
        <v>298</v>
      </c>
      <c r="D9" s="127">
        <v>42826.000011574077</v>
      </c>
      <c r="E9" s="95">
        <v>1</v>
      </c>
      <c r="F9">
        <v>1</v>
      </c>
    </row>
    <row r="10" spans="1:6">
      <c r="A10" s="95">
        <v>9</v>
      </c>
      <c r="B10" s="168" t="s">
        <v>1096</v>
      </c>
      <c r="C10" s="168" t="s">
        <v>298</v>
      </c>
      <c r="D10" s="127">
        <v>42826.000011574077</v>
      </c>
      <c r="E10" s="95">
        <v>1</v>
      </c>
      <c r="F10">
        <v>1</v>
      </c>
    </row>
    <row r="11" spans="1:6">
      <c r="A11" s="95">
        <v>10</v>
      </c>
      <c r="B11" s="168" t="s">
        <v>910</v>
      </c>
      <c r="C11" s="168" t="s">
        <v>801</v>
      </c>
      <c r="D11" s="127">
        <v>42826.000011574077</v>
      </c>
      <c r="E11" s="95">
        <v>1</v>
      </c>
      <c r="F11">
        <v>1</v>
      </c>
    </row>
    <row r="12" spans="1:6">
      <c r="A12" s="95">
        <v>11</v>
      </c>
      <c r="B12" s="168" t="s">
        <v>1097</v>
      </c>
      <c r="C12" s="168" t="s">
        <v>298</v>
      </c>
      <c r="D12" s="127">
        <v>42826.000011574077</v>
      </c>
      <c r="E12" s="95">
        <v>1</v>
      </c>
      <c r="F12">
        <v>1</v>
      </c>
    </row>
    <row r="13" spans="1:6">
      <c r="A13" s="95">
        <v>12</v>
      </c>
      <c r="B13" s="168" t="s">
        <v>1098</v>
      </c>
      <c r="C13" s="168" t="s">
        <v>298</v>
      </c>
      <c r="D13" s="127">
        <v>42826.000011574077</v>
      </c>
      <c r="E13" s="95">
        <v>1</v>
      </c>
      <c r="F13">
        <v>1</v>
      </c>
    </row>
    <row r="14" spans="1:6">
      <c r="A14" s="95">
        <v>13</v>
      </c>
      <c r="B14" s="168" t="s">
        <v>1099</v>
      </c>
      <c r="C14" s="168" t="s">
        <v>298</v>
      </c>
      <c r="D14" s="127">
        <v>42826.000011574077</v>
      </c>
      <c r="E14" s="95">
        <v>1</v>
      </c>
      <c r="F14">
        <v>1</v>
      </c>
    </row>
    <row r="15" spans="1:6">
      <c r="A15" s="95">
        <v>14</v>
      </c>
      <c r="B15" s="168" t="s">
        <v>1100</v>
      </c>
      <c r="C15" s="168" t="s">
        <v>298</v>
      </c>
      <c r="D15" s="127">
        <v>42826.000011574077</v>
      </c>
      <c r="E15" s="95">
        <v>1</v>
      </c>
      <c r="F15">
        <v>1</v>
      </c>
    </row>
    <row r="16" spans="1:6">
      <c r="A16" s="95">
        <v>15</v>
      </c>
      <c r="B16" s="168" t="s">
        <v>1101</v>
      </c>
      <c r="C16" s="168" t="s">
        <v>298</v>
      </c>
      <c r="D16" s="127">
        <v>42826.000011574077</v>
      </c>
      <c r="E16" s="95">
        <v>1</v>
      </c>
      <c r="F16">
        <v>1</v>
      </c>
    </row>
    <row r="17" spans="1:6">
      <c r="A17" s="95">
        <v>16</v>
      </c>
      <c r="B17" s="168" t="s">
        <v>1102</v>
      </c>
      <c r="C17" s="168" t="s">
        <v>298</v>
      </c>
      <c r="D17" s="127">
        <v>42826.000011574077</v>
      </c>
      <c r="E17" s="95">
        <v>1</v>
      </c>
      <c r="F17">
        <v>1</v>
      </c>
    </row>
    <row r="18" spans="1:6">
      <c r="A18" s="95">
        <v>17</v>
      </c>
      <c r="B18" s="168" t="s">
        <v>1103</v>
      </c>
      <c r="C18" s="168" t="s">
        <v>298</v>
      </c>
      <c r="D18" s="127">
        <v>42826.000011574077</v>
      </c>
      <c r="E18" s="95">
        <v>1</v>
      </c>
      <c r="F18">
        <v>1</v>
      </c>
    </row>
    <row r="19" spans="1:6">
      <c r="A19" s="95">
        <v>18</v>
      </c>
      <c r="B19" s="168" t="s">
        <v>1104</v>
      </c>
      <c r="C19" s="168" t="s">
        <v>298</v>
      </c>
      <c r="D19" s="127">
        <v>42826.000011574077</v>
      </c>
      <c r="E19" s="95">
        <v>1</v>
      </c>
      <c r="F19">
        <v>1</v>
      </c>
    </row>
    <row r="20" spans="1:6">
      <c r="A20" s="95">
        <v>19</v>
      </c>
      <c r="B20" s="168" t="s">
        <v>1105</v>
      </c>
      <c r="C20" s="168" t="s">
        <v>298</v>
      </c>
      <c r="D20" s="127">
        <v>42826.000011574077</v>
      </c>
      <c r="E20" s="95">
        <v>1</v>
      </c>
      <c r="F20">
        <v>1</v>
      </c>
    </row>
    <row r="21" spans="1:6">
      <c r="A21" s="95">
        <v>20</v>
      </c>
      <c r="B21" s="168" t="s">
        <v>1106</v>
      </c>
      <c r="C21" s="168" t="s">
        <v>298</v>
      </c>
      <c r="D21" s="127">
        <v>42826.000011574077</v>
      </c>
      <c r="E21" s="95">
        <v>1</v>
      </c>
      <c r="F21">
        <v>1</v>
      </c>
    </row>
    <row r="22" spans="1:6">
      <c r="A22" s="95">
        <v>21</v>
      </c>
      <c r="B22" s="168" t="s">
        <v>1107</v>
      </c>
      <c r="C22" s="168" t="s">
        <v>298</v>
      </c>
      <c r="D22" s="127">
        <v>42826.000011574077</v>
      </c>
      <c r="E22" s="95">
        <v>1</v>
      </c>
      <c r="F22">
        <v>1</v>
      </c>
    </row>
    <row r="23" spans="1:6">
      <c r="A23" s="95">
        <v>22</v>
      </c>
      <c r="B23" s="168" t="s">
        <v>1108</v>
      </c>
      <c r="C23" s="168" t="s">
        <v>298</v>
      </c>
      <c r="D23" s="127">
        <v>42826.000011574077</v>
      </c>
      <c r="E23" s="95">
        <v>1</v>
      </c>
      <c r="F23">
        <v>1</v>
      </c>
    </row>
    <row r="24" spans="1:6">
      <c r="A24" s="95">
        <v>23</v>
      </c>
      <c r="B24" s="168" t="s">
        <v>1109</v>
      </c>
      <c r="C24" s="168" t="s">
        <v>298</v>
      </c>
      <c r="D24" s="127">
        <v>42826.000011574077</v>
      </c>
      <c r="E24" s="95">
        <v>1</v>
      </c>
      <c r="F24">
        <v>1</v>
      </c>
    </row>
    <row r="25" spans="1:6">
      <c r="A25" s="95">
        <v>24</v>
      </c>
      <c r="B25" s="168" t="s">
        <v>1110</v>
      </c>
      <c r="C25" s="168" t="s">
        <v>298</v>
      </c>
      <c r="D25" s="127">
        <v>42826.000011574077</v>
      </c>
      <c r="E25" s="95">
        <v>1</v>
      </c>
      <c r="F25">
        <v>1</v>
      </c>
    </row>
    <row r="26" spans="1:6">
      <c r="A26" s="95">
        <v>25</v>
      </c>
      <c r="B26" s="168" t="s">
        <v>1111</v>
      </c>
      <c r="C26" s="168" t="s">
        <v>298</v>
      </c>
      <c r="D26" s="127">
        <v>42826.000011574077</v>
      </c>
      <c r="E26" s="95">
        <v>1</v>
      </c>
      <c r="F26">
        <v>1</v>
      </c>
    </row>
    <row r="27" spans="1:6">
      <c r="A27" s="95">
        <v>26</v>
      </c>
      <c r="B27" s="168" t="s">
        <v>1112</v>
      </c>
      <c r="C27" s="168" t="s">
        <v>298</v>
      </c>
      <c r="D27" s="127">
        <v>42826.000011574077</v>
      </c>
      <c r="E27" s="95">
        <v>1</v>
      </c>
      <c r="F27">
        <v>1</v>
      </c>
    </row>
    <row r="28" spans="1:6">
      <c r="A28" s="95">
        <v>27</v>
      </c>
      <c r="B28" s="168" t="s">
        <v>1113</v>
      </c>
      <c r="C28" s="168" t="s">
        <v>298</v>
      </c>
      <c r="D28" s="127">
        <v>42826.000011574077</v>
      </c>
      <c r="E28" s="95">
        <v>1</v>
      </c>
      <c r="F28">
        <v>1</v>
      </c>
    </row>
    <row r="29" spans="1:6">
      <c r="A29" s="95">
        <v>28</v>
      </c>
      <c r="B29" s="168" t="s">
        <v>1114</v>
      </c>
      <c r="C29" s="168" t="s">
        <v>298</v>
      </c>
      <c r="D29" s="127">
        <v>42826.000011574077</v>
      </c>
      <c r="E29" s="95">
        <v>1</v>
      </c>
      <c r="F29">
        <v>1</v>
      </c>
    </row>
    <row r="30" spans="1:6">
      <c r="A30" s="95">
        <v>29</v>
      </c>
      <c r="B30" s="168" t="s">
        <v>1115</v>
      </c>
      <c r="C30" s="168" t="s">
        <v>298</v>
      </c>
      <c r="D30" s="127">
        <v>42826.000011574077</v>
      </c>
      <c r="E30" s="95">
        <v>1</v>
      </c>
      <c r="F30">
        <v>1</v>
      </c>
    </row>
    <row r="31" spans="1:6">
      <c r="A31" s="95">
        <v>30</v>
      </c>
      <c r="B31" s="168" t="s">
        <v>1116</v>
      </c>
      <c r="C31" s="168" t="s">
        <v>298</v>
      </c>
      <c r="D31" s="127">
        <v>42826.000011574077</v>
      </c>
      <c r="E31" s="95">
        <v>1</v>
      </c>
      <c r="F31">
        <v>1</v>
      </c>
    </row>
    <row r="32" spans="1:6">
      <c r="A32" s="95">
        <v>31</v>
      </c>
      <c r="B32" s="168" t="s">
        <v>544</v>
      </c>
      <c r="C32" s="168" t="s">
        <v>298</v>
      </c>
      <c r="D32" s="127">
        <v>42826.000011574077</v>
      </c>
      <c r="E32" s="95">
        <v>1</v>
      </c>
      <c r="F32">
        <v>1</v>
      </c>
    </row>
    <row r="33" spans="1:6">
      <c r="A33" s="95">
        <v>32</v>
      </c>
      <c r="B33" s="168" t="s">
        <v>1117</v>
      </c>
      <c r="C33" s="168" t="s">
        <v>298</v>
      </c>
      <c r="D33" s="127">
        <v>42826.000011574077</v>
      </c>
      <c r="E33" s="95">
        <v>1</v>
      </c>
      <c r="F33">
        <v>1</v>
      </c>
    </row>
    <row r="34" spans="1:6">
      <c r="A34" s="95">
        <v>33</v>
      </c>
      <c r="B34" s="168" t="s">
        <v>1118</v>
      </c>
      <c r="C34" s="168" t="s">
        <v>298</v>
      </c>
      <c r="D34" s="127">
        <v>42826.000011574077</v>
      </c>
      <c r="E34" s="95">
        <v>1</v>
      </c>
      <c r="F34">
        <v>1</v>
      </c>
    </row>
    <row r="35" spans="1:6">
      <c r="A35" s="95">
        <v>34</v>
      </c>
      <c r="B35" s="168" t="s">
        <v>1120</v>
      </c>
      <c r="C35" s="168" t="s">
        <v>298</v>
      </c>
      <c r="D35" s="127">
        <v>42826.000011574077</v>
      </c>
      <c r="E35" s="95">
        <v>1</v>
      </c>
      <c r="F35">
        <v>1</v>
      </c>
    </row>
    <row r="36" spans="1:6">
      <c r="A36" s="95">
        <v>35</v>
      </c>
      <c r="B36" s="168" t="s">
        <v>1121</v>
      </c>
      <c r="C36" s="168" t="s">
        <v>298</v>
      </c>
      <c r="D36" s="127">
        <v>42826.000011574077</v>
      </c>
      <c r="E36" s="95">
        <v>1</v>
      </c>
      <c r="F36">
        <v>1</v>
      </c>
    </row>
    <row r="37" spans="1:6">
      <c r="A37" s="95">
        <v>36</v>
      </c>
      <c r="B37" s="168" t="s">
        <v>1122</v>
      </c>
      <c r="C37" s="168" t="s">
        <v>298</v>
      </c>
      <c r="D37" s="127">
        <v>42826.000011574077</v>
      </c>
      <c r="E37" s="95">
        <v>1</v>
      </c>
      <c r="F37">
        <v>1</v>
      </c>
    </row>
    <row r="38" spans="1:6">
      <c r="A38" s="95">
        <v>37</v>
      </c>
      <c r="B38" s="168" t="s">
        <v>1123</v>
      </c>
      <c r="C38" s="168" t="s">
        <v>298</v>
      </c>
      <c r="D38" s="127">
        <v>42826.000011574077</v>
      </c>
      <c r="E38" s="95">
        <v>1</v>
      </c>
      <c r="F38">
        <v>1</v>
      </c>
    </row>
    <row r="39" spans="1:6">
      <c r="A39" s="95">
        <v>38</v>
      </c>
      <c r="B39" s="168" t="s">
        <v>1124</v>
      </c>
      <c r="C39" s="168" t="s">
        <v>298</v>
      </c>
      <c r="D39" s="127">
        <v>42826.000011574077</v>
      </c>
      <c r="E39" s="95">
        <v>1</v>
      </c>
      <c r="F39">
        <v>1</v>
      </c>
    </row>
    <row r="40" spans="1:6">
      <c r="A40" s="95">
        <v>39</v>
      </c>
      <c r="B40" s="168" t="s">
        <v>1125</v>
      </c>
      <c r="C40" s="168" t="s">
        <v>298</v>
      </c>
      <c r="D40" s="127">
        <v>42826.000011574077</v>
      </c>
      <c r="E40" s="95">
        <v>1</v>
      </c>
      <c r="F40">
        <v>1</v>
      </c>
    </row>
    <row r="41" spans="1:6">
      <c r="A41" s="95">
        <v>40</v>
      </c>
      <c r="B41" s="168" t="s">
        <v>1126</v>
      </c>
      <c r="C41" s="168" t="s">
        <v>298</v>
      </c>
      <c r="D41" s="127">
        <v>42826.000011574077</v>
      </c>
      <c r="E41" s="95">
        <v>1</v>
      </c>
      <c r="F41">
        <v>1</v>
      </c>
    </row>
    <row r="42" spans="1:6">
      <c r="A42" s="95">
        <v>41</v>
      </c>
      <c r="B42" s="168" t="s">
        <v>1127</v>
      </c>
      <c r="C42" s="168" t="s">
        <v>298</v>
      </c>
      <c r="D42" s="127">
        <v>42826.000011574077</v>
      </c>
      <c r="E42" s="95">
        <v>1</v>
      </c>
      <c r="F42">
        <v>1</v>
      </c>
    </row>
    <row r="43" spans="1:6">
      <c r="A43" s="95">
        <v>42</v>
      </c>
      <c r="B43" s="168" t="s">
        <v>1128</v>
      </c>
      <c r="C43" s="168" t="s">
        <v>298</v>
      </c>
      <c r="D43" s="127">
        <v>42826.000011574077</v>
      </c>
      <c r="E43" s="95">
        <v>1</v>
      </c>
      <c r="F43">
        <v>1</v>
      </c>
    </row>
    <row r="44" spans="1:6">
      <c r="A44" s="95">
        <v>43</v>
      </c>
      <c r="B44" s="168" t="s">
        <v>1129</v>
      </c>
      <c r="C44" s="168" t="s">
        <v>298</v>
      </c>
      <c r="D44" s="127">
        <v>42826.000011574077</v>
      </c>
      <c r="E44" s="95">
        <v>1</v>
      </c>
      <c r="F44">
        <v>1</v>
      </c>
    </row>
    <row r="45" spans="1:6">
      <c r="A45" s="95">
        <v>44</v>
      </c>
      <c r="B45" s="168" t="s">
        <v>1130</v>
      </c>
      <c r="C45" s="168" t="s">
        <v>298</v>
      </c>
      <c r="D45" s="127">
        <v>42826.000011574077</v>
      </c>
      <c r="E45" s="95">
        <v>1</v>
      </c>
      <c r="F45">
        <v>1</v>
      </c>
    </row>
    <row r="46" spans="1:6">
      <c r="A46" s="95">
        <v>45</v>
      </c>
      <c r="B46" s="168" t="s">
        <v>1131</v>
      </c>
      <c r="C46" s="168" t="s">
        <v>298</v>
      </c>
      <c r="D46" s="127">
        <v>42826.000011574077</v>
      </c>
      <c r="E46" s="95">
        <v>1</v>
      </c>
      <c r="F46">
        <v>1</v>
      </c>
    </row>
    <row r="47" spans="1:6">
      <c r="A47" s="95">
        <v>46</v>
      </c>
      <c r="B47" s="168" t="s">
        <v>1132</v>
      </c>
      <c r="C47" s="168" t="s">
        <v>298</v>
      </c>
      <c r="D47" s="127">
        <v>42826.000011574077</v>
      </c>
      <c r="E47" s="95">
        <v>1</v>
      </c>
      <c r="F47">
        <v>1</v>
      </c>
    </row>
    <row r="48" spans="1:6">
      <c r="A48" s="95">
        <v>47</v>
      </c>
      <c r="B48" s="168" t="s">
        <v>1133</v>
      </c>
      <c r="C48" s="168" t="s">
        <v>298</v>
      </c>
      <c r="D48" s="127">
        <v>42826.000011574077</v>
      </c>
      <c r="E48" s="95">
        <v>1</v>
      </c>
      <c r="F48">
        <v>1</v>
      </c>
    </row>
    <row r="49" spans="1:6">
      <c r="A49" s="95">
        <v>48</v>
      </c>
      <c r="B49" s="168" t="s">
        <v>1134</v>
      </c>
      <c r="C49" s="168" t="s">
        <v>298</v>
      </c>
      <c r="D49" s="127">
        <v>42826.000011574077</v>
      </c>
      <c r="E49" s="95">
        <v>1</v>
      </c>
      <c r="F49">
        <v>1</v>
      </c>
    </row>
    <row r="50" spans="1:6">
      <c r="A50" s="95">
        <v>49</v>
      </c>
      <c r="B50" s="168" t="s">
        <v>1135</v>
      </c>
      <c r="C50" s="168" t="s">
        <v>298</v>
      </c>
      <c r="D50" s="127">
        <v>42826.000011574077</v>
      </c>
      <c r="E50" s="95">
        <v>1</v>
      </c>
      <c r="F50">
        <v>1</v>
      </c>
    </row>
    <row r="51" spans="1:6">
      <c r="A51" s="95">
        <v>50</v>
      </c>
      <c r="B51" s="168" t="s">
        <v>1136</v>
      </c>
      <c r="C51" s="168" t="s">
        <v>298</v>
      </c>
      <c r="D51" s="127">
        <v>42826.000011574077</v>
      </c>
      <c r="E51" s="95">
        <v>1</v>
      </c>
      <c r="F51">
        <v>1</v>
      </c>
    </row>
    <row r="52" spans="1:6">
      <c r="A52" s="95">
        <v>51</v>
      </c>
      <c r="B52" s="168" t="s">
        <v>1137</v>
      </c>
      <c r="C52" s="168" t="s">
        <v>298</v>
      </c>
      <c r="D52" s="127">
        <v>42826.000011574077</v>
      </c>
      <c r="E52" s="95">
        <v>1</v>
      </c>
      <c r="F52">
        <v>1</v>
      </c>
    </row>
    <row r="53" spans="1:6">
      <c r="A53" s="95">
        <v>52</v>
      </c>
      <c r="B53" s="168" t="s">
        <v>1138</v>
      </c>
      <c r="C53" s="168" t="s">
        <v>298</v>
      </c>
      <c r="D53" s="127">
        <v>42826.000011574077</v>
      </c>
      <c r="E53" s="95">
        <v>1</v>
      </c>
      <c r="F53">
        <v>1</v>
      </c>
    </row>
    <row r="54" spans="1:6">
      <c r="A54" s="95">
        <v>53</v>
      </c>
      <c r="B54" s="168" t="s">
        <v>1139</v>
      </c>
      <c r="C54" s="168" t="s">
        <v>298</v>
      </c>
      <c r="D54" s="127">
        <v>42826.000011574077</v>
      </c>
      <c r="E54" s="95">
        <v>1</v>
      </c>
      <c r="F54">
        <v>1</v>
      </c>
    </row>
    <row r="55" spans="1:6">
      <c r="A55" s="95">
        <v>54</v>
      </c>
      <c r="B55" s="168" t="s">
        <v>1140</v>
      </c>
      <c r="C55" s="168" t="s">
        <v>298</v>
      </c>
      <c r="D55" s="127">
        <v>42826.000011574077</v>
      </c>
      <c r="E55" s="95">
        <v>1</v>
      </c>
      <c r="F55">
        <v>1</v>
      </c>
    </row>
    <row r="56" spans="1:6">
      <c r="A56" s="95">
        <v>55</v>
      </c>
      <c r="B56" s="168" t="s">
        <v>1141</v>
      </c>
      <c r="C56" s="168" t="s">
        <v>298</v>
      </c>
      <c r="D56" s="127">
        <v>42826.000011574077</v>
      </c>
      <c r="E56" s="95">
        <v>1</v>
      </c>
      <c r="F56">
        <v>1</v>
      </c>
    </row>
    <row r="57" spans="1:6">
      <c r="A57" s="95">
        <v>56</v>
      </c>
      <c r="B57" s="168" t="s">
        <v>1142</v>
      </c>
      <c r="C57" s="168" t="s">
        <v>298</v>
      </c>
      <c r="D57" s="127">
        <v>42826.000011574077</v>
      </c>
      <c r="E57" s="95">
        <v>1</v>
      </c>
      <c r="F57">
        <v>1</v>
      </c>
    </row>
    <row r="58" spans="1:6">
      <c r="A58" s="95">
        <v>57</v>
      </c>
      <c r="B58" s="168" t="s">
        <v>1143</v>
      </c>
      <c r="C58" s="168" t="s">
        <v>298</v>
      </c>
      <c r="D58" s="127">
        <v>42826.000011574077</v>
      </c>
      <c r="E58" s="95">
        <v>1</v>
      </c>
      <c r="F58">
        <v>1</v>
      </c>
    </row>
    <row r="59" spans="1:6">
      <c r="A59" s="95">
        <v>58</v>
      </c>
      <c r="B59" s="168" t="s">
        <v>1144</v>
      </c>
      <c r="C59" s="168" t="s">
        <v>298</v>
      </c>
      <c r="D59" s="127">
        <v>42826.000011574077</v>
      </c>
      <c r="E59" s="95">
        <v>1</v>
      </c>
      <c r="F59">
        <v>1</v>
      </c>
    </row>
    <row r="60" spans="1:6">
      <c r="A60" s="95">
        <v>59</v>
      </c>
      <c r="B60" s="168" t="s">
        <v>1145</v>
      </c>
      <c r="C60" s="168" t="s">
        <v>298</v>
      </c>
      <c r="D60" s="127">
        <v>42826.000011574077</v>
      </c>
      <c r="E60" s="95">
        <v>1</v>
      </c>
      <c r="F60">
        <v>1</v>
      </c>
    </row>
    <row r="61" spans="1:6">
      <c r="A61" s="95">
        <v>60</v>
      </c>
      <c r="B61" s="168" t="s">
        <v>1146</v>
      </c>
      <c r="C61" s="168" t="s">
        <v>298</v>
      </c>
      <c r="D61" s="127">
        <v>42826.000011574077</v>
      </c>
      <c r="E61" s="95">
        <v>1</v>
      </c>
      <c r="F61">
        <v>1</v>
      </c>
    </row>
    <row r="62" spans="1:6">
      <c r="A62" s="95">
        <v>61</v>
      </c>
      <c r="B62" s="168" t="s">
        <v>1147</v>
      </c>
      <c r="C62" s="168" t="s">
        <v>298</v>
      </c>
      <c r="D62" s="127">
        <v>42826.000011574077</v>
      </c>
      <c r="E62" s="95">
        <v>1</v>
      </c>
      <c r="F62">
        <v>1</v>
      </c>
    </row>
    <row r="63" spans="1:6">
      <c r="A63" s="95">
        <v>62</v>
      </c>
      <c r="B63" s="168" t="s">
        <v>1148</v>
      </c>
      <c r="C63" s="168" t="s">
        <v>298</v>
      </c>
      <c r="D63" s="127">
        <v>42826.000011574077</v>
      </c>
      <c r="E63" s="95">
        <v>1</v>
      </c>
      <c r="F63">
        <v>1</v>
      </c>
    </row>
    <row r="64" spans="1:6">
      <c r="A64" s="95">
        <v>63</v>
      </c>
      <c r="B64" s="168" t="s">
        <v>1149</v>
      </c>
      <c r="C64" s="168" t="s">
        <v>298</v>
      </c>
      <c r="D64" s="127">
        <v>42826.000011574077</v>
      </c>
      <c r="E64" s="95">
        <v>1</v>
      </c>
      <c r="F64">
        <v>1</v>
      </c>
    </row>
    <row r="65" spans="1:6">
      <c r="A65" s="95">
        <v>64</v>
      </c>
      <c r="B65" s="168" t="s">
        <v>1150</v>
      </c>
      <c r="C65" s="168" t="s">
        <v>298</v>
      </c>
      <c r="D65" s="127">
        <v>42826.000011574077</v>
      </c>
      <c r="E65" s="95">
        <v>1</v>
      </c>
      <c r="F65">
        <v>1</v>
      </c>
    </row>
    <row r="66" spans="1:6">
      <c r="A66" s="95">
        <v>65</v>
      </c>
      <c r="B66" s="168" t="s">
        <v>1349</v>
      </c>
      <c r="C66" s="168"/>
      <c r="D66" s="127">
        <v>42826.000011574077</v>
      </c>
      <c r="E66" s="95">
        <v>1</v>
      </c>
      <c r="F66">
        <v>1</v>
      </c>
    </row>
    <row r="67" spans="1:6">
      <c r="A67" s="95">
        <v>66</v>
      </c>
      <c r="B67" s="168" t="s">
        <v>836</v>
      </c>
      <c r="C67" s="168" t="s">
        <v>837</v>
      </c>
      <c r="D67" s="127">
        <v>42826.000011574077</v>
      </c>
      <c r="E67" s="95">
        <v>1</v>
      </c>
      <c r="F67">
        <v>1</v>
      </c>
    </row>
    <row r="68" spans="1:6">
      <c r="A68" s="95">
        <v>67</v>
      </c>
      <c r="B68" s="168" t="s">
        <v>1153</v>
      </c>
      <c r="C68" s="168" t="s">
        <v>298</v>
      </c>
      <c r="D68" s="127">
        <v>42826.000011574077</v>
      </c>
      <c r="E68" s="95">
        <v>1</v>
      </c>
      <c r="F68">
        <v>1</v>
      </c>
    </row>
    <row r="69" spans="1:6">
      <c r="A69" s="95">
        <v>68</v>
      </c>
      <c r="B69" s="168" t="s">
        <v>1154</v>
      </c>
      <c r="C69" s="168" t="s">
        <v>298</v>
      </c>
      <c r="D69" s="127">
        <v>42826.000011574077</v>
      </c>
      <c r="E69" s="95">
        <v>1</v>
      </c>
      <c r="F69">
        <v>1</v>
      </c>
    </row>
    <row r="70" spans="1:6">
      <c r="A70" s="95">
        <v>69</v>
      </c>
      <c r="B70" s="168" t="s">
        <v>1155</v>
      </c>
      <c r="C70" s="168" t="s">
        <v>298</v>
      </c>
      <c r="D70" s="127">
        <v>42826.000011574077</v>
      </c>
      <c r="E70" s="95">
        <v>1</v>
      </c>
      <c r="F70">
        <v>1</v>
      </c>
    </row>
    <row r="71" spans="1:6">
      <c r="A71" s="95">
        <v>70</v>
      </c>
      <c r="B71" s="168" t="s">
        <v>1156</v>
      </c>
      <c r="C71" s="168" t="s">
        <v>298</v>
      </c>
      <c r="D71" s="127">
        <v>42826.000011574077</v>
      </c>
      <c r="E71" s="95">
        <v>1</v>
      </c>
      <c r="F71">
        <v>1</v>
      </c>
    </row>
    <row r="72" spans="1:6">
      <c r="A72" s="95">
        <v>71</v>
      </c>
      <c r="B72" s="168" t="s">
        <v>1157</v>
      </c>
      <c r="C72" s="168" t="s">
        <v>298</v>
      </c>
      <c r="D72" s="127">
        <v>42826.000011574077</v>
      </c>
      <c r="E72" s="95">
        <v>1</v>
      </c>
      <c r="F72">
        <v>1</v>
      </c>
    </row>
    <row r="73" spans="1:6">
      <c r="A73" s="95">
        <v>72</v>
      </c>
      <c r="B73" s="168" t="s">
        <v>1158</v>
      </c>
      <c r="C73" s="168" t="s">
        <v>298</v>
      </c>
      <c r="D73" s="127">
        <v>42826.000011574077</v>
      </c>
      <c r="E73" s="95">
        <v>1</v>
      </c>
      <c r="F73">
        <v>1</v>
      </c>
    </row>
    <row r="74" spans="1:6">
      <c r="A74" s="95">
        <v>73</v>
      </c>
      <c r="B74" s="168" t="s">
        <v>1159</v>
      </c>
      <c r="C74" s="168" t="s">
        <v>298</v>
      </c>
      <c r="D74" s="127">
        <v>42826.000011574077</v>
      </c>
      <c r="E74" s="95">
        <v>1</v>
      </c>
      <c r="F74">
        <v>1</v>
      </c>
    </row>
    <row r="75" spans="1:6">
      <c r="A75" s="95">
        <v>74</v>
      </c>
      <c r="B75" s="168" t="s">
        <v>1067</v>
      </c>
      <c r="C75" s="168" t="s">
        <v>298</v>
      </c>
      <c r="D75" s="127">
        <v>42826.000011574077</v>
      </c>
      <c r="E75" s="95">
        <v>1</v>
      </c>
      <c r="F75">
        <v>1</v>
      </c>
    </row>
    <row r="76" spans="1:6">
      <c r="A76" s="95">
        <v>75</v>
      </c>
      <c r="B76" s="168" t="s">
        <v>1352</v>
      </c>
      <c r="C76" s="168" t="s">
        <v>1160</v>
      </c>
      <c r="D76" s="127">
        <v>42826.000011574077</v>
      </c>
      <c r="E76" s="95">
        <v>1</v>
      </c>
      <c r="F76">
        <v>1</v>
      </c>
    </row>
    <row r="77" spans="1:6">
      <c r="A77" s="95">
        <v>76</v>
      </c>
      <c r="B77" s="168" t="s">
        <v>1161</v>
      </c>
      <c r="C77" s="168" t="s">
        <v>298</v>
      </c>
      <c r="D77" s="127">
        <v>42826.000011574077</v>
      </c>
      <c r="E77" s="95">
        <v>1</v>
      </c>
      <c r="F77">
        <v>1</v>
      </c>
    </row>
    <row r="78" spans="1:6">
      <c r="A78" s="95">
        <v>77</v>
      </c>
      <c r="B78" s="168" t="s">
        <v>806</v>
      </c>
      <c r="C78" s="168" t="s">
        <v>298</v>
      </c>
      <c r="D78" s="127">
        <v>42826.000011574077</v>
      </c>
      <c r="E78" s="95">
        <v>1</v>
      </c>
      <c r="F78">
        <v>1</v>
      </c>
    </row>
    <row r="79" spans="1:6">
      <c r="A79" s="95">
        <v>78</v>
      </c>
      <c r="B79" s="168" t="s">
        <v>808</v>
      </c>
      <c r="C79" s="168" t="s">
        <v>1070</v>
      </c>
      <c r="D79" s="127">
        <v>42826.000011574077</v>
      </c>
      <c r="E79" s="95">
        <v>1</v>
      </c>
      <c r="F79">
        <v>1</v>
      </c>
    </row>
    <row r="80" spans="1:6">
      <c r="A80" s="95">
        <v>79</v>
      </c>
      <c r="B80" s="168" t="s">
        <v>1162</v>
      </c>
      <c r="C80" s="168" t="s">
        <v>298</v>
      </c>
      <c r="D80" s="127">
        <v>42826.000011574077</v>
      </c>
      <c r="E80" s="95">
        <v>1</v>
      </c>
      <c r="F80">
        <v>1</v>
      </c>
    </row>
    <row r="81" spans="1:6">
      <c r="A81" s="95">
        <v>80</v>
      </c>
      <c r="B81" s="168" t="s">
        <v>810</v>
      </c>
      <c r="C81" s="168" t="s">
        <v>1073</v>
      </c>
      <c r="D81" s="127">
        <v>42826.000011574077</v>
      </c>
      <c r="E81" s="95">
        <v>1</v>
      </c>
      <c r="F81">
        <v>1</v>
      </c>
    </row>
    <row r="82" spans="1:6">
      <c r="A82" s="95">
        <v>81</v>
      </c>
      <c r="B82" s="168" t="s">
        <v>812</v>
      </c>
      <c r="C82" s="168" t="s">
        <v>1074</v>
      </c>
      <c r="D82" s="127">
        <v>42826.000011574077</v>
      </c>
      <c r="E82" s="95">
        <v>1</v>
      </c>
      <c r="F82">
        <v>1</v>
      </c>
    </row>
    <row r="83" spans="1:6">
      <c r="A83" s="95">
        <v>82</v>
      </c>
      <c r="B83" s="168" t="s">
        <v>1353</v>
      </c>
      <c r="C83" s="168" t="s">
        <v>815</v>
      </c>
      <c r="D83" s="127">
        <v>42826.000011574077</v>
      </c>
      <c r="E83" s="95">
        <v>1</v>
      </c>
      <c r="F83">
        <v>1</v>
      </c>
    </row>
    <row r="84" spans="1:6">
      <c r="A84" s="95">
        <v>83</v>
      </c>
      <c r="B84" s="168" t="s">
        <v>845</v>
      </c>
      <c r="C84" s="168" t="s">
        <v>298</v>
      </c>
      <c r="D84" s="127">
        <v>42826.000011574077</v>
      </c>
      <c r="E84" s="95">
        <v>1</v>
      </c>
      <c r="F84">
        <v>1</v>
      </c>
    </row>
    <row r="85" spans="1:6">
      <c r="A85" s="95">
        <v>84</v>
      </c>
      <c r="B85" s="168" t="s">
        <v>850</v>
      </c>
      <c r="C85" s="168" t="s">
        <v>298</v>
      </c>
      <c r="D85" s="127">
        <v>42826.000011574077</v>
      </c>
      <c r="E85" s="95">
        <v>1</v>
      </c>
      <c r="F85">
        <v>1</v>
      </c>
    </row>
    <row r="86" spans="1:6">
      <c r="A86" s="95">
        <v>85</v>
      </c>
      <c r="B86" s="168" t="s">
        <v>851</v>
      </c>
      <c r="C86" s="168" t="s">
        <v>298</v>
      </c>
      <c r="D86" s="127">
        <v>42826.000011574077</v>
      </c>
      <c r="E86" s="95">
        <v>1</v>
      </c>
      <c r="F86">
        <v>1</v>
      </c>
    </row>
    <row r="87" spans="1:6">
      <c r="A87" s="95">
        <v>86</v>
      </c>
      <c r="B87" s="168" t="s">
        <v>1166</v>
      </c>
      <c r="C87" s="168" t="s">
        <v>298</v>
      </c>
      <c r="D87" s="127">
        <v>42826.000011574077</v>
      </c>
      <c r="E87" s="95">
        <v>1</v>
      </c>
      <c r="F87">
        <v>1</v>
      </c>
    </row>
    <row r="88" spans="1:6">
      <c r="A88" s="95">
        <v>87</v>
      </c>
      <c r="B88" s="168" t="s">
        <v>1167</v>
      </c>
      <c r="C88" s="168" t="s">
        <v>298</v>
      </c>
      <c r="D88" s="127">
        <v>42826.000011574077</v>
      </c>
      <c r="E88" s="95">
        <v>1</v>
      </c>
      <c r="F88">
        <v>1</v>
      </c>
    </row>
    <row r="89" spans="1:6">
      <c r="A89" s="95">
        <v>88</v>
      </c>
      <c r="B89" s="168" t="s">
        <v>1168</v>
      </c>
      <c r="C89" s="168" t="s">
        <v>298</v>
      </c>
      <c r="D89" s="127">
        <v>42826.000011574077</v>
      </c>
      <c r="E89" s="95">
        <v>1</v>
      </c>
      <c r="F89">
        <v>1</v>
      </c>
    </row>
    <row r="90" spans="1:6">
      <c r="A90" s="95">
        <v>89</v>
      </c>
      <c r="B90" s="168" t="s">
        <v>1169</v>
      </c>
      <c r="C90" s="168" t="s">
        <v>298</v>
      </c>
      <c r="D90" s="127">
        <v>42826.000011574077</v>
      </c>
      <c r="E90" s="95">
        <v>1</v>
      </c>
      <c r="F90">
        <v>1</v>
      </c>
    </row>
    <row r="91" spans="1:6">
      <c r="A91" s="95">
        <v>90</v>
      </c>
      <c r="B91" s="168" t="s">
        <v>1170</v>
      </c>
      <c r="C91" s="168" t="s">
        <v>298</v>
      </c>
      <c r="D91" s="127">
        <v>42826.000011574077</v>
      </c>
      <c r="E91" s="95">
        <v>1</v>
      </c>
      <c r="F91">
        <v>1</v>
      </c>
    </row>
    <row r="92" spans="1:6">
      <c r="A92" s="95">
        <v>91</v>
      </c>
      <c r="B92" s="168" t="s">
        <v>1171</v>
      </c>
      <c r="C92" s="168" t="s">
        <v>298</v>
      </c>
      <c r="D92" s="127">
        <v>42826.000011574077</v>
      </c>
      <c r="E92" s="95">
        <v>1</v>
      </c>
      <c r="F92">
        <v>1</v>
      </c>
    </row>
    <row r="93" spans="1:6">
      <c r="A93" s="95">
        <v>92</v>
      </c>
      <c r="B93" s="168" t="s">
        <v>1172</v>
      </c>
      <c r="C93" s="168" t="s">
        <v>298</v>
      </c>
      <c r="D93" s="127">
        <v>42826.000011574077</v>
      </c>
      <c r="E93" s="95">
        <v>1</v>
      </c>
      <c r="F93">
        <v>1</v>
      </c>
    </row>
    <row r="94" spans="1:6">
      <c r="A94" s="95">
        <v>93</v>
      </c>
      <c r="B94" s="168" t="s">
        <v>1173</v>
      </c>
      <c r="C94" s="168" t="s">
        <v>298</v>
      </c>
      <c r="D94" s="127">
        <v>42826.000011574077</v>
      </c>
      <c r="E94" s="95">
        <v>1</v>
      </c>
      <c r="F94">
        <v>1</v>
      </c>
    </row>
    <row r="95" spans="1:6">
      <c r="A95" s="95">
        <v>94</v>
      </c>
      <c r="B95" s="168" t="s">
        <v>1174</v>
      </c>
      <c r="C95" s="168" t="s">
        <v>298</v>
      </c>
      <c r="D95" s="127">
        <v>42826.000011574077</v>
      </c>
      <c r="E95" s="95">
        <v>1</v>
      </c>
      <c r="F95">
        <v>1</v>
      </c>
    </row>
    <row r="96" spans="1:6">
      <c r="A96" s="95">
        <v>95</v>
      </c>
      <c r="B96" s="168" t="s">
        <v>1175</v>
      </c>
      <c r="C96" s="168" t="s">
        <v>298</v>
      </c>
      <c r="D96" s="127">
        <v>42826.000011574077</v>
      </c>
      <c r="E96" s="95">
        <v>1</v>
      </c>
      <c r="F96">
        <v>1</v>
      </c>
    </row>
    <row r="97" spans="1:6">
      <c r="A97" s="95">
        <v>96</v>
      </c>
      <c r="B97" s="168" t="s">
        <v>1176</v>
      </c>
      <c r="C97" s="168" t="s">
        <v>298</v>
      </c>
      <c r="D97" s="127">
        <v>42826.000011574077</v>
      </c>
      <c r="E97" s="95">
        <v>1</v>
      </c>
      <c r="F97">
        <v>1</v>
      </c>
    </row>
    <row r="98" spans="1:6">
      <c r="A98" s="95">
        <v>97</v>
      </c>
      <c r="B98" s="168" t="s">
        <v>1177</v>
      </c>
      <c r="C98" s="168" t="s">
        <v>298</v>
      </c>
      <c r="D98" s="127">
        <v>42826.000011574077</v>
      </c>
      <c r="E98" s="95">
        <v>1</v>
      </c>
      <c r="F98">
        <v>1</v>
      </c>
    </row>
    <row r="99" spans="1:6">
      <c r="A99" s="95">
        <v>98</v>
      </c>
      <c r="B99" s="168" t="s">
        <v>1178</v>
      </c>
      <c r="C99" s="168" t="s">
        <v>298</v>
      </c>
      <c r="D99" s="127">
        <v>42826.000011574077</v>
      </c>
      <c r="E99" s="95">
        <v>1</v>
      </c>
      <c r="F99">
        <v>1</v>
      </c>
    </row>
    <row r="100" spans="1:6">
      <c r="A100" s="95">
        <v>99</v>
      </c>
      <c r="B100" s="168" t="s">
        <v>1179</v>
      </c>
      <c r="C100" s="168" t="s">
        <v>298</v>
      </c>
      <c r="D100" s="127">
        <v>42826.000011574077</v>
      </c>
      <c r="E100" s="95">
        <v>1</v>
      </c>
      <c r="F100">
        <v>1</v>
      </c>
    </row>
    <row r="101" spans="1:6">
      <c r="A101" s="95">
        <v>100</v>
      </c>
      <c r="B101" s="168" t="s">
        <v>1180</v>
      </c>
      <c r="C101" s="168" t="s">
        <v>298</v>
      </c>
      <c r="D101" s="127">
        <v>42826.000011574077</v>
      </c>
      <c r="E101" s="95">
        <v>1</v>
      </c>
      <c r="F101">
        <v>1</v>
      </c>
    </row>
    <row r="102" spans="1:6">
      <c r="A102" s="95">
        <v>101</v>
      </c>
      <c r="B102" s="168" t="s">
        <v>1181</v>
      </c>
      <c r="C102" s="168" t="s">
        <v>298</v>
      </c>
      <c r="D102" s="127">
        <v>42826.000011574077</v>
      </c>
      <c r="E102" s="95">
        <v>1</v>
      </c>
      <c r="F102">
        <v>1</v>
      </c>
    </row>
    <row r="103" spans="1:6">
      <c r="A103" s="95">
        <v>102</v>
      </c>
      <c r="B103" s="168" t="s">
        <v>1182</v>
      </c>
      <c r="C103" s="168" t="s">
        <v>298</v>
      </c>
      <c r="D103" s="127">
        <v>42826.000011574077</v>
      </c>
      <c r="E103" s="95">
        <v>1</v>
      </c>
      <c r="F103">
        <v>1</v>
      </c>
    </row>
    <row r="104" spans="1:6">
      <c r="A104" s="95">
        <v>103</v>
      </c>
      <c r="B104" s="168" t="s">
        <v>548</v>
      </c>
      <c r="C104" s="168" t="s">
        <v>549</v>
      </c>
      <c r="D104" s="127">
        <v>43009.000011574077</v>
      </c>
      <c r="E104" s="95">
        <v>1</v>
      </c>
      <c r="F104">
        <v>2</v>
      </c>
    </row>
    <row r="105" spans="1:6">
      <c r="A105" s="95">
        <v>104</v>
      </c>
      <c r="B105" s="168" t="s">
        <v>550</v>
      </c>
      <c r="C105" s="168" t="s">
        <v>551</v>
      </c>
      <c r="D105" s="127">
        <v>43009.000011574077</v>
      </c>
      <c r="E105" s="95">
        <v>1</v>
      </c>
      <c r="F105">
        <v>2</v>
      </c>
    </row>
    <row r="106" spans="1:6">
      <c r="A106" s="95">
        <v>105</v>
      </c>
      <c r="B106" s="168" t="s">
        <v>552</v>
      </c>
      <c r="C106" s="168" t="s">
        <v>553</v>
      </c>
      <c r="D106" s="127">
        <v>43009.000011574077</v>
      </c>
      <c r="E106" s="95">
        <v>1</v>
      </c>
      <c r="F106">
        <v>2</v>
      </c>
    </row>
    <row r="107" spans="1:6">
      <c r="A107" s="95">
        <v>106</v>
      </c>
      <c r="B107" s="168" t="s">
        <v>554</v>
      </c>
      <c r="C107" s="168" t="s">
        <v>555</v>
      </c>
      <c r="D107" s="127">
        <v>43009.000011574077</v>
      </c>
      <c r="E107" s="95">
        <v>1</v>
      </c>
      <c r="F107">
        <v>2</v>
      </c>
    </row>
    <row r="108" spans="1:6">
      <c r="A108" s="95">
        <v>107</v>
      </c>
      <c r="B108" s="168" t="s">
        <v>556</v>
      </c>
      <c r="C108" s="168" t="s">
        <v>557</v>
      </c>
      <c r="D108" s="127">
        <v>43009.000011574077</v>
      </c>
      <c r="E108" s="95">
        <v>1</v>
      </c>
      <c r="F108">
        <v>2</v>
      </c>
    </row>
    <row r="109" spans="1:6">
      <c r="A109" s="95">
        <v>108</v>
      </c>
      <c r="B109" s="168" t="s">
        <v>558</v>
      </c>
      <c r="C109" s="168" t="s">
        <v>559</v>
      </c>
      <c r="D109" s="127">
        <v>43009.000011574077</v>
      </c>
      <c r="E109" s="95">
        <v>1</v>
      </c>
      <c r="F109">
        <v>2</v>
      </c>
    </row>
    <row r="110" spans="1:6">
      <c r="A110" s="95">
        <v>109</v>
      </c>
      <c r="B110" s="168" t="s">
        <v>1355</v>
      </c>
      <c r="C110" s="168" t="s">
        <v>561</v>
      </c>
      <c r="D110" s="127">
        <v>43009.000011574077</v>
      </c>
      <c r="E110" s="95">
        <v>1</v>
      </c>
      <c r="F110">
        <v>2</v>
      </c>
    </row>
    <row r="111" spans="1:6">
      <c r="A111" s="95">
        <v>110</v>
      </c>
      <c r="B111" s="168" t="s">
        <v>562</v>
      </c>
      <c r="C111" s="168" t="s">
        <v>563</v>
      </c>
      <c r="D111" s="127">
        <v>43009.000011574077</v>
      </c>
      <c r="E111" s="95">
        <v>1</v>
      </c>
      <c r="F111">
        <v>2</v>
      </c>
    </row>
    <row r="112" spans="1:6">
      <c r="A112" s="95">
        <v>111</v>
      </c>
      <c r="B112" s="168" t="s">
        <v>564</v>
      </c>
      <c r="C112" s="168" t="s">
        <v>565</v>
      </c>
      <c r="D112" s="127">
        <v>43009.000011574077</v>
      </c>
      <c r="E112" s="95">
        <v>1</v>
      </c>
      <c r="F112">
        <v>2</v>
      </c>
    </row>
    <row r="113" spans="1:6">
      <c r="A113" s="95">
        <v>112</v>
      </c>
      <c r="B113" s="168" t="s">
        <v>1356</v>
      </c>
      <c r="C113" s="168" t="s">
        <v>567</v>
      </c>
      <c r="D113" s="127">
        <v>43009.000011574077</v>
      </c>
      <c r="E113" s="95">
        <v>1</v>
      </c>
      <c r="F113">
        <v>2</v>
      </c>
    </row>
    <row r="114" spans="1:6">
      <c r="A114" s="95">
        <v>113</v>
      </c>
      <c r="B114" s="168" t="s">
        <v>568</v>
      </c>
      <c r="C114" s="168" t="s">
        <v>569</v>
      </c>
      <c r="D114" s="127">
        <v>43009.000011574077</v>
      </c>
      <c r="E114" s="95">
        <v>1</v>
      </c>
      <c r="F114">
        <v>2</v>
      </c>
    </row>
    <row r="115" spans="1:6">
      <c r="A115" s="95">
        <v>114</v>
      </c>
      <c r="B115" s="168" t="s">
        <v>570</v>
      </c>
      <c r="C115" s="168" t="s">
        <v>571</v>
      </c>
      <c r="D115" s="127">
        <v>43009.000011574077</v>
      </c>
      <c r="E115" s="95">
        <v>1</v>
      </c>
      <c r="F115">
        <v>2</v>
      </c>
    </row>
    <row r="116" spans="1:6">
      <c r="A116" s="95">
        <v>115</v>
      </c>
      <c r="B116" s="168" t="s">
        <v>572</v>
      </c>
      <c r="C116" s="168" t="s">
        <v>573</v>
      </c>
      <c r="D116" s="127">
        <v>43009.000011574077</v>
      </c>
      <c r="E116" s="95">
        <v>1</v>
      </c>
      <c r="F116">
        <v>2</v>
      </c>
    </row>
    <row r="117" spans="1:6">
      <c r="A117" s="95">
        <v>116</v>
      </c>
      <c r="B117" s="168" t="s">
        <v>574</v>
      </c>
      <c r="C117" s="168" t="s">
        <v>575</v>
      </c>
      <c r="D117" s="127">
        <v>43009.000011574077</v>
      </c>
      <c r="E117" s="95">
        <v>1</v>
      </c>
      <c r="F117">
        <v>2</v>
      </c>
    </row>
    <row r="118" spans="1:6">
      <c r="A118" s="95">
        <v>117</v>
      </c>
      <c r="B118" s="168" t="s">
        <v>576</v>
      </c>
      <c r="C118" s="168" t="s">
        <v>577</v>
      </c>
      <c r="D118" s="127">
        <v>43009.000011574077</v>
      </c>
      <c r="E118" s="95">
        <v>1</v>
      </c>
      <c r="F118">
        <v>2</v>
      </c>
    </row>
    <row r="119" spans="1:6">
      <c r="A119" s="95">
        <v>118</v>
      </c>
      <c r="B119" s="168" t="s">
        <v>578</v>
      </c>
      <c r="C119" s="168" t="s">
        <v>579</v>
      </c>
      <c r="D119" s="127">
        <v>43009.000011574077</v>
      </c>
      <c r="E119" s="95">
        <v>1</v>
      </c>
      <c r="F119">
        <v>2</v>
      </c>
    </row>
    <row r="120" spans="1:6">
      <c r="A120" s="95">
        <v>119</v>
      </c>
      <c r="B120" s="168" t="s">
        <v>580</v>
      </c>
      <c r="C120" s="168" t="s">
        <v>581</v>
      </c>
      <c r="D120" s="127">
        <v>43009.000011574077</v>
      </c>
      <c r="E120" s="95">
        <v>1</v>
      </c>
      <c r="F120">
        <v>2</v>
      </c>
    </row>
    <row r="121" spans="1:6">
      <c r="A121" s="95">
        <v>120</v>
      </c>
      <c r="B121" s="168" t="s">
        <v>582</v>
      </c>
      <c r="C121" s="168" t="s">
        <v>583</v>
      </c>
      <c r="D121" s="127">
        <v>43009.000011574077</v>
      </c>
      <c r="E121" s="95">
        <v>1</v>
      </c>
      <c r="F121">
        <v>2</v>
      </c>
    </row>
    <row r="122" spans="1:6">
      <c r="A122" s="95">
        <v>121</v>
      </c>
      <c r="B122" s="168" t="s">
        <v>584</v>
      </c>
      <c r="C122" s="168" t="s">
        <v>585</v>
      </c>
      <c r="D122" s="127">
        <v>43009.000011574077</v>
      </c>
      <c r="E122" s="95">
        <v>1</v>
      </c>
      <c r="F122">
        <v>2</v>
      </c>
    </row>
    <row r="123" spans="1:6">
      <c r="A123" s="95">
        <v>122</v>
      </c>
      <c r="B123" s="168" t="s">
        <v>586</v>
      </c>
      <c r="C123" s="168" t="s">
        <v>587</v>
      </c>
      <c r="D123" s="127">
        <v>43009.000011574077</v>
      </c>
      <c r="E123" s="95">
        <v>1</v>
      </c>
      <c r="F123">
        <v>2</v>
      </c>
    </row>
    <row r="124" spans="1:6">
      <c r="A124" s="95">
        <v>123</v>
      </c>
      <c r="B124" s="168" t="s">
        <v>588</v>
      </c>
      <c r="C124" s="168" t="s">
        <v>589</v>
      </c>
      <c r="D124" s="127">
        <v>43009.000011574077</v>
      </c>
      <c r="E124" s="95">
        <v>1</v>
      </c>
      <c r="F124">
        <v>2</v>
      </c>
    </row>
    <row r="125" spans="1:6">
      <c r="A125" s="95">
        <v>124</v>
      </c>
      <c r="B125" s="168" t="s">
        <v>590</v>
      </c>
      <c r="C125" s="168" t="s">
        <v>591</v>
      </c>
      <c r="D125" s="127">
        <v>43009.000011574077</v>
      </c>
      <c r="E125" s="95">
        <v>1</v>
      </c>
      <c r="F125">
        <v>2</v>
      </c>
    </row>
    <row r="126" spans="1:6">
      <c r="A126" s="95">
        <v>125</v>
      </c>
      <c r="B126" s="168" t="s">
        <v>592</v>
      </c>
      <c r="C126" s="168" t="s">
        <v>593</v>
      </c>
      <c r="D126" s="127">
        <v>43009.000011574077</v>
      </c>
      <c r="E126" s="95">
        <v>1</v>
      </c>
      <c r="F126">
        <v>2</v>
      </c>
    </row>
    <row r="127" spans="1:6">
      <c r="A127" s="95">
        <v>126</v>
      </c>
      <c r="B127" s="168" t="s">
        <v>594</v>
      </c>
      <c r="C127" s="168" t="s">
        <v>595</v>
      </c>
      <c r="D127" s="127">
        <v>43009.000011574077</v>
      </c>
      <c r="E127" s="95">
        <v>1</v>
      </c>
      <c r="F127">
        <v>2</v>
      </c>
    </row>
    <row r="128" spans="1:6">
      <c r="A128" s="95">
        <v>127</v>
      </c>
      <c r="B128" s="168" t="s">
        <v>596</v>
      </c>
      <c r="C128" s="168" t="s">
        <v>597</v>
      </c>
      <c r="D128" s="127">
        <v>43009.000011574077</v>
      </c>
      <c r="E128" s="95">
        <v>1</v>
      </c>
      <c r="F128">
        <v>2</v>
      </c>
    </row>
    <row r="129" spans="1:6">
      <c r="A129" s="95">
        <v>128</v>
      </c>
      <c r="B129" s="168" t="s">
        <v>600</v>
      </c>
      <c r="C129" s="168" t="s">
        <v>601</v>
      </c>
      <c r="D129" s="127">
        <v>43009.000011574077</v>
      </c>
      <c r="E129" s="95">
        <v>1</v>
      </c>
      <c r="F129">
        <v>2</v>
      </c>
    </row>
    <row r="130" spans="1:6">
      <c r="A130" s="95">
        <v>129</v>
      </c>
      <c r="B130" s="168" t="s">
        <v>602</v>
      </c>
      <c r="C130" s="168" t="s">
        <v>603</v>
      </c>
      <c r="D130" s="127">
        <v>43009.000011574077</v>
      </c>
      <c r="E130" s="95">
        <v>1</v>
      </c>
      <c r="F130">
        <v>2</v>
      </c>
    </row>
    <row r="131" spans="1:6">
      <c r="A131" s="95">
        <v>130</v>
      </c>
      <c r="B131" s="168" t="s">
        <v>1359</v>
      </c>
      <c r="C131" s="168" t="s">
        <v>607</v>
      </c>
      <c r="D131" s="127">
        <v>43009.000011574077</v>
      </c>
      <c r="E131" s="95">
        <v>1</v>
      </c>
      <c r="F131">
        <v>2</v>
      </c>
    </row>
    <row r="132" spans="1:6">
      <c r="A132" s="95">
        <v>131</v>
      </c>
      <c r="B132" s="168" t="s">
        <v>1360</v>
      </c>
      <c r="C132" s="168" t="s">
        <v>609</v>
      </c>
      <c r="D132" s="127">
        <v>43009.000011574077</v>
      </c>
      <c r="E132" s="95">
        <v>1</v>
      </c>
      <c r="F132">
        <v>2</v>
      </c>
    </row>
    <row r="133" spans="1:6">
      <c r="A133" s="95">
        <v>132</v>
      </c>
      <c r="B133" s="168" t="s">
        <v>610</v>
      </c>
      <c r="C133" s="168" t="s">
        <v>298</v>
      </c>
      <c r="D133" s="127">
        <v>43009.000011574077</v>
      </c>
      <c r="E133" s="95">
        <v>1</v>
      </c>
      <c r="F133">
        <v>2</v>
      </c>
    </row>
    <row r="134" spans="1:6">
      <c r="A134" s="95">
        <v>133</v>
      </c>
      <c r="B134" s="168" t="s">
        <v>1361</v>
      </c>
      <c r="C134" s="168" t="s">
        <v>668</v>
      </c>
      <c r="D134" s="127">
        <v>43009.000011574077</v>
      </c>
      <c r="E134" s="95">
        <v>1</v>
      </c>
      <c r="F134">
        <v>2</v>
      </c>
    </row>
    <row r="135" spans="1:6">
      <c r="A135" s="95">
        <v>134</v>
      </c>
      <c r="B135" s="168" t="s">
        <v>612</v>
      </c>
      <c r="C135" s="168" t="s">
        <v>298</v>
      </c>
      <c r="D135" s="127">
        <v>43009.000011574077</v>
      </c>
      <c r="E135" s="95">
        <v>1</v>
      </c>
      <c r="F135">
        <v>2</v>
      </c>
    </row>
    <row r="136" spans="1:6">
      <c r="A136" s="95">
        <v>135</v>
      </c>
      <c r="B136" s="168" t="s">
        <v>613</v>
      </c>
      <c r="C136" s="168" t="s">
        <v>298</v>
      </c>
      <c r="D136" s="127">
        <v>43009.000011574077</v>
      </c>
      <c r="E136" s="95">
        <v>1</v>
      </c>
      <c r="F136">
        <v>2</v>
      </c>
    </row>
    <row r="137" spans="1:6">
      <c r="A137" s="95">
        <v>136</v>
      </c>
      <c r="B137" s="168" t="s">
        <v>614</v>
      </c>
      <c r="C137" s="168" t="s">
        <v>298</v>
      </c>
      <c r="D137" s="127">
        <v>43009.000011574077</v>
      </c>
      <c r="E137" s="95">
        <v>1</v>
      </c>
      <c r="F137">
        <v>2</v>
      </c>
    </row>
    <row r="138" spans="1:6">
      <c r="A138" s="95">
        <v>137</v>
      </c>
      <c r="B138" s="168" t="s">
        <v>615</v>
      </c>
      <c r="C138" s="168" t="s">
        <v>298</v>
      </c>
      <c r="D138" s="127">
        <v>43009.000011574077</v>
      </c>
      <c r="E138" s="95">
        <v>1</v>
      </c>
      <c r="F138">
        <v>2</v>
      </c>
    </row>
    <row r="139" spans="1:6">
      <c r="A139" s="95">
        <v>138</v>
      </c>
      <c r="B139" s="168" t="s">
        <v>616</v>
      </c>
      <c r="C139" s="168" t="s">
        <v>298</v>
      </c>
      <c r="D139" s="127">
        <v>43009.000011574077</v>
      </c>
      <c r="E139" s="95">
        <v>1</v>
      </c>
      <c r="F139">
        <v>2</v>
      </c>
    </row>
    <row r="140" spans="1:6">
      <c r="A140" s="95">
        <v>139</v>
      </c>
      <c r="B140" s="168" t="s">
        <v>617</v>
      </c>
      <c r="C140" s="168" t="s">
        <v>298</v>
      </c>
      <c r="D140" s="127">
        <v>43009.000011574077</v>
      </c>
      <c r="E140" s="95">
        <v>1</v>
      </c>
      <c r="F140">
        <v>2</v>
      </c>
    </row>
    <row r="141" spans="1:6">
      <c r="A141" s="95">
        <v>140</v>
      </c>
      <c r="B141" s="168" t="s">
        <v>618</v>
      </c>
      <c r="C141" s="168" t="s">
        <v>298</v>
      </c>
      <c r="D141" s="127">
        <v>43009.000011574077</v>
      </c>
      <c r="E141" s="95">
        <v>1</v>
      </c>
      <c r="F141">
        <v>2</v>
      </c>
    </row>
    <row r="142" spans="1:6">
      <c r="A142" s="95">
        <v>141</v>
      </c>
      <c r="B142" s="168" t="s">
        <v>619</v>
      </c>
      <c r="C142" s="168" t="s">
        <v>298</v>
      </c>
      <c r="D142" s="127">
        <v>43009.000011574077</v>
      </c>
      <c r="E142" s="95">
        <v>1</v>
      </c>
      <c r="F142">
        <v>2</v>
      </c>
    </row>
    <row r="143" spans="1:6">
      <c r="A143" s="95">
        <v>142</v>
      </c>
      <c r="B143" s="168" t="s">
        <v>620</v>
      </c>
      <c r="C143" s="168" t="s">
        <v>298</v>
      </c>
      <c r="D143" s="127">
        <v>43009.000011574077</v>
      </c>
      <c r="E143" s="95">
        <v>1</v>
      </c>
      <c r="F143">
        <v>2</v>
      </c>
    </row>
    <row r="144" spans="1:6">
      <c r="A144" s="95">
        <v>143</v>
      </c>
      <c r="B144" s="168" t="s">
        <v>621</v>
      </c>
      <c r="C144" s="168" t="s">
        <v>298</v>
      </c>
      <c r="D144" s="127">
        <v>43009.000011574077</v>
      </c>
      <c r="E144" s="95">
        <v>1</v>
      </c>
      <c r="F144">
        <v>2</v>
      </c>
    </row>
    <row r="145" spans="1:6">
      <c r="A145" s="95">
        <v>144</v>
      </c>
      <c r="B145" s="168" t="s">
        <v>622</v>
      </c>
      <c r="C145" s="168" t="s">
        <v>298</v>
      </c>
      <c r="D145" s="127">
        <v>43009.000011574077</v>
      </c>
      <c r="E145" s="95">
        <v>1</v>
      </c>
      <c r="F145">
        <v>2</v>
      </c>
    </row>
    <row r="146" spans="1:6">
      <c r="A146" s="95">
        <v>145</v>
      </c>
      <c r="B146" s="168" t="s">
        <v>623</v>
      </c>
      <c r="C146" s="168" t="s">
        <v>298</v>
      </c>
      <c r="D146" s="127">
        <v>43009.000011574077</v>
      </c>
      <c r="E146" s="95">
        <v>1</v>
      </c>
      <c r="F146">
        <v>2</v>
      </c>
    </row>
    <row r="147" spans="1:6">
      <c r="A147" s="95">
        <v>146</v>
      </c>
      <c r="B147" s="168" t="s">
        <v>1364</v>
      </c>
      <c r="C147" s="168" t="s">
        <v>298</v>
      </c>
      <c r="D147" s="127">
        <v>43009.000011574077</v>
      </c>
      <c r="E147" s="95">
        <v>1</v>
      </c>
      <c r="F147">
        <v>2</v>
      </c>
    </row>
    <row r="148" spans="1:6">
      <c r="A148" s="95">
        <v>147</v>
      </c>
      <c r="B148" s="168" t="s">
        <v>625</v>
      </c>
      <c r="C148" s="168" t="s">
        <v>626</v>
      </c>
      <c r="D148" s="127">
        <v>43009.000011574077</v>
      </c>
      <c r="E148" s="95">
        <v>1</v>
      </c>
      <c r="F148">
        <v>2</v>
      </c>
    </row>
    <row r="149" spans="1:6">
      <c r="A149" s="95">
        <v>148</v>
      </c>
      <c r="B149" s="168" t="s">
        <v>627</v>
      </c>
      <c r="C149" s="168" t="s">
        <v>628</v>
      </c>
      <c r="D149" s="127">
        <v>43009.000011574077</v>
      </c>
      <c r="E149" s="95">
        <v>1</v>
      </c>
      <c r="F149">
        <v>2</v>
      </c>
    </row>
    <row r="150" spans="1:6">
      <c r="A150" s="95">
        <v>149</v>
      </c>
      <c r="B150" s="168" t="s">
        <v>631</v>
      </c>
      <c r="C150" s="168" t="s">
        <v>632</v>
      </c>
      <c r="D150" s="127">
        <v>43009.000011574077</v>
      </c>
      <c r="E150" s="95">
        <v>1</v>
      </c>
      <c r="F150">
        <v>2</v>
      </c>
    </row>
    <row r="151" spans="1:6">
      <c r="A151" s="95">
        <v>150</v>
      </c>
      <c r="B151" s="168" t="s">
        <v>633</v>
      </c>
      <c r="C151" s="168" t="s">
        <v>634</v>
      </c>
      <c r="D151" s="127">
        <v>43009.000011574077</v>
      </c>
      <c r="E151" s="95">
        <v>1</v>
      </c>
      <c r="F151">
        <v>2</v>
      </c>
    </row>
    <row r="152" spans="1:6">
      <c r="A152" s="95">
        <v>151</v>
      </c>
      <c r="B152" s="168" t="s">
        <v>635</v>
      </c>
      <c r="C152" s="168" t="s">
        <v>636</v>
      </c>
      <c r="D152" s="127">
        <v>43009.000011574077</v>
      </c>
      <c r="E152" s="95">
        <v>1</v>
      </c>
      <c r="F152">
        <v>2</v>
      </c>
    </row>
    <row r="153" spans="1:6">
      <c r="A153" s="95">
        <v>152</v>
      </c>
      <c r="B153" s="168" t="s">
        <v>637</v>
      </c>
      <c r="C153" s="168" t="s">
        <v>638</v>
      </c>
      <c r="D153" s="127">
        <v>43009.000011574077</v>
      </c>
      <c r="E153" s="95">
        <v>1</v>
      </c>
      <c r="F153">
        <v>2</v>
      </c>
    </row>
    <row r="154" spans="1:6">
      <c r="A154" s="95">
        <v>153</v>
      </c>
      <c r="B154" s="168" t="s">
        <v>639</v>
      </c>
      <c r="C154" s="168" t="s">
        <v>640</v>
      </c>
      <c r="D154" s="127">
        <v>43009.000011574077</v>
      </c>
      <c r="E154" s="95">
        <v>1</v>
      </c>
      <c r="F154">
        <v>2</v>
      </c>
    </row>
    <row r="155" spans="1:6">
      <c r="A155" s="95">
        <v>154</v>
      </c>
      <c r="B155" s="168" t="s">
        <v>641</v>
      </c>
      <c r="C155" s="168" t="s">
        <v>642</v>
      </c>
      <c r="D155" s="127">
        <v>43009.000011574077</v>
      </c>
      <c r="E155" s="95">
        <v>1</v>
      </c>
      <c r="F155">
        <v>2</v>
      </c>
    </row>
    <row r="156" spans="1:6">
      <c r="A156" s="95">
        <v>155</v>
      </c>
      <c r="B156" s="168" t="s">
        <v>643</v>
      </c>
      <c r="C156" s="168" t="s">
        <v>644</v>
      </c>
      <c r="D156" s="127">
        <v>43009.000011574077</v>
      </c>
      <c r="E156" s="95">
        <v>1</v>
      </c>
      <c r="F156">
        <v>2</v>
      </c>
    </row>
    <row r="157" spans="1:6">
      <c r="A157" s="95">
        <v>156</v>
      </c>
      <c r="B157" s="168" t="s">
        <v>645</v>
      </c>
      <c r="C157" s="168" t="s">
        <v>646</v>
      </c>
      <c r="D157" s="127">
        <v>43009.000011574077</v>
      </c>
      <c r="E157" s="95">
        <v>1</v>
      </c>
      <c r="F157">
        <v>2</v>
      </c>
    </row>
    <row r="158" spans="1:6">
      <c r="A158" s="95">
        <v>157</v>
      </c>
      <c r="B158" s="168" t="s">
        <v>647</v>
      </c>
      <c r="C158" s="168" t="s">
        <v>648</v>
      </c>
      <c r="D158" s="127">
        <v>43009.000011574077</v>
      </c>
      <c r="E158" s="95">
        <v>1</v>
      </c>
      <c r="F158">
        <v>2</v>
      </c>
    </row>
    <row r="159" spans="1:6">
      <c r="A159" s="95">
        <v>158</v>
      </c>
      <c r="B159" s="168" t="s">
        <v>649</v>
      </c>
      <c r="C159" s="168" t="s">
        <v>650</v>
      </c>
      <c r="D159" s="127">
        <v>43009.000011574077</v>
      </c>
      <c r="E159" s="95">
        <v>1</v>
      </c>
      <c r="F159">
        <v>2</v>
      </c>
    </row>
    <row r="160" spans="1:6">
      <c r="A160" s="95">
        <v>159</v>
      </c>
      <c r="B160" s="168" t="s">
        <v>651</v>
      </c>
      <c r="C160" s="168" t="s">
        <v>652</v>
      </c>
      <c r="D160" s="127">
        <v>43009.000011574077</v>
      </c>
      <c r="E160" s="95">
        <v>1</v>
      </c>
      <c r="F160">
        <v>2</v>
      </c>
    </row>
    <row r="161" spans="1:6">
      <c r="A161" s="95">
        <v>160</v>
      </c>
      <c r="B161" s="168" t="s">
        <v>653</v>
      </c>
      <c r="C161" s="168" t="s">
        <v>654</v>
      </c>
      <c r="D161" s="127">
        <v>43009.000011574077</v>
      </c>
      <c r="E161" s="95">
        <v>1</v>
      </c>
      <c r="F161">
        <v>2</v>
      </c>
    </row>
    <row r="162" spans="1:6">
      <c r="A162" s="95">
        <v>161</v>
      </c>
      <c r="B162" s="168" t="s">
        <v>1365</v>
      </c>
      <c r="C162" s="168" t="s">
        <v>658</v>
      </c>
      <c r="D162" s="127">
        <v>43009.000011574077</v>
      </c>
      <c r="E162" s="95">
        <v>1</v>
      </c>
      <c r="F162">
        <v>2</v>
      </c>
    </row>
    <row r="163" spans="1:6">
      <c r="A163" s="95">
        <v>162</v>
      </c>
      <c r="B163" s="168" t="s">
        <v>659</v>
      </c>
      <c r="C163" s="168" t="s">
        <v>660</v>
      </c>
      <c r="D163" s="127">
        <v>43009.000011574077</v>
      </c>
      <c r="E163" s="95">
        <v>1</v>
      </c>
      <c r="F163">
        <v>2</v>
      </c>
    </row>
    <row r="164" spans="1:6">
      <c r="A164" s="95">
        <v>163</v>
      </c>
      <c r="B164" s="168" t="s">
        <v>661</v>
      </c>
      <c r="C164" s="168" t="s">
        <v>662</v>
      </c>
      <c r="D164" s="127">
        <v>43009.000011574077</v>
      </c>
      <c r="E164" s="95">
        <v>1</v>
      </c>
      <c r="F164">
        <v>2</v>
      </c>
    </row>
    <row r="165" spans="1:6">
      <c r="A165" s="95">
        <v>164</v>
      </c>
      <c r="B165" s="168" t="s">
        <v>663</v>
      </c>
      <c r="C165" s="168" t="s">
        <v>664</v>
      </c>
      <c r="D165" s="127">
        <v>43009.000011574077</v>
      </c>
      <c r="E165" s="95">
        <v>1</v>
      </c>
      <c r="F165">
        <v>2</v>
      </c>
    </row>
    <row r="166" spans="1:6">
      <c r="A166" s="95">
        <v>165</v>
      </c>
      <c r="B166" s="168" t="s">
        <v>669</v>
      </c>
      <c r="C166" s="168" t="s">
        <v>670</v>
      </c>
      <c r="D166" s="127">
        <v>43009.000011574077</v>
      </c>
      <c r="E166" s="95">
        <v>1</v>
      </c>
      <c r="F166">
        <v>2</v>
      </c>
    </row>
    <row r="167" spans="1:6">
      <c r="A167" s="95">
        <v>166</v>
      </c>
      <c r="B167" s="168" t="s">
        <v>671</v>
      </c>
      <c r="C167" s="168" t="s">
        <v>672</v>
      </c>
      <c r="D167" s="127">
        <v>43009.000011574077</v>
      </c>
      <c r="E167" s="95">
        <v>1</v>
      </c>
      <c r="F167">
        <v>2</v>
      </c>
    </row>
    <row r="168" spans="1:6">
      <c r="A168" s="95">
        <v>167</v>
      </c>
      <c r="B168" s="168" t="s">
        <v>673</v>
      </c>
      <c r="C168" s="168" t="s">
        <v>674</v>
      </c>
      <c r="D168" s="127">
        <v>43009.000011574077</v>
      </c>
      <c r="E168" s="95">
        <v>1</v>
      </c>
      <c r="F168">
        <v>2</v>
      </c>
    </row>
    <row r="169" spans="1:6">
      <c r="A169" s="95">
        <v>168</v>
      </c>
      <c r="B169" s="168" t="s">
        <v>675</v>
      </c>
      <c r="C169" s="168" t="s">
        <v>676</v>
      </c>
      <c r="D169" s="127">
        <v>43009.000011574077</v>
      </c>
      <c r="E169" s="95">
        <v>1</v>
      </c>
      <c r="F169">
        <v>2</v>
      </c>
    </row>
    <row r="170" spans="1:6">
      <c r="A170" s="95">
        <v>169</v>
      </c>
      <c r="B170" s="168" t="s">
        <v>677</v>
      </c>
      <c r="C170" s="168" t="s">
        <v>678</v>
      </c>
      <c r="D170" s="127">
        <v>43009.000011574077</v>
      </c>
      <c r="E170" s="95">
        <v>1</v>
      </c>
      <c r="F170">
        <v>2</v>
      </c>
    </row>
    <row r="171" spans="1:6">
      <c r="A171" s="95">
        <v>170</v>
      </c>
      <c r="B171" s="168" t="s">
        <v>679</v>
      </c>
      <c r="C171" s="168" t="s">
        <v>680</v>
      </c>
      <c r="D171" s="127">
        <v>43009.000011574077</v>
      </c>
      <c r="E171" s="95">
        <v>1</v>
      </c>
      <c r="F171">
        <v>2</v>
      </c>
    </row>
    <row r="172" spans="1:6">
      <c r="A172" s="95">
        <v>171</v>
      </c>
      <c r="B172" s="168" t="s">
        <v>681</v>
      </c>
      <c r="C172" s="168" t="s">
        <v>682</v>
      </c>
      <c r="D172" s="127">
        <v>43009.000011574077</v>
      </c>
      <c r="E172" s="95">
        <v>1</v>
      </c>
      <c r="F172">
        <v>2</v>
      </c>
    </row>
    <row r="173" spans="1:6">
      <c r="A173" s="95">
        <v>172</v>
      </c>
      <c r="B173" s="168" t="s">
        <v>684</v>
      </c>
      <c r="C173" s="168" t="s">
        <v>685</v>
      </c>
      <c r="D173" s="127">
        <v>43009.000011574077</v>
      </c>
      <c r="E173" s="95">
        <v>1</v>
      </c>
      <c r="F173">
        <v>2</v>
      </c>
    </row>
    <row r="174" spans="1:6">
      <c r="A174" s="95">
        <v>173</v>
      </c>
      <c r="B174" s="168" t="s">
        <v>686</v>
      </c>
      <c r="C174" s="168" t="s">
        <v>687</v>
      </c>
      <c r="D174" s="127">
        <v>43009.000011574077</v>
      </c>
      <c r="E174" s="95">
        <v>1</v>
      </c>
      <c r="F174">
        <v>2</v>
      </c>
    </row>
    <row r="175" spans="1:6">
      <c r="A175" s="95">
        <v>174</v>
      </c>
      <c r="B175" s="168" t="s">
        <v>688</v>
      </c>
      <c r="C175" s="168" t="s">
        <v>689</v>
      </c>
      <c r="D175" s="127">
        <v>43009.000011574077</v>
      </c>
      <c r="E175" s="95">
        <v>1</v>
      </c>
      <c r="F175">
        <v>2</v>
      </c>
    </row>
    <row r="176" spans="1:6">
      <c r="A176" s="95">
        <v>175</v>
      </c>
      <c r="B176" s="168" t="s">
        <v>690</v>
      </c>
      <c r="C176" s="168" t="s">
        <v>691</v>
      </c>
      <c r="D176" s="127">
        <v>43009.000011574077</v>
      </c>
      <c r="E176" s="95">
        <v>1</v>
      </c>
      <c r="F176">
        <v>2</v>
      </c>
    </row>
    <row r="177" spans="1:6">
      <c r="A177" s="95">
        <v>176</v>
      </c>
      <c r="B177" s="168" t="s">
        <v>692</v>
      </c>
      <c r="C177" s="168" t="s">
        <v>693</v>
      </c>
      <c r="D177" s="127">
        <v>43009.000011574077</v>
      </c>
      <c r="E177" s="95">
        <v>1</v>
      </c>
      <c r="F177">
        <v>2</v>
      </c>
    </row>
    <row r="178" spans="1:6">
      <c r="A178" s="95">
        <v>177</v>
      </c>
      <c r="B178" s="168" t="s">
        <v>694</v>
      </c>
      <c r="C178" s="168" t="s">
        <v>695</v>
      </c>
      <c r="D178" s="127">
        <v>43009.000011574077</v>
      </c>
      <c r="E178" s="95">
        <v>1</v>
      </c>
      <c r="F178">
        <v>2</v>
      </c>
    </row>
    <row r="179" spans="1:6">
      <c r="A179" s="95">
        <v>178</v>
      </c>
      <c r="B179" s="168" t="s">
        <v>696</v>
      </c>
      <c r="C179" s="168" t="s">
        <v>697</v>
      </c>
      <c r="D179" s="127">
        <v>43009.000011574077</v>
      </c>
      <c r="E179" s="95">
        <v>1</v>
      </c>
      <c r="F179">
        <v>2</v>
      </c>
    </row>
    <row r="180" spans="1:6">
      <c r="A180" s="95">
        <v>179</v>
      </c>
      <c r="B180" s="168" t="s">
        <v>698</v>
      </c>
      <c r="C180" s="168" t="s">
        <v>699</v>
      </c>
      <c r="D180" s="127">
        <v>43009.000011574077</v>
      </c>
      <c r="E180" s="95">
        <v>1</v>
      </c>
      <c r="F180">
        <v>2</v>
      </c>
    </row>
    <row r="181" spans="1:6">
      <c r="A181" s="95">
        <v>180</v>
      </c>
      <c r="B181" s="168" t="s">
        <v>700</v>
      </c>
      <c r="C181" s="168" t="s">
        <v>701</v>
      </c>
      <c r="D181" s="127">
        <v>43009.000011574077</v>
      </c>
      <c r="E181" s="95">
        <v>1</v>
      </c>
      <c r="F181">
        <v>2</v>
      </c>
    </row>
    <row r="182" spans="1:6">
      <c r="A182" s="95">
        <v>181</v>
      </c>
      <c r="B182" s="168" t="s">
        <v>702</v>
      </c>
      <c r="C182" s="168" t="s">
        <v>703</v>
      </c>
      <c r="D182" s="127">
        <v>43009.000011574077</v>
      </c>
      <c r="E182" s="95">
        <v>1</v>
      </c>
      <c r="F182">
        <v>2</v>
      </c>
    </row>
    <row r="183" spans="1:6">
      <c r="A183" s="95">
        <v>182</v>
      </c>
      <c r="B183" s="168" t="s">
        <v>704</v>
      </c>
      <c r="C183" s="168" t="s">
        <v>705</v>
      </c>
      <c r="D183" s="127">
        <v>43009.000011574077</v>
      </c>
      <c r="E183" s="95">
        <v>1</v>
      </c>
      <c r="F183">
        <v>2</v>
      </c>
    </row>
    <row r="184" spans="1:6">
      <c r="A184" s="95">
        <v>183</v>
      </c>
      <c r="B184" s="168" t="s">
        <v>706</v>
      </c>
      <c r="C184" s="168" t="s">
        <v>707</v>
      </c>
      <c r="D184" s="127">
        <v>43009.000011574077</v>
      </c>
      <c r="E184" s="95">
        <v>1</v>
      </c>
      <c r="F184">
        <v>2</v>
      </c>
    </row>
    <row r="185" spans="1:6">
      <c r="A185" s="95">
        <v>184</v>
      </c>
      <c r="B185" s="168" t="s">
        <v>708</v>
      </c>
      <c r="C185" s="168" t="s">
        <v>709</v>
      </c>
      <c r="D185" s="127">
        <v>43009.000011574077</v>
      </c>
      <c r="E185" s="95">
        <v>1</v>
      </c>
      <c r="F185">
        <v>2</v>
      </c>
    </row>
    <row r="186" spans="1:6">
      <c r="A186" s="95">
        <v>185</v>
      </c>
      <c r="B186" s="168" t="s">
        <v>710</v>
      </c>
      <c r="C186" s="168" t="s">
        <v>711</v>
      </c>
      <c r="D186" s="127">
        <v>43009.000011574077</v>
      </c>
      <c r="E186" s="95">
        <v>1</v>
      </c>
      <c r="F186">
        <v>2</v>
      </c>
    </row>
    <row r="187" spans="1:6">
      <c r="A187" s="95">
        <v>186</v>
      </c>
      <c r="B187" s="168" t="s">
        <v>712</v>
      </c>
      <c r="C187" s="168" t="s">
        <v>672</v>
      </c>
      <c r="D187" s="127">
        <v>43009.000011574077</v>
      </c>
      <c r="E187" s="95">
        <v>1</v>
      </c>
      <c r="F187">
        <v>2</v>
      </c>
    </row>
    <row r="188" spans="1:6">
      <c r="A188" s="95">
        <v>187</v>
      </c>
      <c r="B188" s="168" t="s">
        <v>713</v>
      </c>
      <c r="C188" s="168" t="s">
        <v>714</v>
      </c>
      <c r="D188" s="127">
        <v>43009.000011574077</v>
      </c>
      <c r="E188" s="95">
        <v>1</v>
      </c>
      <c r="F188">
        <v>2</v>
      </c>
    </row>
    <row r="189" spans="1:6">
      <c r="A189" s="95">
        <v>188</v>
      </c>
      <c r="B189" s="168" t="s">
        <v>715</v>
      </c>
      <c r="C189" s="168" t="s">
        <v>716</v>
      </c>
      <c r="D189" s="127">
        <v>43009.000011574077</v>
      </c>
      <c r="E189" s="95">
        <v>1</v>
      </c>
      <c r="F189">
        <v>2</v>
      </c>
    </row>
    <row r="190" spans="1:6">
      <c r="A190" s="95">
        <v>189</v>
      </c>
      <c r="B190" s="168" t="s">
        <v>717</v>
      </c>
      <c r="C190" s="168" t="s">
        <v>718</v>
      </c>
      <c r="D190" s="127">
        <v>43009.000011574077</v>
      </c>
      <c r="E190" s="95">
        <v>1</v>
      </c>
      <c r="F190">
        <v>2</v>
      </c>
    </row>
    <row r="191" spans="1:6">
      <c r="A191" s="95">
        <v>190</v>
      </c>
      <c r="B191" s="168" t="s">
        <v>719</v>
      </c>
      <c r="C191" s="168" t="s">
        <v>720</v>
      </c>
      <c r="D191" s="127">
        <v>43009.000011574077</v>
      </c>
      <c r="E191" s="95">
        <v>1</v>
      </c>
      <c r="F191">
        <v>2</v>
      </c>
    </row>
    <row r="192" spans="1:6">
      <c r="A192" s="95">
        <v>191</v>
      </c>
      <c r="B192" s="168" t="s">
        <v>721</v>
      </c>
      <c r="C192" s="168" t="s">
        <v>722</v>
      </c>
      <c r="D192" s="127">
        <v>43009.000011574077</v>
      </c>
      <c r="E192" s="95">
        <v>1</v>
      </c>
      <c r="F192">
        <v>2</v>
      </c>
    </row>
    <row r="193" spans="1:6">
      <c r="A193" s="95">
        <v>192</v>
      </c>
      <c r="B193" s="168" t="s">
        <v>723</v>
      </c>
      <c r="C193" s="168" t="s">
        <v>724</v>
      </c>
      <c r="D193" s="127">
        <v>43009.000011574077</v>
      </c>
      <c r="E193" s="95">
        <v>1</v>
      </c>
      <c r="F193">
        <v>2</v>
      </c>
    </row>
    <row r="194" spans="1:6">
      <c r="A194" s="95">
        <v>193</v>
      </c>
      <c r="B194" s="168" t="s">
        <v>725</v>
      </c>
      <c r="C194" s="168" t="s">
        <v>726</v>
      </c>
      <c r="D194" s="127">
        <v>43009.000011574077</v>
      </c>
      <c r="E194" s="95">
        <v>1</v>
      </c>
      <c r="F194">
        <v>2</v>
      </c>
    </row>
    <row r="195" spans="1:6">
      <c r="A195" s="95">
        <v>194</v>
      </c>
      <c r="B195" s="168" t="s">
        <v>727</v>
      </c>
      <c r="C195" s="168" t="s">
        <v>728</v>
      </c>
      <c r="D195" s="127">
        <v>43009.000011574077</v>
      </c>
      <c r="E195" s="95">
        <v>1</v>
      </c>
      <c r="F195">
        <v>2</v>
      </c>
    </row>
    <row r="196" spans="1:6">
      <c r="A196" s="95">
        <v>195</v>
      </c>
      <c r="B196" s="168" t="s">
        <v>729</v>
      </c>
      <c r="C196" s="168" t="s">
        <v>730</v>
      </c>
      <c r="D196" s="127">
        <v>43009.000011574077</v>
      </c>
      <c r="E196" s="95">
        <v>1</v>
      </c>
      <c r="F196">
        <v>2</v>
      </c>
    </row>
    <row r="197" spans="1:6">
      <c r="A197" s="95">
        <v>196</v>
      </c>
      <c r="B197" s="168" t="s">
        <v>731</v>
      </c>
      <c r="C197" s="168" t="s">
        <v>732</v>
      </c>
      <c r="D197" s="127">
        <v>43009.000011574077</v>
      </c>
      <c r="E197" s="95">
        <v>1</v>
      </c>
      <c r="F197">
        <v>2</v>
      </c>
    </row>
    <row r="198" spans="1:6">
      <c r="A198" s="95">
        <v>197</v>
      </c>
      <c r="B198" s="168" t="s">
        <v>733</v>
      </c>
      <c r="C198" s="168" t="s">
        <v>734</v>
      </c>
      <c r="D198" s="127">
        <v>43009.000011574077</v>
      </c>
      <c r="E198" s="95">
        <v>1</v>
      </c>
      <c r="F198">
        <v>2</v>
      </c>
    </row>
    <row r="199" spans="1:6">
      <c r="A199" s="95">
        <v>198</v>
      </c>
      <c r="B199" s="168" t="s">
        <v>735</v>
      </c>
      <c r="C199" s="168" t="s">
        <v>736</v>
      </c>
      <c r="D199" s="127">
        <v>43009.000011574077</v>
      </c>
      <c r="E199" s="95">
        <v>1</v>
      </c>
      <c r="F199">
        <v>2</v>
      </c>
    </row>
    <row r="200" spans="1:6">
      <c r="A200" s="95">
        <v>199</v>
      </c>
      <c r="B200" s="168" t="s">
        <v>737</v>
      </c>
      <c r="C200" s="168" t="s">
        <v>738</v>
      </c>
      <c r="D200" s="127">
        <v>43009.000011574077</v>
      </c>
      <c r="E200" s="95">
        <v>1</v>
      </c>
      <c r="F200">
        <v>2</v>
      </c>
    </row>
    <row r="201" spans="1:6">
      <c r="A201" s="95">
        <v>200</v>
      </c>
      <c r="B201" s="168" t="s">
        <v>739</v>
      </c>
      <c r="C201" s="168" t="s">
        <v>740</v>
      </c>
      <c r="D201" s="127">
        <v>43009.000011574077</v>
      </c>
      <c r="E201" s="95">
        <v>1</v>
      </c>
      <c r="F201">
        <v>2</v>
      </c>
    </row>
    <row r="202" spans="1:6">
      <c r="A202" s="95">
        <v>201</v>
      </c>
      <c r="B202" s="168" t="s">
        <v>741</v>
      </c>
      <c r="C202" s="168" t="s">
        <v>742</v>
      </c>
      <c r="D202" s="127">
        <v>43009.000011574077</v>
      </c>
      <c r="E202" s="95">
        <v>1</v>
      </c>
      <c r="F202">
        <v>2</v>
      </c>
    </row>
    <row r="203" spans="1:6">
      <c r="A203" s="95">
        <v>202</v>
      </c>
      <c r="B203" s="168" t="s">
        <v>743</v>
      </c>
      <c r="C203" s="168" t="s">
        <v>744</v>
      </c>
      <c r="D203" s="127">
        <v>43009.000011574077</v>
      </c>
      <c r="E203" s="95">
        <v>1</v>
      </c>
      <c r="F203">
        <v>2</v>
      </c>
    </row>
    <row r="204" spans="1:6">
      <c r="A204" s="95">
        <v>203</v>
      </c>
      <c r="B204" s="168" t="s">
        <v>745</v>
      </c>
      <c r="C204" s="168" t="s">
        <v>746</v>
      </c>
      <c r="D204" s="127">
        <v>43009.000011574077</v>
      </c>
      <c r="E204" s="95">
        <v>1</v>
      </c>
      <c r="F204">
        <v>2</v>
      </c>
    </row>
    <row r="205" spans="1:6">
      <c r="A205" s="95">
        <v>204</v>
      </c>
      <c r="B205" s="168" t="s">
        <v>747</v>
      </c>
      <c r="C205" s="168" t="s">
        <v>748</v>
      </c>
      <c r="D205" s="127">
        <v>43009.000011574077</v>
      </c>
      <c r="E205" s="95">
        <v>1</v>
      </c>
      <c r="F205">
        <v>2</v>
      </c>
    </row>
    <row r="206" spans="1:6">
      <c r="A206" s="95">
        <v>205</v>
      </c>
      <c r="B206" s="168" t="s">
        <v>749</v>
      </c>
      <c r="C206" s="168" t="s">
        <v>750</v>
      </c>
      <c r="D206" s="127">
        <v>43009.000011574077</v>
      </c>
      <c r="E206" s="95">
        <v>1</v>
      </c>
      <c r="F206">
        <v>2</v>
      </c>
    </row>
    <row r="207" spans="1:6">
      <c r="A207" s="95">
        <v>206</v>
      </c>
      <c r="B207" s="168" t="s">
        <v>753</v>
      </c>
      <c r="C207" s="168" t="s">
        <v>754</v>
      </c>
      <c r="D207" s="127">
        <v>43009.000011574077</v>
      </c>
      <c r="E207" s="95">
        <v>1</v>
      </c>
      <c r="F207">
        <v>2</v>
      </c>
    </row>
    <row r="208" spans="1:6">
      <c r="A208" s="95">
        <v>207</v>
      </c>
      <c r="B208" s="168" t="s">
        <v>755</v>
      </c>
      <c r="C208" s="168" t="s">
        <v>756</v>
      </c>
      <c r="D208" s="127">
        <v>43009.000011574077</v>
      </c>
      <c r="E208" s="95">
        <v>1</v>
      </c>
      <c r="F208">
        <v>2</v>
      </c>
    </row>
    <row r="209" spans="1:6">
      <c r="A209" s="95">
        <v>208</v>
      </c>
      <c r="B209" s="168" t="s">
        <v>757</v>
      </c>
      <c r="C209" s="168" t="s">
        <v>1048</v>
      </c>
      <c r="D209" s="127">
        <v>43009.000011574077</v>
      </c>
      <c r="E209" s="95">
        <v>1</v>
      </c>
      <c r="F209">
        <v>2</v>
      </c>
    </row>
    <row r="210" spans="1:6">
      <c r="A210" s="95">
        <v>209</v>
      </c>
      <c r="B210" s="168" t="s">
        <v>759</v>
      </c>
      <c r="C210" s="168" t="s">
        <v>760</v>
      </c>
      <c r="D210" s="127">
        <v>43009.000011574077</v>
      </c>
      <c r="E210" s="95">
        <v>1</v>
      </c>
      <c r="F210">
        <v>2</v>
      </c>
    </row>
    <row r="211" spans="1:6">
      <c r="A211" s="95">
        <v>210</v>
      </c>
      <c r="B211" s="168" t="s">
        <v>761</v>
      </c>
      <c r="C211" s="168" t="s">
        <v>762</v>
      </c>
      <c r="D211" s="127">
        <v>43009.000011574077</v>
      </c>
      <c r="E211" s="95">
        <v>1</v>
      </c>
      <c r="F211">
        <v>2</v>
      </c>
    </row>
    <row r="212" spans="1:6">
      <c r="A212" s="95">
        <v>211</v>
      </c>
      <c r="B212" s="168" t="s">
        <v>763</v>
      </c>
      <c r="C212" s="168" t="s">
        <v>764</v>
      </c>
      <c r="D212" s="127">
        <v>43009.000011574077</v>
      </c>
      <c r="E212" s="95">
        <v>1</v>
      </c>
      <c r="F212">
        <v>2</v>
      </c>
    </row>
    <row r="213" spans="1:6">
      <c r="A213" s="95">
        <v>212</v>
      </c>
      <c r="B213" s="168" t="s">
        <v>765</v>
      </c>
      <c r="C213" s="168" t="s">
        <v>766</v>
      </c>
      <c r="D213" s="127">
        <v>43009.000011574077</v>
      </c>
      <c r="E213" s="95">
        <v>1</v>
      </c>
      <c r="F213">
        <v>2</v>
      </c>
    </row>
    <row r="214" spans="1:6">
      <c r="A214" s="95">
        <v>213</v>
      </c>
      <c r="B214" s="168" t="s">
        <v>1370</v>
      </c>
      <c r="C214" s="168" t="s">
        <v>772</v>
      </c>
      <c r="D214" s="127">
        <v>43009.000011574077</v>
      </c>
      <c r="E214" s="95">
        <v>1</v>
      </c>
      <c r="F214">
        <v>2</v>
      </c>
    </row>
    <row r="215" spans="1:6">
      <c r="A215" s="95">
        <v>214</v>
      </c>
      <c r="B215" s="168" t="s">
        <v>775</v>
      </c>
      <c r="C215" s="168" t="s">
        <v>776</v>
      </c>
      <c r="D215" s="127">
        <v>43009.000011574077</v>
      </c>
      <c r="E215" s="95">
        <v>1</v>
      </c>
      <c r="F215">
        <v>2</v>
      </c>
    </row>
    <row r="216" spans="1:6">
      <c r="A216" s="95">
        <v>215</v>
      </c>
      <c r="B216" s="168" t="s">
        <v>777</v>
      </c>
      <c r="C216" s="168" t="s">
        <v>778</v>
      </c>
      <c r="D216" s="127">
        <v>43009.000011574077</v>
      </c>
      <c r="E216" s="95">
        <v>1</v>
      </c>
      <c r="F216">
        <v>2</v>
      </c>
    </row>
    <row r="217" spans="1:6">
      <c r="A217" s="95">
        <v>216</v>
      </c>
      <c r="B217" s="168" t="s">
        <v>779</v>
      </c>
      <c r="C217" s="168" t="s">
        <v>780</v>
      </c>
      <c r="D217" s="127">
        <v>43009.000011574077</v>
      </c>
      <c r="E217" s="95">
        <v>1</v>
      </c>
      <c r="F217">
        <v>2</v>
      </c>
    </row>
    <row r="218" spans="1:6">
      <c r="A218" s="95">
        <v>217</v>
      </c>
      <c r="B218" s="168" t="s">
        <v>781</v>
      </c>
      <c r="C218" s="168" t="s">
        <v>782</v>
      </c>
      <c r="D218" s="127">
        <v>43009.000011574077</v>
      </c>
      <c r="E218" s="95">
        <v>1</v>
      </c>
      <c r="F218">
        <v>2</v>
      </c>
    </row>
    <row r="219" spans="1:6">
      <c r="A219" s="95">
        <v>218</v>
      </c>
      <c r="B219" s="168" t="s">
        <v>969</v>
      </c>
      <c r="C219" s="168" t="s">
        <v>784</v>
      </c>
      <c r="D219" s="127">
        <v>43009.000011574077</v>
      </c>
      <c r="E219" s="95">
        <v>1</v>
      </c>
      <c r="F219">
        <v>2</v>
      </c>
    </row>
    <row r="220" spans="1:6">
      <c r="A220" s="95">
        <v>219</v>
      </c>
      <c r="B220" s="168" t="s">
        <v>785</v>
      </c>
      <c r="C220" s="168" t="s">
        <v>786</v>
      </c>
      <c r="D220" s="127">
        <v>43009.000011574077</v>
      </c>
      <c r="E220" s="95">
        <v>1</v>
      </c>
      <c r="F220">
        <v>2</v>
      </c>
    </row>
    <row r="221" spans="1:6">
      <c r="A221" s="95">
        <v>220</v>
      </c>
      <c r="B221" s="168" t="s">
        <v>787</v>
      </c>
      <c r="C221" s="168" t="s">
        <v>788</v>
      </c>
      <c r="D221" s="127">
        <v>43009.000011574077</v>
      </c>
      <c r="E221" s="95">
        <v>1</v>
      </c>
      <c r="F221">
        <v>2</v>
      </c>
    </row>
    <row r="222" spans="1:6">
      <c r="A222" s="95">
        <v>221</v>
      </c>
      <c r="B222" s="168" t="s">
        <v>1366</v>
      </c>
      <c r="C222" s="168" t="s">
        <v>790</v>
      </c>
      <c r="D222" s="127">
        <v>43009.000011574077</v>
      </c>
      <c r="E222" s="95">
        <v>1</v>
      </c>
      <c r="F222">
        <v>2</v>
      </c>
    </row>
    <row r="223" spans="1:6">
      <c r="A223" s="95">
        <v>222</v>
      </c>
      <c r="B223" s="168" t="s">
        <v>791</v>
      </c>
      <c r="C223" s="168" t="s">
        <v>792</v>
      </c>
      <c r="D223" s="127">
        <v>43009.000011574077</v>
      </c>
      <c r="E223" s="95">
        <v>1</v>
      </c>
      <c r="F223">
        <v>2</v>
      </c>
    </row>
    <row r="224" spans="1:6">
      <c r="A224" s="95">
        <v>223</v>
      </c>
      <c r="B224" s="168" t="s">
        <v>793</v>
      </c>
      <c r="C224" s="168" t="s">
        <v>794</v>
      </c>
      <c r="D224" s="127">
        <v>43009.000011574077</v>
      </c>
      <c r="E224" s="95">
        <v>1</v>
      </c>
      <c r="F224">
        <v>2</v>
      </c>
    </row>
    <row r="225" spans="1:6">
      <c r="A225" s="95">
        <v>224</v>
      </c>
      <c r="B225" s="168" t="s">
        <v>795</v>
      </c>
      <c r="C225" s="168" t="s">
        <v>796</v>
      </c>
      <c r="D225" s="127">
        <v>43009.000011574077</v>
      </c>
      <c r="E225" s="95">
        <v>1</v>
      </c>
      <c r="F225">
        <v>2</v>
      </c>
    </row>
    <row r="226" spans="1:6">
      <c r="A226" s="95">
        <v>225</v>
      </c>
      <c r="B226" s="168" t="s">
        <v>797</v>
      </c>
      <c r="C226" s="168" t="s">
        <v>1183</v>
      </c>
      <c r="D226" s="127">
        <v>43009.000011574077</v>
      </c>
      <c r="E226" s="95">
        <v>1</v>
      </c>
      <c r="F226">
        <v>2</v>
      </c>
    </row>
    <row r="227" spans="1:6">
      <c r="A227" s="95">
        <v>226</v>
      </c>
      <c r="B227" s="168" t="s">
        <v>1063</v>
      </c>
      <c r="C227" s="168" t="s">
        <v>1064</v>
      </c>
      <c r="D227" s="127">
        <v>43009.000011574077</v>
      </c>
      <c r="E227" s="95">
        <v>1</v>
      </c>
      <c r="F227">
        <v>2</v>
      </c>
    </row>
    <row r="228" spans="1:6">
      <c r="A228" s="95">
        <v>227</v>
      </c>
      <c r="B228" s="168" t="s">
        <v>802</v>
      </c>
      <c r="C228" s="168" t="s">
        <v>803</v>
      </c>
      <c r="D228" s="127">
        <v>43009.000011574077</v>
      </c>
      <c r="E228" s="95">
        <v>1</v>
      </c>
      <c r="F228">
        <v>2</v>
      </c>
    </row>
    <row r="229" spans="1:6">
      <c r="A229" s="95">
        <v>228</v>
      </c>
      <c r="B229" s="168" t="s">
        <v>804</v>
      </c>
      <c r="C229" s="168" t="s">
        <v>805</v>
      </c>
      <c r="D229" s="127">
        <v>43009.000011574077</v>
      </c>
      <c r="E229" s="95">
        <v>1</v>
      </c>
      <c r="F229">
        <v>2</v>
      </c>
    </row>
    <row r="230" spans="1:6">
      <c r="A230" s="95">
        <v>229</v>
      </c>
      <c r="B230" s="168" t="s">
        <v>806</v>
      </c>
      <c r="C230" s="168" t="s">
        <v>807</v>
      </c>
      <c r="D230" s="127">
        <v>43009.000011574077</v>
      </c>
      <c r="E230" s="95">
        <v>1</v>
      </c>
      <c r="F230">
        <v>2</v>
      </c>
    </row>
    <row r="231" spans="1:6">
      <c r="A231" s="95">
        <v>230</v>
      </c>
      <c r="B231" s="168" t="s">
        <v>810</v>
      </c>
      <c r="C231" s="168" t="s">
        <v>811</v>
      </c>
      <c r="D231" s="127">
        <v>43009.000011574077</v>
      </c>
      <c r="E231" s="95">
        <v>1</v>
      </c>
      <c r="F231">
        <v>2</v>
      </c>
    </row>
    <row r="232" spans="1:6">
      <c r="A232" s="95">
        <v>231</v>
      </c>
      <c r="B232" s="168" t="s">
        <v>1077</v>
      </c>
      <c r="C232" s="168" t="s">
        <v>1078</v>
      </c>
      <c r="D232" s="127">
        <v>43009.000011574077</v>
      </c>
      <c r="E232" s="95">
        <v>1</v>
      </c>
      <c r="F232">
        <v>2</v>
      </c>
    </row>
    <row r="233" spans="1:6">
      <c r="A233" s="95">
        <v>232</v>
      </c>
      <c r="B233" s="168" t="s">
        <v>1079</v>
      </c>
      <c r="C233" s="168" t="s">
        <v>1080</v>
      </c>
      <c r="D233" s="127">
        <v>43009.000011574077</v>
      </c>
      <c r="E233" s="95">
        <v>1</v>
      </c>
      <c r="F233">
        <v>2</v>
      </c>
    </row>
    <row r="234" spans="1:6">
      <c r="A234" s="95">
        <v>233</v>
      </c>
      <c r="B234" s="168" t="s">
        <v>1081</v>
      </c>
      <c r="C234" s="168" t="s">
        <v>821</v>
      </c>
      <c r="D234" s="127">
        <v>43009.000011574077</v>
      </c>
      <c r="E234" s="95">
        <v>1</v>
      </c>
      <c r="F234">
        <v>2</v>
      </c>
    </row>
    <row r="235" spans="1:6">
      <c r="A235" s="95">
        <v>234</v>
      </c>
      <c r="B235" s="168" t="s">
        <v>822</v>
      </c>
      <c r="C235" s="168" t="s">
        <v>823</v>
      </c>
      <c r="D235" s="127">
        <v>43009.000011574077</v>
      </c>
      <c r="E235" s="95">
        <v>1</v>
      </c>
      <c r="F235">
        <v>2</v>
      </c>
    </row>
    <row r="236" spans="1:6">
      <c r="A236" s="95">
        <v>235</v>
      </c>
      <c r="B236" s="168" t="s">
        <v>824</v>
      </c>
      <c r="C236" s="168" t="s">
        <v>825</v>
      </c>
      <c r="D236" s="127">
        <v>43009.000011574077</v>
      </c>
      <c r="E236" s="95">
        <v>1</v>
      </c>
      <c r="F236">
        <v>2</v>
      </c>
    </row>
    <row r="237" spans="1:6">
      <c r="A237" s="95">
        <v>236</v>
      </c>
      <c r="B237" s="168" t="s">
        <v>826</v>
      </c>
      <c r="C237" s="168" t="s">
        <v>827</v>
      </c>
      <c r="D237" s="127">
        <v>43009.000011574077</v>
      </c>
      <c r="E237" s="95">
        <v>1</v>
      </c>
      <c r="F237">
        <v>2</v>
      </c>
    </row>
    <row r="238" spans="1:6">
      <c r="A238" s="95">
        <v>237</v>
      </c>
      <c r="B238" s="168" t="s">
        <v>828</v>
      </c>
      <c r="C238" s="168" t="s">
        <v>829</v>
      </c>
      <c r="D238" s="127">
        <v>43009.000011574077</v>
      </c>
      <c r="E238" s="95">
        <v>1</v>
      </c>
      <c r="F238">
        <v>2</v>
      </c>
    </row>
    <row r="239" spans="1:6">
      <c r="A239" s="95">
        <v>238</v>
      </c>
      <c r="B239" s="168" t="s">
        <v>830</v>
      </c>
      <c r="C239" s="168" t="s">
        <v>831</v>
      </c>
      <c r="D239" s="127">
        <v>43009.000011574077</v>
      </c>
      <c r="E239" s="95">
        <v>1</v>
      </c>
      <c r="F239">
        <v>2</v>
      </c>
    </row>
    <row r="240" spans="1:6">
      <c r="A240" s="95">
        <v>239</v>
      </c>
      <c r="B240" s="168" t="s">
        <v>832</v>
      </c>
      <c r="C240" s="168" t="s">
        <v>833</v>
      </c>
      <c r="D240" s="127">
        <v>43009.000011574077</v>
      </c>
      <c r="E240" s="95">
        <v>1</v>
      </c>
      <c r="F240">
        <v>2</v>
      </c>
    </row>
    <row r="241" spans="1:6">
      <c r="A241" s="95">
        <v>240</v>
      </c>
      <c r="B241" s="168" t="s">
        <v>1011</v>
      </c>
      <c r="C241" s="168" t="s">
        <v>835</v>
      </c>
      <c r="D241" s="127">
        <v>43009.000011574077</v>
      </c>
      <c r="E241" s="95">
        <v>1</v>
      </c>
      <c r="F241">
        <v>2</v>
      </c>
    </row>
    <row r="242" spans="1:6">
      <c r="A242" s="95">
        <v>241</v>
      </c>
      <c r="B242" s="168" t="s">
        <v>1012</v>
      </c>
      <c r="C242" s="168" t="s">
        <v>839</v>
      </c>
      <c r="D242" s="127">
        <v>43009.000011574077</v>
      </c>
      <c r="E242" s="95">
        <v>1</v>
      </c>
      <c r="F242">
        <v>2</v>
      </c>
    </row>
    <row r="243" spans="1:6">
      <c r="A243" s="95">
        <v>242</v>
      </c>
      <c r="B243" s="168" t="s">
        <v>842</v>
      </c>
      <c r="C243" s="168" t="s">
        <v>841</v>
      </c>
      <c r="D243" s="127">
        <v>43009.000011574077</v>
      </c>
      <c r="E243" s="95">
        <v>1</v>
      </c>
      <c r="F243">
        <v>2</v>
      </c>
    </row>
    <row r="244" spans="1:6">
      <c r="A244" s="95">
        <v>243</v>
      </c>
      <c r="B244" s="168" t="s">
        <v>843</v>
      </c>
      <c r="C244" s="168" t="s">
        <v>841</v>
      </c>
      <c r="D244" s="127">
        <v>43009.000011574077</v>
      </c>
      <c r="E244" s="95">
        <v>1</v>
      </c>
      <c r="F244">
        <v>2</v>
      </c>
    </row>
    <row r="245" spans="1:6">
      <c r="A245" s="95">
        <v>244</v>
      </c>
      <c r="B245" s="168" t="s">
        <v>846</v>
      </c>
      <c r="C245" s="168" t="s">
        <v>298</v>
      </c>
      <c r="D245" s="127">
        <v>43009.000011574077</v>
      </c>
      <c r="E245" s="95">
        <v>1</v>
      </c>
      <c r="F245">
        <v>2</v>
      </c>
    </row>
    <row r="246" spans="1:6">
      <c r="A246" s="95">
        <v>245</v>
      </c>
      <c r="B246" s="168" t="s">
        <v>847</v>
      </c>
      <c r="C246" s="168" t="s">
        <v>298</v>
      </c>
      <c r="D246" s="127">
        <v>43009.000011574077</v>
      </c>
      <c r="E246" s="95">
        <v>1</v>
      </c>
      <c r="F246">
        <v>2</v>
      </c>
    </row>
    <row r="247" spans="1:6">
      <c r="A247" s="95">
        <v>246</v>
      </c>
      <c r="B247" s="168" t="s">
        <v>848</v>
      </c>
      <c r="C247" s="168" t="s">
        <v>298</v>
      </c>
      <c r="D247" s="127">
        <v>43009.000011574077</v>
      </c>
      <c r="E247" s="95">
        <v>1</v>
      </c>
      <c r="F247">
        <v>2</v>
      </c>
    </row>
    <row r="248" spans="1:6">
      <c r="A248" s="95">
        <v>247</v>
      </c>
      <c r="B248" s="168" t="s">
        <v>849</v>
      </c>
      <c r="C248" s="168" t="s">
        <v>298</v>
      </c>
      <c r="D248" s="127">
        <v>43009.000011574077</v>
      </c>
      <c r="E248" s="95">
        <v>1</v>
      </c>
      <c r="F248">
        <v>2</v>
      </c>
    </row>
    <row r="249" spans="1:6">
      <c r="A249" s="95">
        <v>248</v>
      </c>
      <c r="B249" s="168" t="s">
        <v>773</v>
      </c>
      <c r="C249" s="168" t="s">
        <v>774</v>
      </c>
      <c r="D249" s="127">
        <v>43009.000011574077</v>
      </c>
      <c r="E249" s="95">
        <v>1</v>
      </c>
      <c r="F249">
        <v>2</v>
      </c>
    </row>
    <row r="250" spans="1:6">
      <c r="A250" s="95">
        <v>249</v>
      </c>
      <c r="B250" s="168" t="s">
        <v>852</v>
      </c>
      <c r="C250" s="168" t="s">
        <v>298</v>
      </c>
      <c r="D250" s="127">
        <v>43009.000011574077</v>
      </c>
      <c r="E250" s="95">
        <v>1</v>
      </c>
      <c r="F250">
        <v>2</v>
      </c>
    </row>
    <row r="251" spans="1:6">
      <c r="A251" s="95">
        <v>250</v>
      </c>
      <c r="B251" s="168" t="s">
        <v>853</v>
      </c>
      <c r="C251" s="168" t="s">
        <v>298</v>
      </c>
      <c r="D251" s="127">
        <v>43009.000011574077</v>
      </c>
      <c r="E251" s="95">
        <v>1</v>
      </c>
      <c r="F251">
        <v>2</v>
      </c>
    </row>
    <row r="252" spans="1:6">
      <c r="A252" s="95">
        <v>251</v>
      </c>
      <c r="B252" s="168" t="s">
        <v>854</v>
      </c>
      <c r="C252" s="168" t="s">
        <v>298</v>
      </c>
      <c r="D252" s="127">
        <v>43009.000011574077</v>
      </c>
      <c r="E252" s="95">
        <v>1</v>
      </c>
      <c r="F252">
        <v>2</v>
      </c>
    </row>
    <row r="253" spans="1:6">
      <c r="A253" s="95">
        <v>252</v>
      </c>
      <c r="B253" s="168" t="s">
        <v>855</v>
      </c>
      <c r="C253" s="168" t="s">
        <v>298</v>
      </c>
      <c r="D253" s="127">
        <v>43009.000011574077</v>
      </c>
      <c r="E253" s="95">
        <v>1</v>
      </c>
      <c r="F253">
        <v>2</v>
      </c>
    </row>
    <row r="254" spans="1:6">
      <c r="A254" s="95">
        <v>253</v>
      </c>
      <c r="B254" s="168" t="s">
        <v>856</v>
      </c>
      <c r="C254" s="168" t="s">
        <v>298</v>
      </c>
      <c r="D254" s="127">
        <v>43009.000011574077</v>
      </c>
      <c r="E254" s="95">
        <v>1</v>
      </c>
      <c r="F254">
        <v>2</v>
      </c>
    </row>
    <row r="255" spans="1:6">
      <c r="A255" s="95">
        <v>254</v>
      </c>
      <c r="B255" s="168" t="s">
        <v>857</v>
      </c>
      <c r="C255" s="168" t="s">
        <v>298</v>
      </c>
      <c r="D255" s="127">
        <v>43009.000011574077</v>
      </c>
      <c r="E255" s="95">
        <v>1</v>
      </c>
      <c r="F255">
        <v>2</v>
      </c>
    </row>
    <row r="256" spans="1:6">
      <c r="A256" s="95">
        <v>255</v>
      </c>
      <c r="B256" s="168" t="s">
        <v>859</v>
      </c>
      <c r="C256" s="168" t="s">
        <v>298</v>
      </c>
      <c r="D256" s="127">
        <v>43009.000011574077</v>
      </c>
      <c r="E256" s="95">
        <v>1</v>
      </c>
      <c r="F256">
        <v>2</v>
      </c>
    </row>
    <row r="257" spans="1:6">
      <c r="A257" s="95">
        <v>256</v>
      </c>
      <c r="B257" s="168" t="s">
        <v>860</v>
      </c>
      <c r="C257" s="168" t="s">
        <v>298</v>
      </c>
      <c r="D257" s="127">
        <v>43009.000011574077</v>
      </c>
      <c r="E257" s="95">
        <v>1</v>
      </c>
      <c r="F257">
        <v>2</v>
      </c>
    </row>
    <row r="258" spans="1:6">
      <c r="A258" s="95">
        <v>257</v>
      </c>
      <c r="B258" s="168" t="s">
        <v>1968</v>
      </c>
      <c r="C258" s="168" t="s">
        <v>298</v>
      </c>
      <c r="D258" s="127">
        <v>43009.000011574077</v>
      </c>
      <c r="E258" s="95">
        <v>1</v>
      </c>
      <c r="F258">
        <v>2</v>
      </c>
    </row>
    <row r="259" spans="1:6">
      <c r="A259" s="95">
        <v>258</v>
      </c>
      <c r="B259" s="168" t="s">
        <v>861</v>
      </c>
      <c r="C259" s="168" t="s">
        <v>298</v>
      </c>
      <c r="D259" s="127">
        <v>43009.000011574077</v>
      </c>
      <c r="E259" s="95">
        <v>1</v>
      </c>
      <c r="F259">
        <v>2</v>
      </c>
    </row>
    <row r="260" spans="1:6">
      <c r="A260" s="95">
        <v>259</v>
      </c>
      <c r="B260" s="168" t="s">
        <v>862</v>
      </c>
      <c r="C260" s="168" t="s">
        <v>298</v>
      </c>
      <c r="D260" s="127">
        <v>43009.000011574077</v>
      </c>
      <c r="E260" s="95">
        <v>1</v>
      </c>
      <c r="F260">
        <v>2</v>
      </c>
    </row>
    <row r="261" spans="1:6">
      <c r="A261" s="95">
        <v>260</v>
      </c>
      <c r="B261" s="168" t="s">
        <v>863</v>
      </c>
      <c r="C261" s="168" t="s">
        <v>298</v>
      </c>
      <c r="D261" s="127">
        <v>43009.000011574077</v>
      </c>
      <c r="E261" s="95">
        <v>1</v>
      </c>
      <c r="F261">
        <v>2</v>
      </c>
    </row>
    <row r="262" spans="1:6">
      <c r="A262" s="95">
        <v>261</v>
      </c>
      <c r="B262" s="168" t="s">
        <v>864</v>
      </c>
      <c r="C262" s="168" t="s">
        <v>298</v>
      </c>
      <c r="D262" s="127">
        <v>43009.000011574077</v>
      </c>
      <c r="E262" s="95">
        <v>1</v>
      </c>
      <c r="F262">
        <v>2</v>
      </c>
    </row>
    <row r="263" spans="1:6">
      <c r="A263" s="95">
        <v>262</v>
      </c>
      <c r="B263" s="168" t="s">
        <v>865</v>
      </c>
      <c r="C263" s="168" t="s">
        <v>298</v>
      </c>
      <c r="D263" s="127">
        <v>43009.000011574077</v>
      </c>
      <c r="E263" s="95">
        <v>1</v>
      </c>
      <c r="F263">
        <v>2</v>
      </c>
    </row>
    <row r="264" spans="1:6">
      <c r="A264" s="95">
        <v>263</v>
      </c>
      <c r="B264" s="168" t="s">
        <v>866</v>
      </c>
      <c r="C264" s="168" t="s">
        <v>298</v>
      </c>
      <c r="D264" s="127">
        <v>43009.000011574077</v>
      </c>
      <c r="E264" s="95">
        <v>1</v>
      </c>
      <c r="F264">
        <v>2</v>
      </c>
    </row>
    <row r="265" spans="1:6">
      <c r="A265" s="95">
        <v>264</v>
      </c>
      <c r="B265" s="168" t="s">
        <v>867</v>
      </c>
      <c r="C265" s="168" t="s">
        <v>298</v>
      </c>
      <c r="D265" s="127">
        <v>43009.000011574077</v>
      </c>
      <c r="E265" s="95">
        <v>1</v>
      </c>
      <c r="F265">
        <v>2</v>
      </c>
    </row>
    <row r="266" spans="1:6">
      <c r="A266" s="95">
        <v>265</v>
      </c>
      <c r="B266" s="168" t="s">
        <v>868</v>
      </c>
      <c r="C266" s="168" t="s">
        <v>298</v>
      </c>
      <c r="D266" s="127">
        <v>43009.000011574077</v>
      </c>
      <c r="E266" s="95">
        <v>1</v>
      </c>
      <c r="F266">
        <v>2</v>
      </c>
    </row>
    <row r="267" spans="1:6">
      <c r="A267" s="95">
        <v>266</v>
      </c>
      <c r="B267" s="168" t="s">
        <v>869</v>
      </c>
      <c r="C267" s="168" t="s">
        <v>298</v>
      </c>
      <c r="D267" s="127">
        <v>43009.000011574077</v>
      </c>
      <c r="E267" s="95">
        <v>1</v>
      </c>
      <c r="F267">
        <v>2</v>
      </c>
    </row>
    <row r="268" spans="1:6">
      <c r="A268" s="95">
        <v>267</v>
      </c>
      <c r="B268" s="168" t="s">
        <v>871</v>
      </c>
      <c r="C268" s="168" t="s">
        <v>298</v>
      </c>
      <c r="D268" s="127">
        <v>43009.000011574077</v>
      </c>
      <c r="E268" s="95">
        <v>1</v>
      </c>
      <c r="F268">
        <v>2</v>
      </c>
    </row>
    <row r="269" spans="1:6">
      <c r="A269" s="95">
        <v>268</v>
      </c>
      <c r="B269" s="168" t="s">
        <v>873</v>
      </c>
      <c r="C269" s="168" t="s">
        <v>298</v>
      </c>
      <c r="D269" s="127">
        <v>43009.000011574077</v>
      </c>
      <c r="E269" s="95">
        <v>1</v>
      </c>
      <c r="F269">
        <v>2</v>
      </c>
    </row>
    <row r="270" spans="1:6">
      <c r="A270" s="95">
        <v>269</v>
      </c>
      <c r="B270" s="168" t="s">
        <v>874</v>
      </c>
      <c r="C270" s="168" t="s">
        <v>298</v>
      </c>
      <c r="D270" s="127">
        <v>43009.000011574077</v>
      </c>
      <c r="E270" s="95">
        <v>1</v>
      </c>
      <c r="F270">
        <v>2</v>
      </c>
    </row>
    <row r="271" spans="1:6">
      <c r="A271" s="95">
        <v>270</v>
      </c>
      <c r="B271" s="168" t="s">
        <v>875</v>
      </c>
      <c r="C271" s="168" t="s">
        <v>298</v>
      </c>
      <c r="D271" s="127">
        <v>43009.000011574077</v>
      </c>
      <c r="E271" s="95">
        <v>1</v>
      </c>
      <c r="F271">
        <v>2</v>
      </c>
    </row>
    <row r="272" spans="1:6">
      <c r="A272" s="95">
        <v>271</v>
      </c>
      <c r="B272" s="168" t="s">
        <v>876</v>
      </c>
      <c r="C272" s="168" t="s">
        <v>298</v>
      </c>
      <c r="D272" s="127">
        <v>43009.000011574077</v>
      </c>
      <c r="E272" s="95">
        <v>1</v>
      </c>
      <c r="F272">
        <v>2</v>
      </c>
    </row>
    <row r="273" spans="1:6">
      <c r="A273" s="95">
        <v>272</v>
      </c>
      <c r="B273" s="168" t="s">
        <v>877</v>
      </c>
      <c r="C273" s="168" t="s">
        <v>298</v>
      </c>
      <c r="D273" s="127">
        <v>43009.000011574077</v>
      </c>
      <c r="E273" s="95">
        <v>1</v>
      </c>
      <c r="F273">
        <v>2</v>
      </c>
    </row>
    <row r="274" spans="1:6">
      <c r="A274" s="95">
        <v>273</v>
      </c>
      <c r="B274" s="168" t="s">
        <v>878</v>
      </c>
      <c r="C274" s="168" t="s">
        <v>298</v>
      </c>
      <c r="D274" s="127">
        <v>43009.000011574077</v>
      </c>
      <c r="E274" s="95">
        <v>1</v>
      </c>
      <c r="F274">
        <v>2</v>
      </c>
    </row>
    <row r="275" spans="1:6">
      <c r="A275" s="95">
        <v>274</v>
      </c>
      <c r="B275" s="168" t="s">
        <v>879</v>
      </c>
      <c r="C275" s="168" t="s">
        <v>298</v>
      </c>
      <c r="D275" s="127">
        <v>43009.000011574077</v>
      </c>
      <c r="E275" s="95">
        <v>1</v>
      </c>
      <c r="F275">
        <v>2</v>
      </c>
    </row>
    <row r="276" spans="1:6">
      <c r="A276" s="95">
        <v>275</v>
      </c>
      <c r="B276" s="168" t="s">
        <v>880</v>
      </c>
      <c r="C276" s="168" t="s">
        <v>298</v>
      </c>
      <c r="D276" s="127">
        <v>43009.000011574077</v>
      </c>
      <c r="E276" s="95">
        <v>1</v>
      </c>
      <c r="F276">
        <v>2</v>
      </c>
    </row>
    <row r="277" spans="1:6">
      <c r="A277" s="95">
        <v>276</v>
      </c>
      <c r="B277" s="168" t="s">
        <v>1184</v>
      </c>
      <c r="C277" s="168" t="s">
        <v>298</v>
      </c>
      <c r="D277" s="127">
        <v>43009.000011574077</v>
      </c>
      <c r="E277" s="95">
        <v>1</v>
      </c>
      <c r="F277">
        <v>2</v>
      </c>
    </row>
    <row r="278" spans="1:6">
      <c r="A278" s="95">
        <v>277</v>
      </c>
      <c r="B278" s="168" t="s">
        <v>881</v>
      </c>
      <c r="C278" s="168" t="s">
        <v>298</v>
      </c>
      <c r="D278" s="127">
        <v>43009.000011574077</v>
      </c>
      <c r="E278" s="95">
        <v>1</v>
      </c>
      <c r="F278">
        <v>2</v>
      </c>
    </row>
    <row r="279" spans="1:6">
      <c r="A279" s="95">
        <v>278</v>
      </c>
      <c r="B279" s="168" t="s">
        <v>882</v>
      </c>
      <c r="C279" s="168" t="s">
        <v>298</v>
      </c>
      <c r="D279" s="127">
        <v>43009.000011574077</v>
      </c>
      <c r="E279" s="95">
        <v>1</v>
      </c>
      <c r="F279">
        <v>2</v>
      </c>
    </row>
    <row r="280" spans="1:6">
      <c r="A280" s="95">
        <v>279</v>
      </c>
      <c r="B280" s="168" t="s">
        <v>883</v>
      </c>
      <c r="C280" s="168" t="s">
        <v>298</v>
      </c>
      <c r="D280" s="127">
        <v>43009.000011574077</v>
      </c>
      <c r="E280" s="95">
        <v>1</v>
      </c>
      <c r="F280">
        <v>2</v>
      </c>
    </row>
    <row r="281" spans="1:6">
      <c r="A281" s="95">
        <v>280</v>
      </c>
      <c r="B281" s="168" t="s">
        <v>884</v>
      </c>
      <c r="C281" s="168" t="s">
        <v>298</v>
      </c>
      <c r="D281" s="127">
        <v>43009.000011574077</v>
      </c>
      <c r="E281" s="95">
        <v>1</v>
      </c>
      <c r="F281">
        <v>2</v>
      </c>
    </row>
    <row r="282" spans="1:6">
      <c r="A282" s="95">
        <v>281</v>
      </c>
      <c r="B282" s="168" t="s">
        <v>886</v>
      </c>
      <c r="C282" s="168" t="s">
        <v>298</v>
      </c>
      <c r="D282" s="127">
        <v>43009.000011574077</v>
      </c>
      <c r="E282" s="95">
        <v>1</v>
      </c>
      <c r="F282">
        <v>2</v>
      </c>
    </row>
    <row r="283" spans="1:6">
      <c r="A283" s="95">
        <v>282</v>
      </c>
      <c r="B283" s="168" t="s">
        <v>887</v>
      </c>
      <c r="C283" s="168" t="s">
        <v>298</v>
      </c>
      <c r="D283" s="127">
        <v>43009.000011574077</v>
      </c>
      <c r="E283" s="95">
        <v>1</v>
      </c>
      <c r="F283">
        <v>2</v>
      </c>
    </row>
    <row r="284" spans="1:6">
      <c r="A284" s="95">
        <v>283</v>
      </c>
      <c r="B284" s="168" t="s">
        <v>889</v>
      </c>
      <c r="C284" s="168" t="s">
        <v>298</v>
      </c>
      <c r="D284" s="127">
        <v>43009.000011574077</v>
      </c>
      <c r="E284" s="95">
        <v>1</v>
      </c>
      <c r="F284">
        <v>2</v>
      </c>
    </row>
    <row r="285" spans="1:6">
      <c r="A285" s="95">
        <v>284</v>
      </c>
      <c r="B285" s="168" t="s">
        <v>893</v>
      </c>
      <c r="C285" s="168" t="s">
        <v>298</v>
      </c>
      <c r="D285" s="127">
        <v>43009.000011574077</v>
      </c>
      <c r="E285" s="95">
        <v>1</v>
      </c>
      <c r="F285">
        <v>2</v>
      </c>
    </row>
    <row r="286" spans="1:6">
      <c r="A286" s="95">
        <v>285</v>
      </c>
      <c r="B286" s="168" t="s">
        <v>895</v>
      </c>
      <c r="C286" s="168" t="s">
        <v>298</v>
      </c>
      <c r="D286" s="127">
        <v>43009.000011574077</v>
      </c>
      <c r="E286" s="95">
        <v>1</v>
      </c>
      <c r="F286">
        <v>2</v>
      </c>
    </row>
    <row r="287" spans="1:6">
      <c r="A287" s="95">
        <v>286</v>
      </c>
      <c r="B287" s="168" t="s">
        <v>896</v>
      </c>
      <c r="C287" s="168" t="s">
        <v>298</v>
      </c>
      <c r="D287" s="127">
        <v>43009.000011574077</v>
      </c>
      <c r="E287" s="95">
        <v>1</v>
      </c>
      <c r="F287">
        <v>2</v>
      </c>
    </row>
    <row r="288" spans="1:6">
      <c r="A288" s="95">
        <v>287</v>
      </c>
      <c r="B288" s="168" t="s">
        <v>897</v>
      </c>
      <c r="C288" s="168" t="s">
        <v>298</v>
      </c>
      <c r="D288" s="127">
        <v>43009.000011574077</v>
      </c>
      <c r="E288" s="95">
        <v>1</v>
      </c>
      <c r="F288">
        <v>2</v>
      </c>
    </row>
    <row r="289" spans="1:6">
      <c r="A289" s="95">
        <v>288</v>
      </c>
      <c r="B289" s="168" t="s">
        <v>898</v>
      </c>
      <c r="C289" s="168" t="s">
        <v>298</v>
      </c>
      <c r="D289" s="127">
        <v>43009.000011574077</v>
      </c>
      <c r="E289" s="95">
        <v>1</v>
      </c>
      <c r="F289">
        <v>2</v>
      </c>
    </row>
    <row r="290" spans="1:6">
      <c r="A290" s="95">
        <v>289</v>
      </c>
      <c r="B290" s="168" t="s">
        <v>899</v>
      </c>
      <c r="C290" s="168" t="s">
        <v>298</v>
      </c>
      <c r="D290" s="127">
        <v>43009.000011574077</v>
      </c>
      <c r="E290" s="95">
        <v>1</v>
      </c>
      <c r="F290">
        <v>2</v>
      </c>
    </row>
    <row r="291" spans="1:6">
      <c r="A291" s="95">
        <v>290</v>
      </c>
      <c r="B291" s="168" t="s">
        <v>900</v>
      </c>
      <c r="C291" s="168" t="s">
        <v>298</v>
      </c>
      <c r="D291" s="127">
        <v>43009.000011574077</v>
      </c>
      <c r="E291" s="95">
        <v>1</v>
      </c>
      <c r="F291">
        <v>2</v>
      </c>
    </row>
    <row r="292" spans="1:6">
      <c r="A292" s="95">
        <v>291</v>
      </c>
      <c r="B292" s="168" t="s">
        <v>901</v>
      </c>
      <c r="C292" s="168" t="s">
        <v>298</v>
      </c>
      <c r="D292" s="127">
        <v>43009.000011574077</v>
      </c>
      <c r="E292" s="95">
        <v>1</v>
      </c>
      <c r="F292">
        <v>2</v>
      </c>
    </row>
    <row r="293" spans="1:6">
      <c r="A293" s="95">
        <v>292</v>
      </c>
      <c r="B293" s="168" t="s">
        <v>902</v>
      </c>
      <c r="C293" s="168" t="s">
        <v>298</v>
      </c>
      <c r="D293" s="127">
        <v>43009.000011574077</v>
      </c>
      <c r="E293" s="95">
        <v>1</v>
      </c>
      <c r="F293">
        <v>2</v>
      </c>
    </row>
    <row r="294" spans="1:6">
      <c r="A294" s="95">
        <v>293</v>
      </c>
      <c r="B294" s="168" t="s">
        <v>903</v>
      </c>
      <c r="C294" s="168" t="s">
        <v>298</v>
      </c>
      <c r="D294" s="127">
        <v>43009.000011574077</v>
      </c>
      <c r="E294" s="95">
        <v>1</v>
      </c>
      <c r="F294">
        <v>2</v>
      </c>
    </row>
    <row r="295" spans="1:6">
      <c r="A295" s="95">
        <v>294</v>
      </c>
      <c r="B295" s="168" t="s">
        <v>904</v>
      </c>
      <c r="C295" s="168" t="s">
        <v>298</v>
      </c>
      <c r="D295" s="127">
        <v>43009.000011574077</v>
      </c>
      <c r="E295" s="95">
        <v>1</v>
      </c>
      <c r="F295">
        <v>2</v>
      </c>
    </row>
    <row r="296" spans="1:6">
      <c r="A296" s="95">
        <v>295</v>
      </c>
      <c r="B296" s="168" t="s">
        <v>905</v>
      </c>
      <c r="C296" s="168" t="s">
        <v>298</v>
      </c>
      <c r="D296" s="127">
        <v>43009.000011574077</v>
      </c>
      <c r="E296" s="95">
        <v>1</v>
      </c>
      <c r="F296">
        <v>2</v>
      </c>
    </row>
    <row r="297" spans="1:6">
      <c r="A297" s="95">
        <v>296</v>
      </c>
      <c r="B297" s="168" t="s">
        <v>906</v>
      </c>
      <c r="C297" s="168" t="s">
        <v>298</v>
      </c>
      <c r="D297" s="127">
        <v>43009.000011574077</v>
      </c>
      <c r="E297" s="95">
        <v>1</v>
      </c>
      <c r="F297">
        <v>2</v>
      </c>
    </row>
    <row r="298" spans="1:6">
      <c r="A298" s="95">
        <v>297</v>
      </c>
      <c r="B298" s="168" t="s">
        <v>907</v>
      </c>
      <c r="C298" s="168" t="s">
        <v>298</v>
      </c>
      <c r="D298" s="127">
        <v>43009.000011574077</v>
      </c>
      <c r="E298" s="95">
        <v>1</v>
      </c>
      <c r="F298">
        <v>2</v>
      </c>
    </row>
    <row r="299" spans="1:6">
      <c r="A299" s="95">
        <v>298</v>
      </c>
      <c r="B299" s="168" t="s">
        <v>908</v>
      </c>
      <c r="C299" s="168" t="s">
        <v>298</v>
      </c>
      <c r="D299" s="127">
        <v>43009.000011574077</v>
      </c>
      <c r="E299" s="95">
        <v>1</v>
      </c>
      <c r="F299">
        <v>2</v>
      </c>
    </row>
    <row r="300" spans="1:6">
      <c r="A300" s="95">
        <v>299</v>
      </c>
      <c r="B300" s="168" t="s">
        <v>909</v>
      </c>
      <c r="C300" s="168" t="s">
        <v>298</v>
      </c>
      <c r="D300" s="127">
        <v>43009.000011574077</v>
      </c>
      <c r="E300" s="95">
        <v>1</v>
      </c>
      <c r="F300">
        <v>2</v>
      </c>
    </row>
    <row r="301" spans="1:6">
      <c r="A301" s="95">
        <v>300</v>
      </c>
      <c r="B301" s="168" t="s">
        <v>911</v>
      </c>
      <c r="C301" s="168" t="s">
        <v>298</v>
      </c>
      <c r="D301" s="127">
        <v>43009.000011574077</v>
      </c>
      <c r="E301" s="95">
        <v>1</v>
      </c>
      <c r="F301">
        <v>2</v>
      </c>
    </row>
    <row r="302" spans="1:6">
      <c r="A302" s="95">
        <v>301</v>
      </c>
      <c r="B302" s="168" t="s">
        <v>913</v>
      </c>
      <c r="C302" s="168" t="s">
        <v>298</v>
      </c>
      <c r="D302" s="127">
        <v>43009.000011574077</v>
      </c>
      <c r="E302" s="95">
        <v>1</v>
      </c>
      <c r="F302">
        <v>2</v>
      </c>
    </row>
    <row r="303" spans="1:6">
      <c r="A303" s="95">
        <v>302</v>
      </c>
      <c r="B303" s="168" t="s">
        <v>1367</v>
      </c>
      <c r="C303" s="168" t="s">
        <v>298</v>
      </c>
      <c r="D303" s="127">
        <v>43009.000011574077</v>
      </c>
      <c r="E303" s="95">
        <v>1</v>
      </c>
      <c r="F303">
        <v>2</v>
      </c>
    </row>
    <row r="304" spans="1:6">
      <c r="A304" s="95">
        <v>303</v>
      </c>
      <c r="B304" s="168" t="s">
        <v>822</v>
      </c>
      <c r="C304" s="168" t="s">
        <v>298</v>
      </c>
      <c r="D304" s="127">
        <v>43009.000011574077</v>
      </c>
      <c r="E304" s="95">
        <v>1</v>
      </c>
      <c r="F304">
        <v>2</v>
      </c>
    </row>
    <row r="305" spans="1:6">
      <c r="A305" s="95">
        <v>304</v>
      </c>
      <c r="B305" s="168" t="s">
        <v>918</v>
      </c>
      <c r="C305" s="168" t="s">
        <v>298</v>
      </c>
      <c r="D305" s="127">
        <v>43009.000011574077</v>
      </c>
      <c r="E305" s="95">
        <v>1</v>
      </c>
      <c r="F305">
        <v>2</v>
      </c>
    </row>
    <row r="306" spans="1:6">
      <c r="A306" s="95">
        <v>305</v>
      </c>
      <c r="B306" s="168" t="s">
        <v>919</v>
      </c>
      <c r="C306" s="168" t="s">
        <v>298</v>
      </c>
      <c r="D306" s="127">
        <v>43009.000011574077</v>
      </c>
      <c r="E306" s="95">
        <v>1</v>
      </c>
      <c r="F306">
        <v>2</v>
      </c>
    </row>
    <row r="307" spans="1:6">
      <c r="A307" s="95">
        <v>306</v>
      </c>
      <c r="B307" s="168" t="s">
        <v>920</v>
      </c>
      <c r="C307" s="168" t="s">
        <v>298</v>
      </c>
      <c r="D307" s="127">
        <v>43009.000011574077</v>
      </c>
      <c r="E307" s="95">
        <v>1</v>
      </c>
      <c r="F307">
        <v>2</v>
      </c>
    </row>
    <row r="308" spans="1:6">
      <c r="A308" s="95">
        <v>307</v>
      </c>
      <c r="B308" s="168" t="s">
        <v>922</v>
      </c>
      <c r="C308" s="168" t="s">
        <v>298</v>
      </c>
      <c r="D308" s="127">
        <v>43009.000011574077</v>
      </c>
      <c r="E308" s="95">
        <v>1</v>
      </c>
      <c r="F308">
        <v>2</v>
      </c>
    </row>
    <row r="309" spans="1:6">
      <c r="A309" s="95">
        <v>308</v>
      </c>
      <c r="B309" s="168" t="s">
        <v>1185</v>
      </c>
      <c r="C309" s="168" t="s">
        <v>298</v>
      </c>
      <c r="D309" s="127">
        <v>43009.000011574077</v>
      </c>
      <c r="E309" s="95">
        <v>1</v>
      </c>
      <c r="F309">
        <v>2</v>
      </c>
    </row>
    <row r="310" spans="1:6">
      <c r="A310" s="95">
        <v>309</v>
      </c>
      <c r="B310" s="168" t="s">
        <v>924</v>
      </c>
      <c r="C310" s="168" t="s">
        <v>298</v>
      </c>
      <c r="D310" s="127">
        <v>43009.000011574077</v>
      </c>
      <c r="E310" s="95">
        <v>1</v>
      </c>
      <c r="F310">
        <v>2</v>
      </c>
    </row>
    <row r="311" spans="1:6">
      <c r="A311" s="95">
        <v>310</v>
      </c>
      <c r="B311" s="168" t="s">
        <v>925</v>
      </c>
      <c r="C311" s="168" t="s">
        <v>298</v>
      </c>
      <c r="D311" s="127">
        <v>43009.000011574077</v>
      </c>
      <c r="E311" s="95">
        <v>1</v>
      </c>
      <c r="F311">
        <v>2</v>
      </c>
    </row>
    <row r="312" spans="1:6">
      <c r="A312" s="95">
        <v>311</v>
      </c>
      <c r="B312" s="168" t="s">
        <v>927</v>
      </c>
      <c r="C312" s="168" t="s">
        <v>298</v>
      </c>
      <c r="D312" s="127">
        <v>43009.000011574077</v>
      </c>
      <c r="E312" s="95">
        <v>1</v>
      </c>
      <c r="F312">
        <v>2</v>
      </c>
    </row>
    <row r="313" spans="1:6">
      <c r="A313" s="95">
        <v>312</v>
      </c>
      <c r="B313" s="168" t="s">
        <v>928</v>
      </c>
      <c r="C313" s="168" t="s">
        <v>298</v>
      </c>
      <c r="D313" s="127">
        <v>43009.000011574077</v>
      </c>
      <c r="E313" s="95">
        <v>1</v>
      </c>
      <c r="F313">
        <v>2</v>
      </c>
    </row>
    <row r="314" spans="1:6">
      <c r="A314" s="95">
        <v>313</v>
      </c>
      <c r="B314" s="168" t="s">
        <v>929</v>
      </c>
      <c r="C314" s="168" t="s">
        <v>298</v>
      </c>
      <c r="D314" s="127">
        <v>43009.000011574077</v>
      </c>
      <c r="E314" s="95">
        <v>1</v>
      </c>
      <c r="F314">
        <v>2</v>
      </c>
    </row>
    <row r="315" spans="1:6">
      <c r="A315" s="95">
        <v>314</v>
      </c>
      <c r="B315" s="168" t="s">
        <v>930</v>
      </c>
      <c r="C315" s="168" t="s">
        <v>298</v>
      </c>
      <c r="D315" s="127">
        <v>43009.000011574077</v>
      </c>
      <c r="E315" s="95">
        <v>1</v>
      </c>
      <c r="F315">
        <v>2</v>
      </c>
    </row>
    <row r="316" spans="1:6">
      <c r="A316" s="95">
        <v>315</v>
      </c>
      <c r="B316" s="168" t="s">
        <v>931</v>
      </c>
      <c r="C316" s="168" t="s">
        <v>298</v>
      </c>
      <c r="D316" s="127">
        <v>43009.000011574077</v>
      </c>
      <c r="E316" s="95">
        <v>1</v>
      </c>
      <c r="F316">
        <v>2</v>
      </c>
    </row>
    <row r="317" spans="1:6">
      <c r="A317" s="95">
        <v>316</v>
      </c>
      <c r="B317" s="168" t="s">
        <v>932</v>
      </c>
      <c r="C317" s="168" t="s">
        <v>298</v>
      </c>
      <c r="D317" s="127">
        <v>43009.000011574077</v>
      </c>
      <c r="E317" s="95">
        <v>1</v>
      </c>
      <c r="F317">
        <v>2</v>
      </c>
    </row>
    <row r="318" spans="1:6">
      <c r="A318" s="95">
        <v>317</v>
      </c>
      <c r="B318" s="168" t="s">
        <v>933</v>
      </c>
      <c r="C318" s="168" t="s">
        <v>298</v>
      </c>
      <c r="D318" s="127">
        <v>43009.000011574077</v>
      </c>
      <c r="E318" s="95">
        <v>1</v>
      </c>
      <c r="F318">
        <v>2</v>
      </c>
    </row>
    <row r="319" spans="1:6">
      <c r="A319" s="95">
        <v>318</v>
      </c>
      <c r="B319" s="168" t="s">
        <v>934</v>
      </c>
      <c r="C319" s="168" t="s">
        <v>298</v>
      </c>
      <c r="D319" s="127">
        <v>43009.000011574077</v>
      </c>
      <c r="E319" s="95">
        <v>1</v>
      </c>
      <c r="F319">
        <v>2</v>
      </c>
    </row>
    <row r="320" spans="1:6">
      <c r="A320" s="95">
        <v>319</v>
      </c>
      <c r="B320" s="168" t="s">
        <v>935</v>
      </c>
      <c r="C320" s="168" t="s">
        <v>298</v>
      </c>
      <c r="D320" s="127">
        <v>43009.000011574077</v>
      </c>
      <c r="E320" s="95">
        <v>1</v>
      </c>
      <c r="F320">
        <v>2</v>
      </c>
    </row>
    <row r="321" spans="1:6">
      <c r="A321" s="95">
        <v>320</v>
      </c>
      <c r="B321" s="168" t="s">
        <v>936</v>
      </c>
      <c r="C321" s="168" t="s">
        <v>298</v>
      </c>
      <c r="D321" s="127">
        <v>43009.000011574077</v>
      </c>
      <c r="E321" s="95">
        <v>1</v>
      </c>
      <c r="F321">
        <v>2</v>
      </c>
    </row>
    <row r="322" spans="1:6">
      <c r="A322" s="95">
        <v>321</v>
      </c>
      <c r="B322" s="168" t="s">
        <v>937</v>
      </c>
      <c r="C322" s="168" t="s">
        <v>298</v>
      </c>
      <c r="D322" s="127">
        <v>43009.000011574077</v>
      </c>
      <c r="E322" s="95">
        <v>1</v>
      </c>
      <c r="F322">
        <v>2</v>
      </c>
    </row>
    <row r="323" spans="1:6">
      <c r="A323" s="95">
        <v>322</v>
      </c>
      <c r="B323" s="168" t="s">
        <v>940</v>
      </c>
      <c r="C323" s="168" t="s">
        <v>298</v>
      </c>
      <c r="D323" s="127">
        <v>43009.000011574077</v>
      </c>
      <c r="E323" s="95">
        <v>1</v>
      </c>
      <c r="F323">
        <v>2</v>
      </c>
    </row>
    <row r="324" spans="1:6">
      <c r="A324" s="95">
        <v>323</v>
      </c>
      <c r="B324" s="168" t="s">
        <v>941</v>
      </c>
      <c r="C324" s="168" t="s">
        <v>298</v>
      </c>
      <c r="D324" s="127">
        <v>43009.000011574077</v>
      </c>
      <c r="E324" s="95">
        <v>1</v>
      </c>
      <c r="F324">
        <v>2</v>
      </c>
    </row>
    <row r="325" spans="1:6">
      <c r="A325" s="95">
        <v>324</v>
      </c>
      <c r="B325" s="168" t="s">
        <v>942</v>
      </c>
      <c r="C325" s="168" t="s">
        <v>298</v>
      </c>
      <c r="D325" s="127">
        <v>43009.000011574077</v>
      </c>
      <c r="E325" s="95">
        <v>1</v>
      </c>
      <c r="F325">
        <v>2</v>
      </c>
    </row>
    <row r="326" spans="1:6">
      <c r="A326" s="95">
        <v>325</v>
      </c>
      <c r="B326" s="168" t="s">
        <v>943</v>
      </c>
      <c r="C326" s="168" t="s">
        <v>298</v>
      </c>
      <c r="D326" s="127">
        <v>43009.000011574077</v>
      </c>
      <c r="E326" s="95">
        <v>1</v>
      </c>
      <c r="F326">
        <v>2</v>
      </c>
    </row>
    <row r="327" spans="1:6">
      <c r="A327" s="95">
        <v>326</v>
      </c>
      <c r="B327" s="168" t="s">
        <v>944</v>
      </c>
      <c r="C327" s="168" t="s">
        <v>298</v>
      </c>
      <c r="D327" s="127">
        <v>43009.000011574077</v>
      </c>
      <c r="E327" s="95">
        <v>1</v>
      </c>
      <c r="F327">
        <v>2</v>
      </c>
    </row>
    <row r="328" spans="1:6">
      <c r="A328" s="95">
        <v>327</v>
      </c>
      <c r="B328" s="168" t="s">
        <v>945</v>
      </c>
      <c r="C328" s="168" t="s">
        <v>298</v>
      </c>
      <c r="D328" s="127">
        <v>43009.000011574077</v>
      </c>
      <c r="E328" s="95">
        <v>1</v>
      </c>
      <c r="F328">
        <v>2</v>
      </c>
    </row>
    <row r="329" spans="1:6">
      <c r="A329" s="95">
        <v>328</v>
      </c>
      <c r="B329" s="168" t="s">
        <v>946</v>
      </c>
      <c r="C329" s="168" t="s">
        <v>298</v>
      </c>
      <c r="D329" s="127">
        <v>43009.000011574077</v>
      </c>
      <c r="E329" s="95">
        <v>1</v>
      </c>
      <c r="F329">
        <v>2</v>
      </c>
    </row>
    <row r="330" spans="1:6">
      <c r="A330" s="95">
        <v>329</v>
      </c>
      <c r="B330" s="168" t="s">
        <v>947</v>
      </c>
      <c r="C330" s="168" t="s">
        <v>298</v>
      </c>
      <c r="D330" s="127">
        <v>43009.000011574077</v>
      </c>
      <c r="E330" s="95">
        <v>1</v>
      </c>
      <c r="F330">
        <v>2</v>
      </c>
    </row>
    <row r="331" spans="1:6">
      <c r="A331" s="95">
        <v>330</v>
      </c>
      <c r="B331" s="168" t="s">
        <v>948</v>
      </c>
      <c r="C331" s="168" t="s">
        <v>298</v>
      </c>
      <c r="D331" s="127">
        <v>43009.000011574077</v>
      </c>
      <c r="E331" s="95">
        <v>1</v>
      </c>
      <c r="F331">
        <v>2</v>
      </c>
    </row>
    <row r="332" spans="1:6">
      <c r="A332" s="95">
        <v>331</v>
      </c>
      <c r="B332" s="168" t="s">
        <v>949</v>
      </c>
      <c r="C332" s="168" t="s">
        <v>298</v>
      </c>
      <c r="D332" s="127">
        <v>43009.000011574077</v>
      </c>
      <c r="E332" s="95">
        <v>1</v>
      </c>
      <c r="F332">
        <v>2</v>
      </c>
    </row>
    <row r="333" spans="1:6">
      <c r="A333" s="95">
        <v>332</v>
      </c>
      <c r="B333" s="168" t="s">
        <v>950</v>
      </c>
      <c r="C333" s="168" t="s">
        <v>298</v>
      </c>
      <c r="D333" s="127">
        <v>43009.000011574077</v>
      </c>
      <c r="E333" s="95">
        <v>1</v>
      </c>
      <c r="F333">
        <v>2</v>
      </c>
    </row>
    <row r="334" spans="1:6">
      <c r="A334" s="95">
        <v>333</v>
      </c>
      <c r="B334" s="168" t="s">
        <v>951</v>
      </c>
      <c r="C334" s="168" t="s">
        <v>298</v>
      </c>
      <c r="D334" s="127">
        <v>43009.000011574077</v>
      </c>
      <c r="E334" s="95">
        <v>1</v>
      </c>
      <c r="F334">
        <v>2</v>
      </c>
    </row>
    <row r="335" spans="1:6">
      <c r="A335" s="95">
        <v>334</v>
      </c>
      <c r="B335" s="168" t="s">
        <v>952</v>
      </c>
      <c r="C335" s="168" t="s">
        <v>298</v>
      </c>
      <c r="D335" s="127">
        <v>43009.000011574077</v>
      </c>
      <c r="E335" s="95">
        <v>1</v>
      </c>
      <c r="F335">
        <v>2</v>
      </c>
    </row>
    <row r="336" spans="1:6">
      <c r="A336" s="95">
        <v>335</v>
      </c>
      <c r="B336" s="168" t="s">
        <v>953</v>
      </c>
      <c r="C336" s="168" t="s">
        <v>298</v>
      </c>
      <c r="D336" s="127">
        <v>43009.000011574077</v>
      </c>
      <c r="E336" s="95">
        <v>1</v>
      </c>
      <c r="F336">
        <v>2</v>
      </c>
    </row>
    <row r="337" spans="1:6">
      <c r="A337" s="95">
        <v>336</v>
      </c>
      <c r="B337" s="168" t="s">
        <v>954</v>
      </c>
      <c r="C337" s="168" t="s">
        <v>298</v>
      </c>
      <c r="D337" s="127">
        <v>43009.000011574077</v>
      </c>
      <c r="E337" s="95">
        <v>1</v>
      </c>
      <c r="F337">
        <v>2</v>
      </c>
    </row>
    <row r="338" spans="1:6">
      <c r="A338" s="95">
        <v>337</v>
      </c>
      <c r="B338" s="168" t="s">
        <v>955</v>
      </c>
      <c r="C338" s="168" t="s">
        <v>298</v>
      </c>
      <c r="D338" s="127">
        <v>43009.000011574077</v>
      </c>
      <c r="E338" s="95">
        <v>1</v>
      </c>
      <c r="F338">
        <v>2</v>
      </c>
    </row>
    <row r="339" spans="1:6">
      <c r="A339" s="95">
        <v>338</v>
      </c>
      <c r="B339" s="168" t="s">
        <v>956</v>
      </c>
      <c r="C339" s="168" t="s">
        <v>298</v>
      </c>
      <c r="D339" s="127">
        <v>43009.000011574077</v>
      </c>
      <c r="E339" s="95">
        <v>1</v>
      </c>
      <c r="F339">
        <v>2</v>
      </c>
    </row>
    <row r="340" spans="1:6">
      <c r="A340" s="95">
        <v>339</v>
      </c>
      <c r="B340" s="168" t="s">
        <v>957</v>
      </c>
      <c r="C340" s="168" t="s">
        <v>298</v>
      </c>
      <c r="D340" s="127">
        <v>43009.000011574077</v>
      </c>
      <c r="E340" s="95">
        <v>1</v>
      </c>
      <c r="F340">
        <v>2</v>
      </c>
    </row>
    <row r="341" spans="1:6">
      <c r="A341" s="95">
        <v>340</v>
      </c>
      <c r="B341" s="168" t="s">
        <v>958</v>
      </c>
      <c r="C341" s="168" t="s">
        <v>298</v>
      </c>
      <c r="D341" s="127">
        <v>43009.000011574077</v>
      </c>
      <c r="E341" s="95">
        <v>1</v>
      </c>
      <c r="F341">
        <v>2</v>
      </c>
    </row>
    <row r="342" spans="1:6">
      <c r="A342" s="95">
        <v>341</v>
      </c>
      <c r="B342" s="168" t="s">
        <v>960</v>
      </c>
      <c r="C342" s="168" t="s">
        <v>298</v>
      </c>
      <c r="D342" s="127">
        <v>43009.000011574077</v>
      </c>
      <c r="E342" s="95">
        <v>1</v>
      </c>
      <c r="F342">
        <v>2</v>
      </c>
    </row>
    <row r="343" spans="1:6">
      <c r="A343" s="95">
        <v>342</v>
      </c>
      <c r="B343" s="168" t="s">
        <v>961</v>
      </c>
      <c r="C343" s="168" t="s">
        <v>298</v>
      </c>
      <c r="D343" s="127">
        <v>43009.000011574077</v>
      </c>
      <c r="E343" s="95">
        <v>1</v>
      </c>
      <c r="F343">
        <v>2</v>
      </c>
    </row>
    <row r="344" spans="1:6">
      <c r="A344" s="95">
        <v>343</v>
      </c>
      <c r="B344" s="168" t="s">
        <v>962</v>
      </c>
      <c r="C344" s="168" t="s">
        <v>298</v>
      </c>
      <c r="D344" s="127">
        <v>43009.000011574077</v>
      </c>
      <c r="E344" s="95">
        <v>1</v>
      </c>
      <c r="F344">
        <v>2</v>
      </c>
    </row>
    <row r="345" spans="1:6">
      <c r="A345" s="95">
        <v>344</v>
      </c>
      <c r="B345" s="168" t="s">
        <v>963</v>
      </c>
      <c r="C345" s="168" t="s">
        <v>298</v>
      </c>
      <c r="D345" s="127">
        <v>43009.000011574077</v>
      </c>
      <c r="E345" s="95">
        <v>1</v>
      </c>
      <c r="F345">
        <v>2</v>
      </c>
    </row>
    <row r="346" spans="1:6">
      <c r="A346" s="95">
        <v>345</v>
      </c>
      <c r="B346" s="168" t="s">
        <v>964</v>
      </c>
      <c r="C346" s="168" t="s">
        <v>1034</v>
      </c>
      <c r="D346" s="127">
        <v>43009.000011574077</v>
      </c>
      <c r="E346" s="95">
        <v>1</v>
      </c>
      <c r="F346">
        <v>2</v>
      </c>
    </row>
    <row r="347" spans="1:6">
      <c r="A347" s="95">
        <v>346</v>
      </c>
      <c r="B347" s="168" t="s">
        <v>965</v>
      </c>
      <c r="C347" s="168" t="s">
        <v>298</v>
      </c>
      <c r="D347" s="127">
        <v>43009.000011574077</v>
      </c>
      <c r="E347" s="95">
        <v>1</v>
      </c>
      <c r="F347">
        <v>2</v>
      </c>
    </row>
    <row r="348" spans="1:6">
      <c r="A348" s="95">
        <v>347</v>
      </c>
      <c r="B348" s="168" t="s">
        <v>966</v>
      </c>
      <c r="C348" s="168" t="s">
        <v>298</v>
      </c>
      <c r="D348" s="127">
        <v>43009.000011574077</v>
      </c>
      <c r="E348" s="95">
        <v>1</v>
      </c>
      <c r="F348">
        <v>2</v>
      </c>
    </row>
    <row r="349" spans="1:6">
      <c r="A349" s="95">
        <v>348</v>
      </c>
      <c r="B349" s="168" t="s">
        <v>967</v>
      </c>
      <c r="C349" s="168" t="s">
        <v>1034</v>
      </c>
      <c r="D349" s="127">
        <v>43009.000011574077</v>
      </c>
      <c r="E349" s="95">
        <v>1</v>
      </c>
      <c r="F349">
        <v>2</v>
      </c>
    </row>
    <row r="350" spans="1:6">
      <c r="A350" s="95">
        <v>349</v>
      </c>
      <c r="B350" s="168" t="s">
        <v>968</v>
      </c>
      <c r="C350" s="168" t="s">
        <v>298</v>
      </c>
      <c r="D350" s="127">
        <v>43009.000011574077</v>
      </c>
      <c r="E350" s="95">
        <v>1</v>
      </c>
      <c r="F350">
        <v>2</v>
      </c>
    </row>
    <row r="351" spans="1:6">
      <c r="A351" s="95">
        <v>350</v>
      </c>
      <c r="B351" s="168" t="s">
        <v>970</v>
      </c>
      <c r="C351" s="168" t="s">
        <v>298</v>
      </c>
      <c r="D351" s="127">
        <v>43009.000011574077</v>
      </c>
      <c r="E351" s="95">
        <v>1</v>
      </c>
      <c r="F351">
        <v>2</v>
      </c>
    </row>
    <row r="352" spans="1:6">
      <c r="A352" s="95">
        <v>351</v>
      </c>
      <c r="B352" s="168" t="s">
        <v>971</v>
      </c>
      <c r="C352" s="168" t="s">
        <v>298</v>
      </c>
      <c r="D352" s="127">
        <v>43009.000011574077</v>
      </c>
      <c r="E352" s="95">
        <v>1</v>
      </c>
      <c r="F352">
        <v>2</v>
      </c>
    </row>
    <row r="353" spans="1:6">
      <c r="A353" s="95">
        <v>352</v>
      </c>
      <c r="B353" s="168" t="s">
        <v>972</v>
      </c>
      <c r="C353" s="168" t="s">
        <v>298</v>
      </c>
      <c r="D353" s="127">
        <v>43009.000011574077</v>
      </c>
      <c r="E353" s="95">
        <v>1</v>
      </c>
      <c r="F353">
        <v>2</v>
      </c>
    </row>
    <row r="354" spans="1:6">
      <c r="A354" s="95">
        <v>353</v>
      </c>
      <c r="B354" s="168" t="s">
        <v>973</v>
      </c>
      <c r="C354" s="168" t="s">
        <v>298</v>
      </c>
      <c r="D354" s="127">
        <v>43009.000011574077</v>
      </c>
      <c r="E354" s="95">
        <v>1</v>
      </c>
      <c r="F354">
        <v>2</v>
      </c>
    </row>
    <row r="355" spans="1:6">
      <c r="A355" s="95">
        <v>354</v>
      </c>
      <c r="B355" s="168" t="s">
        <v>974</v>
      </c>
      <c r="C355" s="168" t="s">
        <v>298</v>
      </c>
      <c r="D355" s="127">
        <v>43009.000011574077</v>
      </c>
      <c r="E355" s="95">
        <v>1</v>
      </c>
      <c r="F355">
        <v>2</v>
      </c>
    </row>
    <row r="356" spans="1:6">
      <c r="A356" s="95">
        <v>355</v>
      </c>
      <c r="B356" s="168" t="s">
        <v>975</v>
      </c>
      <c r="C356" s="168" t="s">
        <v>298</v>
      </c>
      <c r="D356" s="127">
        <v>43009.000011574077</v>
      </c>
      <c r="E356" s="95">
        <v>1</v>
      </c>
      <c r="F356">
        <v>2</v>
      </c>
    </row>
    <row r="357" spans="1:6">
      <c r="A357" s="95">
        <v>356</v>
      </c>
      <c r="B357" s="168" t="s">
        <v>976</v>
      </c>
      <c r="C357" s="168" t="s">
        <v>298</v>
      </c>
      <c r="D357" s="127">
        <v>43009.000011574077</v>
      </c>
      <c r="E357" s="95">
        <v>1</v>
      </c>
      <c r="F357">
        <v>2</v>
      </c>
    </row>
    <row r="358" spans="1:6">
      <c r="A358" s="95">
        <v>357</v>
      </c>
      <c r="B358" s="168" t="s">
        <v>977</v>
      </c>
      <c r="C358" s="168" t="s">
        <v>298</v>
      </c>
      <c r="D358" s="127">
        <v>43009.000011574077</v>
      </c>
      <c r="E358" s="95">
        <v>1</v>
      </c>
      <c r="F358">
        <v>2</v>
      </c>
    </row>
    <row r="359" spans="1:6">
      <c r="A359" s="95">
        <v>358</v>
      </c>
      <c r="B359" s="168" t="s">
        <v>978</v>
      </c>
      <c r="C359" s="168" t="s">
        <v>298</v>
      </c>
      <c r="D359" s="127">
        <v>43009.000011574077</v>
      </c>
      <c r="E359" s="95">
        <v>1</v>
      </c>
      <c r="F359">
        <v>2</v>
      </c>
    </row>
    <row r="360" spans="1:6">
      <c r="A360" s="95">
        <v>359</v>
      </c>
      <c r="B360" s="168" t="s">
        <v>979</v>
      </c>
      <c r="C360" s="168" t="s">
        <v>298</v>
      </c>
      <c r="D360" s="127">
        <v>43009.000011574077</v>
      </c>
      <c r="E360" s="95">
        <v>1</v>
      </c>
      <c r="F360">
        <v>2</v>
      </c>
    </row>
    <row r="361" spans="1:6">
      <c r="A361" s="95">
        <v>360</v>
      </c>
      <c r="B361" s="168" t="s">
        <v>980</v>
      </c>
      <c r="C361" s="168" t="s">
        <v>298</v>
      </c>
      <c r="D361" s="127">
        <v>43009.000011574077</v>
      </c>
      <c r="E361" s="95">
        <v>1</v>
      </c>
      <c r="F361">
        <v>2</v>
      </c>
    </row>
    <row r="362" spans="1:6">
      <c r="A362" s="95">
        <v>361</v>
      </c>
      <c r="B362" s="168" t="s">
        <v>981</v>
      </c>
      <c r="C362" s="168" t="s">
        <v>298</v>
      </c>
      <c r="D362" s="127">
        <v>43009.000011574077</v>
      </c>
      <c r="E362" s="95">
        <v>1</v>
      </c>
      <c r="F362">
        <v>2</v>
      </c>
    </row>
    <row r="363" spans="1:6">
      <c r="A363" s="95">
        <v>362</v>
      </c>
      <c r="B363" s="168" t="s">
        <v>982</v>
      </c>
      <c r="C363" s="168" t="s">
        <v>298</v>
      </c>
      <c r="D363" s="127">
        <v>43009.000011574077</v>
      </c>
      <c r="E363" s="95">
        <v>1</v>
      </c>
      <c r="F363">
        <v>2</v>
      </c>
    </row>
    <row r="364" spans="1:6">
      <c r="A364" s="95">
        <v>363</v>
      </c>
      <c r="B364" s="168" t="s">
        <v>984</v>
      </c>
      <c r="C364" s="168" t="s">
        <v>298</v>
      </c>
      <c r="D364" s="127">
        <v>43009.000011574077</v>
      </c>
      <c r="E364" s="95">
        <v>1</v>
      </c>
      <c r="F364">
        <v>2</v>
      </c>
    </row>
    <row r="365" spans="1:6">
      <c r="A365" s="95">
        <v>364</v>
      </c>
      <c r="B365" s="168" t="s">
        <v>985</v>
      </c>
      <c r="C365" s="168" t="s">
        <v>298</v>
      </c>
      <c r="D365" s="127">
        <v>43009.000011574077</v>
      </c>
      <c r="E365" s="95">
        <v>1</v>
      </c>
      <c r="F365">
        <v>2</v>
      </c>
    </row>
    <row r="366" spans="1:6">
      <c r="A366" s="95">
        <v>365</v>
      </c>
      <c r="B366" s="168" t="s">
        <v>986</v>
      </c>
      <c r="C366" s="168" t="s">
        <v>298</v>
      </c>
      <c r="D366" s="127">
        <v>43009.000011574077</v>
      </c>
      <c r="E366" s="95">
        <v>1</v>
      </c>
      <c r="F366">
        <v>2</v>
      </c>
    </row>
    <row r="367" spans="1:6">
      <c r="A367" s="95">
        <v>366</v>
      </c>
      <c r="B367" s="168" t="s">
        <v>987</v>
      </c>
      <c r="C367" s="168" t="s">
        <v>298</v>
      </c>
      <c r="D367" s="127">
        <v>43009.000011574077</v>
      </c>
      <c r="E367" s="95">
        <v>1</v>
      </c>
      <c r="F367">
        <v>2</v>
      </c>
    </row>
    <row r="368" spans="1:6">
      <c r="A368" s="95">
        <v>367</v>
      </c>
      <c r="B368" s="168" t="s">
        <v>988</v>
      </c>
      <c r="C368" s="168" t="s">
        <v>298</v>
      </c>
      <c r="D368" s="127">
        <v>43009.000011574077</v>
      </c>
      <c r="E368" s="95">
        <v>1</v>
      </c>
      <c r="F368">
        <v>2</v>
      </c>
    </row>
    <row r="369" spans="1:6">
      <c r="A369" s="95">
        <v>368</v>
      </c>
      <c r="B369" s="168" t="s">
        <v>769</v>
      </c>
      <c r="C369" s="168" t="s">
        <v>770</v>
      </c>
      <c r="D369" s="127">
        <v>43009.000011574077</v>
      </c>
      <c r="E369" s="95">
        <v>1</v>
      </c>
      <c r="F369">
        <v>2</v>
      </c>
    </row>
    <row r="370" spans="1:6">
      <c r="A370" s="95">
        <v>369</v>
      </c>
      <c r="B370" s="168" t="s">
        <v>992</v>
      </c>
      <c r="C370" s="168" t="s">
        <v>298</v>
      </c>
      <c r="D370" s="127">
        <v>43009.000011574077</v>
      </c>
      <c r="E370" s="95">
        <v>1</v>
      </c>
      <c r="F370">
        <v>2</v>
      </c>
    </row>
    <row r="371" spans="1:6">
      <c r="A371" s="95">
        <v>370</v>
      </c>
      <c r="B371" s="168" t="s">
        <v>993</v>
      </c>
      <c r="C371" s="168" t="s">
        <v>298</v>
      </c>
      <c r="D371" s="127">
        <v>43009.000011574077</v>
      </c>
      <c r="E371" s="95">
        <v>1</v>
      </c>
      <c r="F371">
        <v>2</v>
      </c>
    </row>
    <row r="372" spans="1:6">
      <c r="A372" s="95">
        <v>371</v>
      </c>
      <c r="B372" s="168" t="s">
        <v>994</v>
      </c>
      <c r="C372" s="168" t="s">
        <v>298</v>
      </c>
      <c r="D372" s="127">
        <v>43009.000011574077</v>
      </c>
      <c r="E372" s="95">
        <v>1</v>
      </c>
      <c r="F372">
        <v>2</v>
      </c>
    </row>
    <row r="373" spans="1:6">
      <c r="A373" s="95">
        <v>372</v>
      </c>
      <c r="B373" s="168" t="s">
        <v>995</v>
      </c>
      <c r="C373" s="168" t="s">
        <v>298</v>
      </c>
      <c r="D373" s="127">
        <v>43009.000011574077</v>
      </c>
      <c r="E373" s="95">
        <v>1</v>
      </c>
      <c r="F373">
        <v>2</v>
      </c>
    </row>
    <row r="374" spans="1:6">
      <c r="A374" s="95">
        <v>373</v>
      </c>
      <c r="B374" s="168" t="s">
        <v>996</v>
      </c>
      <c r="C374" s="168" t="s">
        <v>298</v>
      </c>
      <c r="D374" s="127">
        <v>43009.000011574077</v>
      </c>
      <c r="E374" s="95">
        <v>1</v>
      </c>
      <c r="F374">
        <v>2</v>
      </c>
    </row>
    <row r="375" spans="1:6">
      <c r="A375" s="95">
        <v>374</v>
      </c>
      <c r="B375" s="168" t="s">
        <v>998</v>
      </c>
      <c r="C375" s="168" t="s">
        <v>298</v>
      </c>
      <c r="D375" s="127">
        <v>43009.000011574077</v>
      </c>
      <c r="E375" s="95">
        <v>1</v>
      </c>
      <c r="F375">
        <v>2</v>
      </c>
    </row>
    <row r="376" spans="1:6">
      <c r="A376" s="95">
        <v>375</v>
      </c>
      <c r="B376" s="168" t="s">
        <v>999</v>
      </c>
      <c r="C376" s="168" t="s">
        <v>298</v>
      </c>
      <c r="D376" s="127">
        <v>43009.000011574077</v>
      </c>
      <c r="E376" s="95">
        <v>1</v>
      </c>
      <c r="F376">
        <v>2</v>
      </c>
    </row>
    <row r="377" spans="1:6">
      <c r="A377" s="95">
        <v>376</v>
      </c>
      <c r="B377" s="168" t="s">
        <v>1000</v>
      </c>
      <c r="C377" s="168" t="s">
        <v>298</v>
      </c>
      <c r="D377" s="127">
        <v>43009.000011574077</v>
      </c>
      <c r="E377" s="95">
        <v>1</v>
      </c>
      <c r="F377">
        <v>2</v>
      </c>
    </row>
    <row r="378" spans="1:6">
      <c r="A378" s="95">
        <v>377</v>
      </c>
      <c r="B378" s="168" t="s">
        <v>1001</v>
      </c>
      <c r="C378" s="168" t="s">
        <v>298</v>
      </c>
      <c r="D378" s="127">
        <v>43009.000011574077</v>
      </c>
      <c r="E378" s="95">
        <v>1</v>
      </c>
      <c r="F378">
        <v>2</v>
      </c>
    </row>
    <row r="379" spans="1:6">
      <c r="A379" s="95">
        <v>378</v>
      </c>
      <c r="B379" s="168" t="s">
        <v>1002</v>
      </c>
      <c r="C379" s="168" t="s">
        <v>298</v>
      </c>
      <c r="D379" s="127">
        <v>43009.000011574077</v>
      </c>
      <c r="E379" s="95">
        <v>1</v>
      </c>
      <c r="F379">
        <v>2</v>
      </c>
    </row>
    <row r="380" spans="1:6">
      <c r="A380" s="95">
        <v>379</v>
      </c>
      <c r="B380" s="168" t="s">
        <v>1004</v>
      </c>
      <c r="C380" s="168" t="s">
        <v>298</v>
      </c>
      <c r="D380" s="127">
        <v>43009.000011574077</v>
      </c>
      <c r="E380" s="95">
        <v>1</v>
      </c>
      <c r="F380">
        <v>2</v>
      </c>
    </row>
    <row r="381" spans="1:6">
      <c r="A381" s="95">
        <v>380</v>
      </c>
      <c r="B381" s="168" t="s">
        <v>1007</v>
      </c>
      <c r="C381" s="168" t="s">
        <v>298</v>
      </c>
      <c r="D381" s="127">
        <v>43009.000011574077</v>
      </c>
      <c r="E381" s="95">
        <v>1</v>
      </c>
      <c r="F381">
        <v>2</v>
      </c>
    </row>
    <row r="382" spans="1:6">
      <c r="A382" s="95">
        <v>381</v>
      </c>
      <c r="B382" s="168" t="s">
        <v>1008</v>
      </c>
      <c r="C382" s="168" t="s">
        <v>298</v>
      </c>
      <c r="D382" s="127">
        <v>43009.000011574077</v>
      </c>
      <c r="E382" s="95">
        <v>1</v>
      </c>
      <c r="F382">
        <v>2</v>
      </c>
    </row>
    <row r="383" spans="1:6">
      <c r="A383" s="95">
        <v>382</v>
      </c>
      <c r="B383" s="168" t="s">
        <v>1186</v>
      </c>
      <c r="C383" s="168" t="s">
        <v>298</v>
      </c>
      <c r="D383" s="127">
        <v>43009.000011574077</v>
      </c>
      <c r="E383" s="95">
        <v>1</v>
      </c>
      <c r="F383">
        <v>2</v>
      </c>
    </row>
    <row r="384" spans="1:6">
      <c r="A384" s="95">
        <v>383</v>
      </c>
      <c r="B384" s="168" t="s">
        <v>1009</v>
      </c>
      <c r="C384" s="168" t="s">
        <v>298</v>
      </c>
      <c r="D384" s="127">
        <v>43009.000011574077</v>
      </c>
      <c r="E384" s="95">
        <v>1</v>
      </c>
      <c r="F384">
        <v>2</v>
      </c>
    </row>
    <row r="385" spans="1:6">
      <c r="A385" s="95">
        <v>384</v>
      </c>
      <c r="B385" s="168" t="s">
        <v>1014</v>
      </c>
      <c r="C385" s="168" t="s">
        <v>298</v>
      </c>
      <c r="D385" s="127">
        <v>43009.000011574077</v>
      </c>
      <c r="E385" s="95">
        <v>1</v>
      </c>
      <c r="F385">
        <v>2</v>
      </c>
    </row>
    <row r="386" spans="1:6">
      <c r="A386" s="95">
        <v>385</v>
      </c>
      <c r="B386" s="168" t="s">
        <v>1015</v>
      </c>
      <c r="C386" s="168" t="s">
        <v>298</v>
      </c>
      <c r="D386" s="127">
        <v>43009.000011574077</v>
      </c>
      <c r="E386" s="95">
        <v>1</v>
      </c>
      <c r="F386">
        <v>2</v>
      </c>
    </row>
    <row r="387" spans="1:6">
      <c r="A387" s="95">
        <v>386</v>
      </c>
      <c r="B387" s="168" t="s">
        <v>1016</v>
      </c>
      <c r="C387" s="168" t="s">
        <v>298</v>
      </c>
      <c r="D387" s="127">
        <v>43009.000011574077</v>
      </c>
      <c r="E387" s="95">
        <v>1</v>
      </c>
      <c r="F387">
        <v>2</v>
      </c>
    </row>
    <row r="388" spans="1:6">
      <c r="A388" s="95">
        <v>387</v>
      </c>
      <c r="B388" s="168" t="s">
        <v>1017</v>
      </c>
      <c r="C388" s="168" t="s">
        <v>1187</v>
      </c>
      <c r="D388" s="127">
        <v>43009.000011574077</v>
      </c>
      <c r="E388" s="95">
        <v>1</v>
      </c>
      <c r="F388">
        <v>2</v>
      </c>
    </row>
    <row r="389" spans="1:6">
      <c r="A389" s="95">
        <v>388</v>
      </c>
      <c r="B389" s="168" t="s">
        <v>1018</v>
      </c>
      <c r="C389" s="168" t="s">
        <v>1019</v>
      </c>
      <c r="D389" s="127">
        <v>43009.000011574077</v>
      </c>
      <c r="E389" s="95">
        <v>1</v>
      </c>
      <c r="F389">
        <v>2</v>
      </c>
    </row>
    <row r="390" spans="1:6">
      <c r="A390" s="95">
        <v>389</v>
      </c>
      <c r="B390" s="168" t="s">
        <v>1188</v>
      </c>
      <c r="C390" s="168" t="s">
        <v>1047</v>
      </c>
      <c r="D390" s="127">
        <v>43009.000011574077</v>
      </c>
      <c r="E390" s="95">
        <v>1</v>
      </c>
      <c r="F390">
        <v>2</v>
      </c>
    </row>
    <row r="391" spans="1:6">
      <c r="A391" s="95">
        <v>390</v>
      </c>
      <c r="B391" s="168" t="s">
        <v>1020</v>
      </c>
      <c r="C391" s="168" t="s">
        <v>1047</v>
      </c>
      <c r="D391" s="127">
        <v>43009.000011574077</v>
      </c>
      <c r="E391" s="95">
        <v>1</v>
      </c>
      <c r="F391">
        <v>2</v>
      </c>
    </row>
    <row r="392" spans="1:6">
      <c r="A392" s="95">
        <v>391</v>
      </c>
      <c r="B392" s="168" t="s">
        <v>1189</v>
      </c>
      <c r="C392" s="168" t="s">
        <v>1021</v>
      </c>
      <c r="D392" s="127">
        <v>43009.000011574077</v>
      </c>
      <c r="E392" s="95">
        <v>1</v>
      </c>
      <c r="F392">
        <v>2</v>
      </c>
    </row>
    <row r="393" spans="1:6">
      <c r="A393" s="95">
        <v>392</v>
      </c>
      <c r="B393" s="168" t="s">
        <v>1022</v>
      </c>
      <c r="C393" s="168" t="s">
        <v>1021</v>
      </c>
      <c r="D393" s="127">
        <v>43009.000011574077</v>
      </c>
      <c r="E393" s="95">
        <v>1</v>
      </c>
      <c r="F393">
        <v>2</v>
      </c>
    </row>
    <row r="394" spans="1:6">
      <c r="A394" s="95">
        <v>393</v>
      </c>
      <c r="B394" s="168" t="s">
        <v>1023</v>
      </c>
      <c r="C394" s="168" t="s">
        <v>1024</v>
      </c>
      <c r="D394" s="127">
        <v>43009.000011574077</v>
      </c>
      <c r="E394" s="95">
        <v>1</v>
      </c>
      <c r="F394">
        <v>2</v>
      </c>
    </row>
    <row r="395" spans="1:6">
      <c r="A395" s="95">
        <v>394</v>
      </c>
      <c r="B395" s="168" t="s">
        <v>1025</v>
      </c>
      <c r="C395" s="168" t="s">
        <v>1047</v>
      </c>
      <c r="D395" s="127">
        <v>43009.000011574077</v>
      </c>
      <c r="E395" s="95">
        <v>1</v>
      </c>
      <c r="F395">
        <v>2</v>
      </c>
    </row>
    <row r="396" spans="1:6">
      <c r="A396" s="95">
        <v>395</v>
      </c>
      <c r="B396" s="168" t="s">
        <v>1190</v>
      </c>
      <c r="C396" s="168" t="s">
        <v>1026</v>
      </c>
      <c r="D396" s="127">
        <v>43009.000011574077</v>
      </c>
      <c r="E396" s="95">
        <v>1</v>
      </c>
      <c r="F396">
        <v>2</v>
      </c>
    </row>
    <row r="397" spans="1:6">
      <c r="A397" s="95">
        <v>396</v>
      </c>
      <c r="B397" s="168" t="s">
        <v>1191</v>
      </c>
      <c r="C397" s="168" t="s">
        <v>1027</v>
      </c>
      <c r="D397" s="127">
        <v>43009.000011574077</v>
      </c>
      <c r="E397" s="95">
        <v>1</v>
      </c>
      <c r="F397">
        <v>2</v>
      </c>
    </row>
    <row r="398" spans="1:6">
      <c r="A398" s="95">
        <v>397</v>
      </c>
      <c r="B398" s="168" t="s">
        <v>1192</v>
      </c>
      <c r="C398" s="168" t="s">
        <v>1047</v>
      </c>
      <c r="D398" s="127">
        <v>43009.000011574077</v>
      </c>
      <c r="E398" s="95">
        <v>1</v>
      </c>
      <c r="F398">
        <v>2</v>
      </c>
    </row>
    <row r="399" spans="1:6">
      <c r="A399" s="95">
        <v>398</v>
      </c>
      <c r="B399" s="168" t="s">
        <v>1029</v>
      </c>
      <c r="C399" s="168" t="s">
        <v>1030</v>
      </c>
      <c r="D399" s="127">
        <v>43009.000011574077</v>
      </c>
      <c r="E399" s="95">
        <v>1</v>
      </c>
      <c r="F399">
        <v>2</v>
      </c>
    </row>
    <row r="400" spans="1:6">
      <c r="A400" s="95">
        <v>399</v>
      </c>
      <c r="B400" s="168" t="s">
        <v>1193</v>
      </c>
      <c r="C400" s="168" t="s">
        <v>1031</v>
      </c>
      <c r="D400" s="127">
        <v>43009.000011574077</v>
      </c>
      <c r="E400" s="95">
        <v>1</v>
      </c>
      <c r="F400">
        <v>2</v>
      </c>
    </row>
    <row r="401" spans="1:6">
      <c r="A401" s="95">
        <v>400</v>
      </c>
      <c r="B401" s="168" t="s">
        <v>755</v>
      </c>
      <c r="C401" s="168" t="s">
        <v>1032</v>
      </c>
      <c r="D401" s="127">
        <v>43009.000011574077</v>
      </c>
      <c r="E401" s="95">
        <v>1</v>
      </c>
      <c r="F401">
        <v>2</v>
      </c>
    </row>
    <row r="402" spans="1:6">
      <c r="A402" s="95">
        <v>401</v>
      </c>
      <c r="B402" s="168" t="s">
        <v>1033</v>
      </c>
      <c r="C402" s="168" t="s">
        <v>1034</v>
      </c>
      <c r="D402" s="127">
        <v>43009.000011574077</v>
      </c>
      <c r="E402" s="95">
        <v>1</v>
      </c>
      <c r="F402">
        <v>2</v>
      </c>
    </row>
    <row r="403" spans="1:6">
      <c r="A403" s="95">
        <v>402</v>
      </c>
      <c r="B403" s="168" t="s">
        <v>1194</v>
      </c>
      <c r="C403" s="168" t="s">
        <v>1036</v>
      </c>
      <c r="D403" s="127">
        <v>43009.000011574077</v>
      </c>
      <c r="E403" s="95">
        <v>1</v>
      </c>
      <c r="F403">
        <v>2</v>
      </c>
    </row>
    <row r="404" spans="1:6">
      <c r="A404" s="95">
        <v>403</v>
      </c>
      <c r="B404" s="168" t="s">
        <v>1037</v>
      </c>
      <c r="C404" s="168" t="s">
        <v>1038</v>
      </c>
      <c r="D404" s="127">
        <v>43009.000011574077</v>
      </c>
      <c r="E404" s="95">
        <v>1</v>
      </c>
      <c r="F404">
        <v>2</v>
      </c>
    </row>
    <row r="405" spans="1:6">
      <c r="A405" s="95">
        <v>404</v>
      </c>
      <c r="B405" s="168" t="s">
        <v>1039</v>
      </c>
      <c r="C405" s="168" t="s">
        <v>1040</v>
      </c>
      <c r="D405" s="127">
        <v>43009.000011574077</v>
      </c>
      <c r="E405" s="95">
        <v>1</v>
      </c>
      <c r="F405">
        <v>2</v>
      </c>
    </row>
    <row r="406" spans="1:6">
      <c r="A406" s="95">
        <v>405</v>
      </c>
      <c r="B406" s="168" t="s">
        <v>1041</v>
      </c>
      <c r="C406" s="168" t="s">
        <v>1042</v>
      </c>
      <c r="D406" s="127">
        <v>43009.000011574077</v>
      </c>
      <c r="E406" s="95">
        <v>1</v>
      </c>
      <c r="F406">
        <v>2</v>
      </c>
    </row>
    <row r="407" spans="1:6">
      <c r="A407" s="95">
        <v>406</v>
      </c>
      <c r="B407" s="168" t="s">
        <v>1043</v>
      </c>
      <c r="C407" s="168" t="s">
        <v>1195</v>
      </c>
      <c r="D407" s="127">
        <v>43009.000011574077</v>
      </c>
      <c r="E407" s="95">
        <v>1</v>
      </c>
      <c r="F407">
        <v>2</v>
      </c>
    </row>
    <row r="408" spans="1:6">
      <c r="A408" s="95">
        <v>407</v>
      </c>
      <c r="B408" s="168" t="s">
        <v>1196</v>
      </c>
      <c r="C408" s="168" t="s">
        <v>1044</v>
      </c>
      <c r="D408" s="127">
        <v>43009.000011574077</v>
      </c>
      <c r="E408" s="95">
        <v>1</v>
      </c>
      <c r="F408">
        <v>2</v>
      </c>
    </row>
    <row r="409" spans="1:6">
      <c r="A409" s="95">
        <v>408</v>
      </c>
      <c r="B409" s="168" t="s">
        <v>1045</v>
      </c>
      <c r="C409" s="168" t="s">
        <v>1197</v>
      </c>
      <c r="D409" s="127">
        <v>43009.000011574077</v>
      </c>
      <c r="E409" s="95">
        <v>1</v>
      </c>
      <c r="F409">
        <v>2</v>
      </c>
    </row>
    <row r="410" spans="1:6">
      <c r="A410" s="95">
        <v>409</v>
      </c>
      <c r="B410" s="168" t="s">
        <v>1046</v>
      </c>
      <c r="C410" s="168" t="s">
        <v>1047</v>
      </c>
      <c r="D410" s="127">
        <v>43009.000011574077</v>
      </c>
      <c r="E410" s="95">
        <v>1</v>
      </c>
      <c r="F410">
        <v>2</v>
      </c>
    </row>
    <row r="411" spans="1:6">
      <c r="A411" s="95">
        <v>410</v>
      </c>
      <c r="B411" s="168" t="s">
        <v>1049</v>
      </c>
      <c r="C411" s="168" t="s">
        <v>1198</v>
      </c>
      <c r="D411" s="127">
        <v>43009.000011574077</v>
      </c>
      <c r="E411" s="95">
        <v>1</v>
      </c>
      <c r="F411">
        <v>2</v>
      </c>
    </row>
    <row r="412" spans="1:6">
      <c r="A412" s="95">
        <v>411</v>
      </c>
      <c r="B412" s="168" t="s">
        <v>1050</v>
      </c>
      <c r="C412" s="168" t="s">
        <v>1198</v>
      </c>
      <c r="D412" s="127">
        <v>43009.000011574077</v>
      </c>
      <c r="E412" s="95">
        <v>1</v>
      </c>
      <c r="F412">
        <v>2</v>
      </c>
    </row>
    <row r="413" spans="1:6">
      <c r="A413" s="95">
        <v>412</v>
      </c>
      <c r="B413" s="168" t="s">
        <v>1051</v>
      </c>
      <c r="C413" s="168" t="s">
        <v>1198</v>
      </c>
      <c r="D413" s="127">
        <v>43009.000011574077</v>
      </c>
      <c r="E413" s="95">
        <v>1</v>
      </c>
      <c r="F413">
        <v>2</v>
      </c>
    </row>
    <row r="414" spans="1:6">
      <c r="A414" s="95">
        <v>413</v>
      </c>
      <c r="B414" s="168" t="s">
        <v>1052</v>
      </c>
      <c r="C414" s="168" t="s">
        <v>1198</v>
      </c>
      <c r="D414" s="127">
        <v>43009.000011574077</v>
      </c>
      <c r="E414" s="95">
        <v>1</v>
      </c>
      <c r="F414">
        <v>2</v>
      </c>
    </row>
    <row r="415" spans="1:6">
      <c r="A415" s="95">
        <v>414</v>
      </c>
      <c r="B415" s="168" t="s">
        <v>1053</v>
      </c>
      <c r="C415" s="168" t="s">
        <v>1199</v>
      </c>
      <c r="D415" s="127">
        <v>43009.000011574077</v>
      </c>
      <c r="E415" s="95">
        <v>1</v>
      </c>
      <c r="F415">
        <v>2</v>
      </c>
    </row>
    <row r="416" spans="1:6">
      <c r="A416" s="95">
        <v>415</v>
      </c>
      <c r="B416" s="168" t="s">
        <v>1054</v>
      </c>
      <c r="C416" s="168" t="s">
        <v>1200</v>
      </c>
      <c r="D416" s="127">
        <v>43009.000011574077</v>
      </c>
      <c r="E416" s="95">
        <v>1</v>
      </c>
      <c r="F416">
        <v>2</v>
      </c>
    </row>
    <row r="417" spans="1:6">
      <c r="A417" s="95">
        <v>416</v>
      </c>
      <c r="B417" s="168" t="s">
        <v>1055</v>
      </c>
      <c r="C417" s="168" t="s">
        <v>1201</v>
      </c>
      <c r="D417" s="127">
        <v>43009.000011574077</v>
      </c>
      <c r="E417" s="95">
        <v>1</v>
      </c>
      <c r="F417">
        <v>2</v>
      </c>
    </row>
    <row r="418" spans="1:6">
      <c r="A418" s="95">
        <v>417</v>
      </c>
      <c r="B418" s="168" t="s">
        <v>1202</v>
      </c>
      <c r="C418" s="168" t="s">
        <v>1203</v>
      </c>
      <c r="D418" s="127">
        <v>43009.000011574077</v>
      </c>
      <c r="E418" s="95">
        <v>1</v>
      </c>
      <c r="F418">
        <v>2</v>
      </c>
    </row>
    <row r="419" spans="1:6">
      <c r="A419" s="95">
        <v>418</v>
      </c>
      <c r="B419" s="168" t="s">
        <v>1204</v>
      </c>
      <c r="C419" s="168" t="s">
        <v>1056</v>
      </c>
      <c r="D419" s="127">
        <v>43009.000011574077</v>
      </c>
      <c r="E419" s="95">
        <v>1</v>
      </c>
      <c r="F419">
        <v>2</v>
      </c>
    </row>
    <row r="420" spans="1:6">
      <c r="A420" s="95">
        <v>419</v>
      </c>
      <c r="B420" s="168" t="s">
        <v>1205</v>
      </c>
      <c r="C420" s="168" t="s">
        <v>1057</v>
      </c>
      <c r="D420" s="127">
        <v>43009.000011574077</v>
      </c>
      <c r="E420" s="95">
        <v>1</v>
      </c>
      <c r="F420">
        <v>2</v>
      </c>
    </row>
    <row r="421" spans="1:6">
      <c r="A421" s="95">
        <v>420</v>
      </c>
      <c r="B421" s="168" t="s">
        <v>1206</v>
      </c>
      <c r="C421" s="168" t="s">
        <v>1057</v>
      </c>
      <c r="D421" s="127">
        <v>43009.000011574077</v>
      </c>
      <c r="E421" s="95">
        <v>1</v>
      </c>
      <c r="F421">
        <v>2</v>
      </c>
    </row>
    <row r="422" spans="1:6">
      <c r="A422" s="95">
        <v>421</v>
      </c>
      <c r="B422" s="168" t="s">
        <v>1207</v>
      </c>
      <c r="C422" s="168" t="s">
        <v>1152</v>
      </c>
      <c r="D422" s="127">
        <v>43009.000011574077</v>
      </c>
      <c r="E422" s="95">
        <v>1</v>
      </c>
      <c r="F422">
        <v>2</v>
      </c>
    </row>
    <row r="423" spans="1:6">
      <c r="A423" s="95">
        <v>422</v>
      </c>
      <c r="B423" s="168" t="s">
        <v>1058</v>
      </c>
      <c r="C423" s="168" t="s">
        <v>1152</v>
      </c>
      <c r="D423" s="127">
        <v>43009.000011574077</v>
      </c>
      <c r="E423" s="95">
        <v>1</v>
      </c>
      <c r="F423">
        <v>2</v>
      </c>
    </row>
    <row r="424" spans="1:6">
      <c r="A424" s="95">
        <v>423</v>
      </c>
      <c r="B424" s="168" t="s">
        <v>1059</v>
      </c>
      <c r="C424" s="168" t="s">
        <v>1152</v>
      </c>
      <c r="D424" s="127">
        <v>43009.000011574077</v>
      </c>
      <c r="E424" s="95">
        <v>1</v>
      </c>
      <c r="F424">
        <v>2</v>
      </c>
    </row>
    <row r="425" spans="1:6">
      <c r="A425" s="95">
        <v>424</v>
      </c>
      <c r="B425" s="168" t="s">
        <v>797</v>
      </c>
      <c r="C425" s="168" t="s">
        <v>1208</v>
      </c>
      <c r="D425" s="127">
        <v>43009.000011574077</v>
      </c>
      <c r="E425" s="95">
        <v>1</v>
      </c>
      <c r="F425">
        <v>2</v>
      </c>
    </row>
    <row r="426" spans="1:6">
      <c r="A426" s="95">
        <v>425</v>
      </c>
      <c r="B426" s="168" t="s">
        <v>1209</v>
      </c>
      <c r="C426" s="168" t="s">
        <v>1152</v>
      </c>
      <c r="D426" s="127">
        <v>43009.000011574077</v>
      </c>
      <c r="E426" s="95">
        <v>1</v>
      </c>
      <c r="F426">
        <v>2</v>
      </c>
    </row>
    <row r="427" spans="1:6">
      <c r="A427" s="95">
        <v>426</v>
      </c>
      <c r="B427" s="168" t="s">
        <v>1060</v>
      </c>
      <c r="C427" s="168" t="s">
        <v>1061</v>
      </c>
      <c r="D427" s="127">
        <v>43009.000011574077</v>
      </c>
      <c r="E427" s="95">
        <v>1</v>
      </c>
      <c r="F427">
        <v>2</v>
      </c>
    </row>
    <row r="428" spans="1:6">
      <c r="A428" s="95">
        <v>427</v>
      </c>
      <c r="B428" s="168" t="s">
        <v>1062</v>
      </c>
      <c r="C428" s="168" t="s">
        <v>1152</v>
      </c>
      <c r="D428" s="127">
        <v>43009.000011574077</v>
      </c>
      <c r="E428" s="95">
        <v>1</v>
      </c>
      <c r="F428">
        <v>2</v>
      </c>
    </row>
    <row r="429" spans="1:6">
      <c r="A429" s="95">
        <v>428</v>
      </c>
      <c r="B429" s="168" t="s">
        <v>1210</v>
      </c>
      <c r="C429" s="168" t="s">
        <v>1152</v>
      </c>
      <c r="D429" s="127">
        <v>43009.000011574077</v>
      </c>
      <c r="E429" s="95">
        <v>1</v>
      </c>
      <c r="F429">
        <v>2</v>
      </c>
    </row>
    <row r="430" spans="1:6">
      <c r="A430" s="95">
        <v>429</v>
      </c>
      <c r="B430" s="168" t="s">
        <v>1004</v>
      </c>
      <c r="C430" s="168" t="s">
        <v>1152</v>
      </c>
      <c r="D430" s="127">
        <v>43009.000011574077</v>
      </c>
      <c r="E430" s="95">
        <v>1</v>
      </c>
      <c r="F430">
        <v>2</v>
      </c>
    </row>
    <row r="431" spans="1:6">
      <c r="A431" s="95">
        <v>430</v>
      </c>
      <c r="B431" s="168" t="s">
        <v>1071</v>
      </c>
      <c r="C431" s="168" t="s">
        <v>1152</v>
      </c>
      <c r="D431" s="127">
        <v>43009.000011574077</v>
      </c>
      <c r="E431" s="95">
        <v>1</v>
      </c>
      <c r="F431">
        <v>2</v>
      </c>
    </row>
    <row r="432" spans="1:6">
      <c r="A432" s="95">
        <v>431</v>
      </c>
      <c r="B432" s="168" t="s">
        <v>1072</v>
      </c>
      <c r="C432" s="168" t="s">
        <v>1152</v>
      </c>
      <c r="D432" s="127">
        <v>43009.000011574077</v>
      </c>
      <c r="E432" s="95">
        <v>1</v>
      </c>
      <c r="F432">
        <v>2</v>
      </c>
    </row>
    <row r="433" spans="1:6">
      <c r="A433" s="95">
        <v>432</v>
      </c>
      <c r="B433" s="168" t="s">
        <v>1075</v>
      </c>
      <c r="C433" s="168" t="s">
        <v>1152</v>
      </c>
      <c r="D433" s="127">
        <v>43009.000011574077</v>
      </c>
      <c r="E433" s="95">
        <v>1</v>
      </c>
      <c r="F433">
        <v>2</v>
      </c>
    </row>
    <row r="434" spans="1:6">
      <c r="A434" s="95">
        <v>433</v>
      </c>
      <c r="B434" s="168" t="s">
        <v>1076</v>
      </c>
      <c r="C434" s="168" t="s">
        <v>1152</v>
      </c>
      <c r="D434" s="127">
        <v>43009.000011574077</v>
      </c>
      <c r="E434" s="95">
        <v>1</v>
      </c>
      <c r="F434">
        <v>2</v>
      </c>
    </row>
    <row r="435" spans="1:6">
      <c r="A435" s="95">
        <v>434</v>
      </c>
      <c r="B435" s="168" t="s">
        <v>1082</v>
      </c>
      <c r="C435" s="168" t="s">
        <v>298</v>
      </c>
      <c r="D435" s="127">
        <v>43009.000011574077</v>
      </c>
      <c r="E435" s="95">
        <v>1</v>
      </c>
      <c r="F435">
        <v>2</v>
      </c>
    </row>
    <row r="436" spans="1:6">
      <c r="A436" s="95">
        <v>435</v>
      </c>
      <c r="B436" s="168" t="s">
        <v>1211</v>
      </c>
      <c r="C436" s="168" t="s">
        <v>298</v>
      </c>
      <c r="D436" s="127">
        <v>43009.000011574077</v>
      </c>
      <c r="E436" s="95">
        <v>1</v>
      </c>
      <c r="F436">
        <v>2</v>
      </c>
    </row>
    <row r="437" spans="1:6">
      <c r="A437" s="95">
        <v>436</v>
      </c>
      <c r="B437" s="168" t="s">
        <v>1065</v>
      </c>
      <c r="C437" s="168" t="s">
        <v>1066</v>
      </c>
      <c r="D437" s="127">
        <v>43009.000011574077</v>
      </c>
      <c r="E437" s="95">
        <v>1</v>
      </c>
      <c r="F437">
        <v>2</v>
      </c>
    </row>
    <row r="438" spans="1:6">
      <c r="A438" s="95">
        <v>437</v>
      </c>
      <c r="B438" s="168" t="s">
        <v>989</v>
      </c>
      <c r="C438" s="168" t="s">
        <v>298</v>
      </c>
      <c r="D438" s="127">
        <v>43009.000011574077</v>
      </c>
      <c r="E438" s="95">
        <v>1</v>
      </c>
      <c r="F438">
        <v>2</v>
      </c>
    </row>
    <row r="439" spans="1:6">
      <c r="A439" s="95">
        <v>438</v>
      </c>
      <c r="B439" s="168" t="s">
        <v>1119</v>
      </c>
      <c r="C439" s="168" t="s">
        <v>298</v>
      </c>
      <c r="D439" s="127">
        <v>42826.000011574077</v>
      </c>
      <c r="E439" s="95">
        <v>1</v>
      </c>
      <c r="F439">
        <v>1</v>
      </c>
    </row>
    <row r="440" spans="1:6">
      <c r="A440" s="95">
        <v>439</v>
      </c>
      <c r="B440" s="168" t="s">
        <v>1346</v>
      </c>
      <c r="C440" s="168" t="s">
        <v>605</v>
      </c>
      <c r="D440" s="127">
        <v>43009.000011574077</v>
      </c>
      <c r="E440" s="95">
        <v>1</v>
      </c>
      <c r="F440">
        <v>2</v>
      </c>
    </row>
    <row r="441" spans="1:6">
      <c r="A441" s="95">
        <v>440</v>
      </c>
      <c r="B441" s="168" t="s">
        <v>598</v>
      </c>
      <c r="C441" s="168" t="s">
        <v>599</v>
      </c>
      <c r="D441" s="127">
        <v>43009.000011574077</v>
      </c>
      <c r="E441" s="95">
        <v>1</v>
      </c>
      <c r="F441">
        <v>2</v>
      </c>
    </row>
    <row r="442" spans="1:6">
      <c r="A442" s="95">
        <v>441</v>
      </c>
      <c r="B442" s="168" t="s">
        <v>921</v>
      </c>
      <c r="C442" s="168" t="s">
        <v>298</v>
      </c>
      <c r="D442" s="127">
        <v>43009.000011574077</v>
      </c>
      <c r="E442" s="95">
        <v>1</v>
      </c>
      <c r="F442">
        <v>2</v>
      </c>
    </row>
    <row r="443" spans="1:6">
      <c r="A443" s="95">
        <v>442</v>
      </c>
      <c r="B443" s="168" t="s">
        <v>1069</v>
      </c>
      <c r="C443" s="168" t="s">
        <v>1152</v>
      </c>
      <c r="D443" s="127">
        <v>43009.000011574077</v>
      </c>
      <c r="E443" s="95">
        <v>1</v>
      </c>
      <c r="F443">
        <v>2</v>
      </c>
    </row>
    <row r="444" spans="1:6">
      <c r="A444" s="95">
        <v>443</v>
      </c>
      <c r="B444" s="168" t="s">
        <v>840</v>
      </c>
      <c r="C444" s="168" t="s">
        <v>841</v>
      </c>
      <c r="D444" s="127">
        <v>43009.000011574077</v>
      </c>
      <c r="E444" s="95">
        <v>1</v>
      </c>
      <c r="F444">
        <v>2</v>
      </c>
    </row>
    <row r="445" spans="1:6">
      <c r="A445" s="95">
        <v>444</v>
      </c>
      <c r="B445" s="168" t="s">
        <v>844</v>
      </c>
      <c r="C445" s="168" t="s">
        <v>841</v>
      </c>
      <c r="D445" s="127">
        <v>43009.000011574077</v>
      </c>
      <c r="E445" s="95">
        <v>1</v>
      </c>
      <c r="F445">
        <v>2</v>
      </c>
    </row>
    <row r="446" spans="1:6">
      <c r="A446" s="95">
        <v>445</v>
      </c>
      <c r="B446" s="168" t="s">
        <v>912</v>
      </c>
      <c r="C446" s="168"/>
      <c r="D446" s="127">
        <v>43009.000011574077</v>
      </c>
      <c r="E446" s="95">
        <v>1</v>
      </c>
      <c r="F446">
        <v>2</v>
      </c>
    </row>
    <row r="447" spans="1:6">
      <c r="A447" s="95">
        <v>446</v>
      </c>
      <c r="B447" s="168" t="s">
        <v>915</v>
      </c>
      <c r="C447" s="168" t="s">
        <v>298</v>
      </c>
      <c r="D447" s="127">
        <v>43009.000011574077</v>
      </c>
      <c r="E447" s="95">
        <v>1</v>
      </c>
      <c r="F447">
        <v>2</v>
      </c>
    </row>
    <row r="448" spans="1:6">
      <c r="A448" s="95">
        <v>447</v>
      </c>
      <c r="B448" s="168" t="s">
        <v>923</v>
      </c>
      <c r="C448" s="168" t="s">
        <v>298</v>
      </c>
      <c r="D448" s="127">
        <v>43009.000011574077</v>
      </c>
      <c r="E448" s="95">
        <v>1</v>
      </c>
      <c r="F448">
        <v>2</v>
      </c>
    </row>
    <row r="449" spans="1:6">
      <c r="A449" s="95">
        <v>448</v>
      </c>
      <c r="B449" s="168" t="s">
        <v>655</v>
      </c>
      <c r="C449" s="168" t="s">
        <v>656</v>
      </c>
      <c r="D449" s="127">
        <v>43009.000011574077</v>
      </c>
      <c r="E449" s="95">
        <v>1</v>
      </c>
      <c r="F449">
        <v>2</v>
      </c>
    </row>
    <row r="450" spans="1:6">
      <c r="A450" s="95">
        <v>449</v>
      </c>
      <c r="B450" s="168" t="s">
        <v>870</v>
      </c>
      <c r="C450" s="168" t="s">
        <v>298</v>
      </c>
      <c r="D450" s="127">
        <v>43009.000011574077</v>
      </c>
      <c r="E450" s="95">
        <v>1</v>
      </c>
      <c r="F450">
        <v>2</v>
      </c>
    </row>
    <row r="451" spans="1:6">
      <c r="A451" s="95">
        <v>450</v>
      </c>
      <c r="B451" s="168" t="s">
        <v>997</v>
      </c>
      <c r="C451" s="168" t="s">
        <v>298</v>
      </c>
      <c r="D451" s="127">
        <v>43009.000011574077</v>
      </c>
      <c r="E451" s="95">
        <v>1</v>
      </c>
      <c r="F451">
        <v>2</v>
      </c>
    </row>
    <row r="452" spans="1:6">
      <c r="A452" s="95">
        <v>451</v>
      </c>
      <c r="B452" s="168" t="s">
        <v>1357</v>
      </c>
      <c r="C452" s="168" t="s">
        <v>1358</v>
      </c>
      <c r="D452" s="127">
        <v>43009.000011574077</v>
      </c>
      <c r="E452" s="95">
        <v>1</v>
      </c>
      <c r="F452">
        <v>2</v>
      </c>
    </row>
    <row r="453" spans="1:6">
      <c r="A453" s="95">
        <v>452</v>
      </c>
      <c r="B453" s="168" t="s">
        <v>858</v>
      </c>
      <c r="C453" s="168" t="s">
        <v>298</v>
      </c>
      <c r="D453" s="127">
        <v>43009.000011574077</v>
      </c>
      <c r="E453" s="95">
        <v>1</v>
      </c>
      <c r="F453">
        <v>2</v>
      </c>
    </row>
    <row r="454" spans="1:6">
      <c r="A454" s="95">
        <v>453</v>
      </c>
      <c r="B454" s="168" t="s">
        <v>629</v>
      </c>
      <c r="C454" s="168" t="s">
        <v>630</v>
      </c>
      <c r="D454" s="127">
        <v>43009.000011574077</v>
      </c>
      <c r="E454" s="95">
        <v>1</v>
      </c>
      <c r="F454">
        <v>2</v>
      </c>
    </row>
    <row r="455" spans="1:6">
      <c r="A455" s="95">
        <v>454</v>
      </c>
      <c r="B455" s="168" t="s">
        <v>1028</v>
      </c>
      <c r="C455" s="168" t="s">
        <v>752</v>
      </c>
      <c r="D455" s="127">
        <v>43009.000011574077</v>
      </c>
      <c r="E455" s="95">
        <v>1</v>
      </c>
      <c r="F455">
        <v>2</v>
      </c>
    </row>
    <row r="456" spans="1:6">
      <c r="A456" s="95">
        <v>455</v>
      </c>
      <c r="B456" s="168" t="s">
        <v>767</v>
      </c>
      <c r="C456" s="168" t="s">
        <v>768</v>
      </c>
      <c r="D456" s="127">
        <v>43009.000011574077</v>
      </c>
      <c r="E456" s="95">
        <v>1</v>
      </c>
      <c r="F456">
        <v>2</v>
      </c>
    </row>
    <row r="457" spans="1:6">
      <c r="A457" s="95">
        <v>456</v>
      </c>
      <c r="B457" s="168" t="s">
        <v>890</v>
      </c>
      <c r="C457" s="168" t="s">
        <v>298</v>
      </c>
      <c r="D457" s="127">
        <v>43009.000011574077</v>
      </c>
      <c r="E457" s="95">
        <v>1</v>
      </c>
      <c r="F457">
        <v>2</v>
      </c>
    </row>
    <row r="458" spans="1:6">
      <c r="A458" s="95">
        <v>457</v>
      </c>
      <c r="B458" s="168" t="s">
        <v>872</v>
      </c>
      <c r="C458" s="168" t="s">
        <v>298</v>
      </c>
      <c r="D458" s="127">
        <v>43009.000011574077</v>
      </c>
      <c r="E458" s="95">
        <v>1</v>
      </c>
      <c r="F458">
        <v>2</v>
      </c>
    </row>
    <row r="459" spans="1:6">
      <c r="A459" s="95">
        <v>458</v>
      </c>
      <c r="B459" s="168" t="s">
        <v>891</v>
      </c>
      <c r="C459" s="168" t="s">
        <v>298</v>
      </c>
      <c r="D459" s="127">
        <v>43009.000011574077</v>
      </c>
      <c r="E459" s="95">
        <v>1</v>
      </c>
      <c r="F459">
        <v>2</v>
      </c>
    </row>
    <row r="460" spans="1:6">
      <c r="A460" s="95">
        <v>459</v>
      </c>
      <c r="B460" s="168" t="s">
        <v>1370</v>
      </c>
      <c r="C460" s="168" t="s">
        <v>298</v>
      </c>
      <c r="D460" s="127">
        <v>43009.000011574077</v>
      </c>
      <c r="E460" s="95">
        <v>1</v>
      </c>
      <c r="F460">
        <v>2</v>
      </c>
    </row>
    <row r="461" spans="1:6">
      <c r="A461" s="95">
        <v>460</v>
      </c>
      <c r="B461" s="167" t="s">
        <v>1980</v>
      </c>
      <c r="C461" s="167" t="s">
        <v>1981</v>
      </c>
      <c r="D461" s="127">
        <v>43009.000011574077</v>
      </c>
      <c r="E461" s="95">
        <v>1</v>
      </c>
      <c r="F461">
        <v>2</v>
      </c>
    </row>
    <row r="462" spans="1:6">
      <c r="A462" s="95">
        <v>461</v>
      </c>
      <c r="B462" s="167" t="s">
        <v>1982</v>
      </c>
      <c r="C462" s="167" t="s">
        <v>1983</v>
      </c>
      <c r="D462" s="127">
        <v>43009.000011574077</v>
      </c>
      <c r="E462" s="95">
        <v>1</v>
      </c>
      <c r="F462">
        <v>2</v>
      </c>
    </row>
    <row r="463" spans="1:6">
      <c r="A463" s="95">
        <v>462</v>
      </c>
      <c r="B463" s="167" t="s">
        <v>1984</v>
      </c>
      <c r="C463" s="167" t="s">
        <v>1985</v>
      </c>
      <c r="D463" s="127">
        <v>43009.000011574077</v>
      </c>
      <c r="E463" s="95">
        <v>1</v>
      </c>
      <c r="F463">
        <v>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CF6D0-BAC8-D349-95C0-4FCC4D70FFE6}">
  <sheetPr codeName="Sheet15"/>
  <dimension ref="A1:H56"/>
  <sheetViews>
    <sheetView tabSelected="1" workbookViewId="0">
      <selection activeCell="L16" sqref="L16"/>
    </sheetView>
  </sheetViews>
  <sheetFormatPr baseColWidth="10" defaultRowHeight="16"/>
  <cols>
    <col min="6" max="6" width="18.1640625" bestFit="1" customWidth="1"/>
  </cols>
  <sheetData>
    <row r="1" spans="1:8">
      <c r="A1" s="27" t="s">
        <v>1227</v>
      </c>
      <c r="B1" s="27" t="s">
        <v>1228</v>
      </c>
      <c r="C1" s="27" t="s">
        <v>537</v>
      </c>
      <c r="D1" s="27" t="s">
        <v>1229</v>
      </c>
      <c r="E1" s="27" t="s">
        <v>535</v>
      </c>
      <c r="F1" s="27" t="s">
        <v>536</v>
      </c>
      <c r="G1" s="27" t="s">
        <v>1230</v>
      </c>
      <c r="H1" s="27" t="s">
        <v>1986</v>
      </c>
    </row>
    <row r="2" spans="1:8">
      <c r="A2" s="27">
        <v>1</v>
      </c>
      <c r="B2" s="27" t="s">
        <v>1987</v>
      </c>
      <c r="C2" s="27">
        <v>1</v>
      </c>
      <c r="D2" s="27"/>
      <c r="E2" s="27">
        <v>1</v>
      </c>
      <c r="F2" s="174" t="s">
        <v>2041</v>
      </c>
      <c r="G2" s="27"/>
      <c r="H2" s="27">
        <v>1</v>
      </c>
    </row>
    <row r="3" spans="1:8">
      <c r="A3" s="27">
        <v>2</v>
      </c>
      <c r="B3" s="27" t="s">
        <v>1988</v>
      </c>
      <c r="C3" s="27">
        <v>1</v>
      </c>
      <c r="D3" s="27"/>
      <c r="E3" s="27">
        <v>1</v>
      </c>
      <c r="F3" s="174" t="s">
        <v>2041</v>
      </c>
      <c r="G3" s="27"/>
      <c r="H3" s="27">
        <v>1</v>
      </c>
    </row>
    <row r="4" spans="1:8">
      <c r="A4" s="27">
        <v>3</v>
      </c>
      <c r="B4" s="27" t="s">
        <v>1989</v>
      </c>
      <c r="C4" s="27">
        <v>1</v>
      </c>
      <c r="D4" s="27"/>
      <c r="E4" s="27">
        <v>1</v>
      </c>
      <c r="F4" s="174" t="s">
        <v>2041</v>
      </c>
      <c r="G4" s="27"/>
      <c r="H4" s="27">
        <v>1</v>
      </c>
    </row>
    <row r="5" spans="1:8">
      <c r="A5" s="27">
        <v>4</v>
      </c>
      <c r="B5" s="27" t="s">
        <v>1990</v>
      </c>
      <c r="C5" s="27">
        <v>1</v>
      </c>
      <c r="D5" s="27"/>
      <c r="E5" s="27">
        <v>1</v>
      </c>
      <c r="F5" s="174" t="s">
        <v>2041</v>
      </c>
      <c r="G5" s="27"/>
      <c r="H5" s="27">
        <v>1</v>
      </c>
    </row>
    <row r="6" spans="1:8">
      <c r="A6" s="27">
        <v>5</v>
      </c>
      <c r="B6" s="27" t="s">
        <v>1243</v>
      </c>
      <c r="C6" s="27">
        <v>1</v>
      </c>
      <c r="D6" s="27"/>
      <c r="E6" s="27">
        <v>1</v>
      </c>
      <c r="F6" s="174" t="s">
        <v>2041</v>
      </c>
      <c r="G6" s="27"/>
      <c r="H6" s="27">
        <v>1</v>
      </c>
    </row>
    <row r="7" spans="1:8">
      <c r="A7" s="27">
        <v>6</v>
      </c>
      <c r="B7" s="27" t="s">
        <v>1244</v>
      </c>
      <c r="C7" s="27">
        <v>1</v>
      </c>
      <c r="D7" s="27"/>
      <c r="E7" s="27">
        <v>1</v>
      </c>
      <c r="F7" s="174" t="s">
        <v>2041</v>
      </c>
      <c r="G7" s="27"/>
      <c r="H7" s="27">
        <v>1</v>
      </c>
    </row>
    <row r="8" spans="1:8">
      <c r="A8" s="27">
        <v>7</v>
      </c>
      <c r="B8" s="27" t="s">
        <v>1991</v>
      </c>
      <c r="C8" s="27">
        <v>1</v>
      </c>
      <c r="D8" s="27"/>
      <c r="E8" s="27">
        <v>0</v>
      </c>
      <c r="F8" s="174" t="s">
        <v>2041</v>
      </c>
      <c r="G8" s="27"/>
      <c r="H8" s="27">
        <v>1</v>
      </c>
    </row>
    <row r="9" spans="1:8">
      <c r="A9" s="27">
        <v>7</v>
      </c>
      <c r="B9" s="27" t="s">
        <v>1991</v>
      </c>
      <c r="C9" s="27">
        <v>0</v>
      </c>
      <c r="D9" s="27"/>
      <c r="E9" s="27">
        <v>1</v>
      </c>
      <c r="F9" s="174" t="s">
        <v>2041</v>
      </c>
      <c r="G9" s="27"/>
      <c r="H9" s="27">
        <v>3</v>
      </c>
    </row>
    <row r="10" spans="1:8">
      <c r="A10" s="27">
        <v>8</v>
      </c>
      <c r="B10" s="27" t="s">
        <v>1992</v>
      </c>
      <c r="C10" s="27">
        <v>1</v>
      </c>
      <c r="D10" s="27"/>
      <c r="E10" s="27">
        <v>1</v>
      </c>
      <c r="F10" s="174" t="s">
        <v>2041</v>
      </c>
      <c r="G10" s="27"/>
      <c r="H10" s="27">
        <v>1</v>
      </c>
    </row>
    <row r="11" spans="1:8">
      <c r="A11" s="27">
        <v>9</v>
      </c>
      <c r="B11" s="27" t="s">
        <v>1993</v>
      </c>
      <c r="C11" s="27">
        <v>1</v>
      </c>
      <c r="D11" s="27"/>
      <c r="E11" s="27">
        <v>1</v>
      </c>
      <c r="F11" s="174" t="s">
        <v>2041</v>
      </c>
      <c r="G11" s="27"/>
      <c r="H11" s="27">
        <v>1</v>
      </c>
    </row>
    <row r="12" spans="1:8">
      <c r="A12" s="27">
        <v>10</v>
      </c>
      <c r="B12" s="27" t="s">
        <v>1955</v>
      </c>
      <c r="C12" s="27">
        <v>1</v>
      </c>
      <c r="D12" s="27"/>
      <c r="E12" s="27">
        <v>0</v>
      </c>
      <c r="F12" s="174" t="s">
        <v>2041</v>
      </c>
      <c r="G12" s="27"/>
      <c r="H12" s="27">
        <v>1</v>
      </c>
    </row>
    <row r="13" spans="1:8">
      <c r="A13" s="27">
        <v>10</v>
      </c>
      <c r="B13" s="27" t="s">
        <v>1994</v>
      </c>
      <c r="C13" s="27">
        <v>1</v>
      </c>
      <c r="D13" s="27">
        <v>1</v>
      </c>
      <c r="E13" s="27">
        <v>1</v>
      </c>
      <c r="F13" s="174" t="s">
        <v>2042</v>
      </c>
      <c r="G13" s="27"/>
      <c r="H13" s="27">
        <v>2</v>
      </c>
    </row>
    <row r="14" spans="1:8">
      <c r="A14" s="27">
        <v>11</v>
      </c>
      <c r="B14" s="27" t="s">
        <v>1995</v>
      </c>
      <c r="C14" s="27">
        <v>1</v>
      </c>
      <c r="D14" s="27"/>
      <c r="E14" s="27">
        <v>1</v>
      </c>
      <c r="F14" s="174" t="s">
        <v>2041</v>
      </c>
      <c r="G14" s="27"/>
      <c r="H14" s="27">
        <v>1</v>
      </c>
    </row>
    <row r="15" spans="1:8">
      <c r="A15" s="27">
        <v>12</v>
      </c>
      <c r="B15" s="27" t="s">
        <v>1996</v>
      </c>
      <c r="C15" s="27">
        <v>1</v>
      </c>
      <c r="D15" s="27"/>
      <c r="E15" s="27">
        <v>1</v>
      </c>
      <c r="F15" s="174" t="s">
        <v>2041</v>
      </c>
      <c r="G15" s="27"/>
      <c r="H15" s="27">
        <v>1</v>
      </c>
    </row>
    <row r="16" spans="1:8">
      <c r="A16" s="27">
        <v>13</v>
      </c>
      <c r="B16" s="27" t="s">
        <v>1997</v>
      </c>
      <c r="C16" s="27">
        <v>1</v>
      </c>
      <c r="D16" s="27"/>
      <c r="E16" s="27">
        <v>1</v>
      </c>
      <c r="F16" s="174" t="s">
        <v>2041</v>
      </c>
      <c r="G16" s="27"/>
      <c r="H16" s="27">
        <v>1</v>
      </c>
    </row>
    <row r="17" spans="1:8">
      <c r="A17" s="27">
        <v>14</v>
      </c>
      <c r="B17" s="27" t="s">
        <v>1998</v>
      </c>
      <c r="C17" s="27">
        <v>1</v>
      </c>
      <c r="D17" s="27"/>
      <c r="E17" s="27">
        <v>1</v>
      </c>
      <c r="F17" s="174" t="s">
        <v>2041</v>
      </c>
      <c r="G17" s="27"/>
      <c r="H17" s="27">
        <v>1</v>
      </c>
    </row>
    <row r="18" spans="1:8">
      <c r="A18" s="27">
        <v>15</v>
      </c>
      <c r="B18" s="27" t="s">
        <v>1999</v>
      </c>
      <c r="C18" s="27">
        <v>1</v>
      </c>
      <c r="D18" s="27"/>
      <c r="E18" s="27">
        <v>1</v>
      </c>
      <c r="F18" s="174" t="s">
        <v>2041</v>
      </c>
      <c r="G18" s="27"/>
      <c r="H18" s="27">
        <v>1</v>
      </c>
    </row>
    <row r="19" spans="1:8">
      <c r="A19" s="27">
        <v>16</v>
      </c>
      <c r="B19" s="27" t="s">
        <v>1249</v>
      </c>
      <c r="C19" s="27">
        <v>1</v>
      </c>
      <c r="D19" s="27"/>
      <c r="E19" s="27">
        <v>1</v>
      </c>
      <c r="F19" s="174" t="s">
        <v>2041</v>
      </c>
      <c r="G19" s="27"/>
      <c r="H19" s="27">
        <v>1</v>
      </c>
    </row>
    <row r="20" spans="1:8">
      <c r="A20" s="27">
        <v>17</v>
      </c>
      <c r="B20" s="27" t="s">
        <v>2000</v>
      </c>
      <c r="C20" s="27">
        <v>1</v>
      </c>
      <c r="D20" s="27"/>
      <c r="E20" s="27">
        <v>1</v>
      </c>
      <c r="F20" s="174" t="s">
        <v>2042</v>
      </c>
      <c r="G20" s="27"/>
      <c r="H20" s="27">
        <v>2</v>
      </c>
    </row>
    <row r="21" spans="1:8">
      <c r="A21" s="27">
        <v>18</v>
      </c>
      <c r="B21" s="27" t="s">
        <v>2001</v>
      </c>
      <c r="C21" s="27">
        <v>1</v>
      </c>
      <c r="D21" s="27"/>
      <c r="E21" s="27">
        <v>1</v>
      </c>
      <c r="F21" s="174" t="s">
        <v>2042</v>
      </c>
      <c r="G21" s="27"/>
      <c r="H21" s="27">
        <v>2</v>
      </c>
    </row>
    <row r="22" spans="1:8">
      <c r="A22" s="27">
        <v>19</v>
      </c>
      <c r="B22" s="27" t="s">
        <v>2002</v>
      </c>
      <c r="C22" s="27">
        <v>1</v>
      </c>
      <c r="D22" s="27"/>
      <c r="E22" s="27">
        <v>1</v>
      </c>
      <c r="F22" s="174" t="s">
        <v>2042</v>
      </c>
      <c r="G22" s="27"/>
      <c r="H22" s="27">
        <v>2</v>
      </c>
    </row>
    <row r="23" spans="1:8">
      <c r="A23" s="27">
        <v>20</v>
      </c>
      <c r="B23" s="27" t="s">
        <v>2003</v>
      </c>
      <c r="C23" s="27">
        <v>1</v>
      </c>
      <c r="D23" s="27"/>
      <c r="E23" s="27">
        <v>1</v>
      </c>
      <c r="F23" s="174" t="s">
        <v>2042</v>
      </c>
      <c r="G23" s="27"/>
      <c r="H23" s="27">
        <v>2</v>
      </c>
    </row>
    <row r="24" spans="1:8">
      <c r="A24" s="27">
        <v>21</v>
      </c>
      <c r="B24" s="27" t="s">
        <v>1242</v>
      </c>
      <c r="C24" s="27">
        <v>1</v>
      </c>
      <c r="D24" s="27"/>
      <c r="E24" s="27">
        <v>0</v>
      </c>
      <c r="F24" s="174" t="s">
        <v>2042</v>
      </c>
      <c r="G24" s="27"/>
      <c r="H24" s="27">
        <v>2</v>
      </c>
    </row>
    <row r="25" spans="1:8">
      <c r="A25" s="27">
        <v>21</v>
      </c>
      <c r="B25" s="27" t="s">
        <v>2004</v>
      </c>
      <c r="C25" s="27">
        <v>1</v>
      </c>
      <c r="D25" s="27"/>
      <c r="E25" s="27">
        <v>1</v>
      </c>
      <c r="F25" s="174" t="s">
        <v>2043</v>
      </c>
      <c r="G25" s="27"/>
      <c r="H25" s="27">
        <v>3</v>
      </c>
    </row>
    <row r="26" spans="1:8">
      <c r="A26" s="27">
        <v>22</v>
      </c>
      <c r="B26" s="27" t="s">
        <v>2005</v>
      </c>
      <c r="C26" s="27">
        <v>1</v>
      </c>
      <c r="D26" s="27"/>
      <c r="E26" s="27">
        <v>0</v>
      </c>
      <c r="F26" s="174" t="s">
        <v>2042</v>
      </c>
      <c r="G26" s="27"/>
      <c r="H26" s="27">
        <v>2</v>
      </c>
    </row>
    <row r="27" spans="1:8">
      <c r="A27" s="27">
        <v>22</v>
      </c>
      <c r="B27" s="27" t="s">
        <v>2005</v>
      </c>
      <c r="C27" s="27">
        <v>0</v>
      </c>
      <c r="D27" s="27"/>
      <c r="E27" s="27">
        <v>1</v>
      </c>
      <c r="F27" s="174" t="s">
        <v>2043</v>
      </c>
      <c r="G27" s="27"/>
      <c r="H27" s="27">
        <v>3</v>
      </c>
    </row>
    <row r="28" spans="1:8">
      <c r="A28" s="27">
        <v>23</v>
      </c>
      <c r="B28" s="27" t="s">
        <v>2006</v>
      </c>
      <c r="C28" s="27">
        <v>1</v>
      </c>
      <c r="D28" s="27"/>
      <c r="E28" s="27">
        <v>1</v>
      </c>
      <c r="F28" s="174" t="s">
        <v>2042</v>
      </c>
      <c r="G28" s="27"/>
      <c r="H28" s="27">
        <v>2</v>
      </c>
    </row>
    <row r="29" spans="1:8">
      <c r="A29" s="27">
        <v>24</v>
      </c>
      <c r="B29" s="27" t="s">
        <v>2007</v>
      </c>
      <c r="C29" s="27">
        <v>1</v>
      </c>
      <c r="D29" s="27"/>
      <c r="E29" s="27">
        <v>1</v>
      </c>
      <c r="F29" s="174" t="s">
        <v>2042</v>
      </c>
      <c r="G29" s="27"/>
      <c r="H29" s="27">
        <v>2</v>
      </c>
    </row>
    <row r="30" spans="1:8">
      <c r="A30" s="27">
        <v>25</v>
      </c>
      <c r="B30" s="27" t="s">
        <v>1245</v>
      </c>
      <c r="C30" s="27">
        <v>1</v>
      </c>
      <c r="D30" s="27">
        <v>1</v>
      </c>
      <c r="E30" s="27">
        <v>0</v>
      </c>
      <c r="F30" s="174" t="s">
        <v>2042</v>
      </c>
      <c r="G30" s="27"/>
      <c r="H30" s="27">
        <v>2</v>
      </c>
    </row>
    <row r="31" spans="1:8">
      <c r="A31" s="27">
        <v>25</v>
      </c>
      <c r="B31" s="27" t="s">
        <v>2008</v>
      </c>
      <c r="C31" s="27">
        <v>1</v>
      </c>
      <c r="D31" s="27"/>
      <c r="E31" s="27">
        <v>1</v>
      </c>
      <c r="F31" s="174" t="s">
        <v>2043</v>
      </c>
      <c r="G31" s="27"/>
      <c r="H31" s="27">
        <v>3</v>
      </c>
    </row>
    <row r="32" spans="1:8">
      <c r="A32" s="27">
        <v>26</v>
      </c>
      <c r="B32" s="27" t="s">
        <v>2009</v>
      </c>
      <c r="C32" s="27">
        <v>1</v>
      </c>
      <c r="D32" s="27"/>
      <c r="E32" s="27">
        <v>1</v>
      </c>
      <c r="F32" s="174" t="s">
        <v>2042</v>
      </c>
      <c r="G32" s="27"/>
      <c r="H32" s="27">
        <v>2</v>
      </c>
    </row>
    <row r="33" spans="1:8">
      <c r="A33" s="27">
        <v>27</v>
      </c>
      <c r="B33" s="27" t="s">
        <v>2010</v>
      </c>
      <c r="C33" s="27">
        <v>1</v>
      </c>
      <c r="D33" s="27"/>
      <c r="E33" s="27">
        <v>1</v>
      </c>
      <c r="F33" s="174" t="s">
        <v>2042</v>
      </c>
      <c r="G33" s="27"/>
      <c r="H33" s="27">
        <v>2</v>
      </c>
    </row>
    <row r="34" spans="1:8">
      <c r="A34" s="27">
        <v>28</v>
      </c>
      <c r="B34" s="27" t="s">
        <v>2011</v>
      </c>
      <c r="C34" s="27">
        <v>1</v>
      </c>
      <c r="D34" s="27"/>
      <c r="E34" s="27">
        <v>1</v>
      </c>
      <c r="F34" s="174" t="s">
        <v>2042</v>
      </c>
      <c r="G34" s="27"/>
      <c r="H34" s="27">
        <v>2</v>
      </c>
    </row>
    <row r="35" spans="1:8">
      <c r="A35" s="27">
        <v>29</v>
      </c>
      <c r="B35" s="27" t="s">
        <v>2012</v>
      </c>
      <c r="C35" s="27">
        <v>1</v>
      </c>
      <c r="D35" s="27"/>
      <c r="E35" s="27">
        <v>1</v>
      </c>
      <c r="F35" s="174" t="s">
        <v>2042</v>
      </c>
      <c r="G35" s="27"/>
      <c r="H35" s="27">
        <v>2</v>
      </c>
    </row>
    <row r="36" spans="1:8">
      <c r="A36" s="27">
        <v>30</v>
      </c>
      <c r="B36" s="27" t="s">
        <v>1246</v>
      </c>
      <c r="C36" s="27">
        <v>1</v>
      </c>
      <c r="D36" s="27"/>
      <c r="E36" s="27">
        <v>1</v>
      </c>
      <c r="F36" s="174" t="s">
        <v>2042</v>
      </c>
      <c r="G36" s="27"/>
      <c r="H36" s="27">
        <v>2</v>
      </c>
    </row>
    <row r="37" spans="1:8">
      <c r="A37" s="27">
        <v>31</v>
      </c>
      <c r="B37" s="27" t="s">
        <v>1247</v>
      </c>
      <c r="C37" s="27">
        <v>1</v>
      </c>
      <c r="D37" s="27"/>
      <c r="E37" s="27">
        <v>1</v>
      </c>
      <c r="F37" s="174" t="s">
        <v>2042</v>
      </c>
      <c r="G37" s="27"/>
      <c r="H37" s="27">
        <v>2</v>
      </c>
    </row>
    <row r="38" spans="1:8">
      <c r="A38" s="27">
        <v>32</v>
      </c>
      <c r="B38" s="27" t="s">
        <v>1248</v>
      </c>
      <c r="C38" s="27">
        <v>1</v>
      </c>
      <c r="D38" s="27"/>
      <c r="E38" s="27">
        <v>1</v>
      </c>
      <c r="F38" s="174" t="s">
        <v>2042</v>
      </c>
      <c r="G38" s="27"/>
      <c r="H38" s="27">
        <v>2</v>
      </c>
    </row>
    <row r="39" spans="1:8">
      <c r="A39" s="27">
        <v>33</v>
      </c>
      <c r="B39" s="27" t="s">
        <v>2013</v>
      </c>
      <c r="C39" s="27">
        <v>1</v>
      </c>
      <c r="D39" s="27"/>
      <c r="E39" s="27">
        <v>1</v>
      </c>
      <c r="F39" s="174" t="s">
        <v>2042</v>
      </c>
      <c r="G39" s="27"/>
      <c r="H39" s="27">
        <v>2</v>
      </c>
    </row>
    <row r="40" spans="1:8">
      <c r="A40" s="27">
        <v>34</v>
      </c>
      <c r="B40" s="27" t="s">
        <v>2014</v>
      </c>
      <c r="C40" s="27">
        <v>0</v>
      </c>
      <c r="D40" s="27"/>
      <c r="E40" s="27">
        <v>1</v>
      </c>
      <c r="F40" s="174" t="s">
        <v>2042</v>
      </c>
      <c r="G40" s="27"/>
      <c r="H40" s="27">
        <v>2</v>
      </c>
    </row>
    <row r="41" spans="1:8">
      <c r="A41" s="27">
        <v>35</v>
      </c>
      <c r="B41" s="27" t="s">
        <v>2015</v>
      </c>
      <c r="C41" s="27">
        <v>1</v>
      </c>
      <c r="D41" s="27"/>
      <c r="E41" s="27">
        <v>1</v>
      </c>
      <c r="F41" s="174" t="s">
        <v>2042</v>
      </c>
      <c r="G41" s="27"/>
      <c r="H41" s="27">
        <v>2</v>
      </c>
    </row>
    <row r="42" spans="1:8">
      <c r="A42" s="27">
        <v>36</v>
      </c>
      <c r="B42" s="27" t="s">
        <v>1956</v>
      </c>
      <c r="C42" s="27">
        <v>1</v>
      </c>
      <c r="D42" s="27"/>
      <c r="E42" s="27">
        <v>1</v>
      </c>
      <c r="F42" s="174" t="s">
        <v>2042</v>
      </c>
      <c r="G42" s="27"/>
      <c r="H42" s="27">
        <v>2</v>
      </c>
    </row>
    <row r="43" spans="1:8">
      <c r="A43" s="27">
        <v>37</v>
      </c>
      <c r="B43" s="27" t="s">
        <v>2016</v>
      </c>
      <c r="C43" s="27">
        <v>1</v>
      </c>
      <c r="D43" s="27"/>
      <c r="E43" s="27">
        <v>1</v>
      </c>
      <c r="F43" s="174" t="s">
        <v>2042</v>
      </c>
      <c r="G43" s="27"/>
      <c r="H43" s="27">
        <v>2</v>
      </c>
    </row>
    <row r="44" spans="1:8">
      <c r="A44" s="27">
        <v>38</v>
      </c>
      <c r="B44" s="27" t="s">
        <v>2017</v>
      </c>
      <c r="C44" s="27">
        <v>1</v>
      </c>
      <c r="D44" s="27"/>
      <c r="E44" s="27">
        <v>1</v>
      </c>
      <c r="F44" s="174" t="s">
        <v>2042</v>
      </c>
      <c r="G44" s="27"/>
      <c r="H44" s="27">
        <v>2</v>
      </c>
    </row>
    <row r="45" spans="1:8">
      <c r="A45" s="27">
        <v>39</v>
      </c>
      <c r="B45" s="27" t="s">
        <v>2018</v>
      </c>
      <c r="C45" s="27">
        <v>1</v>
      </c>
      <c r="D45" s="27"/>
      <c r="E45" s="27">
        <v>1</v>
      </c>
      <c r="F45" s="174" t="s">
        <v>2043</v>
      </c>
      <c r="G45" s="27"/>
      <c r="H45" s="27">
        <v>3</v>
      </c>
    </row>
    <row r="46" spans="1:8">
      <c r="A46" s="27">
        <v>40</v>
      </c>
      <c r="B46" s="27" t="s">
        <v>2019</v>
      </c>
      <c r="C46" s="27">
        <v>1</v>
      </c>
      <c r="D46" s="27"/>
      <c r="E46" s="27">
        <v>1</v>
      </c>
      <c r="F46" s="174" t="s">
        <v>2043</v>
      </c>
      <c r="G46" s="27"/>
      <c r="H46" s="27">
        <v>3</v>
      </c>
    </row>
    <row r="47" spans="1:8">
      <c r="A47" s="27">
        <v>41</v>
      </c>
      <c r="B47" s="27" t="s">
        <v>2020</v>
      </c>
      <c r="C47" s="27">
        <v>1</v>
      </c>
      <c r="D47" s="27"/>
      <c r="E47" s="27">
        <v>1</v>
      </c>
      <c r="F47" s="174" t="s">
        <v>2043</v>
      </c>
      <c r="G47" s="27"/>
      <c r="H47" s="27">
        <v>3</v>
      </c>
    </row>
    <row r="48" spans="1:8">
      <c r="A48" s="27">
        <v>42</v>
      </c>
      <c r="B48" s="27" t="s">
        <v>2021</v>
      </c>
      <c r="C48" s="27">
        <v>1</v>
      </c>
      <c r="D48" s="27"/>
      <c r="E48" s="27">
        <v>1</v>
      </c>
      <c r="F48" s="174" t="s">
        <v>2043</v>
      </c>
      <c r="G48" s="27"/>
      <c r="H48" s="27">
        <v>3</v>
      </c>
    </row>
    <row r="49" spans="1:8">
      <c r="A49" s="27">
        <v>43</v>
      </c>
      <c r="B49" s="27" t="s">
        <v>1283</v>
      </c>
      <c r="C49" s="27">
        <v>1</v>
      </c>
      <c r="D49" s="27"/>
      <c r="E49" s="27">
        <v>1</v>
      </c>
      <c r="F49" s="174" t="s">
        <v>2043</v>
      </c>
      <c r="G49" s="27"/>
      <c r="H49" s="27">
        <v>3</v>
      </c>
    </row>
    <row r="50" spans="1:8">
      <c r="A50" s="27">
        <v>44</v>
      </c>
      <c r="B50" s="27" t="s">
        <v>1284</v>
      </c>
      <c r="C50" s="27">
        <v>1</v>
      </c>
      <c r="D50" s="27"/>
      <c r="E50" s="27">
        <v>1</v>
      </c>
      <c r="F50" s="174" t="s">
        <v>2043</v>
      </c>
      <c r="G50" s="27"/>
      <c r="H50" s="27">
        <v>3</v>
      </c>
    </row>
    <row r="51" spans="1:8">
      <c r="A51" s="27">
        <v>45</v>
      </c>
      <c r="B51" s="27" t="s">
        <v>2022</v>
      </c>
      <c r="C51" s="27">
        <v>1</v>
      </c>
      <c r="D51" s="27"/>
      <c r="E51" s="27">
        <v>1</v>
      </c>
      <c r="F51" s="174" t="s">
        <v>2043</v>
      </c>
      <c r="G51" s="27"/>
      <c r="H51" s="27">
        <v>3</v>
      </c>
    </row>
    <row r="52" spans="1:8">
      <c r="A52" s="27">
        <v>46</v>
      </c>
      <c r="B52" s="27" t="s">
        <v>2023</v>
      </c>
      <c r="C52" s="27">
        <v>1</v>
      </c>
      <c r="D52" s="27"/>
      <c r="E52" s="27">
        <v>1</v>
      </c>
      <c r="F52" s="174" t="s">
        <v>2043</v>
      </c>
      <c r="G52" s="27"/>
      <c r="H52" s="27">
        <v>3</v>
      </c>
    </row>
    <row r="53" spans="1:8">
      <c r="A53" s="27">
        <v>47</v>
      </c>
      <c r="B53" s="27" t="s">
        <v>2024</v>
      </c>
      <c r="C53" s="27">
        <v>1</v>
      </c>
      <c r="D53" s="27"/>
      <c r="E53" s="27">
        <v>1</v>
      </c>
      <c r="F53" s="174" t="s">
        <v>2043</v>
      </c>
      <c r="G53" s="27"/>
      <c r="H53" s="27">
        <v>3</v>
      </c>
    </row>
    <row r="54" spans="1:8">
      <c r="A54" s="27">
        <v>48</v>
      </c>
      <c r="B54" s="27" t="s">
        <v>2025</v>
      </c>
      <c r="C54" s="27">
        <v>1</v>
      </c>
      <c r="D54" s="27"/>
      <c r="E54" s="27">
        <v>1</v>
      </c>
      <c r="F54" s="174" t="s">
        <v>2043</v>
      </c>
      <c r="G54" s="27"/>
      <c r="H54" s="27">
        <v>3</v>
      </c>
    </row>
    <row r="55" spans="1:8">
      <c r="A55" s="27">
        <v>49</v>
      </c>
      <c r="B55" s="27" t="s">
        <v>2026</v>
      </c>
      <c r="C55" s="27">
        <v>1</v>
      </c>
      <c r="D55" s="27"/>
      <c r="E55" s="27">
        <v>1</v>
      </c>
      <c r="F55" s="174" t="s">
        <v>2043</v>
      </c>
      <c r="G55" s="27"/>
      <c r="H55" s="27">
        <v>3</v>
      </c>
    </row>
    <row r="56" spans="1:8">
      <c r="A56" s="27">
        <v>50</v>
      </c>
      <c r="B56" s="27" t="s">
        <v>2027</v>
      </c>
      <c r="C56" s="27">
        <v>0</v>
      </c>
      <c r="D56" s="27"/>
      <c r="E56" s="27">
        <v>1</v>
      </c>
      <c r="F56" s="174" t="s">
        <v>2043</v>
      </c>
      <c r="G56" s="27"/>
      <c r="H56" s="27">
        <v>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64BC6-CA12-0740-95BC-5396F17ADE68}">
  <sheetPr codeName="Sheet16"/>
  <dimension ref="A1:F11"/>
  <sheetViews>
    <sheetView workbookViewId="0">
      <selection activeCell="D19" sqref="D19"/>
    </sheetView>
  </sheetViews>
  <sheetFormatPr baseColWidth="10" defaultRowHeight="16"/>
  <sheetData>
    <row r="1" spans="1:6">
      <c r="A1" t="s">
        <v>1252</v>
      </c>
      <c r="B1" t="s">
        <v>1253</v>
      </c>
      <c r="C1" t="s">
        <v>1254</v>
      </c>
      <c r="D1" t="s">
        <v>535</v>
      </c>
      <c r="E1" t="s">
        <v>536</v>
      </c>
      <c r="F1" t="s">
        <v>1986</v>
      </c>
    </row>
    <row r="2" spans="1:6">
      <c r="A2">
        <v>1</v>
      </c>
      <c r="B2" t="s">
        <v>1962</v>
      </c>
      <c r="C2" t="s">
        <v>2028</v>
      </c>
      <c r="D2">
        <v>1</v>
      </c>
      <c r="E2" s="173">
        <v>42826</v>
      </c>
      <c r="F2">
        <v>1</v>
      </c>
    </row>
    <row r="3" spans="1:6">
      <c r="A3">
        <v>2</v>
      </c>
      <c r="B3" t="s">
        <v>1963</v>
      </c>
      <c r="C3" t="s">
        <v>2029</v>
      </c>
      <c r="D3">
        <v>1</v>
      </c>
      <c r="E3" s="173">
        <v>42826</v>
      </c>
      <c r="F3">
        <v>1</v>
      </c>
    </row>
    <row r="4" spans="1:6">
      <c r="A4">
        <v>3</v>
      </c>
      <c r="B4" t="s">
        <v>2030</v>
      </c>
      <c r="C4" t="s">
        <v>2031</v>
      </c>
      <c r="D4">
        <v>0</v>
      </c>
      <c r="E4" s="173">
        <v>42826</v>
      </c>
      <c r="F4">
        <v>1</v>
      </c>
    </row>
    <row r="5" spans="1:6">
      <c r="A5">
        <v>3</v>
      </c>
      <c r="B5" t="s">
        <v>1964</v>
      </c>
      <c r="C5" t="s">
        <v>2032</v>
      </c>
      <c r="D5">
        <v>1</v>
      </c>
      <c r="E5" s="173">
        <v>43009</v>
      </c>
      <c r="F5">
        <v>2</v>
      </c>
    </row>
    <row r="6" spans="1:6">
      <c r="A6">
        <v>4</v>
      </c>
      <c r="B6" t="s">
        <v>2033</v>
      </c>
      <c r="C6" t="s">
        <v>2034</v>
      </c>
      <c r="D6">
        <v>0</v>
      </c>
      <c r="E6" s="173">
        <v>42826</v>
      </c>
      <c r="F6">
        <v>1</v>
      </c>
    </row>
    <row r="7" spans="1:6">
      <c r="A7">
        <v>4</v>
      </c>
      <c r="B7" t="s">
        <v>1965</v>
      </c>
      <c r="C7" t="s">
        <v>2035</v>
      </c>
      <c r="D7">
        <v>1</v>
      </c>
      <c r="E7" s="173">
        <v>43009</v>
      </c>
      <c r="F7">
        <v>2</v>
      </c>
    </row>
    <row r="8" spans="1:6">
      <c r="A8">
        <v>5</v>
      </c>
      <c r="B8" t="s">
        <v>2036</v>
      </c>
      <c r="C8" t="s">
        <v>2037</v>
      </c>
      <c r="D8">
        <v>0</v>
      </c>
      <c r="E8" s="173">
        <v>42826</v>
      </c>
      <c r="F8">
        <v>1</v>
      </c>
    </row>
    <row r="9" spans="1:6">
      <c r="A9">
        <v>5</v>
      </c>
      <c r="B9" t="s">
        <v>1966</v>
      </c>
      <c r="C9" t="s">
        <v>2038</v>
      </c>
      <c r="D9">
        <v>1</v>
      </c>
      <c r="E9" s="173">
        <v>43009</v>
      </c>
      <c r="F9">
        <v>2</v>
      </c>
    </row>
    <row r="10" spans="1:6">
      <c r="A10">
        <v>6</v>
      </c>
      <c r="B10" t="s">
        <v>1967</v>
      </c>
      <c r="C10" t="s">
        <v>2039</v>
      </c>
      <c r="D10">
        <v>1</v>
      </c>
      <c r="E10" s="173">
        <v>43009</v>
      </c>
      <c r="F10">
        <v>2</v>
      </c>
    </row>
    <row r="11" spans="1:6">
      <c r="A11">
        <v>7</v>
      </c>
      <c r="B11" t="s">
        <v>187</v>
      </c>
      <c r="C11" t="s">
        <v>2040</v>
      </c>
      <c r="D11">
        <v>1</v>
      </c>
      <c r="E11" s="173">
        <v>42826</v>
      </c>
      <c r="F11">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3CC5B-139D-0D48-9051-C700ACC4F295}">
  <sheetPr codeName="Sheet17"/>
  <dimension ref="A1:E18"/>
  <sheetViews>
    <sheetView workbookViewId="0"/>
  </sheetViews>
  <sheetFormatPr baseColWidth="10" defaultRowHeight="16"/>
  <cols>
    <col min="5" max="5" width="18.1640625" bestFit="1" customWidth="1"/>
  </cols>
  <sheetData>
    <row r="1" spans="1:5">
      <c r="A1" t="s">
        <v>1260</v>
      </c>
      <c r="B1" t="s">
        <v>1261</v>
      </c>
      <c r="C1" t="s">
        <v>1262</v>
      </c>
      <c r="D1" t="s">
        <v>1263</v>
      </c>
      <c r="E1" t="s">
        <v>1264</v>
      </c>
    </row>
    <row r="2" spans="1:5">
      <c r="A2">
        <v>1</v>
      </c>
      <c r="B2">
        <v>1</v>
      </c>
      <c r="C2">
        <v>2</v>
      </c>
      <c r="D2">
        <v>17</v>
      </c>
      <c r="E2" s="128">
        <v>42887</v>
      </c>
    </row>
    <row r="3" spans="1:5">
      <c r="A3">
        <v>2</v>
      </c>
      <c r="B3">
        <v>2</v>
      </c>
      <c r="C3">
        <v>2</v>
      </c>
      <c r="D3">
        <v>17</v>
      </c>
      <c r="E3" s="128">
        <v>42887</v>
      </c>
    </row>
    <row r="4" spans="1:5">
      <c r="A4">
        <v>3</v>
      </c>
      <c r="B4">
        <v>3</v>
      </c>
      <c r="C4">
        <v>2</v>
      </c>
      <c r="D4">
        <v>17</v>
      </c>
      <c r="E4" s="128">
        <v>42887</v>
      </c>
    </row>
    <row r="5" spans="1:5">
      <c r="A5">
        <v>4</v>
      </c>
      <c r="B5">
        <v>1</v>
      </c>
      <c r="C5">
        <v>4</v>
      </c>
      <c r="D5">
        <v>17</v>
      </c>
      <c r="E5" s="128">
        <v>42979</v>
      </c>
    </row>
    <row r="6" spans="1:5">
      <c r="A6">
        <v>5</v>
      </c>
      <c r="B6">
        <v>2</v>
      </c>
      <c r="C6">
        <v>4</v>
      </c>
      <c r="D6">
        <v>17</v>
      </c>
      <c r="E6" s="128">
        <v>42979</v>
      </c>
    </row>
    <row r="7" spans="1:5">
      <c r="A7">
        <v>6</v>
      </c>
      <c r="B7">
        <v>3</v>
      </c>
      <c r="C7">
        <v>4</v>
      </c>
      <c r="D7">
        <v>17</v>
      </c>
      <c r="E7" s="128">
        <v>42979</v>
      </c>
    </row>
    <row r="8" spans="1:5">
      <c r="A8">
        <v>7</v>
      </c>
      <c r="B8">
        <v>4</v>
      </c>
      <c r="C8">
        <v>4</v>
      </c>
      <c r="D8">
        <v>17</v>
      </c>
      <c r="E8" s="128">
        <v>42979</v>
      </c>
    </row>
    <row r="9" spans="1:5">
      <c r="A9">
        <v>8</v>
      </c>
      <c r="B9">
        <v>5</v>
      </c>
      <c r="C9">
        <v>4</v>
      </c>
      <c r="D9">
        <v>17</v>
      </c>
      <c r="E9" s="128">
        <v>42979</v>
      </c>
    </row>
    <row r="10" spans="1:5">
      <c r="A10">
        <v>9</v>
      </c>
      <c r="B10">
        <v>6</v>
      </c>
      <c r="C10">
        <v>4</v>
      </c>
      <c r="D10">
        <v>17</v>
      </c>
      <c r="E10" s="128">
        <v>42979</v>
      </c>
    </row>
    <row r="11" spans="1:5">
      <c r="A11">
        <v>10</v>
      </c>
      <c r="B11">
        <v>7</v>
      </c>
      <c r="C11">
        <v>4</v>
      </c>
      <c r="D11">
        <v>17</v>
      </c>
      <c r="E11" s="128">
        <v>42979</v>
      </c>
    </row>
    <row r="12" spans="1:5">
      <c r="A12">
        <v>11</v>
      </c>
      <c r="B12">
        <v>1</v>
      </c>
      <c r="C12">
        <v>1</v>
      </c>
      <c r="D12">
        <v>18</v>
      </c>
      <c r="E12" s="128">
        <v>43070</v>
      </c>
    </row>
    <row r="13" spans="1:5">
      <c r="A13">
        <v>12</v>
      </c>
      <c r="B13">
        <v>2</v>
      </c>
      <c r="C13">
        <v>1</v>
      </c>
      <c r="D13">
        <v>18</v>
      </c>
      <c r="E13" s="128">
        <v>43070</v>
      </c>
    </row>
    <row r="14" spans="1:5">
      <c r="A14">
        <v>13</v>
      </c>
      <c r="B14">
        <v>3</v>
      </c>
      <c r="C14">
        <v>1</v>
      </c>
      <c r="D14">
        <v>18</v>
      </c>
      <c r="E14" s="128">
        <v>43070</v>
      </c>
    </row>
    <row r="15" spans="1:5">
      <c r="A15">
        <v>14</v>
      </c>
      <c r="B15">
        <v>4</v>
      </c>
      <c r="C15">
        <v>1</v>
      </c>
      <c r="D15">
        <v>18</v>
      </c>
      <c r="E15" s="128">
        <v>43070</v>
      </c>
    </row>
    <row r="16" spans="1:5">
      <c r="A16">
        <v>15</v>
      </c>
      <c r="B16">
        <v>5</v>
      </c>
      <c r="C16">
        <v>1</v>
      </c>
      <c r="D16">
        <v>18</v>
      </c>
      <c r="E16" s="128">
        <v>43070</v>
      </c>
    </row>
    <row r="17" spans="1:5">
      <c r="A17">
        <v>16</v>
      </c>
      <c r="B17">
        <v>6</v>
      </c>
      <c r="C17">
        <v>1</v>
      </c>
      <c r="D17">
        <v>18</v>
      </c>
      <c r="E17" s="128">
        <v>43070</v>
      </c>
    </row>
    <row r="18" spans="1:5">
      <c r="A18">
        <v>17</v>
      </c>
      <c r="B18">
        <v>7</v>
      </c>
      <c r="C18">
        <v>1</v>
      </c>
      <c r="D18">
        <v>18</v>
      </c>
      <c r="E18" s="128">
        <v>43070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DD119-D22C-FC47-8A47-1711DBD011B3}">
  <sheetPr codeName="Sheet18"/>
  <dimension ref="A1:N1191"/>
  <sheetViews>
    <sheetView workbookViewId="0"/>
  </sheetViews>
  <sheetFormatPr baseColWidth="10" defaultColWidth="11.1640625" defaultRowHeight="16"/>
  <cols>
    <col min="1" max="6" width="11.6640625" customWidth="1"/>
    <col min="7" max="7" width="15" customWidth="1"/>
    <col min="8" max="8" width="11.6640625" customWidth="1"/>
    <col min="9" max="9" width="12.83203125" customWidth="1"/>
    <col min="10" max="14" width="11.6640625" customWidth="1"/>
  </cols>
  <sheetData>
    <row r="1" spans="1:14">
      <c r="A1" t="s">
        <v>1260</v>
      </c>
      <c r="B1" t="s">
        <v>1227</v>
      </c>
      <c r="C1" t="s">
        <v>531</v>
      </c>
      <c r="D1" t="s">
        <v>1265</v>
      </c>
      <c r="E1" t="s">
        <v>1266</v>
      </c>
      <c r="F1" t="s">
        <v>1267</v>
      </c>
      <c r="G1" t="s">
        <v>1268</v>
      </c>
      <c r="H1" t="s">
        <v>1269</v>
      </c>
      <c r="I1" t="s">
        <v>1270</v>
      </c>
      <c r="J1" t="s">
        <v>1271</v>
      </c>
      <c r="K1" t="s">
        <v>1272</v>
      </c>
      <c r="L1" t="s">
        <v>1273</v>
      </c>
      <c r="M1" t="s">
        <v>1274</v>
      </c>
      <c r="N1" t="s">
        <v>1275</v>
      </c>
    </row>
    <row r="2" spans="1:14">
      <c r="A2">
        <v>8</v>
      </c>
      <c r="B2">
        <v>1</v>
      </c>
      <c r="C2">
        <v>409</v>
      </c>
      <c r="D2">
        <f ca="1">ROUND(3+2*RAND(),0)</f>
        <v>4</v>
      </c>
      <c r="E2" t="str">
        <f>_xlfn.CONCAT(B2,"-",C2," arg1")</f>
        <v>1-409 arg1</v>
      </c>
      <c r="F2">
        <f ca="1">D2-ROUND(2*RAND(),0)</f>
        <v>4</v>
      </c>
      <c r="G2" t="str">
        <f>_xlfn.CONCAT(B2,"-",C2," feedback1")</f>
        <v>1-409 feedback1</v>
      </c>
      <c r="H2">
        <v>1</v>
      </c>
      <c r="I2">
        <f ca="1">MIN(5,F2+ROUND(RAND(),0))</f>
        <v>5</v>
      </c>
      <c r="J2" t="str">
        <f>_xlfn.CONCAT(B2,"-",C2," arg2")</f>
        <v>1-409 arg2</v>
      </c>
      <c r="K2" t="str">
        <f>_xlfn.CONCAT(B2,"-",C2," feedback2")</f>
        <v>1-409 feedback2</v>
      </c>
      <c r="L2">
        <v>1</v>
      </c>
      <c r="M2" t="s">
        <v>1285</v>
      </c>
      <c r="N2">
        <v>1</v>
      </c>
    </row>
    <row r="3" spans="1:14">
      <c r="A3">
        <v>8</v>
      </c>
      <c r="B3">
        <v>1</v>
      </c>
      <c r="C3">
        <v>410</v>
      </c>
      <c r="D3">
        <f t="shared" ref="D3:D66" ca="1" si="0">ROUND(3+2*RAND(),0)</f>
        <v>3</v>
      </c>
      <c r="E3" t="str">
        <f t="shared" ref="E3:E66" si="1">_xlfn.CONCAT(B3,"-",C3," arg1")</f>
        <v>1-410 arg1</v>
      </c>
      <c r="F3">
        <f t="shared" ref="F3:F66" ca="1" si="2">D3-ROUND(2*RAND(),0)</f>
        <v>1</v>
      </c>
      <c r="G3" t="str">
        <f t="shared" ref="G3:G66" si="3">_xlfn.CONCAT(B3,"-",C3," feedback1")</f>
        <v>1-410 feedback1</v>
      </c>
      <c r="H3">
        <v>1</v>
      </c>
      <c r="I3">
        <f t="shared" ref="I3:I66" ca="1" si="4">MIN(5,F3+ROUND(RAND(),0))</f>
        <v>2</v>
      </c>
      <c r="J3" t="str">
        <f t="shared" ref="J3:J66" si="5">_xlfn.CONCAT(B3,"-",C3," arg2")</f>
        <v>1-410 arg2</v>
      </c>
      <c r="K3" t="str">
        <f t="shared" ref="K3:K66" si="6">_xlfn.CONCAT(B3,"-",C3," feedback2")</f>
        <v>1-410 feedback2</v>
      </c>
      <c r="L3">
        <v>1</v>
      </c>
      <c r="M3" t="s">
        <v>1285</v>
      </c>
      <c r="N3">
        <v>2</v>
      </c>
    </row>
    <row r="4" spans="1:14">
      <c r="A4">
        <v>8</v>
      </c>
      <c r="B4">
        <v>1</v>
      </c>
      <c r="C4">
        <v>411</v>
      </c>
      <c r="D4">
        <f t="shared" ca="1" si="0"/>
        <v>3</v>
      </c>
      <c r="E4" t="str">
        <f t="shared" si="1"/>
        <v>1-411 arg1</v>
      </c>
      <c r="F4">
        <f t="shared" ca="1" si="2"/>
        <v>1</v>
      </c>
      <c r="G4" t="str">
        <f t="shared" si="3"/>
        <v>1-411 feedback1</v>
      </c>
      <c r="H4">
        <v>1</v>
      </c>
      <c r="I4">
        <f t="shared" ca="1" si="4"/>
        <v>1</v>
      </c>
      <c r="J4" t="str">
        <f t="shared" si="5"/>
        <v>1-411 arg2</v>
      </c>
      <c r="K4" t="str">
        <f t="shared" si="6"/>
        <v>1-411 feedback2</v>
      </c>
      <c r="L4">
        <v>1</v>
      </c>
      <c r="M4" t="s">
        <v>1285</v>
      </c>
      <c r="N4">
        <v>3</v>
      </c>
    </row>
    <row r="5" spans="1:14">
      <c r="A5">
        <v>8</v>
      </c>
      <c r="B5">
        <v>1</v>
      </c>
      <c r="C5">
        <v>412</v>
      </c>
      <c r="D5">
        <f t="shared" ca="1" si="0"/>
        <v>3</v>
      </c>
      <c r="E5" t="str">
        <f t="shared" si="1"/>
        <v>1-412 arg1</v>
      </c>
      <c r="F5">
        <f t="shared" ca="1" si="2"/>
        <v>2</v>
      </c>
      <c r="G5" t="str">
        <f t="shared" si="3"/>
        <v>1-412 feedback1</v>
      </c>
      <c r="H5">
        <v>1</v>
      </c>
      <c r="I5">
        <f t="shared" ca="1" si="4"/>
        <v>2</v>
      </c>
      <c r="J5" t="str">
        <f t="shared" si="5"/>
        <v>1-412 arg2</v>
      </c>
      <c r="K5" t="str">
        <f t="shared" si="6"/>
        <v>1-412 feedback2</v>
      </c>
      <c r="L5">
        <v>1</v>
      </c>
      <c r="M5" t="s">
        <v>1285</v>
      </c>
      <c r="N5">
        <v>4</v>
      </c>
    </row>
    <row r="6" spans="1:14">
      <c r="A6">
        <v>8</v>
      </c>
      <c r="B6">
        <v>1</v>
      </c>
      <c r="C6">
        <v>413</v>
      </c>
      <c r="D6">
        <f t="shared" ca="1" si="0"/>
        <v>4</v>
      </c>
      <c r="E6" t="str">
        <f t="shared" si="1"/>
        <v>1-413 arg1</v>
      </c>
      <c r="F6">
        <f t="shared" ca="1" si="2"/>
        <v>3</v>
      </c>
      <c r="G6" t="str">
        <f t="shared" si="3"/>
        <v>1-413 feedback1</v>
      </c>
      <c r="H6">
        <v>1</v>
      </c>
      <c r="I6">
        <f t="shared" ca="1" si="4"/>
        <v>4</v>
      </c>
      <c r="J6" t="str">
        <f t="shared" si="5"/>
        <v>1-413 arg2</v>
      </c>
      <c r="K6" t="str">
        <f t="shared" si="6"/>
        <v>1-413 feedback2</v>
      </c>
      <c r="L6">
        <v>1</v>
      </c>
      <c r="M6" t="s">
        <v>1285</v>
      </c>
      <c r="N6">
        <v>5</v>
      </c>
    </row>
    <row r="7" spans="1:14">
      <c r="A7">
        <v>8</v>
      </c>
      <c r="B7">
        <v>1</v>
      </c>
      <c r="C7">
        <v>414</v>
      </c>
      <c r="D7">
        <f t="shared" ca="1" si="0"/>
        <v>3</v>
      </c>
      <c r="E7" t="str">
        <f t="shared" si="1"/>
        <v>1-414 arg1</v>
      </c>
      <c r="F7">
        <f t="shared" ca="1" si="2"/>
        <v>1</v>
      </c>
      <c r="G7" t="str">
        <f t="shared" si="3"/>
        <v>1-414 feedback1</v>
      </c>
      <c r="H7">
        <v>1</v>
      </c>
      <c r="I7">
        <f t="shared" ca="1" si="4"/>
        <v>2</v>
      </c>
      <c r="J7" t="str">
        <f t="shared" si="5"/>
        <v>1-414 arg2</v>
      </c>
      <c r="K7" t="str">
        <f t="shared" si="6"/>
        <v>1-414 feedback2</v>
      </c>
      <c r="L7">
        <v>1</v>
      </c>
      <c r="M7" t="s">
        <v>1285</v>
      </c>
      <c r="N7">
        <v>6</v>
      </c>
    </row>
    <row r="8" spans="1:14">
      <c r="A8">
        <v>8</v>
      </c>
      <c r="B8">
        <v>1</v>
      </c>
      <c r="C8">
        <v>415</v>
      </c>
      <c r="D8">
        <f t="shared" ca="1" si="0"/>
        <v>4</v>
      </c>
      <c r="E8" t="str">
        <f t="shared" si="1"/>
        <v>1-415 arg1</v>
      </c>
      <c r="F8">
        <f t="shared" ca="1" si="2"/>
        <v>4</v>
      </c>
      <c r="G8" t="str">
        <f t="shared" si="3"/>
        <v>1-415 feedback1</v>
      </c>
      <c r="H8">
        <v>1</v>
      </c>
      <c r="I8">
        <f t="shared" ca="1" si="4"/>
        <v>5</v>
      </c>
      <c r="J8" t="str">
        <f t="shared" si="5"/>
        <v>1-415 arg2</v>
      </c>
      <c r="K8" t="str">
        <f t="shared" si="6"/>
        <v>1-415 feedback2</v>
      </c>
      <c r="L8">
        <v>1</v>
      </c>
      <c r="M8" t="s">
        <v>1285</v>
      </c>
      <c r="N8">
        <v>7</v>
      </c>
    </row>
    <row r="9" spans="1:14">
      <c r="A9">
        <v>8</v>
      </c>
      <c r="B9">
        <v>1</v>
      </c>
      <c r="C9">
        <v>416</v>
      </c>
      <c r="D9">
        <f t="shared" ca="1" si="0"/>
        <v>4</v>
      </c>
      <c r="E9" t="str">
        <f t="shared" si="1"/>
        <v>1-416 arg1</v>
      </c>
      <c r="F9">
        <f t="shared" ca="1" si="2"/>
        <v>3</v>
      </c>
      <c r="G9" t="str">
        <f t="shared" si="3"/>
        <v>1-416 feedback1</v>
      </c>
      <c r="H9">
        <v>1</v>
      </c>
      <c r="I9">
        <f t="shared" ca="1" si="4"/>
        <v>3</v>
      </c>
      <c r="J9" t="str">
        <f t="shared" si="5"/>
        <v>1-416 arg2</v>
      </c>
      <c r="K9" t="str">
        <f t="shared" si="6"/>
        <v>1-416 feedback2</v>
      </c>
      <c r="L9">
        <v>1</v>
      </c>
      <c r="M9" t="s">
        <v>1285</v>
      </c>
      <c r="N9">
        <v>8</v>
      </c>
    </row>
    <row r="10" spans="1:14">
      <c r="A10">
        <v>8</v>
      </c>
      <c r="B10">
        <v>1</v>
      </c>
      <c r="C10">
        <v>417</v>
      </c>
      <c r="D10">
        <f t="shared" ca="1" si="0"/>
        <v>5</v>
      </c>
      <c r="E10" t="str">
        <f t="shared" si="1"/>
        <v>1-417 arg1</v>
      </c>
      <c r="F10">
        <f t="shared" ca="1" si="2"/>
        <v>3</v>
      </c>
      <c r="G10" t="str">
        <f t="shared" si="3"/>
        <v>1-417 feedback1</v>
      </c>
      <c r="H10">
        <v>1</v>
      </c>
      <c r="I10">
        <f t="shared" ca="1" si="4"/>
        <v>4</v>
      </c>
      <c r="J10" t="str">
        <f t="shared" si="5"/>
        <v>1-417 arg2</v>
      </c>
      <c r="K10" t="str">
        <f t="shared" si="6"/>
        <v>1-417 feedback2</v>
      </c>
      <c r="L10">
        <v>1</v>
      </c>
      <c r="M10" t="s">
        <v>1285</v>
      </c>
      <c r="N10">
        <v>9</v>
      </c>
    </row>
    <row r="11" spans="1:14">
      <c r="A11">
        <v>8</v>
      </c>
      <c r="B11">
        <v>1</v>
      </c>
      <c r="C11">
        <v>418</v>
      </c>
      <c r="D11">
        <f t="shared" ca="1" si="0"/>
        <v>5</v>
      </c>
      <c r="E11" t="str">
        <f t="shared" si="1"/>
        <v>1-418 arg1</v>
      </c>
      <c r="F11">
        <f t="shared" ca="1" si="2"/>
        <v>3</v>
      </c>
      <c r="G11" t="str">
        <f t="shared" si="3"/>
        <v>1-418 feedback1</v>
      </c>
      <c r="H11">
        <v>1</v>
      </c>
      <c r="I11">
        <f t="shared" ca="1" si="4"/>
        <v>3</v>
      </c>
      <c r="J11" t="str">
        <f t="shared" si="5"/>
        <v>1-418 arg2</v>
      </c>
      <c r="K11" t="str">
        <f t="shared" si="6"/>
        <v>1-418 feedback2</v>
      </c>
      <c r="L11">
        <v>1</v>
      </c>
      <c r="M11" t="s">
        <v>1285</v>
      </c>
      <c r="N11">
        <v>10</v>
      </c>
    </row>
    <row r="12" spans="1:14">
      <c r="A12">
        <v>8</v>
      </c>
      <c r="B12">
        <v>1</v>
      </c>
      <c r="C12">
        <v>419</v>
      </c>
      <c r="D12">
        <f t="shared" ca="1" si="0"/>
        <v>3</v>
      </c>
      <c r="E12" t="str">
        <f t="shared" si="1"/>
        <v>1-419 arg1</v>
      </c>
      <c r="F12">
        <f t="shared" ca="1" si="2"/>
        <v>2</v>
      </c>
      <c r="G12" t="str">
        <f t="shared" si="3"/>
        <v>1-419 feedback1</v>
      </c>
      <c r="H12">
        <v>1</v>
      </c>
      <c r="I12">
        <f t="shared" ca="1" si="4"/>
        <v>3</v>
      </c>
      <c r="J12" t="str">
        <f t="shared" si="5"/>
        <v>1-419 arg2</v>
      </c>
      <c r="K12" t="str">
        <f t="shared" si="6"/>
        <v>1-419 feedback2</v>
      </c>
      <c r="L12">
        <v>1</v>
      </c>
      <c r="M12" t="s">
        <v>1285</v>
      </c>
      <c r="N12">
        <v>11</v>
      </c>
    </row>
    <row r="13" spans="1:14">
      <c r="A13">
        <v>8</v>
      </c>
      <c r="B13">
        <v>1</v>
      </c>
      <c r="C13">
        <v>420</v>
      </c>
      <c r="D13">
        <f t="shared" ca="1" si="0"/>
        <v>4</v>
      </c>
      <c r="E13" t="str">
        <f t="shared" si="1"/>
        <v>1-420 arg1</v>
      </c>
      <c r="F13">
        <f t="shared" ca="1" si="2"/>
        <v>3</v>
      </c>
      <c r="G13" t="str">
        <f t="shared" si="3"/>
        <v>1-420 feedback1</v>
      </c>
      <c r="H13">
        <v>1</v>
      </c>
      <c r="I13">
        <f t="shared" ca="1" si="4"/>
        <v>3</v>
      </c>
      <c r="J13" t="str">
        <f t="shared" si="5"/>
        <v>1-420 arg2</v>
      </c>
      <c r="K13" t="str">
        <f t="shared" si="6"/>
        <v>1-420 feedback2</v>
      </c>
      <c r="L13">
        <v>1</v>
      </c>
      <c r="M13" t="s">
        <v>1285</v>
      </c>
      <c r="N13">
        <v>12</v>
      </c>
    </row>
    <row r="14" spans="1:14">
      <c r="A14">
        <v>8</v>
      </c>
      <c r="B14">
        <v>1</v>
      </c>
      <c r="C14">
        <v>421</v>
      </c>
      <c r="D14">
        <f t="shared" ca="1" si="0"/>
        <v>3</v>
      </c>
      <c r="E14" t="str">
        <f t="shared" si="1"/>
        <v>1-421 arg1</v>
      </c>
      <c r="F14">
        <f t="shared" ca="1" si="2"/>
        <v>2</v>
      </c>
      <c r="G14" t="str">
        <f t="shared" si="3"/>
        <v>1-421 feedback1</v>
      </c>
      <c r="H14">
        <v>1</v>
      </c>
      <c r="I14">
        <f t="shared" ca="1" si="4"/>
        <v>2</v>
      </c>
      <c r="J14" t="str">
        <f t="shared" si="5"/>
        <v>1-421 arg2</v>
      </c>
      <c r="K14" t="str">
        <f t="shared" si="6"/>
        <v>1-421 feedback2</v>
      </c>
      <c r="L14">
        <v>1</v>
      </c>
      <c r="M14" t="s">
        <v>1285</v>
      </c>
      <c r="N14">
        <v>13</v>
      </c>
    </row>
    <row r="15" spans="1:14">
      <c r="A15">
        <v>8</v>
      </c>
      <c r="B15">
        <v>1</v>
      </c>
      <c r="C15">
        <v>422</v>
      </c>
      <c r="D15">
        <f t="shared" ca="1" si="0"/>
        <v>4</v>
      </c>
      <c r="E15" t="str">
        <f t="shared" si="1"/>
        <v>1-422 arg1</v>
      </c>
      <c r="F15">
        <f t="shared" ca="1" si="2"/>
        <v>3</v>
      </c>
      <c r="G15" t="str">
        <f t="shared" si="3"/>
        <v>1-422 feedback1</v>
      </c>
      <c r="H15">
        <v>1</v>
      </c>
      <c r="I15">
        <f t="shared" ca="1" si="4"/>
        <v>3</v>
      </c>
      <c r="J15" t="str">
        <f t="shared" si="5"/>
        <v>1-422 arg2</v>
      </c>
      <c r="K15" t="str">
        <f t="shared" si="6"/>
        <v>1-422 feedback2</v>
      </c>
      <c r="L15">
        <v>1</v>
      </c>
      <c r="M15" t="s">
        <v>1285</v>
      </c>
      <c r="N15">
        <v>14</v>
      </c>
    </row>
    <row r="16" spans="1:14">
      <c r="A16">
        <v>8</v>
      </c>
      <c r="B16">
        <v>1</v>
      </c>
      <c r="C16">
        <v>423</v>
      </c>
      <c r="D16">
        <f t="shared" ca="1" si="0"/>
        <v>3</v>
      </c>
      <c r="E16" t="str">
        <f t="shared" si="1"/>
        <v>1-423 arg1</v>
      </c>
      <c r="F16">
        <f t="shared" ca="1" si="2"/>
        <v>2</v>
      </c>
      <c r="G16" t="str">
        <f t="shared" si="3"/>
        <v>1-423 feedback1</v>
      </c>
      <c r="H16">
        <v>1</v>
      </c>
      <c r="I16">
        <f t="shared" ca="1" si="4"/>
        <v>2</v>
      </c>
      <c r="J16" t="str">
        <f t="shared" si="5"/>
        <v>1-423 arg2</v>
      </c>
      <c r="K16" t="str">
        <f t="shared" si="6"/>
        <v>1-423 feedback2</v>
      </c>
      <c r="L16">
        <v>1</v>
      </c>
      <c r="M16" t="s">
        <v>1285</v>
      </c>
      <c r="N16">
        <v>15</v>
      </c>
    </row>
    <row r="17" spans="1:14">
      <c r="A17">
        <v>8</v>
      </c>
      <c r="B17">
        <v>1</v>
      </c>
      <c r="C17">
        <v>424</v>
      </c>
      <c r="D17">
        <f t="shared" ca="1" si="0"/>
        <v>4</v>
      </c>
      <c r="E17" t="str">
        <f t="shared" si="1"/>
        <v>1-424 arg1</v>
      </c>
      <c r="F17">
        <f t="shared" ca="1" si="2"/>
        <v>3</v>
      </c>
      <c r="G17" t="str">
        <f t="shared" si="3"/>
        <v>1-424 feedback1</v>
      </c>
      <c r="H17">
        <v>1</v>
      </c>
      <c r="I17">
        <f t="shared" ca="1" si="4"/>
        <v>4</v>
      </c>
      <c r="J17" t="str">
        <f t="shared" si="5"/>
        <v>1-424 arg2</v>
      </c>
      <c r="K17" t="str">
        <f t="shared" si="6"/>
        <v>1-424 feedback2</v>
      </c>
      <c r="L17">
        <v>1</v>
      </c>
      <c r="M17" t="s">
        <v>1285</v>
      </c>
      <c r="N17">
        <v>16</v>
      </c>
    </row>
    <row r="18" spans="1:14">
      <c r="A18">
        <v>8</v>
      </c>
      <c r="B18">
        <v>1</v>
      </c>
      <c r="C18">
        <v>425</v>
      </c>
      <c r="D18">
        <f t="shared" ca="1" si="0"/>
        <v>4</v>
      </c>
      <c r="E18" t="str">
        <f t="shared" si="1"/>
        <v>1-425 arg1</v>
      </c>
      <c r="F18">
        <f t="shared" ca="1" si="2"/>
        <v>2</v>
      </c>
      <c r="G18" t="str">
        <f t="shared" si="3"/>
        <v>1-425 feedback1</v>
      </c>
      <c r="H18">
        <v>1</v>
      </c>
      <c r="I18">
        <f t="shared" ca="1" si="4"/>
        <v>2</v>
      </c>
      <c r="J18" t="str">
        <f t="shared" si="5"/>
        <v>1-425 arg2</v>
      </c>
      <c r="K18" t="str">
        <f t="shared" si="6"/>
        <v>1-425 feedback2</v>
      </c>
      <c r="L18">
        <v>1</v>
      </c>
      <c r="M18" t="s">
        <v>1285</v>
      </c>
      <c r="N18">
        <v>17</v>
      </c>
    </row>
    <row r="19" spans="1:14">
      <c r="A19">
        <v>8</v>
      </c>
      <c r="B19">
        <v>1</v>
      </c>
      <c r="C19">
        <v>426</v>
      </c>
      <c r="D19">
        <f t="shared" ca="1" si="0"/>
        <v>5</v>
      </c>
      <c r="E19" s="157" t="s">
        <v>1313</v>
      </c>
      <c r="F19" s="157" t="s">
        <v>1313</v>
      </c>
      <c r="G19" t="str">
        <f t="shared" si="3"/>
        <v>1-426 feedback1</v>
      </c>
      <c r="H19">
        <v>1</v>
      </c>
      <c r="I19" t="e">
        <f t="shared" ca="1" si="4"/>
        <v>#VALUE!</v>
      </c>
      <c r="J19" t="str">
        <f t="shared" si="5"/>
        <v>1-426 arg2</v>
      </c>
      <c r="K19" t="str">
        <f t="shared" si="6"/>
        <v>1-426 feedback2</v>
      </c>
      <c r="L19">
        <v>1</v>
      </c>
      <c r="M19" t="s">
        <v>1285</v>
      </c>
      <c r="N19">
        <v>18</v>
      </c>
    </row>
    <row r="20" spans="1:14">
      <c r="A20">
        <v>8</v>
      </c>
      <c r="B20">
        <v>1</v>
      </c>
      <c r="C20">
        <v>427</v>
      </c>
      <c r="D20">
        <f t="shared" ca="1" si="0"/>
        <v>4</v>
      </c>
      <c r="E20" t="str">
        <f t="shared" si="1"/>
        <v>1-427 arg1</v>
      </c>
      <c r="F20">
        <f t="shared" ca="1" si="2"/>
        <v>2</v>
      </c>
      <c r="G20" t="str">
        <f t="shared" si="3"/>
        <v>1-427 feedback1</v>
      </c>
      <c r="H20">
        <v>1</v>
      </c>
      <c r="I20">
        <f t="shared" ca="1" si="4"/>
        <v>2</v>
      </c>
      <c r="J20" t="str">
        <f t="shared" si="5"/>
        <v>1-427 arg2</v>
      </c>
      <c r="K20" t="str">
        <f t="shared" si="6"/>
        <v>1-427 feedback2</v>
      </c>
      <c r="L20">
        <v>1</v>
      </c>
      <c r="M20" t="s">
        <v>1285</v>
      </c>
      <c r="N20">
        <v>19</v>
      </c>
    </row>
    <row r="21" spans="1:14">
      <c r="A21">
        <v>8</v>
      </c>
      <c r="B21">
        <v>1</v>
      </c>
      <c r="C21">
        <v>428</v>
      </c>
      <c r="D21">
        <f t="shared" ca="1" si="0"/>
        <v>4</v>
      </c>
      <c r="E21" t="str">
        <f t="shared" si="1"/>
        <v>1-428 arg1</v>
      </c>
      <c r="F21">
        <f t="shared" ca="1" si="2"/>
        <v>2</v>
      </c>
      <c r="G21" t="str">
        <f t="shared" si="3"/>
        <v>1-428 feedback1</v>
      </c>
      <c r="H21">
        <v>1</v>
      </c>
      <c r="I21">
        <f t="shared" ca="1" si="4"/>
        <v>3</v>
      </c>
      <c r="J21" t="str">
        <f t="shared" si="5"/>
        <v>1-428 arg2</v>
      </c>
      <c r="K21" t="str">
        <f t="shared" si="6"/>
        <v>1-428 feedback2</v>
      </c>
      <c r="L21">
        <v>1</v>
      </c>
      <c r="M21" t="s">
        <v>1285</v>
      </c>
      <c r="N21">
        <v>20</v>
      </c>
    </row>
    <row r="22" spans="1:14">
      <c r="A22">
        <v>8</v>
      </c>
      <c r="B22">
        <v>1</v>
      </c>
      <c r="C22">
        <v>429</v>
      </c>
      <c r="D22">
        <f t="shared" ca="1" si="0"/>
        <v>5</v>
      </c>
      <c r="E22" t="str">
        <f t="shared" si="1"/>
        <v>1-429 arg1</v>
      </c>
      <c r="F22">
        <f t="shared" ca="1" si="2"/>
        <v>4</v>
      </c>
      <c r="G22" t="str">
        <f t="shared" si="3"/>
        <v>1-429 feedback1</v>
      </c>
      <c r="H22">
        <v>1</v>
      </c>
      <c r="I22">
        <f t="shared" ca="1" si="4"/>
        <v>5</v>
      </c>
      <c r="J22" t="str">
        <f t="shared" si="5"/>
        <v>1-429 arg2</v>
      </c>
      <c r="K22" t="str">
        <f t="shared" si="6"/>
        <v>1-429 feedback2</v>
      </c>
      <c r="L22">
        <v>1</v>
      </c>
      <c r="M22" t="s">
        <v>1285</v>
      </c>
      <c r="N22">
        <v>21</v>
      </c>
    </row>
    <row r="23" spans="1:14">
      <c r="A23">
        <v>8</v>
      </c>
      <c r="B23">
        <v>1</v>
      </c>
      <c r="C23">
        <v>430</v>
      </c>
      <c r="D23">
        <f t="shared" ca="1" si="0"/>
        <v>5</v>
      </c>
      <c r="E23" t="str">
        <f t="shared" si="1"/>
        <v>1-430 arg1</v>
      </c>
      <c r="F23">
        <f t="shared" ca="1" si="2"/>
        <v>3</v>
      </c>
      <c r="G23" t="str">
        <f t="shared" si="3"/>
        <v>1-430 feedback1</v>
      </c>
      <c r="H23">
        <v>1</v>
      </c>
      <c r="I23">
        <f t="shared" ca="1" si="4"/>
        <v>3</v>
      </c>
      <c r="J23" t="str">
        <f t="shared" si="5"/>
        <v>1-430 arg2</v>
      </c>
      <c r="K23" t="str">
        <f t="shared" si="6"/>
        <v>1-430 feedback2</v>
      </c>
      <c r="L23">
        <v>1</v>
      </c>
      <c r="M23" t="s">
        <v>1285</v>
      </c>
      <c r="N23">
        <v>22</v>
      </c>
    </row>
    <row r="24" spans="1:14">
      <c r="A24">
        <v>8</v>
      </c>
      <c r="B24">
        <v>1</v>
      </c>
      <c r="C24">
        <v>431</v>
      </c>
      <c r="D24">
        <f t="shared" ca="1" si="0"/>
        <v>3</v>
      </c>
      <c r="E24" t="str">
        <f t="shared" si="1"/>
        <v>1-431 arg1</v>
      </c>
      <c r="F24">
        <f t="shared" ca="1" si="2"/>
        <v>3</v>
      </c>
      <c r="G24" t="str">
        <f t="shared" si="3"/>
        <v>1-431 feedback1</v>
      </c>
      <c r="H24">
        <v>1</v>
      </c>
      <c r="I24">
        <f t="shared" ca="1" si="4"/>
        <v>4</v>
      </c>
      <c r="J24" t="str">
        <f t="shared" si="5"/>
        <v>1-431 arg2</v>
      </c>
      <c r="K24" t="str">
        <f t="shared" si="6"/>
        <v>1-431 feedback2</v>
      </c>
      <c r="L24">
        <v>1</v>
      </c>
      <c r="M24" t="s">
        <v>1285</v>
      </c>
      <c r="N24">
        <v>23</v>
      </c>
    </row>
    <row r="25" spans="1:14">
      <c r="A25">
        <v>8</v>
      </c>
      <c r="B25">
        <v>1</v>
      </c>
      <c r="C25">
        <v>432</v>
      </c>
      <c r="D25">
        <f t="shared" ca="1" si="0"/>
        <v>4</v>
      </c>
      <c r="E25" t="str">
        <f t="shared" si="1"/>
        <v>1-432 arg1</v>
      </c>
      <c r="F25">
        <f t="shared" ca="1" si="2"/>
        <v>3</v>
      </c>
      <c r="G25" t="str">
        <f t="shared" si="3"/>
        <v>1-432 feedback1</v>
      </c>
      <c r="H25">
        <v>1</v>
      </c>
      <c r="I25">
        <f t="shared" ca="1" si="4"/>
        <v>3</v>
      </c>
      <c r="J25" t="str">
        <f t="shared" si="5"/>
        <v>1-432 arg2</v>
      </c>
      <c r="K25" t="str">
        <f t="shared" si="6"/>
        <v>1-432 feedback2</v>
      </c>
      <c r="L25">
        <v>1</v>
      </c>
      <c r="M25" t="s">
        <v>1285</v>
      </c>
      <c r="N25">
        <v>24</v>
      </c>
    </row>
    <row r="26" spans="1:14">
      <c r="A26">
        <v>8</v>
      </c>
      <c r="B26">
        <v>1</v>
      </c>
      <c r="C26">
        <v>433</v>
      </c>
      <c r="D26">
        <f t="shared" ca="1" si="0"/>
        <v>5</v>
      </c>
      <c r="E26" t="str">
        <f t="shared" si="1"/>
        <v>1-433 arg1</v>
      </c>
      <c r="F26">
        <f t="shared" ca="1" si="2"/>
        <v>4</v>
      </c>
      <c r="G26" t="str">
        <f t="shared" si="3"/>
        <v>1-433 feedback1</v>
      </c>
      <c r="H26">
        <v>1</v>
      </c>
      <c r="I26">
        <f t="shared" ca="1" si="4"/>
        <v>4</v>
      </c>
      <c r="J26" t="str">
        <f t="shared" si="5"/>
        <v>1-433 arg2</v>
      </c>
      <c r="K26" t="str">
        <f t="shared" si="6"/>
        <v>1-433 feedback2</v>
      </c>
      <c r="L26">
        <v>1</v>
      </c>
      <c r="M26" t="s">
        <v>1285</v>
      </c>
      <c r="N26">
        <v>25</v>
      </c>
    </row>
    <row r="27" spans="1:14">
      <c r="A27">
        <v>8</v>
      </c>
      <c r="B27">
        <v>1</v>
      </c>
      <c r="C27">
        <v>434</v>
      </c>
      <c r="D27">
        <f t="shared" ca="1" si="0"/>
        <v>3</v>
      </c>
      <c r="E27" t="str">
        <f t="shared" si="1"/>
        <v>1-434 arg1</v>
      </c>
      <c r="F27">
        <f t="shared" ca="1" si="2"/>
        <v>2</v>
      </c>
      <c r="G27" t="str">
        <f t="shared" si="3"/>
        <v>1-434 feedback1</v>
      </c>
      <c r="H27">
        <v>1</v>
      </c>
      <c r="I27">
        <f t="shared" ca="1" si="4"/>
        <v>2</v>
      </c>
      <c r="J27" t="str">
        <f t="shared" si="5"/>
        <v>1-434 arg2</v>
      </c>
      <c r="K27" t="str">
        <f t="shared" si="6"/>
        <v>1-434 feedback2</v>
      </c>
      <c r="L27">
        <v>1</v>
      </c>
      <c r="M27" t="s">
        <v>1285</v>
      </c>
      <c r="N27">
        <v>26</v>
      </c>
    </row>
    <row r="28" spans="1:14">
      <c r="A28">
        <v>8</v>
      </c>
      <c r="B28">
        <v>1</v>
      </c>
      <c r="C28">
        <v>435</v>
      </c>
      <c r="D28">
        <f t="shared" ca="1" si="0"/>
        <v>3</v>
      </c>
      <c r="E28" t="str">
        <f t="shared" si="1"/>
        <v>1-435 arg1</v>
      </c>
      <c r="F28">
        <f t="shared" ca="1" si="2"/>
        <v>2</v>
      </c>
      <c r="G28" t="str">
        <f t="shared" si="3"/>
        <v>1-435 feedback1</v>
      </c>
      <c r="H28">
        <v>1</v>
      </c>
      <c r="I28">
        <f t="shared" ca="1" si="4"/>
        <v>2</v>
      </c>
      <c r="J28" t="str">
        <f t="shared" si="5"/>
        <v>1-435 arg2</v>
      </c>
      <c r="K28" t="str">
        <f t="shared" si="6"/>
        <v>1-435 feedback2</v>
      </c>
      <c r="L28">
        <v>1</v>
      </c>
      <c r="M28" t="s">
        <v>1285</v>
      </c>
      <c r="N28">
        <v>27</v>
      </c>
    </row>
    <row r="29" spans="1:14">
      <c r="A29">
        <v>8</v>
      </c>
      <c r="B29">
        <v>1</v>
      </c>
      <c r="C29">
        <v>436</v>
      </c>
      <c r="D29">
        <f t="shared" ca="1" si="0"/>
        <v>4</v>
      </c>
      <c r="E29" t="str">
        <f t="shared" si="1"/>
        <v>1-436 arg1</v>
      </c>
      <c r="F29">
        <f t="shared" ca="1" si="2"/>
        <v>2</v>
      </c>
      <c r="G29" t="str">
        <f t="shared" si="3"/>
        <v>1-436 feedback1</v>
      </c>
      <c r="H29">
        <v>1</v>
      </c>
      <c r="I29">
        <f t="shared" ca="1" si="4"/>
        <v>2</v>
      </c>
      <c r="J29" t="str">
        <f t="shared" si="5"/>
        <v>1-436 arg2</v>
      </c>
      <c r="K29" t="str">
        <f t="shared" si="6"/>
        <v>1-436 feedback2</v>
      </c>
      <c r="L29">
        <v>1</v>
      </c>
      <c r="M29" t="s">
        <v>1285</v>
      </c>
      <c r="N29">
        <v>28</v>
      </c>
    </row>
    <row r="30" spans="1:14">
      <c r="A30">
        <v>8</v>
      </c>
      <c r="B30">
        <v>1</v>
      </c>
      <c r="C30">
        <v>437</v>
      </c>
      <c r="D30">
        <f t="shared" ca="1" si="0"/>
        <v>3</v>
      </c>
      <c r="E30" t="str">
        <f t="shared" si="1"/>
        <v>1-437 arg1</v>
      </c>
      <c r="F30">
        <f t="shared" ca="1" si="2"/>
        <v>2</v>
      </c>
      <c r="G30" t="str">
        <f t="shared" si="3"/>
        <v>1-437 feedback1</v>
      </c>
      <c r="H30">
        <v>1</v>
      </c>
      <c r="I30">
        <f t="shared" ca="1" si="4"/>
        <v>2</v>
      </c>
      <c r="J30" t="str">
        <f t="shared" si="5"/>
        <v>1-437 arg2</v>
      </c>
      <c r="K30" t="str">
        <f t="shared" si="6"/>
        <v>1-437 feedback2</v>
      </c>
      <c r="L30">
        <v>1</v>
      </c>
      <c r="M30" t="s">
        <v>1285</v>
      </c>
      <c r="N30">
        <v>29</v>
      </c>
    </row>
    <row r="31" spans="1:14">
      <c r="A31">
        <v>8</v>
      </c>
      <c r="B31">
        <v>1</v>
      </c>
      <c r="C31">
        <v>438</v>
      </c>
      <c r="D31">
        <f t="shared" ca="1" si="0"/>
        <v>3</v>
      </c>
      <c r="E31" t="str">
        <f t="shared" si="1"/>
        <v>1-438 arg1</v>
      </c>
      <c r="F31">
        <f t="shared" ca="1" si="2"/>
        <v>1</v>
      </c>
      <c r="G31" t="str">
        <f t="shared" si="3"/>
        <v>1-438 feedback1</v>
      </c>
      <c r="H31">
        <v>1</v>
      </c>
      <c r="I31">
        <f t="shared" ca="1" si="4"/>
        <v>1</v>
      </c>
      <c r="J31" t="str">
        <f t="shared" si="5"/>
        <v>1-438 arg2</v>
      </c>
      <c r="K31" t="str">
        <f t="shared" si="6"/>
        <v>1-438 feedback2</v>
      </c>
      <c r="L31">
        <v>1</v>
      </c>
      <c r="M31" t="s">
        <v>1285</v>
      </c>
      <c r="N31">
        <v>30</v>
      </c>
    </row>
    <row r="32" spans="1:14">
      <c r="A32">
        <v>8</v>
      </c>
      <c r="B32">
        <v>1</v>
      </c>
      <c r="C32">
        <v>439</v>
      </c>
      <c r="D32">
        <f t="shared" ca="1" si="0"/>
        <v>5</v>
      </c>
      <c r="E32" t="str">
        <f t="shared" si="1"/>
        <v>1-439 arg1</v>
      </c>
      <c r="F32">
        <f t="shared" ca="1" si="2"/>
        <v>4</v>
      </c>
      <c r="G32" t="str">
        <f t="shared" si="3"/>
        <v>1-439 feedback1</v>
      </c>
      <c r="H32">
        <v>1</v>
      </c>
      <c r="I32">
        <f t="shared" ca="1" si="4"/>
        <v>4</v>
      </c>
      <c r="J32" t="str">
        <f t="shared" si="5"/>
        <v>1-439 arg2</v>
      </c>
      <c r="K32" t="str">
        <f t="shared" si="6"/>
        <v>1-439 feedback2</v>
      </c>
      <c r="L32">
        <v>1</v>
      </c>
      <c r="M32" t="s">
        <v>1285</v>
      </c>
      <c r="N32">
        <v>31</v>
      </c>
    </row>
    <row r="33" spans="1:14">
      <c r="A33">
        <v>8</v>
      </c>
      <c r="B33">
        <v>1</v>
      </c>
      <c r="C33">
        <v>440</v>
      </c>
      <c r="D33">
        <f t="shared" ca="1" si="0"/>
        <v>4</v>
      </c>
      <c r="E33" t="str">
        <f t="shared" si="1"/>
        <v>1-440 arg1</v>
      </c>
      <c r="F33">
        <f t="shared" ca="1" si="2"/>
        <v>4</v>
      </c>
      <c r="G33" t="str">
        <f t="shared" si="3"/>
        <v>1-440 feedback1</v>
      </c>
      <c r="H33">
        <v>1</v>
      </c>
      <c r="I33">
        <f t="shared" ca="1" si="4"/>
        <v>4</v>
      </c>
      <c r="J33" t="str">
        <f t="shared" si="5"/>
        <v>1-440 arg2</v>
      </c>
      <c r="K33" t="str">
        <f t="shared" si="6"/>
        <v>1-440 feedback2</v>
      </c>
      <c r="L33">
        <v>1</v>
      </c>
      <c r="M33" t="s">
        <v>1285</v>
      </c>
      <c r="N33">
        <v>32</v>
      </c>
    </row>
    <row r="34" spans="1:14">
      <c r="A34">
        <v>8</v>
      </c>
      <c r="B34">
        <v>1</v>
      </c>
      <c r="C34">
        <v>441</v>
      </c>
      <c r="D34">
        <f t="shared" ca="1" si="0"/>
        <v>4</v>
      </c>
      <c r="E34" t="str">
        <f t="shared" si="1"/>
        <v>1-441 arg1</v>
      </c>
      <c r="F34">
        <f t="shared" ca="1" si="2"/>
        <v>3</v>
      </c>
      <c r="G34" t="str">
        <f t="shared" si="3"/>
        <v>1-441 feedback1</v>
      </c>
      <c r="H34">
        <v>1</v>
      </c>
      <c r="I34">
        <f t="shared" ca="1" si="4"/>
        <v>4</v>
      </c>
      <c r="J34" t="str">
        <f t="shared" si="5"/>
        <v>1-441 arg2</v>
      </c>
      <c r="K34" t="str">
        <f t="shared" si="6"/>
        <v>1-441 feedback2</v>
      </c>
      <c r="L34">
        <v>1</v>
      </c>
      <c r="M34" t="s">
        <v>1285</v>
      </c>
      <c r="N34">
        <v>33</v>
      </c>
    </row>
    <row r="35" spans="1:14">
      <c r="A35">
        <v>8</v>
      </c>
      <c r="B35">
        <v>1</v>
      </c>
      <c r="C35">
        <v>442</v>
      </c>
      <c r="D35">
        <f t="shared" ca="1" si="0"/>
        <v>5</v>
      </c>
      <c r="E35" t="str">
        <f t="shared" si="1"/>
        <v>1-442 arg1</v>
      </c>
      <c r="F35">
        <f t="shared" ca="1" si="2"/>
        <v>5</v>
      </c>
      <c r="G35" t="str">
        <f t="shared" si="3"/>
        <v>1-442 feedback1</v>
      </c>
      <c r="H35">
        <v>1</v>
      </c>
      <c r="I35">
        <f t="shared" ca="1" si="4"/>
        <v>5</v>
      </c>
      <c r="J35" t="str">
        <f t="shared" si="5"/>
        <v>1-442 arg2</v>
      </c>
      <c r="K35" t="str">
        <f t="shared" si="6"/>
        <v>1-442 feedback2</v>
      </c>
      <c r="L35">
        <v>1</v>
      </c>
      <c r="M35" t="s">
        <v>1285</v>
      </c>
      <c r="N35">
        <v>34</v>
      </c>
    </row>
    <row r="36" spans="1:14">
      <c r="A36">
        <v>8</v>
      </c>
      <c r="B36">
        <v>1</v>
      </c>
      <c r="C36">
        <v>443</v>
      </c>
      <c r="D36">
        <f t="shared" ca="1" si="0"/>
        <v>3</v>
      </c>
      <c r="E36" t="str">
        <f t="shared" si="1"/>
        <v>1-443 arg1</v>
      </c>
      <c r="F36">
        <f t="shared" ca="1" si="2"/>
        <v>2</v>
      </c>
      <c r="G36" t="str">
        <f t="shared" si="3"/>
        <v>1-443 feedback1</v>
      </c>
      <c r="H36">
        <v>1</v>
      </c>
      <c r="I36">
        <f t="shared" ca="1" si="4"/>
        <v>2</v>
      </c>
      <c r="J36" t="str">
        <f t="shared" si="5"/>
        <v>1-443 arg2</v>
      </c>
      <c r="K36" t="str">
        <f t="shared" si="6"/>
        <v>1-443 feedback2</v>
      </c>
      <c r="L36">
        <v>1</v>
      </c>
      <c r="M36" t="s">
        <v>1285</v>
      </c>
      <c r="N36">
        <v>35</v>
      </c>
    </row>
    <row r="37" spans="1:14">
      <c r="A37">
        <v>8</v>
      </c>
      <c r="B37">
        <v>1</v>
      </c>
      <c r="C37">
        <v>444</v>
      </c>
      <c r="D37">
        <f t="shared" ca="1" si="0"/>
        <v>4</v>
      </c>
      <c r="E37" t="str">
        <f t="shared" si="1"/>
        <v>1-444 arg1</v>
      </c>
      <c r="F37">
        <f t="shared" ca="1" si="2"/>
        <v>4</v>
      </c>
      <c r="G37" t="str">
        <f t="shared" si="3"/>
        <v>1-444 feedback1</v>
      </c>
      <c r="H37">
        <v>1</v>
      </c>
      <c r="I37">
        <f t="shared" ca="1" si="4"/>
        <v>4</v>
      </c>
      <c r="J37" t="str">
        <f t="shared" si="5"/>
        <v>1-444 arg2</v>
      </c>
      <c r="K37" t="str">
        <f t="shared" si="6"/>
        <v>1-444 feedback2</v>
      </c>
      <c r="L37">
        <v>1</v>
      </c>
      <c r="M37" t="s">
        <v>1285</v>
      </c>
      <c r="N37">
        <v>36</v>
      </c>
    </row>
    <row r="38" spans="1:14">
      <c r="A38">
        <v>8</v>
      </c>
      <c r="B38">
        <v>1</v>
      </c>
      <c r="C38">
        <v>445</v>
      </c>
      <c r="D38">
        <f ca="1">ROUND(3+2*RAND(),0)</f>
        <v>4</v>
      </c>
      <c r="E38" t="str">
        <f t="shared" si="1"/>
        <v>1-445 arg1</v>
      </c>
      <c r="F38">
        <f t="shared" ca="1" si="2"/>
        <v>3</v>
      </c>
      <c r="G38" t="str">
        <f t="shared" si="3"/>
        <v>1-445 feedback1</v>
      </c>
      <c r="H38">
        <v>1</v>
      </c>
      <c r="I38">
        <f t="shared" ca="1" si="4"/>
        <v>3</v>
      </c>
      <c r="J38" t="str">
        <f t="shared" si="5"/>
        <v>1-445 arg2</v>
      </c>
      <c r="K38" t="str">
        <f t="shared" si="6"/>
        <v>1-445 feedback2</v>
      </c>
      <c r="L38">
        <v>1</v>
      </c>
      <c r="M38" t="s">
        <v>1285</v>
      </c>
      <c r="N38">
        <v>37</v>
      </c>
    </row>
    <row r="39" spans="1:14">
      <c r="A39">
        <v>8</v>
      </c>
      <c r="B39">
        <v>1</v>
      </c>
      <c r="C39">
        <v>446</v>
      </c>
      <c r="D39">
        <f t="shared" ca="1" si="0"/>
        <v>4</v>
      </c>
      <c r="E39" t="str">
        <f t="shared" si="1"/>
        <v>1-446 arg1</v>
      </c>
      <c r="F39">
        <f t="shared" ca="1" si="2"/>
        <v>3</v>
      </c>
      <c r="G39" t="str">
        <f t="shared" si="3"/>
        <v>1-446 feedback1</v>
      </c>
      <c r="H39">
        <v>1</v>
      </c>
      <c r="I39">
        <f t="shared" ca="1" si="4"/>
        <v>4</v>
      </c>
      <c r="J39" t="str">
        <f t="shared" si="5"/>
        <v>1-446 arg2</v>
      </c>
      <c r="K39" t="str">
        <f t="shared" si="6"/>
        <v>1-446 feedback2</v>
      </c>
      <c r="L39">
        <v>1</v>
      </c>
      <c r="M39" t="s">
        <v>1285</v>
      </c>
      <c r="N39">
        <v>38</v>
      </c>
    </row>
    <row r="40" spans="1:14">
      <c r="A40">
        <v>8</v>
      </c>
      <c r="B40">
        <v>1</v>
      </c>
      <c r="C40">
        <v>447</v>
      </c>
      <c r="D40">
        <f t="shared" ca="1" si="0"/>
        <v>4</v>
      </c>
      <c r="E40" t="str">
        <f t="shared" si="1"/>
        <v>1-447 arg1</v>
      </c>
      <c r="F40">
        <f t="shared" ca="1" si="2"/>
        <v>2</v>
      </c>
      <c r="G40" t="str">
        <f t="shared" si="3"/>
        <v>1-447 feedback1</v>
      </c>
      <c r="H40">
        <v>1</v>
      </c>
      <c r="I40">
        <f t="shared" ca="1" si="4"/>
        <v>3</v>
      </c>
      <c r="J40" t="str">
        <f t="shared" si="5"/>
        <v>1-447 arg2</v>
      </c>
      <c r="K40" t="str">
        <f t="shared" si="6"/>
        <v>1-447 feedback2</v>
      </c>
      <c r="L40">
        <v>1</v>
      </c>
      <c r="M40" t="s">
        <v>1285</v>
      </c>
      <c r="N40">
        <v>39</v>
      </c>
    </row>
    <row r="41" spans="1:14">
      <c r="A41">
        <v>8</v>
      </c>
      <c r="B41">
        <v>1</v>
      </c>
      <c r="C41">
        <v>448</v>
      </c>
      <c r="D41">
        <f t="shared" ca="1" si="0"/>
        <v>4</v>
      </c>
      <c r="E41" t="str">
        <f t="shared" si="1"/>
        <v>1-448 arg1</v>
      </c>
      <c r="F41">
        <f t="shared" ca="1" si="2"/>
        <v>2</v>
      </c>
      <c r="G41" t="str">
        <f t="shared" si="3"/>
        <v>1-448 feedback1</v>
      </c>
      <c r="H41">
        <v>1</v>
      </c>
      <c r="I41">
        <f t="shared" ca="1" si="4"/>
        <v>2</v>
      </c>
      <c r="J41" t="str">
        <f t="shared" si="5"/>
        <v>1-448 arg2</v>
      </c>
      <c r="K41" t="str">
        <f t="shared" si="6"/>
        <v>1-448 feedback2</v>
      </c>
      <c r="L41">
        <v>1</v>
      </c>
      <c r="M41" t="s">
        <v>1285</v>
      </c>
      <c r="N41">
        <v>40</v>
      </c>
    </row>
    <row r="42" spans="1:14">
      <c r="A42">
        <v>8</v>
      </c>
      <c r="B42">
        <v>1</v>
      </c>
      <c r="C42">
        <v>449</v>
      </c>
      <c r="D42">
        <f t="shared" ca="1" si="0"/>
        <v>4</v>
      </c>
      <c r="E42" t="str">
        <f t="shared" si="1"/>
        <v>1-449 arg1</v>
      </c>
      <c r="F42">
        <f t="shared" ca="1" si="2"/>
        <v>3</v>
      </c>
      <c r="G42" t="str">
        <f t="shared" si="3"/>
        <v>1-449 feedback1</v>
      </c>
      <c r="H42">
        <v>1</v>
      </c>
      <c r="I42">
        <f t="shared" ca="1" si="4"/>
        <v>4</v>
      </c>
      <c r="J42" t="str">
        <f t="shared" si="5"/>
        <v>1-449 arg2</v>
      </c>
      <c r="K42" t="str">
        <f t="shared" si="6"/>
        <v>1-449 feedback2</v>
      </c>
      <c r="L42">
        <v>1</v>
      </c>
      <c r="M42" t="s">
        <v>1285</v>
      </c>
      <c r="N42">
        <v>41</v>
      </c>
    </row>
    <row r="43" spans="1:14">
      <c r="A43">
        <v>8</v>
      </c>
      <c r="B43">
        <v>1</v>
      </c>
      <c r="C43">
        <v>450</v>
      </c>
      <c r="D43">
        <f t="shared" ca="1" si="0"/>
        <v>4</v>
      </c>
      <c r="E43" t="str">
        <f t="shared" si="1"/>
        <v>1-450 arg1</v>
      </c>
      <c r="F43">
        <f t="shared" ca="1" si="2"/>
        <v>3</v>
      </c>
      <c r="G43" t="str">
        <f t="shared" si="3"/>
        <v>1-450 feedback1</v>
      </c>
      <c r="H43">
        <v>1</v>
      </c>
      <c r="I43">
        <f t="shared" ca="1" si="4"/>
        <v>3</v>
      </c>
      <c r="J43" t="str">
        <f t="shared" si="5"/>
        <v>1-450 arg2</v>
      </c>
      <c r="K43" t="str">
        <f t="shared" si="6"/>
        <v>1-450 feedback2</v>
      </c>
      <c r="L43">
        <v>1</v>
      </c>
      <c r="M43" t="s">
        <v>1285</v>
      </c>
      <c r="N43">
        <v>42</v>
      </c>
    </row>
    <row r="44" spans="1:14">
      <c r="A44">
        <v>8</v>
      </c>
      <c r="B44">
        <v>1</v>
      </c>
      <c r="C44">
        <v>451</v>
      </c>
      <c r="D44">
        <f t="shared" ca="1" si="0"/>
        <v>3</v>
      </c>
      <c r="E44" t="str">
        <f t="shared" si="1"/>
        <v>1-451 arg1</v>
      </c>
      <c r="F44">
        <f t="shared" ca="1" si="2"/>
        <v>2</v>
      </c>
      <c r="G44" t="str">
        <f t="shared" si="3"/>
        <v>1-451 feedback1</v>
      </c>
      <c r="H44">
        <v>1</v>
      </c>
      <c r="I44">
        <f t="shared" ca="1" si="4"/>
        <v>2</v>
      </c>
      <c r="J44" t="str">
        <f t="shared" si="5"/>
        <v>1-451 arg2</v>
      </c>
      <c r="K44" t="str">
        <f t="shared" si="6"/>
        <v>1-451 feedback2</v>
      </c>
      <c r="L44">
        <v>1</v>
      </c>
      <c r="M44" t="s">
        <v>1285</v>
      </c>
      <c r="N44">
        <v>43</v>
      </c>
    </row>
    <row r="45" spans="1:14">
      <c r="A45">
        <v>8</v>
      </c>
      <c r="B45">
        <v>1</v>
      </c>
      <c r="C45">
        <v>452</v>
      </c>
      <c r="D45">
        <f t="shared" ca="1" si="0"/>
        <v>4</v>
      </c>
      <c r="E45" t="str">
        <f t="shared" si="1"/>
        <v>1-452 arg1</v>
      </c>
      <c r="F45">
        <f t="shared" ca="1" si="2"/>
        <v>3</v>
      </c>
      <c r="G45" t="str">
        <f t="shared" si="3"/>
        <v>1-452 feedback1</v>
      </c>
      <c r="H45">
        <v>1</v>
      </c>
      <c r="I45">
        <f t="shared" ca="1" si="4"/>
        <v>3</v>
      </c>
      <c r="J45" t="str">
        <f t="shared" si="5"/>
        <v>1-452 arg2</v>
      </c>
      <c r="K45" t="str">
        <f t="shared" si="6"/>
        <v>1-452 feedback2</v>
      </c>
      <c r="L45">
        <v>1</v>
      </c>
      <c r="M45" t="s">
        <v>1285</v>
      </c>
      <c r="N45">
        <v>44</v>
      </c>
    </row>
    <row r="46" spans="1:14">
      <c r="A46">
        <v>8</v>
      </c>
      <c r="B46">
        <v>1</v>
      </c>
      <c r="C46">
        <v>453</v>
      </c>
      <c r="D46">
        <f t="shared" ca="1" si="0"/>
        <v>3</v>
      </c>
      <c r="E46" t="str">
        <f t="shared" si="1"/>
        <v>1-453 arg1</v>
      </c>
      <c r="F46">
        <f t="shared" ca="1" si="2"/>
        <v>1</v>
      </c>
      <c r="G46" t="str">
        <f t="shared" si="3"/>
        <v>1-453 feedback1</v>
      </c>
      <c r="H46">
        <v>1</v>
      </c>
      <c r="I46">
        <f t="shared" ca="1" si="4"/>
        <v>2</v>
      </c>
      <c r="J46" t="str">
        <f t="shared" si="5"/>
        <v>1-453 arg2</v>
      </c>
      <c r="K46" t="str">
        <f t="shared" si="6"/>
        <v>1-453 feedback2</v>
      </c>
      <c r="L46">
        <v>1</v>
      </c>
      <c r="M46" t="s">
        <v>1285</v>
      </c>
      <c r="N46">
        <v>45</v>
      </c>
    </row>
    <row r="47" spans="1:14">
      <c r="A47">
        <v>8</v>
      </c>
      <c r="B47">
        <v>1</v>
      </c>
      <c r="C47">
        <v>454</v>
      </c>
      <c r="D47">
        <f t="shared" ca="1" si="0"/>
        <v>5</v>
      </c>
      <c r="E47" t="str">
        <f t="shared" si="1"/>
        <v>1-454 arg1</v>
      </c>
      <c r="F47">
        <f t="shared" ca="1" si="2"/>
        <v>4</v>
      </c>
      <c r="G47" t="str">
        <f t="shared" si="3"/>
        <v>1-454 feedback1</v>
      </c>
      <c r="H47">
        <v>1</v>
      </c>
      <c r="I47">
        <f t="shared" ca="1" si="4"/>
        <v>5</v>
      </c>
      <c r="J47" t="str">
        <f t="shared" si="5"/>
        <v>1-454 arg2</v>
      </c>
      <c r="K47" t="str">
        <f t="shared" si="6"/>
        <v>1-454 feedback2</v>
      </c>
      <c r="L47">
        <v>1</v>
      </c>
      <c r="M47" t="s">
        <v>1285</v>
      </c>
      <c r="N47">
        <v>46</v>
      </c>
    </row>
    <row r="48" spans="1:14">
      <c r="A48">
        <v>8</v>
      </c>
      <c r="B48">
        <v>1</v>
      </c>
      <c r="C48">
        <v>455</v>
      </c>
      <c r="D48">
        <f t="shared" ca="1" si="0"/>
        <v>4</v>
      </c>
      <c r="E48" t="str">
        <f t="shared" si="1"/>
        <v>1-455 arg1</v>
      </c>
      <c r="F48">
        <f t="shared" ca="1" si="2"/>
        <v>4</v>
      </c>
      <c r="G48" t="str">
        <f t="shared" si="3"/>
        <v>1-455 feedback1</v>
      </c>
      <c r="H48">
        <v>1</v>
      </c>
      <c r="I48">
        <f t="shared" ca="1" si="4"/>
        <v>5</v>
      </c>
      <c r="J48" t="str">
        <f t="shared" si="5"/>
        <v>1-455 arg2</v>
      </c>
      <c r="K48" t="str">
        <f t="shared" si="6"/>
        <v>1-455 feedback2</v>
      </c>
      <c r="L48">
        <v>1</v>
      </c>
      <c r="M48" t="s">
        <v>1285</v>
      </c>
      <c r="N48">
        <v>47</v>
      </c>
    </row>
    <row r="49" spans="1:14">
      <c r="A49">
        <v>8</v>
      </c>
      <c r="B49">
        <v>1</v>
      </c>
      <c r="C49">
        <v>456</v>
      </c>
      <c r="D49">
        <f t="shared" ca="1" si="0"/>
        <v>3</v>
      </c>
      <c r="E49" t="str">
        <f t="shared" si="1"/>
        <v>1-456 arg1</v>
      </c>
      <c r="F49">
        <f t="shared" ca="1" si="2"/>
        <v>3</v>
      </c>
      <c r="G49" t="str">
        <f t="shared" si="3"/>
        <v>1-456 feedback1</v>
      </c>
      <c r="H49">
        <v>1</v>
      </c>
      <c r="I49">
        <f t="shared" ca="1" si="4"/>
        <v>3</v>
      </c>
      <c r="J49" t="str">
        <f t="shared" si="5"/>
        <v>1-456 arg2</v>
      </c>
      <c r="K49" t="str">
        <f t="shared" si="6"/>
        <v>1-456 feedback2</v>
      </c>
      <c r="L49">
        <v>1</v>
      </c>
      <c r="M49" t="s">
        <v>1285</v>
      </c>
      <c r="N49">
        <v>48</v>
      </c>
    </row>
    <row r="50" spans="1:14">
      <c r="A50">
        <v>8</v>
      </c>
      <c r="B50">
        <v>1</v>
      </c>
      <c r="C50">
        <v>457</v>
      </c>
      <c r="D50">
        <f t="shared" ca="1" si="0"/>
        <v>5</v>
      </c>
      <c r="E50" t="str">
        <f t="shared" si="1"/>
        <v>1-457 arg1</v>
      </c>
      <c r="F50">
        <f t="shared" ca="1" si="2"/>
        <v>3</v>
      </c>
      <c r="G50" t="str">
        <f t="shared" si="3"/>
        <v>1-457 feedback1</v>
      </c>
      <c r="H50">
        <v>1</v>
      </c>
      <c r="I50">
        <f t="shared" ca="1" si="4"/>
        <v>4</v>
      </c>
      <c r="J50" t="str">
        <f t="shared" si="5"/>
        <v>1-457 arg2</v>
      </c>
      <c r="K50" t="str">
        <f t="shared" si="6"/>
        <v>1-457 feedback2</v>
      </c>
      <c r="L50">
        <v>1</v>
      </c>
      <c r="M50" t="s">
        <v>1285</v>
      </c>
      <c r="N50">
        <v>49</v>
      </c>
    </row>
    <row r="51" spans="1:14">
      <c r="A51">
        <v>8</v>
      </c>
      <c r="B51">
        <v>1</v>
      </c>
      <c r="C51">
        <v>458</v>
      </c>
      <c r="D51">
        <f t="shared" ca="1" si="0"/>
        <v>3</v>
      </c>
      <c r="E51" t="str">
        <f t="shared" si="1"/>
        <v>1-458 arg1</v>
      </c>
      <c r="F51">
        <f t="shared" ca="1" si="2"/>
        <v>3</v>
      </c>
      <c r="G51" t="str">
        <f t="shared" si="3"/>
        <v>1-458 feedback1</v>
      </c>
      <c r="H51">
        <v>1</v>
      </c>
      <c r="I51">
        <f t="shared" ca="1" si="4"/>
        <v>4</v>
      </c>
      <c r="J51" t="str">
        <f t="shared" si="5"/>
        <v>1-458 arg2</v>
      </c>
      <c r="K51" t="str">
        <f t="shared" si="6"/>
        <v>1-458 feedback2</v>
      </c>
      <c r="L51">
        <v>1</v>
      </c>
      <c r="M51" t="s">
        <v>1285</v>
      </c>
      <c r="N51">
        <v>50</v>
      </c>
    </row>
    <row r="52" spans="1:14">
      <c r="A52">
        <v>8</v>
      </c>
      <c r="B52">
        <v>1</v>
      </c>
      <c r="C52">
        <v>459</v>
      </c>
      <c r="D52">
        <f t="shared" ca="1" si="0"/>
        <v>5</v>
      </c>
      <c r="E52" t="str">
        <f t="shared" si="1"/>
        <v>1-459 arg1</v>
      </c>
      <c r="F52">
        <f t="shared" ca="1" si="2"/>
        <v>4</v>
      </c>
      <c r="G52" t="str">
        <f t="shared" si="3"/>
        <v>1-459 feedback1</v>
      </c>
      <c r="H52">
        <v>1</v>
      </c>
      <c r="I52">
        <f t="shared" ca="1" si="4"/>
        <v>4</v>
      </c>
      <c r="J52" t="str">
        <f t="shared" si="5"/>
        <v>1-459 arg2</v>
      </c>
      <c r="K52" t="str">
        <f t="shared" si="6"/>
        <v>1-459 feedback2</v>
      </c>
      <c r="L52">
        <v>1</v>
      </c>
      <c r="M52" t="s">
        <v>1285</v>
      </c>
      <c r="N52">
        <v>51</v>
      </c>
    </row>
    <row r="53" spans="1:14">
      <c r="A53">
        <v>8</v>
      </c>
      <c r="B53">
        <v>1</v>
      </c>
      <c r="C53">
        <v>460</v>
      </c>
      <c r="D53">
        <f t="shared" ca="1" si="0"/>
        <v>4</v>
      </c>
      <c r="E53" t="str">
        <f t="shared" si="1"/>
        <v>1-460 arg1</v>
      </c>
      <c r="F53">
        <f t="shared" ca="1" si="2"/>
        <v>3</v>
      </c>
      <c r="G53" t="str">
        <f t="shared" si="3"/>
        <v>1-460 feedback1</v>
      </c>
      <c r="H53">
        <v>1</v>
      </c>
      <c r="I53">
        <f t="shared" ca="1" si="4"/>
        <v>3</v>
      </c>
      <c r="J53" t="str">
        <f t="shared" si="5"/>
        <v>1-460 arg2</v>
      </c>
      <c r="K53" t="str">
        <f t="shared" si="6"/>
        <v>1-460 feedback2</v>
      </c>
      <c r="L53">
        <v>1</v>
      </c>
      <c r="M53" t="s">
        <v>1285</v>
      </c>
      <c r="N53">
        <v>52</v>
      </c>
    </row>
    <row r="54" spans="1:14">
      <c r="A54">
        <v>8</v>
      </c>
      <c r="B54">
        <v>1</v>
      </c>
      <c r="C54">
        <v>461</v>
      </c>
      <c r="D54">
        <f t="shared" ca="1" si="0"/>
        <v>5</v>
      </c>
      <c r="E54" t="str">
        <f t="shared" si="1"/>
        <v>1-461 arg1</v>
      </c>
      <c r="F54">
        <f t="shared" ca="1" si="2"/>
        <v>4</v>
      </c>
      <c r="G54" t="str">
        <f t="shared" si="3"/>
        <v>1-461 feedback1</v>
      </c>
      <c r="H54">
        <v>1</v>
      </c>
      <c r="I54">
        <f t="shared" ca="1" si="4"/>
        <v>4</v>
      </c>
      <c r="J54" t="str">
        <f t="shared" si="5"/>
        <v>1-461 arg2</v>
      </c>
      <c r="K54" t="str">
        <f t="shared" si="6"/>
        <v>1-461 feedback2</v>
      </c>
      <c r="L54">
        <v>1</v>
      </c>
      <c r="M54" t="s">
        <v>1285</v>
      </c>
      <c r="N54">
        <v>53</v>
      </c>
    </row>
    <row r="55" spans="1:14">
      <c r="A55">
        <v>8</v>
      </c>
      <c r="B55">
        <v>1</v>
      </c>
      <c r="C55">
        <v>462</v>
      </c>
      <c r="D55">
        <f t="shared" ca="1" si="0"/>
        <v>4</v>
      </c>
      <c r="E55" t="str">
        <f t="shared" si="1"/>
        <v>1-462 arg1</v>
      </c>
      <c r="F55">
        <f t="shared" ca="1" si="2"/>
        <v>3</v>
      </c>
      <c r="G55" t="str">
        <f t="shared" si="3"/>
        <v>1-462 feedback1</v>
      </c>
      <c r="H55">
        <v>1</v>
      </c>
      <c r="I55">
        <f t="shared" ca="1" si="4"/>
        <v>3</v>
      </c>
      <c r="J55" t="str">
        <f t="shared" si="5"/>
        <v>1-462 arg2</v>
      </c>
      <c r="K55" t="str">
        <f t="shared" si="6"/>
        <v>1-462 feedback2</v>
      </c>
      <c r="L55">
        <v>1</v>
      </c>
      <c r="M55" t="s">
        <v>1285</v>
      </c>
      <c r="N55">
        <v>54</v>
      </c>
    </row>
    <row r="56" spans="1:14">
      <c r="A56">
        <v>8</v>
      </c>
      <c r="B56">
        <v>1</v>
      </c>
      <c r="C56">
        <v>463</v>
      </c>
      <c r="D56">
        <f t="shared" ca="1" si="0"/>
        <v>5</v>
      </c>
      <c r="E56" t="str">
        <f t="shared" si="1"/>
        <v>1-463 arg1</v>
      </c>
      <c r="F56">
        <f t="shared" ca="1" si="2"/>
        <v>5</v>
      </c>
      <c r="G56" t="str">
        <f t="shared" si="3"/>
        <v>1-463 feedback1</v>
      </c>
      <c r="H56">
        <v>1</v>
      </c>
      <c r="I56">
        <f t="shared" ca="1" si="4"/>
        <v>5</v>
      </c>
      <c r="J56" t="str">
        <f t="shared" si="5"/>
        <v>1-463 arg2</v>
      </c>
      <c r="K56" t="str">
        <f t="shared" si="6"/>
        <v>1-463 feedback2</v>
      </c>
      <c r="L56">
        <v>1</v>
      </c>
      <c r="M56" t="s">
        <v>1285</v>
      </c>
      <c r="N56">
        <v>55</v>
      </c>
    </row>
    <row r="57" spans="1:14">
      <c r="A57">
        <v>8</v>
      </c>
      <c r="B57">
        <v>1</v>
      </c>
      <c r="C57">
        <v>464</v>
      </c>
      <c r="D57">
        <f t="shared" ca="1" si="0"/>
        <v>5</v>
      </c>
      <c r="E57" t="str">
        <f t="shared" si="1"/>
        <v>1-464 arg1</v>
      </c>
      <c r="F57">
        <f t="shared" ca="1" si="2"/>
        <v>4</v>
      </c>
      <c r="G57" t="str">
        <f t="shared" si="3"/>
        <v>1-464 feedback1</v>
      </c>
      <c r="H57">
        <v>1</v>
      </c>
      <c r="I57">
        <f t="shared" ca="1" si="4"/>
        <v>4</v>
      </c>
      <c r="J57" t="str">
        <f t="shared" si="5"/>
        <v>1-464 arg2</v>
      </c>
      <c r="K57" t="str">
        <f t="shared" si="6"/>
        <v>1-464 feedback2</v>
      </c>
      <c r="L57">
        <v>1</v>
      </c>
      <c r="M57" t="s">
        <v>1285</v>
      </c>
      <c r="N57">
        <v>56</v>
      </c>
    </row>
    <row r="58" spans="1:14">
      <c r="A58">
        <v>8</v>
      </c>
      <c r="B58">
        <v>1</v>
      </c>
      <c r="C58">
        <v>465</v>
      </c>
      <c r="D58">
        <f t="shared" ca="1" si="0"/>
        <v>3</v>
      </c>
      <c r="E58" t="str">
        <f t="shared" si="1"/>
        <v>1-465 arg1</v>
      </c>
      <c r="F58">
        <f t="shared" ca="1" si="2"/>
        <v>3</v>
      </c>
      <c r="G58" t="str">
        <f t="shared" si="3"/>
        <v>1-465 feedback1</v>
      </c>
      <c r="H58">
        <v>1</v>
      </c>
      <c r="I58">
        <f t="shared" ca="1" si="4"/>
        <v>3</v>
      </c>
      <c r="J58" t="str">
        <f t="shared" si="5"/>
        <v>1-465 arg2</v>
      </c>
      <c r="K58" t="str">
        <f t="shared" si="6"/>
        <v>1-465 feedback2</v>
      </c>
      <c r="L58">
        <v>1</v>
      </c>
      <c r="M58" t="s">
        <v>1285</v>
      </c>
      <c r="N58">
        <v>57</v>
      </c>
    </row>
    <row r="59" spans="1:14">
      <c r="A59">
        <v>8</v>
      </c>
      <c r="B59">
        <v>1</v>
      </c>
      <c r="C59">
        <v>466</v>
      </c>
      <c r="D59">
        <f t="shared" ca="1" si="0"/>
        <v>3</v>
      </c>
      <c r="E59" t="str">
        <f t="shared" si="1"/>
        <v>1-466 arg1</v>
      </c>
      <c r="F59">
        <f t="shared" ca="1" si="2"/>
        <v>2</v>
      </c>
      <c r="G59" t="str">
        <f t="shared" si="3"/>
        <v>1-466 feedback1</v>
      </c>
      <c r="H59">
        <v>1</v>
      </c>
      <c r="I59">
        <f t="shared" ca="1" si="4"/>
        <v>3</v>
      </c>
      <c r="J59" t="str">
        <f t="shared" si="5"/>
        <v>1-466 arg2</v>
      </c>
      <c r="K59" t="str">
        <f t="shared" si="6"/>
        <v>1-466 feedback2</v>
      </c>
      <c r="L59">
        <v>1</v>
      </c>
      <c r="M59" t="s">
        <v>1285</v>
      </c>
      <c r="N59">
        <v>58</v>
      </c>
    </row>
    <row r="60" spans="1:14">
      <c r="A60">
        <v>8</v>
      </c>
      <c r="B60">
        <v>1</v>
      </c>
      <c r="C60">
        <v>467</v>
      </c>
      <c r="D60">
        <f t="shared" ca="1" si="0"/>
        <v>4</v>
      </c>
      <c r="E60" t="str">
        <f t="shared" si="1"/>
        <v>1-467 arg1</v>
      </c>
      <c r="F60">
        <f t="shared" ca="1" si="2"/>
        <v>2</v>
      </c>
      <c r="G60" t="str">
        <f t="shared" si="3"/>
        <v>1-467 feedback1</v>
      </c>
      <c r="H60">
        <v>1</v>
      </c>
      <c r="I60">
        <f t="shared" ca="1" si="4"/>
        <v>3</v>
      </c>
      <c r="J60" t="str">
        <f t="shared" si="5"/>
        <v>1-467 arg2</v>
      </c>
      <c r="K60" t="str">
        <f t="shared" si="6"/>
        <v>1-467 feedback2</v>
      </c>
      <c r="L60">
        <v>1</v>
      </c>
      <c r="M60" t="s">
        <v>1285</v>
      </c>
      <c r="N60">
        <v>59</v>
      </c>
    </row>
    <row r="61" spans="1:14">
      <c r="A61">
        <v>8</v>
      </c>
      <c r="B61">
        <v>1</v>
      </c>
      <c r="C61">
        <v>468</v>
      </c>
      <c r="D61">
        <f t="shared" ca="1" si="0"/>
        <v>5</v>
      </c>
      <c r="E61" t="str">
        <f t="shared" si="1"/>
        <v>1-468 arg1</v>
      </c>
      <c r="F61">
        <f t="shared" ca="1" si="2"/>
        <v>5</v>
      </c>
      <c r="G61" t="str">
        <f t="shared" si="3"/>
        <v>1-468 feedback1</v>
      </c>
      <c r="H61">
        <v>1</v>
      </c>
      <c r="I61">
        <f t="shared" ca="1" si="4"/>
        <v>5</v>
      </c>
      <c r="J61" t="str">
        <f t="shared" si="5"/>
        <v>1-468 arg2</v>
      </c>
      <c r="K61" t="str">
        <f t="shared" si="6"/>
        <v>1-468 feedback2</v>
      </c>
      <c r="L61">
        <v>1</v>
      </c>
      <c r="M61" t="s">
        <v>1285</v>
      </c>
      <c r="N61">
        <v>60</v>
      </c>
    </row>
    <row r="62" spans="1:14">
      <c r="A62">
        <v>8</v>
      </c>
      <c r="B62">
        <v>1</v>
      </c>
      <c r="C62">
        <v>469</v>
      </c>
      <c r="D62">
        <f t="shared" ca="1" si="0"/>
        <v>4</v>
      </c>
      <c r="E62" t="str">
        <f t="shared" si="1"/>
        <v>1-469 arg1</v>
      </c>
      <c r="F62">
        <f t="shared" ca="1" si="2"/>
        <v>3</v>
      </c>
      <c r="G62" t="str">
        <f t="shared" si="3"/>
        <v>1-469 feedback1</v>
      </c>
      <c r="H62">
        <v>1</v>
      </c>
      <c r="I62">
        <f t="shared" ca="1" si="4"/>
        <v>4</v>
      </c>
      <c r="J62" t="str">
        <f t="shared" si="5"/>
        <v>1-469 arg2</v>
      </c>
      <c r="K62" t="str">
        <f t="shared" si="6"/>
        <v>1-469 feedback2</v>
      </c>
      <c r="L62">
        <v>1</v>
      </c>
      <c r="M62" t="s">
        <v>1285</v>
      </c>
      <c r="N62">
        <v>61</v>
      </c>
    </row>
    <row r="63" spans="1:14">
      <c r="A63">
        <v>8</v>
      </c>
      <c r="B63">
        <v>1</v>
      </c>
      <c r="C63">
        <v>470</v>
      </c>
      <c r="D63">
        <f t="shared" ca="1" si="0"/>
        <v>4</v>
      </c>
      <c r="E63" t="str">
        <f t="shared" si="1"/>
        <v>1-470 arg1</v>
      </c>
      <c r="F63">
        <f t="shared" ca="1" si="2"/>
        <v>3</v>
      </c>
      <c r="G63" t="str">
        <f t="shared" si="3"/>
        <v>1-470 feedback1</v>
      </c>
      <c r="H63">
        <v>1</v>
      </c>
      <c r="I63">
        <f t="shared" ca="1" si="4"/>
        <v>4</v>
      </c>
      <c r="J63" t="str">
        <f t="shared" si="5"/>
        <v>1-470 arg2</v>
      </c>
      <c r="K63" t="str">
        <f t="shared" si="6"/>
        <v>1-470 feedback2</v>
      </c>
      <c r="L63">
        <v>1</v>
      </c>
      <c r="M63" t="s">
        <v>1285</v>
      </c>
      <c r="N63">
        <v>62</v>
      </c>
    </row>
    <row r="64" spans="1:14">
      <c r="A64">
        <v>8</v>
      </c>
      <c r="B64">
        <v>1</v>
      </c>
      <c r="C64">
        <v>471</v>
      </c>
      <c r="D64">
        <f t="shared" ca="1" si="0"/>
        <v>4</v>
      </c>
      <c r="E64" t="str">
        <f t="shared" si="1"/>
        <v>1-471 arg1</v>
      </c>
      <c r="F64">
        <f t="shared" ca="1" si="2"/>
        <v>3</v>
      </c>
      <c r="G64" t="str">
        <f t="shared" si="3"/>
        <v>1-471 feedback1</v>
      </c>
      <c r="H64">
        <v>1</v>
      </c>
      <c r="I64">
        <f t="shared" ca="1" si="4"/>
        <v>4</v>
      </c>
      <c r="J64" t="str">
        <f t="shared" si="5"/>
        <v>1-471 arg2</v>
      </c>
      <c r="K64" t="str">
        <f t="shared" si="6"/>
        <v>1-471 feedback2</v>
      </c>
      <c r="L64">
        <v>1</v>
      </c>
      <c r="M64" t="s">
        <v>1285</v>
      </c>
      <c r="N64">
        <v>63</v>
      </c>
    </row>
    <row r="65" spans="1:14">
      <c r="A65">
        <v>8</v>
      </c>
      <c r="B65">
        <v>1</v>
      </c>
      <c r="C65">
        <v>472</v>
      </c>
      <c r="D65">
        <f t="shared" ca="1" si="0"/>
        <v>5</v>
      </c>
      <c r="E65" t="str">
        <f t="shared" si="1"/>
        <v>1-472 arg1</v>
      </c>
      <c r="F65">
        <f t="shared" ca="1" si="2"/>
        <v>5</v>
      </c>
      <c r="G65" t="str">
        <f t="shared" si="3"/>
        <v>1-472 feedback1</v>
      </c>
      <c r="H65">
        <v>1</v>
      </c>
      <c r="I65">
        <f t="shared" ca="1" si="4"/>
        <v>5</v>
      </c>
      <c r="J65" t="str">
        <f t="shared" si="5"/>
        <v>1-472 arg2</v>
      </c>
      <c r="K65" t="str">
        <f t="shared" si="6"/>
        <v>1-472 feedback2</v>
      </c>
      <c r="L65">
        <v>1</v>
      </c>
      <c r="M65" t="s">
        <v>1285</v>
      </c>
      <c r="N65">
        <v>64</v>
      </c>
    </row>
    <row r="66" spans="1:14">
      <c r="A66">
        <v>8</v>
      </c>
      <c r="B66">
        <v>1</v>
      </c>
      <c r="C66">
        <v>473</v>
      </c>
      <c r="D66">
        <f t="shared" ca="1" si="0"/>
        <v>3</v>
      </c>
      <c r="E66" t="str">
        <f t="shared" si="1"/>
        <v>1-473 arg1</v>
      </c>
      <c r="F66">
        <f t="shared" ca="1" si="2"/>
        <v>3</v>
      </c>
      <c r="G66" t="str">
        <f t="shared" si="3"/>
        <v>1-473 feedback1</v>
      </c>
      <c r="H66">
        <v>1</v>
      </c>
      <c r="I66">
        <f t="shared" ca="1" si="4"/>
        <v>3</v>
      </c>
      <c r="J66" t="str">
        <f t="shared" si="5"/>
        <v>1-473 arg2</v>
      </c>
      <c r="K66" t="str">
        <f t="shared" si="6"/>
        <v>1-473 feedback2</v>
      </c>
      <c r="L66">
        <v>1</v>
      </c>
      <c r="M66" t="s">
        <v>1285</v>
      </c>
      <c r="N66">
        <v>65</v>
      </c>
    </row>
    <row r="67" spans="1:14">
      <c r="A67">
        <v>8</v>
      </c>
      <c r="B67">
        <v>1</v>
      </c>
      <c r="C67">
        <v>474</v>
      </c>
      <c r="D67">
        <f t="shared" ref="D67:D130" ca="1" si="7">ROUND(3+2*RAND(),0)</f>
        <v>3</v>
      </c>
      <c r="E67" t="str">
        <f t="shared" ref="E67:E130" si="8">_xlfn.CONCAT(B67,"-",C67," arg1")</f>
        <v>1-474 arg1</v>
      </c>
      <c r="F67">
        <f t="shared" ref="F67:F130" ca="1" si="9">D67-ROUND(2*RAND(),0)</f>
        <v>3</v>
      </c>
      <c r="G67" t="str">
        <f t="shared" ref="G67:G130" si="10">_xlfn.CONCAT(B67,"-",C67," feedback1")</f>
        <v>1-474 feedback1</v>
      </c>
      <c r="H67">
        <v>1</v>
      </c>
      <c r="I67">
        <f t="shared" ref="I67:I130" ca="1" si="11">MIN(5,F67+ROUND(RAND(),0))</f>
        <v>4</v>
      </c>
      <c r="J67" t="str">
        <f t="shared" ref="J67:J130" si="12">_xlfn.CONCAT(B67,"-",C67," arg2")</f>
        <v>1-474 arg2</v>
      </c>
      <c r="K67" t="str">
        <f t="shared" ref="K67:K130" si="13">_xlfn.CONCAT(B67,"-",C67," feedback2")</f>
        <v>1-474 feedback2</v>
      </c>
      <c r="L67">
        <v>1</v>
      </c>
      <c r="M67" t="s">
        <v>1285</v>
      </c>
      <c r="N67">
        <v>66</v>
      </c>
    </row>
    <row r="68" spans="1:14">
      <c r="A68">
        <v>8</v>
      </c>
      <c r="B68">
        <v>1</v>
      </c>
      <c r="C68">
        <v>475</v>
      </c>
      <c r="D68">
        <f t="shared" ca="1" si="7"/>
        <v>3</v>
      </c>
      <c r="E68" t="str">
        <f t="shared" si="8"/>
        <v>1-475 arg1</v>
      </c>
      <c r="F68">
        <f t="shared" ca="1" si="9"/>
        <v>3</v>
      </c>
      <c r="G68" t="str">
        <f t="shared" si="10"/>
        <v>1-475 feedback1</v>
      </c>
      <c r="H68">
        <v>1</v>
      </c>
      <c r="I68">
        <f t="shared" ca="1" si="11"/>
        <v>3</v>
      </c>
      <c r="J68" t="str">
        <f t="shared" si="12"/>
        <v>1-475 arg2</v>
      </c>
      <c r="K68" t="str">
        <f t="shared" si="13"/>
        <v>1-475 feedback2</v>
      </c>
      <c r="L68">
        <v>1</v>
      </c>
      <c r="M68" t="s">
        <v>1285</v>
      </c>
      <c r="N68">
        <v>67</v>
      </c>
    </row>
    <row r="69" spans="1:14">
      <c r="A69">
        <v>8</v>
      </c>
      <c r="B69">
        <v>1</v>
      </c>
      <c r="C69">
        <v>476</v>
      </c>
      <c r="D69">
        <f t="shared" ca="1" si="7"/>
        <v>4</v>
      </c>
      <c r="E69" t="str">
        <f t="shared" si="8"/>
        <v>1-476 arg1</v>
      </c>
      <c r="F69">
        <f t="shared" ca="1" si="9"/>
        <v>3</v>
      </c>
      <c r="G69" t="str">
        <f t="shared" si="10"/>
        <v>1-476 feedback1</v>
      </c>
      <c r="H69">
        <v>1</v>
      </c>
      <c r="I69">
        <f t="shared" ca="1" si="11"/>
        <v>3</v>
      </c>
      <c r="J69" t="str">
        <f t="shared" si="12"/>
        <v>1-476 arg2</v>
      </c>
      <c r="K69" t="str">
        <f t="shared" si="13"/>
        <v>1-476 feedback2</v>
      </c>
      <c r="L69">
        <v>1</v>
      </c>
      <c r="M69" t="s">
        <v>1285</v>
      </c>
      <c r="N69">
        <v>68</v>
      </c>
    </row>
    <row r="70" spans="1:14">
      <c r="A70">
        <v>8</v>
      </c>
      <c r="B70">
        <v>1</v>
      </c>
      <c r="C70">
        <v>477</v>
      </c>
      <c r="D70">
        <f t="shared" ca="1" si="7"/>
        <v>4</v>
      </c>
      <c r="E70" t="str">
        <f t="shared" si="8"/>
        <v>1-477 arg1</v>
      </c>
      <c r="F70">
        <f t="shared" ca="1" si="9"/>
        <v>3</v>
      </c>
      <c r="G70" t="str">
        <f t="shared" si="10"/>
        <v>1-477 feedback1</v>
      </c>
      <c r="H70">
        <v>1</v>
      </c>
      <c r="I70">
        <f t="shared" ca="1" si="11"/>
        <v>4</v>
      </c>
      <c r="J70" t="str">
        <f t="shared" si="12"/>
        <v>1-477 arg2</v>
      </c>
      <c r="K70" t="str">
        <f t="shared" si="13"/>
        <v>1-477 feedback2</v>
      </c>
      <c r="L70">
        <v>1</v>
      </c>
      <c r="M70" t="s">
        <v>1285</v>
      </c>
      <c r="N70">
        <v>69</v>
      </c>
    </row>
    <row r="71" spans="1:14">
      <c r="A71">
        <v>8</v>
      </c>
      <c r="B71">
        <v>1</v>
      </c>
      <c r="C71">
        <v>478</v>
      </c>
      <c r="D71">
        <f t="shared" ca="1" si="7"/>
        <v>4</v>
      </c>
      <c r="E71" t="str">
        <f t="shared" si="8"/>
        <v>1-478 arg1</v>
      </c>
      <c r="F71">
        <f t="shared" ca="1" si="9"/>
        <v>4</v>
      </c>
      <c r="G71" t="str">
        <f t="shared" si="10"/>
        <v>1-478 feedback1</v>
      </c>
      <c r="H71">
        <v>1</v>
      </c>
      <c r="I71">
        <f t="shared" ca="1" si="11"/>
        <v>5</v>
      </c>
      <c r="J71" t="str">
        <f t="shared" si="12"/>
        <v>1-478 arg2</v>
      </c>
      <c r="K71" t="str">
        <f t="shared" si="13"/>
        <v>1-478 feedback2</v>
      </c>
      <c r="L71">
        <v>1</v>
      </c>
      <c r="M71" t="s">
        <v>1285</v>
      </c>
      <c r="N71">
        <v>70</v>
      </c>
    </row>
    <row r="72" spans="1:14">
      <c r="A72">
        <v>8</v>
      </c>
      <c r="B72">
        <v>1</v>
      </c>
      <c r="C72">
        <v>479</v>
      </c>
      <c r="D72">
        <f t="shared" ca="1" si="7"/>
        <v>3</v>
      </c>
      <c r="E72" t="str">
        <f t="shared" si="8"/>
        <v>1-479 arg1</v>
      </c>
      <c r="F72">
        <f t="shared" ca="1" si="9"/>
        <v>2</v>
      </c>
      <c r="G72" t="str">
        <f t="shared" si="10"/>
        <v>1-479 feedback1</v>
      </c>
      <c r="H72">
        <v>1</v>
      </c>
      <c r="I72">
        <f t="shared" ca="1" si="11"/>
        <v>3</v>
      </c>
      <c r="J72" t="str">
        <f t="shared" si="12"/>
        <v>1-479 arg2</v>
      </c>
      <c r="K72" t="str">
        <f t="shared" si="13"/>
        <v>1-479 feedback2</v>
      </c>
      <c r="L72">
        <v>1</v>
      </c>
      <c r="M72" t="s">
        <v>1285</v>
      </c>
      <c r="N72">
        <v>71</v>
      </c>
    </row>
    <row r="73" spans="1:14">
      <c r="A73">
        <v>8</v>
      </c>
      <c r="B73">
        <v>1</v>
      </c>
      <c r="C73">
        <v>480</v>
      </c>
      <c r="D73">
        <f t="shared" ca="1" si="7"/>
        <v>4</v>
      </c>
      <c r="E73" t="str">
        <f t="shared" si="8"/>
        <v>1-480 arg1</v>
      </c>
      <c r="F73">
        <f t="shared" ca="1" si="9"/>
        <v>4</v>
      </c>
      <c r="G73" t="str">
        <f t="shared" si="10"/>
        <v>1-480 feedback1</v>
      </c>
      <c r="H73">
        <v>1</v>
      </c>
      <c r="I73">
        <f t="shared" ca="1" si="11"/>
        <v>4</v>
      </c>
      <c r="J73" t="str">
        <f t="shared" si="12"/>
        <v>1-480 arg2</v>
      </c>
      <c r="K73" t="str">
        <f t="shared" si="13"/>
        <v>1-480 feedback2</v>
      </c>
      <c r="L73">
        <v>1</v>
      </c>
      <c r="M73" t="s">
        <v>1285</v>
      </c>
      <c r="N73">
        <v>72</v>
      </c>
    </row>
    <row r="74" spans="1:14">
      <c r="A74">
        <v>8</v>
      </c>
      <c r="B74">
        <v>1</v>
      </c>
      <c r="C74">
        <v>481</v>
      </c>
      <c r="D74">
        <f t="shared" ca="1" si="7"/>
        <v>4</v>
      </c>
      <c r="E74" t="str">
        <f t="shared" si="8"/>
        <v>1-481 arg1</v>
      </c>
      <c r="F74">
        <f t="shared" ca="1" si="9"/>
        <v>3</v>
      </c>
      <c r="G74" t="str">
        <f t="shared" si="10"/>
        <v>1-481 feedback1</v>
      </c>
      <c r="H74">
        <v>1</v>
      </c>
      <c r="I74">
        <f t="shared" ca="1" si="11"/>
        <v>4</v>
      </c>
      <c r="J74" t="str">
        <f t="shared" si="12"/>
        <v>1-481 arg2</v>
      </c>
      <c r="K74" t="str">
        <f t="shared" si="13"/>
        <v>1-481 feedback2</v>
      </c>
      <c r="L74">
        <v>1</v>
      </c>
      <c r="M74" t="s">
        <v>1285</v>
      </c>
      <c r="N74">
        <v>73</v>
      </c>
    </row>
    <row r="75" spans="1:14">
      <c r="A75">
        <v>8</v>
      </c>
      <c r="B75">
        <v>1</v>
      </c>
      <c r="C75">
        <v>482</v>
      </c>
      <c r="D75">
        <f t="shared" ca="1" si="7"/>
        <v>3</v>
      </c>
      <c r="E75" t="str">
        <f t="shared" si="8"/>
        <v>1-482 arg1</v>
      </c>
      <c r="F75">
        <f t="shared" ca="1" si="9"/>
        <v>2</v>
      </c>
      <c r="G75" t="str">
        <f t="shared" si="10"/>
        <v>1-482 feedback1</v>
      </c>
      <c r="H75">
        <v>1</v>
      </c>
      <c r="I75">
        <f t="shared" ca="1" si="11"/>
        <v>2</v>
      </c>
      <c r="J75" t="str">
        <f t="shared" si="12"/>
        <v>1-482 arg2</v>
      </c>
      <c r="K75" t="str">
        <f t="shared" si="13"/>
        <v>1-482 feedback2</v>
      </c>
      <c r="L75">
        <v>1</v>
      </c>
      <c r="M75" t="s">
        <v>1285</v>
      </c>
      <c r="N75">
        <v>74</v>
      </c>
    </row>
    <row r="76" spans="1:14">
      <c r="A76">
        <v>8</v>
      </c>
      <c r="B76">
        <v>1</v>
      </c>
      <c r="C76">
        <v>483</v>
      </c>
      <c r="D76">
        <f t="shared" ca="1" si="7"/>
        <v>3</v>
      </c>
      <c r="E76" t="str">
        <f t="shared" si="8"/>
        <v>1-483 arg1</v>
      </c>
      <c r="F76">
        <f t="shared" ca="1" si="9"/>
        <v>1</v>
      </c>
      <c r="G76" t="str">
        <f t="shared" si="10"/>
        <v>1-483 feedback1</v>
      </c>
      <c r="H76">
        <v>1</v>
      </c>
      <c r="I76">
        <f t="shared" ca="1" si="11"/>
        <v>1</v>
      </c>
      <c r="J76" t="str">
        <f t="shared" si="12"/>
        <v>1-483 arg2</v>
      </c>
      <c r="K76" t="str">
        <f t="shared" si="13"/>
        <v>1-483 feedback2</v>
      </c>
      <c r="L76">
        <v>1</v>
      </c>
      <c r="M76" t="s">
        <v>1285</v>
      </c>
      <c r="N76">
        <v>75</v>
      </c>
    </row>
    <row r="77" spans="1:14">
      <c r="A77">
        <v>8</v>
      </c>
      <c r="B77">
        <v>1</v>
      </c>
      <c r="C77">
        <v>484</v>
      </c>
      <c r="D77">
        <f t="shared" ca="1" si="7"/>
        <v>4</v>
      </c>
      <c r="E77" t="str">
        <f t="shared" si="8"/>
        <v>1-484 arg1</v>
      </c>
      <c r="F77">
        <f t="shared" ca="1" si="9"/>
        <v>3</v>
      </c>
      <c r="G77" t="str">
        <f t="shared" si="10"/>
        <v>1-484 feedback1</v>
      </c>
      <c r="H77">
        <v>1</v>
      </c>
      <c r="I77">
        <f t="shared" ca="1" si="11"/>
        <v>4</v>
      </c>
      <c r="J77" t="str">
        <f t="shared" si="12"/>
        <v>1-484 arg2</v>
      </c>
      <c r="K77" t="str">
        <f t="shared" si="13"/>
        <v>1-484 feedback2</v>
      </c>
      <c r="L77">
        <v>1</v>
      </c>
      <c r="M77" t="s">
        <v>1285</v>
      </c>
      <c r="N77">
        <v>76</v>
      </c>
    </row>
    <row r="78" spans="1:14">
      <c r="A78">
        <v>8</v>
      </c>
      <c r="B78">
        <v>1</v>
      </c>
      <c r="C78">
        <v>485</v>
      </c>
      <c r="D78">
        <f t="shared" ca="1" si="7"/>
        <v>4</v>
      </c>
      <c r="E78" t="str">
        <f t="shared" si="8"/>
        <v>1-485 arg1</v>
      </c>
      <c r="F78">
        <f t="shared" ca="1" si="9"/>
        <v>3</v>
      </c>
      <c r="G78" t="str">
        <f t="shared" si="10"/>
        <v>1-485 feedback1</v>
      </c>
      <c r="H78">
        <v>1</v>
      </c>
      <c r="I78">
        <f t="shared" ca="1" si="11"/>
        <v>4</v>
      </c>
      <c r="J78" t="str">
        <f t="shared" si="12"/>
        <v>1-485 arg2</v>
      </c>
      <c r="K78" t="str">
        <f t="shared" si="13"/>
        <v>1-485 feedback2</v>
      </c>
      <c r="L78">
        <v>1</v>
      </c>
      <c r="M78" t="s">
        <v>1285</v>
      </c>
      <c r="N78">
        <v>77</v>
      </c>
    </row>
    <row r="79" spans="1:14">
      <c r="A79">
        <v>8</v>
      </c>
      <c r="B79">
        <v>1</v>
      </c>
      <c r="C79">
        <v>486</v>
      </c>
      <c r="D79">
        <f t="shared" ca="1" si="7"/>
        <v>5</v>
      </c>
      <c r="E79" t="str">
        <f t="shared" si="8"/>
        <v>1-486 arg1</v>
      </c>
      <c r="F79">
        <f t="shared" ca="1" si="9"/>
        <v>5</v>
      </c>
      <c r="G79" t="str">
        <f t="shared" si="10"/>
        <v>1-486 feedback1</v>
      </c>
      <c r="H79">
        <v>1</v>
      </c>
      <c r="I79">
        <f t="shared" ca="1" si="11"/>
        <v>5</v>
      </c>
      <c r="J79" t="str">
        <f t="shared" si="12"/>
        <v>1-486 arg2</v>
      </c>
      <c r="K79" t="str">
        <f t="shared" si="13"/>
        <v>1-486 feedback2</v>
      </c>
      <c r="L79">
        <v>1</v>
      </c>
      <c r="M79" t="s">
        <v>1285</v>
      </c>
      <c r="N79">
        <v>78</v>
      </c>
    </row>
    <row r="80" spans="1:14">
      <c r="A80">
        <v>8</v>
      </c>
      <c r="B80">
        <v>1</v>
      </c>
      <c r="C80">
        <v>487</v>
      </c>
      <c r="D80">
        <f t="shared" ca="1" si="7"/>
        <v>5</v>
      </c>
      <c r="E80" t="str">
        <f t="shared" si="8"/>
        <v>1-487 arg1</v>
      </c>
      <c r="F80">
        <f t="shared" ca="1" si="9"/>
        <v>3</v>
      </c>
      <c r="G80" t="str">
        <f t="shared" si="10"/>
        <v>1-487 feedback1</v>
      </c>
      <c r="H80">
        <v>1</v>
      </c>
      <c r="I80">
        <f t="shared" ca="1" si="11"/>
        <v>3</v>
      </c>
      <c r="J80" t="str">
        <f t="shared" si="12"/>
        <v>1-487 arg2</v>
      </c>
      <c r="K80" t="str">
        <f t="shared" si="13"/>
        <v>1-487 feedback2</v>
      </c>
      <c r="L80">
        <v>1</v>
      </c>
      <c r="M80" t="s">
        <v>1285</v>
      </c>
      <c r="N80">
        <v>79</v>
      </c>
    </row>
    <row r="81" spans="1:14">
      <c r="A81">
        <v>8</v>
      </c>
      <c r="B81">
        <v>1</v>
      </c>
      <c r="C81">
        <v>488</v>
      </c>
      <c r="D81">
        <f t="shared" ca="1" si="7"/>
        <v>4</v>
      </c>
      <c r="E81" t="str">
        <f t="shared" si="8"/>
        <v>1-488 arg1</v>
      </c>
      <c r="F81">
        <f t="shared" ca="1" si="9"/>
        <v>2</v>
      </c>
      <c r="G81" t="str">
        <f t="shared" si="10"/>
        <v>1-488 feedback1</v>
      </c>
      <c r="H81">
        <v>1</v>
      </c>
      <c r="I81">
        <f t="shared" ca="1" si="11"/>
        <v>2</v>
      </c>
      <c r="J81" t="str">
        <f t="shared" si="12"/>
        <v>1-488 arg2</v>
      </c>
      <c r="K81" t="str">
        <f t="shared" si="13"/>
        <v>1-488 feedback2</v>
      </c>
      <c r="L81">
        <v>1</v>
      </c>
      <c r="M81" t="s">
        <v>1285</v>
      </c>
      <c r="N81">
        <v>80</v>
      </c>
    </row>
    <row r="82" spans="1:14">
      <c r="A82">
        <v>8</v>
      </c>
      <c r="B82">
        <v>1</v>
      </c>
      <c r="C82">
        <v>489</v>
      </c>
      <c r="D82">
        <f t="shared" ca="1" si="7"/>
        <v>3</v>
      </c>
      <c r="E82" t="str">
        <f t="shared" si="8"/>
        <v>1-489 arg1</v>
      </c>
      <c r="F82">
        <f t="shared" ca="1" si="9"/>
        <v>2</v>
      </c>
      <c r="G82" t="str">
        <f t="shared" si="10"/>
        <v>1-489 feedback1</v>
      </c>
      <c r="H82">
        <v>1</v>
      </c>
      <c r="I82">
        <f t="shared" ca="1" si="11"/>
        <v>3</v>
      </c>
      <c r="J82" t="str">
        <f t="shared" si="12"/>
        <v>1-489 arg2</v>
      </c>
      <c r="K82" t="str">
        <f t="shared" si="13"/>
        <v>1-489 feedback2</v>
      </c>
      <c r="L82">
        <v>1</v>
      </c>
      <c r="M82" t="s">
        <v>1285</v>
      </c>
      <c r="N82">
        <v>81</v>
      </c>
    </row>
    <row r="83" spans="1:14">
      <c r="A83">
        <v>8</v>
      </c>
      <c r="B83">
        <v>1</v>
      </c>
      <c r="C83">
        <v>490</v>
      </c>
      <c r="D83">
        <f t="shared" ca="1" si="7"/>
        <v>5</v>
      </c>
      <c r="E83" t="str">
        <f t="shared" si="8"/>
        <v>1-490 arg1</v>
      </c>
      <c r="F83">
        <f t="shared" ca="1" si="9"/>
        <v>5</v>
      </c>
      <c r="G83" t="str">
        <f t="shared" si="10"/>
        <v>1-490 feedback1</v>
      </c>
      <c r="H83">
        <v>1</v>
      </c>
      <c r="I83">
        <f t="shared" ca="1" si="11"/>
        <v>5</v>
      </c>
      <c r="J83" t="str">
        <f t="shared" si="12"/>
        <v>1-490 arg2</v>
      </c>
      <c r="K83" t="str">
        <f t="shared" si="13"/>
        <v>1-490 feedback2</v>
      </c>
      <c r="L83">
        <v>1</v>
      </c>
      <c r="M83" t="s">
        <v>1285</v>
      </c>
      <c r="N83">
        <v>82</v>
      </c>
    </row>
    <row r="84" spans="1:14">
      <c r="A84">
        <v>8</v>
      </c>
      <c r="B84">
        <v>1</v>
      </c>
      <c r="C84">
        <v>491</v>
      </c>
      <c r="D84">
        <f t="shared" ca="1" si="7"/>
        <v>3</v>
      </c>
      <c r="E84" t="str">
        <f t="shared" si="8"/>
        <v>1-491 arg1</v>
      </c>
      <c r="F84">
        <f t="shared" ca="1" si="9"/>
        <v>2</v>
      </c>
      <c r="G84" t="str">
        <f t="shared" si="10"/>
        <v>1-491 feedback1</v>
      </c>
      <c r="H84">
        <v>1</v>
      </c>
      <c r="I84">
        <f t="shared" ca="1" si="11"/>
        <v>3</v>
      </c>
      <c r="J84" t="str">
        <f t="shared" si="12"/>
        <v>1-491 arg2</v>
      </c>
      <c r="K84" t="str">
        <f t="shared" si="13"/>
        <v>1-491 feedback2</v>
      </c>
      <c r="L84">
        <v>1</v>
      </c>
      <c r="M84" t="s">
        <v>1285</v>
      </c>
      <c r="N84">
        <v>83</v>
      </c>
    </row>
    <row r="85" spans="1:14">
      <c r="A85">
        <v>8</v>
      </c>
      <c r="B85">
        <v>1</v>
      </c>
      <c r="C85">
        <v>492</v>
      </c>
      <c r="D85">
        <f t="shared" ca="1" si="7"/>
        <v>5</v>
      </c>
      <c r="E85" t="str">
        <f t="shared" si="8"/>
        <v>1-492 arg1</v>
      </c>
      <c r="F85">
        <f t="shared" ca="1" si="9"/>
        <v>3</v>
      </c>
      <c r="G85" t="str">
        <f t="shared" si="10"/>
        <v>1-492 feedback1</v>
      </c>
      <c r="H85">
        <v>1</v>
      </c>
      <c r="I85">
        <f t="shared" ca="1" si="11"/>
        <v>4</v>
      </c>
      <c r="J85" t="str">
        <f t="shared" si="12"/>
        <v>1-492 arg2</v>
      </c>
      <c r="K85" t="str">
        <f t="shared" si="13"/>
        <v>1-492 feedback2</v>
      </c>
      <c r="L85">
        <v>1</v>
      </c>
      <c r="M85" t="s">
        <v>1285</v>
      </c>
      <c r="N85">
        <v>84</v>
      </c>
    </row>
    <row r="86" spans="1:14">
      <c r="A86">
        <v>8</v>
      </c>
      <c r="B86">
        <v>1</v>
      </c>
      <c r="C86">
        <v>493</v>
      </c>
      <c r="D86">
        <f t="shared" ca="1" si="7"/>
        <v>5</v>
      </c>
      <c r="E86" t="str">
        <f t="shared" si="8"/>
        <v>1-493 arg1</v>
      </c>
      <c r="F86">
        <f t="shared" ca="1" si="9"/>
        <v>5</v>
      </c>
      <c r="G86" t="str">
        <f t="shared" si="10"/>
        <v>1-493 feedback1</v>
      </c>
      <c r="H86">
        <v>1</v>
      </c>
      <c r="I86">
        <f t="shared" ca="1" si="11"/>
        <v>5</v>
      </c>
      <c r="J86" t="str">
        <f t="shared" si="12"/>
        <v>1-493 arg2</v>
      </c>
      <c r="K86" t="str">
        <f t="shared" si="13"/>
        <v>1-493 feedback2</v>
      </c>
      <c r="L86">
        <v>1</v>
      </c>
      <c r="M86" t="s">
        <v>1285</v>
      </c>
      <c r="N86">
        <v>85</v>
      </c>
    </row>
    <row r="87" spans="1:14">
      <c r="A87">
        <v>8</v>
      </c>
      <c r="B87">
        <f>B2+1</f>
        <v>2</v>
      </c>
      <c r="C87">
        <v>409</v>
      </c>
      <c r="D87">
        <f t="shared" ca="1" si="7"/>
        <v>5</v>
      </c>
      <c r="E87" t="str">
        <f t="shared" si="8"/>
        <v>2-409 arg1</v>
      </c>
      <c r="F87">
        <f t="shared" ca="1" si="9"/>
        <v>4</v>
      </c>
      <c r="G87" t="str">
        <f t="shared" si="10"/>
        <v>2-409 feedback1</v>
      </c>
      <c r="H87">
        <v>1</v>
      </c>
      <c r="I87">
        <f t="shared" ca="1" si="11"/>
        <v>4</v>
      </c>
      <c r="J87" t="str">
        <f t="shared" si="12"/>
        <v>2-409 arg2</v>
      </c>
      <c r="K87" t="str">
        <f t="shared" si="13"/>
        <v>2-409 feedback2</v>
      </c>
      <c r="L87">
        <v>1</v>
      </c>
      <c r="M87" t="s">
        <v>1285</v>
      </c>
      <c r="N87">
        <v>86</v>
      </c>
    </row>
    <row r="88" spans="1:14">
      <c r="A88">
        <v>8</v>
      </c>
      <c r="B88">
        <f t="shared" ref="B88:B151" si="14">B3+1</f>
        <v>2</v>
      </c>
      <c r="C88">
        <v>410</v>
      </c>
      <c r="D88">
        <f t="shared" ca="1" si="7"/>
        <v>4</v>
      </c>
      <c r="E88" t="str">
        <f t="shared" si="8"/>
        <v>2-410 arg1</v>
      </c>
      <c r="F88">
        <f t="shared" ca="1" si="9"/>
        <v>3</v>
      </c>
      <c r="G88" t="str">
        <f t="shared" si="10"/>
        <v>2-410 feedback1</v>
      </c>
      <c r="H88">
        <v>1</v>
      </c>
      <c r="I88">
        <f t="shared" ca="1" si="11"/>
        <v>4</v>
      </c>
      <c r="J88" t="str">
        <f t="shared" si="12"/>
        <v>2-410 arg2</v>
      </c>
      <c r="K88" t="str">
        <f t="shared" si="13"/>
        <v>2-410 feedback2</v>
      </c>
      <c r="L88">
        <v>1</v>
      </c>
      <c r="M88" t="s">
        <v>1285</v>
      </c>
      <c r="N88">
        <v>87</v>
      </c>
    </row>
    <row r="89" spans="1:14">
      <c r="A89">
        <v>8</v>
      </c>
      <c r="B89">
        <f t="shared" si="14"/>
        <v>2</v>
      </c>
      <c r="C89">
        <v>411</v>
      </c>
      <c r="D89">
        <f t="shared" ca="1" si="7"/>
        <v>5</v>
      </c>
      <c r="E89" t="str">
        <f t="shared" si="8"/>
        <v>2-411 arg1</v>
      </c>
      <c r="F89">
        <f t="shared" ca="1" si="9"/>
        <v>3</v>
      </c>
      <c r="G89" t="str">
        <f t="shared" si="10"/>
        <v>2-411 feedback1</v>
      </c>
      <c r="H89">
        <v>1</v>
      </c>
      <c r="I89">
        <f t="shared" ca="1" si="11"/>
        <v>3</v>
      </c>
      <c r="J89" t="str">
        <f t="shared" si="12"/>
        <v>2-411 arg2</v>
      </c>
      <c r="K89" t="str">
        <f t="shared" si="13"/>
        <v>2-411 feedback2</v>
      </c>
      <c r="L89">
        <v>1</v>
      </c>
      <c r="M89" t="s">
        <v>1285</v>
      </c>
      <c r="N89">
        <v>88</v>
      </c>
    </row>
    <row r="90" spans="1:14">
      <c r="A90">
        <v>8</v>
      </c>
      <c r="B90">
        <f t="shared" si="14"/>
        <v>2</v>
      </c>
      <c r="C90">
        <v>412</v>
      </c>
      <c r="D90">
        <f t="shared" ca="1" si="7"/>
        <v>5</v>
      </c>
      <c r="E90" t="str">
        <f t="shared" si="8"/>
        <v>2-412 arg1</v>
      </c>
      <c r="F90">
        <f t="shared" ca="1" si="9"/>
        <v>5</v>
      </c>
      <c r="G90" t="str">
        <f t="shared" si="10"/>
        <v>2-412 feedback1</v>
      </c>
      <c r="H90">
        <v>1</v>
      </c>
      <c r="I90">
        <f t="shared" ca="1" si="11"/>
        <v>5</v>
      </c>
      <c r="J90" t="str">
        <f t="shared" si="12"/>
        <v>2-412 arg2</v>
      </c>
      <c r="K90" t="str">
        <f t="shared" si="13"/>
        <v>2-412 feedback2</v>
      </c>
      <c r="L90">
        <v>1</v>
      </c>
      <c r="M90" t="s">
        <v>1285</v>
      </c>
      <c r="N90">
        <v>89</v>
      </c>
    </row>
    <row r="91" spans="1:14">
      <c r="A91">
        <v>8</v>
      </c>
      <c r="B91">
        <f t="shared" si="14"/>
        <v>2</v>
      </c>
      <c r="C91">
        <v>413</v>
      </c>
      <c r="D91">
        <f t="shared" ca="1" si="7"/>
        <v>4</v>
      </c>
      <c r="E91" t="str">
        <f t="shared" si="8"/>
        <v>2-413 arg1</v>
      </c>
      <c r="F91">
        <f t="shared" ca="1" si="9"/>
        <v>4</v>
      </c>
      <c r="G91" t="str">
        <f t="shared" si="10"/>
        <v>2-413 feedback1</v>
      </c>
      <c r="H91">
        <v>1</v>
      </c>
      <c r="I91">
        <f t="shared" ca="1" si="11"/>
        <v>4</v>
      </c>
      <c r="J91" t="str">
        <f t="shared" si="12"/>
        <v>2-413 arg2</v>
      </c>
      <c r="K91" t="str">
        <f t="shared" si="13"/>
        <v>2-413 feedback2</v>
      </c>
      <c r="L91">
        <v>1</v>
      </c>
      <c r="M91" t="s">
        <v>1285</v>
      </c>
      <c r="N91">
        <v>90</v>
      </c>
    </row>
    <row r="92" spans="1:14">
      <c r="A92">
        <v>8</v>
      </c>
      <c r="B92">
        <f t="shared" si="14"/>
        <v>2</v>
      </c>
      <c r="C92">
        <v>414</v>
      </c>
      <c r="D92">
        <f t="shared" ca="1" si="7"/>
        <v>3</v>
      </c>
      <c r="E92" t="str">
        <f t="shared" si="8"/>
        <v>2-414 arg1</v>
      </c>
      <c r="F92">
        <f t="shared" ca="1" si="9"/>
        <v>2</v>
      </c>
      <c r="G92" t="str">
        <f t="shared" si="10"/>
        <v>2-414 feedback1</v>
      </c>
      <c r="H92">
        <v>1</v>
      </c>
      <c r="I92">
        <f t="shared" ca="1" si="11"/>
        <v>2</v>
      </c>
      <c r="J92" t="str">
        <f t="shared" si="12"/>
        <v>2-414 arg2</v>
      </c>
      <c r="K92" t="str">
        <f t="shared" si="13"/>
        <v>2-414 feedback2</v>
      </c>
      <c r="L92">
        <v>1</v>
      </c>
      <c r="M92" t="s">
        <v>1285</v>
      </c>
      <c r="N92">
        <v>91</v>
      </c>
    </row>
    <row r="93" spans="1:14">
      <c r="A93">
        <v>8</v>
      </c>
      <c r="B93">
        <f t="shared" si="14"/>
        <v>2</v>
      </c>
      <c r="C93">
        <v>415</v>
      </c>
      <c r="D93">
        <f t="shared" ca="1" si="7"/>
        <v>5</v>
      </c>
      <c r="E93" t="str">
        <f t="shared" si="8"/>
        <v>2-415 arg1</v>
      </c>
      <c r="F93">
        <f t="shared" ca="1" si="9"/>
        <v>4</v>
      </c>
      <c r="G93" t="str">
        <f t="shared" si="10"/>
        <v>2-415 feedback1</v>
      </c>
      <c r="H93">
        <v>1</v>
      </c>
      <c r="I93">
        <f t="shared" ca="1" si="11"/>
        <v>4</v>
      </c>
      <c r="J93" t="str">
        <f t="shared" si="12"/>
        <v>2-415 arg2</v>
      </c>
      <c r="K93" t="str">
        <f t="shared" si="13"/>
        <v>2-415 feedback2</v>
      </c>
      <c r="L93">
        <v>1</v>
      </c>
      <c r="M93" t="s">
        <v>1285</v>
      </c>
      <c r="N93">
        <v>92</v>
      </c>
    </row>
    <row r="94" spans="1:14">
      <c r="A94">
        <v>8</v>
      </c>
      <c r="B94">
        <f t="shared" si="14"/>
        <v>2</v>
      </c>
      <c r="C94">
        <v>416</v>
      </c>
      <c r="D94">
        <f t="shared" ca="1" si="7"/>
        <v>4</v>
      </c>
      <c r="E94" t="str">
        <f t="shared" si="8"/>
        <v>2-416 arg1</v>
      </c>
      <c r="F94">
        <f t="shared" ca="1" si="9"/>
        <v>3</v>
      </c>
      <c r="G94" t="str">
        <f t="shared" si="10"/>
        <v>2-416 feedback1</v>
      </c>
      <c r="H94">
        <v>1</v>
      </c>
      <c r="I94">
        <f t="shared" ca="1" si="11"/>
        <v>4</v>
      </c>
      <c r="J94" t="str">
        <f t="shared" si="12"/>
        <v>2-416 arg2</v>
      </c>
      <c r="K94" t="str">
        <f t="shared" si="13"/>
        <v>2-416 feedback2</v>
      </c>
      <c r="L94">
        <v>1</v>
      </c>
      <c r="M94" t="s">
        <v>1285</v>
      </c>
      <c r="N94">
        <v>93</v>
      </c>
    </row>
    <row r="95" spans="1:14">
      <c r="A95">
        <v>8</v>
      </c>
      <c r="B95">
        <f t="shared" si="14"/>
        <v>2</v>
      </c>
      <c r="C95">
        <v>417</v>
      </c>
      <c r="D95">
        <f t="shared" ca="1" si="7"/>
        <v>4</v>
      </c>
      <c r="E95" t="str">
        <f t="shared" si="8"/>
        <v>2-417 arg1</v>
      </c>
      <c r="F95">
        <f t="shared" ca="1" si="9"/>
        <v>3</v>
      </c>
      <c r="G95" t="str">
        <f t="shared" si="10"/>
        <v>2-417 feedback1</v>
      </c>
      <c r="H95">
        <v>1</v>
      </c>
      <c r="I95">
        <f t="shared" ca="1" si="11"/>
        <v>3</v>
      </c>
      <c r="J95" t="str">
        <f t="shared" si="12"/>
        <v>2-417 arg2</v>
      </c>
      <c r="K95" t="str">
        <f t="shared" si="13"/>
        <v>2-417 feedback2</v>
      </c>
      <c r="L95">
        <v>1</v>
      </c>
      <c r="M95" t="s">
        <v>1285</v>
      </c>
      <c r="N95">
        <v>94</v>
      </c>
    </row>
    <row r="96" spans="1:14">
      <c r="A96">
        <v>8</v>
      </c>
      <c r="B96">
        <f t="shared" si="14"/>
        <v>2</v>
      </c>
      <c r="C96">
        <v>418</v>
      </c>
      <c r="D96">
        <f t="shared" ca="1" si="7"/>
        <v>4</v>
      </c>
      <c r="E96" t="str">
        <f t="shared" si="8"/>
        <v>2-418 arg1</v>
      </c>
      <c r="F96">
        <f t="shared" ca="1" si="9"/>
        <v>4</v>
      </c>
      <c r="G96" t="str">
        <f t="shared" si="10"/>
        <v>2-418 feedback1</v>
      </c>
      <c r="H96">
        <v>1</v>
      </c>
      <c r="I96">
        <f t="shared" ca="1" si="11"/>
        <v>5</v>
      </c>
      <c r="J96" t="str">
        <f t="shared" si="12"/>
        <v>2-418 arg2</v>
      </c>
      <c r="K96" t="str">
        <f t="shared" si="13"/>
        <v>2-418 feedback2</v>
      </c>
      <c r="L96">
        <v>1</v>
      </c>
      <c r="M96" t="s">
        <v>1285</v>
      </c>
      <c r="N96">
        <v>95</v>
      </c>
    </row>
    <row r="97" spans="1:14">
      <c r="A97">
        <v>8</v>
      </c>
      <c r="B97">
        <f t="shared" si="14"/>
        <v>2</v>
      </c>
      <c r="C97">
        <v>419</v>
      </c>
      <c r="D97">
        <f t="shared" ca="1" si="7"/>
        <v>5</v>
      </c>
      <c r="E97" t="str">
        <f t="shared" si="8"/>
        <v>2-419 arg1</v>
      </c>
      <c r="F97">
        <f t="shared" ca="1" si="9"/>
        <v>5</v>
      </c>
      <c r="G97" t="str">
        <f t="shared" si="10"/>
        <v>2-419 feedback1</v>
      </c>
      <c r="H97">
        <v>1</v>
      </c>
      <c r="I97">
        <f t="shared" ca="1" si="11"/>
        <v>5</v>
      </c>
      <c r="J97" t="str">
        <f t="shared" si="12"/>
        <v>2-419 arg2</v>
      </c>
      <c r="K97" t="str">
        <f t="shared" si="13"/>
        <v>2-419 feedback2</v>
      </c>
      <c r="L97">
        <v>1</v>
      </c>
      <c r="M97" t="s">
        <v>1285</v>
      </c>
      <c r="N97">
        <v>96</v>
      </c>
    </row>
    <row r="98" spans="1:14">
      <c r="A98">
        <v>8</v>
      </c>
      <c r="B98">
        <f t="shared" si="14"/>
        <v>2</v>
      </c>
      <c r="C98">
        <v>420</v>
      </c>
      <c r="D98">
        <f t="shared" ca="1" si="7"/>
        <v>3</v>
      </c>
      <c r="E98" t="str">
        <f t="shared" si="8"/>
        <v>2-420 arg1</v>
      </c>
      <c r="F98">
        <f t="shared" ca="1" si="9"/>
        <v>2</v>
      </c>
      <c r="G98" t="str">
        <f t="shared" si="10"/>
        <v>2-420 feedback1</v>
      </c>
      <c r="H98">
        <v>1</v>
      </c>
      <c r="I98">
        <f t="shared" ca="1" si="11"/>
        <v>3</v>
      </c>
      <c r="J98" t="str">
        <f t="shared" si="12"/>
        <v>2-420 arg2</v>
      </c>
      <c r="K98" t="str">
        <f t="shared" si="13"/>
        <v>2-420 feedback2</v>
      </c>
      <c r="L98">
        <v>1</v>
      </c>
      <c r="M98" t="s">
        <v>1285</v>
      </c>
      <c r="N98">
        <v>97</v>
      </c>
    </row>
    <row r="99" spans="1:14">
      <c r="A99">
        <v>8</v>
      </c>
      <c r="B99">
        <f t="shared" si="14"/>
        <v>2</v>
      </c>
      <c r="C99">
        <v>421</v>
      </c>
      <c r="D99">
        <f t="shared" ca="1" si="7"/>
        <v>4</v>
      </c>
      <c r="E99" t="str">
        <f t="shared" si="8"/>
        <v>2-421 arg1</v>
      </c>
      <c r="F99">
        <f t="shared" ca="1" si="9"/>
        <v>3</v>
      </c>
      <c r="G99" t="str">
        <f t="shared" si="10"/>
        <v>2-421 feedback1</v>
      </c>
      <c r="H99">
        <v>1</v>
      </c>
      <c r="I99">
        <f t="shared" ca="1" si="11"/>
        <v>3</v>
      </c>
      <c r="J99" t="str">
        <f t="shared" si="12"/>
        <v>2-421 arg2</v>
      </c>
      <c r="K99" t="str">
        <f t="shared" si="13"/>
        <v>2-421 feedback2</v>
      </c>
      <c r="L99">
        <v>1</v>
      </c>
      <c r="M99" t="s">
        <v>1285</v>
      </c>
      <c r="N99">
        <v>98</v>
      </c>
    </row>
    <row r="100" spans="1:14">
      <c r="A100">
        <v>8</v>
      </c>
      <c r="B100">
        <f t="shared" si="14"/>
        <v>2</v>
      </c>
      <c r="C100">
        <v>422</v>
      </c>
      <c r="D100">
        <f t="shared" ca="1" si="7"/>
        <v>5</v>
      </c>
      <c r="E100" t="str">
        <f t="shared" si="8"/>
        <v>2-422 arg1</v>
      </c>
      <c r="F100">
        <f t="shared" ca="1" si="9"/>
        <v>4</v>
      </c>
      <c r="G100" t="str">
        <f t="shared" si="10"/>
        <v>2-422 feedback1</v>
      </c>
      <c r="H100">
        <v>1</v>
      </c>
      <c r="I100">
        <f t="shared" ca="1" si="11"/>
        <v>4</v>
      </c>
      <c r="J100" t="str">
        <f t="shared" si="12"/>
        <v>2-422 arg2</v>
      </c>
      <c r="K100" t="str">
        <f t="shared" si="13"/>
        <v>2-422 feedback2</v>
      </c>
      <c r="L100">
        <v>1</v>
      </c>
      <c r="M100" t="s">
        <v>1285</v>
      </c>
      <c r="N100">
        <v>99</v>
      </c>
    </row>
    <row r="101" spans="1:14">
      <c r="A101">
        <v>8</v>
      </c>
      <c r="B101">
        <f t="shared" si="14"/>
        <v>2</v>
      </c>
      <c r="C101">
        <v>423</v>
      </c>
      <c r="D101">
        <f t="shared" ca="1" si="7"/>
        <v>3</v>
      </c>
      <c r="E101" t="str">
        <f t="shared" si="8"/>
        <v>2-423 arg1</v>
      </c>
      <c r="F101">
        <f t="shared" ca="1" si="9"/>
        <v>2</v>
      </c>
      <c r="G101" t="str">
        <f t="shared" si="10"/>
        <v>2-423 feedback1</v>
      </c>
      <c r="H101">
        <v>1</v>
      </c>
      <c r="I101">
        <f t="shared" ca="1" si="11"/>
        <v>3</v>
      </c>
      <c r="J101" t="str">
        <f t="shared" si="12"/>
        <v>2-423 arg2</v>
      </c>
      <c r="K101" t="str">
        <f t="shared" si="13"/>
        <v>2-423 feedback2</v>
      </c>
      <c r="L101">
        <v>1</v>
      </c>
      <c r="M101" t="s">
        <v>1285</v>
      </c>
      <c r="N101">
        <v>100</v>
      </c>
    </row>
    <row r="102" spans="1:14">
      <c r="A102">
        <v>8</v>
      </c>
      <c r="B102">
        <f t="shared" si="14"/>
        <v>2</v>
      </c>
      <c r="C102">
        <v>424</v>
      </c>
      <c r="D102">
        <f t="shared" ca="1" si="7"/>
        <v>4</v>
      </c>
      <c r="E102" t="str">
        <f t="shared" si="8"/>
        <v>2-424 arg1</v>
      </c>
      <c r="F102">
        <f t="shared" ca="1" si="9"/>
        <v>3</v>
      </c>
      <c r="G102" t="str">
        <f t="shared" si="10"/>
        <v>2-424 feedback1</v>
      </c>
      <c r="H102">
        <v>1</v>
      </c>
      <c r="I102">
        <f t="shared" ca="1" si="11"/>
        <v>3</v>
      </c>
      <c r="J102" t="str">
        <f t="shared" si="12"/>
        <v>2-424 arg2</v>
      </c>
      <c r="K102" t="str">
        <f t="shared" si="13"/>
        <v>2-424 feedback2</v>
      </c>
      <c r="L102">
        <v>1</v>
      </c>
      <c r="M102" t="s">
        <v>1285</v>
      </c>
      <c r="N102">
        <v>101</v>
      </c>
    </row>
    <row r="103" spans="1:14">
      <c r="A103">
        <v>8</v>
      </c>
      <c r="B103">
        <f t="shared" si="14"/>
        <v>2</v>
      </c>
      <c r="C103">
        <v>425</v>
      </c>
      <c r="D103">
        <f t="shared" ca="1" si="7"/>
        <v>4</v>
      </c>
      <c r="E103" t="str">
        <f t="shared" si="8"/>
        <v>2-425 arg1</v>
      </c>
      <c r="F103">
        <f t="shared" ca="1" si="9"/>
        <v>3</v>
      </c>
      <c r="G103" t="str">
        <f t="shared" si="10"/>
        <v>2-425 feedback1</v>
      </c>
      <c r="H103">
        <v>1</v>
      </c>
      <c r="I103">
        <f t="shared" ca="1" si="11"/>
        <v>4</v>
      </c>
      <c r="J103" t="str">
        <f t="shared" si="12"/>
        <v>2-425 arg2</v>
      </c>
      <c r="K103" t="str">
        <f t="shared" si="13"/>
        <v>2-425 feedback2</v>
      </c>
      <c r="L103">
        <v>1</v>
      </c>
      <c r="M103" t="s">
        <v>1285</v>
      </c>
      <c r="N103">
        <v>102</v>
      </c>
    </row>
    <row r="104" spans="1:14">
      <c r="A104">
        <v>8</v>
      </c>
      <c r="B104">
        <f t="shared" si="14"/>
        <v>2</v>
      </c>
      <c r="C104">
        <v>426</v>
      </c>
      <c r="D104">
        <f t="shared" ca="1" si="7"/>
        <v>5</v>
      </c>
      <c r="E104" t="str">
        <f t="shared" si="8"/>
        <v>2-426 arg1</v>
      </c>
      <c r="F104">
        <f t="shared" ca="1" si="9"/>
        <v>4</v>
      </c>
      <c r="G104" t="str">
        <f t="shared" si="10"/>
        <v>2-426 feedback1</v>
      </c>
      <c r="H104">
        <v>1</v>
      </c>
      <c r="I104">
        <f t="shared" ca="1" si="11"/>
        <v>5</v>
      </c>
      <c r="J104" t="str">
        <f t="shared" si="12"/>
        <v>2-426 arg2</v>
      </c>
      <c r="K104" t="str">
        <f t="shared" si="13"/>
        <v>2-426 feedback2</v>
      </c>
      <c r="L104">
        <v>1</v>
      </c>
      <c r="M104" t="s">
        <v>1285</v>
      </c>
      <c r="N104">
        <v>103</v>
      </c>
    </row>
    <row r="105" spans="1:14">
      <c r="A105">
        <v>8</v>
      </c>
      <c r="B105">
        <f t="shared" si="14"/>
        <v>2</v>
      </c>
      <c r="C105">
        <v>427</v>
      </c>
      <c r="D105">
        <f t="shared" ca="1" si="7"/>
        <v>4</v>
      </c>
      <c r="E105" t="str">
        <f t="shared" si="8"/>
        <v>2-427 arg1</v>
      </c>
      <c r="F105">
        <f t="shared" ca="1" si="9"/>
        <v>2</v>
      </c>
      <c r="G105" t="str">
        <f t="shared" si="10"/>
        <v>2-427 feedback1</v>
      </c>
      <c r="H105">
        <v>1</v>
      </c>
      <c r="I105">
        <f t="shared" ca="1" si="11"/>
        <v>2</v>
      </c>
      <c r="J105" t="str">
        <f t="shared" si="12"/>
        <v>2-427 arg2</v>
      </c>
      <c r="K105" t="str">
        <f t="shared" si="13"/>
        <v>2-427 feedback2</v>
      </c>
      <c r="L105">
        <v>1</v>
      </c>
      <c r="M105" t="s">
        <v>1285</v>
      </c>
      <c r="N105">
        <v>104</v>
      </c>
    </row>
    <row r="106" spans="1:14">
      <c r="A106">
        <v>8</v>
      </c>
      <c r="B106">
        <f t="shared" si="14"/>
        <v>2</v>
      </c>
      <c r="C106">
        <v>428</v>
      </c>
      <c r="D106">
        <f t="shared" ca="1" si="7"/>
        <v>5</v>
      </c>
      <c r="E106" t="str">
        <f t="shared" si="8"/>
        <v>2-428 arg1</v>
      </c>
      <c r="F106">
        <f t="shared" ca="1" si="9"/>
        <v>4</v>
      </c>
      <c r="G106" t="str">
        <f t="shared" si="10"/>
        <v>2-428 feedback1</v>
      </c>
      <c r="H106">
        <v>1</v>
      </c>
      <c r="I106">
        <f t="shared" ca="1" si="11"/>
        <v>4</v>
      </c>
      <c r="J106" t="str">
        <f t="shared" si="12"/>
        <v>2-428 arg2</v>
      </c>
      <c r="K106" t="str">
        <f t="shared" si="13"/>
        <v>2-428 feedback2</v>
      </c>
      <c r="L106">
        <v>1</v>
      </c>
      <c r="M106" t="s">
        <v>1285</v>
      </c>
      <c r="N106">
        <v>105</v>
      </c>
    </row>
    <row r="107" spans="1:14">
      <c r="A107">
        <v>8</v>
      </c>
      <c r="B107">
        <f t="shared" si="14"/>
        <v>2</v>
      </c>
      <c r="C107">
        <v>429</v>
      </c>
      <c r="D107">
        <f t="shared" ca="1" si="7"/>
        <v>4</v>
      </c>
      <c r="E107" t="str">
        <f t="shared" si="8"/>
        <v>2-429 arg1</v>
      </c>
      <c r="F107">
        <f t="shared" ca="1" si="9"/>
        <v>2</v>
      </c>
      <c r="G107" t="str">
        <f t="shared" si="10"/>
        <v>2-429 feedback1</v>
      </c>
      <c r="H107">
        <v>1</v>
      </c>
      <c r="I107">
        <f t="shared" ca="1" si="11"/>
        <v>3</v>
      </c>
      <c r="J107" t="str">
        <f t="shared" si="12"/>
        <v>2-429 arg2</v>
      </c>
      <c r="K107" t="str">
        <f t="shared" si="13"/>
        <v>2-429 feedback2</v>
      </c>
      <c r="L107">
        <v>1</v>
      </c>
      <c r="M107" t="s">
        <v>1285</v>
      </c>
      <c r="N107">
        <v>106</v>
      </c>
    </row>
    <row r="108" spans="1:14">
      <c r="A108">
        <v>8</v>
      </c>
      <c r="B108">
        <f t="shared" si="14"/>
        <v>2</v>
      </c>
      <c r="C108">
        <v>430</v>
      </c>
      <c r="D108">
        <f t="shared" ca="1" si="7"/>
        <v>4</v>
      </c>
      <c r="E108" t="str">
        <f t="shared" si="8"/>
        <v>2-430 arg1</v>
      </c>
      <c r="F108">
        <f t="shared" ca="1" si="9"/>
        <v>4</v>
      </c>
      <c r="G108" t="str">
        <f t="shared" si="10"/>
        <v>2-430 feedback1</v>
      </c>
      <c r="H108">
        <v>1</v>
      </c>
      <c r="I108">
        <f t="shared" ca="1" si="11"/>
        <v>5</v>
      </c>
      <c r="J108" t="str">
        <f t="shared" si="12"/>
        <v>2-430 arg2</v>
      </c>
      <c r="K108" t="str">
        <f t="shared" si="13"/>
        <v>2-430 feedback2</v>
      </c>
      <c r="L108">
        <v>1</v>
      </c>
      <c r="M108" t="s">
        <v>1285</v>
      </c>
      <c r="N108">
        <v>107</v>
      </c>
    </row>
    <row r="109" spans="1:14">
      <c r="A109">
        <v>8</v>
      </c>
      <c r="B109">
        <f t="shared" si="14"/>
        <v>2</v>
      </c>
      <c r="C109">
        <v>431</v>
      </c>
      <c r="D109">
        <f t="shared" ca="1" si="7"/>
        <v>3</v>
      </c>
      <c r="E109" t="str">
        <f t="shared" si="8"/>
        <v>2-431 arg1</v>
      </c>
      <c r="F109">
        <f t="shared" ca="1" si="9"/>
        <v>1</v>
      </c>
      <c r="G109" t="str">
        <f t="shared" si="10"/>
        <v>2-431 feedback1</v>
      </c>
      <c r="H109">
        <v>1</v>
      </c>
      <c r="I109">
        <f t="shared" ca="1" si="11"/>
        <v>2</v>
      </c>
      <c r="J109" t="str">
        <f t="shared" si="12"/>
        <v>2-431 arg2</v>
      </c>
      <c r="K109" t="str">
        <f t="shared" si="13"/>
        <v>2-431 feedback2</v>
      </c>
      <c r="L109">
        <v>1</v>
      </c>
      <c r="M109" t="s">
        <v>1285</v>
      </c>
      <c r="N109">
        <v>108</v>
      </c>
    </row>
    <row r="110" spans="1:14">
      <c r="A110">
        <v>8</v>
      </c>
      <c r="B110">
        <f t="shared" si="14"/>
        <v>2</v>
      </c>
      <c r="C110">
        <v>432</v>
      </c>
      <c r="D110">
        <f t="shared" ca="1" si="7"/>
        <v>5</v>
      </c>
      <c r="E110" t="str">
        <f t="shared" si="8"/>
        <v>2-432 arg1</v>
      </c>
      <c r="F110">
        <f t="shared" ca="1" si="9"/>
        <v>5</v>
      </c>
      <c r="G110" t="str">
        <f t="shared" si="10"/>
        <v>2-432 feedback1</v>
      </c>
      <c r="H110">
        <v>1</v>
      </c>
      <c r="I110">
        <f t="shared" ca="1" si="11"/>
        <v>5</v>
      </c>
      <c r="J110" t="str">
        <f t="shared" si="12"/>
        <v>2-432 arg2</v>
      </c>
      <c r="K110" t="str">
        <f t="shared" si="13"/>
        <v>2-432 feedback2</v>
      </c>
      <c r="L110">
        <v>1</v>
      </c>
      <c r="M110" t="s">
        <v>1285</v>
      </c>
      <c r="N110">
        <v>109</v>
      </c>
    </row>
    <row r="111" spans="1:14">
      <c r="A111">
        <v>8</v>
      </c>
      <c r="B111">
        <f t="shared" si="14"/>
        <v>2</v>
      </c>
      <c r="C111">
        <v>433</v>
      </c>
      <c r="D111">
        <f t="shared" ca="1" si="7"/>
        <v>5</v>
      </c>
      <c r="E111" t="str">
        <f t="shared" si="8"/>
        <v>2-433 arg1</v>
      </c>
      <c r="F111">
        <f t="shared" ca="1" si="9"/>
        <v>5</v>
      </c>
      <c r="G111" t="str">
        <f t="shared" si="10"/>
        <v>2-433 feedback1</v>
      </c>
      <c r="H111">
        <v>1</v>
      </c>
      <c r="I111">
        <f t="shared" ca="1" si="11"/>
        <v>5</v>
      </c>
      <c r="J111" t="str">
        <f t="shared" si="12"/>
        <v>2-433 arg2</v>
      </c>
      <c r="K111" t="str">
        <f t="shared" si="13"/>
        <v>2-433 feedback2</v>
      </c>
      <c r="L111">
        <v>1</v>
      </c>
      <c r="M111" t="s">
        <v>1285</v>
      </c>
      <c r="N111">
        <v>110</v>
      </c>
    </row>
    <row r="112" spans="1:14">
      <c r="A112">
        <v>8</v>
      </c>
      <c r="B112">
        <f t="shared" si="14"/>
        <v>2</v>
      </c>
      <c r="C112">
        <v>434</v>
      </c>
      <c r="D112">
        <f t="shared" ca="1" si="7"/>
        <v>4</v>
      </c>
      <c r="E112" t="str">
        <f t="shared" si="8"/>
        <v>2-434 arg1</v>
      </c>
      <c r="F112">
        <f t="shared" ca="1" si="9"/>
        <v>3</v>
      </c>
      <c r="G112" t="str">
        <f t="shared" si="10"/>
        <v>2-434 feedback1</v>
      </c>
      <c r="H112">
        <v>1</v>
      </c>
      <c r="I112">
        <f t="shared" ca="1" si="11"/>
        <v>3</v>
      </c>
      <c r="J112" t="str">
        <f t="shared" si="12"/>
        <v>2-434 arg2</v>
      </c>
      <c r="K112" t="str">
        <f t="shared" si="13"/>
        <v>2-434 feedback2</v>
      </c>
      <c r="L112">
        <v>1</v>
      </c>
      <c r="M112" t="s">
        <v>1285</v>
      </c>
      <c r="N112">
        <v>111</v>
      </c>
    </row>
    <row r="113" spans="1:14">
      <c r="A113">
        <v>8</v>
      </c>
      <c r="B113">
        <f t="shared" si="14"/>
        <v>2</v>
      </c>
      <c r="C113">
        <v>435</v>
      </c>
      <c r="D113">
        <f t="shared" ca="1" si="7"/>
        <v>3</v>
      </c>
      <c r="E113" t="str">
        <f t="shared" si="8"/>
        <v>2-435 arg1</v>
      </c>
      <c r="F113">
        <f t="shared" ca="1" si="9"/>
        <v>3</v>
      </c>
      <c r="G113" t="str">
        <f t="shared" si="10"/>
        <v>2-435 feedback1</v>
      </c>
      <c r="H113">
        <v>1</v>
      </c>
      <c r="I113">
        <f t="shared" ca="1" si="11"/>
        <v>4</v>
      </c>
      <c r="J113" t="str">
        <f t="shared" si="12"/>
        <v>2-435 arg2</v>
      </c>
      <c r="K113" t="str">
        <f t="shared" si="13"/>
        <v>2-435 feedback2</v>
      </c>
      <c r="L113">
        <v>1</v>
      </c>
      <c r="M113" t="s">
        <v>1285</v>
      </c>
      <c r="N113">
        <v>112</v>
      </c>
    </row>
    <row r="114" spans="1:14">
      <c r="A114">
        <v>8</v>
      </c>
      <c r="B114">
        <f t="shared" si="14"/>
        <v>2</v>
      </c>
      <c r="C114">
        <v>436</v>
      </c>
      <c r="D114">
        <f t="shared" ca="1" si="7"/>
        <v>4</v>
      </c>
      <c r="E114" t="str">
        <f t="shared" si="8"/>
        <v>2-436 arg1</v>
      </c>
      <c r="F114">
        <f t="shared" ca="1" si="9"/>
        <v>3</v>
      </c>
      <c r="G114" t="str">
        <f t="shared" si="10"/>
        <v>2-436 feedback1</v>
      </c>
      <c r="H114">
        <v>1</v>
      </c>
      <c r="I114">
        <f t="shared" ca="1" si="11"/>
        <v>4</v>
      </c>
      <c r="J114" t="str">
        <f t="shared" si="12"/>
        <v>2-436 arg2</v>
      </c>
      <c r="K114" t="str">
        <f t="shared" si="13"/>
        <v>2-436 feedback2</v>
      </c>
      <c r="L114">
        <v>1</v>
      </c>
      <c r="M114" t="s">
        <v>1285</v>
      </c>
      <c r="N114">
        <v>113</v>
      </c>
    </row>
    <row r="115" spans="1:14">
      <c r="A115">
        <v>8</v>
      </c>
      <c r="B115">
        <f t="shared" si="14"/>
        <v>2</v>
      </c>
      <c r="C115">
        <v>437</v>
      </c>
      <c r="D115">
        <f t="shared" ca="1" si="7"/>
        <v>4</v>
      </c>
      <c r="E115" t="str">
        <f t="shared" si="8"/>
        <v>2-437 arg1</v>
      </c>
      <c r="F115">
        <f t="shared" ca="1" si="9"/>
        <v>2</v>
      </c>
      <c r="G115" t="str">
        <f t="shared" si="10"/>
        <v>2-437 feedback1</v>
      </c>
      <c r="H115">
        <v>1</v>
      </c>
      <c r="I115">
        <f t="shared" ca="1" si="11"/>
        <v>2</v>
      </c>
      <c r="J115" t="str">
        <f t="shared" si="12"/>
        <v>2-437 arg2</v>
      </c>
      <c r="K115" t="str">
        <f t="shared" si="13"/>
        <v>2-437 feedback2</v>
      </c>
      <c r="L115">
        <v>1</v>
      </c>
      <c r="M115" t="s">
        <v>1285</v>
      </c>
      <c r="N115">
        <v>114</v>
      </c>
    </row>
    <row r="116" spans="1:14">
      <c r="A116">
        <v>8</v>
      </c>
      <c r="B116">
        <f t="shared" si="14"/>
        <v>2</v>
      </c>
      <c r="C116">
        <v>438</v>
      </c>
      <c r="D116">
        <f t="shared" ca="1" si="7"/>
        <v>3</v>
      </c>
      <c r="E116" t="str">
        <f t="shared" si="8"/>
        <v>2-438 arg1</v>
      </c>
      <c r="F116">
        <f t="shared" ca="1" si="9"/>
        <v>1</v>
      </c>
      <c r="G116" t="str">
        <f t="shared" si="10"/>
        <v>2-438 feedback1</v>
      </c>
      <c r="H116">
        <v>1</v>
      </c>
      <c r="I116">
        <f t="shared" ca="1" si="11"/>
        <v>1</v>
      </c>
      <c r="J116" t="str">
        <f t="shared" si="12"/>
        <v>2-438 arg2</v>
      </c>
      <c r="K116" t="str">
        <f t="shared" si="13"/>
        <v>2-438 feedback2</v>
      </c>
      <c r="L116">
        <v>1</v>
      </c>
      <c r="M116" t="s">
        <v>1285</v>
      </c>
      <c r="N116">
        <v>115</v>
      </c>
    </row>
    <row r="117" spans="1:14">
      <c r="A117">
        <v>8</v>
      </c>
      <c r="B117">
        <f t="shared" si="14"/>
        <v>2</v>
      </c>
      <c r="C117">
        <v>439</v>
      </c>
      <c r="D117">
        <f t="shared" ca="1" si="7"/>
        <v>5</v>
      </c>
      <c r="E117" t="str">
        <f t="shared" si="8"/>
        <v>2-439 arg1</v>
      </c>
      <c r="F117">
        <f t="shared" ca="1" si="9"/>
        <v>4</v>
      </c>
      <c r="G117" t="str">
        <f t="shared" si="10"/>
        <v>2-439 feedback1</v>
      </c>
      <c r="H117">
        <v>1</v>
      </c>
      <c r="I117">
        <f t="shared" ca="1" si="11"/>
        <v>4</v>
      </c>
      <c r="J117" t="str">
        <f t="shared" si="12"/>
        <v>2-439 arg2</v>
      </c>
      <c r="K117" t="str">
        <f t="shared" si="13"/>
        <v>2-439 feedback2</v>
      </c>
      <c r="L117">
        <v>1</v>
      </c>
      <c r="M117" t="s">
        <v>1285</v>
      </c>
      <c r="N117">
        <v>116</v>
      </c>
    </row>
    <row r="118" spans="1:14">
      <c r="A118">
        <v>8</v>
      </c>
      <c r="B118">
        <f t="shared" si="14"/>
        <v>2</v>
      </c>
      <c r="C118">
        <v>440</v>
      </c>
      <c r="D118">
        <f t="shared" ca="1" si="7"/>
        <v>3</v>
      </c>
      <c r="E118" t="str">
        <f t="shared" si="8"/>
        <v>2-440 arg1</v>
      </c>
      <c r="F118">
        <f t="shared" ca="1" si="9"/>
        <v>1</v>
      </c>
      <c r="G118" t="str">
        <f t="shared" si="10"/>
        <v>2-440 feedback1</v>
      </c>
      <c r="H118">
        <v>1</v>
      </c>
      <c r="I118">
        <f t="shared" ca="1" si="11"/>
        <v>2</v>
      </c>
      <c r="J118" t="str">
        <f t="shared" si="12"/>
        <v>2-440 arg2</v>
      </c>
      <c r="K118" t="str">
        <f t="shared" si="13"/>
        <v>2-440 feedback2</v>
      </c>
      <c r="L118">
        <v>1</v>
      </c>
      <c r="M118" t="s">
        <v>1285</v>
      </c>
      <c r="N118">
        <v>117</v>
      </c>
    </row>
    <row r="119" spans="1:14">
      <c r="A119">
        <v>8</v>
      </c>
      <c r="B119">
        <f t="shared" si="14"/>
        <v>2</v>
      </c>
      <c r="C119">
        <v>441</v>
      </c>
      <c r="D119">
        <f t="shared" ca="1" si="7"/>
        <v>4</v>
      </c>
      <c r="E119" t="str">
        <f t="shared" si="8"/>
        <v>2-441 arg1</v>
      </c>
      <c r="F119">
        <f t="shared" ca="1" si="9"/>
        <v>2</v>
      </c>
      <c r="G119" t="str">
        <f t="shared" si="10"/>
        <v>2-441 feedback1</v>
      </c>
      <c r="H119">
        <v>1</v>
      </c>
      <c r="I119">
        <f t="shared" ca="1" si="11"/>
        <v>3</v>
      </c>
      <c r="J119" t="str">
        <f t="shared" si="12"/>
        <v>2-441 arg2</v>
      </c>
      <c r="K119" t="str">
        <f t="shared" si="13"/>
        <v>2-441 feedback2</v>
      </c>
      <c r="L119">
        <v>1</v>
      </c>
      <c r="M119" t="s">
        <v>1285</v>
      </c>
      <c r="N119">
        <v>118</v>
      </c>
    </row>
    <row r="120" spans="1:14">
      <c r="A120">
        <v>8</v>
      </c>
      <c r="B120">
        <f t="shared" si="14"/>
        <v>2</v>
      </c>
      <c r="C120">
        <v>442</v>
      </c>
      <c r="D120">
        <f t="shared" ca="1" si="7"/>
        <v>4</v>
      </c>
      <c r="E120" t="str">
        <f t="shared" si="8"/>
        <v>2-442 arg1</v>
      </c>
      <c r="F120">
        <f t="shared" ca="1" si="9"/>
        <v>3</v>
      </c>
      <c r="G120" t="str">
        <f t="shared" si="10"/>
        <v>2-442 feedback1</v>
      </c>
      <c r="H120">
        <v>1</v>
      </c>
      <c r="I120">
        <f t="shared" ca="1" si="11"/>
        <v>3</v>
      </c>
      <c r="J120" t="str">
        <f t="shared" si="12"/>
        <v>2-442 arg2</v>
      </c>
      <c r="K120" t="str">
        <f t="shared" si="13"/>
        <v>2-442 feedback2</v>
      </c>
      <c r="L120">
        <v>1</v>
      </c>
      <c r="M120" t="s">
        <v>1285</v>
      </c>
      <c r="N120">
        <v>119</v>
      </c>
    </row>
    <row r="121" spans="1:14">
      <c r="A121">
        <v>8</v>
      </c>
      <c r="B121">
        <f t="shared" si="14"/>
        <v>2</v>
      </c>
      <c r="C121">
        <v>443</v>
      </c>
      <c r="D121">
        <f t="shared" ca="1" si="7"/>
        <v>5</v>
      </c>
      <c r="E121" t="str">
        <f t="shared" si="8"/>
        <v>2-443 arg1</v>
      </c>
      <c r="F121">
        <f t="shared" ca="1" si="9"/>
        <v>4</v>
      </c>
      <c r="G121" t="str">
        <f t="shared" si="10"/>
        <v>2-443 feedback1</v>
      </c>
      <c r="H121">
        <v>1</v>
      </c>
      <c r="I121">
        <f t="shared" ca="1" si="11"/>
        <v>4</v>
      </c>
      <c r="J121" t="str">
        <f t="shared" si="12"/>
        <v>2-443 arg2</v>
      </c>
      <c r="K121" t="str">
        <f t="shared" si="13"/>
        <v>2-443 feedback2</v>
      </c>
      <c r="L121">
        <v>1</v>
      </c>
      <c r="M121" t="s">
        <v>1285</v>
      </c>
      <c r="N121">
        <v>120</v>
      </c>
    </row>
    <row r="122" spans="1:14">
      <c r="A122">
        <v>8</v>
      </c>
      <c r="B122">
        <f t="shared" si="14"/>
        <v>2</v>
      </c>
      <c r="C122">
        <v>444</v>
      </c>
      <c r="D122">
        <f t="shared" ca="1" si="7"/>
        <v>3</v>
      </c>
      <c r="E122" t="str">
        <f t="shared" si="8"/>
        <v>2-444 arg1</v>
      </c>
      <c r="F122">
        <f t="shared" ca="1" si="9"/>
        <v>1</v>
      </c>
      <c r="G122" t="str">
        <f t="shared" si="10"/>
        <v>2-444 feedback1</v>
      </c>
      <c r="H122">
        <v>1</v>
      </c>
      <c r="I122">
        <f t="shared" ca="1" si="11"/>
        <v>1</v>
      </c>
      <c r="J122" t="str">
        <f t="shared" si="12"/>
        <v>2-444 arg2</v>
      </c>
      <c r="K122" t="str">
        <f t="shared" si="13"/>
        <v>2-444 feedback2</v>
      </c>
      <c r="L122">
        <v>1</v>
      </c>
      <c r="M122" t="s">
        <v>1285</v>
      </c>
      <c r="N122">
        <v>121</v>
      </c>
    </row>
    <row r="123" spans="1:14">
      <c r="A123">
        <v>8</v>
      </c>
      <c r="B123">
        <f t="shared" si="14"/>
        <v>2</v>
      </c>
      <c r="C123">
        <v>445</v>
      </c>
      <c r="D123">
        <f t="shared" ca="1" si="7"/>
        <v>5</v>
      </c>
      <c r="E123" t="str">
        <f t="shared" si="8"/>
        <v>2-445 arg1</v>
      </c>
      <c r="F123">
        <f t="shared" ca="1" si="9"/>
        <v>5</v>
      </c>
      <c r="G123" t="str">
        <f t="shared" si="10"/>
        <v>2-445 feedback1</v>
      </c>
      <c r="H123">
        <v>1</v>
      </c>
      <c r="I123">
        <f t="shared" ca="1" si="11"/>
        <v>5</v>
      </c>
      <c r="J123" t="str">
        <f t="shared" si="12"/>
        <v>2-445 arg2</v>
      </c>
      <c r="K123" t="str">
        <f t="shared" si="13"/>
        <v>2-445 feedback2</v>
      </c>
      <c r="L123">
        <v>1</v>
      </c>
      <c r="M123" t="s">
        <v>1285</v>
      </c>
      <c r="N123">
        <v>122</v>
      </c>
    </row>
    <row r="124" spans="1:14">
      <c r="A124">
        <v>8</v>
      </c>
      <c r="B124">
        <f t="shared" si="14"/>
        <v>2</v>
      </c>
      <c r="C124">
        <v>446</v>
      </c>
      <c r="D124">
        <f t="shared" ca="1" si="7"/>
        <v>4</v>
      </c>
      <c r="E124" t="str">
        <f t="shared" si="8"/>
        <v>2-446 arg1</v>
      </c>
      <c r="F124">
        <f t="shared" ca="1" si="9"/>
        <v>2</v>
      </c>
      <c r="G124" t="str">
        <f t="shared" si="10"/>
        <v>2-446 feedback1</v>
      </c>
      <c r="H124">
        <v>1</v>
      </c>
      <c r="I124">
        <f t="shared" ca="1" si="11"/>
        <v>2</v>
      </c>
      <c r="J124" t="str">
        <f t="shared" si="12"/>
        <v>2-446 arg2</v>
      </c>
      <c r="K124" t="str">
        <f t="shared" si="13"/>
        <v>2-446 feedback2</v>
      </c>
      <c r="L124">
        <v>1</v>
      </c>
      <c r="M124" t="s">
        <v>1285</v>
      </c>
      <c r="N124">
        <v>123</v>
      </c>
    </row>
    <row r="125" spans="1:14">
      <c r="A125">
        <v>8</v>
      </c>
      <c r="B125">
        <f t="shared" si="14"/>
        <v>2</v>
      </c>
      <c r="C125">
        <v>447</v>
      </c>
      <c r="D125">
        <f t="shared" ca="1" si="7"/>
        <v>4</v>
      </c>
      <c r="E125" t="str">
        <f t="shared" si="8"/>
        <v>2-447 arg1</v>
      </c>
      <c r="F125">
        <f t="shared" ca="1" si="9"/>
        <v>4</v>
      </c>
      <c r="G125" t="str">
        <f t="shared" si="10"/>
        <v>2-447 feedback1</v>
      </c>
      <c r="H125">
        <v>1</v>
      </c>
      <c r="I125">
        <f t="shared" ca="1" si="11"/>
        <v>4</v>
      </c>
      <c r="J125" t="str">
        <f t="shared" si="12"/>
        <v>2-447 arg2</v>
      </c>
      <c r="K125" t="str">
        <f t="shared" si="13"/>
        <v>2-447 feedback2</v>
      </c>
      <c r="L125">
        <v>1</v>
      </c>
      <c r="M125" t="s">
        <v>1285</v>
      </c>
      <c r="N125">
        <v>124</v>
      </c>
    </row>
    <row r="126" spans="1:14">
      <c r="A126">
        <v>8</v>
      </c>
      <c r="B126">
        <f t="shared" si="14"/>
        <v>2</v>
      </c>
      <c r="C126">
        <v>448</v>
      </c>
      <c r="D126">
        <f t="shared" ca="1" si="7"/>
        <v>4</v>
      </c>
      <c r="E126" t="str">
        <f t="shared" si="8"/>
        <v>2-448 arg1</v>
      </c>
      <c r="F126">
        <f t="shared" ca="1" si="9"/>
        <v>2</v>
      </c>
      <c r="G126" t="str">
        <f t="shared" si="10"/>
        <v>2-448 feedback1</v>
      </c>
      <c r="H126">
        <v>1</v>
      </c>
      <c r="I126">
        <f t="shared" ca="1" si="11"/>
        <v>2</v>
      </c>
      <c r="J126" t="str">
        <f t="shared" si="12"/>
        <v>2-448 arg2</v>
      </c>
      <c r="K126" t="str">
        <f t="shared" si="13"/>
        <v>2-448 feedback2</v>
      </c>
      <c r="L126">
        <v>1</v>
      </c>
      <c r="M126" t="s">
        <v>1285</v>
      </c>
      <c r="N126">
        <v>125</v>
      </c>
    </row>
    <row r="127" spans="1:14">
      <c r="A127">
        <v>8</v>
      </c>
      <c r="B127">
        <f t="shared" si="14"/>
        <v>2</v>
      </c>
      <c r="C127">
        <v>449</v>
      </c>
      <c r="D127">
        <f t="shared" ca="1" si="7"/>
        <v>3</v>
      </c>
      <c r="E127" t="str">
        <f t="shared" si="8"/>
        <v>2-449 arg1</v>
      </c>
      <c r="F127">
        <f t="shared" ca="1" si="9"/>
        <v>2</v>
      </c>
      <c r="G127" t="str">
        <f t="shared" si="10"/>
        <v>2-449 feedback1</v>
      </c>
      <c r="H127">
        <v>1</v>
      </c>
      <c r="I127">
        <f t="shared" ca="1" si="11"/>
        <v>3</v>
      </c>
      <c r="J127" t="str">
        <f t="shared" si="12"/>
        <v>2-449 arg2</v>
      </c>
      <c r="K127" t="str">
        <f t="shared" si="13"/>
        <v>2-449 feedback2</v>
      </c>
      <c r="L127">
        <v>1</v>
      </c>
      <c r="M127" t="s">
        <v>1285</v>
      </c>
      <c r="N127">
        <v>126</v>
      </c>
    </row>
    <row r="128" spans="1:14">
      <c r="A128">
        <v>8</v>
      </c>
      <c r="B128">
        <f t="shared" si="14"/>
        <v>2</v>
      </c>
      <c r="C128">
        <v>450</v>
      </c>
      <c r="D128">
        <f t="shared" ca="1" si="7"/>
        <v>4</v>
      </c>
      <c r="E128" t="str">
        <f t="shared" si="8"/>
        <v>2-450 arg1</v>
      </c>
      <c r="F128">
        <f t="shared" ca="1" si="9"/>
        <v>3</v>
      </c>
      <c r="G128" t="str">
        <f t="shared" si="10"/>
        <v>2-450 feedback1</v>
      </c>
      <c r="H128">
        <v>1</v>
      </c>
      <c r="I128">
        <f t="shared" ca="1" si="11"/>
        <v>4</v>
      </c>
      <c r="J128" t="str">
        <f t="shared" si="12"/>
        <v>2-450 arg2</v>
      </c>
      <c r="K128" t="str">
        <f t="shared" si="13"/>
        <v>2-450 feedback2</v>
      </c>
      <c r="L128">
        <v>1</v>
      </c>
      <c r="M128" t="s">
        <v>1285</v>
      </c>
      <c r="N128">
        <v>127</v>
      </c>
    </row>
    <row r="129" spans="1:14">
      <c r="A129">
        <v>8</v>
      </c>
      <c r="B129">
        <f t="shared" si="14"/>
        <v>2</v>
      </c>
      <c r="C129">
        <v>451</v>
      </c>
      <c r="D129">
        <f t="shared" ca="1" si="7"/>
        <v>5</v>
      </c>
      <c r="E129" t="str">
        <f t="shared" si="8"/>
        <v>2-451 arg1</v>
      </c>
      <c r="F129">
        <f t="shared" ca="1" si="9"/>
        <v>3</v>
      </c>
      <c r="G129" t="str">
        <f t="shared" si="10"/>
        <v>2-451 feedback1</v>
      </c>
      <c r="H129">
        <v>1</v>
      </c>
      <c r="I129">
        <f t="shared" ca="1" si="11"/>
        <v>4</v>
      </c>
      <c r="J129" t="str">
        <f t="shared" si="12"/>
        <v>2-451 arg2</v>
      </c>
      <c r="K129" t="str">
        <f t="shared" si="13"/>
        <v>2-451 feedback2</v>
      </c>
      <c r="L129">
        <v>1</v>
      </c>
      <c r="M129" t="s">
        <v>1285</v>
      </c>
      <c r="N129">
        <v>128</v>
      </c>
    </row>
    <row r="130" spans="1:14">
      <c r="A130">
        <v>8</v>
      </c>
      <c r="B130">
        <f t="shared" si="14"/>
        <v>2</v>
      </c>
      <c r="C130">
        <v>452</v>
      </c>
      <c r="D130">
        <f t="shared" ca="1" si="7"/>
        <v>3</v>
      </c>
      <c r="E130" t="str">
        <f t="shared" si="8"/>
        <v>2-452 arg1</v>
      </c>
      <c r="F130">
        <f t="shared" ca="1" si="9"/>
        <v>1</v>
      </c>
      <c r="G130" t="str">
        <f t="shared" si="10"/>
        <v>2-452 feedback1</v>
      </c>
      <c r="H130">
        <v>1</v>
      </c>
      <c r="I130">
        <f t="shared" ca="1" si="11"/>
        <v>1</v>
      </c>
      <c r="J130" t="str">
        <f t="shared" si="12"/>
        <v>2-452 arg2</v>
      </c>
      <c r="K130" t="str">
        <f t="shared" si="13"/>
        <v>2-452 feedback2</v>
      </c>
      <c r="L130">
        <v>1</v>
      </c>
      <c r="M130" t="s">
        <v>1285</v>
      </c>
      <c r="N130">
        <v>129</v>
      </c>
    </row>
    <row r="131" spans="1:14">
      <c r="A131">
        <v>8</v>
      </c>
      <c r="B131">
        <f t="shared" si="14"/>
        <v>2</v>
      </c>
      <c r="C131">
        <v>453</v>
      </c>
      <c r="D131">
        <f t="shared" ref="D131:D194" ca="1" si="15">ROUND(3+2*RAND(),0)</f>
        <v>3</v>
      </c>
      <c r="E131" t="str">
        <f t="shared" ref="E131:E194" si="16">_xlfn.CONCAT(B131,"-",C131," arg1")</f>
        <v>2-453 arg1</v>
      </c>
      <c r="F131">
        <f t="shared" ref="F131:F171" ca="1" si="17">D131-ROUND(2*RAND(),0)</f>
        <v>2</v>
      </c>
      <c r="G131" t="str">
        <f t="shared" ref="G131:G194" si="18">_xlfn.CONCAT(B131,"-",C131," feedback1")</f>
        <v>2-453 feedback1</v>
      </c>
      <c r="H131">
        <v>1</v>
      </c>
      <c r="I131">
        <f t="shared" ref="I131:I194" ca="1" si="19">MIN(5,F131+ROUND(RAND(),0))</f>
        <v>2</v>
      </c>
      <c r="J131" t="str">
        <f t="shared" ref="J131:J194" si="20">_xlfn.CONCAT(B131,"-",C131," arg2")</f>
        <v>2-453 arg2</v>
      </c>
      <c r="K131" t="str">
        <f t="shared" ref="K131:K194" si="21">_xlfn.CONCAT(B131,"-",C131," feedback2")</f>
        <v>2-453 feedback2</v>
      </c>
      <c r="L131">
        <v>1</v>
      </c>
      <c r="M131" t="s">
        <v>1285</v>
      </c>
      <c r="N131">
        <v>130</v>
      </c>
    </row>
    <row r="132" spans="1:14">
      <c r="A132">
        <v>8</v>
      </c>
      <c r="B132">
        <f t="shared" si="14"/>
        <v>2</v>
      </c>
      <c r="C132">
        <v>454</v>
      </c>
      <c r="D132">
        <f t="shared" ca="1" si="15"/>
        <v>4</v>
      </c>
      <c r="E132" t="str">
        <f t="shared" si="16"/>
        <v>2-454 arg1</v>
      </c>
      <c r="F132">
        <f t="shared" ca="1" si="17"/>
        <v>2</v>
      </c>
      <c r="G132" t="str">
        <f t="shared" si="18"/>
        <v>2-454 feedback1</v>
      </c>
      <c r="H132">
        <v>1</v>
      </c>
      <c r="I132">
        <f t="shared" ca="1" si="19"/>
        <v>3</v>
      </c>
      <c r="J132" t="str">
        <f t="shared" si="20"/>
        <v>2-454 arg2</v>
      </c>
      <c r="K132" t="str">
        <f t="shared" si="21"/>
        <v>2-454 feedback2</v>
      </c>
      <c r="L132">
        <v>1</v>
      </c>
      <c r="M132" t="s">
        <v>1285</v>
      </c>
      <c r="N132">
        <v>131</v>
      </c>
    </row>
    <row r="133" spans="1:14">
      <c r="A133">
        <v>8</v>
      </c>
      <c r="B133">
        <f t="shared" si="14"/>
        <v>2</v>
      </c>
      <c r="C133">
        <v>455</v>
      </c>
      <c r="D133">
        <f t="shared" ca="1" si="15"/>
        <v>4</v>
      </c>
      <c r="E133" t="str">
        <f t="shared" si="16"/>
        <v>2-455 arg1</v>
      </c>
      <c r="F133">
        <f t="shared" ca="1" si="17"/>
        <v>3</v>
      </c>
      <c r="G133" t="str">
        <f t="shared" si="18"/>
        <v>2-455 feedback1</v>
      </c>
      <c r="H133">
        <v>1</v>
      </c>
      <c r="I133">
        <f t="shared" ca="1" si="19"/>
        <v>3</v>
      </c>
      <c r="J133" t="str">
        <f t="shared" si="20"/>
        <v>2-455 arg2</v>
      </c>
      <c r="K133" t="str">
        <f t="shared" si="21"/>
        <v>2-455 feedback2</v>
      </c>
      <c r="L133">
        <v>1</v>
      </c>
      <c r="M133" t="s">
        <v>1285</v>
      </c>
      <c r="N133">
        <v>132</v>
      </c>
    </row>
    <row r="134" spans="1:14">
      <c r="A134">
        <v>8</v>
      </c>
      <c r="B134">
        <f t="shared" si="14"/>
        <v>2</v>
      </c>
      <c r="C134">
        <v>456</v>
      </c>
      <c r="D134">
        <f t="shared" ca="1" si="15"/>
        <v>4</v>
      </c>
      <c r="E134" t="str">
        <f t="shared" si="16"/>
        <v>2-456 arg1</v>
      </c>
      <c r="F134">
        <f t="shared" ca="1" si="17"/>
        <v>4</v>
      </c>
      <c r="G134" t="str">
        <f t="shared" si="18"/>
        <v>2-456 feedback1</v>
      </c>
      <c r="H134">
        <v>1</v>
      </c>
      <c r="I134">
        <f t="shared" ca="1" si="19"/>
        <v>5</v>
      </c>
      <c r="J134" t="str">
        <f t="shared" si="20"/>
        <v>2-456 arg2</v>
      </c>
      <c r="K134" t="str">
        <f t="shared" si="21"/>
        <v>2-456 feedback2</v>
      </c>
      <c r="L134">
        <v>1</v>
      </c>
      <c r="M134" t="s">
        <v>1285</v>
      </c>
      <c r="N134">
        <v>133</v>
      </c>
    </row>
    <row r="135" spans="1:14">
      <c r="A135">
        <v>8</v>
      </c>
      <c r="B135">
        <f t="shared" si="14"/>
        <v>2</v>
      </c>
      <c r="C135">
        <v>457</v>
      </c>
      <c r="D135">
        <f t="shared" ca="1" si="15"/>
        <v>4</v>
      </c>
      <c r="E135" t="str">
        <f t="shared" si="16"/>
        <v>2-457 arg1</v>
      </c>
      <c r="F135">
        <f t="shared" ca="1" si="17"/>
        <v>2</v>
      </c>
      <c r="G135" t="str">
        <f t="shared" si="18"/>
        <v>2-457 feedback1</v>
      </c>
      <c r="H135">
        <v>1</v>
      </c>
      <c r="I135">
        <f t="shared" ca="1" si="19"/>
        <v>2</v>
      </c>
      <c r="J135" t="str">
        <f t="shared" si="20"/>
        <v>2-457 arg2</v>
      </c>
      <c r="K135" t="str">
        <f t="shared" si="21"/>
        <v>2-457 feedback2</v>
      </c>
      <c r="L135">
        <v>1</v>
      </c>
      <c r="M135" t="s">
        <v>1285</v>
      </c>
      <c r="N135">
        <v>134</v>
      </c>
    </row>
    <row r="136" spans="1:14">
      <c r="A136">
        <v>8</v>
      </c>
      <c r="B136">
        <f t="shared" si="14"/>
        <v>2</v>
      </c>
      <c r="C136">
        <v>458</v>
      </c>
      <c r="D136">
        <f t="shared" ca="1" si="15"/>
        <v>4</v>
      </c>
      <c r="E136" t="str">
        <f t="shared" si="16"/>
        <v>2-458 arg1</v>
      </c>
      <c r="F136">
        <f t="shared" ca="1" si="17"/>
        <v>2</v>
      </c>
      <c r="G136" t="str">
        <f t="shared" si="18"/>
        <v>2-458 feedback1</v>
      </c>
      <c r="H136">
        <v>1</v>
      </c>
      <c r="I136">
        <f t="shared" ca="1" si="19"/>
        <v>2</v>
      </c>
      <c r="J136" t="str">
        <f t="shared" si="20"/>
        <v>2-458 arg2</v>
      </c>
      <c r="K136" t="str">
        <f t="shared" si="21"/>
        <v>2-458 feedback2</v>
      </c>
      <c r="L136">
        <v>1</v>
      </c>
      <c r="M136" t="s">
        <v>1285</v>
      </c>
      <c r="N136">
        <v>135</v>
      </c>
    </row>
    <row r="137" spans="1:14">
      <c r="A137">
        <v>8</v>
      </c>
      <c r="B137">
        <f t="shared" si="14"/>
        <v>2</v>
      </c>
      <c r="C137">
        <v>459</v>
      </c>
      <c r="D137">
        <f t="shared" ca="1" si="15"/>
        <v>4</v>
      </c>
      <c r="E137" t="str">
        <f t="shared" si="16"/>
        <v>2-459 arg1</v>
      </c>
      <c r="F137">
        <f t="shared" ca="1" si="17"/>
        <v>3</v>
      </c>
      <c r="G137" t="str">
        <f t="shared" si="18"/>
        <v>2-459 feedback1</v>
      </c>
      <c r="H137">
        <v>1</v>
      </c>
      <c r="I137">
        <f t="shared" ca="1" si="19"/>
        <v>3</v>
      </c>
      <c r="J137" t="str">
        <f t="shared" si="20"/>
        <v>2-459 arg2</v>
      </c>
      <c r="K137" t="str">
        <f t="shared" si="21"/>
        <v>2-459 feedback2</v>
      </c>
      <c r="L137">
        <v>1</v>
      </c>
      <c r="M137" t="s">
        <v>1285</v>
      </c>
      <c r="N137">
        <v>136</v>
      </c>
    </row>
    <row r="138" spans="1:14">
      <c r="A138">
        <v>8</v>
      </c>
      <c r="B138">
        <f t="shared" si="14"/>
        <v>2</v>
      </c>
      <c r="C138">
        <v>460</v>
      </c>
      <c r="D138">
        <f t="shared" ca="1" si="15"/>
        <v>4</v>
      </c>
      <c r="E138" t="str">
        <f t="shared" si="16"/>
        <v>2-460 arg1</v>
      </c>
      <c r="F138">
        <f t="shared" ca="1" si="17"/>
        <v>2</v>
      </c>
      <c r="G138" t="str">
        <f t="shared" si="18"/>
        <v>2-460 feedback1</v>
      </c>
      <c r="H138">
        <v>1</v>
      </c>
      <c r="I138">
        <f t="shared" ca="1" si="19"/>
        <v>3</v>
      </c>
      <c r="J138" t="str">
        <f t="shared" si="20"/>
        <v>2-460 arg2</v>
      </c>
      <c r="K138" t="str">
        <f t="shared" si="21"/>
        <v>2-460 feedback2</v>
      </c>
      <c r="L138">
        <v>1</v>
      </c>
      <c r="M138" t="s">
        <v>1285</v>
      </c>
      <c r="N138">
        <v>137</v>
      </c>
    </row>
    <row r="139" spans="1:14">
      <c r="A139">
        <v>8</v>
      </c>
      <c r="B139">
        <f t="shared" si="14"/>
        <v>2</v>
      </c>
      <c r="C139">
        <v>461</v>
      </c>
      <c r="D139">
        <f t="shared" ca="1" si="15"/>
        <v>5</v>
      </c>
      <c r="E139" t="str">
        <f t="shared" si="16"/>
        <v>2-461 arg1</v>
      </c>
      <c r="F139">
        <f t="shared" ca="1" si="17"/>
        <v>3</v>
      </c>
      <c r="G139" t="str">
        <f t="shared" si="18"/>
        <v>2-461 feedback1</v>
      </c>
      <c r="H139">
        <v>1</v>
      </c>
      <c r="I139">
        <f t="shared" ca="1" si="19"/>
        <v>3</v>
      </c>
      <c r="J139" t="str">
        <f t="shared" si="20"/>
        <v>2-461 arg2</v>
      </c>
      <c r="K139" t="str">
        <f t="shared" si="21"/>
        <v>2-461 feedback2</v>
      </c>
      <c r="L139">
        <v>1</v>
      </c>
      <c r="M139" t="s">
        <v>1285</v>
      </c>
      <c r="N139">
        <v>138</v>
      </c>
    </row>
    <row r="140" spans="1:14">
      <c r="A140">
        <v>8</v>
      </c>
      <c r="B140">
        <f t="shared" si="14"/>
        <v>2</v>
      </c>
      <c r="C140">
        <v>462</v>
      </c>
      <c r="D140">
        <f t="shared" ca="1" si="15"/>
        <v>4</v>
      </c>
      <c r="E140" t="str">
        <f t="shared" si="16"/>
        <v>2-462 arg1</v>
      </c>
      <c r="F140">
        <f t="shared" ca="1" si="17"/>
        <v>4</v>
      </c>
      <c r="G140" t="str">
        <f t="shared" si="18"/>
        <v>2-462 feedback1</v>
      </c>
      <c r="H140">
        <v>1</v>
      </c>
      <c r="I140">
        <f t="shared" ca="1" si="19"/>
        <v>4</v>
      </c>
      <c r="J140" t="str">
        <f t="shared" si="20"/>
        <v>2-462 arg2</v>
      </c>
      <c r="K140" t="str">
        <f t="shared" si="21"/>
        <v>2-462 feedback2</v>
      </c>
      <c r="L140">
        <v>1</v>
      </c>
      <c r="M140" t="s">
        <v>1285</v>
      </c>
      <c r="N140">
        <v>139</v>
      </c>
    </row>
    <row r="141" spans="1:14">
      <c r="A141">
        <v>8</v>
      </c>
      <c r="B141">
        <f t="shared" si="14"/>
        <v>2</v>
      </c>
      <c r="C141">
        <v>463</v>
      </c>
      <c r="D141">
        <f t="shared" ca="1" si="15"/>
        <v>4</v>
      </c>
      <c r="E141" t="str">
        <f t="shared" si="16"/>
        <v>2-463 arg1</v>
      </c>
      <c r="F141">
        <f t="shared" ca="1" si="17"/>
        <v>3</v>
      </c>
      <c r="G141" t="str">
        <f t="shared" si="18"/>
        <v>2-463 feedback1</v>
      </c>
      <c r="H141">
        <v>1</v>
      </c>
      <c r="I141">
        <f t="shared" ca="1" si="19"/>
        <v>4</v>
      </c>
      <c r="J141" t="str">
        <f t="shared" si="20"/>
        <v>2-463 arg2</v>
      </c>
      <c r="K141" t="str">
        <f t="shared" si="21"/>
        <v>2-463 feedback2</v>
      </c>
      <c r="L141">
        <v>1</v>
      </c>
      <c r="M141" t="s">
        <v>1285</v>
      </c>
      <c r="N141">
        <v>140</v>
      </c>
    </row>
    <row r="142" spans="1:14">
      <c r="A142">
        <v>8</v>
      </c>
      <c r="B142">
        <f t="shared" si="14"/>
        <v>2</v>
      </c>
      <c r="C142">
        <v>464</v>
      </c>
      <c r="D142">
        <f t="shared" ca="1" si="15"/>
        <v>4</v>
      </c>
      <c r="E142" t="str">
        <f t="shared" si="16"/>
        <v>2-464 arg1</v>
      </c>
      <c r="F142">
        <f t="shared" ca="1" si="17"/>
        <v>3</v>
      </c>
      <c r="G142" t="str">
        <f t="shared" si="18"/>
        <v>2-464 feedback1</v>
      </c>
      <c r="H142">
        <v>1</v>
      </c>
      <c r="I142">
        <f t="shared" ca="1" si="19"/>
        <v>4</v>
      </c>
      <c r="J142" t="str">
        <f t="shared" si="20"/>
        <v>2-464 arg2</v>
      </c>
      <c r="K142" t="str">
        <f t="shared" si="21"/>
        <v>2-464 feedback2</v>
      </c>
      <c r="L142">
        <v>1</v>
      </c>
      <c r="M142" t="s">
        <v>1285</v>
      </c>
      <c r="N142">
        <v>141</v>
      </c>
    </row>
    <row r="143" spans="1:14">
      <c r="A143">
        <v>8</v>
      </c>
      <c r="B143">
        <f t="shared" si="14"/>
        <v>2</v>
      </c>
      <c r="C143">
        <v>465</v>
      </c>
      <c r="D143">
        <f t="shared" ca="1" si="15"/>
        <v>3</v>
      </c>
      <c r="E143" t="str">
        <f t="shared" si="16"/>
        <v>2-465 arg1</v>
      </c>
      <c r="F143">
        <f t="shared" ca="1" si="17"/>
        <v>2</v>
      </c>
      <c r="G143" t="str">
        <f t="shared" si="18"/>
        <v>2-465 feedback1</v>
      </c>
      <c r="H143">
        <v>1</v>
      </c>
      <c r="I143">
        <f t="shared" ca="1" si="19"/>
        <v>2</v>
      </c>
      <c r="J143" t="str">
        <f t="shared" si="20"/>
        <v>2-465 arg2</v>
      </c>
      <c r="K143" t="str">
        <f t="shared" si="21"/>
        <v>2-465 feedback2</v>
      </c>
      <c r="L143">
        <v>1</v>
      </c>
      <c r="M143" t="s">
        <v>1285</v>
      </c>
      <c r="N143">
        <v>142</v>
      </c>
    </row>
    <row r="144" spans="1:14">
      <c r="A144">
        <v>8</v>
      </c>
      <c r="B144">
        <f t="shared" si="14"/>
        <v>2</v>
      </c>
      <c r="C144">
        <v>466</v>
      </c>
      <c r="D144">
        <f t="shared" ca="1" si="15"/>
        <v>4</v>
      </c>
      <c r="E144" t="str">
        <f t="shared" si="16"/>
        <v>2-466 arg1</v>
      </c>
      <c r="F144">
        <f t="shared" ca="1" si="17"/>
        <v>2</v>
      </c>
      <c r="G144" t="str">
        <f t="shared" si="18"/>
        <v>2-466 feedback1</v>
      </c>
      <c r="H144">
        <v>1</v>
      </c>
      <c r="I144">
        <f t="shared" ca="1" si="19"/>
        <v>2</v>
      </c>
      <c r="J144" t="str">
        <f t="shared" si="20"/>
        <v>2-466 arg2</v>
      </c>
      <c r="K144" t="str">
        <f t="shared" si="21"/>
        <v>2-466 feedback2</v>
      </c>
      <c r="L144">
        <v>1</v>
      </c>
      <c r="M144" t="s">
        <v>1285</v>
      </c>
      <c r="N144">
        <v>143</v>
      </c>
    </row>
    <row r="145" spans="1:14">
      <c r="A145">
        <v>8</v>
      </c>
      <c r="B145">
        <f t="shared" si="14"/>
        <v>2</v>
      </c>
      <c r="C145">
        <v>467</v>
      </c>
      <c r="D145">
        <f t="shared" ca="1" si="15"/>
        <v>4</v>
      </c>
      <c r="E145" t="str">
        <f t="shared" si="16"/>
        <v>2-467 arg1</v>
      </c>
      <c r="F145">
        <f t="shared" ca="1" si="17"/>
        <v>3</v>
      </c>
      <c r="G145" t="str">
        <f t="shared" si="18"/>
        <v>2-467 feedback1</v>
      </c>
      <c r="H145">
        <v>1</v>
      </c>
      <c r="I145">
        <f t="shared" ca="1" si="19"/>
        <v>3</v>
      </c>
      <c r="J145" t="str">
        <f t="shared" si="20"/>
        <v>2-467 arg2</v>
      </c>
      <c r="K145" t="str">
        <f t="shared" si="21"/>
        <v>2-467 feedback2</v>
      </c>
      <c r="L145">
        <v>1</v>
      </c>
      <c r="M145" t="s">
        <v>1285</v>
      </c>
      <c r="N145">
        <v>144</v>
      </c>
    </row>
    <row r="146" spans="1:14">
      <c r="A146">
        <v>8</v>
      </c>
      <c r="B146">
        <f t="shared" si="14"/>
        <v>2</v>
      </c>
      <c r="C146">
        <v>468</v>
      </c>
      <c r="D146">
        <f t="shared" ca="1" si="15"/>
        <v>3</v>
      </c>
      <c r="E146" t="str">
        <f t="shared" si="16"/>
        <v>2-468 arg1</v>
      </c>
      <c r="F146">
        <f t="shared" ca="1" si="17"/>
        <v>3</v>
      </c>
      <c r="G146" t="str">
        <f t="shared" si="18"/>
        <v>2-468 feedback1</v>
      </c>
      <c r="H146">
        <v>1</v>
      </c>
      <c r="I146">
        <f t="shared" ca="1" si="19"/>
        <v>3</v>
      </c>
      <c r="J146" t="str">
        <f t="shared" si="20"/>
        <v>2-468 arg2</v>
      </c>
      <c r="K146" t="str">
        <f t="shared" si="21"/>
        <v>2-468 feedback2</v>
      </c>
      <c r="L146">
        <v>1</v>
      </c>
      <c r="M146" t="s">
        <v>1285</v>
      </c>
      <c r="N146">
        <v>145</v>
      </c>
    </row>
    <row r="147" spans="1:14">
      <c r="A147">
        <v>8</v>
      </c>
      <c r="B147">
        <f t="shared" si="14"/>
        <v>2</v>
      </c>
      <c r="C147">
        <v>469</v>
      </c>
      <c r="D147">
        <f t="shared" ca="1" si="15"/>
        <v>4</v>
      </c>
      <c r="E147" t="str">
        <f t="shared" si="16"/>
        <v>2-469 arg1</v>
      </c>
      <c r="F147">
        <f t="shared" ca="1" si="17"/>
        <v>2</v>
      </c>
      <c r="G147" t="str">
        <f t="shared" si="18"/>
        <v>2-469 feedback1</v>
      </c>
      <c r="H147">
        <v>1</v>
      </c>
      <c r="I147">
        <f t="shared" ca="1" si="19"/>
        <v>3</v>
      </c>
      <c r="J147" t="str">
        <f t="shared" si="20"/>
        <v>2-469 arg2</v>
      </c>
      <c r="K147" t="str">
        <f t="shared" si="21"/>
        <v>2-469 feedback2</v>
      </c>
      <c r="L147">
        <v>1</v>
      </c>
      <c r="M147" t="s">
        <v>1285</v>
      </c>
      <c r="N147">
        <v>146</v>
      </c>
    </row>
    <row r="148" spans="1:14">
      <c r="A148">
        <v>8</v>
      </c>
      <c r="B148">
        <f t="shared" si="14"/>
        <v>2</v>
      </c>
      <c r="C148">
        <v>470</v>
      </c>
      <c r="D148">
        <f t="shared" ca="1" si="15"/>
        <v>3</v>
      </c>
      <c r="E148" t="str">
        <f t="shared" si="16"/>
        <v>2-470 arg1</v>
      </c>
      <c r="F148">
        <f t="shared" ca="1" si="17"/>
        <v>3</v>
      </c>
      <c r="G148" t="str">
        <f t="shared" si="18"/>
        <v>2-470 feedback1</v>
      </c>
      <c r="H148">
        <v>1</v>
      </c>
      <c r="I148">
        <f t="shared" ca="1" si="19"/>
        <v>4</v>
      </c>
      <c r="J148" t="str">
        <f t="shared" si="20"/>
        <v>2-470 arg2</v>
      </c>
      <c r="K148" t="str">
        <f t="shared" si="21"/>
        <v>2-470 feedback2</v>
      </c>
      <c r="L148">
        <v>1</v>
      </c>
      <c r="M148" t="s">
        <v>1285</v>
      </c>
      <c r="N148">
        <v>147</v>
      </c>
    </row>
    <row r="149" spans="1:14">
      <c r="A149">
        <v>8</v>
      </c>
      <c r="B149">
        <f t="shared" si="14"/>
        <v>2</v>
      </c>
      <c r="C149">
        <v>471</v>
      </c>
      <c r="D149">
        <f t="shared" ca="1" si="15"/>
        <v>3</v>
      </c>
      <c r="E149" t="str">
        <f t="shared" si="16"/>
        <v>2-471 arg1</v>
      </c>
      <c r="F149">
        <f t="shared" ca="1" si="17"/>
        <v>3</v>
      </c>
      <c r="G149" t="str">
        <f t="shared" si="18"/>
        <v>2-471 feedback1</v>
      </c>
      <c r="H149">
        <v>1</v>
      </c>
      <c r="I149">
        <f t="shared" ca="1" si="19"/>
        <v>4</v>
      </c>
      <c r="J149" t="str">
        <f t="shared" si="20"/>
        <v>2-471 arg2</v>
      </c>
      <c r="K149" t="str">
        <f t="shared" si="21"/>
        <v>2-471 feedback2</v>
      </c>
      <c r="L149">
        <v>1</v>
      </c>
      <c r="M149" t="s">
        <v>1285</v>
      </c>
      <c r="N149">
        <v>148</v>
      </c>
    </row>
    <row r="150" spans="1:14">
      <c r="A150">
        <v>8</v>
      </c>
      <c r="B150">
        <f t="shared" si="14"/>
        <v>2</v>
      </c>
      <c r="C150">
        <v>472</v>
      </c>
      <c r="D150">
        <f t="shared" ca="1" si="15"/>
        <v>3</v>
      </c>
      <c r="E150" t="str">
        <f t="shared" si="16"/>
        <v>2-472 arg1</v>
      </c>
      <c r="F150">
        <f t="shared" ca="1" si="17"/>
        <v>2</v>
      </c>
      <c r="G150" t="str">
        <f t="shared" si="18"/>
        <v>2-472 feedback1</v>
      </c>
      <c r="H150">
        <v>1</v>
      </c>
      <c r="I150">
        <f t="shared" ca="1" si="19"/>
        <v>3</v>
      </c>
      <c r="J150" t="str">
        <f t="shared" si="20"/>
        <v>2-472 arg2</v>
      </c>
      <c r="K150" t="str">
        <f t="shared" si="21"/>
        <v>2-472 feedback2</v>
      </c>
      <c r="L150">
        <v>1</v>
      </c>
      <c r="M150" t="s">
        <v>1285</v>
      </c>
      <c r="N150">
        <v>149</v>
      </c>
    </row>
    <row r="151" spans="1:14">
      <c r="A151">
        <v>8</v>
      </c>
      <c r="B151">
        <f t="shared" si="14"/>
        <v>2</v>
      </c>
      <c r="C151">
        <v>473</v>
      </c>
      <c r="D151">
        <f t="shared" ca="1" si="15"/>
        <v>5</v>
      </c>
      <c r="E151" t="str">
        <f t="shared" si="16"/>
        <v>2-473 arg1</v>
      </c>
      <c r="F151">
        <f t="shared" ca="1" si="17"/>
        <v>4</v>
      </c>
      <c r="G151" t="str">
        <f t="shared" si="18"/>
        <v>2-473 feedback1</v>
      </c>
      <c r="H151">
        <v>1</v>
      </c>
      <c r="I151">
        <f t="shared" ca="1" si="19"/>
        <v>4</v>
      </c>
      <c r="J151" t="str">
        <f t="shared" si="20"/>
        <v>2-473 arg2</v>
      </c>
      <c r="K151" t="str">
        <f t="shared" si="21"/>
        <v>2-473 feedback2</v>
      </c>
      <c r="L151">
        <v>1</v>
      </c>
      <c r="M151" t="s">
        <v>1285</v>
      </c>
      <c r="N151">
        <v>150</v>
      </c>
    </row>
    <row r="152" spans="1:14">
      <c r="A152">
        <v>8</v>
      </c>
      <c r="B152">
        <f t="shared" ref="B152:B212" si="22">B67+1</f>
        <v>2</v>
      </c>
      <c r="C152">
        <v>474</v>
      </c>
      <c r="D152">
        <f t="shared" ca="1" si="15"/>
        <v>5</v>
      </c>
      <c r="E152" t="str">
        <f t="shared" si="16"/>
        <v>2-474 arg1</v>
      </c>
      <c r="F152">
        <f t="shared" ca="1" si="17"/>
        <v>3</v>
      </c>
      <c r="G152" t="str">
        <f t="shared" si="18"/>
        <v>2-474 feedback1</v>
      </c>
      <c r="H152">
        <v>1</v>
      </c>
      <c r="I152">
        <f t="shared" ca="1" si="19"/>
        <v>3</v>
      </c>
      <c r="J152" t="str">
        <f t="shared" si="20"/>
        <v>2-474 arg2</v>
      </c>
      <c r="K152" t="str">
        <f t="shared" si="21"/>
        <v>2-474 feedback2</v>
      </c>
      <c r="L152">
        <v>1</v>
      </c>
      <c r="M152" t="s">
        <v>1285</v>
      </c>
      <c r="N152">
        <v>151</v>
      </c>
    </row>
    <row r="153" spans="1:14">
      <c r="A153">
        <v>8</v>
      </c>
      <c r="B153">
        <f t="shared" si="22"/>
        <v>2</v>
      </c>
      <c r="C153">
        <v>475</v>
      </c>
      <c r="D153">
        <f t="shared" ca="1" si="15"/>
        <v>4</v>
      </c>
      <c r="E153" t="str">
        <f t="shared" si="16"/>
        <v>2-475 arg1</v>
      </c>
      <c r="F153">
        <f t="shared" ca="1" si="17"/>
        <v>2</v>
      </c>
      <c r="G153" t="str">
        <f t="shared" si="18"/>
        <v>2-475 feedback1</v>
      </c>
      <c r="H153">
        <v>1</v>
      </c>
      <c r="I153">
        <f t="shared" ca="1" si="19"/>
        <v>3</v>
      </c>
      <c r="J153" t="str">
        <f t="shared" si="20"/>
        <v>2-475 arg2</v>
      </c>
      <c r="K153" t="str">
        <f t="shared" si="21"/>
        <v>2-475 feedback2</v>
      </c>
      <c r="L153">
        <v>1</v>
      </c>
      <c r="M153" t="s">
        <v>1285</v>
      </c>
      <c r="N153">
        <v>152</v>
      </c>
    </row>
    <row r="154" spans="1:14">
      <c r="A154">
        <v>8</v>
      </c>
      <c r="B154">
        <f t="shared" si="22"/>
        <v>2</v>
      </c>
      <c r="C154">
        <v>476</v>
      </c>
      <c r="D154">
        <f t="shared" ca="1" si="15"/>
        <v>5</v>
      </c>
      <c r="E154" t="str">
        <f t="shared" si="16"/>
        <v>2-476 arg1</v>
      </c>
      <c r="F154">
        <f t="shared" ca="1" si="17"/>
        <v>4</v>
      </c>
      <c r="G154" t="str">
        <f t="shared" si="18"/>
        <v>2-476 feedback1</v>
      </c>
      <c r="H154">
        <v>1</v>
      </c>
      <c r="I154">
        <f t="shared" ca="1" si="19"/>
        <v>5</v>
      </c>
      <c r="J154" t="str">
        <f t="shared" si="20"/>
        <v>2-476 arg2</v>
      </c>
      <c r="K154" t="str">
        <f t="shared" si="21"/>
        <v>2-476 feedback2</v>
      </c>
      <c r="L154">
        <v>1</v>
      </c>
      <c r="M154" t="s">
        <v>1285</v>
      </c>
      <c r="N154">
        <v>153</v>
      </c>
    </row>
    <row r="155" spans="1:14">
      <c r="A155">
        <v>8</v>
      </c>
      <c r="B155">
        <f t="shared" si="22"/>
        <v>2</v>
      </c>
      <c r="C155">
        <v>477</v>
      </c>
      <c r="D155">
        <f t="shared" ca="1" si="15"/>
        <v>5</v>
      </c>
      <c r="E155" t="str">
        <f t="shared" si="16"/>
        <v>2-477 arg1</v>
      </c>
      <c r="F155">
        <f t="shared" ca="1" si="17"/>
        <v>5</v>
      </c>
      <c r="G155" t="str">
        <f t="shared" si="18"/>
        <v>2-477 feedback1</v>
      </c>
      <c r="H155">
        <v>1</v>
      </c>
      <c r="I155">
        <f t="shared" ca="1" si="19"/>
        <v>5</v>
      </c>
      <c r="J155" t="str">
        <f t="shared" si="20"/>
        <v>2-477 arg2</v>
      </c>
      <c r="K155" t="str">
        <f t="shared" si="21"/>
        <v>2-477 feedback2</v>
      </c>
      <c r="L155">
        <v>1</v>
      </c>
      <c r="M155" t="s">
        <v>1285</v>
      </c>
      <c r="N155">
        <v>154</v>
      </c>
    </row>
    <row r="156" spans="1:14">
      <c r="A156">
        <v>8</v>
      </c>
      <c r="B156">
        <f t="shared" si="22"/>
        <v>2</v>
      </c>
      <c r="C156">
        <v>478</v>
      </c>
      <c r="D156">
        <f t="shared" ca="1" si="15"/>
        <v>4</v>
      </c>
      <c r="E156" t="str">
        <f t="shared" si="16"/>
        <v>2-478 arg1</v>
      </c>
      <c r="F156">
        <f t="shared" ca="1" si="17"/>
        <v>4</v>
      </c>
      <c r="G156" t="str">
        <f t="shared" si="18"/>
        <v>2-478 feedback1</v>
      </c>
      <c r="H156">
        <v>1</v>
      </c>
      <c r="I156">
        <f t="shared" ca="1" si="19"/>
        <v>4</v>
      </c>
      <c r="J156" t="str">
        <f t="shared" si="20"/>
        <v>2-478 arg2</v>
      </c>
      <c r="K156" t="str">
        <f t="shared" si="21"/>
        <v>2-478 feedback2</v>
      </c>
      <c r="L156">
        <v>1</v>
      </c>
      <c r="M156" t="s">
        <v>1285</v>
      </c>
      <c r="N156">
        <v>155</v>
      </c>
    </row>
    <row r="157" spans="1:14">
      <c r="A157">
        <v>8</v>
      </c>
      <c r="B157">
        <f t="shared" si="22"/>
        <v>2</v>
      </c>
      <c r="C157">
        <v>479</v>
      </c>
      <c r="D157">
        <f t="shared" ca="1" si="15"/>
        <v>3</v>
      </c>
      <c r="E157" t="str">
        <f t="shared" si="16"/>
        <v>2-479 arg1</v>
      </c>
      <c r="F157">
        <f t="shared" ca="1" si="17"/>
        <v>2</v>
      </c>
      <c r="G157" t="str">
        <f t="shared" si="18"/>
        <v>2-479 feedback1</v>
      </c>
      <c r="H157">
        <v>1</v>
      </c>
      <c r="I157">
        <f t="shared" ca="1" si="19"/>
        <v>3</v>
      </c>
      <c r="J157" t="str">
        <f t="shared" si="20"/>
        <v>2-479 arg2</v>
      </c>
      <c r="K157" t="str">
        <f t="shared" si="21"/>
        <v>2-479 feedback2</v>
      </c>
      <c r="L157">
        <v>1</v>
      </c>
      <c r="M157" t="s">
        <v>1285</v>
      </c>
      <c r="N157">
        <v>156</v>
      </c>
    </row>
    <row r="158" spans="1:14">
      <c r="A158">
        <v>8</v>
      </c>
      <c r="B158">
        <f t="shared" si="22"/>
        <v>2</v>
      </c>
      <c r="C158">
        <v>480</v>
      </c>
      <c r="D158">
        <f t="shared" ca="1" si="15"/>
        <v>4</v>
      </c>
      <c r="E158" t="str">
        <f t="shared" si="16"/>
        <v>2-480 arg1</v>
      </c>
      <c r="F158">
        <f t="shared" ca="1" si="17"/>
        <v>3</v>
      </c>
      <c r="G158" t="str">
        <f t="shared" si="18"/>
        <v>2-480 feedback1</v>
      </c>
      <c r="H158">
        <v>1</v>
      </c>
      <c r="I158">
        <f t="shared" ca="1" si="19"/>
        <v>3</v>
      </c>
      <c r="J158" t="str">
        <f t="shared" si="20"/>
        <v>2-480 arg2</v>
      </c>
      <c r="K158" t="str">
        <f t="shared" si="21"/>
        <v>2-480 feedback2</v>
      </c>
      <c r="L158">
        <v>1</v>
      </c>
      <c r="M158" t="s">
        <v>1285</v>
      </c>
      <c r="N158">
        <v>157</v>
      </c>
    </row>
    <row r="159" spans="1:14">
      <c r="A159">
        <v>8</v>
      </c>
      <c r="B159">
        <f t="shared" si="22"/>
        <v>2</v>
      </c>
      <c r="C159">
        <v>481</v>
      </c>
      <c r="D159">
        <f t="shared" ca="1" si="15"/>
        <v>5</v>
      </c>
      <c r="E159" t="str">
        <f t="shared" si="16"/>
        <v>2-481 arg1</v>
      </c>
      <c r="F159">
        <f t="shared" ca="1" si="17"/>
        <v>3</v>
      </c>
      <c r="G159" t="str">
        <f t="shared" si="18"/>
        <v>2-481 feedback1</v>
      </c>
      <c r="H159">
        <v>1</v>
      </c>
      <c r="I159">
        <f t="shared" ca="1" si="19"/>
        <v>3</v>
      </c>
      <c r="J159" t="str">
        <f t="shared" si="20"/>
        <v>2-481 arg2</v>
      </c>
      <c r="K159" t="str">
        <f t="shared" si="21"/>
        <v>2-481 feedback2</v>
      </c>
      <c r="L159">
        <v>1</v>
      </c>
      <c r="M159" t="s">
        <v>1285</v>
      </c>
      <c r="N159">
        <v>158</v>
      </c>
    </row>
    <row r="160" spans="1:14">
      <c r="A160">
        <v>8</v>
      </c>
      <c r="B160">
        <f t="shared" si="22"/>
        <v>2</v>
      </c>
      <c r="C160">
        <v>482</v>
      </c>
      <c r="D160">
        <f t="shared" ca="1" si="15"/>
        <v>3</v>
      </c>
      <c r="E160" t="str">
        <f t="shared" si="16"/>
        <v>2-482 arg1</v>
      </c>
      <c r="F160">
        <f t="shared" ca="1" si="17"/>
        <v>3</v>
      </c>
      <c r="G160" t="str">
        <f t="shared" si="18"/>
        <v>2-482 feedback1</v>
      </c>
      <c r="H160">
        <v>1</v>
      </c>
      <c r="I160">
        <f t="shared" ca="1" si="19"/>
        <v>4</v>
      </c>
      <c r="J160" t="str">
        <f t="shared" si="20"/>
        <v>2-482 arg2</v>
      </c>
      <c r="K160" t="str">
        <f t="shared" si="21"/>
        <v>2-482 feedback2</v>
      </c>
      <c r="L160">
        <v>1</v>
      </c>
      <c r="M160" t="s">
        <v>1285</v>
      </c>
      <c r="N160">
        <v>159</v>
      </c>
    </row>
    <row r="161" spans="1:14">
      <c r="A161">
        <v>8</v>
      </c>
      <c r="B161">
        <f t="shared" si="22"/>
        <v>2</v>
      </c>
      <c r="C161">
        <v>483</v>
      </c>
      <c r="D161">
        <f t="shared" ca="1" si="15"/>
        <v>4</v>
      </c>
      <c r="E161" t="str">
        <f t="shared" si="16"/>
        <v>2-483 arg1</v>
      </c>
      <c r="F161">
        <f t="shared" ca="1" si="17"/>
        <v>4</v>
      </c>
      <c r="G161" t="str">
        <f t="shared" si="18"/>
        <v>2-483 feedback1</v>
      </c>
      <c r="H161">
        <v>1</v>
      </c>
      <c r="I161">
        <f t="shared" ca="1" si="19"/>
        <v>4</v>
      </c>
      <c r="J161" t="str">
        <f t="shared" si="20"/>
        <v>2-483 arg2</v>
      </c>
      <c r="K161" t="str">
        <f t="shared" si="21"/>
        <v>2-483 feedback2</v>
      </c>
      <c r="L161">
        <v>1</v>
      </c>
      <c r="M161" t="s">
        <v>1285</v>
      </c>
      <c r="N161">
        <v>160</v>
      </c>
    </row>
    <row r="162" spans="1:14">
      <c r="A162">
        <v>8</v>
      </c>
      <c r="B162">
        <f t="shared" si="22"/>
        <v>2</v>
      </c>
      <c r="C162">
        <v>484</v>
      </c>
      <c r="D162">
        <f t="shared" ca="1" si="15"/>
        <v>4</v>
      </c>
      <c r="E162" t="str">
        <f t="shared" si="16"/>
        <v>2-484 arg1</v>
      </c>
      <c r="F162">
        <f t="shared" ca="1" si="17"/>
        <v>2</v>
      </c>
      <c r="G162" t="str">
        <f t="shared" si="18"/>
        <v>2-484 feedback1</v>
      </c>
      <c r="H162">
        <v>1</v>
      </c>
      <c r="I162">
        <f t="shared" ca="1" si="19"/>
        <v>2</v>
      </c>
      <c r="J162" t="str">
        <f t="shared" si="20"/>
        <v>2-484 arg2</v>
      </c>
      <c r="K162" t="str">
        <f t="shared" si="21"/>
        <v>2-484 feedback2</v>
      </c>
      <c r="L162">
        <v>1</v>
      </c>
      <c r="M162" t="s">
        <v>1285</v>
      </c>
      <c r="N162">
        <v>161</v>
      </c>
    </row>
    <row r="163" spans="1:14">
      <c r="A163">
        <v>8</v>
      </c>
      <c r="B163">
        <f t="shared" si="22"/>
        <v>2</v>
      </c>
      <c r="C163">
        <v>485</v>
      </c>
      <c r="D163">
        <f t="shared" ca="1" si="15"/>
        <v>5</v>
      </c>
      <c r="E163" t="str">
        <f t="shared" si="16"/>
        <v>2-485 arg1</v>
      </c>
      <c r="F163">
        <f t="shared" ca="1" si="17"/>
        <v>4</v>
      </c>
      <c r="G163" t="str">
        <f t="shared" si="18"/>
        <v>2-485 feedback1</v>
      </c>
      <c r="H163">
        <v>1</v>
      </c>
      <c r="I163">
        <f t="shared" ca="1" si="19"/>
        <v>5</v>
      </c>
      <c r="J163" t="str">
        <f t="shared" si="20"/>
        <v>2-485 arg2</v>
      </c>
      <c r="K163" t="str">
        <f t="shared" si="21"/>
        <v>2-485 feedback2</v>
      </c>
      <c r="L163">
        <v>1</v>
      </c>
      <c r="M163" t="s">
        <v>1285</v>
      </c>
      <c r="N163">
        <v>162</v>
      </c>
    </row>
    <row r="164" spans="1:14">
      <c r="A164">
        <v>8</v>
      </c>
      <c r="B164">
        <f t="shared" si="22"/>
        <v>2</v>
      </c>
      <c r="C164">
        <v>486</v>
      </c>
      <c r="D164">
        <f t="shared" ca="1" si="15"/>
        <v>4</v>
      </c>
      <c r="E164" t="str">
        <f t="shared" si="16"/>
        <v>2-486 arg1</v>
      </c>
      <c r="F164">
        <f t="shared" ca="1" si="17"/>
        <v>4</v>
      </c>
      <c r="G164" t="str">
        <f t="shared" si="18"/>
        <v>2-486 feedback1</v>
      </c>
      <c r="H164">
        <v>1</v>
      </c>
      <c r="I164">
        <f t="shared" ca="1" si="19"/>
        <v>5</v>
      </c>
      <c r="J164" t="str">
        <f t="shared" si="20"/>
        <v>2-486 arg2</v>
      </c>
      <c r="K164" t="str">
        <f t="shared" si="21"/>
        <v>2-486 feedback2</v>
      </c>
      <c r="L164">
        <v>1</v>
      </c>
      <c r="M164" t="s">
        <v>1285</v>
      </c>
      <c r="N164">
        <v>163</v>
      </c>
    </row>
    <row r="165" spans="1:14">
      <c r="A165">
        <v>8</v>
      </c>
      <c r="B165">
        <f t="shared" si="22"/>
        <v>2</v>
      </c>
      <c r="C165">
        <v>487</v>
      </c>
      <c r="D165">
        <f t="shared" ca="1" si="15"/>
        <v>5</v>
      </c>
      <c r="E165" t="str">
        <f t="shared" si="16"/>
        <v>2-487 arg1</v>
      </c>
      <c r="F165">
        <f t="shared" ca="1" si="17"/>
        <v>4</v>
      </c>
      <c r="G165" t="str">
        <f t="shared" si="18"/>
        <v>2-487 feedback1</v>
      </c>
      <c r="H165">
        <v>1</v>
      </c>
      <c r="I165">
        <f t="shared" ca="1" si="19"/>
        <v>5</v>
      </c>
      <c r="J165" t="str">
        <f t="shared" si="20"/>
        <v>2-487 arg2</v>
      </c>
      <c r="K165" t="str">
        <f t="shared" si="21"/>
        <v>2-487 feedback2</v>
      </c>
      <c r="L165">
        <v>1</v>
      </c>
      <c r="M165" t="s">
        <v>1285</v>
      </c>
      <c r="N165">
        <v>164</v>
      </c>
    </row>
    <row r="166" spans="1:14">
      <c r="A166">
        <v>8</v>
      </c>
      <c r="B166">
        <f t="shared" si="22"/>
        <v>2</v>
      </c>
      <c r="C166">
        <v>488</v>
      </c>
      <c r="D166">
        <f t="shared" ca="1" si="15"/>
        <v>4</v>
      </c>
      <c r="E166" t="str">
        <f t="shared" si="16"/>
        <v>2-488 arg1</v>
      </c>
      <c r="F166">
        <f t="shared" ca="1" si="17"/>
        <v>2</v>
      </c>
      <c r="G166" t="str">
        <f t="shared" si="18"/>
        <v>2-488 feedback1</v>
      </c>
      <c r="H166">
        <v>1</v>
      </c>
      <c r="I166">
        <f t="shared" ca="1" si="19"/>
        <v>2</v>
      </c>
      <c r="J166" t="str">
        <f t="shared" si="20"/>
        <v>2-488 arg2</v>
      </c>
      <c r="K166" t="str">
        <f t="shared" si="21"/>
        <v>2-488 feedback2</v>
      </c>
      <c r="L166">
        <v>1</v>
      </c>
      <c r="M166" t="s">
        <v>1285</v>
      </c>
      <c r="N166">
        <v>165</v>
      </c>
    </row>
    <row r="167" spans="1:14">
      <c r="A167">
        <v>8</v>
      </c>
      <c r="B167">
        <f t="shared" si="22"/>
        <v>2</v>
      </c>
      <c r="C167">
        <v>489</v>
      </c>
      <c r="D167">
        <f t="shared" ca="1" si="15"/>
        <v>3</v>
      </c>
      <c r="E167" t="str">
        <f t="shared" si="16"/>
        <v>2-489 arg1</v>
      </c>
      <c r="F167">
        <f t="shared" ca="1" si="17"/>
        <v>2</v>
      </c>
      <c r="G167" t="str">
        <f t="shared" si="18"/>
        <v>2-489 feedback1</v>
      </c>
      <c r="H167">
        <v>1</v>
      </c>
      <c r="I167">
        <f t="shared" ca="1" si="19"/>
        <v>3</v>
      </c>
      <c r="J167" t="str">
        <f t="shared" si="20"/>
        <v>2-489 arg2</v>
      </c>
      <c r="K167" t="str">
        <f t="shared" si="21"/>
        <v>2-489 feedback2</v>
      </c>
      <c r="L167">
        <v>1</v>
      </c>
      <c r="M167" t="s">
        <v>1285</v>
      </c>
      <c r="N167">
        <v>166</v>
      </c>
    </row>
    <row r="168" spans="1:14">
      <c r="A168">
        <v>8</v>
      </c>
      <c r="B168">
        <f t="shared" si="22"/>
        <v>2</v>
      </c>
      <c r="C168">
        <v>490</v>
      </c>
      <c r="D168">
        <f t="shared" ca="1" si="15"/>
        <v>4</v>
      </c>
      <c r="E168" t="str">
        <f t="shared" si="16"/>
        <v>2-490 arg1</v>
      </c>
      <c r="F168">
        <f t="shared" ca="1" si="17"/>
        <v>3</v>
      </c>
      <c r="G168" t="str">
        <f t="shared" si="18"/>
        <v>2-490 feedback1</v>
      </c>
      <c r="H168">
        <v>1</v>
      </c>
      <c r="I168">
        <f t="shared" ca="1" si="19"/>
        <v>4</v>
      </c>
      <c r="J168" t="str">
        <f t="shared" si="20"/>
        <v>2-490 arg2</v>
      </c>
      <c r="K168" t="str">
        <f t="shared" si="21"/>
        <v>2-490 feedback2</v>
      </c>
      <c r="L168">
        <v>1</v>
      </c>
      <c r="M168" t="s">
        <v>1285</v>
      </c>
      <c r="N168">
        <v>167</v>
      </c>
    </row>
    <row r="169" spans="1:14">
      <c r="A169">
        <v>8</v>
      </c>
      <c r="B169">
        <f t="shared" si="22"/>
        <v>2</v>
      </c>
      <c r="C169">
        <v>491</v>
      </c>
      <c r="D169">
        <f t="shared" ca="1" si="15"/>
        <v>3</v>
      </c>
      <c r="E169" t="str">
        <f t="shared" si="16"/>
        <v>2-491 arg1</v>
      </c>
      <c r="F169">
        <f t="shared" ca="1" si="17"/>
        <v>1</v>
      </c>
      <c r="G169" t="str">
        <f t="shared" si="18"/>
        <v>2-491 feedback1</v>
      </c>
      <c r="H169">
        <v>1</v>
      </c>
      <c r="I169">
        <f t="shared" ca="1" si="19"/>
        <v>1</v>
      </c>
      <c r="J169" t="str">
        <f t="shared" si="20"/>
        <v>2-491 arg2</v>
      </c>
      <c r="K169" t="str">
        <f t="shared" si="21"/>
        <v>2-491 feedback2</v>
      </c>
      <c r="L169">
        <v>1</v>
      </c>
      <c r="M169" t="s">
        <v>1285</v>
      </c>
      <c r="N169">
        <v>168</v>
      </c>
    </row>
    <row r="170" spans="1:14">
      <c r="A170">
        <v>8</v>
      </c>
      <c r="B170">
        <f t="shared" si="22"/>
        <v>2</v>
      </c>
      <c r="C170">
        <v>492</v>
      </c>
      <c r="D170">
        <f t="shared" ca="1" si="15"/>
        <v>3</v>
      </c>
      <c r="E170" t="str">
        <f t="shared" si="16"/>
        <v>2-492 arg1</v>
      </c>
      <c r="F170">
        <f t="shared" ca="1" si="17"/>
        <v>2</v>
      </c>
      <c r="G170" t="str">
        <f t="shared" si="18"/>
        <v>2-492 feedback1</v>
      </c>
      <c r="H170">
        <v>1</v>
      </c>
      <c r="I170">
        <f t="shared" ca="1" si="19"/>
        <v>3</v>
      </c>
      <c r="J170" t="str">
        <f t="shared" si="20"/>
        <v>2-492 arg2</v>
      </c>
      <c r="K170" t="str">
        <f t="shared" si="21"/>
        <v>2-492 feedback2</v>
      </c>
      <c r="L170">
        <v>1</v>
      </c>
      <c r="M170" t="s">
        <v>1285</v>
      </c>
      <c r="N170">
        <v>169</v>
      </c>
    </row>
    <row r="171" spans="1:14">
      <c r="A171">
        <v>8</v>
      </c>
      <c r="B171">
        <f t="shared" si="22"/>
        <v>2</v>
      </c>
      <c r="C171">
        <v>493</v>
      </c>
      <c r="D171">
        <f t="shared" ca="1" si="15"/>
        <v>5</v>
      </c>
      <c r="E171" t="str">
        <f t="shared" si="16"/>
        <v>2-493 arg1</v>
      </c>
      <c r="F171">
        <f t="shared" ca="1" si="17"/>
        <v>4</v>
      </c>
      <c r="G171" t="str">
        <f t="shared" si="18"/>
        <v>2-493 feedback1</v>
      </c>
      <c r="H171">
        <v>1</v>
      </c>
      <c r="I171">
        <f t="shared" ca="1" si="19"/>
        <v>5</v>
      </c>
      <c r="J171" t="str">
        <f t="shared" si="20"/>
        <v>2-493 arg2</v>
      </c>
      <c r="K171" t="str">
        <f t="shared" si="21"/>
        <v>2-493 feedback2</v>
      </c>
      <c r="L171">
        <v>1</v>
      </c>
      <c r="M171" t="s">
        <v>1285</v>
      </c>
      <c r="N171">
        <v>170</v>
      </c>
    </row>
    <row r="172" spans="1:14">
      <c r="A172">
        <v>8</v>
      </c>
      <c r="B172">
        <f t="shared" si="22"/>
        <v>3</v>
      </c>
      <c r="C172">
        <v>409</v>
      </c>
      <c r="D172">
        <f t="shared" ca="1" si="15"/>
        <v>3</v>
      </c>
      <c r="E172" t="str">
        <f t="shared" si="16"/>
        <v>3-409 arg1</v>
      </c>
      <c r="F172">
        <f ca="1">D172-ROUND(2*RAND(),0)</f>
        <v>2</v>
      </c>
      <c r="G172" t="str">
        <f t="shared" si="18"/>
        <v>3-409 feedback1</v>
      </c>
      <c r="H172">
        <v>1</v>
      </c>
      <c r="I172">
        <f t="shared" ca="1" si="19"/>
        <v>3</v>
      </c>
      <c r="J172" t="str">
        <f t="shared" si="20"/>
        <v>3-409 arg2</v>
      </c>
      <c r="K172" t="str">
        <f t="shared" si="21"/>
        <v>3-409 feedback2</v>
      </c>
      <c r="L172">
        <v>1</v>
      </c>
      <c r="M172" t="s">
        <v>1285</v>
      </c>
      <c r="N172">
        <v>171</v>
      </c>
    </row>
    <row r="173" spans="1:14">
      <c r="A173">
        <v>8</v>
      </c>
      <c r="B173">
        <f t="shared" si="22"/>
        <v>3</v>
      </c>
      <c r="C173">
        <v>410</v>
      </c>
      <c r="D173">
        <f t="shared" ca="1" si="15"/>
        <v>5</v>
      </c>
      <c r="E173" t="str">
        <f t="shared" si="16"/>
        <v>3-410 arg1</v>
      </c>
      <c r="F173">
        <f t="shared" ref="F173:F236" ca="1" si="23">D173-ROUND(2*RAND(),0)</f>
        <v>4</v>
      </c>
      <c r="G173" t="str">
        <f t="shared" si="18"/>
        <v>3-410 feedback1</v>
      </c>
      <c r="H173">
        <v>1</v>
      </c>
      <c r="I173">
        <f t="shared" ca="1" si="19"/>
        <v>5</v>
      </c>
      <c r="J173" t="str">
        <f t="shared" si="20"/>
        <v>3-410 arg2</v>
      </c>
      <c r="K173" t="str">
        <f t="shared" si="21"/>
        <v>3-410 feedback2</v>
      </c>
      <c r="L173">
        <v>1</v>
      </c>
      <c r="M173" t="s">
        <v>1285</v>
      </c>
      <c r="N173">
        <v>172</v>
      </c>
    </row>
    <row r="174" spans="1:14">
      <c r="A174">
        <v>8</v>
      </c>
      <c r="B174">
        <f t="shared" si="22"/>
        <v>3</v>
      </c>
      <c r="C174">
        <v>411</v>
      </c>
      <c r="D174">
        <f t="shared" ca="1" si="15"/>
        <v>4</v>
      </c>
      <c r="E174" t="str">
        <f t="shared" si="16"/>
        <v>3-411 arg1</v>
      </c>
      <c r="F174">
        <f t="shared" ca="1" si="23"/>
        <v>3</v>
      </c>
      <c r="G174" t="str">
        <f t="shared" si="18"/>
        <v>3-411 feedback1</v>
      </c>
      <c r="H174">
        <v>1</v>
      </c>
      <c r="I174">
        <f t="shared" ca="1" si="19"/>
        <v>3</v>
      </c>
      <c r="J174" t="str">
        <f t="shared" si="20"/>
        <v>3-411 arg2</v>
      </c>
      <c r="K174" t="str">
        <f t="shared" si="21"/>
        <v>3-411 feedback2</v>
      </c>
      <c r="L174">
        <v>1</v>
      </c>
      <c r="M174" t="s">
        <v>1285</v>
      </c>
      <c r="N174">
        <v>173</v>
      </c>
    </row>
    <row r="175" spans="1:14">
      <c r="A175">
        <v>8</v>
      </c>
      <c r="B175">
        <f t="shared" si="22"/>
        <v>3</v>
      </c>
      <c r="C175">
        <v>412</v>
      </c>
      <c r="D175">
        <f t="shared" ca="1" si="15"/>
        <v>4</v>
      </c>
      <c r="E175" t="str">
        <f t="shared" si="16"/>
        <v>3-412 arg1</v>
      </c>
      <c r="F175">
        <f t="shared" ca="1" si="23"/>
        <v>3</v>
      </c>
      <c r="G175" t="str">
        <f t="shared" si="18"/>
        <v>3-412 feedback1</v>
      </c>
      <c r="H175">
        <v>1</v>
      </c>
      <c r="I175">
        <f t="shared" ca="1" si="19"/>
        <v>4</v>
      </c>
      <c r="J175" t="str">
        <f t="shared" si="20"/>
        <v>3-412 arg2</v>
      </c>
      <c r="K175" t="str">
        <f t="shared" si="21"/>
        <v>3-412 feedback2</v>
      </c>
      <c r="L175">
        <v>1</v>
      </c>
      <c r="M175" t="s">
        <v>1285</v>
      </c>
      <c r="N175">
        <v>174</v>
      </c>
    </row>
    <row r="176" spans="1:14">
      <c r="A176">
        <v>8</v>
      </c>
      <c r="B176">
        <f t="shared" si="22"/>
        <v>3</v>
      </c>
      <c r="C176">
        <v>413</v>
      </c>
      <c r="D176">
        <f t="shared" ca="1" si="15"/>
        <v>4</v>
      </c>
      <c r="E176" t="str">
        <f t="shared" si="16"/>
        <v>3-413 arg1</v>
      </c>
      <c r="F176">
        <f t="shared" ca="1" si="23"/>
        <v>3</v>
      </c>
      <c r="G176" t="str">
        <f t="shared" si="18"/>
        <v>3-413 feedback1</v>
      </c>
      <c r="H176">
        <v>1</v>
      </c>
      <c r="I176">
        <f t="shared" ca="1" si="19"/>
        <v>4</v>
      </c>
      <c r="J176" t="str">
        <f t="shared" si="20"/>
        <v>3-413 arg2</v>
      </c>
      <c r="K176" t="str">
        <f t="shared" si="21"/>
        <v>3-413 feedback2</v>
      </c>
      <c r="L176">
        <v>1</v>
      </c>
      <c r="M176" t="s">
        <v>1285</v>
      </c>
      <c r="N176">
        <v>175</v>
      </c>
    </row>
    <row r="177" spans="1:14">
      <c r="A177">
        <v>8</v>
      </c>
      <c r="B177">
        <f t="shared" si="22"/>
        <v>3</v>
      </c>
      <c r="C177">
        <v>414</v>
      </c>
      <c r="D177">
        <f t="shared" ca="1" si="15"/>
        <v>4</v>
      </c>
      <c r="E177" t="str">
        <f t="shared" si="16"/>
        <v>3-414 arg1</v>
      </c>
      <c r="F177">
        <f t="shared" ca="1" si="23"/>
        <v>3</v>
      </c>
      <c r="G177" t="str">
        <f t="shared" si="18"/>
        <v>3-414 feedback1</v>
      </c>
      <c r="H177">
        <v>1</v>
      </c>
      <c r="I177">
        <f t="shared" ca="1" si="19"/>
        <v>3</v>
      </c>
      <c r="J177" t="str">
        <f t="shared" si="20"/>
        <v>3-414 arg2</v>
      </c>
      <c r="K177" t="str">
        <f t="shared" si="21"/>
        <v>3-414 feedback2</v>
      </c>
      <c r="L177">
        <v>1</v>
      </c>
      <c r="M177" t="s">
        <v>1285</v>
      </c>
      <c r="N177">
        <v>176</v>
      </c>
    </row>
    <row r="178" spans="1:14">
      <c r="A178">
        <v>8</v>
      </c>
      <c r="B178">
        <f t="shared" si="22"/>
        <v>3</v>
      </c>
      <c r="C178">
        <v>415</v>
      </c>
      <c r="D178">
        <f t="shared" ca="1" si="15"/>
        <v>5</v>
      </c>
      <c r="E178" t="str">
        <f t="shared" si="16"/>
        <v>3-415 arg1</v>
      </c>
      <c r="F178">
        <f t="shared" ca="1" si="23"/>
        <v>3</v>
      </c>
      <c r="G178" t="str">
        <f t="shared" si="18"/>
        <v>3-415 feedback1</v>
      </c>
      <c r="H178">
        <v>1</v>
      </c>
      <c r="I178">
        <f t="shared" ca="1" si="19"/>
        <v>3</v>
      </c>
      <c r="J178" t="str">
        <f t="shared" si="20"/>
        <v>3-415 arg2</v>
      </c>
      <c r="K178" t="str">
        <f t="shared" si="21"/>
        <v>3-415 feedback2</v>
      </c>
      <c r="L178">
        <v>1</v>
      </c>
      <c r="M178" t="s">
        <v>1285</v>
      </c>
      <c r="N178">
        <v>177</v>
      </c>
    </row>
    <row r="179" spans="1:14">
      <c r="A179">
        <v>8</v>
      </c>
      <c r="B179">
        <f t="shared" si="22"/>
        <v>3</v>
      </c>
      <c r="C179">
        <v>416</v>
      </c>
      <c r="D179">
        <f t="shared" ca="1" si="15"/>
        <v>3</v>
      </c>
      <c r="E179" t="str">
        <f t="shared" si="16"/>
        <v>3-416 arg1</v>
      </c>
      <c r="F179">
        <f t="shared" ca="1" si="23"/>
        <v>2</v>
      </c>
      <c r="G179" t="str">
        <f t="shared" si="18"/>
        <v>3-416 feedback1</v>
      </c>
      <c r="H179">
        <v>1</v>
      </c>
      <c r="I179">
        <f t="shared" ca="1" si="19"/>
        <v>2</v>
      </c>
      <c r="J179" t="str">
        <f t="shared" si="20"/>
        <v>3-416 arg2</v>
      </c>
      <c r="K179" t="str">
        <f t="shared" si="21"/>
        <v>3-416 feedback2</v>
      </c>
      <c r="L179">
        <v>1</v>
      </c>
      <c r="M179" t="s">
        <v>1285</v>
      </c>
      <c r="N179">
        <v>178</v>
      </c>
    </row>
    <row r="180" spans="1:14">
      <c r="A180">
        <v>8</v>
      </c>
      <c r="B180">
        <f t="shared" si="22"/>
        <v>3</v>
      </c>
      <c r="C180">
        <v>417</v>
      </c>
      <c r="D180">
        <f t="shared" ca="1" si="15"/>
        <v>5</v>
      </c>
      <c r="E180" t="str">
        <f t="shared" si="16"/>
        <v>3-417 arg1</v>
      </c>
      <c r="F180">
        <f t="shared" ca="1" si="23"/>
        <v>4</v>
      </c>
      <c r="G180" t="str">
        <f t="shared" si="18"/>
        <v>3-417 feedback1</v>
      </c>
      <c r="H180">
        <v>1</v>
      </c>
      <c r="I180">
        <f t="shared" ca="1" si="19"/>
        <v>5</v>
      </c>
      <c r="J180" t="str">
        <f t="shared" si="20"/>
        <v>3-417 arg2</v>
      </c>
      <c r="K180" t="str">
        <f t="shared" si="21"/>
        <v>3-417 feedback2</v>
      </c>
      <c r="L180">
        <v>1</v>
      </c>
      <c r="M180" t="s">
        <v>1285</v>
      </c>
      <c r="N180">
        <v>179</v>
      </c>
    </row>
    <row r="181" spans="1:14">
      <c r="A181">
        <v>8</v>
      </c>
      <c r="B181">
        <f t="shared" si="22"/>
        <v>3</v>
      </c>
      <c r="C181">
        <v>418</v>
      </c>
      <c r="D181">
        <f t="shared" ca="1" si="15"/>
        <v>3</v>
      </c>
      <c r="E181" t="str">
        <f t="shared" si="16"/>
        <v>3-418 arg1</v>
      </c>
      <c r="F181">
        <f t="shared" ca="1" si="23"/>
        <v>2</v>
      </c>
      <c r="G181" t="str">
        <f t="shared" si="18"/>
        <v>3-418 feedback1</v>
      </c>
      <c r="H181">
        <v>1</v>
      </c>
      <c r="I181">
        <f t="shared" ca="1" si="19"/>
        <v>3</v>
      </c>
      <c r="J181" t="str">
        <f t="shared" si="20"/>
        <v>3-418 arg2</v>
      </c>
      <c r="K181" t="str">
        <f t="shared" si="21"/>
        <v>3-418 feedback2</v>
      </c>
      <c r="L181">
        <v>1</v>
      </c>
      <c r="M181" t="s">
        <v>1285</v>
      </c>
      <c r="N181">
        <v>180</v>
      </c>
    </row>
    <row r="182" spans="1:14">
      <c r="A182">
        <v>8</v>
      </c>
      <c r="B182">
        <f t="shared" si="22"/>
        <v>3</v>
      </c>
      <c r="C182">
        <v>419</v>
      </c>
      <c r="D182">
        <f t="shared" ca="1" si="15"/>
        <v>5</v>
      </c>
      <c r="E182" t="str">
        <f t="shared" si="16"/>
        <v>3-419 arg1</v>
      </c>
      <c r="F182">
        <f t="shared" ca="1" si="23"/>
        <v>3</v>
      </c>
      <c r="G182" t="str">
        <f t="shared" si="18"/>
        <v>3-419 feedback1</v>
      </c>
      <c r="H182">
        <v>1</v>
      </c>
      <c r="I182">
        <f t="shared" ca="1" si="19"/>
        <v>4</v>
      </c>
      <c r="J182" t="str">
        <f t="shared" si="20"/>
        <v>3-419 arg2</v>
      </c>
      <c r="K182" t="str">
        <f t="shared" si="21"/>
        <v>3-419 feedback2</v>
      </c>
      <c r="L182">
        <v>1</v>
      </c>
      <c r="M182" t="s">
        <v>1285</v>
      </c>
      <c r="N182">
        <v>181</v>
      </c>
    </row>
    <row r="183" spans="1:14">
      <c r="A183">
        <v>8</v>
      </c>
      <c r="B183">
        <f t="shared" si="22"/>
        <v>3</v>
      </c>
      <c r="C183">
        <v>420</v>
      </c>
      <c r="D183">
        <f t="shared" ca="1" si="15"/>
        <v>4</v>
      </c>
      <c r="E183" t="str">
        <f t="shared" si="16"/>
        <v>3-420 arg1</v>
      </c>
      <c r="F183">
        <f t="shared" ca="1" si="23"/>
        <v>3</v>
      </c>
      <c r="G183" t="str">
        <f t="shared" si="18"/>
        <v>3-420 feedback1</v>
      </c>
      <c r="H183">
        <v>1</v>
      </c>
      <c r="I183">
        <f t="shared" ca="1" si="19"/>
        <v>4</v>
      </c>
      <c r="J183" t="str">
        <f t="shared" si="20"/>
        <v>3-420 arg2</v>
      </c>
      <c r="K183" t="str">
        <f t="shared" si="21"/>
        <v>3-420 feedback2</v>
      </c>
      <c r="L183">
        <v>1</v>
      </c>
      <c r="M183" t="s">
        <v>1285</v>
      </c>
      <c r="N183">
        <v>182</v>
      </c>
    </row>
    <row r="184" spans="1:14">
      <c r="A184">
        <v>8</v>
      </c>
      <c r="B184">
        <f t="shared" si="22"/>
        <v>3</v>
      </c>
      <c r="C184">
        <v>421</v>
      </c>
      <c r="D184">
        <f t="shared" ca="1" si="15"/>
        <v>4</v>
      </c>
      <c r="E184" t="str">
        <f t="shared" si="16"/>
        <v>3-421 arg1</v>
      </c>
      <c r="F184">
        <f t="shared" ca="1" si="23"/>
        <v>2</v>
      </c>
      <c r="G184" t="str">
        <f t="shared" si="18"/>
        <v>3-421 feedback1</v>
      </c>
      <c r="H184">
        <v>1</v>
      </c>
      <c r="I184">
        <f t="shared" ca="1" si="19"/>
        <v>3</v>
      </c>
      <c r="J184" t="str">
        <f t="shared" si="20"/>
        <v>3-421 arg2</v>
      </c>
      <c r="K184" t="str">
        <f t="shared" si="21"/>
        <v>3-421 feedback2</v>
      </c>
      <c r="L184">
        <v>1</v>
      </c>
      <c r="M184" t="s">
        <v>1285</v>
      </c>
      <c r="N184">
        <v>183</v>
      </c>
    </row>
    <row r="185" spans="1:14">
      <c r="A185">
        <v>8</v>
      </c>
      <c r="B185">
        <f t="shared" si="22"/>
        <v>3</v>
      </c>
      <c r="C185">
        <v>422</v>
      </c>
      <c r="D185">
        <f t="shared" ca="1" si="15"/>
        <v>3</v>
      </c>
      <c r="E185" t="str">
        <f t="shared" si="16"/>
        <v>3-422 arg1</v>
      </c>
      <c r="F185">
        <f t="shared" ca="1" si="23"/>
        <v>3</v>
      </c>
      <c r="G185" t="str">
        <f t="shared" si="18"/>
        <v>3-422 feedback1</v>
      </c>
      <c r="H185">
        <v>1</v>
      </c>
      <c r="I185">
        <f t="shared" ca="1" si="19"/>
        <v>4</v>
      </c>
      <c r="J185" t="str">
        <f t="shared" si="20"/>
        <v>3-422 arg2</v>
      </c>
      <c r="K185" t="str">
        <f t="shared" si="21"/>
        <v>3-422 feedback2</v>
      </c>
      <c r="L185">
        <v>1</v>
      </c>
      <c r="M185" t="s">
        <v>1285</v>
      </c>
      <c r="N185">
        <v>184</v>
      </c>
    </row>
    <row r="186" spans="1:14">
      <c r="A186">
        <v>8</v>
      </c>
      <c r="B186">
        <f t="shared" si="22"/>
        <v>3</v>
      </c>
      <c r="C186">
        <v>423</v>
      </c>
      <c r="D186">
        <f t="shared" ca="1" si="15"/>
        <v>3</v>
      </c>
      <c r="E186" t="str">
        <f t="shared" si="16"/>
        <v>3-423 arg1</v>
      </c>
      <c r="F186">
        <f t="shared" ca="1" si="23"/>
        <v>3</v>
      </c>
      <c r="G186" t="str">
        <f t="shared" si="18"/>
        <v>3-423 feedback1</v>
      </c>
      <c r="H186">
        <v>1</v>
      </c>
      <c r="I186">
        <f t="shared" ca="1" si="19"/>
        <v>4</v>
      </c>
      <c r="J186" t="str">
        <f t="shared" si="20"/>
        <v>3-423 arg2</v>
      </c>
      <c r="K186" t="str">
        <f t="shared" si="21"/>
        <v>3-423 feedback2</v>
      </c>
      <c r="L186">
        <v>1</v>
      </c>
      <c r="M186" t="s">
        <v>1285</v>
      </c>
      <c r="N186">
        <v>185</v>
      </c>
    </row>
    <row r="187" spans="1:14">
      <c r="A187">
        <v>8</v>
      </c>
      <c r="B187">
        <f t="shared" si="22"/>
        <v>3</v>
      </c>
      <c r="C187">
        <v>424</v>
      </c>
      <c r="D187">
        <f t="shared" ca="1" si="15"/>
        <v>4</v>
      </c>
      <c r="E187" t="str">
        <f t="shared" si="16"/>
        <v>3-424 arg1</v>
      </c>
      <c r="F187">
        <f t="shared" ca="1" si="23"/>
        <v>4</v>
      </c>
      <c r="G187" t="str">
        <f t="shared" si="18"/>
        <v>3-424 feedback1</v>
      </c>
      <c r="H187">
        <v>1</v>
      </c>
      <c r="I187">
        <f t="shared" ca="1" si="19"/>
        <v>5</v>
      </c>
      <c r="J187" t="str">
        <f t="shared" si="20"/>
        <v>3-424 arg2</v>
      </c>
      <c r="K187" t="str">
        <f t="shared" si="21"/>
        <v>3-424 feedback2</v>
      </c>
      <c r="L187">
        <v>1</v>
      </c>
      <c r="M187" t="s">
        <v>1285</v>
      </c>
      <c r="N187">
        <v>186</v>
      </c>
    </row>
    <row r="188" spans="1:14">
      <c r="A188">
        <v>8</v>
      </c>
      <c r="B188">
        <f t="shared" si="22"/>
        <v>3</v>
      </c>
      <c r="C188">
        <v>425</v>
      </c>
      <c r="D188">
        <f t="shared" ca="1" si="15"/>
        <v>5</v>
      </c>
      <c r="E188" t="str">
        <f t="shared" si="16"/>
        <v>3-425 arg1</v>
      </c>
      <c r="F188">
        <f t="shared" ca="1" si="23"/>
        <v>5</v>
      </c>
      <c r="G188" t="str">
        <f t="shared" si="18"/>
        <v>3-425 feedback1</v>
      </c>
      <c r="H188">
        <v>1</v>
      </c>
      <c r="I188">
        <f t="shared" ca="1" si="19"/>
        <v>5</v>
      </c>
      <c r="J188" t="str">
        <f t="shared" si="20"/>
        <v>3-425 arg2</v>
      </c>
      <c r="K188" t="str">
        <f t="shared" si="21"/>
        <v>3-425 feedback2</v>
      </c>
      <c r="L188">
        <v>1</v>
      </c>
      <c r="M188" t="s">
        <v>1285</v>
      </c>
      <c r="N188">
        <v>187</v>
      </c>
    </row>
    <row r="189" spans="1:14">
      <c r="A189">
        <v>8</v>
      </c>
      <c r="B189">
        <f t="shared" si="22"/>
        <v>3</v>
      </c>
      <c r="C189">
        <v>426</v>
      </c>
      <c r="D189">
        <f t="shared" ca="1" si="15"/>
        <v>5</v>
      </c>
      <c r="E189" t="str">
        <f t="shared" si="16"/>
        <v>3-426 arg1</v>
      </c>
      <c r="F189">
        <f t="shared" ca="1" si="23"/>
        <v>4</v>
      </c>
      <c r="G189" t="str">
        <f t="shared" si="18"/>
        <v>3-426 feedback1</v>
      </c>
      <c r="H189">
        <v>1</v>
      </c>
      <c r="I189">
        <f t="shared" ca="1" si="19"/>
        <v>5</v>
      </c>
      <c r="J189" t="str">
        <f t="shared" si="20"/>
        <v>3-426 arg2</v>
      </c>
      <c r="K189" t="str">
        <f t="shared" si="21"/>
        <v>3-426 feedback2</v>
      </c>
      <c r="L189">
        <v>1</v>
      </c>
      <c r="M189" t="s">
        <v>1285</v>
      </c>
      <c r="N189">
        <v>188</v>
      </c>
    </row>
    <row r="190" spans="1:14">
      <c r="A190">
        <v>8</v>
      </c>
      <c r="B190">
        <f t="shared" si="22"/>
        <v>3</v>
      </c>
      <c r="C190">
        <v>427</v>
      </c>
      <c r="D190">
        <f t="shared" ca="1" si="15"/>
        <v>4</v>
      </c>
      <c r="E190" t="str">
        <f t="shared" si="16"/>
        <v>3-427 arg1</v>
      </c>
      <c r="F190">
        <f t="shared" ca="1" si="23"/>
        <v>2</v>
      </c>
      <c r="G190" t="str">
        <f t="shared" si="18"/>
        <v>3-427 feedback1</v>
      </c>
      <c r="H190">
        <v>1</v>
      </c>
      <c r="I190">
        <f t="shared" ca="1" si="19"/>
        <v>3</v>
      </c>
      <c r="J190" t="str">
        <f t="shared" si="20"/>
        <v>3-427 arg2</v>
      </c>
      <c r="K190" t="str">
        <f t="shared" si="21"/>
        <v>3-427 feedback2</v>
      </c>
      <c r="L190">
        <v>1</v>
      </c>
      <c r="M190" t="s">
        <v>1285</v>
      </c>
      <c r="N190">
        <v>189</v>
      </c>
    </row>
    <row r="191" spans="1:14">
      <c r="A191">
        <v>8</v>
      </c>
      <c r="B191">
        <f t="shared" si="22"/>
        <v>3</v>
      </c>
      <c r="C191">
        <v>428</v>
      </c>
      <c r="D191">
        <f t="shared" ca="1" si="15"/>
        <v>4</v>
      </c>
      <c r="E191" t="str">
        <f t="shared" si="16"/>
        <v>3-428 arg1</v>
      </c>
      <c r="F191">
        <f t="shared" ca="1" si="23"/>
        <v>4</v>
      </c>
      <c r="G191" t="str">
        <f t="shared" si="18"/>
        <v>3-428 feedback1</v>
      </c>
      <c r="H191">
        <v>1</v>
      </c>
      <c r="I191">
        <f t="shared" ca="1" si="19"/>
        <v>5</v>
      </c>
      <c r="J191" t="str">
        <f t="shared" si="20"/>
        <v>3-428 arg2</v>
      </c>
      <c r="K191" t="str">
        <f t="shared" si="21"/>
        <v>3-428 feedback2</v>
      </c>
      <c r="L191">
        <v>1</v>
      </c>
      <c r="M191" t="s">
        <v>1285</v>
      </c>
      <c r="N191">
        <v>190</v>
      </c>
    </row>
    <row r="192" spans="1:14">
      <c r="A192">
        <v>8</v>
      </c>
      <c r="B192">
        <f t="shared" si="22"/>
        <v>3</v>
      </c>
      <c r="C192">
        <v>429</v>
      </c>
      <c r="D192">
        <f t="shared" ca="1" si="15"/>
        <v>4</v>
      </c>
      <c r="E192" t="str">
        <f t="shared" si="16"/>
        <v>3-429 arg1</v>
      </c>
      <c r="F192">
        <f t="shared" ca="1" si="23"/>
        <v>3</v>
      </c>
      <c r="G192" t="str">
        <f t="shared" si="18"/>
        <v>3-429 feedback1</v>
      </c>
      <c r="H192">
        <v>1</v>
      </c>
      <c r="I192">
        <f t="shared" ca="1" si="19"/>
        <v>4</v>
      </c>
      <c r="J192" t="str">
        <f t="shared" si="20"/>
        <v>3-429 arg2</v>
      </c>
      <c r="K192" t="str">
        <f t="shared" si="21"/>
        <v>3-429 feedback2</v>
      </c>
      <c r="L192">
        <v>1</v>
      </c>
      <c r="M192" t="s">
        <v>1285</v>
      </c>
      <c r="N192">
        <v>191</v>
      </c>
    </row>
    <row r="193" spans="1:14">
      <c r="A193">
        <v>8</v>
      </c>
      <c r="B193">
        <f t="shared" si="22"/>
        <v>3</v>
      </c>
      <c r="C193">
        <v>430</v>
      </c>
      <c r="D193">
        <f t="shared" ca="1" si="15"/>
        <v>3</v>
      </c>
      <c r="E193" t="str">
        <f t="shared" si="16"/>
        <v>3-430 arg1</v>
      </c>
      <c r="F193">
        <f t="shared" ca="1" si="23"/>
        <v>3</v>
      </c>
      <c r="G193" t="str">
        <f t="shared" si="18"/>
        <v>3-430 feedback1</v>
      </c>
      <c r="H193">
        <v>1</v>
      </c>
      <c r="I193">
        <f t="shared" ca="1" si="19"/>
        <v>4</v>
      </c>
      <c r="J193" t="str">
        <f t="shared" si="20"/>
        <v>3-430 arg2</v>
      </c>
      <c r="K193" t="str">
        <f t="shared" si="21"/>
        <v>3-430 feedback2</v>
      </c>
      <c r="L193">
        <v>1</v>
      </c>
      <c r="M193" t="s">
        <v>1285</v>
      </c>
      <c r="N193">
        <v>192</v>
      </c>
    </row>
    <row r="194" spans="1:14">
      <c r="A194">
        <v>8</v>
      </c>
      <c r="B194">
        <f t="shared" si="22"/>
        <v>3</v>
      </c>
      <c r="C194">
        <v>431</v>
      </c>
      <c r="D194">
        <f t="shared" ca="1" si="15"/>
        <v>3</v>
      </c>
      <c r="E194" t="str">
        <f t="shared" si="16"/>
        <v>3-431 arg1</v>
      </c>
      <c r="F194">
        <f t="shared" ca="1" si="23"/>
        <v>2</v>
      </c>
      <c r="G194" t="str">
        <f t="shared" si="18"/>
        <v>3-431 feedback1</v>
      </c>
      <c r="H194">
        <v>1</v>
      </c>
      <c r="I194">
        <f t="shared" ca="1" si="19"/>
        <v>3</v>
      </c>
      <c r="J194" t="str">
        <f t="shared" si="20"/>
        <v>3-431 arg2</v>
      </c>
      <c r="K194" t="str">
        <f t="shared" si="21"/>
        <v>3-431 feedback2</v>
      </c>
      <c r="L194">
        <v>1</v>
      </c>
      <c r="M194" t="s">
        <v>1285</v>
      </c>
      <c r="N194">
        <v>193</v>
      </c>
    </row>
    <row r="195" spans="1:14">
      <c r="A195">
        <v>8</v>
      </c>
      <c r="B195">
        <f t="shared" si="22"/>
        <v>3</v>
      </c>
      <c r="C195">
        <v>432</v>
      </c>
      <c r="D195">
        <f t="shared" ref="D195:D258" ca="1" si="24">ROUND(3+2*RAND(),0)</f>
        <v>3</v>
      </c>
      <c r="E195" t="str">
        <f t="shared" ref="E195:E256" si="25">_xlfn.CONCAT(B195,"-",C195," arg1")</f>
        <v>3-432 arg1</v>
      </c>
      <c r="F195">
        <f t="shared" ca="1" si="23"/>
        <v>2</v>
      </c>
      <c r="G195" t="str">
        <f t="shared" ref="G195:G256" si="26">_xlfn.CONCAT(B195,"-",C195," feedback1")</f>
        <v>3-432 feedback1</v>
      </c>
      <c r="H195">
        <v>1</v>
      </c>
      <c r="I195">
        <f t="shared" ref="I195:I256" ca="1" si="27">MIN(5,F195+ROUND(RAND(),0))</f>
        <v>2</v>
      </c>
      <c r="J195" t="str">
        <f t="shared" ref="J195:J256" si="28">_xlfn.CONCAT(B195,"-",C195," arg2")</f>
        <v>3-432 arg2</v>
      </c>
      <c r="K195" t="str">
        <f t="shared" ref="K195:K256" si="29">_xlfn.CONCAT(B195,"-",C195," feedback2")</f>
        <v>3-432 feedback2</v>
      </c>
      <c r="L195">
        <v>1</v>
      </c>
      <c r="M195" t="s">
        <v>1285</v>
      </c>
      <c r="N195">
        <v>194</v>
      </c>
    </row>
    <row r="196" spans="1:14">
      <c r="A196">
        <v>8</v>
      </c>
      <c r="B196">
        <f t="shared" si="22"/>
        <v>3</v>
      </c>
      <c r="C196">
        <v>433</v>
      </c>
      <c r="D196">
        <f t="shared" ca="1" si="24"/>
        <v>5</v>
      </c>
      <c r="E196" t="str">
        <f t="shared" si="25"/>
        <v>3-433 arg1</v>
      </c>
      <c r="F196">
        <f t="shared" ca="1" si="23"/>
        <v>4</v>
      </c>
      <c r="G196" t="str">
        <f t="shared" si="26"/>
        <v>3-433 feedback1</v>
      </c>
      <c r="H196">
        <v>1</v>
      </c>
      <c r="I196">
        <f t="shared" ca="1" si="27"/>
        <v>5</v>
      </c>
      <c r="J196" t="str">
        <f t="shared" si="28"/>
        <v>3-433 arg2</v>
      </c>
      <c r="K196" t="str">
        <f t="shared" si="29"/>
        <v>3-433 feedback2</v>
      </c>
      <c r="L196">
        <v>1</v>
      </c>
      <c r="M196" t="s">
        <v>1285</v>
      </c>
      <c r="N196">
        <v>195</v>
      </c>
    </row>
    <row r="197" spans="1:14">
      <c r="A197">
        <v>8</v>
      </c>
      <c r="B197">
        <f t="shared" si="22"/>
        <v>3</v>
      </c>
      <c r="C197">
        <v>434</v>
      </c>
      <c r="D197">
        <f t="shared" ca="1" si="24"/>
        <v>3</v>
      </c>
      <c r="E197" t="str">
        <f t="shared" si="25"/>
        <v>3-434 arg1</v>
      </c>
      <c r="F197">
        <f t="shared" ca="1" si="23"/>
        <v>3</v>
      </c>
      <c r="G197" t="str">
        <f t="shared" si="26"/>
        <v>3-434 feedback1</v>
      </c>
      <c r="H197">
        <v>1</v>
      </c>
      <c r="I197">
        <f t="shared" ca="1" si="27"/>
        <v>4</v>
      </c>
      <c r="J197" t="str">
        <f t="shared" si="28"/>
        <v>3-434 arg2</v>
      </c>
      <c r="K197" t="str">
        <f t="shared" si="29"/>
        <v>3-434 feedback2</v>
      </c>
      <c r="L197">
        <v>1</v>
      </c>
      <c r="M197" t="s">
        <v>1285</v>
      </c>
      <c r="N197">
        <v>196</v>
      </c>
    </row>
    <row r="198" spans="1:14">
      <c r="A198">
        <v>8</v>
      </c>
      <c r="B198">
        <f t="shared" si="22"/>
        <v>3</v>
      </c>
      <c r="C198">
        <v>435</v>
      </c>
      <c r="D198">
        <f t="shared" ca="1" si="24"/>
        <v>3</v>
      </c>
      <c r="E198" t="str">
        <f t="shared" si="25"/>
        <v>3-435 arg1</v>
      </c>
      <c r="F198">
        <f t="shared" ca="1" si="23"/>
        <v>2</v>
      </c>
      <c r="G198" t="str">
        <f t="shared" si="26"/>
        <v>3-435 feedback1</v>
      </c>
      <c r="H198">
        <v>1</v>
      </c>
      <c r="I198">
        <f t="shared" ca="1" si="27"/>
        <v>3</v>
      </c>
      <c r="J198" t="str">
        <f t="shared" si="28"/>
        <v>3-435 arg2</v>
      </c>
      <c r="K198" t="str">
        <f t="shared" si="29"/>
        <v>3-435 feedback2</v>
      </c>
      <c r="L198">
        <v>1</v>
      </c>
      <c r="M198" t="s">
        <v>1285</v>
      </c>
      <c r="N198">
        <v>197</v>
      </c>
    </row>
    <row r="199" spans="1:14">
      <c r="A199">
        <v>8</v>
      </c>
      <c r="B199">
        <f t="shared" si="22"/>
        <v>3</v>
      </c>
      <c r="C199">
        <v>436</v>
      </c>
      <c r="D199">
        <f t="shared" ca="1" si="24"/>
        <v>5</v>
      </c>
      <c r="E199" t="str">
        <f t="shared" si="25"/>
        <v>3-436 arg1</v>
      </c>
      <c r="F199">
        <f t="shared" ca="1" si="23"/>
        <v>3</v>
      </c>
      <c r="G199" t="str">
        <f t="shared" si="26"/>
        <v>3-436 feedback1</v>
      </c>
      <c r="H199">
        <v>1</v>
      </c>
      <c r="I199">
        <f t="shared" ca="1" si="27"/>
        <v>3</v>
      </c>
      <c r="J199" t="str">
        <f t="shared" si="28"/>
        <v>3-436 arg2</v>
      </c>
      <c r="K199" t="str">
        <f t="shared" si="29"/>
        <v>3-436 feedback2</v>
      </c>
      <c r="L199">
        <v>1</v>
      </c>
      <c r="M199" t="s">
        <v>1285</v>
      </c>
      <c r="N199">
        <v>198</v>
      </c>
    </row>
    <row r="200" spans="1:14">
      <c r="A200">
        <v>8</v>
      </c>
      <c r="B200">
        <f t="shared" si="22"/>
        <v>3</v>
      </c>
      <c r="C200">
        <v>437</v>
      </c>
      <c r="D200">
        <f t="shared" ca="1" si="24"/>
        <v>5</v>
      </c>
      <c r="E200" t="str">
        <f t="shared" si="25"/>
        <v>3-437 arg1</v>
      </c>
      <c r="F200">
        <f t="shared" ca="1" si="23"/>
        <v>5</v>
      </c>
      <c r="G200" t="str">
        <f t="shared" si="26"/>
        <v>3-437 feedback1</v>
      </c>
      <c r="H200">
        <v>1</v>
      </c>
      <c r="I200">
        <f t="shared" ca="1" si="27"/>
        <v>5</v>
      </c>
      <c r="J200" t="str">
        <f t="shared" si="28"/>
        <v>3-437 arg2</v>
      </c>
      <c r="K200" t="str">
        <f t="shared" si="29"/>
        <v>3-437 feedback2</v>
      </c>
      <c r="L200">
        <v>1</v>
      </c>
      <c r="M200" t="s">
        <v>1285</v>
      </c>
      <c r="N200">
        <v>199</v>
      </c>
    </row>
    <row r="201" spans="1:14">
      <c r="A201">
        <v>8</v>
      </c>
      <c r="B201">
        <f t="shared" si="22"/>
        <v>3</v>
      </c>
      <c r="C201">
        <v>438</v>
      </c>
      <c r="D201">
        <f t="shared" ca="1" si="24"/>
        <v>5</v>
      </c>
      <c r="E201" t="str">
        <f t="shared" si="25"/>
        <v>3-438 arg1</v>
      </c>
      <c r="F201">
        <f t="shared" ca="1" si="23"/>
        <v>4</v>
      </c>
      <c r="G201" t="str">
        <f t="shared" si="26"/>
        <v>3-438 feedback1</v>
      </c>
      <c r="H201">
        <v>1</v>
      </c>
      <c r="I201">
        <f t="shared" ca="1" si="27"/>
        <v>5</v>
      </c>
      <c r="J201" t="str">
        <f t="shared" si="28"/>
        <v>3-438 arg2</v>
      </c>
      <c r="K201" t="str">
        <f t="shared" si="29"/>
        <v>3-438 feedback2</v>
      </c>
      <c r="L201">
        <v>1</v>
      </c>
      <c r="M201" t="s">
        <v>1285</v>
      </c>
      <c r="N201">
        <v>200</v>
      </c>
    </row>
    <row r="202" spans="1:14">
      <c r="A202">
        <v>8</v>
      </c>
      <c r="B202">
        <f t="shared" si="22"/>
        <v>3</v>
      </c>
      <c r="C202">
        <v>439</v>
      </c>
      <c r="D202">
        <f t="shared" ca="1" si="24"/>
        <v>4</v>
      </c>
      <c r="E202" t="str">
        <f t="shared" si="25"/>
        <v>3-439 arg1</v>
      </c>
      <c r="F202">
        <f t="shared" ca="1" si="23"/>
        <v>3</v>
      </c>
      <c r="G202" t="str">
        <f t="shared" si="26"/>
        <v>3-439 feedback1</v>
      </c>
      <c r="H202">
        <v>1</v>
      </c>
      <c r="I202">
        <f t="shared" ca="1" si="27"/>
        <v>3</v>
      </c>
      <c r="J202" t="str">
        <f t="shared" si="28"/>
        <v>3-439 arg2</v>
      </c>
      <c r="K202" t="str">
        <f t="shared" si="29"/>
        <v>3-439 feedback2</v>
      </c>
      <c r="L202">
        <v>1</v>
      </c>
      <c r="M202" t="s">
        <v>1285</v>
      </c>
      <c r="N202">
        <v>201</v>
      </c>
    </row>
    <row r="203" spans="1:14">
      <c r="A203">
        <v>8</v>
      </c>
      <c r="B203">
        <f t="shared" si="22"/>
        <v>3</v>
      </c>
      <c r="C203">
        <v>440</v>
      </c>
      <c r="D203">
        <f t="shared" ca="1" si="24"/>
        <v>4</v>
      </c>
      <c r="E203" t="str">
        <f t="shared" si="25"/>
        <v>3-440 arg1</v>
      </c>
      <c r="F203">
        <f t="shared" ca="1" si="23"/>
        <v>3</v>
      </c>
      <c r="G203" t="str">
        <f t="shared" si="26"/>
        <v>3-440 feedback1</v>
      </c>
      <c r="H203">
        <v>1</v>
      </c>
      <c r="I203">
        <f t="shared" ca="1" si="27"/>
        <v>4</v>
      </c>
      <c r="J203" t="str">
        <f t="shared" si="28"/>
        <v>3-440 arg2</v>
      </c>
      <c r="K203" t="str">
        <f t="shared" si="29"/>
        <v>3-440 feedback2</v>
      </c>
      <c r="L203">
        <v>1</v>
      </c>
      <c r="M203" t="s">
        <v>1285</v>
      </c>
      <c r="N203">
        <v>202</v>
      </c>
    </row>
    <row r="204" spans="1:14">
      <c r="A204">
        <v>8</v>
      </c>
      <c r="B204">
        <f t="shared" si="22"/>
        <v>3</v>
      </c>
      <c r="C204">
        <v>441</v>
      </c>
      <c r="D204">
        <f t="shared" ca="1" si="24"/>
        <v>3</v>
      </c>
      <c r="E204" t="str">
        <f t="shared" si="25"/>
        <v>3-441 arg1</v>
      </c>
      <c r="F204">
        <f t="shared" ca="1" si="23"/>
        <v>2</v>
      </c>
      <c r="G204" t="str">
        <f t="shared" si="26"/>
        <v>3-441 feedback1</v>
      </c>
      <c r="H204">
        <v>1</v>
      </c>
      <c r="I204">
        <f t="shared" ca="1" si="27"/>
        <v>3</v>
      </c>
      <c r="J204" t="str">
        <f t="shared" si="28"/>
        <v>3-441 arg2</v>
      </c>
      <c r="K204" t="str">
        <f t="shared" si="29"/>
        <v>3-441 feedback2</v>
      </c>
      <c r="L204">
        <v>1</v>
      </c>
      <c r="M204" t="s">
        <v>1285</v>
      </c>
      <c r="N204">
        <v>203</v>
      </c>
    </row>
    <row r="205" spans="1:14">
      <c r="A205">
        <v>8</v>
      </c>
      <c r="B205">
        <f t="shared" si="22"/>
        <v>3</v>
      </c>
      <c r="C205">
        <v>442</v>
      </c>
      <c r="D205">
        <f t="shared" ca="1" si="24"/>
        <v>4</v>
      </c>
      <c r="E205" t="str">
        <f t="shared" si="25"/>
        <v>3-442 arg1</v>
      </c>
      <c r="F205">
        <f t="shared" ca="1" si="23"/>
        <v>2</v>
      </c>
      <c r="G205" t="str">
        <f t="shared" si="26"/>
        <v>3-442 feedback1</v>
      </c>
      <c r="H205">
        <v>1</v>
      </c>
      <c r="I205">
        <f t="shared" ca="1" si="27"/>
        <v>2</v>
      </c>
      <c r="J205" t="str">
        <f t="shared" si="28"/>
        <v>3-442 arg2</v>
      </c>
      <c r="K205" t="str">
        <f t="shared" si="29"/>
        <v>3-442 feedback2</v>
      </c>
      <c r="L205">
        <v>1</v>
      </c>
      <c r="M205" t="s">
        <v>1285</v>
      </c>
      <c r="N205">
        <v>204</v>
      </c>
    </row>
    <row r="206" spans="1:14">
      <c r="A206">
        <v>8</v>
      </c>
      <c r="B206">
        <f t="shared" si="22"/>
        <v>3</v>
      </c>
      <c r="C206">
        <v>443</v>
      </c>
      <c r="D206">
        <f t="shared" ca="1" si="24"/>
        <v>4</v>
      </c>
      <c r="E206" t="str">
        <f t="shared" si="25"/>
        <v>3-443 arg1</v>
      </c>
      <c r="F206">
        <f t="shared" ca="1" si="23"/>
        <v>2</v>
      </c>
      <c r="G206" t="str">
        <f t="shared" si="26"/>
        <v>3-443 feedback1</v>
      </c>
      <c r="H206">
        <v>1</v>
      </c>
      <c r="I206">
        <f t="shared" ca="1" si="27"/>
        <v>2</v>
      </c>
      <c r="J206" t="str">
        <f t="shared" si="28"/>
        <v>3-443 arg2</v>
      </c>
      <c r="K206" t="str">
        <f t="shared" si="29"/>
        <v>3-443 feedback2</v>
      </c>
      <c r="L206">
        <v>1</v>
      </c>
      <c r="M206" t="s">
        <v>1285</v>
      </c>
      <c r="N206">
        <v>205</v>
      </c>
    </row>
    <row r="207" spans="1:14">
      <c r="A207">
        <v>8</v>
      </c>
      <c r="B207">
        <f t="shared" si="22"/>
        <v>3</v>
      </c>
      <c r="C207">
        <v>444</v>
      </c>
      <c r="D207">
        <f t="shared" ca="1" si="24"/>
        <v>4</v>
      </c>
      <c r="E207" t="str">
        <f t="shared" si="25"/>
        <v>3-444 arg1</v>
      </c>
      <c r="F207">
        <f t="shared" ca="1" si="23"/>
        <v>4</v>
      </c>
      <c r="G207" t="str">
        <f t="shared" si="26"/>
        <v>3-444 feedback1</v>
      </c>
      <c r="H207">
        <v>1</v>
      </c>
      <c r="I207">
        <f t="shared" ca="1" si="27"/>
        <v>4</v>
      </c>
      <c r="J207" t="str">
        <f t="shared" si="28"/>
        <v>3-444 arg2</v>
      </c>
      <c r="K207" t="str">
        <f t="shared" si="29"/>
        <v>3-444 feedback2</v>
      </c>
      <c r="L207">
        <v>1</v>
      </c>
      <c r="M207" t="s">
        <v>1285</v>
      </c>
      <c r="N207">
        <v>206</v>
      </c>
    </row>
    <row r="208" spans="1:14">
      <c r="A208">
        <v>8</v>
      </c>
      <c r="B208">
        <f t="shared" si="22"/>
        <v>3</v>
      </c>
      <c r="C208">
        <v>445</v>
      </c>
      <c r="D208">
        <f t="shared" ca="1" si="24"/>
        <v>3</v>
      </c>
      <c r="E208" t="str">
        <f t="shared" si="25"/>
        <v>3-445 arg1</v>
      </c>
      <c r="F208">
        <f t="shared" ca="1" si="23"/>
        <v>2</v>
      </c>
      <c r="G208" t="str">
        <f t="shared" si="26"/>
        <v>3-445 feedback1</v>
      </c>
      <c r="H208">
        <v>1</v>
      </c>
      <c r="I208">
        <f t="shared" ca="1" si="27"/>
        <v>3</v>
      </c>
      <c r="J208" t="str">
        <f t="shared" si="28"/>
        <v>3-445 arg2</v>
      </c>
      <c r="K208" t="str">
        <f t="shared" si="29"/>
        <v>3-445 feedback2</v>
      </c>
      <c r="L208">
        <v>1</v>
      </c>
      <c r="M208" t="s">
        <v>1285</v>
      </c>
      <c r="N208">
        <v>207</v>
      </c>
    </row>
    <row r="209" spans="1:14">
      <c r="A209">
        <v>8</v>
      </c>
      <c r="B209">
        <f t="shared" si="22"/>
        <v>3</v>
      </c>
      <c r="C209">
        <v>446</v>
      </c>
      <c r="D209">
        <f t="shared" ca="1" si="24"/>
        <v>4</v>
      </c>
      <c r="E209" t="str">
        <f t="shared" si="25"/>
        <v>3-446 arg1</v>
      </c>
      <c r="F209">
        <f t="shared" ca="1" si="23"/>
        <v>3</v>
      </c>
      <c r="G209" t="str">
        <f t="shared" si="26"/>
        <v>3-446 feedback1</v>
      </c>
      <c r="H209">
        <v>1</v>
      </c>
      <c r="I209">
        <f t="shared" ca="1" si="27"/>
        <v>3</v>
      </c>
      <c r="J209" t="str">
        <f t="shared" si="28"/>
        <v>3-446 arg2</v>
      </c>
      <c r="K209" t="str">
        <f t="shared" si="29"/>
        <v>3-446 feedback2</v>
      </c>
      <c r="L209">
        <v>1</v>
      </c>
      <c r="M209" t="s">
        <v>1285</v>
      </c>
      <c r="N209">
        <v>208</v>
      </c>
    </row>
    <row r="210" spans="1:14">
      <c r="A210">
        <v>8</v>
      </c>
      <c r="B210">
        <f t="shared" si="22"/>
        <v>3</v>
      </c>
      <c r="C210">
        <v>447</v>
      </c>
      <c r="D210">
        <f t="shared" ca="1" si="24"/>
        <v>4</v>
      </c>
      <c r="E210" t="str">
        <f t="shared" si="25"/>
        <v>3-447 arg1</v>
      </c>
      <c r="F210">
        <f t="shared" ca="1" si="23"/>
        <v>2</v>
      </c>
      <c r="G210" t="str">
        <f t="shared" si="26"/>
        <v>3-447 feedback1</v>
      </c>
      <c r="H210">
        <v>1</v>
      </c>
      <c r="I210">
        <f t="shared" ca="1" si="27"/>
        <v>3</v>
      </c>
      <c r="J210" t="str">
        <f t="shared" si="28"/>
        <v>3-447 arg2</v>
      </c>
      <c r="K210" t="str">
        <f t="shared" si="29"/>
        <v>3-447 feedback2</v>
      </c>
      <c r="L210">
        <v>1</v>
      </c>
      <c r="M210" t="s">
        <v>1285</v>
      </c>
      <c r="N210">
        <v>209</v>
      </c>
    </row>
    <row r="211" spans="1:14">
      <c r="A211">
        <v>8</v>
      </c>
      <c r="B211">
        <f t="shared" si="22"/>
        <v>3</v>
      </c>
      <c r="C211">
        <v>448</v>
      </c>
      <c r="D211">
        <f t="shared" ca="1" si="24"/>
        <v>4</v>
      </c>
      <c r="E211" t="str">
        <f t="shared" si="25"/>
        <v>3-448 arg1</v>
      </c>
      <c r="F211">
        <f t="shared" ca="1" si="23"/>
        <v>3</v>
      </c>
      <c r="G211" t="str">
        <f t="shared" si="26"/>
        <v>3-448 feedback1</v>
      </c>
      <c r="H211">
        <v>1</v>
      </c>
      <c r="I211">
        <f t="shared" ca="1" si="27"/>
        <v>3</v>
      </c>
      <c r="J211" t="str">
        <f t="shared" si="28"/>
        <v>3-448 arg2</v>
      </c>
      <c r="K211" t="str">
        <f t="shared" si="29"/>
        <v>3-448 feedback2</v>
      </c>
      <c r="L211">
        <v>1</v>
      </c>
      <c r="M211" t="s">
        <v>1285</v>
      </c>
      <c r="N211">
        <v>210</v>
      </c>
    </row>
    <row r="212" spans="1:14">
      <c r="A212">
        <v>8</v>
      </c>
      <c r="B212">
        <f t="shared" si="22"/>
        <v>3</v>
      </c>
      <c r="C212">
        <v>449</v>
      </c>
      <c r="D212">
        <f t="shared" ca="1" si="24"/>
        <v>3</v>
      </c>
      <c r="E212" t="str">
        <f t="shared" si="25"/>
        <v>3-449 arg1</v>
      </c>
      <c r="F212">
        <f t="shared" ca="1" si="23"/>
        <v>3</v>
      </c>
      <c r="G212" t="str">
        <f t="shared" si="26"/>
        <v>3-449 feedback1</v>
      </c>
      <c r="H212">
        <v>1</v>
      </c>
      <c r="I212">
        <f t="shared" ca="1" si="27"/>
        <v>3</v>
      </c>
      <c r="J212" t="str">
        <f t="shared" si="28"/>
        <v>3-449 arg2</v>
      </c>
      <c r="K212" t="str">
        <f t="shared" si="29"/>
        <v>3-449 feedback2</v>
      </c>
      <c r="L212">
        <v>1</v>
      </c>
      <c r="M212" t="s">
        <v>1285</v>
      </c>
      <c r="N212">
        <v>211</v>
      </c>
    </row>
    <row r="213" spans="1:14">
      <c r="A213">
        <v>8</v>
      </c>
      <c r="B213">
        <f>B128+1</f>
        <v>3</v>
      </c>
      <c r="C213">
        <v>450</v>
      </c>
      <c r="D213">
        <f t="shared" ca="1" si="24"/>
        <v>5</v>
      </c>
      <c r="E213" t="str">
        <f t="shared" si="25"/>
        <v>3-450 arg1</v>
      </c>
      <c r="F213">
        <f t="shared" ca="1" si="23"/>
        <v>4</v>
      </c>
      <c r="G213" t="str">
        <f t="shared" si="26"/>
        <v>3-450 feedback1</v>
      </c>
      <c r="H213">
        <v>1</v>
      </c>
      <c r="I213">
        <f t="shared" ca="1" si="27"/>
        <v>5</v>
      </c>
      <c r="J213" t="str">
        <f t="shared" si="28"/>
        <v>3-450 arg2</v>
      </c>
      <c r="K213" t="str">
        <f t="shared" si="29"/>
        <v>3-450 feedback2</v>
      </c>
      <c r="L213">
        <v>1</v>
      </c>
      <c r="M213" t="s">
        <v>1285</v>
      </c>
      <c r="N213">
        <v>212</v>
      </c>
    </row>
    <row r="214" spans="1:14">
      <c r="A214">
        <v>8</v>
      </c>
      <c r="B214">
        <f t="shared" ref="B214:B244" si="30">B129+1</f>
        <v>3</v>
      </c>
      <c r="C214">
        <v>451</v>
      </c>
      <c r="D214">
        <f t="shared" ca="1" si="24"/>
        <v>4</v>
      </c>
      <c r="E214" t="str">
        <f t="shared" si="25"/>
        <v>3-451 arg1</v>
      </c>
      <c r="F214">
        <f t="shared" ca="1" si="23"/>
        <v>3</v>
      </c>
      <c r="G214" t="str">
        <f t="shared" si="26"/>
        <v>3-451 feedback1</v>
      </c>
      <c r="H214">
        <v>1</v>
      </c>
      <c r="I214">
        <f t="shared" ca="1" si="27"/>
        <v>3</v>
      </c>
      <c r="J214" t="str">
        <f t="shared" si="28"/>
        <v>3-451 arg2</v>
      </c>
      <c r="K214" t="str">
        <f t="shared" si="29"/>
        <v>3-451 feedback2</v>
      </c>
      <c r="L214">
        <v>1</v>
      </c>
      <c r="M214" t="s">
        <v>1285</v>
      </c>
      <c r="N214">
        <v>213</v>
      </c>
    </row>
    <row r="215" spans="1:14">
      <c r="A215">
        <v>8</v>
      </c>
      <c r="B215">
        <f t="shared" si="30"/>
        <v>3</v>
      </c>
      <c r="C215">
        <v>452</v>
      </c>
      <c r="D215">
        <f t="shared" ca="1" si="24"/>
        <v>4</v>
      </c>
      <c r="E215" t="str">
        <f t="shared" si="25"/>
        <v>3-452 arg1</v>
      </c>
      <c r="F215">
        <f t="shared" ca="1" si="23"/>
        <v>2</v>
      </c>
      <c r="G215" t="str">
        <f t="shared" si="26"/>
        <v>3-452 feedback1</v>
      </c>
      <c r="H215">
        <v>1</v>
      </c>
      <c r="I215">
        <f t="shared" ca="1" si="27"/>
        <v>2</v>
      </c>
      <c r="J215" t="str">
        <f t="shared" si="28"/>
        <v>3-452 arg2</v>
      </c>
      <c r="K215" t="str">
        <f t="shared" si="29"/>
        <v>3-452 feedback2</v>
      </c>
      <c r="L215">
        <v>1</v>
      </c>
      <c r="M215" t="s">
        <v>1285</v>
      </c>
      <c r="N215">
        <v>214</v>
      </c>
    </row>
    <row r="216" spans="1:14">
      <c r="A216">
        <v>8</v>
      </c>
      <c r="B216">
        <f t="shared" si="30"/>
        <v>3</v>
      </c>
      <c r="C216">
        <v>453</v>
      </c>
      <c r="D216">
        <f t="shared" ca="1" si="24"/>
        <v>5</v>
      </c>
      <c r="E216" t="str">
        <f t="shared" si="25"/>
        <v>3-453 arg1</v>
      </c>
      <c r="F216">
        <f t="shared" ca="1" si="23"/>
        <v>5</v>
      </c>
      <c r="G216" t="str">
        <f t="shared" si="26"/>
        <v>3-453 feedback1</v>
      </c>
      <c r="H216">
        <v>1</v>
      </c>
      <c r="I216">
        <f t="shared" ca="1" si="27"/>
        <v>5</v>
      </c>
      <c r="J216" t="str">
        <f t="shared" si="28"/>
        <v>3-453 arg2</v>
      </c>
      <c r="K216" t="str">
        <f t="shared" si="29"/>
        <v>3-453 feedback2</v>
      </c>
      <c r="L216">
        <v>1</v>
      </c>
      <c r="M216" t="s">
        <v>1285</v>
      </c>
      <c r="N216">
        <v>215</v>
      </c>
    </row>
    <row r="217" spans="1:14">
      <c r="A217">
        <v>8</v>
      </c>
      <c r="B217">
        <f t="shared" si="30"/>
        <v>3</v>
      </c>
      <c r="C217">
        <v>454</v>
      </c>
      <c r="D217">
        <f t="shared" ca="1" si="24"/>
        <v>4</v>
      </c>
      <c r="E217" t="str">
        <f t="shared" si="25"/>
        <v>3-454 arg1</v>
      </c>
      <c r="F217">
        <f t="shared" ca="1" si="23"/>
        <v>2</v>
      </c>
      <c r="G217" t="str">
        <f t="shared" si="26"/>
        <v>3-454 feedback1</v>
      </c>
      <c r="H217">
        <v>1</v>
      </c>
      <c r="I217">
        <f t="shared" ca="1" si="27"/>
        <v>3</v>
      </c>
      <c r="J217" t="str">
        <f t="shared" si="28"/>
        <v>3-454 arg2</v>
      </c>
      <c r="K217" t="str">
        <f t="shared" si="29"/>
        <v>3-454 feedback2</v>
      </c>
      <c r="L217">
        <v>1</v>
      </c>
      <c r="M217" t="s">
        <v>1285</v>
      </c>
      <c r="N217">
        <v>216</v>
      </c>
    </row>
    <row r="218" spans="1:14">
      <c r="A218">
        <v>8</v>
      </c>
      <c r="B218">
        <f t="shared" si="30"/>
        <v>3</v>
      </c>
      <c r="C218">
        <v>455</v>
      </c>
      <c r="D218">
        <f t="shared" ca="1" si="24"/>
        <v>4</v>
      </c>
      <c r="E218" t="str">
        <f t="shared" si="25"/>
        <v>3-455 arg1</v>
      </c>
      <c r="F218">
        <f t="shared" ca="1" si="23"/>
        <v>2</v>
      </c>
      <c r="G218" t="str">
        <f t="shared" si="26"/>
        <v>3-455 feedback1</v>
      </c>
      <c r="H218">
        <v>1</v>
      </c>
      <c r="I218">
        <f t="shared" ca="1" si="27"/>
        <v>2</v>
      </c>
      <c r="J218" t="str">
        <f t="shared" si="28"/>
        <v>3-455 arg2</v>
      </c>
      <c r="K218" t="str">
        <f t="shared" si="29"/>
        <v>3-455 feedback2</v>
      </c>
      <c r="L218">
        <v>1</v>
      </c>
      <c r="M218" t="s">
        <v>1285</v>
      </c>
      <c r="N218">
        <v>217</v>
      </c>
    </row>
    <row r="219" spans="1:14">
      <c r="A219">
        <v>8</v>
      </c>
      <c r="B219">
        <f t="shared" si="30"/>
        <v>3</v>
      </c>
      <c r="C219">
        <v>456</v>
      </c>
      <c r="D219">
        <f t="shared" ca="1" si="24"/>
        <v>3</v>
      </c>
      <c r="E219" t="str">
        <f t="shared" si="25"/>
        <v>3-456 arg1</v>
      </c>
      <c r="F219">
        <f t="shared" ca="1" si="23"/>
        <v>2</v>
      </c>
      <c r="G219" t="str">
        <f t="shared" si="26"/>
        <v>3-456 feedback1</v>
      </c>
      <c r="H219">
        <v>1</v>
      </c>
      <c r="I219">
        <f t="shared" ca="1" si="27"/>
        <v>2</v>
      </c>
      <c r="J219" t="str">
        <f t="shared" si="28"/>
        <v>3-456 arg2</v>
      </c>
      <c r="K219" t="str">
        <f t="shared" si="29"/>
        <v>3-456 feedback2</v>
      </c>
      <c r="L219">
        <v>1</v>
      </c>
      <c r="M219" t="s">
        <v>1285</v>
      </c>
      <c r="N219">
        <v>218</v>
      </c>
    </row>
    <row r="220" spans="1:14">
      <c r="A220">
        <v>8</v>
      </c>
      <c r="B220">
        <f t="shared" si="30"/>
        <v>3</v>
      </c>
      <c r="C220">
        <v>457</v>
      </c>
      <c r="D220">
        <f t="shared" ca="1" si="24"/>
        <v>3</v>
      </c>
      <c r="E220" t="str">
        <f t="shared" si="25"/>
        <v>3-457 arg1</v>
      </c>
      <c r="F220">
        <f t="shared" ca="1" si="23"/>
        <v>3</v>
      </c>
      <c r="G220" t="str">
        <f t="shared" si="26"/>
        <v>3-457 feedback1</v>
      </c>
      <c r="H220">
        <v>1</v>
      </c>
      <c r="I220">
        <f t="shared" ca="1" si="27"/>
        <v>4</v>
      </c>
      <c r="J220" t="str">
        <f t="shared" si="28"/>
        <v>3-457 arg2</v>
      </c>
      <c r="K220" t="str">
        <f t="shared" si="29"/>
        <v>3-457 feedback2</v>
      </c>
      <c r="L220">
        <v>1</v>
      </c>
      <c r="M220" t="s">
        <v>1285</v>
      </c>
      <c r="N220">
        <v>219</v>
      </c>
    </row>
    <row r="221" spans="1:14">
      <c r="A221">
        <v>8</v>
      </c>
      <c r="B221">
        <f t="shared" si="30"/>
        <v>3</v>
      </c>
      <c r="C221">
        <v>458</v>
      </c>
      <c r="D221">
        <f t="shared" ca="1" si="24"/>
        <v>3</v>
      </c>
      <c r="E221" t="str">
        <f t="shared" si="25"/>
        <v>3-458 arg1</v>
      </c>
      <c r="F221">
        <f t="shared" ca="1" si="23"/>
        <v>2</v>
      </c>
      <c r="G221" t="str">
        <f t="shared" si="26"/>
        <v>3-458 feedback1</v>
      </c>
      <c r="H221">
        <v>1</v>
      </c>
      <c r="I221">
        <f t="shared" ca="1" si="27"/>
        <v>3</v>
      </c>
      <c r="J221" t="str">
        <f t="shared" si="28"/>
        <v>3-458 arg2</v>
      </c>
      <c r="K221" t="str">
        <f t="shared" si="29"/>
        <v>3-458 feedback2</v>
      </c>
      <c r="L221">
        <v>1</v>
      </c>
      <c r="M221" t="s">
        <v>1285</v>
      </c>
      <c r="N221">
        <v>220</v>
      </c>
    </row>
    <row r="222" spans="1:14">
      <c r="A222">
        <v>8</v>
      </c>
      <c r="B222">
        <f t="shared" si="30"/>
        <v>3</v>
      </c>
      <c r="C222">
        <v>459</v>
      </c>
      <c r="D222">
        <f t="shared" ca="1" si="24"/>
        <v>3</v>
      </c>
      <c r="E222" t="str">
        <f t="shared" si="25"/>
        <v>3-459 arg1</v>
      </c>
      <c r="F222">
        <f t="shared" ca="1" si="23"/>
        <v>2</v>
      </c>
      <c r="G222" t="str">
        <f t="shared" si="26"/>
        <v>3-459 feedback1</v>
      </c>
      <c r="H222">
        <v>1</v>
      </c>
      <c r="I222">
        <f t="shared" ca="1" si="27"/>
        <v>3</v>
      </c>
      <c r="J222" t="str">
        <f t="shared" si="28"/>
        <v>3-459 arg2</v>
      </c>
      <c r="K222" t="str">
        <f t="shared" si="29"/>
        <v>3-459 feedback2</v>
      </c>
      <c r="L222">
        <v>1</v>
      </c>
      <c r="M222" t="s">
        <v>1285</v>
      </c>
      <c r="N222">
        <v>221</v>
      </c>
    </row>
    <row r="223" spans="1:14">
      <c r="A223">
        <v>8</v>
      </c>
      <c r="B223">
        <f t="shared" si="30"/>
        <v>3</v>
      </c>
      <c r="C223">
        <v>460</v>
      </c>
      <c r="D223">
        <f t="shared" ca="1" si="24"/>
        <v>4</v>
      </c>
      <c r="E223" t="str">
        <f t="shared" si="25"/>
        <v>3-460 arg1</v>
      </c>
      <c r="F223">
        <f t="shared" ca="1" si="23"/>
        <v>2</v>
      </c>
      <c r="G223" t="str">
        <f t="shared" si="26"/>
        <v>3-460 feedback1</v>
      </c>
      <c r="H223">
        <v>1</v>
      </c>
      <c r="I223">
        <f t="shared" ca="1" si="27"/>
        <v>3</v>
      </c>
      <c r="J223" t="str">
        <f t="shared" si="28"/>
        <v>3-460 arg2</v>
      </c>
      <c r="K223" t="str">
        <f t="shared" si="29"/>
        <v>3-460 feedback2</v>
      </c>
      <c r="L223">
        <v>1</v>
      </c>
      <c r="M223" t="s">
        <v>1285</v>
      </c>
      <c r="N223">
        <v>222</v>
      </c>
    </row>
    <row r="224" spans="1:14">
      <c r="A224">
        <v>8</v>
      </c>
      <c r="B224">
        <f t="shared" si="30"/>
        <v>3</v>
      </c>
      <c r="C224">
        <v>461</v>
      </c>
      <c r="D224">
        <f t="shared" ca="1" si="24"/>
        <v>3</v>
      </c>
      <c r="E224" t="str">
        <f t="shared" si="25"/>
        <v>3-461 arg1</v>
      </c>
      <c r="F224">
        <f t="shared" ca="1" si="23"/>
        <v>1</v>
      </c>
      <c r="G224" t="str">
        <f t="shared" si="26"/>
        <v>3-461 feedback1</v>
      </c>
      <c r="H224">
        <v>1</v>
      </c>
      <c r="I224">
        <f t="shared" ca="1" si="27"/>
        <v>1</v>
      </c>
      <c r="J224" t="str">
        <f t="shared" si="28"/>
        <v>3-461 arg2</v>
      </c>
      <c r="K224" t="str">
        <f t="shared" si="29"/>
        <v>3-461 feedback2</v>
      </c>
      <c r="L224">
        <v>1</v>
      </c>
      <c r="M224" t="s">
        <v>1285</v>
      </c>
      <c r="N224">
        <v>223</v>
      </c>
    </row>
    <row r="225" spans="1:14">
      <c r="A225">
        <v>8</v>
      </c>
      <c r="B225">
        <f t="shared" si="30"/>
        <v>3</v>
      </c>
      <c r="C225">
        <v>462</v>
      </c>
      <c r="D225">
        <f t="shared" ca="1" si="24"/>
        <v>3</v>
      </c>
      <c r="E225" t="str">
        <f t="shared" si="25"/>
        <v>3-462 arg1</v>
      </c>
      <c r="F225">
        <f t="shared" ca="1" si="23"/>
        <v>2</v>
      </c>
      <c r="G225" t="str">
        <f t="shared" si="26"/>
        <v>3-462 feedback1</v>
      </c>
      <c r="H225">
        <v>1</v>
      </c>
      <c r="I225">
        <f t="shared" ca="1" si="27"/>
        <v>3</v>
      </c>
      <c r="J225" t="str">
        <f t="shared" si="28"/>
        <v>3-462 arg2</v>
      </c>
      <c r="K225" t="str">
        <f t="shared" si="29"/>
        <v>3-462 feedback2</v>
      </c>
      <c r="L225">
        <v>1</v>
      </c>
      <c r="M225" t="s">
        <v>1285</v>
      </c>
      <c r="N225">
        <v>224</v>
      </c>
    </row>
    <row r="226" spans="1:14">
      <c r="A226">
        <v>8</v>
      </c>
      <c r="B226">
        <f t="shared" si="30"/>
        <v>3</v>
      </c>
      <c r="C226">
        <v>463</v>
      </c>
      <c r="D226">
        <f t="shared" ca="1" si="24"/>
        <v>4</v>
      </c>
      <c r="E226" t="str">
        <f t="shared" si="25"/>
        <v>3-463 arg1</v>
      </c>
      <c r="F226">
        <f t="shared" ca="1" si="23"/>
        <v>3</v>
      </c>
      <c r="G226" t="str">
        <f t="shared" si="26"/>
        <v>3-463 feedback1</v>
      </c>
      <c r="H226">
        <v>1</v>
      </c>
      <c r="I226">
        <f t="shared" ca="1" si="27"/>
        <v>3</v>
      </c>
      <c r="J226" t="str">
        <f t="shared" si="28"/>
        <v>3-463 arg2</v>
      </c>
      <c r="K226" t="str">
        <f t="shared" si="29"/>
        <v>3-463 feedback2</v>
      </c>
      <c r="L226">
        <v>1</v>
      </c>
      <c r="M226" t="s">
        <v>1285</v>
      </c>
      <c r="N226">
        <v>225</v>
      </c>
    </row>
    <row r="227" spans="1:14">
      <c r="A227">
        <v>8</v>
      </c>
      <c r="B227">
        <f t="shared" si="30"/>
        <v>3</v>
      </c>
      <c r="C227">
        <v>464</v>
      </c>
      <c r="D227">
        <f t="shared" ca="1" si="24"/>
        <v>4</v>
      </c>
      <c r="E227" t="str">
        <f t="shared" si="25"/>
        <v>3-464 arg1</v>
      </c>
      <c r="F227">
        <f t="shared" ca="1" si="23"/>
        <v>3</v>
      </c>
      <c r="G227" t="str">
        <f t="shared" si="26"/>
        <v>3-464 feedback1</v>
      </c>
      <c r="H227">
        <v>1</v>
      </c>
      <c r="I227">
        <f t="shared" ca="1" si="27"/>
        <v>3</v>
      </c>
      <c r="J227" t="str">
        <f t="shared" si="28"/>
        <v>3-464 arg2</v>
      </c>
      <c r="K227" t="str">
        <f t="shared" si="29"/>
        <v>3-464 feedback2</v>
      </c>
      <c r="L227">
        <v>1</v>
      </c>
      <c r="M227" t="s">
        <v>1285</v>
      </c>
      <c r="N227">
        <v>226</v>
      </c>
    </row>
    <row r="228" spans="1:14">
      <c r="A228">
        <v>8</v>
      </c>
      <c r="B228">
        <f t="shared" si="30"/>
        <v>3</v>
      </c>
      <c r="C228">
        <v>465</v>
      </c>
      <c r="D228">
        <f t="shared" ca="1" si="24"/>
        <v>4</v>
      </c>
      <c r="E228" t="str">
        <f t="shared" si="25"/>
        <v>3-465 arg1</v>
      </c>
      <c r="F228">
        <f t="shared" ca="1" si="23"/>
        <v>4</v>
      </c>
      <c r="G228" t="str">
        <f t="shared" si="26"/>
        <v>3-465 feedback1</v>
      </c>
      <c r="H228">
        <v>1</v>
      </c>
      <c r="I228">
        <f t="shared" ca="1" si="27"/>
        <v>4</v>
      </c>
      <c r="J228" t="str">
        <f t="shared" si="28"/>
        <v>3-465 arg2</v>
      </c>
      <c r="K228" t="str">
        <f t="shared" si="29"/>
        <v>3-465 feedback2</v>
      </c>
      <c r="L228">
        <v>1</v>
      </c>
      <c r="M228" t="s">
        <v>1285</v>
      </c>
      <c r="N228">
        <v>227</v>
      </c>
    </row>
    <row r="229" spans="1:14">
      <c r="A229">
        <v>8</v>
      </c>
      <c r="B229">
        <f t="shared" si="30"/>
        <v>3</v>
      </c>
      <c r="C229">
        <v>466</v>
      </c>
      <c r="D229">
        <f t="shared" ca="1" si="24"/>
        <v>5</v>
      </c>
      <c r="E229" t="str">
        <f t="shared" si="25"/>
        <v>3-466 arg1</v>
      </c>
      <c r="F229">
        <f t="shared" ca="1" si="23"/>
        <v>4</v>
      </c>
      <c r="G229" t="str">
        <f t="shared" si="26"/>
        <v>3-466 feedback1</v>
      </c>
      <c r="H229">
        <v>1</v>
      </c>
      <c r="I229">
        <f t="shared" ca="1" si="27"/>
        <v>4</v>
      </c>
      <c r="J229" t="str">
        <f t="shared" si="28"/>
        <v>3-466 arg2</v>
      </c>
      <c r="K229" t="str">
        <f t="shared" si="29"/>
        <v>3-466 feedback2</v>
      </c>
      <c r="L229">
        <v>1</v>
      </c>
      <c r="M229" t="s">
        <v>1285</v>
      </c>
      <c r="N229">
        <v>228</v>
      </c>
    </row>
    <row r="230" spans="1:14">
      <c r="A230">
        <v>8</v>
      </c>
      <c r="B230">
        <f t="shared" si="30"/>
        <v>3</v>
      </c>
      <c r="C230">
        <v>467</v>
      </c>
      <c r="D230">
        <f t="shared" ca="1" si="24"/>
        <v>5</v>
      </c>
      <c r="E230" t="str">
        <f t="shared" si="25"/>
        <v>3-467 arg1</v>
      </c>
      <c r="F230">
        <f t="shared" ca="1" si="23"/>
        <v>4</v>
      </c>
      <c r="G230" t="str">
        <f t="shared" si="26"/>
        <v>3-467 feedback1</v>
      </c>
      <c r="H230">
        <v>1</v>
      </c>
      <c r="I230">
        <f t="shared" ca="1" si="27"/>
        <v>5</v>
      </c>
      <c r="J230" t="str">
        <f t="shared" si="28"/>
        <v>3-467 arg2</v>
      </c>
      <c r="K230" t="str">
        <f t="shared" si="29"/>
        <v>3-467 feedback2</v>
      </c>
      <c r="L230">
        <v>1</v>
      </c>
      <c r="M230" t="s">
        <v>1285</v>
      </c>
      <c r="N230">
        <v>229</v>
      </c>
    </row>
    <row r="231" spans="1:14">
      <c r="A231">
        <v>8</v>
      </c>
      <c r="B231">
        <f t="shared" si="30"/>
        <v>3</v>
      </c>
      <c r="C231">
        <v>468</v>
      </c>
      <c r="D231">
        <f t="shared" ca="1" si="24"/>
        <v>4</v>
      </c>
      <c r="E231" t="str">
        <f t="shared" si="25"/>
        <v>3-468 arg1</v>
      </c>
      <c r="F231">
        <f t="shared" ca="1" si="23"/>
        <v>3</v>
      </c>
      <c r="G231" t="str">
        <f t="shared" si="26"/>
        <v>3-468 feedback1</v>
      </c>
      <c r="H231">
        <v>1</v>
      </c>
      <c r="I231">
        <f t="shared" ca="1" si="27"/>
        <v>3</v>
      </c>
      <c r="J231" t="str">
        <f t="shared" si="28"/>
        <v>3-468 arg2</v>
      </c>
      <c r="K231" t="str">
        <f t="shared" si="29"/>
        <v>3-468 feedback2</v>
      </c>
      <c r="L231">
        <v>1</v>
      </c>
      <c r="M231" t="s">
        <v>1285</v>
      </c>
      <c r="N231">
        <v>230</v>
      </c>
    </row>
    <row r="232" spans="1:14">
      <c r="A232">
        <v>8</v>
      </c>
      <c r="B232">
        <f t="shared" si="30"/>
        <v>3</v>
      </c>
      <c r="C232">
        <v>469</v>
      </c>
      <c r="D232">
        <f t="shared" ca="1" si="24"/>
        <v>4</v>
      </c>
      <c r="E232" t="str">
        <f t="shared" si="25"/>
        <v>3-469 arg1</v>
      </c>
      <c r="F232">
        <f t="shared" ca="1" si="23"/>
        <v>3</v>
      </c>
      <c r="G232" t="str">
        <f t="shared" si="26"/>
        <v>3-469 feedback1</v>
      </c>
      <c r="H232">
        <v>1</v>
      </c>
      <c r="I232">
        <f t="shared" ca="1" si="27"/>
        <v>4</v>
      </c>
      <c r="J232" t="str">
        <f t="shared" si="28"/>
        <v>3-469 arg2</v>
      </c>
      <c r="K232" t="str">
        <f t="shared" si="29"/>
        <v>3-469 feedback2</v>
      </c>
      <c r="L232">
        <v>1</v>
      </c>
      <c r="M232" t="s">
        <v>1285</v>
      </c>
      <c r="N232">
        <v>231</v>
      </c>
    </row>
    <row r="233" spans="1:14">
      <c r="A233">
        <v>8</v>
      </c>
      <c r="B233">
        <f t="shared" si="30"/>
        <v>3</v>
      </c>
      <c r="C233">
        <v>470</v>
      </c>
      <c r="D233">
        <f t="shared" ca="1" si="24"/>
        <v>5</v>
      </c>
      <c r="E233" t="str">
        <f t="shared" si="25"/>
        <v>3-470 arg1</v>
      </c>
      <c r="F233">
        <f t="shared" ca="1" si="23"/>
        <v>4</v>
      </c>
      <c r="G233" t="str">
        <f t="shared" si="26"/>
        <v>3-470 feedback1</v>
      </c>
      <c r="H233">
        <v>1</v>
      </c>
      <c r="I233">
        <f t="shared" ca="1" si="27"/>
        <v>4</v>
      </c>
      <c r="J233" t="str">
        <f t="shared" si="28"/>
        <v>3-470 arg2</v>
      </c>
      <c r="K233" t="str">
        <f t="shared" si="29"/>
        <v>3-470 feedback2</v>
      </c>
      <c r="L233">
        <v>1</v>
      </c>
      <c r="M233" t="s">
        <v>1285</v>
      </c>
      <c r="N233">
        <v>232</v>
      </c>
    </row>
    <row r="234" spans="1:14">
      <c r="A234">
        <v>8</v>
      </c>
      <c r="B234">
        <f t="shared" si="30"/>
        <v>3</v>
      </c>
      <c r="C234">
        <v>471</v>
      </c>
      <c r="D234">
        <f t="shared" ca="1" si="24"/>
        <v>4</v>
      </c>
      <c r="E234" t="str">
        <f t="shared" si="25"/>
        <v>3-471 arg1</v>
      </c>
      <c r="F234">
        <f t="shared" ca="1" si="23"/>
        <v>3</v>
      </c>
      <c r="G234" t="str">
        <f t="shared" si="26"/>
        <v>3-471 feedback1</v>
      </c>
      <c r="H234">
        <v>1</v>
      </c>
      <c r="I234">
        <f t="shared" ca="1" si="27"/>
        <v>3</v>
      </c>
      <c r="J234" t="str">
        <f t="shared" si="28"/>
        <v>3-471 arg2</v>
      </c>
      <c r="K234" t="str">
        <f t="shared" si="29"/>
        <v>3-471 feedback2</v>
      </c>
      <c r="L234">
        <v>1</v>
      </c>
      <c r="M234" t="s">
        <v>1285</v>
      </c>
      <c r="N234">
        <v>233</v>
      </c>
    </row>
    <row r="235" spans="1:14">
      <c r="A235">
        <v>8</v>
      </c>
      <c r="B235">
        <f t="shared" si="30"/>
        <v>3</v>
      </c>
      <c r="C235">
        <v>472</v>
      </c>
      <c r="D235">
        <f t="shared" ca="1" si="24"/>
        <v>3</v>
      </c>
      <c r="E235" t="str">
        <f t="shared" si="25"/>
        <v>3-472 arg1</v>
      </c>
      <c r="F235">
        <f t="shared" ca="1" si="23"/>
        <v>2</v>
      </c>
      <c r="G235" t="str">
        <f t="shared" si="26"/>
        <v>3-472 feedback1</v>
      </c>
      <c r="H235">
        <v>1</v>
      </c>
      <c r="I235">
        <f t="shared" ca="1" si="27"/>
        <v>2</v>
      </c>
      <c r="J235" t="str">
        <f t="shared" si="28"/>
        <v>3-472 arg2</v>
      </c>
      <c r="K235" t="str">
        <f t="shared" si="29"/>
        <v>3-472 feedback2</v>
      </c>
      <c r="L235">
        <v>1</v>
      </c>
      <c r="M235" t="s">
        <v>1285</v>
      </c>
      <c r="N235">
        <v>234</v>
      </c>
    </row>
    <row r="236" spans="1:14">
      <c r="A236">
        <v>8</v>
      </c>
      <c r="B236">
        <f t="shared" si="30"/>
        <v>3</v>
      </c>
      <c r="C236">
        <v>473</v>
      </c>
      <c r="D236">
        <f t="shared" ca="1" si="24"/>
        <v>4</v>
      </c>
      <c r="E236" t="str">
        <f t="shared" si="25"/>
        <v>3-473 arg1</v>
      </c>
      <c r="F236">
        <f t="shared" ca="1" si="23"/>
        <v>3</v>
      </c>
      <c r="G236" t="str">
        <f t="shared" si="26"/>
        <v>3-473 feedback1</v>
      </c>
      <c r="H236">
        <v>1</v>
      </c>
      <c r="I236">
        <f t="shared" ca="1" si="27"/>
        <v>3</v>
      </c>
      <c r="J236" t="str">
        <f t="shared" si="28"/>
        <v>3-473 arg2</v>
      </c>
      <c r="K236" t="str">
        <f t="shared" si="29"/>
        <v>3-473 feedback2</v>
      </c>
      <c r="L236">
        <v>1</v>
      </c>
      <c r="M236" t="s">
        <v>1285</v>
      </c>
      <c r="N236">
        <v>235</v>
      </c>
    </row>
    <row r="237" spans="1:14">
      <c r="A237">
        <v>8</v>
      </c>
      <c r="B237">
        <f t="shared" si="30"/>
        <v>3</v>
      </c>
      <c r="C237">
        <v>474</v>
      </c>
      <c r="D237">
        <f t="shared" ca="1" si="24"/>
        <v>4</v>
      </c>
      <c r="E237" t="str">
        <f t="shared" si="25"/>
        <v>3-474 arg1</v>
      </c>
      <c r="F237">
        <f t="shared" ref="F237:F256" ca="1" si="31">D237-ROUND(2*RAND(),0)</f>
        <v>4</v>
      </c>
      <c r="G237" t="str">
        <f t="shared" si="26"/>
        <v>3-474 feedback1</v>
      </c>
      <c r="H237">
        <v>1</v>
      </c>
      <c r="I237">
        <f t="shared" ca="1" si="27"/>
        <v>4</v>
      </c>
      <c r="J237" t="str">
        <f t="shared" si="28"/>
        <v>3-474 arg2</v>
      </c>
      <c r="K237" t="str">
        <f t="shared" si="29"/>
        <v>3-474 feedback2</v>
      </c>
      <c r="L237">
        <v>1</v>
      </c>
      <c r="M237" t="s">
        <v>1285</v>
      </c>
      <c r="N237">
        <v>236</v>
      </c>
    </row>
    <row r="238" spans="1:14">
      <c r="A238">
        <v>8</v>
      </c>
      <c r="B238">
        <f t="shared" si="30"/>
        <v>3</v>
      </c>
      <c r="C238">
        <v>475</v>
      </c>
      <c r="D238">
        <f t="shared" ca="1" si="24"/>
        <v>3</v>
      </c>
      <c r="E238" t="str">
        <f t="shared" si="25"/>
        <v>3-475 arg1</v>
      </c>
      <c r="F238">
        <f t="shared" ca="1" si="31"/>
        <v>2</v>
      </c>
      <c r="G238" t="str">
        <f t="shared" si="26"/>
        <v>3-475 feedback1</v>
      </c>
      <c r="H238">
        <v>1</v>
      </c>
      <c r="I238">
        <f t="shared" ca="1" si="27"/>
        <v>3</v>
      </c>
      <c r="J238" t="str">
        <f t="shared" si="28"/>
        <v>3-475 arg2</v>
      </c>
      <c r="K238" t="str">
        <f t="shared" si="29"/>
        <v>3-475 feedback2</v>
      </c>
      <c r="L238">
        <v>1</v>
      </c>
      <c r="M238" t="s">
        <v>1285</v>
      </c>
      <c r="N238">
        <v>237</v>
      </c>
    </row>
    <row r="239" spans="1:14">
      <c r="A239">
        <v>8</v>
      </c>
      <c r="B239">
        <f t="shared" si="30"/>
        <v>3</v>
      </c>
      <c r="C239">
        <v>476</v>
      </c>
      <c r="D239">
        <f t="shared" ca="1" si="24"/>
        <v>4</v>
      </c>
      <c r="E239" t="str">
        <f t="shared" si="25"/>
        <v>3-476 arg1</v>
      </c>
      <c r="F239">
        <f t="shared" ca="1" si="31"/>
        <v>2</v>
      </c>
      <c r="G239" t="str">
        <f t="shared" si="26"/>
        <v>3-476 feedback1</v>
      </c>
      <c r="H239">
        <v>1</v>
      </c>
      <c r="I239">
        <f t="shared" ca="1" si="27"/>
        <v>3</v>
      </c>
      <c r="J239" t="str">
        <f t="shared" si="28"/>
        <v>3-476 arg2</v>
      </c>
      <c r="K239" t="str">
        <f t="shared" si="29"/>
        <v>3-476 feedback2</v>
      </c>
      <c r="L239">
        <v>1</v>
      </c>
      <c r="M239" t="s">
        <v>1285</v>
      </c>
      <c r="N239">
        <v>238</v>
      </c>
    </row>
    <row r="240" spans="1:14">
      <c r="A240">
        <v>8</v>
      </c>
      <c r="B240">
        <f t="shared" si="30"/>
        <v>3</v>
      </c>
      <c r="C240">
        <v>477</v>
      </c>
      <c r="D240">
        <f t="shared" ca="1" si="24"/>
        <v>3</v>
      </c>
      <c r="E240" t="str">
        <f t="shared" si="25"/>
        <v>3-477 arg1</v>
      </c>
      <c r="F240">
        <f t="shared" ca="1" si="31"/>
        <v>3</v>
      </c>
      <c r="G240" t="str">
        <f t="shared" si="26"/>
        <v>3-477 feedback1</v>
      </c>
      <c r="H240">
        <v>1</v>
      </c>
      <c r="I240">
        <f t="shared" ca="1" si="27"/>
        <v>3</v>
      </c>
      <c r="J240" t="str">
        <f t="shared" si="28"/>
        <v>3-477 arg2</v>
      </c>
      <c r="K240" t="str">
        <f t="shared" si="29"/>
        <v>3-477 feedback2</v>
      </c>
      <c r="L240">
        <v>1</v>
      </c>
      <c r="M240" t="s">
        <v>1285</v>
      </c>
      <c r="N240">
        <v>239</v>
      </c>
    </row>
    <row r="241" spans="1:14">
      <c r="A241">
        <v>8</v>
      </c>
      <c r="B241">
        <f t="shared" si="30"/>
        <v>3</v>
      </c>
      <c r="C241">
        <v>478</v>
      </c>
      <c r="D241">
        <f t="shared" ca="1" si="24"/>
        <v>5</v>
      </c>
      <c r="E241" t="str">
        <f t="shared" si="25"/>
        <v>3-478 arg1</v>
      </c>
      <c r="F241">
        <f t="shared" ca="1" si="31"/>
        <v>3</v>
      </c>
      <c r="G241" t="str">
        <f t="shared" si="26"/>
        <v>3-478 feedback1</v>
      </c>
      <c r="H241">
        <v>1</v>
      </c>
      <c r="I241">
        <f t="shared" ca="1" si="27"/>
        <v>4</v>
      </c>
      <c r="J241" t="str">
        <f t="shared" si="28"/>
        <v>3-478 arg2</v>
      </c>
      <c r="K241" t="str">
        <f t="shared" si="29"/>
        <v>3-478 feedback2</v>
      </c>
      <c r="L241">
        <v>1</v>
      </c>
      <c r="M241" t="s">
        <v>1285</v>
      </c>
      <c r="N241">
        <v>240</v>
      </c>
    </row>
    <row r="242" spans="1:14">
      <c r="A242">
        <v>8</v>
      </c>
      <c r="B242">
        <f t="shared" si="30"/>
        <v>3</v>
      </c>
      <c r="C242">
        <v>479</v>
      </c>
      <c r="D242">
        <f t="shared" ca="1" si="24"/>
        <v>4</v>
      </c>
      <c r="E242" t="str">
        <f t="shared" si="25"/>
        <v>3-479 arg1</v>
      </c>
      <c r="F242">
        <f t="shared" ca="1" si="31"/>
        <v>3</v>
      </c>
      <c r="G242" t="str">
        <f t="shared" si="26"/>
        <v>3-479 feedback1</v>
      </c>
      <c r="H242">
        <v>1</v>
      </c>
      <c r="I242">
        <f t="shared" ca="1" si="27"/>
        <v>3</v>
      </c>
      <c r="J242" t="str">
        <f t="shared" si="28"/>
        <v>3-479 arg2</v>
      </c>
      <c r="K242" t="str">
        <f t="shared" si="29"/>
        <v>3-479 feedback2</v>
      </c>
      <c r="L242">
        <v>1</v>
      </c>
      <c r="M242" t="s">
        <v>1285</v>
      </c>
      <c r="N242">
        <v>241</v>
      </c>
    </row>
    <row r="243" spans="1:14">
      <c r="A243">
        <v>8</v>
      </c>
      <c r="B243">
        <f t="shared" si="30"/>
        <v>3</v>
      </c>
      <c r="C243">
        <v>480</v>
      </c>
      <c r="D243">
        <f t="shared" ca="1" si="24"/>
        <v>3</v>
      </c>
      <c r="E243" t="str">
        <f t="shared" si="25"/>
        <v>3-480 arg1</v>
      </c>
      <c r="F243">
        <f t="shared" ca="1" si="31"/>
        <v>3</v>
      </c>
      <c r="G243" t="str">
        <f t="shared" si="26"/>
        <v>3-480 feedback1</v>
      </c>
      <c r="H243">
        <v>1</v>
      </c>
      <c r="I243">
        <f t="shared" ca="1" si="27"/>
        <v>3</v>
      </c>
      <c r="J243" t="str">
        <f t="shared" si="28"/>
        <v>3-480 arg2</v>
      </c>
      <c r="K243" t="str">
        <f t="shared" si="29"/>
        <v>3-480 feedback2</v>
      </c>
      <c r="L243">
        <v>1</v>
      </c>
      <c r="M243" t="s">
        <v>1285</v>
      </c>
      <c r="N243">
        <v>242</v>
      </c>
    </row>
    <row r="244" spans="1:14">
      <c r="A244">
        <v>8</v>
      </c>
      <c r="B244">
        <f t="shared" si="30"/>
        <v>3</v>
      </c>
      <c r="C244">
        <v>481</v>
      </c>
      <c r="D244">
        <f t="shared" ca="1" si="24"/>
        <v>5</v>
      </c>
      <c r="E244" t="str">
        <f t="shared" si="25"/>
        <v>3-481 arg1</v>
      </c>
      <c r="F244">
        <f t="shared" ca="1" si="31"/>
        <v>4</v>
      </c>
      <c r="G244" t="str">
        <f t="shared" si="26"/>
        <v>3-481 feedback1</v>
      </c>
      <c r="H244">
        <v>1</v>
      </c>
      <c r="I244">
        <f t="shared" ca="1" si="27"/>
        <v>4</v>
      </c>
      <c r="J244" t="str">
        <f t="shared" si="28"/>
        <v>3-481 arg2</v>
      </c>
      <c r="K244" t="str">
        <f t="shared" si="29"/>
        <v>3-481 feedback2</v>
      </c>
      <c r="L244">
        <v>1</v>
      </c>
      <c r="M244" t="s">
        <v>1285</v>
      </c>
      <c r="N244">
        <v>243</v>
      </c>
    </row>
    <row r="245" spans="1:14">
      <c r="A245">
        <v>8</v>
      </c>
      <c r="B245">
        <f>B160+1</f>
        <v>3</v>
      </c>
      <c r="C245">
        <v>482</v>
      </c>
      <c r="D245">
        <f t="shared" ca="1" si="24"/>
        <v>3</v>
      </c>
      <c r="E245" t="str">
        <f t="shared" si="25"/>
        <v>3-482 arg1</v>
      </c>
      <c r="F245">
        <f t="shared" ca="1" si="31"/>
        <v>1</v>
      </c>
      <c r="G245" t="str">
        <f t="shared" si="26"/>
        <v>3-482 feedback1</v>
      </c>
      <c r="H245">
        <v>1</v>
      </c>
      <c r="I245">
        <f t="shared" ca="1" si="27"/>
        <v>1</v>
      </c>
      <c r="J245" t="str">
        <f t="shared" si="28"/>
        <v>3-482 arg2</v>
      </c>
      <c r="K245" t="str">
        <f t="shared" si="29"/>
        <v>3-482 feedback2</v>
      </c>
      <c r="L245">
        <v>1</v>
      </c>
      <c r="M245" t="s">
        <v>1285</v>
      </c>
      <c r="N245">
        <v>244</v>
      </c>
    </row>
    <row r="246" spans="1:14">
      <c r="A246">
        <v>8</v>
      </c>
      <c r="B246">
        <f t="shared" ref="B246:B309" si="32">B161+1</f>
        <v>3</v>
      </c>
      <c r="C246">
        <v>483</v>
      </c>
      <c r="D246">
        <f t="shared" ca="1" si="24"/>
        <v>4</v>
      </c>
      <c r="E246" t="str">
        <f t="shared" si="25"/>
        <v>3-483 arg1</v>
      </c>
      <c r="F246">
        <f t="shared" ca="1" si="31"/>
        <v>3</v>
      </c>
      <c r="G246" t="str">
        <f t="shared" si="26"/>
        <v>3-483 feedback1</v>
      </c>
      <c r="H246">
        <v>1</v>
      </c>
      <c r="I246">
        <f t="shared" ca="1" si="27"/>
        <v>4</v>
      </c>
      <c r="J246" t="str">
        <f t="shared" si="28"/>
        <v>3-483 arg2</v>
      </c>
      <c r="K246" t="str">
        <f t="shared" si="29"/>
        <v>3-483 feedback2</v>
      </c>
      <c r="L246">
        <v>1</v>
      </c>
      <c r="M246" t="s">
        <v>1285</v>
      </c>
      <c r="N246">
        <v>245</v>
      </c>
    </row>
    <row r="247" spans="1:14">
      <c r="A247">
        <v>8</v>
      </c>
      <c r="B247">
        <f t="shared" si="32"/>
        <v>3</v>
      </c>
      <c r="C247">
        <v>484</v>
      </c>
      <c r="D247">
        <f t="shared" ca="1" si="24"/>
        <v>3</v>
      </c>
      <c r="E247" t="str">
        <f t="shared" si="25"/>
        <v>3-484 arg1</v>
      </c>
      <c r="F247">
        <f t="shared" ca="1" si="31"/>
        <v>3</v>
      </c>
      <c r="G247" t="str">
        <f t="shared" si="26"/>
        <v>3-484 feedback1</v>
      </c>
      <c r="H247">
        <v>1</v>
      </c>
      <c r="I247">
        <f t="shared" ca="1" si="27"/>
        <v>3</v>
      </c>
      <c r="J247" t="str">
        <f t="shared" si="28"/>
        <v>3-484 arg2</v>
      </c>
      <c r="K247" t="str">
        <f t="shared" si="29"/>
        <v>3-484 feedback2</v>
      </c>
      <c r="L247">
        <v>1</v>
      </c>
      <c r="M247" t="s">
        <v>1285</v>
      </c>
      <c r="N247">
        <v>246</v>
      </c>
    </row>
    <row r="248" spans="1:14">
      <c r="A248">
        <v>8</v>
      </c>
      <c r="B248">
        <f t="shared" si="32"/>
        <v>3</v>
      </c>
      <c r="C248">
        <v>485</v>
      </c>
      <c r="D248">
        <f t="shared" ca="1" si="24"/>
        <v>4</v>
      </c>
      <c r="E248" t="str">
        <f t="shared" si="25"/>
        <v>3-485 arg1</v>
      </c>
      <c r="F248">
        <f t="shared" ca="1" si="31"/>
        <v>3</v>
      </c>
      <c r="G248" t="str">
        <f t="shared" si="26"/>
        <v>3-485 feedback1</v>
      </c>
      <c r="H248">
        <v>1</v>
      </c>
      <c r="I248">
        <f t="shared" ca="1" si="27"/>
        <v>3</v>
      </c>
      <c r="J248" t="str">
        <f t="shared" si="28"/>
        <v>3-485 arg2</v>
      </c>
      <c r="K248" t="str">
        <f t="shared" si="29"/>
        <v>3-485 feedback2</v>
      </c>
      <c r="L248">
        <v>1</v>
      </c>
      <c r="M248" t="s">
        <v>1285</v>
      </c>
      <c r="N248">
        <v>247</v>
      </c>
    </row>
    <row r="249" spans="1:14">
      <c r="A249">
        <v>8</v>
      </c>
      <c r="B249">
        <f t="shared" si="32"/>
        <v>3</v>
      </c>
      <c r="C249">
        <v>486</v>
      </c>
      <c r="D249">
        <f t="shared" ca="1" si="24"/>
        <v>4</v>
      </c>
      <c r="E249" t="str">
        <f t="shared" si="25"/>
        <v>3-486 arg1</v>
      </c>
      <c r="F249">
        <f t="shared" ca="1" si="31"/>
        <v>3</v>
      </c>
      <c r="G249" t="str">
        <f t="shared" si="26"/>
        <v>3-486 feedback1</v>
      </c>
      <c r="H249">
        <v>1</v>
      </c>
      <c r="I249">
        <f t="shared" ca="1" si="27"/>
        <v>3</v>
      </c>
      <c r="J249" t="str">
        <f t="shared" si="28"/>
        <v>3-486 arg2</v>
      </c>
      <c r="K249" t="str">
        <f t="shared" si="29"/>
        <v>3-486 feedback2</v>
      </c>
      <c r="L249">
        <v>1</v>
      </c>
      <c r="M249" t="s">
        <v>1285</v>
      </c>
      <c r="N249">
        <v>248</v>
      </c>
    </row>
    <row r="250" spans="1:14">
      <c r="A250">
        <v>8</v>
      </c>
      <c r="B250">
        <f t="shared" si="32"/>
        <v>3</v>
      </c>
      <c r="C250">
        <v>487</v>
      </c>
      <c r="D250">
        <f t="shared" ca="1" si="24"/>
        <v>5</v>
      </c>
      <c r="E250" t="str">
        <f t="shared" si="25"/>
        <v>3-487 arg1</v>
      </c>
      <c r="F250">
        <f t="shared" ca="1" si="31"/>
        <v>4</v>
      </c>
      <c r="G250" t="str">
        <f t="shared" si="26"/>
        <v>3-487 feedback1</v>
      </c>
      <c r="H250">
        <v>1</v>
      </c>
      <c r="I250">
        <f t="shared" ca="1" si="27"/>
        <v>5</v>
      </c>
      <c r="J250" t="str">
        <f t="shared" si="28"/>
        <v>3-487 arg2</v>
      </c>
      <c r="K250" t="str">
        <f t="shared" si="29"/>
        <v>3-487 feedback2</v>
      </c>
      <c r="L250">
        <v>1</v>
      </c>
      <c r="M250" t="s">
        <v>1285</v>
      </c>
      <c r="N250">
        <v>249</v>
      </c>
    </row>
    <row r="251" spans="1:14">
      <c r="A251">
        <v>8</v>
      </c>
      <c r="B251">
        <f t="shared" si="32"/>
        <v>3</v>
      </c>
      <c r="C251">
        <v>488</v>
      </c>
      <c r="D251">
        <f t="shared" ca="1" si="24"/>
        <v>4</v>
      </c>
      <c r="E251" t="str">
        <f t="shared" si="25"/>
        <v>3-488 arg1</v>
      </c>
      <c r="F251">
        <f t="shared" ca="1" si="31"/>
        <v>3</v>
      </c>
      <c r="G251" t="str">
        <f t="shared" si="26"/>
        <v>3-488 feedback1</v>
      </c>
      <c r="H251">
        <v>1</v>
      </c>
      <c r="I251">
        <f t="shared" ca="1" si="27"/>
        <v>3</v>
      </c>
      <c r="J251" t="str">
        <f t="shared" si="28"/>
        <v>3-488 arg2</v>
      </c>
      <c r="K251" t="str">
        <f t="shared" si="29"/>
        <v>3-488 feedback2</v>
      </c>
      <c r="L251">
        <v>1</v>
      </c>
      <c r="M251" t="s">
        <v>1285</v>
      </c>
      <c r="N251">
        <v>250</v>
      </c>
    </row>
    <row r="252" spans="1:14">
      <c r="A252">
        <v>8</v>
      </c>
      <c r="B252">
        <f t="shared" si="32"/>
        <v>3</v>
      </c>
      <c r="C252">
        <v>489</v>
      </c>
      <c r="D252">
        <f t="shared" ca="1" si="24"/>
        <v>4</v>
      </c>
      <c r="E252" t="str">
        <f t="shared" si="25"/>
        <v>3-489 arg1</v>
      </c>
      <c r="F252">
        <f t="shared" ca="1" si="31"/>
        <v>4</v>
      </c>
      <c r="G252" t="str">
        <f t="shared" si="26"/>
        <v>3-489 feedback1</v>
      </c>
      <c r="H252">
        <v>1</v>
      </c>
      <c r="I252">
        <f t="shared" ca="1" si="27"/>
        <v>5</v>
      </c>
      <c r="J252" t="str">
        <f t="shared" si="28"/>
        <v>3-489 arg2</v>
      </c>
      <c r="K252" t="str">
        <f t="shared" si="29"/>
        <v>3-489 feedback2</v>
      </c>
      <c r="L252">
        <v>1</v>
      </c>
      <c r="M252" t="s">
        <v>1285</v>
      </c>
      <c r="N252">
        <v>251</v>
      </c>
    </row>
    <row r="253" spans="1:14">
      <c r="A253">
        <v>8</v>
      </c>
      <c r="B253">
        <f t="shared" si="32"/>
        <v>3</v>
      </c>
      <c r="C253">
        <v>490</v>
      </c>
      <c r="D253">
        <f t="shared" ca="1" si="24"/>
        <v>3</v>
      </c>
      <c r="E253" t="str">
        <f t="shared" si="25"/>
        <v>3-490 arg1</v>
      </c>
      <c r="F253">
        <f t="shared" ca="1" si="31"/>
        <v>1</v>
      </c>
      <c r="G253" t="str">
        <f t="shared" si="26"/>
        <v>3-490 feedback1</v>
      </c>
      <c r="H253">
        <v>1</v>
      </c>
      <c r="I253">
        <f t="shared" ca="1" si="27"/>
        <v>2</v>
      </c>
      <c r="J253" t="str">
        <f t="shared" si="28"/>
        <v>3-490 arg2</v>
      </c>
      <c r="K253" t="str">
        <f t="shared" si="29"/>
        <v>3-490 feedback2</v>
      </c>
      <c r="L253">
        <v>1</v>
      </c>
      <c r="M253" t="s">
        <v>1285</v>
      </c>
      <c r="N253">
        <v>252</v>
      </c>
    </row>
    <row r="254" spans="1:14">
      <c r="A254">
        <v>8</v>
      </c>
      <c r="B254">
        <f t="shared" si="32"/>
        <v>3</v>
      </c>
      <c r="C254">
        <v>491</v>
      </c>
      <c r="D254">
        <f t="shared" ca="1" si="24"/>
        <v>4</v>
      </c>
      <c r="E254" t="str">
        <f t="shared" si="25"/>
        <v>3-491 arg1</v>
      </c>
      <c r="F254">
        <f t="shared" ca="1" si="31"/>
        <v>3</v>
      </c>
      <c r="G254" t="str">
        <f t="shared" si="26"/>
        <v>3-491 feedback1</v>
      </c>
      <c r="H254">
        <v>1</v>
      </c>
      <c r="I254">
        <f t="shared" ca="1" si="27"/>
        <v>3</v>
      </c>
      <c r="J254" t="str">
        <f t="shared" si="28"/>
        <v>3-491 arg2</v>
      </c>
      <c r="K254" t="str">
        <f t="shared" si="29"/>
        <v>3-491 feedback2</v>
      </c>
      <c r="L254">
        <v>1</v>
      </c>
      <c r="M254" t="s">
        <v>1285</v>
      </c>
      <c r="N254">
        <v>253</v>
      </c>
    </row>
    <row r="255" spans="1:14">
      <c r="A255">
        <v>8</v>
      </c>
      <c r="B255">
        <f t="shared" si="32"/>
        <v>3</v>
      </c>
      <c r="C255">
        <v>492</v>
      </c>
      <c r="D255">
        <f t="shared" ca="1" si="24"/>
        <v>3</v>
      </c>
      <c r="E255" t="str">
        <f t="shared" si="25"/>
        <v>3-492 arg1</v>
      </c>
      <c r="F255">
        <f t="shared" ca="1" si="31"/>
        <v>2</v>
      </c>
      <c r="G255" t="str">
        <f t="shared" si="26"/>
        <v>3-492 feedback1</v>
      </c>
      <c r="H255">
        <v>1</v>
      </c>
      <c r="I255">
        <f t="shared" ca="1" si="27"/>
        <v>3</v>
      </c>
      <c r="J255" t="str">
        <f t="shared" si="28"/>
        <v>3-492 arg2</v>
      </c>
      <c r="K255" t="str">
        <f t="shared" si="29"/>
        <v>3-492 feedback2</v>
      </c>
      <c r="L255">
        <v>1</v>
      </c>
      <c r="M255" t="s">
        <v>1285</v>
      </c>
      <c r="N255">
        <v>254</v>
      </c>
    </row>
    <row r="256" spans="1:14">
      <c r="A256">
        <v>8</v>
      </c>
      <c r="B256">
        <f t="shared" si="32"/>
        <v>3</v>
      </c>
      <c r="C256">
        <v>493</v>
      </c>
      <c r="D256">
        <f t="shared" ca="1" si="24"/>
        <v>4</v>
      </c>
      <c r="E256" t="str">
        <f t="shared" si="25"/>
        <v>3-493 arg1</v>
      </c>
      <c r="F256">
        <f t="shared" ca="1" si="31"/>
        <v>4</v>
      </c>
      <c r="G256" t="str">
        <f t="shared" si="26"/>
        <v>3-493 feedback1</v>
      </c>
      <c r="H256">
        <v>1</v>
      </c>
      <c r="I256">
        <f t="shared" ca="1" si="27"/>
        <v>5</v>
      </c>
      <c r="J256" t="str">
        <f t="shared" si="28"/>
        <v>3-493 arg2</v>
      </c>
      <c r="K256" t="str">
        <f t="shared" si="29"/>
        <v>3-493 feedback2</v>
      </c>
      <c r="L256">
        <v>1</v>
      </c>
      <c r="M256" t="s">
        <v>1285</v>
      </c>
      <c r="N256">
        <v>255</v>
      </c>
    </row>
    <row r="257" spans="1:14">
      <c r="A257">
        <v>8</v>
      </c>
      <c r="B257">
        <f t="shared" si="32"/>
        <v>4</v>
      </c>
      <c r="C257">
        <v>409</v>
      </c>
      <c r="D257">
        <f t="shared" ca="1" si="24"/>
        <v>4</v>
      </c>
      <c r="E257" t="str">
        <f t="shared" ref="E257:E276" si="33">_xlfn.CONCAT(B257,"-",C257," arg1")</f>
        <v>4-409 arg1</v>
      </c>
      <c r="F257">
        <f t="shared" ref="F257:F276" ca="1" si="34">D257-ROUND(2*RAND(),0)</f>
        <v>3</v>
      </c>
      <c r="G257" t="str">
        <f t="shared" ref="G257:G276" si="35">_xlfn.CONCAT(B257,"-",C257," feedback1")</f>
        <v>4-409 feedback1</v>
      </c>
      <c r="H257">
        <v>1</v>
      </c>
      <c r="I257">
        <f t="shared" ref="I257:I276" ca="1" si="36">MIN(5,F257+ROUND(RAND(),0))</f>
        <v>4</v>
      </c>
      <c r="J257" t="str">
        <f t="shared" ref="J257:J276" si="37">_xlfn.CONCAT(B257,"-",C257," arg2")</f>
        <v>4-409 arg2</v>
      </c>
      <c r="K257" t="str">
        <f t="shared" ref="K257:K276" si="38">_xlfn.CONCAT(B257,"-",C257," feedback2")</f>
        <v>4-409 feedback2</v>
      </c>
      <c r="L257">
        <v>1</v>
      </c>
      <c r="M257" t="s">
        <v>1285</v>
      </c>
      <c r="N257">
        <v>256</v>
      </c>
    </row>
    <row r="258" spans="1:14">
      <c r="A258">
        <v>8</v>
      </c>
      <c r="B258">
        <f t="shared" si="32"/>
        <v>4</v>
      </c>
      <c r="C258">
        <v>410</v>
      </c>
      <c r="D258">
        <f t="shared" ca="1" si="24"/>
        <v>4</v>
      </c>
      <c r="E258" t="str">
        <f t="shared" si="33"/>
        <v>4-410 arg1</v>
      </c>
      <c r="F258">
        <f t="shared" ca="1" si="34"/>
        <v>3</v>
      </c>
      <c r="G258" t="str">
        <f t="shared" si="35"/>
        <v>4-410 feedback1</v>
      </c>
      <c r="H258">
        <v>1</v>
      </c>
      <c r="I258">
        <f t="shared" ca="1" si="36"/>
        <v>3</v>
      </c>
      <c r="J258" t="str">
        <f t="shared" si="37"/>
        <v>4-410 arg2</v>
      </c>
      <c r="K258" t="str">
        <f t="shared" si="38"/>
        <v>4-410 feedback2</v>
      </c>
      <c r="L258">
        <v>1</v>
      </c>
      <c r="M258" t="s">
        <v>1285</v>
      </c>
      <c r="N258">
        <v>257</v>
      </c>
    </row>
    <row r="259" spans="1:14">
      <c r="A259">
        <v>8</v>
      </c>
      <c r="B259">
        <f t="shared" si="32"/>
        <v>4</v>
      </c>
      <c r="C259">
        <v>411</v>
      </c>
      <c r="D259">
        <f t="shared" ref="D259:D322" ca="1" si="39">ROUND(3+2*RAND(),0)</f>
        <v>3</v>
      </c>
      <c r="E259" t="str">
        <f t="shared" si="33"/>
        <v>4-411 arg1</v>
      </c>
      <c r="F259">
        <f t="shared" ca="1" si="34"/>
        <v>2</v>
      </c>
      <c r="G259" t="str">
        <f t="shared" si="35"/>
        <v>4-411 feedback1</v>
      </c>
      <c r="H259">
        <v>1</v>
      </c>
      <c r="I259">
        <f t="shared" ca="1" si="36"/>
        <v>3</v>
      </c>
      <c r="J259" t="str">
        <f t="shared" si="37"/>
        <v>4-411 arg2</v>
      </c>
      <c r="K259" t="str">
        <f t="shared" si="38"/>
        <v>4-411 feedback2</v>
      </c>
      <c r="L259">
        <v>1</v>
      </c>
      <c r="M259" t="s">
        <v>1285</v>
      </c>
      <c r="N259">
        <v>258</v>
      </c>
    </row>
    <row r="260" spans="1:14">
      <c r="A260">
        <v>8</v>
      </c>
      <c r="B260">
        <f t="shared" si="32"/>
        <v>4</v>
      </c>
      <c r="C260">
        <v>412</v>
      </c>
      <c r="D260">
        <f t="shared" ca="1" si="39"/>
        <v>4</v>
      </c>
      <c r="E260" t="str">
        <f t="shared" si="33"/>
        <v>4-412 arg1</v>
      </c>
      <c r="F260">
        <f t="shared" ca="1" si="34"/>
        <v>4</v>
      </c>
      <c r="G260" t="str">
        <f t="shared" si="35"/>
        <v>4-412 feedback1</v>
      </c>
      <c r="H260">
        <v>1</v>
      </c>
      <c r="I260">
        <f t="shared" ca="1" si="36"/>
        <v>5</v>
      </c>
      <c r="J260" t="str">
        <f t="shared" si="37"/>
        <v>4-412 arg2</v>
      </c>
      <c r="K260" t="str">
        <f t="shared" si="38"/>
        <v>4-412 feedback2</v>
      </c>
      <c r="L260">
        <v>1</v>
      </c>
      <c r="M260" t="s">
        <v>1285</v>
      </c>
      <c r="N260">
        <v>259</v>
      </c>
    </row>
    <row r="261" spans="1:14">
      <c r="A261">
        <v>8</v>
      </c>
      <c r="B261">
        <f t="shared" si="32"/>
        <v>4</v>
      </c>
      <c r="C261">
        <v>413</v>
      </c>
      <c r="D261">
        <f t="shared" ca="1" si="39"/>
        <v>4</v>
      </c>
      <c r="E261" t="str">
        <f t="shared" si="33"/>
        <v>4-413 arg1</v>
      </c>
      <c r="F261">
        <f t="shared" ca="1" si="34"/>
        <v>4</v>
      </c>
      <c r="G261" t="str">
        <f t="shared" si="35"/>
        <v>4-413 feedback1</v>
      </c>
      <c r="H261">
        <v>1</v>
      </c>
      <c r="I261">
        <f t="shared" ca="1" si="36"/>
        <v>5</v>
      </c>
      <c r="J261" t="str">
        <f t="shared" si="37"/>
        <v>4-413 arg2</v>
      </c>
      <c r="K261" t="str">
        <f t="shared" si="38"/>
        <v>4-413 feedback2</v>
      </c>
      <c r="L261">
        <v>1</v>
      </c>
      <c r="M261" t="s">
        <v>1285</v>
      </c>
      <c r="N261">
        <v>260</v>
      </c>
    </row>
    <row r="262" spans="1:14">
      <c r="A262">
        <v>8</v>
      </c>
      <c r="B262">
        <f t="shared" si="32"/>
        <v>4</v>
      </c>
      <c r="C262">
        <v>414</v>
      </c>
      <c r="D262">
        <f t="shared" ca="1" si="39"/>
        <v>5</v>
      </c>
      <c r="E262" t="str">
        <f t="shared" si="33"/>
        <v>4-414 arg1</v>
      </c>
      <c r="F262">
        <f t="shared" ca="1" si="34"/>
        <v>4</v>
      </c>
      <c r="G262" t="str">
        <f t="shared" si="35"/>
        <v>4-414 feedback1</v>
      </c>
      <c r="H262">
        <v>1</v>
      </c>
      <c r="I262">
        <f t="shared" ca="1" si="36"/>
        <v>5</v>
      </c>
      <c r="J262" t="str">
        <f t="shared" si="37"/>
        <v>4-414 arg2</v>
      </c>
      <c r="K262" t="str">
        <f t="shared" si="38"/>
        <v>4-414 feedback2</v>
      </c>
      <c r="L262">
        <v>1</v>
      </c>
      <c r="M262" t="s">
        <v>1285</v>
      </c>
      <c r="N262">
        <v>261</v>
      </c>
    </row>
    <row r="263" spans="1:14">
      <c r="A263">
        <v>8</v>
      </c>
      <c r="B263">
        <f t="shared" si="32"/>
        <v>4</v>
      </c>
      <c r="C263">
        <v>415</v>
      </c>
      <c r="D263">
        <f t="shared" ca="1" si="39"/>
        <v>5</v>
      </c>
      <c r="E263" t="str">
        <f t="shared" si="33"/>
        <v>4-415 arg1</v>
      </c>
      <c r="F263">
        <f t="shared" ca="1" si="34"/>
        <v>5</v>
      </c>
      <c r="G263" t="str">
        <f t="shared" si="35"/>
        <v>4-415 feedback1</v>
      </c>
      <c r="H263">
        <v>1</v>
      </c>
      <c r="I263">
        <f t="shared" ca="1" si="36"/>
        <v>5</v>
      </c>
      <c r="J263" t="str">
        <f t="shared" si="37"/>
        <v>4-415 arg2</v>
      </c>
      <c r="K263" t="str">
        <f t="shared" si="38"/>
        <v>4-415 feedback2</v>
      </c>
      <c r="L263">
        <v>1</v>
      </c>
      <c r="M263" t="s">
        <v>1285</v>
      </c>
      <c r="N263">
        <v>262</v>
      </c>
    </row>
    <row r="264" spans="1:14">
      <c r="A264">
        <v>8</v>
      </c>
      <c r="B264">
        <f t="shared" si="32"/>
        <v>4</v>
      </c>
      <c r="C264">
        <v>416</v>
      </c>
      <c r="D264">
        <f t="shared" ca="1" si="39"/>
        <v>4</v>
      </c>
      <c r="E264" t="str">
        <f t="shared" si="33"/>
        <v>4-416 arg1</v>
      </c>
      <c r="F264">
        <f t="shared" ca="1" si="34"/>
        <v>4</v>
      </c>
      <c r="G264" t="str">
        <f t="shared" si="35"/>
        <v>4-416 feedback1</v>
      </c>
      <c r="H264">
        <v>1</v>
      </c>
      <c r="I264">
        <f t="shared" ca="1" si="36"/>
        <v>5</v>
      </c>
      <c r="J264" t="str">
        <f t="shared" si="37"/>
        <v>4-416 arg2</v>
      </c>
      <c r="K264" t="str">
        <f t="shared" si="38"/>
        <v>4-416 feedback2</v>
      </c>
      <c r="L264">
        <v>1</v>
      </c>
      <c r="M264" t="s">
        <v>1285</v>
      </c>
      <c r="N264">
        <v>263</v>
      </c>
    </row>
    <row r="265" spans="1:14">
      <c r="A265">
        <v>8</v>
      </c>
      <c r="B265">
        <f t="shared" si="32"/>
        <v>4</v>
      </c>
      <c r="C265">
        <v>417</v>
      </c>
      <c r="D265">
        <f t="shared" ca="1" si="39"/>
        <v>3</v>
      </c>
      <c r="E265" t="str">
        <f t="shared" si="33"/>
        <v>4-417 arg1</v>
      </c>
      <c r="F265">
        <f t="shared" ca="1" si="34"/>
        <v>3</v>
      </c>
      <c r="G265" t="str">
        <f t="shared" si="35"/>
        <v>4-417 feedback1</v>
      </c>
      <c r="H265">
        <v>1</v>
      </c>
      <c r="I265">
        <f t="shared" ca="1" si="36"/>
        <v>4</v>
      </c>
      <c r="J265" t="str">
        <f t="shared" si="37"/>
        <v>4-417 arg2</v>
      </c>
      <c r="K265" t="str">
        <f t="shared" si="38"/>
        <v>4-417 feedback2</v>
      </c>
      <c r="L265">
        <v>1</v>
      </c>
      <c r="M265" t="s">
        <v>1285</v>
      </c>
      <c r="N265">
        <v>264</v>
      </c>
    </row>
    <row r="266" spans="1:14">
      <c r="A266">
        <v>8</v>
      </c>
      <c r="B266">
        <f t="shared" si="32"/>
        <v>4</v>
      </c>
      <c r="C266">
        <v>418</v>
      </c>
      <c r="D266">
        <f t="shared" ca="1" si="39"/>
        <v>4</v>
      </c>
      <c r="E266" t="str">
        <f t="shared" si="33"/>
        <v>4-418 arg1</v>
      </c>
      <c r="F266">
        <f t="shared" ca="1" si="34"/>
        <v>2</v>
      </c>
      <c r="G266" t="str">
        <f t="shared" si="35"/>
        <v>4-418 feedback1</v>
      </c>
      <c r="H266">
        <v>1</v>
      </c>
      <c r="I266">
        <f t="shared" ca="1" si="36"/>
        <v>2</v>
      </c>
      <c r="J266" t="str">
        <f t="shared" si="37"/>
        <v>4-418 arg2</v>
      </c>
      <c r="K266" t="str">
        <f t="shared" si="38"/>
        <v>4-418 feedback2</v>
      </c>
      <c r="L266">
        <v>1</v>
      </c>
      <c r="M266" t="s">
        <v>1285</v>
      </c>
      <c r="N266">
        <v>265</v>
      </c>
    </row>
    <row r="267" spans="1:14">
      <c r="A267">
        <v>8</v>
      </c>
      <c r="B267">
        <f t="shared" si="32"/>
        <v>4</v>
      </c>
      <c r="C267">
        <v>419</v>
      </c>
      <c r="D267">
        <f t="shared" ca="1" si="39"/>
        <v>4</v>
      </c>
      <c r="E267" t="str">
        <f t="shared" si="33"/>
        <v>4-419 arg1</v>
      </c>
      <c r="F267">
        <f t="shared" ca="1" si="34"/>
        <v>3</v>
      </c>
      <c r="G267" t="str">
        <f t="shared" si="35"/>
        <v>4-419 feedback1</v>
      </c>
      <c r="H267">
        <v>1</v>
      </c>
      <c r="I267">
        <f t="shared" ca="1" si="36"/>
        <v>3</v>
      </c>
      <c r="J267" t="str">
        <f t="shared" si="37"/>
        <v>4-419 arg2</v>
      </c>
      <c r="K267" t="str">
        <f t="shared" si="38"/>
        <v>4-419 feedback2</v>
      </c>
      <c r="L267">
        <v>1</v>
      </c>
      <c r="M267" t="s">
        <v>1285</v>
      </c>
      <c r="N267">
        <v>266</v>
      </c>
    </row>
    <row r="268" spans="1:14">
      <c r="A268">
        <v>8</v>
      </c>
      <c r="B268">
        <f t="shared" si="32"/>
        <v>4</v>
      </c>
      <c r="C268">
        <v>420</v>
      </c>
      <c r="D268">
        <f t="shared" ca="1" si="39"/>
        <v>4</v>
      </c>
      <c r="E268" t="str">
        <f t="shared" si="33"/>
        <v>4-420 arg1</v>
      </c>
      <c r="F268">
        <f t="shared" ca="1" si="34"/>
        <v>4</v>
      </c>
      <c r="G268" t="str">
        <f t="shared" si="35"/>
        <v>4-420 feedback1</v>
      </c>
      <c r="H268">
        <v>1</v>
      </c>
      <c r="I268">
        <f t="shared" ca="1" si="36"/>
        <v>5</v>
      </c>
      <c r="J268" t="str">
        <f t="shared" si="37"/>
        <v>4-420 arg2</v>
      </c>
      <c r="K268" t="str">
        <f t="shared" si="38"/>
        <v>4-420 feedback2</v>
      </c>
      <c r="L268">
        <v>1</v>
      </c>
      <c r="M268" t="s">
        <v>1285</v>
      </c>
      <c r="N268">
        <v>267</v>
      </c>
    </row>
    <row r="269" spans="1:14">
      <c r="A269">
        <v>8</v>
      </c>
      <c r="B269">
        <f t="shared" si="32"/>
        <v>4</v>
      </c>
      <c r="C269">
        <v>421</v>
      </c>
      <c r="D269">
        <f t="shared" ca="1" si="39"/>
        <v>3</v>
      </c>
      <c r="E269" t="str">
        <f t="shared" si="33"/>
        <v>4-421 arg1</v>
      </c>
      <c r="F269">
        <f t="shared" ca="1" si="34"/>
        <v>2</v>
      </c>
      <c r="G269" t="str">
        <f t="shared" si="35"/>
        <v>4-421 feedback1</v>
      </c>
      <c r="H269">
        <v>1</v>
      </c>
      <c r="I269">
        <f t="shared" ca="1" si="36"/>
        <v>2</v>
      </c>
      <c r="J269" t="str">
        <f t="shared" si="37"/>
        <v>4-421 arg2</v>
      </c>
      <c r="K269" t="str">
        <f t="shared" si="38"/>
        <v>4-421 feedback2</v>
      </c>
      <c r="L269">
        <v>1</v>
      </c>
      <c r="M269" t="s">
        <v>1285</v>
      </c>
      <c r="N269">
        <v>268</v>
      </c>
    </row>
    <row r="270" spans="1:14">
      <c r="A270">
        <v>8</v>
      </c>
      <c r="B270">
        <f t="shared" si="32"/>
        <v>4</v>
      </c>
      <c r="C270">
        <v>422</v>
      </c>
      <c r="D270">
        <f t="shared" ca="1" si="39"/>
        <v>4</v>
      </c>
      <c r="E270" t="str">
        <f t="shared" si="33"/>
        <v>4-422 arg1</v>
      </c>
      <c r="F270">
        <f t="shared" ca="1" si="34"/>
        <v>3</v>
      </c>
      <c r="G270" t="str">
        <f t="shared" si="35"/>
        <v>4-422 feedback1</v>
      </c>
      <c r="H270">
        <v>1</v>
      </c>
      <c r="I270">
        <f t="shared" ca="1" si="36"/>
        <v>4</v>
      </c>
      <c r="J270" t="str">
        <f t="shared" si="37"/>
        <v>4-422 arg2</v>
      </c>
      <c r="K270" t="str">
        <f t="shared" si="38"/>
        <v>4-422 feedback2</v>
      </c>
      <c r="L270">
        <v>1</v>
      </c>
      <c r="M270" t="s">
        <v>1285</v>
      </c>
      <c r="N270">
        <v>269</v>
      </c>
    </row>
    <row r="271" spans="1:14">
      <c r="A271">
        <v>8</v>
      </c>
      <c r="B271">
        <f t="shared" si="32"/>
        <v>4</v>
      </c>
      <c r="C271">
        <v>423</v>
      </c>
      <c r="D271">
        <f t="shared" ca="1" si="39"/>
        <v>5</v>
      </c>
      <c r="E271" t="str">
        <f t="shared" si="33"/>
        <v>4-423 arg1</v>
      </c>
      <c r="F271">
        <f t="shared" ca="1" si="34"/>
        <v>5</v>
      </c>
      <c r="G271" t="str">
        <f t="shared" si="35"/>
        <v>4-423 feedback1</v>
      </c>
      <c r="H271">
        <v>1</v>
      </c>
      <c r="I271">
        <f t="shared" ca="1" si="36"/>
        <v>5</v>
      </c>
      <c r="J271" t="str">
        <f t="shared" si="37"/>
        <v>4-423 arg2</v>
      </c>
      <c r="K271" t="str">
        <f t="shared" si="38"/>
        <v>4-423 feedback2</v>
      </c>
      <c r="L271">
        <v>1</v>
      </c>
      <c r="M271" t="s">
        <v>1285</v>
      </c>
      <c r="N271">
        <v>270</v>
      </c>
    </row>
    <row r="272" spans="1:14">
      <c r="A272">
        <v>8</v>
      </c>
      <c r="B272">
        <f t="shared" si="32"/>
        <v>4</v>
      </c>
      <c r="C272">
        <v>424</v>
      </c>
      <c r="D272">
        <f t="shared" ca="1" si="39"/>
        <v>4</v>
      </c>
      <c r="E272" t="str">
        <f t="shared" si="33"/>
        <v>4-424 arg1</v>
      </c>
      <c r="F272">
        <f t="shared" ca="1" si="34"/>
        <v>3</v>
      </c>
      <c r="G272" t="str">
        <f t="shared" si="35"/>
        <v>4-424 feedback1</v>
      </c>
      <c r="H272">
        <v>1</v>
      </c>
      <c r="I272">
        <f t="shared" ca="1" si="36"/>
        <v>4</v>
      </c>
      <c r="J272" t="str">
        <f t="shared" si="37"/>
        <v>4-424 arg2</v>
      </c>
      <c r="K272" t="str">
        <f t="shared" si="38"/>
        <v>4-424 feedback2</v>
      </c>
      <c r="L272">
        <v>1</v>
      </c>
      <c r="M272" t="s">
        <v>1285</v>
      </c>
      <c r="N272">
        <v>271</v>
      </c>
    </row>
    <row r="273" spans="1:14">
      <c r="A273">
        <v>8</v>
      </c>
      <c r="B273">
        <f t="shared" si="32"/>
        <v>4</v>
      </c>
      <c r="C273">
        <v>425</v>
      </c>
      <c r="D273">
        <f t="shared" ca="1" si="39"/>
        <v>4</v>
      </c>
      <c r="E273" t="str">
        <f t="shared" si="33"/>
        <v>4-425 arg1</v>
      </c>
      <c r="F273">
        <f t="shared" ca="1" si="34"/>
        <v>4</v>
      </c>
      <c r="G273" t="str">
        <f t="shared" si="35"/>
        <v>4-425 feedback1</v>
      </c>
      <c r="H273">
        <v>1</v>
      </c>
      <c r="I273">
        <f t="shared" ca="1" si="36"/>
        <v>5</v>
      </c>
      <c r="J273" t="str">
        <f t="shared" si="37"/>
        <v>4-425 arg2</v>
      </c>
      <c r="K273" t="str">
        <f t="shared" si="38"/>
        <v>4-425 feedback2</v>
      </c>
      <c r="L273">
        <v>1</v>
      </c>
      <c r="M273" t="s">
        <v>1285</v>
      </c>
      <c r="N273">
        <v>272</v>
      </c>
    </row>
    <row r="274" spans="1:14">
      <c r="A274">
        <v>8</v>
      </c>
      <c r="B274">
        <f t="shared" si="32"/>
        <v>4</v>
      </c>
      <c r="C274">
        <v>426</v>
      </c>
      <c r="D274">
        <f t="shared" ca="1" si="39"/>
        <v>4</v>
      </c>
      <c r="E274" t="str">
        <f t="shared" si="33"/>
        <v>4-426 arg1</v>
      </c>
      <c r="F274">
        <f t="shared" ca="1" si="34"/>
        <v>3</v>
      </c>
      <c r="G274" t="str">
        <f t="shared" si="35"/>
        <v>4-426 feedback1</v>
      </c>
      <c r="H274">
        <v>1</v>
      </c>
      <c r="I274">
        <f t="shared" ca="1" si="36"/>
        <v>3</v>
      </c>
      <c r="J274" t="str">
        <f t="shared" si="37"/>
        <v>4-426 arg2</v>
      </c>
      <c r="K274" t="str">
        <f t="shared" si="38"/>
        <v>4-426 feedback2</v>
      </c>
      <c r="L274">
        <v>1</v>
      </c>
      <c r="M274" t="s">
        <v>1285</v>
      </c>
      <c r="N274">
        <v>273</v>
      </c>
    </row>
    <row r="275" spans="1:14">
      <c r="A275">
        <v>8</v>
      </c>
      <c r="B275">
        <f t="shared" si="32"/>
        <v>4</v>
      </c>
      <c r="C275">
        <v>427</v>
      </c>
      <c r="D275">
        <f t="shared" ca="1" si="39"/>
        <v>3</v>
      </c>
      <c r="E275" t="str">
        <f t="shared" si="33"/>
        <v>4-427 arg1</v>
      </c>
      <c r="F275">
        <f t="shared" ca="1" si="34"/>
        <v>1</v>
      </c>
      <c r="G275" t="str">
        <f t="shared" si="35"/>
        <v>4-427 feedback1</v>
      </c>
      <c r="H275">
        <v>1</v>
      </c>
      <c r="I275">
        <f t="shared" ca="1" si="36"/>
        <v>2</v>
      </c>
      <c r="J275" t="str">
        <f t="shared" si="37"/>
        <v>4-427 arg2</v>
      </c>
      <c r="K275" t="str">
        <f t="shared" si="38"/>
        <v>4-427 feedback2</v>
      </c>
      <c r="L275">
        <v>1</v>
      </c>
      <c r="M275" t="s">
        <v>1285</v>
      </c>
      <c r="N275">
        <v>274</v>
      </c>
    </row>
    <row r="276" spans="1:14">
      <c r="A276">
        <v>8</v>
      </c>
      <c r="B276">
        <f t="shared" si="32"/>
        <v>4</v>
      </c>
      <c r="C276">
        <v>428</v>
      </c>
      <c r="D276">
        <f t="shared" ca="1" si="39"/>
        <v>5</v>
      </c>
      <c r="E276" t="str">
        <f t="shared" si="33"/>
        <v>4-428 arg1</v>
      </c>
      <c r="F276">
        <f t="shared" ca="1" si="34"/>
        <v>5</v>
      </c>
      <c r="G276" t="str">
        <f t="shared" si="35"/>
        <v>4-428 feedback1</v>
      </c>
      <c r="H276">
        <v>1</v>
      </c>
      <c r="I276">
        <f t="shared" ca="1" si="36"/>
        <v>5</v>
      </c>
      <c r="J276" t="str">
        <f t="shared" si="37"/>
        <v>4-428 arg2</v>
      </c>
      <c r="K276" t="str">
        <f t="shared" si="38"/>
        <v>4-428 feedback2</v>
      </c>
      <c r="L276">
        <v>1</v>
      </c>
      <c r="M276" t="s">
        <v>1285</v>
      </c>
      <c r="N276">
        <v>275</v>
      </c>
    </row>
    <row r="277" spans="1:14">
      <c r="A277">
        <v>8</v>
      </c>
      <c r="B277">
        <f t="shared" si="32"/>
        <v>4</v>
      </c>
      <c r="C277">
        <v>429</v>
      </c>
      <c r="D277">
        <f t="shared" ca="1" si="39"/>
        <v>4</v>
      </c>
      <c r="E277" t="str">
        <f t="shared" ref="E277:E340" si="40">_xlfn.CONCAT(B277,"-",C277," arg1")</f>
        <v>4-429 arg1</v>
      </c>
      <c r="F277">
        <f t="shared" ref="F277:F340" ca="1" si="41">D277-ROUND(2*RAND(),0)</f>
        <v>2</v>
      </c>
      <c r="G277" t="str">
        <f t="shared" ref="G277:G340" si="42">_xlfn.CONCAT(B277,"-",C277," feedback1")</f>
        <v>4-429 feedback1</v>
      </c>
      <c r="H277">
        <v>1</v>
      </c>
      <c r="I277">
        <f t="shared" ref="I277:I340" ca="1" si="43">MIN(5,F277+ROUND(RAND(),0))</f>
        <v>3</v>
      </c>
      <c r="J277" t="str">
        <f t="shared" ref="J277:J340" si="44">_xlfn.CONCAT(B277,"-",C277," arg2")</f>
        <v>4-429 arg2</v>
      </c>
      <c r="K277" t="str">
        <f t="shared" ref="K277:K340" si="45">_xlfn.CONCAT(B277,"-",C277," feedback2")</f>
        <v>4-429 feedback2</v>
      </c>
      <c r="L277">
        <v>1</v>
      </c>
      <c r="M277" t="s">
        <v>1285</v>
      </c>
      <c r="N277">
        <v>276</v>
      </c>
    </row>
    <row r="278" spans="1:14">
      <c r="A278">
        <v>8</v>
      </c>
      <c r="B278">
        <f t="shared" si="32"/>
        <v>4</v>
      </c>
      <c r="C278">
        <v>430</v>
      </c>
      <c r="D278">
        <f t="shared" ca="1" si="39"/>
        <v>4</v>
      </c>
      <c r="E278" t="str">
        <f t="shared" si="40"/>
        <v>4-430 arg1</v>
      </c>
      <c r="F278">
        <f t="shared" ca="1" si="41"/>
        <v>2</v>
      </c>
      <c r="G278" t="str">
        <f t="shared" si="42"/>
        <v>4-430 feedback1</v>
      </c>
      <c r="H278">
        <v>1</v>
      </c>
      <c r="I278">
        <f t="shared" ca="1" si="43"/>
        <v>2</v>
      </c>
      <c r="J278" t="str">
        <f t="shared" si="44"/>
        <v>4-430 arg2</v>
      </c>
      <c r="K278" t="str">
        <f t="shared" si="45"/>
        <v>4-430 feedback2</v>
      </c>
      <c r="L278">
        <v>1</v>
      </c>
      <c r="M278" t="s">
        <v>1285</v>
      </c>
      <c r="N278">
        <v>277</v>
      </c>
    </row>
    <row r="279" spans="1:14">
      <c r="A279">
        <v>8</v>
      </c>
      <c r="B279">
        <f t="shared" si="32"/>
        <v>4</v>
      </c>
      <c r="C279">
        <v>431</v>
      </c>
      <c r="D279">
        <f t="shared" ca="1" si="39"/>
        <v>3</v>
      </c>
      <c r="E279" t="str">
        <f t="shared" si="40"/>
        <v>4-431 arg1</v>
      </c>
      <c r="F279">
        <f t="shared" ca="1" si="41"/>
        <v>3</v>
      </c>
      <c r="G279" t="str">
        <f t="shared" si="42"/>
        <v>4-431 feedback1</v>
      </c>
      <c r="H279">
        <v>1</v>
      </c>
      <c r="I279">
        <f t="shared" ca="1" si="43"/>
        <v>3</v>
      </c>
      <c r="J279" t="str">
        <f t="shared" si="44"/>
        <v>4-431 arg2</v>
      </c>
      <c r="K279" t="str">
        <f t="shared" si="45"/>
        <v>4-431 feedback2</v>
      </c>
      <c r="L279">
        <v>1</v>
      </c>
      <c r="M279" t="s">
        <v>1285</v>
      </c>
      <c r="N279">
        <v>278</v>
      </c>
    </row>
    <row r="280" spans="1:14">
      <c r="A280">
        <v>8</v>
      </c>
      <c r="B280">
        <f t="shared" si="32"/>
        <v>4</v>
      </c>
      <c r="C280">
        <v>432</v>
      </c>
      <c r="D280">
        <f t="shared" ca="1" si="39"/>
        <v>3</v>
      </c>
      <c r="E280" t="str">
        <f t="shared" si="40"/>
        <v>4-432 arg1</v>
      </c>
      <c r="F280">
        <f t="shared" ca="1" si="41"/>
        <v>2</v>
      </c>
      <c r="G280" t="str">
        <f t="shared" si="42"/>
        <v>4-432 feedback1</v>
      </c>
      <c r="H280">
        <v>1</v>
      </c>
      <c r="I280">
        <f t="shared" ca="1" si="43"/>
        <v>2</v>
      </c>
      <c r="J280" t="str">
        <f t="shared" si="44"/>
        <v>4-432 arg2</v>
      </c>
      <c r="K280" t="str">
        <f t="shared" si="45"/>
        <v>4-432 feedback2</v>
      </c>
      <c r="L280">
        <v>1</v>
      </c>
      <c r="M280" t="s">
        <v>1285</v>
      </c>
      <c r="N280">
        <v>279</v>
      </c>
    </row>
    <row r="281" spans="1:14">
      <c r="A281">
        <v>8</v>
      </c>
      <c r="B281">
        <f t="shared" si="32"/>
        <v>4</v>
      </c>
      <c r="C281">
        <v>433</v>
      </c>
      <c r="D281">
        <f t="shared" ca="1" si="39"/>
        <v>4</v>
      </c>
      <c r="E281" t="str">
        <f t="shared" si="40"/>
        <v>4-433 arg1</v>
      </c>
      <c r="F281">
        <f t="shared" ca="1" si="41"/>
        <v>4</v>
      </c>
      <c r="G281" t="str">
        <f t="shared" si="42"/>
        <v>4-433 feedback1</v>
      </c>
      <c r="H281">
        <v>1</v>
      </c>
      <c r="I281">
        <f t="shared" ca="1" si="43"/>
        <v>4</v>
      </c>
      <c r="J281" t="str">
        <f t="shared" si="44"/>
        <v>4-433 arg2</v>
      </c>
      <c r="K281" t="str">
        <f t="shared" si="45"/>
        <v>4-433 feedback2</v>
      </c>
      <c r="L281">
        <v>1</v>
      </c>
      <c r="M281" t="s">
        <v>1285</v>
      </c>
      <c r="N281">
        <v>280</v>
      </c>
    </row>
    <row r="282" spans="1:14">
      <c r="A282">
        <v>8</v>
      </c>
      <c r="B282">
        <f t="shared" si="32"/>
        <v>4</v>
      </c>
      <c r="C282">
        <v>434</v>
      </c>
      <c r="D282">
        <f t="shared" ca="1" si="39"/>
        <v>3</v>
      </c>
      <c r="E282" t="str">
        <f t="shared" si="40"/>
        <v>4-434 arg1</v>
      </c>
      <c r="F282">
        <f t="shared" ca="1" si="41"/>
        <v>1</v>
      </c>
      <c r="G282" t="str">
        <f t="shared" si="42"/>
        <v>4-434 feedback1</v>
      </c>
      <c r="H282">
        <v>1</v>
      </c>
      <c r="I282">
        <f t="shared" ca="1" si="43"/>
        <v>2</v>
      </c>
      <c r="J282" t="str">
        <f t="shared" si="44"/>
        <v>4-434 arg2</v>
      </c>
      <c r="K282" t="str">
        <f t="shared" si="45"/>
        <v>4-434 feedback2</v>
      </c>
      <c r="L282">
        <v>1</v>
      </c>
      <c r="M282" t="s">
        <v>1285</v>
      </c>
      <c r="N282">
        <v>281</v>
      </c>
    </row>
    <row r="283" spans="1:14">
      <c r="A283">
        <v>8</v>
      </c>
      <c r="B283">
        <f t="shared" si="32"/>
        <v>4</v>
      </c>
      <c r="C283">
        <v>435</v>
      </c>
      <c r="D283">
        <f t="shared" ca="1" si="39"/>
        <v>3</v>
      </c>
      <c r="E283" t="str">
        <f t="shared" si="40"/>
        <v>4-435 arg1</v>
      </c>
      <c r="F283">
        <f t="shared" ca="1" si="41"/>
        <v>3</v>
      </c>
      <c r="G283" t="str">
        <f t="shared" si="42"/>
        <v>4-435 feedback1</v>
      </c>
      <c r="H283">
        <v>1</v>
      </c>
      <c r="I283">
        <f t="shared" ca="1" si="43"/>
        <v>4</v>
      </c>
      <c r="J283" t="str">
        <f t="shared" si="44"/>
        <v>4-435 arg2</v>
      </c>
      <c r="K283" t="str">
        <f t="shared" si="45"/>
        <v>4-435 feedback2</v>
      </c>
      <c r="L283">
        <v>1</v>
      </c>
      <c r="M283" t="s">
        <v>1285</v>
      </c>
      <c r="N283">
        <v>282</v>
      </c>
    </row>
    <row r="284" spans="1:14">
      <c r="A284">
        <v>8</v>
      </c>
      <c r="B284">
        <f t="shared" si="32"/>
        <v>4</v>
      </c>
      <c r="C284">
        <v>436</v>
      </c>
      <c r="D284">
        <f t="shared" ca="1" si="39"/>
        <v>5</v>
      </c>
      <c r="E284" t="str">
        <f t="shared" si="40"/>
        <v>4-436 arg1</v>
      </c>
      <c r="F284">
        <f t="shared" ca="1" si="41"/>
        <v>4</v>
      </c>
      <c r="G284" t="str">
        <f t="shared" si="42"/>
        <v>4-436 feedback1</v>
      </c>
      <c r="H284">
        <v>1</v>
      </c>
      <c r="I284">
        <f t="shared" ca="1" si="43"/>
        <v>5</v>
      </c>
      <c r="J284" t="str">
        <f t="shared" si="44"/>
        <v>4-436 arg2</v>
      </c>
      <c r="K284" t="str">
        <f t="shared" si="45"/>
        <v>4-436 feedback2</v>
      </c>
      <c r="L284">
        <v>1</v>
      </c>
      <c r="M284" t="s">
        <v>1285</v>
      </c>
      <c r="N284">
        <v>283</v>
      </c>
    </row>
    <row r="285" spans="1:14">
      <c r="A285">
        <v>8</v>
      </c>
      <c r="B285">
        <f t="shared" si="32"/>
        <v>4</v>
      </c>
      <c r="C285">
        <v>437</v>
      </c>
      <c r="D285">
        <f t="shared" ca="1" si="39"/>
        <v>4</v>
      </c>
      <c r="E285" t="str">
        <f t="shared" si="40"/>
        <v>4-437 arg1</v>
      </c>
      <c r="F285">
        <f t="shared" ca="1" si="41"/>
        <v>2</v>
      </c>
      <c r="G285" t="str">
        <f t="shared" si="42"/>
        <v>4-437 feedback1</v>
      </c>
      <c r="H285">
        <v>1</v>
      </c>
      <c r="I285">
        <f t="shared" ca="1" si="43"/>
        <v>3</v>
      </c>
      <c r="J285" t="str">
        <f t="shared" si="44"/>
        <v>4-437 arg2</v>
      </c>
      <c r="K285" t="str">
        <f t="shared" si="45"/>
        <v>4-437 feedback2</v>
      </c>
      <c r="L285">
        <v>1</v>
      </c>
      <c r="M285" t="s">
        <v>1285</v>
      </c>
      <c r="N285">
        <v>284</v>
      </c>
    </row>
    <row r="286" spans="1:14">
      <c r="A286">
        <v>8</v>
      </c>
      <c r="B286">
        <f t="shared" si="32"/>
        <v>4</v>
      </c>
      <c r="C286">
        <v>438</v>
      </c>
      <c r="D286">
        <f t="shared" ca="1" si="39"/>
        <v>4</v>
      </c>
      <c r="E286" t="str">
        <f t="shared" si="40"/>
        <v>4-438 arg1</v>
      </c>
      <c r="F286">
        <f t="shared" ca="1" si="41"/>
        <v>3</v>
      </c>
      <c r="G286" t="str">
        <f t="shared" si="42"/>
        <v>4-438 feedback1</v>
      </c>
      <c r="H286">
        <v>1</v>
      </c>
      <c r="I286">
        <f t="shared" ca="1" si="43"/>
        <v>4</v>
      </c>
      <c r="J286" t="str">
        <f t="shared" si="44"/>
        <v>4-438 arg2</v>
      </c>
      <c r="K286" t="str">
        <f t="shared" si="45"/>
        <v>4-438 feedback2</v>
      </c>
      <c r="L286">
        <v>1</v>
      </c>
      <c r="M286" t="s">
        <v>1285</v>
      </c>
      <c r="N286">
        <v>285</v>
      </c>
    </row>
    <row r="287" spans="1:14">
      <c r="A287">
        <v>8</v>
      </c>
      <c r="B287">
        <f t="shared" si="32"/>
        <v>4</v>
      </c>
      <c r="C287">
        <v>439</v>
      </c>
      <c r="D287">
        <f t="shared" ca="1" si="39"/>
        <v>5</v>
      </c>
      <c r="E287" t="str">
        <f t="shared" si="40"/>
        <v>4-439 arg1</v>
      </c>
      <c r="F287">
        <f t="shared" ca="1" si="41"/>
        <v>3</v>
      </c>
      <c r="G287" t="str">
        <f t="shared" si="42"/>
        <v>4-439 feedback1</v>
      </c>
      <c r="H287">
        <v>1</v>
      </c>
      <c r="I287">
        <f t="shared" ca="1" si="43"/>
        <v>3</v>
      </c>
      <c r="J287" t="str">
        <f t="shared" si="44"/>
        <v>4-439 arg2</v>
      </c>
      <c r="K287" t="str">
        <f t="shared" si="45"/>
        <v>4-439 feedback2</v>
      </c>
      <c r="L287">
        <v>1</v>
      </c>
      <c r="M287" t="s">
        <v>1285</v>
      </c>
      <c r="N287">
        <v>286</v>
      </c>
    </row>
    <row r="288" spans="1:14">
      <c r="A288">
        <v>8</v>
      </c>
      <c r="B288">
        <f t="shared" si="32"/>
        <v>4</v>
      </c>
      <c r="C288">
        <v>440</v>
      </c>
      <c r="D288">
        <f t="shared" ca="1" si="39"/>
        <v>5</v>
      </c>
      <c r="E288" t="str">
        <f t="shared" si="40"/>
        <v>4-440 arg1</v>
      </c>
      <c r="F288">
        <f t="shared" ca="1" si="41"/>
        <v>4</v>
      </c>
      <c r="G288" t="str">
        <f t="shared" si="42"/>
        <v>4-440 feedback1</v>
      </c>
      <c r="H288">
        <v>1</v>
      </c>
      <c r="I288">
        <f t="shared" ca="1" si="43"/>
        <v>4</v>
      </c>
      <c r="J288" t="str">
        <f t="shared" si="44"/>
        <v>4-440 arg2</v>
      </c>
      <c r="K288" t="str">
        <f t="shared" si="45"/>
        <v>4-440 feedback2</v>
      </c>
      <c r="L288">
        <v>1</v>
      </c>
      <c r="M288" t="s">
        <v>1285</v>
      </c>
      <c r="N288">
        <v>287</v>
      </c>
    </row>
    <row r="289" spans="1:14">
      <c r="A289">
        <v>8</v>
      </c>
      <c r="B289">
        <f t="shared" si="32"/>
        <v>4</v>
      </c>
      <c r="C289">
        <v>441</v>
      </c>
      <c r="D289">
        <f t="shared" ca="1" si="39"/>
        <v>3</v>
      </c>
      <c r="E289" t="str">
        <f t="shared" si="40"/>
        <v>4-441 arg1</v>
      </c>
      <c r="F289">
        <f t="shared" ca="1" si="41"/>
        <v>1</v>
      </c>
      <c r="G289" t="str">
        <f t="shared" si="42"/>
        <v>4-441 feedback1</v>
      </c>
      <c r="H289">
        <v>1</v>
      </c>
      <c r="I289">
        <f t="shared" ca="1" si="43"/>
        <v>1</v>
      </c>
      <c r="J289" t="str">
        <f t="shared" si="44"/>
        <v>4-441 arg2</v>
      </c>
      <c r="K289" t="str">
        <f t="shared" si="45"/>
        <v>4-441 feedback2</v>
      </c>
      <c r="L289">
        <v>1</v>
      </c>
      <c r="M289" t="s">
        <v>1285</v>
      </c>
      <c r="N289">
        <v>288</v>
      </c>
    </row>
    <row r="290" spans="1:14">
      <c r="A290">
        <v>8</v>
      </c>
      <c r="B290">
        <f t="shared" si="32"/>
        <v>4</v>
      </c>
      <c r="C290">
        <v>442</v>
      </c>
      <c r="D290">
        <f t="shared" ca="1" si="39"/>
        <v>4</v>
      </c>
      <c r="E290" t="str">
        <f t="shared" si="40"/>
        <v>4-442 arg1</v>
      </c>
      <c r="F290">
        <f t="shared" ca="1" si="41"/>
        <v>3</v>
      </c>
      <c r="G290" t="str">
        <f t="shared" si="42"/>
        <v>4-442 feedback1</v>
      </c>
      <c r="H290">
        <v>1</v>
      </c>
      <c r="I290">
        <f t="shared" ca="1" si="43"/>
        <v>4</v>
      </c>
      <c r="J290" t="str">
        <f t="shared" si="44"/>
        <v>4-442 arg2</v>
      </c>
      <c r="K290" t="str">
        <f t="shared" si="45"/>
        <v>4-442 feedback2</v>
      </c>
      <c r="L290">
        <v>1</v>
      </c>
      <c r="M290" t="s">
        <v>1285</v>
      </c>
      <c r="N290">
        <v>289</v>
      </c>
    </row>
    <row r="291" spans="1:14">
      <c r="A291">
        <v>8</v>
      </c>
      <c r="B291">
        <f t="shared" si="32"/>
        <v>4</v>
      </c>
      <c r="C291">
        <v>443</v>
      </c>
      <c r="D291">
        <f t="shared" ca="1" si="39"/>
        <v>4</v>
      </c>
      <c r="E291" t="str">
        <f t="shared" si="40"/>
        <v>4-443 arg1</v>
      </c>
      <c r="F291">
        <f t="shared" ca="1" si="41"/>
        <v>3</v>
      </c>
      <c r="G291" t="str">
        <f t="shared" si="42"/>
        <v>4-443 feedback1</v>
      </c>
      <c r="H291">
        <v>1</v>
      </c>
      <c r="I291">
        <f t="shared" ca="1" si="43"/>
        <v>4</v>
      </c>
      <c r="J291" t="str">
        <f t="shared" si="44"/>
        <v>4-443 arg2</v>
      </c>
      <c r="K291" t="str">
        <f t="shared" si="45"/>
        <v>4-443 feedback2</v>
      </c>
      <c r="L291">
        <v>1</v>
      </c>
      <c r="M291" t="s">
        <v>1285</v>
      </c>
      <c r="N291">
        <v>290</v>
      </c>
    </row>
    <row r="292" spans="1:14">
      <c r="A292">
        <v>8</v>
      </c>
      <c r="B292">
        <f t="shared" si="32"/>
        <v>4</v>
      </c>
      <c r="C292">
        <v>444</v>
      </c>
      <c r="D292">
        <f t="shared" ca="1" si="39"/>
        <v>4</v>
      </c>
      <c r="E292" t="str">
        <f t="shared" si="40"/>
        <v>4-444 arg1</v>
      </c>
      <c r="F292">
        <f t="shared" ca="1" si="41"/>
        <v>2</v>
      </c>
      <c r="G292" t="str">
        <f t="shared" si="42"/>
        <v>4-444 feedback1</v>
      </c>
      <c r="H292">
        <v>1</v>
      </c>
      <c r="I292">
        <f t="shared" ca="1" si="43"/>
        <v>3</v>
      </c>
      <c r="J292" t="str">
        <f t="shared" si="44"/>
        <v>4-444 arg2</v>
      </c>
      <c r="K292" t="str">
        <f t="shared" si="45"/>
        <v>4-444 feedback2</v>
      </c>
      <c r="L292">
        <v>1</v>
      </c>
      <c r="M292" t="s">
        <v>1285</v>
      </c>
      <c r="N292">
        <v>291</v>
      </c>
    </row>
    <row r="293" spans="1:14">
      <c r="A293">
        <v>8</v>
      </c>
      <c r="B293">
        <f t="shared" si="32"/>
        <v>4</v>
      </c>
      <c r="C293">
        <v>445</v>
      </c>
      <c r="D293">
        <f t="shared" ca="1" si="39"/>
        <v>3</v>
      </c>
      <c r="E293" t="str">
        <f t="shared" si="40"/>
        <v>4-445 arg1</v>
      </c>
      <c r="F293">
        <f t="shared" ca="1" si="41"/>
        <v>3</v>
      </c>
      <c r="G293" t="str">
        <f t="shared" si="42"/>
        <v>4-445 feedback1</v>
      </c>
      <c r="H293">
        <v>1</v>
      </c>
      <c r="I293">
        <f t="shared" ca="1" si="43"/>
        <v>4</v>
      </c>
      <c r="J293" t="str">
        <f t="shared" si="44"/>
        <v>4-445 arg2</v>
      </c>
      <c r="K293" t="str">
        <f t="shared" si="45"/>
        <v>4-445 feedback2</v>
      </c>
      <c r="L293">
        <v>1</v>
      </c>
      <c r="M293" t="s">
        <v>1285</v>
      </c>
      <c r="N293">
        <v>292</v>
      </c>
    </row>
    <row r="294" spans="1:14">
      <c r="A294">
        <v>8</v>
      </c>
      <c r="B294">
        <f t="shared" si="32"/>
        <v>4</v>
      </c>
      <c r="C294">
        <v>446</v>
      </c>
      <c r="D294">
        <f t="shared" ca="1" si="39"/>
        <v>3</v>
      </c>
      <c r="E294" t="str">
        <f t="shared" si="40"/>
        <v>4-446 arg1</v>
      </c>
      <c r="F294">
        <f t="shared" ca="1" si="41"/>
        <v>2</v>
      </c>
      <c r="G294" t="str">
        <f t="shared" si="42"/>
        <v>4-446 feedback1</v>
      </c>
      <c r="H294">
        <v>1</v>
      </c>
      <c r="I294">
        <f t="shared" ca="1" si="43"/>
        <v>3</v>
      </c>
      <c r="J294" t="str">
        <f t="shared" si="44"/>
        <v>4-446 arg2</v>
      </c>
      <c r="K294" t="str">
        <f t="shared" si="45"/>
        <v>4-446 feedback2</v>
      </c>
      <c r="L294">
        <v>1</v>
      </c>
      <c r="M294" t="s">
        <v>1285</v>
      </c>
      <c r="N294">
        <v>293</v>
      </c>
    </row>
    <row r="295" spans="1:14">
      <c r="A295">
        <v>8</v>
      </c>
      <c r="B295">
        <f t="shared" si="32"/>
        <v>4</v>
      </c>
      <c r="C295">
        <v>447</v>
      </c>
      <c r="D295">
        <f t="shared" ca="1" si="39"/>
        <v>4</v>
      </c>
      <c r="E295" t="str">
        <f t="shared" si="40"/>
        <v>4-447 arg1</v>
      </c>
      <c r="F295">
        <f t="shared" ca="1" si="41"/>
        <v>3</v>
      </c>
      <c r="G295" t="str">
        <f t="shared" si="42"/>
        <v>4-447 feedback1</v>
      </c>
      <c r="H295">
        <v>1</v>
      </c>
      <c r="I295">
        <f t="shared" ca="1" si="43"/>
        <v>4</v>
      </c>
      <c r="J295" t="str">
        <f t="shared" si="44"/>
        <v>4-447 arg2</v>
      </c>
      <c r="K295" t="str">
        <f t="shared" si="45"/>
        <v>4-447 feedback2</v>
      </c>
      <c r="L295">
        <v>1</v>
      </c>
      <c r="M295" t="s">
        <v>1285</v>
      </c>
      <c r="N295">
        <v>294</v>
      </c>
    </row>
    <row r="296" spans="1:14">
      <c r="A296">
        <v>8</v>
      </c>
      <c r="B296">
        <f t="shared" si="32"/>
        <v>4</v>
      </c>
      <c r="C296">
        <v>448</v>
      </c>
      <c r="D296">
        <f t="shared" ca="1" si="39"/>
        <v>3</v>
      </c>
      <c r="E296" t="str">
        <f t="shared" si="40"/>
        <v>4-448 arg1</v>
      </c>
      <c r="F296">
        <f t="shared" ca="1" si="41"/>
        <v>2</v>
      </c>
      <c r="G296" t="str">
        <f t="shared" si="42"/>
        <v>4-448 feedback1</v>
      </c>
      <c r="H296">
        <v>1</v>
      </c>
      <c r="I296">
        <f t="shared" ca="1" si="43"/>
        <v>2</v>
      </c>
      <c r="J296" t="str">
        <f t="shared" si="44"/>
        <v>4-448 arg2</v>
      </c>
      <c r="K296" t="str">
        <f t="shared" si="45"/>
        <v>4-448 feedback2</v>
      </c>
      <c r="L296">
        <v>1</v>
      </c>
      <c r="M296" t="s">
        <v>1285</v>
      </c>
      <c r="N296">
        <v>295</v>
      </c>
    </row>
    <row r="297" spans="1:14">
      <c r="A297">
        <v>8</v>
      </c>
      <c r="B297">
        <f t="shared" si="32"/>
        <v>4</v>
      </c>
      <c r="C297">
        <v>449</v>
      </c>
      <c r="D297">
        <f t="shared" ca="1" si="39"/>
        <v>4</v>
      </c>
      <c r="E297" t="str">
        <f t="shared" si="40"/>
        <v>4-449 arg1</v>
      </c>
      <c r="F297">
        <f t="shared" ca="1" si="41"/>
        <v>3</v>
      </c>
      <c r="G297" t="str">
        <f t="shared" si="42"/>
        <v>4-449 feedback1</v>
      </c>
      <c r="H297">
        <v>1</v>
      </c>
      <c r="I297">
        <f t="shared" ca="1" si="43"/>
        <v>3</v>
      </c>
      <c r="J297" t="str">
        <f t="shared" si="44"/>
        <v>4-449 arg2</v>
      </c>
      <c r="K297" t="str">
        <f t="shared" si="45"/>
        <v>4-449 feedback2</v>
      </c>
      <c r="L297">
        <v>1</v>
      </c>
      <c r="M297" t="s">
        <v>1285</v>
      </c>
      <c r="N297">
        <v>296</v>
      </c>
    </row>
    <row r="298" spans="1:14">
      <c r="A298">
        <v>8</v>
      </c>
      <c r="B298">
        <f t="shared" si="32"/>
        <v>4</v>
      </c>
      <c r="C298">
        <v>450</v>
      </c>
      <c r="D298">
        <f t="shared" ca="1" si="39"/>
        <v>4</v>
      </c>
      <c r="E298" t="str">
        <f t="shared" si="40"/>
        <v>4-450 arg1</v>
      </c>
      <c r="F298">
        <f t="shared" ca="1" si="41"/>
        <v>2</v>
      </c>
      <c r="G298" t="str">
        <f t="shared" si="42"/>
        <v>4-450 feedback1</v>
      </c>
      <c r="H298">
        <v>1</v>
      </c>
      <c r="I298">
        <f t="shared" ca="1" si="43"/>
        <v>3</v>
      </c>
      <c r="J298" t="str">
        <f t="shared" si="44"/>
        <v>4-450 arg2</v>
      </c>
      <c r="K298" t="str">
        <f t="shared" si="45"/>
        <v>4-450 feedback2</v>
      </c>
      <c r="L298">
        <v>1</v>
      </c>
      <c r="M298" t="s">
        <v>1285</v>
      </c>
      <c r="N298">
        <v>297</v>
      </c>
    </row>
    <row r="299" spans="1:14">
      <c r="A299">
        <v>8</v>
      </c>
      <c r="B299">
        <f t="shared" si="32"/>
        <v>4</v>
      </c>
      <c r="C299">
        <v>451</v>
      </c>
      <c r="D299">
        <f t="shared" ca="1" si="39"/>
        <v>4</v>
      </c>
      <c r="E299" t="str">
        <f t="shared" si="40"/>
        <v>4-451 arg1</v>
      </c>
      <c r="F299">
        <f t="shared" ca="1" si="41"/>
        <v>3</v>
      </c>
      <c r="G299" t="str">
        <f t="shared" si="42"/>
        <v>4-451 feedback1</v>
      </c>
      <c r="H299">
        <v>1</v>
      </c>
      <c r="I299">
        <f t="shared" ca="1" si="43"/>
        <v>4</v>
      </c>
      <c r="J299" t="str">
        <f t="shared" si="44"/>
        <v>4-451 arg2</v>
      </c>
      <c r="K299" t="str">
        <f t="shared" si="45"/>
        <v>4-451 feedback2</v>
      </c>
      <c r="L299">
        <v>1</v>
      </c>
      <c r="M299" t="s">
        <v>1285</v>
      </c>
      <c r="N299">
        <v>298</v>
      </c>
    </row>
    <row r="300" spans="1:14">
      <c r="A300">
        <v>8</v>
      </c>
      <c r="B300">
        <f t="shared" si="32"/>
        <v>4</v>
      </c>
      <c r="C300">
        <v>452</v>
      </c>
      <c r="D300">
        <f t="shared" ca="1" si="39"/>
        <v>4</v>
      </c>
      <c r="E300" t="str">
        <f t="shared" si="40"/>
        <v>4-452 arg1</v>
      </c>
      <c r="F300">
        <f t="shared" ca="1" si="41"/>
        <v>3</v>
      </c>
      <c r="G300" t="str">
        <f t="shared" si="42"/>
        <v>4-452 feedback1</v>
      </c>
      <c r="H300">
        <v>1</v>
      </c>
      <c r="I300">
        <f t="shared" ca="1" si="43"/>
        <v>3</v>
      </c>
      <c r="J300" t="str">
        <f t="shared" si="44"/>
        <v>4-452 arg2</v>
      </c>
      <c r="K300" t="str">
        <f t="shared" si="45"/>
        <v>4-452 feedback2</v>
      </c>
      <c r="L300">
        <v>1</v>
      </c>
      <c r="M300" t="s">
        <v>1285</v>
      </c>
      <c r="N300">
        <v>299</v>
      </c>
    </row>
    <row r="301" spans="1:14">
      <c r="A301">
        <v>8</v>
      </c>
      <c r="B301">
        <f t="shared" si="32"/>
        <v>4</v>
      </c>
      <c r="C301">
        <v>453</v>
      </c>
      <c r="D301">
        <f t="shared" ca="1" si="39"/>
        <v>5</v>
      </c>
      <c r="E301" t="str">
        <f t="shared" si="40"/>
        <v>4-453 arg1</v>
      </c>
      <c r="F301">
        <f t="shared" ca="1" si="41"/>
        <v>3</v>
      </c>
      <c r="G301" t="str">
        <f t="shared" si="42"/>
        <v>4-453 feedback1</v>
      </c>
      <c r="H301">
        <v>1</v>
      </c>
      <c r="I301">
        <f t="shared" ca="1" si="43"/>
        <v>4</v>
      </c>
      <c r="J301" t="str">
        <f t="shared" si="44"/>
        <v>4-453 arg2</v>
      </c>
      <c r="K301" t="str">
        <f t="shared" si="45"/>
        <v>4-453 feedback2</v>
      </c>
      <c r="L301">
        <v>1</v>
      </c>
      <c r="M301" t="s">
        <v>1285</v>
      </c>
      <c r="N301">
        <v>300</v>
      </c>
    </row>
    <row r="302" spans="1:14">
      <c r="A302">
        <v>8</v>
      </c>
      <c r="B302">
        <f t="shared" si="32"/>
        <v>4</v>
      </c>
      <c r="C302">
        <v>454</v>
      </c>
      <c r="D302">
        <f t="shared" ca="1" si="39"/>
        <v>4</v>
      </c>
      <c r="E302" t="str">
        <f t="shared" si="40"/>
        <v>4-454 arg1</v>
      </c>
      <c r="F302">
        <f t="shared" ca="1" si="41"/>
        <v>4</v>
      </c>
      <c r="G302" t="str">
        <f t="shared" si="42"/>
        <v>4-454 feedback1</v>
      </c>
      <c r="H302">
        <v>1</v>
      </c>
      <c r="I302">
        <f t="shared" ca="1" si="43"/>
        <v>4</v>
      </c>
      <c r="J302" t="str">
        <f t="shared" si="44"/>
        <v>4-454 arg2</v>
      </c>
      <c r="K302" t="str">
        <f t="shared" si="45"/>
        <v>4-454 feedback2</v>
      </c>
      <c r="L302">
        <v>1</v>
      </c>
      <c r="M302" t="s">
        <v>1285</v>
      </c>
      <c r="N302">
        <v>301</v>
      </c>
    </row>
    <row r="303" spans="1:14">
      <c r="A303">
        <v>8</v>
      </c>
      <c r="B303">
        <f t="shared" si="32"/>
        <v>4</v>
      </c>
      <c r="C303">
        <v>455</v>
      </c>
      <c r="D303">
        <f t="shared" ca="1" si="39"/>
        <v>3</v>
      </c>
      <c r="E303" t="str">
        <f t="shared" si="40"/>
        <v>4-455 arg1</v>
      </c>
      <c r="F303">
        <f t="shared" ca="1" si="41"/>
        <v>2</v>
      </c>
      <c r="G303" t="str">
        <f t="shared" si="42"/>
        <v>4-455 feedback1</v>
      </c>
      <c r="H303">
        <v>1</v>
      </c>
      <c r="I303">
        <f t="shared" ca="1" si="43"/>
        <v>2</v>
      </c>
      <c r="J303" t="str">
        <f t="shared" si="44"/>
        <v>4-455 arg2</v>
      </c>
      <c r="K303" t="str">
        <f t="shared" si="45"/>
        <v>4-455 feedback2</v>
      </c>
      <c r="L303">
        <v>1</v>
      </c>
      <c r="M303" t="s">
        <v>1285</v>
      </c>
      <c r="N303">
        <v>302</v>
      </c>
    </row>
    <row r="304" spans="1:14">
      <c r="A304">
        <v>8</v>
      </c>
      <c r="B304">
        <f t="shared" si="32"/>
        <v>4</v>
      </c>
      <c r="C304">
        <v>456</v>
      </c>
      <c r="D304">
        <f t="shared" ca="1" si="39"/>
        <v>5</v>
      </c>
      <c r="E304" t="str">
        <f t="shared" si="40"/>
        <v>4-456 arg1</v>
      </c>
      <c r="F304">
        <f t="shared" ca="1" si="41"/>
        <v>4</v>
      </c>
      <c r="G304" t="str">
        <f t="shared" si="42"/>
        <v>4-456 feedback1</v>
      </c>
      <c r="H304">
        <v>1</v>
      </c>
      <c r="I304">
        <f t="shared" ca="1" si="43"/>
        <v>5</v>
      </c>
      <c r="J304" t="str">
        <f t="shared" si="44"/>
        <v>4-456 arg2</v>
      </c>
      <c r="K304" t="str">
        <f t="shared" si="45"/>
        <v>4-456 feedback2</v>
      </c>
      <c r="L304">
        <v>1</v>
      </c>
      <c r="M304" t="s">
        <v>1285</v>
      </c>
      <c r="N304">
        <v>303</v>
      </c>
    </row>
    <row r="305" spans="1:14">
      <c r="A305">
        <v>8</v>
      </c>
      <c r="B305">
        <f t="shared" si="32"/>
        <v>4</v>
      </c>
      <c r="C305">
        <v>457</v>
      </c>
      <c r="D305">
        <f t="shared" ca="1" si="39"/>
        <v>4</v>
      </c>
      <c r="E305" t="str">
        <f t="shared" si="40"/>
        <v>4-457 arg1</v>
      </c>
      <c r="F305">
        <f t="shared" ca="1" si="41"/>
        <v>3</v>
      </c>
      <c r="G305" t="str">
        <f t="shared" si="42"/>
        <v>4-457 feedback1</v>
      </c>
      <c r="H305">
        <v>1</v>
      </c>
      <c r="I305">
        <f t="shared" ca="1" si="43"/>
        <v>4</v>
      </c>
      <c r="J305" t="str">
        <f t="shared" si="44"/>
        <v>4-457 arg2</v>
      </c>
      <c r="K305" t="str">
        <f t="shared" si="45"/>
        <v>4-457 feedback2</v>
      </c>
      <c r="L305">
        <v>1</v>
      </c>
      <c r="M305" t="s">
        <v>1285</v>
      </c>
      <c r="N305">
        <v>304</v>
      </c>
    </row>
    <row r="306" spans="1:14">
      <c r="A306">
        <v>8</v>
      </c>
      <c r="B306">
        <f t="shared" si="32"/>
        <v>4</v>
      </c>
      <c r="C306">
        <v>458</v>
      </c>
      <c r="D306">
        <f t="shared" ca="1" si="39"/>
        <v>4</v>
      </c>
      <c r="E306" t="str">
        <f t="shared" si="40"/>
        <v>4-458 arg1</v>
      </c>
      <c r="F306">
        <f t="shared" ca="1" si="41"/>
        <v>2</v>
      </c>
      <c r="G306" t="str">
        <f t="shared" si="42"/>
        <v>4-458 feedback1</v>
      </c>
      <c r="H306">
        <v>1</v>
      </c>
      <c r="I306">
        <f t="shared" ca="1" si="43"/>
        <v>3</v>
      </c>
      <c r="J306" t="str">
        <f t="shared" si="44"/>
        <v>4-458 arg2</v>
      </c>
      <c r="K306" t="str">
        <f t="shared" si="45"/>
        <v>4-458 feedback2</v>
      </c>
      <c r="L306">
        <v>1</v>
      </c>
      <c r="M306" t="s">
        <v>1285</v>
      </c>
      <c r="N306">
        <v>305</v>
      </c>
    </row>
    <row r="307" spans="1:14">
      <c r="A307">
        <v>8</v>
      </c>
      <c r="B307">
        <f t="shared" si="32"/>
        <v>4</v>
      </c>
      <c r="C307">
        <v>459</v>
      </c>
      <c r="D307">
        <f t="shared" ca="1" si="39"/>
        <v>3</v>
      </c>
      <c r="E307" t="str">
        <f t="shared" si="40"/>
        <v>4-459 arg1</v>
      </c>
      <c r="F307">
        <f t="shared" ca="1" si="41"/>
        <v>2</v>
      </c>
      <c r="G307" t="str">
        <f t="shared" si="42"/>
        <v>4-459 feedback1</v>
      </c>
      <c r="H307">
        <v>1</v>
      </c>
      <c r="I307">
        <f t="shared" ca="1" si="43"/>
        <v>3</v>
      </c>
      <c r="J307" t="str">
        <f t="shared" si="44"/>
        <v>4-459 arg2</v>
      </c>
      <c r="K307" t="str">
        <f t="shared" si="45"/>
        <v>4-459 feedback2</v>
      </c>
      <c r="L307">
        <v>1</v>
      </c>
      <c r="M307" t="s">
        <v>1285</v>
      </c>
      <c r="N307">
        <v>306</v>
      </c>
    </row>
    <row r="308" spans="1:14">
      <c r="A308">
        <v>8</v>
      </c>
      <c r="B308">
        <f t="shared" si="32"/>
        <v>4</v>
      </c>
      <c r="C308">
        <v>460</v>
      </c>
      <c r="D308">
        <f t="shared" ca="1" si="39"/>
        <v>4</v>
      </c>
      <c r="E308" t="str">
        <f t="shared" si="40"/>
        <v>4-460 arg1</v>
      </c>
      <c r="F308">
        <f t="shared" ca="1" si="41"/>
        <v>2</v>
      </c>
      <c r="G308" t="str">
        <f t="shared" si="42"/>
        <v>4-460 feedback1</v>
      </c>
      <c r="H308">
        <v>1</v>
      </c>
      <c r="I308">
        <f t="shared" ca="1" si="43"/>
        <v>2</v>
      </c>
      <c r="J308" t="str">
        <f t="shared" si="44"/>
        <v>4-460 arg2</v>
      </c>
      <c r="K308" t="str">
        <f t="shared" si="45"/>
        <v>4-460 feedback2</v>
      </c>
      <c r="L308">
        <v>1</v>
      </c>
      <c r="M308" t="s">
        <v>1285</v>
      </c>
      <c r="N308">
        <v>307</v>
      </c>
    </row>
    <row r="309" spans="1:14">
      <c r="A309">
        <v>8</v>
      </c>
      <c r="B309">
        <f t="shared" si="32"/>
        <v>4</v>
      </c>
      <c r="C309">
        <v>461</v>
      </c>
      <c r="D309">
        <f t="shared" ca="1" si="39"/>
        <v>4</v>
      </c>
      <c r="E309" t="str">
        <f t="shared" si="40"/>
        <v>4-461 arg1</v>
      </c>
      <c r="F309">
        <f t="shared" ca="1" si="41"/>
        <v>3</v>
      </c>
      <c r="G309" t="str">
        <f t="shared" si="42"/>
        <v>4-461 feedback1</v>
      </c>
      <c r="H309">
        <v>1</v>
      </c>
      <c r="I309">
        <f t="shared" ca="1" si="43"/>
        <v>4</v>
      </c>
      <c r="J309" t="str">
        <f t="shared" si="44"/>
        <v>4-461 arg2</v>
      </c>
      <c r="K309" t="str">
        <f t="shared" si="45"/>
        <v>4-461 feedback2</v>
      </c>
      <c r="L309">
        <v>1</v>
      </c>
      <c r="M309" t="s">
        <v>1285</v>
      </c>
      <c r="N309">
        <v>308</v>
      </c>
    </row>
    <row r="310" spans="1:14">
      <c r="A310">
        <v>8</v>
      </c>
      <c r="B310">
        <f t="shared" ref="B310:B373" si="46">B225+1</f>
        <v>4</v>
      </c>
      <c r="C310">
        <v>462</v>
      </c>
      <c r="D310">
        <f t="shared" ca="1" si="39"/>
        <v>4</v>
      </c>
      <c r="E310" t="str">
        <f t="shared" si="40"/>
        <v>4-462 arg1</v>
      </c>
      <c r="F310">
        <f t="shared" ca="1" si="41"/>
        <v>3</v>
      </c>
      <c r="G310" t="str">
        <f t="shared" si="42"/>
        <v>4-462 feedback1</v>
      </c>
      <c r="H310">
        <v>1</v>
      </c>
      <c r="I310">
        <f t="shared" ca="1" si="43"/>
        <v>3</v>
      </c>
      <c r="J310" t="str">
        <f t="shared" si="44"/>
        <v>4-462 arg2</v>
      </c>
      <c r="K310" t="str">
        <f t="shared" si="45"/>
        <v>4-462 feedback2</v>
      </c>
      <c r="L310">
        <v>1</v>
      </c>
      <c r="M310" t="s">
        <v>1285</v>
      </c>
      <c r="N310">
        <v>309</v>
      </c>
    </row>
    <row r="311" spans="1:14">
      <c r="A311">
        <v>8</v>
      </c>
      <c r="B311">
        <f t="shared" si="46"/>
        <v>4</v>
      </c>
      <c r="C311">
        <v>463</v>
      </c>
      <c r="D311">
        <f t="shared" ca="1" si="39"/>
        <v>4</v>
      </c>
      <c r="E311" t="str">
        <f t="shared" si="40"/>
        <v>4-463 arg1</v>
      </c>
      <c r="F311">
        <f t="shared" ca="1" si="41"/>
        <v>2</v>
      </c>
      <c r="G311" t="str">
        <f t="shared" si="42"/>
        <v>4-463 feedback1</v>
      </c>
      <c r="H311">
        <v>1</v>
      </c>
      <c r="I311">
        <f t="shared" ca="1" si="43"/>
        <v>3</v>
      </c>
      <c r="J311" t="str">
        <f t="shared" si="44"/>
        <v>4-463 arg2</v>
      </c>
      <c r="K311" t="str">
        <f t="shared" si="45"/>
        <v>4-463 feedback2</v>
      </c>
      <c r="L311">
        <v>1</v>
      </c>
      <c r="M311" t="s">
        <v>1285</v>
      </c>
      <c r="N311">
        <v>310</v>
      </c>
    </row>
    <row r="312" spans="1:14">
      <c r="A312">
        <v>8</v>
      </c>
      <c r="B312">
        <f t="shared" si="46"/>
        <v>4</v>
      </c>
      <c r="C312">
        <v>464</v>
      </c>
      <c r="D312">
        <f t="shared" ca="1" si="39"/>
        <v>4</v>
      </c>
      <c r="E312" t="str">
        <f t="shared" si="40"/>
        <v>4-464 arg1</v>
      </c>
      <c r="F312">
        <f t="shared" ca="1" si="41"/>
        <v>4</v>
      </c>
      <c r="G312" t="str">
        <f t="shared" si="42"/>
        <v>4-464 feedback1</v>
      </c>
      <c r="H312">
        <v>1</v>
      </c>
      <c r="I312">
        <f t="shared" ca="1" si="43"/>
        <v>4</v>
      </c>
      <c r="J312" t="str">
        <f t="shared" si="44"/>
        <v>4-464 arg2</v>
      </c>
      <c r="K312" t="str">
        <f t="shared" si="45"/>
        <v>4-464 feedback2</v>
      </c>
      <c r="L312">
        <v>1</v>
      </c>
      <c r="M312" t="s">
        <v>1285</v>
      </c>
      <c r="N312">
        <v>311</v>
      </c>
    </row>
    <row r="313" spans="1:14">
      <c r="A313">
        <v>8</v>
      </c>
      <c r="B313">
        <f t="shared" si="46"/>
        <v>4</v>
      </c>
      <c r="C313">
        <v>465</v>
      </c>
      <c r="D313">
        <f t="shared" ca="1" si="39"/>
        <v>4</v>
      </c>
      <c r="E313" t="str">
        <f t="shared" si="40"/>
        <v>4-465 arg1</v>
      </c>
      <c r="F313">
        <f t="shared" ca="1" si="41"/>
        <v>4</v>
      </c>
      <c r="G313" t="str">
        <f t="shared" si="42"/>
        <v>4-465 feedback1</v>
      </c>
      <c r="H313">
        <v>1</v>
      </c>
      <c r="I313">
        <f t="shared" ca="1" si="43"/>
        <v>5</v>
      </c>
      <c r="J313" t="str">
        <f t="shared" si="44"/>
        <v>4-465 arg2</v>
      </c>
      <c r="K313" t="str">
        <f t="shared" si="45"/>
        <v>4-465 feedback2</v>
      </c>
      <c r="L313">
        <v>1</v>
      </c>
      <c r="M313" t="s">
        <v>1285</v>
      </c>
      <c r="N313">
        <v>312</v>
      </c>
    </row>
    <row r="314" spans="1:14">
      <c r="A314">
        <v>8</v>
      </c>
      <c r="B314">
        <f t="shared" si="46"/>
        <v>4</v>
      </c>
      <c r="C314">
        <v>466</v>
      </c>
      <c r="D314">
        <f t="shared" ca="1" si="39"/>
        <v>3</v>
      </c>
      <c r="E314" t="str">
        <f t="shared" si="40"/>
        <v>4-466 arg1</v>
      </c>
      <c r="F314">
        <f t="shared" ca="1" si="41"/>
        <v>2</v>
      </c>
      <c r="G314" t="str">
        <f t="shared" si="42"/>
        <v>4-466 feedback1</v>
      </c>
      <c r="H314">
        <v>1</v>
      </c>
      <c r="I314">
        <f t="shared" ca="1" si="43"/>
        <v>3</v>
      </c>
      <c r="J314" t="str">
        <f t="shared" si="44"/>
        <v>4-466 arg2</v>
      </c>
      <c r="K314" t="str">
        <f t="shared" si="45"/>
        <v>4-466 feedback2</v>
      </c>
      <c r="L314">
        <v>1</v>
      </c>
      <c r="M314" t="s">
        <v>1285</v>
      </c>
      <c r="N314">
        <v>313</v>
      </c>
    </row>
    <row r="315" spans="1:14">
      <c r="A315">
        <v>8</v>
      </c>
      <c r="B315">
        <f t="shared" si="46"/>
        <v>4</v>
      </c>
      <c r="C315">
        <v>467</v>
      </c>
      <c r="D315">
        <f t="shared" ca="1" si="39"/>
        <v>4</v>
      </c>
      <c r="E315" t="str">
        <f t="shared" si="40"/>
        <v>4-467 arg1</v>
      </c>
      <c r="F315">
        <f t="shared" ca="1" si="41"/>
        <v>4</v>
      </c>
      <c r="G315" t="str">
        <f t="shared" si="42"/>
        <v>4-467 feedback1</v>
      </c>
      <c r="H315">
        <v>1</v>
      </c>
      <c r="I315">
        <f t="shared" ca="1" si="43"/>
        <v>4</v>
      </c>
      <c r="J315" t="str">
        <f t="shared" si="44"/>
        <v>4-467 arg2</v>
      </c>
      <c r="K315" t="str">
        <f t="shared" si="45"/>
        <v>4-467 feedback2</v>
      </c>
      <c r="L315">
        <v>1</v>
      </c>
      <c r="M315" t="s">
        <v>1285</v>
      </c>
      <c r="N315">
        <v>314</v>
      </c>
    </row>
    <row r="316" spans="1:14">
      <c r="A316">
        <v>8</v>
      </c>
      <c r="B316">
        <f t="shared" si="46"/>
        <v>4</v>
      </c>
      <c r="C316">
        <v>468</v>
      </c>
      <c r="D316">
        <f t="shared" ca="1" si="39"/>
        <v>4</v>
      </c>
      <c r="E316" t="str">
        <f t="shared" si="40"/>
        <v>4-468 arg1</v>
      </c>
      <c r="F316">
        <f t="shared" ca="1" si="41"/>
        <v>3</v>
      </c>
      <c r="G316" t="str">
        <f t="shared" si="42"/>
        <v>4-468 feedback1</v>
      </c>
      <c r="H316">
        <v>1</v>
      </c>
      <c r="I316">
        <f t="shared" ca="1" si="43"/>
        <v>4</v>
      </c>
      <c r="J316" t="str">
        <f t="shared" si="44"/>
        <v>4-468 arg2</v>
      </c>
      <c r="K316" t="str">
        <f t="shared" si="45"/>
        <v>4-468 feedback2</v>
      </c>
      <c r="L316">
        <v>1</v>
      </c>
      <c r="M316" t="s">
        <v>1285</v>
      </c>
      <c r="N316">
        <v>315</v>
      </c>
    </row>
    <row r="317" spans="1:14">
      <c r="A317">
        <v>8</v>
      </c>
      <c r="B317">
        <f t="shared" si="46"/>
        <v>4</v>
      </c>
      <c r="C317">
        <v>469</v>
      </c>
      <c r="D317">
        <f t="shared" ca="1" si="39"/>
        <v>4</v>
      </c>
      <c r="E317" t="str">
        <f t="shared" si="40"/>
        <v>4-469 arg1</v>
      </c>
      <c r="F317">
        <f t="shared" ca="1" si="41"/>
        <v>3</v>
      </c>
      <c r="G317" t="str">
        <f t="shared" si="42"/>
        <v>4-469 feedback1</v>
      </c>
      <c r="H317">
        <v>1</v>
      </c>
      <c r="I317">
        <f t="shared" ca="1" si="43"/>
        <v>4</v>
      </c>
      <c r="J317" t="str">
        <f t="shared" si="44"/>
        <v>4-469 arg2</v>
      </c>
      <c r="K317" t="str">
        <f t="shared" si="45"/>
        <v>4-469 feedback2</v>
      </c>
      <c r="L317">
        <v>1</v>
      </c>
      <c r="M317" t="s">
        <v>1285</v>
      </c>
      <c r="N317">
        <v>316</v>
      </c>
    </row>
    <row r="318" spans="1:14">
      <c r="A318">
        <v>8</v>
      </c>
      <c r="B318">
        <f t="shared" si="46"/>
        <v>4</v>
      </c>
      <c r="C318">
        <v>470</v>
      </c>
      <c r="D318">
        <f t="shared" ca="1" si="39"/>
        <v>5</v>
      </c>
      <c r="E318" t="str">
        <f t="shared" si="40"/>
        <v>4-470 arg1</v>
      </c>
      <c r="F318">
        <f t="shared" ca="1" si="41"/>
        <v>5</v>
      </c>
      <c r="G318" t="str">
        <f t="shared" si="42"/>
        <v>4-470 feedback1</v>
      </c>
      <c r="H318">
        <v>1</v>
      </c>
      <c r="I318">
        <f t="shared" ca="1" si="43"/>
        <v>5</v>
      </c>
      <c r="J318" t="str">
        <f t="shared" si="44"/>
        <v>4-470 arg2</v>
      </c>
      <c r="K318" t="str">
        <f t="shared" si="45"/>
        <v>4-470 feedback2</v>
      </c>
      <c r="L318">
        <v>1</v>
      </c>
      <c r="M318" t="s">
        <v>1285</v>
      </c>
      <c r="N318">
        <v>317</v>
      </c>
    </row>
    <row r="319" spans="1:14">
      <c r="A319">
        <v>8</v>
      </c>
      <c r="B319">
        <f t="shared" si="46"/>
        <v>4</v>
      </c>
      <c r="C319">
        <v>471</v>
      </c>
      <c r="D319">
        <f t="shared" ca="1" si="39"/>
        <v>5</v>
      </c>
      <c r="E319" t="str">
        <f t="shared" si="40"/>
        <v>4-471 arg1</v>
      </c>
      <c r="F319">
        <f t="shared" ca="1" si="41"/>
        <v>4</v>
      </c>
      <c r="G319" t="str">
        <f t="shared" si="42"/>
        <v>4-471 feedback1</v>
      </c>
      <c r="H319">
        <v>1</v>
      </c>
      <c r="I319">
        <f t="shared" ca="1" si="43"/>
        <v>5</v>
      </c>
      <c r="J319" t="str">
        <f t="shared" si="44"/>
        <v>4-471 arg2</v>
      </c>
      <c r="K319" t="str">
        <f t="shared" si="45"/>
        <v>4-471 feedback2</v>
      </c>
      <c r="L319">
        <v>1</v>
      </c>
      <c r="M319" t="s">
        <v>1285</v>
      </c>
      <c r="N319">
        <v>318</v>
      </c>
    </row>
    <row r="320" spans="1:14">
      <c r="A320">
        <v>8</v>
      </c>
      <c r="B320">
        <f t="shared" si="46"/>
        <v>4</v>
      </c>
      <c r="C320">
        <v>472</v>
      </c>
      <c r="D320">
        <f t="shared" ca="1" si="39"/>
        <v>3</v>
      </c>
      <c r="E320" t="str">
        <f t="shared" si="40"/>
        <v>4-472 arg1</v>
      </c>
      <c r="F320">
        <f t="shared" ca="1" si="41"/>
        <v>3</v>
      </c>
      <c r="G320" t="str">
        <f t="shared" si="42"/>
        <v>4-472 feedback1</v>
      </c>
      <c r="H320">
        <v>1</v>
      </c>
      <c r="I320">
        <f t="shared" ca="1" si="43"/>
        <v>4</v>
      </c>
      <c r="J320" t="str">
        <f t="shared" si="44"/>
        <v>4-472 arg2</v>
      </c>
      <c r="K320" t="str">
        <f t="shared" si="45"/>
        <v>4-472 feedback2</v>
      </c>
      <c r="L320">
        <v>1</v>
      </c>
      <c r="M320" t="s">
        <v>1285</v>
      </c>
      <c r="N320">
        <v>319</v>
      </c>
    </row>
    <row r="321" spans="1:14">
      <c r="A321">
        <v>8</v>
      </c>
      <c r="B321">
        <f t="shared" si="46"/>
        <v>4</v>
      </c>
      <c r="C321">
        <v>473</v>
      </c>
      <c r="D321">
        <f t="shared" ca="1" si="39"/>
        <v>4</v>
      </c>
      <c r="E321" t="str">
        <f t="shared" si="40"/>
        <v>4-473 arg1</v>
      </c>
      <c r="F321">
        <f t="shared" ca="1" si="41"/>
        <v>4</v>
      </c>
      <c r="G321" t="str">
        <f t="shared" si="42"/>
        <v>4-473 feedback1</v>
      </c>
      <c r="H321">
        <v>1</v>
      </c>
      <c r="I321">
        <f t="shared" ca="1" si="43"/>
        <v>5</v>
      </c>
      <c r="J321" t="str">
        <f t="shared" si="44"/>
        <v>4-473 arg2</v>
      </c>
      <c r="K321" t="str">
        <f t="shared" si="45"/>
        <v>4-473 feedback2</v>
      </c>
      <c r="L321">
        <v>1</v>
      </c>
      <c r="M321" t="s">
        <v>1285</v>
      </c>
      <c r="N321">
        <v>320</v>
      </c>
    </row>
    <row r="322" spans="1:14">
      <c r="A322">
        <v>8</v>
      </c>
      <c r="B322">
        <f t="shared" si="46"/>
        <v>4</v>
      </c>
      <c r="C322">
        <v>474</v>
      </c>
      <c r="D322">
        <f t="shared" ca="1" si="39"/>
        <v>4</v>
      </c>
      <c r="E322" t="str">
        <f t="shared" si="40"/>
        <v>4-474 arg1</v>
      </c>
      <c r="F322">
        <f t="shared" ca="1" si="41"/>
        <v>4</v>
      </c>
      <c r="G322" t="str">
        <f t="shared" si="42"/>
        <v>4-474 feedback1</v>
      </c>
      <c r="H322">
        <v>1</v>
      </c>
      <c r="I322">
        <f t="shared" ca="1" si="43"/>
        <v>4</v>
      </c>
      <c r="J322" t="str">
        <f t="shared" si="44"/>
        <v>4-474 arg2</v>
      </c>
      <c r="K322" t="str">
        <f t="shared" si="45"/>
        <v>4-474 feedback2</v>
      </c>
      <c r="L322">
        <v>1</v>
      </c>
      <c r="M322" t="s">
        <v>1285</v>
      </c>
      <c r="N322">
        <v>321</v>
      </c>
    </row>
    <row r="323" spans="1:14">
      <c r="A323">
        <v>8</v>
      </c>
      <c r="B323">
        <f t="shared" si="46"/>
        <v>4</v>
      </c>
      <c r="C323">
        <v>475</v>
      </c>
      <c r="D323">
        <f t="shared" ref="D323:D386" ca="1" si="47">ROUND(3+2*RAND(),0)</f>
        <v>5</v>
      </c>
      <c r="E323" t="str">
        <f t="shared" si="40"/>
        <v>4-475 arg1</v>
      </c>
      <c r="F323">
        <f t="shared" ca="1" si="41"/>
        <v>5</v>
      </c>
      <c r="G323" t="str">
        <f t="shared" si="42"/>
        <v>4-475 feedback1</v>
      </c>
      <c r="H323">
        <v>1</v>
      </c>
      <c r="I323">
        <f t="shared" ca="1" si="43"/>
        <v>5</v>
      </c>
      <c r="J323" t="str">
        <f t="shared" si="44"/>
        <v>4-475 arg2</v>
      </c>
      <c r="K323" t="str">
        <f t="shared" si="45"/>
        <v>4-475 feedback2</v>
      </c>
      <c r="L323">
        <v>1</v>
      </c>
      <c r="M323" t="s">
        <v>1285</v>
      </c>
      <c r="N323">
        <v>322</v>
      </c>
    </row>
    <row r="324" spans="1:14">
      <c r="A324">
        <v>8</v>
      </c>
      <c r="B324">
        <f t="shared" si="46"/>
        <v>4</v>
      </c>
      <c r="C324">
        <v>476</v>
      </c>
      <c r="D324">
        <f t="shared" ca="1" si="47"/>
        <v>4</v>
      </c>
      <c r="E324" t="str">
        <f t="shared" si="40"/>
        <v>4-476 arg1</v>
      </c>
      <c r="F324">
        <f t="shared" ca="1" si="41"/>
        <v>2</v>
      </c>
      <c r="G324" t="str">
        <f t="shared" si="42"/>
        <v>4-476 feedback1</v>
      </c>
      <c r="H324">
        <v>1</v>
      </c>
      <c r="I324">
        <f t="shared" ca="1" si="43"/>
        <v>3</v>
      </c>
      <c r="J324" t="str">
        <f t="shared" si="44"/>
        <v>4-476 arg2</v>
      </c>
      <c r="K324" t="str">
        <f t="shared" si="45"/>
        <v>4-476 feedback2</v>
      </c>
      <c r="L324">
        <v>1</v>
      </c>
      <c r="M324" t="s">
        <v>1285</v>
      </c>
      <c r="N324">
        <v>323</v>
      </c>
    </row>
    <row r="325" spans="1:14">
      <c r="A325">
        <v>8</v>
      </c>
      <c r="B325">
        <f t="shared" si="46"/>
        <v>4</v>
      </c>
      <c r="C325">
        <v>477</v>
      </c>
      <c r="D325">
        <f t="shared" ca="1" si="47"/>
        <v>5</v>
      </c>
      <c r="E325" t="str">
        <f t="shared" si="40"/>
        <v>4-477 arg1</v>
      </c>
      <c r="F325">
        <f t="shared" ca="1" si="41"/>
        <v>4</v>
      </c>
      <c r="G325" t="str">
        <f t="shared" si="42"/>
        <v>4-477 feedback1</v>
      </c>
      <c r="H325">
        <v>1</v>
      </c>
      <c r="I325">
        <f t="shared" ca="1" si="43"/>
        <v>5</v>
      </c>
      <c r="J325" t="str">
        <f t="shared" si="44"/>
        <v>4-477 arg2</v>
      </c>
      <c r="K325" t="str">
        <f t="shared" si="45"/>
        <v>4-477 feedback2</v>
      </c>
      <c r="L325">
        <v>1</v>
      </c>
      <c r="M325" t="s">
        <v>1285</v>
      </c>
      <c r="N325">
        <v>324</v>
      </c>
    </row>
    <row r="326" spans="1:14">
      <c r="A326">
        <v>8</v>
      </c>
      <c r="B326">
        <f t="shared" si="46"/>
        <v>4</v>
      </c>
      <c r="C326">
        <v>478</v>
      </c>
      <c r="D326">
        <f t="shared" ca="1" si="47"/>
        <v>4</v>
      </c>
      <c r="E326" t="str">
        <f t="shared" si="40"/>
        <v>4-478 arg1</v>
      </c>
      <c r="F326">
        <f t="shared" ca="1" si="41"/>
        <v>4</v>
      </c>
      <c r="G326" t="str">
        <f t="shared" si="42"/>
        <v>4-478 feedback1</v>
      </c>
      <c r="H326">
        <v>1</v>
      </c>
      <c r="I326">
        <f t="shared" ca="1" si="43"/>
        <v>5</v>
      </c>
      <c r="J326" t="str">
        <f t="shared" si="44"/>
        <v>4-478 arg2</v>
      </c>
      <c r="K326" t="str">
        <f t="shared" si="45"/>
        <v>4-478 feedback2</v>
      </c>
      <c r="L326">
        <v>1</v>
      </c>
      <c r="M326" t="s">
        <v>1285</v>
      </c>
      <c r="N326">
        <v>325</v>
      </c>
    </row>
    <row r="327" spans="1:14">
      <c r="A327">
        <v>8</v>
      </c>
      <c r="B327">
        <f t="shared" si="46"/>
        <v>4</v>
      </c>
      <c r="C327">
        <v>479</v>
      </c>
      <c r="D327">
        <f t="shared" ca="1" si="47"/>
        <v>5</v>
      </c>
      <c r="E327" t="str">
        <f t="shared" si="40"/>
        <v>4-479 arg1</v>
      </c>
      <c r="F327">
        <f t="shared" ca="1" si="41"/>
        <v>4</v>
      </c>
      <c r="G327" t="str">
        <f t="shared" si="42"/>
        <v>4-479 feedback1</v>
      </c>
      <c r="H327">
        <v>1</v>
      </c>
      <c r="I327">
        <f t="shared" ca="1" si="43"/>
        <v>5</v>
      </c>
      <c r="J327" t="str">
        <f t="shared" si="44"/>
        <v>4-479 arg2</v>
      </c>
      <c r="K327" t="str">
        <f t="shared" si="45"/>
        <v>4-479 feedback2</v>
      </c>
      <c r="L327">
        <v>1</v>
      </c>
      <c r="M327" t="s">
        <v>1285</v>
      </c>
      <c r="N327">
        <v>326</v>
      </c>
    </row>
    <row r="328" spans="1:14">
      <c r="A328">
        <v>8</v>
      </c>
      <c r="B328">
        <f t="shared" si="46"/>
        <v>4</v>
      </c>
      <c r="C328">
        <v>480</v>
      </c>
      <c r="D328">
        <f t="shared" ca="1" si="47"/>
        <v>4</v>
      </c>
      <c r="E328" t="str">
        <f t="shared" si="40"/>
        <v>4-480 arg1</v>
      </c>
      <c r="F328">
        <f t="shared" ca="1" si="41"/>
        <v>4</v>
      </c>
      <c r="G328" t="str">
        <f t="shared" si="42"/>
        <v>4-480 feedback1</v>
      </c>
      <c r="H328">
        <v>1</v>
      </c>
      <c r="I328">
        <f t="shared" ca="1" si="43"/>
        <v>4</v>
      </c>
      <c r="J328" t="str">
        <f t="shared" si="44"/>
        <v>4-480 arg2</v>
      </c>
      <c r="K328" t="str">
        <f t="shared" si="45"/>
        <v>4-480 feedback2</v>
      </c>
      <c r="L328">
        <v>1</v>
      </c>
      <c r="M328" t="s">
        <v>1285</v>
      </c>
      <c r="N328">
        <v>327</v>
      </c>
    </row>
    <row r="329" spans="1:14">
      <c r="A329">
        <v>8</v>
      </c>
      <c r="B329">
        <f t="shared" si="46"/>
        <v>4</v>
      </c>
      <c r="C329">
        <v>481</v>
      </c>
      <c r="D329">
        <f t="shared" ca="1" si="47"/>
        <v>3</v>
      </c>
      <c r="E329" t="str">
        <f t="shared" si="40"/>
        <v>4-481 arg1</v>
      </c>
      <c r="F329">
        <f t="shared" ca="1" si="41"/>
        <v>2</v>
      </c>
      <c r="G329" t="str">
        <f t="shared" si="42"/>
        <v>4-481 feedback1</v>
      </c>
      <c r="H329">
        <v>1</v>
      </c>
      <c r="I329">
        <f t="shared" ca="1" si="43"/>
        <v>3</v>
      </c>
      <c r="J329" t="str">
        <f t="shared" si="44"/>
        <v>4-481 arg2</v>
      </c>
      <c r="K329" t="str">
        <f t="shared" si="45"/>
        <v>4-481 feedback2</v>
      </c>
      <c r="L329">
        <v>1</v>
      </c>
      <c r="M329" t="s">
        <v>1285</v>
      </c>
      <c r="N329">
        <v>328</v>
      </c>
    </row>
    <row r="330" spans="1:14">
      <c r="A330">
        <v>8</v>
      </c>
      <c r="B330">
        <f t="shared" si="46"/>
        <v>4</v>
      </c>
      <c r="C330">
        <v>482</v>
      </c>
      <c r="D330">
        <f t="shared" ca="1" si="47"/>
        <v>3</v>
      </c>
      <c r="E330" t="str">
        <f t="shared" si="40"/>
        <v>4-482 arg1</v>
      </c>
      <c r="F330">
        <f t="shared" ca="1" si="41"/>
        <v>1</v>
      </c>
      <c r="G330" t="str">
        <f t="shared" si="42"/>
        <v>4-482 feedback1</v>
      </c>
      <c r="H330">
        <v>1</v>
      </c>
      <c r="I330">
        <f t="shared" ca="1" si="43"/>
        <v>1</v>
      </c>
      <c r="J330" t="str">
        <f t="shared" si="44"/>
        <v>4-482 arg2</v>
      </c>
      <c r="K330" t="str">
        <f t="shared" si="45"/>
        <v>4-482 feedback2</v>
      </c>
      <c r="L330">
        <v>1</v>
      </c>
      <c r="M330" t="s">
        <v>1285</v>
      </c>
      <c r="N330">
        <v>329</v>
      </c>
    </row>
    <row r="331" spans="1:14">
      <c r="A331">
        <v>8</v>
      </c>
      <c r="B331">
        <f t="shared" si="46"/>
        <v>4</v>
      </c>
      <c r="C331">
        <v>483</v>
      </c>
      <c r="D331">
        <f t="shared" ca="1" si="47"/>
        <v>4</v>
      </c>
      <c r="E331" t="str">
        <f t="shared" si="40"/>
        <v>4-483 arg1</v>
      </c>
      <c r="F331">
        <f t="shared" ca="1" si="41"/>
        <v>3</v>
      </c>
      <c r="G331" t="str">
        <f t="shared" si="42"/>
        <v>4-483 feedback1</v>
      </c>
      <c r="H331">
        <v>1</v>
      </c>
      <c r="I331">
        <f t="shared" ca="1" si="43"/>
        <v>3</v>
      </c>
      <c r="J331" t="str">
        <f t="shared" si="44"/>
        <v>4-483 arg2</v>
      </c>
      <c r="K331" t="str">
        <f t="shared" si="45"/>
        <v>4-483 feedback2</v>
      </c>
      <c r="L331">
        <v>1</v>
      </c>
      <c r="M331" t="s">
        <v>1285</v>
      </c>
      <c r="N331">
        <v>330</v>
      </c>
    </row>
    <row r="332" spans="1:14">
      <c r="A332">
        <v>8</v>
      </c>
      <c r="B332">
        <f t="shared" si="46"/>
        <v>4</v>
      </c>
      <c r="C332">
        <v>484</v>
      </c>
      <c r="D332">
        <f t="shared" ca="1" si="47"/>
        <v>3</v>
      </c>
      <c r="E332" t="str">
        <f t="shared" si="40"/>
        <v>4-484 arg1</v>
      </c>
      <c r="F332">
        <f t="shared" ca="1" si="41"/>
        <v>2</v>
      </c>
      <c r="G332" t="str">
        <f t="shared" si="42"/>
        <v>4-484 feedback1</v>
      </c>
      <c r="H332">
        <v>1</v>
      </c>
      <c r="I332">
        <f t="shared" ca="1" si="43"/>
        <v>2</v>
      </c>
      <c r="J332" t="str">
        <f t="shared" si="44"/>
        <v>4-484 arg2</v>
      </c>
      <c r="K332" t="str">
        <f t="shared" si="45"/>
        <v>4-484 feedback2</v>
      </c>
      <c r="L332">
        <v>1</v>
      </c>
      <c r="M332" t="s">
        <v>1285</v>
      </c>
      <c r="N332">
        <v>331</v>
      </c>
    </row>
    <row r="333" spans="1:14">
      <c r="A333">
        <v>8</v>
      </c>
      <c r="B333">
        <f t="shared" si="46"/>
        <v>4</v>
      </c>
      <c r="C333">
        <v>485</v>
      </c>
      <c r="D333">
        <f t="shared" ca="1" si="47"/>
        <v>5</v>
      </c>
      <c r="E333" t="str">
        <f t="shared" si="40"/>
        <v>4-485 arg1</v>
      </c>
      <c r="F333">
        <f t="shared" ca="1" si="41"/>
        <v>5</v>
      </c>
      <c r="G333" t="str">
        <f t="shared" si="42"/>
        <v>4-485 feedback1</v>
      </c>
      <c r="H333">
        <v>1</v>
      </c>
      <c r="I333">
        <f t="shared" ca="1" si="43"/>
        <v>5</v>
      </c>
      <c r="J333" t="str">
        <f t="shared" si="44"/>
        <v>4-485 arg2</v>
      </c>
      <c r="K333" t="str">
        <f t="shared" si="45"/>
        <v>4-485 feedback2</v>
      </c>
      <c r="L333">
        <v>1</v>
      </c>
      <c r="M333" t="s">
        <v>1285</v>
      </c>
      <c r="N333">
        <v>332</v>
      </c>
    </row>
    <row r="334" spans="1:14">
      <c r="A334">
        <v>8</v>
      </c>
      <c r="B334">
        <f t="shared" si="46"/>
        <v>4</v>
      </c>
      <c r="C334">
        <v>486</v>
      </c>
      <c r="D334">
        <f t="shared" ca="1" si="47"/>
        <v>4</v>
      </c>
      <c r="E334" t="str">
        <f t="shared" si="40"/>
        <v>4-486 arg1</v>
      </c>
      <c r="F334">
        <f t="shared" ca="1" si="41"/>
        <v>3</v>
      </c>
      <c r="G334" t="str">
        <f t="shared" si="42"/>
        <v>4-486 feedback1</v>
      </c>
      <c r="H334">
        <v>1</v>
      </c>
      <c r="I334">
        <f t="shared" ca="1" si="43"/>
        <v>3</v>
      </c>
      <c r="J334" t="str">
        <f t="shared" si="44"/>
        <v>4-486 arg2</v>
      </c>
      <c r="K334" t="str">
        <f t="shared" si="45"/>
        <v>4-486 feedback2</v>
      </c>
      <c r="L334">
        <v>1</v>
      </c>
      <c r="M334" t="s">
        <v>1285</v>
      </c>
      <c r="N334">
        <v>333</v>
      </c>
    </row>
    <row r="335" spans="1:14">
      <c r="A335">
        <v>8</v>
      </c>
      <c r="B335">
        <f t="shared" si="46"/>
        <v>4</v>
      </c>
      <c r="C335">
        <v>487</v>
      </c>
      <c r="D335">
        <f t="shared" ca="1" si="47"/>
        <v>5</v>
      </c>
      <c r="E335" t="str">
        <f t="shared" si="40"/>
        <v>4-487 arg1</v>
      </c>
      <c r="F335">
        <f t="shared" ca="1" si="41"/>
        <v>4</v>
      </c>
      <c r="G335" t="str">
        <f t="shared" si="42"/>
        <v>4-487 feedback1</v>
      </c>
      <c r="H335">
        <v>1</v>
      </c>
      <c r="I335">
        <f t="shared" ca="1" si="43"/>
        <v>4</v>
      </c>
      <c r="J335" t="str">
        <f t="shared" si="44"/>
        <v>4-487 arg2</v>
      </c>
      <c r="K335" t="str">
        <f t="shared" si="45"/>
        <v>4-487 feedback2</v>
      </c>
      <c r="L335">
        <v>1</v>
      </c>
      <c r="M335" t="s">
        <v>1285</v>
      </c>
      <c r="N335">
        <v>334</v>
      </c>
    </row>
    <row r="336" spans="1:14">
      <c r="A336">
        <v>8</v>
      </c>
      <c r="B336">
        <f t="shared" si="46"/>
        <v>4</v>
      </c>
      <c r="C336">
        <v>488</v>
      </c>
      <c r="D336">
        <f t="shared" ca="1" si="47"/>
        <v>4</v>
      </c>
      <c r="E336" t="str">
        <f t="shared" si="40"/>
        <v>4-488 arg1</v>
      </c>
      <c r="F336">
        <f t="shared" ca="1" si="41"/>
        <v>3</v>
      </c>
      <c r="G336" t="str">
        <f t="shared" si="42"/>
        <v>4-488 feedback1</v>
      </c>
      <c r="H336">
        <v>1</v>
      </c>
      <c r="I336">
        <f t="shared" ca="1" si="43"/>
        <v>3</v>
      </c>
      <c r="J336" t="str">
        <f t="shared" si="44"/>
        <v>4-488 arg2</v>
      </c>
      <c r="K336" t="str">
        <f t="shared" si="45"/>
        <v>4-488 feedback2</v>
      </c>
      <c r="L336">
        <v>1</v>
      </c>
      <c r="M336" t="s">
        <v>1285</v>
      </c>
      <c r="N336">
        <v>335</v>
      </c>
    </row>
    <row r="337" spans="1:14">
      <c r="A337">
        <v>8</v>
      </c>
      <c r="B337">
        <f t="shared" si="46"/>
        <v>4</v>
      </c>
      <c r="C337">
        <v>489</v>
      </c>
      <c r="D337">
        <f t="shared" ca="1" si="47"/>
        <v>4</v>
      </c>
      <c r="E337" t="str">
        <f t="shared" si="40"/>
        <v>4-489 arg1</v>
      </c>
      <c r="F337">
        <f t="shared" ca="1" si="41"/>
        <v>3</v>
      </c>
      <c r="G337" t="str">
        <f t="shared" si="42"/>
        <v>4-489 feedback1</v>
      </c>
      <c r="H337">
        <v>1</v>
      </c>
      <c r="I337">
        <f t="shared" ca="1" si="43"/>
        <v>3</v>
      </c>
      <c r="J337" t="str">
        <f t="shared" si="44"/>
        <v>4-489 arg2</v>
      </c>
      <c r="K337" t="str">
        <f t="shared" si="45"/>
        <v>4-489 feedback2</v>
      </c>
      <c r="L337">
        <v>1</v>
      </c>
      <c r="M337" t="s">
        <v>1285</v>
      </c>
      <c r="N337">
        <v>336</v>
      </c>
    </row>
    <row r="338" spans="1:14">
      <c r="A338">
        <v>8</v>
      </c>
      <c r="B338">
        <f t="shared" si="46"/>
        <v>4</v>
      </c>
      <c r="C338">
        <v>490</v>
      </c>
      <c r="D338">
        <f t="shared" ca="1" si="47"/>
        <v>3</v>
      </c>
      <c r="E338" t="str">
        <f t="shared" si="40"/>
        <v>4-490 arg1</v>
      </c>
      <c r="F338">
        <f t="shared" ca="1" si="41"/>
        <v>2</v>
      </c>
      <c r="G338" t="str">
        <f t="shared" si="42"/>
        <v>4-490 feedback1</v>
      </c>
      <c r="H338">
        <v>1</v>
      </c>
      <c r="I338">
        <f t="shared" ca="1" si="43"/>
        <v>3</v>
      </c>
      <c r="J338" t="str">
        <f t="shared" si="44"/>
        <v>4-490 arg2</v>
      </c>
      <c r="K338" t="str">
        <f t="shared" si="45"/>
        <v>4-490 feedback2</v>
      </c>
      <c r="L338">
        <v>1</v>
      </c>
      <c r="M338" t="s">
        <v>1285</v>
      </c>
      <c r="N338">
        <v>337</v>
      </c>
    </row>
    <row r="339" spans="1:14">
      <c r="A339">
        <v>8</v>
      </c>
      <c r="B339">
        <f t="shared" si="46"/>
        <v>4</v>
      </c>
      <c r="C339">
        <v>491</v>
      </c>
      <c r="D339">
        <f t="shared" ca="1" si="47"/>
        <v>4</v>
      </c>
      <c r="E339" t="str">
        <f t="shared" si="40"/>
        <v>4-491 arg1</v>
      </c>
      <c r="F339">
        <f t="shared" ca="1" si="41"/>
        <v>4</v>
      </c>
      <c r="G339" t="str">
        <f t="shared" si="42"/>
        <v>4-491 feedback1</v>
      </c>
      <c r="H339">
        <v>1</v>
      </c>
      <c r="I339">
        <f t="shared" ca="1" si="43"/>
        <v>4</v>
      </c>
      <c r="J339" t="str">
        <f t="shared" si="44"/>
        <v>4-491 arg2</v>
      </c>
      <c r="K339" t="str">
        <f t="shared" si="45"/>
        <v>4-491 feedback2</v>
      </c>
      <c r="L339">
        <v>1</v>
      </c>
      <c r="M339" t="s">
        <v>1285</v>
      </c>
      <c r="N339">
        <v>338</v>
      </c>
    </row>
    <row r="340" spans="1:14">
      <c r="A340">
        <v>8</v>
      </c>
      <c r="B340">
        <f t="shared" si="46"/>
        <v>4</v>
      </c>
      <c r="C340">
        <v>492</v>
      </c>
      <c r="D340">
        <f t="shared" ca="1" si="47"/>
        <v>4</v>
      </c>
      <c r="E340" t="str">
        <f t="shared" si="40"/>
        <v>4-492 arg1</v>
      </c>
      <c r="F340">
        <f t="shared" ca="1" si="41"/>
        <v>3</v>
      </c>
      <c r="G340" t="str">
        <f t="shared" si="42"/>
        <v>4-492 feedback1</v>
      </c>
      <c r="H340">
        <v>1</v>
      </c>
      <c r="I340">
        <f t="shared" ca="1" si="43"/>
        <v>4</v>
      </c>
      <c r="J340" t="str">
        <f t="shared" si="44"/>
        <v>4-492 arg2</v>
      </c>
      <c r="K340" t="str">
        <f t="shared" si="45"/>
        <v>4-492 feedback2</v>
      </c>
      <c r="L340">
        <v>1</v>
      </c>
      <c r="M340" t="s">
        <v>1285</v>
      </c>
      <c r="N340">
        <v>339</v>
      </c>
    </row>
    <row r="341" spans="1:14">
      <c r="A341">
        <v>8</v>
      </c>
      <c r="B341">
        <f t="shared" si="46"/>
        <v>4</v>
      </c>
      <c r="C341">
        <v>493</v>
      </c>
      <c r="D341">
        <f t="shared" ca="1" si="47"/>
        <v>4</v>
      </c>
      <c r="E341" t="str">
        <f t="shared" ref="E341:E404" si="48">_xlfn.CONCAT(B341,"-",C341," arg1")</f>
        <v>4-493 arg1</v>
      </c>
      <c r="F341">
        <f t="shared" ref="F341:F404" ca="1" si="49">D341-ROUND(2*RAND(),0)</f>
        <v>2</v>
      </c>
      <c r="G341" t="str">
        <f t="shared" ref="G341:G404" si="50">_xlfn.CONCAT(B341,"-",C341," feedback1")</f>
        <v>4-493 feedback1</v>
      </c>
      <c r="H341">
        <v>1</v>
      </c>
      <c r="I341">
        <f t="shared" ref="I341:I404" ca="1" si="51">MIN(5,F341+ROUND(RAND(),0))</f>
        <v>2</v>
      </c>
      <c r="J341" t="str">
        <f t="shared" ref="J341:J404" si="52">_xlfn.CONCAT(B341,"-",C341," arg2")</f>
        <v>4-493 arg2</v>
      </c>
      <c r="K341" t="str">
        <f t="shared" ref="K341:K404" si="53">_xlfn.CONCAT(B341,"-",C341," feedback2")</f>
        <v>4-493 feedback2</v>
      </c>
      <c r="L341">
        <v>1</v>
      </c>
      <c r="M341" t="s">
        <v>1285</v>
      </c>
      <c r="N341">
        <v>340</v>
      </c>
    </row>
    <row r="342" spans="1:14">
      <c r="A342">
        <v>8</v>
      </c>
      <c r="B342">
        <f t="shared" si="46"/>
        <v>5</v>
      </c>
      <c r="C342">
        <v>409</v>
      </c>
      <c r="D342">
        <f t="shared" ca="1" si="47"/>
        <v>4</v>
      </c>
      <c r="E342" t="str">
        <f t="shared" si="48"/>
        <v>5-409 arg1</v>
      </c>
      <c r="F342">
        <f t="shared" ca="1" si="49"/>
        <v>2</v>
      </c>
      <c r="G342" t="str">
        <f t="shared" si="50"/>
        <v>5-409 feedback1</v>
      </c>
      <c r="H342">
        <v>1</v>
      </c>
      <c r="I342">
        <f t="shared" ca="1" si="51"/>
        <v>3</v>
      </c>
      <c r="J342" t="str">
        <f t="shared" si="52"/>
        <v>5-409 arg2</v>
      </c>
      <c r="K342" t="str">
        <f t="shared" si="53"/>
        <v>5-409 feedback2</v>
      </c>
      <c r="L342">
        <v>1</v>
      </c>
      <c r="M342" t="s">
        <v>1285</v>
      </c>
      <c r="N342">
        <v>341</v>
      </c>
    </row>
    <row r="343" spans="1:14">
      <c r="A343">
        <v>8</v>
      </c>
      <c r="B343">
        <f t="shared" si="46"/>
        <v>5</v>
      </c>
      <c r="C343">
        <v>410</v>
      </c>
      <c r="D343">
        <f t="shared" ca="1" si="47"/>
        <v>5</v>
      </c>
      <c r="E343" t="str">
        <f t="shared" si="48"/>
        <v>5-410 arg1</v>
      </c>
      <c r="F343">
        <f t="shared" ca="1" si="49"/>
        <v>4</v>
      </c>
      <c r="G343" t="str">
        <f t="shared" si="50"/>
        <v>5-410 feedback1</v>
      </c>
      <c r="H343">
        <v>1</v>
      </c>
      <c r="I343">
        <f t="shared" ca="1" si="51"/>
        <v>4</v>
      </c>
      <c r="J343" t="str">
        <f t="shared" si="52"/>
        <v>5-410 arg2</v>
      </c>
      <c r="K343" t="str">
        <f t="shared" si="53"/>
        <v>5-410 feedback2</v>
      </c>
      <c r="L343">
        <v>1</v>
      </c>
      <c r="M343" t="s">
        <v>1285</v>
      </c>
      <c r="N343">
        <v>342</v>
      </c>
    </row>
    <row r="344" spans="1:14">
      <c r="A344">
        <v>8</v>
      </c>
      <c r="B344">
        <f t="shared" si="46"/>
        <v>5</v>
      </c>
      <c r="C344">
        <v>411</v>
      </c>
      <c r="D344">
        <f t="shared" ca="1" si="47"/>
        <v>5</v>
      </c>
      <c r="E344" t="str">
        <f t="shared" si="48"/>
        <v>5-411 arg1</v>
      </c>
      <c r="F344">
        <f t="shared" ca="1" si="49"/>
        <v>5</v>
      </c>
      <c r="G344" t="str">
        <f t="shared" si="50"/>
        <v>5-411 feedback1</v>
      </c>
      <c r="H344">
        <v>1</v>
      </c>
      <c r="I344">
        <f t="shared" ca="1" si="51"/>
        <v>5</v>
      </c>
      <c r="J344" t="str">
        <f t="shared" si="52"/>
        <v>5-411 arg2</v>
      </c>
      <c r="K344" t="str">
        <f t="shared" si="53"/>
        <v>5-411 feedback2</v>
      </c>
      <c r="L344">
        <v>1</v>
      </c>
      <c r="M344" t="s">
        <v>1285</v>
      </c>
      <c r="N344">
        <v>343</v>
      </c>
    </row>
    <row r="345" spans="1:14">
      <c r="A345">
        <v>8</v>
      </c>
      <c r="B345">
        <f t="shared" si="46"/>
        <v>5</v>
      </c>
      <c r="C345">
        <v>412</v>
      </c>
      <c r="D345">
        <f t="shared" ca="1" si="47"/>
        <v>4</v>
      </c>
      <c r="E345" t="str">
        <f t="shared" si="48"/>
        <v>5-412 arg1</v>
      </c>
      <c r="F345">
        <f t="shared" ca="1" si="49"/>
        <v>4</v>
      </c>
      <c r="G345" t="str">
        <f t="shared" si="50"/>
        <v>5-412 feedback1</v>
      </c>
      <c r="H345">
        <v>1</v>
      </c>
      <c r="I345">
        <f t="shared" ca="1" si="51"/>
        <v>4</v>
      </c>
      <c r="J345" t="str">
        <f t="shared" si="52"/>
        <v>5-412 arg2</v>
      </c>
      <c r="K345" t="str">
        <f t="shared" si="53"/>
        <v>5-412 feedback2</v>
      </c>
      <c r="L345">
        <v>1</v>
      </c>
      <c r="M345" t="s">
        <v>1285</v>
      </c>
      <c r="N345">
        <v>344</v>
      </c>
    </row>
    <row r="346" spans="1:14">
      <c r="A346">
        <v>8</v>
      </c>
      <c r="B346">
        <f t="shared" si="46"/>
        <v>5</v>
      </c>
      <c r="C346">
        <v>413</v>
      </c>
      <c r="D346">
        <f t="shared" ca="1" si="47"/>
        <v>4</v>
      </c>
      <c r="E346" t="str">
        <f t="shared" si="48"/>
        <v>5-413 arg1</v>
      </c>
      <c r="F346">
        <f t="shared" ca="1" si="49"/>
        <v>3</v>
      </c>
      <c r="G346" t="str">
        <f t="shared" si="50"/>
        <v>5-413 feedback1</v>
      </c>
      <c r="H346">
        <v>1</v>
      </c>
      <c r="I346">
        <f t="shared" ca="1" si="51"/>
        <v>3</v>
      </c>
      <c r="J346" t="str">
        <f t="shared" si="52"/>
        <v>5-413 arg2</v>
      </c>
      <c r="K346" t="str">
        <f t="shared" si="53"/>
        <v>5-413 feedback2</v>
      </c>
      <c r="L346">
        <v>1</v>
      </c>
      <c r="M346" t="s">
        <v>1285</v>
      </c>
      <c r="N346">
        <v>345</v>
      </c>
    </row>
    <row r="347" spans="1:14">
      <c r="A347">
        <v>8</v>
      </c>
      <c r="B347">
        <f t="shared" si="46"/>
        <v>5</v>
      </c>
      <c r="C347">
        <v>414</v>
      </c>
      <c r="D347">
        <f t="shared" ca="1" si="47"/>
        <v>4</v>
      </c>
      <c r="E347" t="str">
        <f t="shared" si="48"/>
        <v>5-414 arg1</v>
      </c>
      <c r="F347">
        <f t="shared" ca="1" si="49"/>
        <v>3</v>
      </c>
      <c r="G347" t="str">
        <f t="shared" si="50"/>
        <v>5-414 feedback1</v>
      </c>
      <c r="H347">
        <v>1</v>
      </c>
      <c r="I347">
        <f t="shared" ca="1" si="51"/>
        <v>3</v>
      </c>
      <c r="J347" t="str">
        <f t="shared" si="52"/>
        <v>5-414 arg2</v>
      </c>
      <c r="K347" t="str">
        <f t="shared" si="53"/>
        <v>5-414 feedback2</v>
      </c>
      <c r="L347">
        <v>1</v>
      </c>
      <c r="M347" t="s">
        <v>1285</v>
      </c>
      <c r="N347">
        <v>346</v>
      </c>
    </row>
    <row r="348" spans="1:14">
      <c r="A348">
        <v>8</v>
      </c>
      <c r="B348">
        <f t="shared" si="46"/>
        <v>5</v>
      </c>
      <c r="C348">
        <v>415</v>
      </c>
      <c r="D348">
        <f t="shared" ca="1" si="47"/>
        <v>4</v>
      </c>
      <c r="E348" t="str">
        <f t="shared" si="48"/>
        <v>5-415 arg1</v>
      </c>
      <c r="F348">
        <f t="shared" ca="1" si="49"/>
        <v>2</v>
      </c>
      <c r="G348" t="str">
        <f t="shared" si="50"/>
        <v>5-415 feedback1</v>
      </c>
      <c r="H348">
        <v>1</v>
      </c>
      <c r="I348">
        <f t="shared" ca="1" si="51"/>
        <v>2</v>
      </c>
      <c r="J348" t="str">
        <f t="shared" si="52"/>
        <v>5-415 arg2</v>
      </c>
      <c r="K348" t="str">
        <f t="shared" si="53"/>
        <v>5-415 feedback2</v>
      </c>
      <c r="L348">
        <v>1</v>
      </c>
      <c r="M348" t="s">
        <v>1285</v>
      </c>
      <c r="N348">
        <v>347</v>
      </c>
    </row>
    <row r="349" spans="1:14">
      <c r="A349">
        <v>8</v>
      </c>
      <c r="B349">
        <f t="shared" si="46"/>
        <v>5</v>
      </c>
      <c r="C349">
        <v>416</v>
      </c>
      <c r="D349">
        <f t="shared" ca="1" si="47"/>
        <v>3</v>
      </c>
      <c r="E349" t="str">
        <f t="shared" si="48"/>
        <v>5-416 arg1</v>
      </c>
      <c r="F349">
        <f t="shared" ca="1" si="49"/>
        <v>2</v>
      </c>
      <c r="G349" t="str">
        <f t="shared" si="50"/>
        <v>5-416 feedback1</v>
      </c>
      <c r="H349">
        <v>1</v>
      </c>
      <c r="I349">
        <f t="shared" ca="1" si="51"/>
        <v>2</v>
      </c>
      <c r="J349" t="str">
        <f t="shared" si="52"/>
        <v>5-416 arg2</v>
      </c>
      <c r="K349" t="str">
        <f t="shared" si="53"/>
        <v>5-416 feedback2</v>
      </c>
      <c r="L349">
        <v>1</v>
      </c>
      <c r="M349" t="s">
        <v>1285</v>
      </c>
      <c r="N349">
        <v>348</v>
      </c>
    </row>
    <row r="350" spans="1:14">
      <c r="A350">
        <v>8</v>
      </c>
      <c r="B350">
        <f t="shared" si="46"/>
        <v>5</v>
      </c>
      <c r="C350">
        <v>417</v>
      </c>
      <c r="D350">
        <f t="shared" ca="1" si="47"/>
        <v>3</v>
      </c>
      <c r="E350" t="str">
        <f t="shared" si="48"/>
        <v>5-417 arg1</v>
      </c>
      <c r="F350">
        <f t="shared" ca="1" si="49"/>
        <v>2</v>
      </c>
      <c r="G350" t="str">
        <f t="shared" si="50"/>
        <v>5-417 feedback1</v>
      </c>
      <c r="H350">
        <v>1</v>
      </c>
      <c r="I350">
        <f t="shared" ca="1" si="51"/>
        <v>3</v>
      </c>
      <c r="J350" t="str">
        <f t="shared" si="52"/>
        <v>5-417 arg2</v>
      </c>
      <c r="K350" t="str">
        <f t="shared" si="53"/>
        <v>5-417 feedback2</v>
      </c>
      <c r="L350">
        <v>1</v>
      </c>
      <c r="M350" t="s">
        <v>1285</v>
      </c>
      <c r="N350">
        <v>349</v>
      </c>
    </row>
    <row r="351" spans="1:14">
      <c r="A351">
        <v>8</v>
      </c>
      <c r="B351">
        <f t="shared" si="46"/>
        <v>5</v>
      </c>
      <c r="C351">
        <v>418</v>
      </c>
      <c r="D351">
        <f t="shared" ca="1" si="47"/>
        <v>4</v>
      </c>
      <c r="E351" t="str">
        <f t="shared" si="48"/>
        <v>5-418 arg1</v>
      </c>
      <c r="F351">
        <f t="shared" ca="1" si="49"/>
        <v>3</v>
      </c>
      <c r="G351" t="str">
        <f t="shared" si="50"/>
        <v>5-418 feedback1</v>
      </c>
      <c r="H351">
        <v>1</v>
      </c>
      <c r="I351">
        <f t="shared" ca="1" si="51"/>
        <v>3</v>
      </c>
      <c r="J351" t="str">
        <f t="shared" si="52"/>
        <v>5-418 arg2</v>
      </c>
      <c r="K351" t="str">
        <f t="shared" si="53"/>
        <v>5-418 feedback2</v>
      </c>
      <c r="L351">
        <v>1</v>
      </c>
      <c r="M351" t="s">
        <v>1285</v>
      </c>
      <c r="N351">
        <v>350</v>
      </c>
    </row>
    <row r="352" spans="1:14">
      <c r="A352">
        <v>8</v>
      </c>
      <c r="B352">
        <f t="shared" si="46"/>
        <v>5</v>
      </c>
      <c r="C352">
        <v>419</v>
      </c>
      <c r="D352">
        <f t="shared" ca="1" si="47"/>
        <v>4</v>
      </c>
      <c r="E352" t="str">
        <f t="shared" si="48"/>
        <v>5-419 arg1</v>
      </c>
      <c r="F352">
        <f t="shared" ca="1" si="49"/>
        <v>4</v>
      </c>
      <c r="G352" t="str">
        <f t="shared" si="50"/>
        <v>5-419 feedback1</v>
      </c>
      <c r="H352">
        <v>1</v>
      </c>
      <c r="I352">
        <f t="shared" ca="1" si="51"/>
        <v>5</v>
      </c>
      <c r="J352" t="str">
        <f t="shared" si="52"/>
        <v>5-419 arg2</v>
      </c>
      <c r="K352" t="str">
        <f t="shared" si="53"/>
        <v>5-419 feedback2</v>
      </c>
      <c r="L352">
        <v>1</v>
      </c>
      <c r="M352" t="s">
        <v>1285</v>
      </c>
      <c r="N352">
        <v>351</v>
      </c>
    </row>
    <row r="353" spans="1:14">
      <c r="A353">
        <v>8</v>
      </c>
      <c r="B353">
        <f t="shared" si="46"/>
        <v>5</v>
      </c>
      <c r="C353">
        <v>420</v>
      </c>
      <c r="D353">
        <f t="shared" ca="1" si="47"/>
        <v>4</v>
      </c>
      <c r="E353" t="str">
        <f t="shared" si="48"/>
        <v>5-420 arg1</v>
      </c>
      <c r="F353">
        <f t="shared" ca="1" si="49"/>
        <v>3</v>
      </c>
      <c r="G353" t="str">
        <f t="shared" si="50"/>
        <v>5-420 feedback1</v>
      </c>
      <c r="H353">
        <v>1</v>
      </c>
      <c r="I353">
        <f t="shared" ca="1" si="51"/>
        <v>3</v>
      </c>
      <c r="J353" t="str">
        <f t="shared" si="52"/>
        <v>5-420 arg2</v>
      </c>
      <c r="K353" t="str">
        <f t="shared" si="53"/>
        <v>5-420 feedback2</v>
      </c>
      <c r="L353">
        <v>1</v>
      </c>
      <c r="M353" t="s">
        <v>1285</v>
      </c>
      <c r="N353">
        <v>352</v>
      </c>
    </row>
    <row r="354" spans="1:14">
      <c r="A354">
        <v>8</v>
      </c>
      <c r="B354">
        <f t="shared" si="46"/>
        <v>5</v>
      </c>
      <c r="C354">
        <v>421</v>
      </c>
      <c r="D354">
        <f t="shared" ca="1" si="47"/>
        <v>4</v>
      </c>
      <c r="E354" t="str">
        <f t="shared" si="48"/>
        <v>5-421 arg1</v>
      </c>
      <c r="F354">
        <f t="shared" ca="1" si="49"/>
        <v>3</v>
      </c>
      <c r="G354" t="str">
        <f t="shared" si="50"/>
        <v>5-421 feedback1</v>
      </c>
      <c r="H354">
        <v>1</v>
      </c>
      <c r="I354">
        <f t="shared" ca="1" si="51"/>
        <v>4</v>
      </c>
      <c r="J354" t="str">
        <f t="shared" si="52"/>
        <v>5-421 arg2</v>
      </c>
      <c r="K354" t="str">
        <f t="shared" si="53"/>
        <v>5-421 feedback2</v>
      </c>
      <c r="L354">
        <v>1</v>
      </c>
      <c r="M354" t="s">
        <v>1285</v>
      </c>
      <c r="N354">
        <v>353</v>
      </c>
    </row>
    <row r="355" spans="1:14">
      <c r="A355">
        <v>8</v>
      </c>
      <c r="B355">
        <f t="shared" si="46"/>
        <v>5</v>
      </c>
      <c r="C355">
        <v>422</v>
      </c>
      <c r="D355">
        <f t="shared" ca="1" si="47"/>
        <v>5</v>
      </c>
      <c r="E355" t="str">
        <f t="shared" si="48"/>
        <v>5-422 arg1</v>
      </c>
      <c r="F355">
        <f t="shared" ca="1" si="49"/>
        <v>4</v>
      </c>
      <c r="G355" t="str">
        <f t="shared" si="50"/>
        <v>5-422 feedback1</v>
      </c>
      <c r="H355">
        <v>1</v>
      </c>
      <c r="I355">
        <f t="shared" ca="1" si="51"/>
        <v>5</v>
      </c>
      <c r="J355" t="str">
        <f t="shared" si="52"/>
        <v>5-422 arg2</v>
      </c>
      <c r="K355" t="str">
        <f t="shared" si="53"/>
        <v>5-422 feedback2</v>
      </c>
      <c r="L355">
        <v>1</v>
      </c>
      <c r="M355" t="s">
        <v>1285</v>
      </c>
      <c r="N355">
        <v>354</v>
      </c>
    </row>
    <row r="356" spans="1:14">
      <c r="A356">
        <v>8</v>
      </c>
      <c r="B356">
        <f t="shared" si="46"/>
        <v>5</v>
      </c>
      <c r="C356">
        <v>423</v>
      </c>
      <c r="D356">
        <f t="shared" ca="1" si="47"/>
        <v>5</v>
      </c>
      <c r="E356" t="str">
        <f t="shared" si="48"/>
        <v>5-423 arg1</v>
      </c>
      <c r="F356">
        <f t="shared" ca="1" si="49"/>
        <v>3</v>
      </c>
      <c r="G356" t="str">
        <f t="shared" si="50"/>
        <v>5-423 feedback1</v>
      </c>
      <c r="H356">
        <v>1</v>
      </c>
      <c r="I356">
        <f t="shared" ca="1" si="51"/>
        <v>4</v>
      </c>
      <c r="J356" t="str">
        <f t="shared" si="52"/>
        <v>5-423 arg2</v>
      </c>
      <c r="K356" t="str">
        <f t="shared" si="53"/>
        <v>5-423 feedback2</v>
      </c>
      <c r="L356">
        <v>1</v>
      </c>
      <c r="M356" t="s">
        <v>1285</v>
      </c>
      <c r="N356">
        <v>355</v>
      </c>
    </row>
    <row r="357" spans="1:14">
      <c r="A357">
        <v>8</v>
      </c>
      <c r="B357">
        <f t="shared" si="46"/>
        <v>5</v>
      </c>
      <c r="C357">
        <v>424</v>
      </c>
      <c r="D357">
        <f t="shared" ca="1" si="47"/>
        <v>5</v>
      </c>
      <c r="E357" t="str">
        <f t="shared" si="48"/>
        <v>5-424 arg1</v>
      </c>
      <c r="F357">
        <f t="shared" ca="1" si="49"/>
        <v>4</v>
      </c>
      <c r="G357" t="str">
        <f t="shared" si="50"/>
        <v>5-424 feedback1</v>
      </c>
      <c r="H357">
        <v>1</v>
      </c>
      <c r="I357">
        <f t="shared" ca="1" si="51"/>
        <v>5</v>
      </c>
      <c r="J357" t="str">
        <f t="shared" si="52"/>
        <v>5-424 arg2</v>
      </c>
      <c r="K357" t="str">
        <f t="shared" si="53"/>
        <v>5-424 feedback2</v>
      </c>
      <c r="L357">
        <v>1</v>
      </c>
      <c r="M357" t="s">
        <v>1285</v>
      </c>
      <c r="N357">
        <v>356</v>
      </c>
    </row>
    <row r="358" spans="1:14">
      <c r="A358">
        <v>8</v>
      </c>
      <c r="B358">
        <f t="shared" si="46"/>
        <v>5</v>
      </c>
      <c r="C358">
        <v>425</v>
      </c>
      <c r="D358">
        <f t="shared" ca="1" si="47"/>
        <v>3</v>
      </c>
      <c r="E358" t="str">
        <f t="shared" si="48"/>
        <v>5-425 arg1</v>
      </c>
      <c r="F358">
        <f t="shared" ca="1" si="49"/>
        <v>3</v>
      </c>
      <c r="G358" t="str">
        <f t="shared" si="50"/>
        <v>5-425 feedback1</v>
      </c>
      <c r="H358">
        <v>1</v>
      </c>
      <c r="I358">
        <f t="shared" ca="1" si="51"/>
        <v>3</v>
      </c>
      <c r="J358" t="str">
        <f t="shared" si="52"/>
        <v>5-425 arg2</v>
      </c>
      <c r="K358" t="str">
        <f t="shared" si="53"/>
        <v>5-425 feedback2</v>
      </c>
      <c r="L358">
        <v>1</v>
      </c>
      <c r="M358" t="s">
        <v>1285</v>
      </c>
      <c r="N358">
        <v>357</v>
      </c>
    </row>
    <row r="359" spans="1:14">
      <c r="A359">
        <v>8</v>
      </c>
      <c r="B359">
        <f t="shared" si="46"/>
        <v>5</v>
      </c>
      <c r="C359">
        <v>426</v>
      </c>
      <c r="D359">
        <f t="shared" ca="1" si="47"/>
        <v>3</v>
      </c>
      <c r="E359" t="str">
        <f t="shared" si="48"/>
        <v>5-426 arg1</v>
      </c>
      <c r="F359">
        <f t="shared" ca="1" si="49"/>
        <v>2</v>
      </c>
      <c r="G359" t="str">
        <f t="shared" si="50"/>
        <v>5-426 feedback1</v>
      </c>
      <c r="H359">
        <v>1</v>
      </c>
      <c r="I359">
        <f t="shared" ca="1" si="51"/>
        <v>3</v>
      </c>
      <c r="J359" t="str">
        <f t="shared" si="52"/>
        <v>5-426 arg2</v>
      </c>
      <c r="K359" t="str">
        <f t="shared" si="53"/>
        <v>5-426 feedback2</v>
      </c>
      <c r="L359">
        <v>1</v>
      </c>
      <c r="M359" t="s">
        <v>1285</v>
      </c>
      <c r="N359">
        <v>358</v>
      </c>
    </row>
    <row r="360" spans="1:14">
      <c r="A360">
        <v>8</v>
      </c>
      <c r="B360">
        <f t="shared" si="46"/>
        <v>5</v>
      </c>
      <c r="C360">
        <v>427</v>
      </c>
      <c r="D360">
        <f t="shared" ca="1" si="47"/>
        <v>4</v>
      </c>
      <c r="E360" t="str">
        <f t="shared" si="48"/>
        <v>5-427 arg1</v>
      </c>
      <c r="F360">
        <f t="shared" ca="1" si="49"/>
        <v>3</v>
      </c>
      <c r="G360" t="str">
        <f t="shared" si="50"/>
        <v>5-427 feedback1</v>
      </c>
      <c r="H360">
        <v>1</v>
      </c>
      <c r="I360">
        <f t="shared" ca="1" si="51"/>
        <v>4</v>
      </c>
      <c r="J360" t="str">
        <f t="shared" si="52"/>
        <v>5-427 arg2</v>
      </c>
      <c r="K360" t="str">
        <f t="shared" si="53"/>
        <v>5-427 feedback2</v>
      </c>
      <c r="L360">
        <v>1</v>
      </c>
      <c r="M360" t="s">
        <v>1285</v>
      </c>
      <c r="N360">
        <v>359</v>
      </c>
    </row>
    <row r="361" spans="1:14">
      <c r="A361">
        <v>8</v>
      </c>
      <c r="B361">
        <f t="shared" si="46"/>
        <v>5</v>
      </c>
      <c r="C361">
        <v>428</v>
      </c>
      <c r="D361">
        <f t="shared" ca="1" si="47"/>
        <v>3</v>
      </c>
      <c r="E361" t="str">
        <f t="shared" si="48"/>
        <v>5-428 arg1</v>
      </c>
      <c r="F361">
        <f t="shared" ca="1" si="49"/>
        <v>1</v>
      </c>
      <c r="G361" t="str">
        <f t="shared" si="50"/>
        <v>5-428 feedback1</v>
      </c>
      <c r="H361">
        <v>1</v>
      </c>
      <c r="I361">
        <f t="shared" ca="1" si="51"/>
        <v>2</v>
      </c>
      <c r="J361" t="str">
        <f t="shared" si="52"/>
        <v>5-428 arg2</v>
      </c>
      <c r="K361" t="str">
        <f t="shared" si="53"/>
        <v>5-428 feedback2</v>
      </c>
      <c r="L361">
        <v>1</v>
      </c>
      <c r="M361" t="s">
        <v>1285</v>
      </c>
      <c r="N361">
        <v>360</v>
      </c>
    </row>
    <row r="362" spans="1:14">
      <c r="A362">
        <v>8</v>
      </c>
      <c r="B362">
        <f t="shared" si="46"/>
        <v>5</v>
      </c>
      <c r="C362">
        <v>429</v>
      </c>
      <c r="D362">
        <f t="shared" ca="1" si="47"/>
        <v>3</v>
      </c>
      <c r="E362" t="str">
        <f t="shared" si="48"/>
        <v>5-429 arg1</v>
      </c>
      <c r="F362">
        <f t="shared" ca="1" si="49"/>
        <v>2</v>
      </c>
      <c r="G362" t="str">
        <f t="shared" si="50"/>
        <v>5-429 feedback1</v>
      </c>
      <c r="H362">
        <v>1</v>
      </c>
      <c r="I362">
        <f t="shared" ca="1" si="51"/>
        <v>3</v>
      </c>
      <c r="J362" t="str">
        <f t="shared" si="52"/>
        <v>5-429 arg2</v>
      </c>
      <c r="K362" t="str">
        <f t="shared" si="53"/>
        <v>5-429 feedback2</v>
      </c>
      <c r="L362">
        <v>1</v>
      </c>
      <c r="M362" t="s">
        <v>1285</v>
      </c>
      <c r="N362">
        <v>361</v>
      </c>
    </row>
    <row r="363" spans="1:14">
      <c r="A363">
        <v>8</v>
      </c>
      <c r="B363">
        <f t="shared" si="46"/>
        <v>5</v>
      </c>
      <c r="C363">
        <v>430</v>
      </c>
      <c r="D363">
        <f t="shared" ca="1" si="47"/>
        <v>4</v>
      </c>
      <c r="E363" t="str">
        <f t="shared" si="48"/>
        <v>5-430 arg1</v>
      </c>
      <c r="F363">
        <f t="shared" ca="1" si="49"/>
        <v>3</v>
      </c>
      <c r="G363" t="str">
        <f t="shared" si="50"/>
        <v>5-430 feedback1</v>
      </c>
      <c r="H363">
        <v>1</v>
      </c>
      <c r="I363">
        <f t="shared" ca="1" si="51"/>
        <v>3</v>
      </c>
      <c r="J363" t="str">
        <f t="shared" si="52"/>
        <v>5-430 arg2</v>
      </c>
      <c r="K363" t="str">
        <f t="shared" si="53"/>
        <v>5-430 feedback2</v>
      </c>
      <c r="L363">
        <v>1</v>
      </c>
      <c r="M363" t="s">
        <v>1285</v>
      </c>
      <c r="N363">
        <v>362</v>
      </c>
    </row>
    <row r="364" spans="1:14">
      <c r="A364">
        <v>8</v>
      </c>
      <c r="B364">
        <f t="shared" si="46"/>
        <v>5</v>
      </c>
      <c r="C364">
        <v>431</v>
      </c>
      <c r="D364">
        <f t="shared" ca="1" si="47"/>
        <v>4</v>
      </c>
      <c r="E364" t="str">
        <f t="shared" si="48"/>
        <v>5-431 arg1</v>
      </c>
      <c r="F364">
        <f t="shared" ca="1" si="49"/>
        <v>2</v>
      </c>
      <c r="G364" t="str">
        <f t="shared" si="50"/>
        <v>5-431 feedback1</v>
      </c>
      <c r="H364">
        <v>1</v>
      </c>
      <c r="I364">
        <f t="shared" ca="1" si="51"/>
        <v>3</v>
      </c>
      <c r="J364" t="str">
        <f t="shared" si="52"/>
        <v>5-431 arg2</v>
      </c>
      <c r="K364" t="str">
        <f t="shared" si="53"/>
        <v>5-431 feedback2</v>
      </c>
      <c r="L364">
        <v>1</v>
      </c>
      <c r="M364" t="s">
        <v>1285</v>
      </c>
      <c r="N364">
        <v>363</v>
      </c>
    </row>
    <row r="365" spans="1:14">
      <c r="A365">
        <v>8</v>
      </c>
      <c r="B365">
        <f t="shared" si="46"/>
        <v>5</v>
      </c>
      <c r="C365">
        <v>432</v>
      </c>
      <c r="D365">
        <f t="shared" ca="1" si="47"/>
        <v>5</v>
      </c>
      <c r="E365" t="str">
        <f t="shared" si="48"/>
        <v>5-432 arg1</v>
      </c>
      <c r="F365">
        <f t="shared" ca="1" si="49"/>
        <v>4</v>
      </c>
      <c r="G365" t="str">
        <f t="shared" si="50"/>
        <v>5-432 feedback1</v>
      </c>
      <c r="H365">
        <v>1</v>
      </c>
      <c r="I365">
        <f t="shared" ca="1" si="51"/>
        <v>5</v>
      </c>
      <c r="J365" t="str">
        <f t="shared" si="52"/>
        <v>5-432 arg2</v>
      </c>
      <c r="K365" t="str">
        <f t="shared" si="53"/>
        <v>5-432 feedback2</v>
      </c>
      <c r="L365">
        <v>1</v>
      </c>
      <c r="M365" t="s">
        <v>1285</v>
      </c>
      <c r="N365">
        <v>364</v>
      </c>
    </row>
    <row r="366" spans="1:14">
      <c r="A366">
        <v>8</v>
      </c>
      <c r="B366">
        <f t="shared" si="46"/>
        <v>5</v>
      </c>
      <c r="C366">
        <v>433</v>
      </c>
      <c r="D366">
        <f t="shared" ca="1" si="47"/>
        <v>5</v>
      </c>
      <c r="E366" t="str">
        <f t="shared" si="48"/>
        <v>5-433 arg1</v>
      </c>
      <c r="F366">
        <f t="shared" ca="1" si="49"/>
        <v>3</v>
      </c>
      <c r="G366" t="str">
        <f t="shared" si="50"/>
        <v>5-433 feedback1</v>
      </c>
      <c r="H366">
        <v>1</v>
      </c>
      <c r="I366">
        <f t="shared" ca="1" si="51"/>
        <v>3</v>
      </c>
      <c r="J366" t="str">
        <f t="shared" si="52"/>
        <v>5-433 arg2</v>
      </c>
      <c r="K366" t="str">
        <f t="shared" si="53"/>
        <v>5-433 feedback2</v>
      </c>
      <c r="L366">
        <v>1</v>
      </c>
      <c r="M366" t="s">
        <v>1285</v>
      </c>
      <c r="N366">
        <v>365</v>
      </c>
    </row>
    <row r="367" spans="1:14">
      <c r="A367">
        <v>8</v>
      </c>
      <c r="B367">
        <f t="shared" si="46"/>
        <v>5</v>
      </c>
      <c r="C367">
        <v>434</v>
      </c>
      <c r="D367">
        <f t="shared" ca="1" si="47"/>
        <v>4</v>
      </c>
      <c r="E367" t="str">
        <f t="shared" si="48"/>
        <v>5-434 arg1</v>
      </c>
      <c r="F367">
        <f t="shared" ca="1" si="49"/>
        <v>4</v>
      </c>
      <c r="G367" t="str">
        <f t="shared" si="50"/>
        <v>5-434 feedback1</v>
      </c>
      <c r="H367">
        <v>1</v>
      </c>
      <c r="I367">
        <f t="shared" ca="1" si="51"/>
        <v>4</v>
      </c>
      <c r="J367" t="str">
        <f t="shared" si="52"/>
        <v>5-434 arg2</v>
      </c>
      <c r="K367" t="str">
        <f t="shared" si="53"/>
        <v>5-434 feedback2</v>
      </c>
      <c r="L367">
        <v>1</v>
      </c>
      <c r="M367" t="s">
        <v>1285</v>
      </c>
      <c r="N367">
        <v>366</v>
      </c>
    </row>
    <row r="368" spans="1:14">
      <c r="A368">
        <v>8</v>
      </c>
      <c r="B368">
        <f t="shared" si="46"/>
        <v>5</v>
      </c>
      <c r="C368">
        <v>435</v>
      </c>
      <c r="D368">
        <f t="shared" ca="1" si="47"/>
        <v>3</v>
      </c>
      <c r="E368" t="str">
        <f t="shared" si="48"/>
        <v>5-435 arg1</v>
      </c>
      <c r="F368">
        <f t="shared" ca="1" si="49"/>
        <v>2</v>
      </c>
      <c r="G368" t="str">
        <f t="shared" si="50"/>
        <v>5-435 feedback1</v>
      </c>
      <c r="H368">
        <v>1</v>
      </c>
      <c r="I368">
        <f t="shared" ca="1" si="51"/>
        <v>3</v>
      </c>
      <c r="J368" t="str">
        <f t="shared" si="52"/>
        <v>5-435 arg2</v>
      </c>
      <c r="K368" t="str">
        <f t="shared" si="53"/>
        <v>5-435 feedback2</v>
      </c>
      <c r="L368">
        <v>1</v>
      </c>
      <c r="M368" t="s">
        <v>1285</v>
      </c>
      <c r="N368">
        <v>367</v>
      </c>
    </row>
    <row r="369" spans="1:14">
      <c r="A369">
        <v>8</v>
      </c>
      <c r="B369">
        <f t="shared" si="46"/>
        <v>5</v>
      </c>
      <c r="C369">
        <v>436</v>
      </c>
      <c r="D369">
        <f t="shared" ca="1" si="47"/>
        <v>4</v>
      </c>
      <c r="E369" t="str">
        <f t="shared" si="48"/>
        <v>5-436 arg1</v>
      </c>
      <c r="F369">
        <f t="shared" ca="1" si="49"/>
        <v>3</v>
      </c>
      <c r="G369" t="str">
        <f t="shared" si="50"/>
        <v>5-436 feedback1</v>
      </c>
      <c r="H369">
        <v>1</v>
      </c>
      <c r="I369">
        <f t="shared" ca="1" si="51"/>
        <v>4</v>
      </c>
      <c r="J369" t="str">
        <f t="shared" si="52"/>
        <v>5-436 arg2</v>
      </c>
      <c r="K369" t="str">
        <f t="shared" si="53"/>
        <v>5-436 feedback2</v>
      </c>
      <c r="L369">
        <v>1</v>
      </c>
      <c r="M369" t="s">
        <v>1285</v>
      </c>
      <c r="N369">
        <v>368</v>
      </c>
    </row>
    <row r="370" spans="1:14">
      <c r="A370">
        <v>8</v>
      </c>
      <c r="B370">
        <f t="shared" si="46"/>
        <v>5</v>
      </c>
      <c r="C370">
        <v>437</v>
      </c>
      <c r="D370">
        <f t="shared" ca="1" si="47"/>
        <v>4</v>
      </c>
      <c r="E370" t="str">
        <f t="shared" si="48"/>
        <v>5-437 arg1</v>
      </c>
      <c r="F370">
        <f t="shared" ca="1" si="49"/>
        <v>2</v>
      </c>
      <c r="G370" t="str">
        <f t="shared" si="50"/>
        <v>5-437 feedback1</v>
      </c>
      <c r="H370">
        <v>1</v>
      </c>
      <c r="I370">
        <f t="shared" ca="1" si="51"/>
        <v>3</v>
      </c>
      <c r="J370" t="str">
        <f t="shared" si="52"/>
        <v>5-437 arg2</v>
      </c>
      <c r="K370" t="str">
        <f t="shared" si="53"/>
        <v>5-437 feedback2</v>
      </c>
      <c r="L370">
        <v>1</v>
      </c>
      <c r="M370" t="s">
        <v>1285</v>
      </c>
      <c r="N370">
        <v>369</v>
      </c>
    </row>
    <row r="371" spans="1:14">
      <c r="A371">
        <v>8</v>
      </c>
      <c r="B371">
        <f t="shared" si="46"/>
        <v>5</v>
      </c>
      <c r="C371">
        <v>438</v>
      </c>
      <c r="D371">
        <f t="shared" ca="1" si="47"/>
        <v>5</v>
      </c>
      <c r="E371" t="str">
        <f t="shared" si="48"/>
        <v>5-438 arg1</v>
      </c>
      <c r="F371">
        <f t="shared" ca="1" si="49"/>
        <v>4</v>
      </c>
      <c r="G371" t="str">
        <f t="shared" si="50"/>
        <v>5-438 feedback1</v>
      </c>
      <c r="H371">
        <v>1</v>
      </c>
      <c r="I371">
        <f t="shared" ca="1" si="51"/>
        <v>4</v>
      </c>
      <c r="J371" t="str">
        <f t="shared" si="52"/>
        <v>5-438 arg2</v>
      </c>
      <c r="K371" t="str">
        <f t="shared" si="53"/>
        <v>5-438 feedback2</v>
      </c>
      <c r="L371">
        <v>1</v>
      </c>
      <c r="M371" t="s">
        <v>1285</v>
      </c>
      <c r="N371">
        <v>370</v>
      </c>
    </row>
    <row r="372" spans="1:14">
      <c r="A372">
        <v>8</v>
      </c>
      <c r="B372">
        <f t="shared" si="46"/>
        <v>5</v>
      </c>
      <c r="C372">
        <v>439</v>
      </c>
      <c r="D372">
        <f t="shared" ca="1" si="47"/>
        <v>3</v>
      </c>
      <c r="E372" t="str">
        <f t="shared" si="48"/>
        <v>5-439 arg1</v>
      </c>
      <c r="F372">
        <f t="shared" ca="1" si="49"/>
        <v>1</v>
      </c>
      <c r="G372" t="str">
        <f t="shared" si="50"/>
        <v>5-439 feedback1</v>
      </c>
      <c r="H372">
        <v>1</v>
      </c>
      <c r="I372">
        <f t="shared" ca="1" si="51"/>
        <v>2</v>
      </c>
      <c r="J372" t="str">
        <f t="shared" si="52"/>
        <v>5-439 arg2</v>
      </c>
      <c r="K372" t="str">
        <f t="shared" si="53"/>
        <v>5-439 feedback2</v>
      </c>
      <c r="L372">
        <v>1</v>
      </c>
      <c r="M372" t="s">
        <v>1285</v>
      </c>
      <c r="N372">
        <v>371</v>
      </c>
    </row>
    <row r="373" spans="1:14">
      <c r="A373">
        <v>8</v>
      </c>
      <c r="B373">
        <f t="shared" si="46"/>
        <v>5</v>
      </c>
      <c r="C373">
        <v>440</v>
      </c>
      <c r="D373">
        <f t="shared" ca="1" si="47"/>
        <v>4</v>
      </c>
      <c r="E373" t="str">
        <f t="shared" si="48"/>
        <v>5-440 arg1</v>
      </c>
      <c r="F373">
        <f t="shared" ca="1" si="49"/>
        <v>4</v>
      </c>
      <c r="G373" t="str">
        <f t="shared" si="50"/>
        <v>5-440 feedback1</v>
      </c>
      <c r="H373">
        <v>1</v>
      </c>
      <c r="I373">
        <f t="shared" ca="1" si="51"/>
        <v>4</v>
      </c>
      <c r="J373" t="str">
        <f t="shared" si="52"/>
        <v>5-440 arg2</v>
      </c>
      <c r="K373" t="str">
        <f t="shared" si="53"/>
        <v>5-440 feedback2</v>
      </c>
      <c r="L373">
        <v>1</v>
      </c>
      <c r="M373" t="s">
        <v>1285</v>
      </c>
      <c r="N373">
        <v>372</v>
      </c>
    </row>
    <row r="374" spans="1:14">
      <c r="A374">
        <v>8</v>
      </c>
      <c r="B374">
        <f t="shared" ref="B374:B437" si="54">B289+1</f>
        <v>5</v>
      </c>
      <c r="C374">
        <v>441</v>
      </c>
      <c r="D374">
        <f t="shared" ca="1" si="47"/>
        <v>3</v>
      </c>
      <c r="E374" t="str">
        <f t="shared" si="48"/>
        <v>5-441 arg1</v>
      </c>
      <c r="F374">
        <f t="shared" ca="1" si="49"/>
        <v>1</v>
      </c>
      <c r="G374" t="str">
        <f t="shared" si="50"/>
        <v>5-441 feedback1</v>
      </c>
      <c r="H374">
        <v>1</v>
      </c>
      <c r="I374">
        <f t="shared" ca="1" si="51"/>
        <v>2</v>
      </c>
      <c r="J374" t="str">
        <f t="shared" si="52"/>
        <v>5-441 arg2</v>
      </c>
      <c r="K374" t="str">
        <f t="shared" si="53"/>
        <v>5-441 feedback2</v>
      </c>
      <c r="L374">
        <v>1</v>
      </c>
      <c r="M374" t="s">
        <v>1285</v>
      </c>
      <c r="N374">
        <v>373</v>
      </c>
    </row>
    <row r="375" spans="1:14">
      <c r="A375">
        <v>8</v>
      </c>
      <c r="B375">
        <f t="shared" si="54"/>
        <v>5</v>
      </c>
      <c r="C375">
        <v>442</v>
      </c>
      <c r="D375">
        <f t="shared" ca="1" si="47"/>
        <v>5</v>
      </c>
      <c r="E375" t="str">
        <f t="shared" si="48"/>
        <v>5-442 arg1</v>
      </c>
      <c r="F375">
        <f t="shared" ca="1" si="49"/>
        <v>5</v>
      </c>
      <c r="G375" t="str">
        <f t="shared" si="50"/>
        <v>5-442 feedback1</v>
      </c>
      <c r="H375">
        <v>1</v>
      </c>
      <c r="I375">
        <f t="shared" ca="1" si="51"/>
        <v>5</v>
      </c>
      <c r="J375" t="str">
        <f t="shared" si="52"/>
        <v>5-442 arg2</v>
      </c>
      <c r="K375" t="str">
        <f t="shared" si="53"/>
        <v>5-442 feedback2</v>
      </c>
      <c r="L375">
        <v>1</v>
      </c>
      <c r="M375" t="s">
        <v>1285</v>
      </c>
      <c r="N375">
        <v>374</v>
      </c>
    </row>
    <row r="376" spans="1:14">
      <c r="A376">
        <v>8</v>
      </c>
      <c r="B376">
        <f t="shared" si="54"/>
        <v>5</v>
      </c>
      <c r="C376">
        <v>443</v>
      </c>
      <c r="D376">
        <f t="shared" ca="1" si="47"/>
        <v>5</v>
      </c>
      <c r="E376" t="str">
        <f t="shared" si="48"/>
        <v>5-443 arg1</v>
      </c>
      <c r="F376">
        <f t="shared" ca="1" si="49"/>
        <v>4</v>
      </c>
      <c r="G376" t="str">
        <f t="shared" si="50"/>
        <v>5-443 feedback1</v>
      </c>
      <c r="H376">
        <v>1</v>
      </c>
      <c r="I376">
        <f t="shared" ca="1" si="51"/>
        <v>4</v>
      </c>
      <c r="J376" t="str">
        <f t="shared" si="52"/>
        <v>5-443 arg2</v>
      </c>
      <c r="K376" t="str">
        <f t="shared" si="53"/>
        <v>5-443 feedback2</v>
      </c>
      <c r="L376">
        <v>1</v>
      </c>
      <c r="M376" t="s">
        <v>1285</v>
      </c>
      <c r="N376">
        <v>375</v>
      </c>
    </row>
    <row r="377" spans="1:14">
      <c r="A377">
        <v>8</v>
      </c>
      <c r="B377">
        <f t="shared" si="54"/>
        <v>5</v>
      </c>
      <c r="C377">
        <v>444</v>
      </c>
      <c r="D377">
        <f t="shared" ca="1" si="47"/>
        <v>3</v>
      </c>
      <c r="E377" t="str">
        <f t="shared" si="48"/>
        <v>5-444 arg1</v>
      </c>
      <c r="F377">
        <f t="shared" ca="1" si="49"/>
        <v>1</v>
      </c>
      <c r="G377" t="str">
        <f t="shared" si="50"/>
        <v>5-444 feedback1</v>
      </c>
      <c r="H377">
        <v>1</v>
      </c>
      <c r="I377">
        <f t="shared" ca="1" si="51"/>
        <v>1</v>
      </c>
      <c r="J377" t="str">
        <f t="shared" si="52"/>
        <v>5-444 arg2</v>
      </c>
      <c r="K377" t="str">
        <f t="shared" si="53"/>
        <v>5-444 feedback2</v>
      </c>
      <c r="L377">
        <v>1</v>
      </c>
      <c r="M377" t="s">
        <v>1285</v>
      </c>
      <c r="N377">
        <v>376</v>
      </c>
    </row>
    <row r="378" spans="1:14">
      <c r="A378">
        <v>8</v>
      </c>
      <c r="B378">
        <f t="shared" si="54"/>
        <v>5</v>
      </c>
      <c r="C378">
        <v>445</v>
      </c>
      <c r="D378">
        <f t="shared" ca="1" si="47"/>
        <v>3</v>
      </c>
      <c r="E378" t="str">
        <f t="shared" si="48"/>
        <v>5-445 arg1</v>
      </c>
      <c r="F378">
        <f t="shared" ca="1" si="49"/>
        <v>2</v>
      </c>
      <c r="G378" t="str">
        <f t="shared" si="50"/>
        <v>5-445 feedback1</v>
      </c>
      <c r="H378">
        <v>1</v>
      </c>
      <c r="I378">
        <f t="shared" ca="1" si="51"/>
        <v>3</v>
      </c>
      <c r="J378" t="str">
        <f t="shared" si="52"/>
        <v>5-445 arg2</v>
      </c>
      <c r="K378" t="str">
        <f t="shared" si="53"/>
        <v>5-445 feedback2</v>
      </c>
      <c r="L378">
        <v>1</v>
      </c>
      <c r="M378" t="s">
        <v>1285</v>
      </c>
      <c r="N378">
        <v>377</v>
      </c>
    </row>
    <row r="379" spans="1:14">
      <c r="A379">
        <v>8</v>
      </c>
      <c r="B379">
        <f t="shared" si="54"/>
        <v>5</v>
      </c>
      <c r="C379">
        <v>446</v>
      </c>
      <c r="D379">
        <f t="shared" ca="1" si="47"/>
        <v>4</v>
      </c>
      <c r="E379" t="str">
        <f t="shared" si="48"/>
        <v>5-446 arg1</v>
      </c>
      <c r="F379">
        <f t="shared" ca="1" si="49"/>
        <v>2</v>
      </c>
      <c r="G379" t="str">
        <f t="shared" si="50"/>
        <v>5-446 feedback1</v>
      </c>
      <c r="H379">
        <v>1</v>
      </c>
      <c r="I379">
        <f t="shared" ca="1" si="51"/>
        <v>2</v>
      </c>
      <c r="J379" t="str">
        <f t="shared" si="52"/>
        <v>5-446 arg2</v>
      </c>
      <c r="K379" t="str">
        <f t="shared" si="53"/>
        <v>5-446 feedback2</v>
      </c>
      <c r="L379">
        <v>1</v>
      </c>
      <c r="M379" t="s">
        <v>1285</v>
      </c>
      <c r="N379">
        <v>378</v>
      </c>
    </row>
    <row r="380" spans="1:14">
      <c r="A380">
        <v>8</v>
      </c>
      <c r="B380">
        <f t="shared" si="54"/>
        <v>5</v>
      </c>
      <c r="C380">
        <v>447</v>
      </c>
      <c r="D380">
        <f t="shared" ca="1" si="47"/>
        <v>3</v>
      </c>
      <c r="E380" t="str">
        <f t="shared" si="48"/>
        <v>5-447 arg1</v>
      </c>
      <c r="F380">
        <f t="shared" ca="1" si="49"/>
        <v>3</v>
      </c>
      <c r="G380" t="str">
        <f t="shared" si="50"/>
        <v>5-447 feedback1</v>
      </c>
      <c r="H380">
        <v>1</v>
      </c>
      <c r="I380">
        <f t="shared" ca="1" si="51"/>
        <v>3</v>
      </c>
      <c r="J380" t="str">
        <f t="shared" si="52"/>
        <v>5-447 arg2</v>
      </c>
      <c r="K380" t="str">
        <f t="shared" si="53"/>
        <v>5-447 feedback2</v>
      </c>
      <c r="L380">
        <v>1</v>
      </c>
      <c r="M380" t="s">
        <v>1285</v>
      </c>
      <c r="N380">
        <v>379</v>
      </c>
    </row>
    <row r="381" spans="1:14">
      <c r="A381">
        <v>8</v>
      </c>
      <c r="B381">
        <f t="shared" si="54"/>
        <v>5</v>
      </c>
      <c r="C381">
        <v>448</v>
      </c>
      <c r="D381">
        <f t="shared" ca="1" si="47"/>
        <v>4</v>
      </c>
      <c r="E381" t="str">
        <f t="shared" si="48"/>
        <v>5-448 arg1</v>
      </c>
      <c r="F381">
        <f t="shared" ca="1" si="49"/>
        <v>3</v>
      </c>
      <c r="G381" t="str">
        <f t="shared" si="50"/>
        <v>5-448 feedback1</v>
      </c>
      <c r="H381">
        <v>1</v>
      </c>
      <c r="I381">
        <f t="shared" ca="1" si="51"/>
        <v>3</v>
      </c>
      <c r="J381" t="str">
        <f t="shared" si="52"/>
        <v>5-448 arg2</v>
      </c>
      <c r="K381" t="str">
        <f t="shared" si="53"/>
        <v>5-448 feedback2</v>
      </c>
      <c r="L381">
        <v>1</v>
      </c>
      <c r="M381" t="s">
        <v>1285</v>
      </c>
      <c r="N381">
        <v>380</v>
      </c>
    </row>
    <row r="382" spans="1:14">
      <c r="A382">
        <v>8</v>
      </c>
      <c r="B382">
        <f t="shared" si="54"/>
        <v>5</v>
      </c>
      <c r="C382">
        <v>449</v>
      </c>
      <c r="D382">
        <f t="shared" ca="1" si="47"/>
        <v>4</v>
      </c>
      <c r="E382" t="str">
        <f t="shared" si="48"/>
        <v>5-449 arg1</v>
      </c>
      <c r="F382">
        <f t="shared" ca="1" si="49"/>
        <v>4</v>
      </c>
      <c r="G382" t="str">
        <f t="shared" si="50"/>
        <v>5-449 feedback1</v>
      </c>
      <c r="H382">
        <v>1</v>
      </c>
      <c r="I382">
        <f t="shared" ca="1" si="51"/>
        <v>4</v>
      </c>
      <c r="J382" t="str">
        <f t="shared" si="52"/>
        <v>5-449 arg2</v>
      </c>
      <c r="K382" t="str">
        <f t="shared" si="53"/>
        <v>5-449 feedback2</v>
      </c>
      <c r="L382">
        <v>1</v>
      </c>
      <c r="M382" t="s">
        <v>1285</v>
      </c>
      <c r="N382">
        <v>381</v>
      </c>
    </row>
    <row r="383" spans="1:14">
      <c r="A383">
        <v>8</v>
      </c>
      <c r="B383">
        <f t="shared" si="54"/>
        <v>5</v>
      </c>
      <c r="C383">
        <v>450</v>
      </c>
      <c r="D383">
        <f t="shared" ca="1" si="47"/>
        <v>3</v>
      </c>
      <c r="E383" t="str">
        <f t="shared" si="48"/>
        <v>5-450 arg1</v>
      </c>
      <c r="F383">
        <f t="shared" ca="1" si="49"/>
        <v>2</v>
      </c>
      <c r="G383" t="str">
        <f t="shared" si="50"/>
        <v>5-450 feedback1</v>
      </c>
      <c r="H383">
        <v>1</v>
      </c>
      <c r="I383">
        <f t="shared" ca="1" si="51"/>
        <v>2</v>
      </c>
      <c r="J383" t="str">
        <f t="shared" si="52"/>
        <v>5-450 arg2</v>
      </c>
      <c r="K383" t="str">
        <f t="shared" si="53"/>
        <v>5-450 feedback2</v>
      </c>
      <c r="L383">
        <v>1</v>
      </c>
      <c r="M383" t="s">
        <v>1285</v>
      </c>
      <c r="N383">
        <v>382</v>
      </c>
    </row>
    <row r="384" spans="1:14">
      <c r="A384">
        <v>8</v>
      </c>
      <c r="B384">
        <f t="shared" si="54"/>
        <v>5</v>
      </c>
      <c r="C384">
        <v>451</v>
      </c>
      <c r="D384">
        <f t="shared" ca="1" si="47"/>
        <v>4</v>
      </c>
      <c r="E384" t="str">
        <f t="shared" si="48"/>
        <v>5-451 arg1</v>
      </c>
      <c r="F384">
        <f t="shared" ca="1" si="49"/>
        <v>3</v>
      </c>
      <c r="G384" t="str">
        <f t="shared" si="50"/>
        <v>5-451 feedback1</v>
      </c>
      <c r="H384">
        <v>1</v>
      </c>
      <c r="I384">
        <f t="shared" ca="1" si="51"/>
        <v>3</v>
      </c>
      <c r="J384" t="str">
        <f t="shared" si="52"/>
        <v>5-451 arg2</v>
      </c>
      <c r="K384" t="str">
        <f t="shared" si="53"/>
        <v>5-451 feedback2</v>
      </c>
      <c r="L384">
        <v>1</v>
      </c>
      <c r="M384" t="s">
        <v>1285</v>
      </c>
      <c r="N384">
        <v>383</v>
      </c>
    </row>
    <row r="385" spans="1:14">
      <c r="A385">
        <v>8</v>
      </c>
      <c r="B385">
        <f t="shared" si="54"/>
        <v>5</v>
      </c>
      <c r="C385">
        <v>452</v>
      </c>
      <c r="D385">
        <f t="shared" ca="1" si="47"/>
        <v>5</v>
      </c>
      <c r="E385" t="str">
        <f t="shared" si="48"/>
        <v>5-452 arg1</v>
      </c>
      <c r="F385">
        <f t="shared" ca="1" si="49"/>
        <v>4</v>
      </c>
      <c r="G385" t="str">
        <f t="shared" si="50"/>
        <v>5-452 feedback1</v>
      </c>
      <c r="H385">
        <v>1</v>
      </c>
      <c r="I385">
        <f t="shared" ca="1" si="51"/>
        <v>5</v>
      </c>
      <c r="J385" t="str">
        <f t="shared" si="52"/>
        <v>5-452 arg2</v>
      </c>
      <c r="K385" t="str">
        <f t="shared" si="53"/>
        <v>5-452 feedback2</v>
      </c>
      <c r="L385">
        <v>1</v>
      </c>
      <c r="M385" t="s">
        <v>1285</v>
      </c>
      <c r="N385">
        <v>384</v>
      </c>
    </row>
    <row r="386" spans="1:14">
      <c r="A386">
        <v>8</v>
      </c>
      <c r="B386">
        <f t="shared" si="54"/>
        <v>5</v>
      </c>
      <c r="C386">
        <v>453</v>
      </c>
      <c r="D386">
        <f t="shared" ca="1" si="47"/>
        <v>4</v>
      </c>
      <c r="E386" t="str">
        <f t="shared" si="48"/>
        <v>5-453 arg1</v>
      </c>
      <c r="F386">
        <f t="shared" ca="1" si="49"/>
        <v>3</v>
      </c>
      <c r="G386" t="str">
        <f t="shared" si="50"/>
        <v>5-453 feedback1</v>
      </c>
      <c r="H386">
        <v>1</v>
      </c>
      <c r="I386">
        <f t="shared" ca="1" si="51"/>
        <v>4</v>
      </c>
      <c r="J386" t="str">
        <f t="shared" si="52"/>
        <v>5-453 arg2</v>
      </c>
      <c r="K386" t="str">
        <f t="shared" si="53"/>
        <v>5-453 feedback2</v>
      </c>
      <c r="L386">
        <v>1</v>
      </c>
      <c r="M386" t="s">
        <v>1285</v>
      </c>
      <c r="N386">
        <v>385</v>
      </c>
    </row>
    <row r="387" spans="1:14">
      <c r="A387">
        <v>8</v>
      </c>
      <c r="B387">
        <f t="shared" si="54"/>
        <v>5</v>
      </c>
      <c r="C387">
        <v>454</v>
      </c>
      <c r="D387">
        <f t="shared" ref="D387:D450" ca="1" si="55">ROUND(3+2*RAND(),0)</f>
        <v>4</v>
      </c>
      <c r="E387" t="str">
        <f t="shared" si="48"/>
        <v>5-454 arg1</v>
      </c>
      <c r="F387">
        <f t="shared" ca="1" si="49"/>
        <v>2</v>
      </c>
      <c r="G387" t="str">
        <f t="shared" si="50"/>
        <v>5-454 feedback1</v>
      </c>
      <c r="H387">
        <v>1</v>
      </c>
      <c r="I387">
        <f t="shared" ca="1" si="51"/>
        <v>2</v>
      </c>
      <c r="J387" t="str">
        <f t="shared" si="52"/>
        <v>5-454 arg2</v>
      </c>
      <c r="K387" t="str">
        <f t="shared" si="53"/>
        <v>5-454 feedback2</v>
      </c>
      <c r="L387">
        <v>1</v>
      </c>
      <c r="M387" t="s">
        <v>1285</v>
      </c>
      <c r="N387">
        <v>386</v>
      </c>
    </row>
    <row r="388" spans="1:14">
      <c r="A388">
        <v>8</v>
      </c>
      <c r="B388">
        <f t="shared" si="54"/>
        <v>5</v>
      </c>
      <c r="C388">
        <v>455</v>
      </c>
      <c r="D388">
        <f t="shared" ca="1" si="55"/>
        <v>3</v>
      </c>
      <c r="E388" t="str">
        <f t="shared" si="48"/>
        <v>5-455 arg1</v>
      </c>
      <c r="F388">
        <f t="shared" ca="1" si="49"/>
        <v>2</v>
      </c>
      <c r="G388" t="str">
        <f t="shared" si="50"/>
        <v>5-455 feedback1</v>
      </c>
      <c r="H388">
        <v>1</v>
      </c>
      <c r="I388">
        <f t="shared" ca="1" si="51"/>
        <v>2</v>
      </c>
      <c r="J388" t="str">
        <f t="shared" si="52"/>
        <v>5-455 arg2</v>
      </c>
      <c r="K388" t="str">
        <f t="shared" si="53"/>
        <v>5-455 feedback2</v>
      </c>
      <c r="L388">
        <v>1</v>
      </c>
      <c r="M388" t="s">
        <v>1285</v>
      </c>
      <c r="N388">
        <v>387</v>
      </c>
    </row>
    <row r="389" spans="1:14">
      <c r="A389">
        <v>8</v>
      </c>
      <c r="B389">
        <f t="shared" si="54"/>
        <v>5</v>
      </c>
      <c r="C389">
        <v>456</v>
      </c>
      <c r="D389">
        <f t="shared" ca="1" si="55"/>
        <v>3</v>
      </c>
      <c r="E389" t="str">
        <f t="shared" si="48"/>
        <v>5-456 arg1</v>
      </c>
      <c r="F389">
        <f t="shared" ca="1" si="49"/>
        <v>2</v>
      </c>
      <c r="G389" t="str">
        <f t="shared" si="50"/>
        <v>5-456 feedback1</v>
      </c>
      <c r="H389">
        <v>1</v>
      </c>
      <c r="I389">
        <f t="shared" ca="1" si="51"/>
        <v>2</v>
      </c>
      <c r="J389" t="str">
        <f t="shared" si="52"/>
        <v>5-456 arg2</v>
      </c>
      <c r="K389" t="str">
        <f t="shared" si="53"/>
        <v>5-456 feedback2</v>
      </c>
      <c r="L389">
        <v>1</v>
      </c>
      <c r="M389" t="s">
        <v>1285</v>
      </c>
      <c r="N389">
        <v>388</v>
      </c>
    </row>
    <row r="390" spans="1:14">
      <c r="A390">
        <v>8</v>
      </c>
      <c r="B390">
        <f t="shared" si="54"/>
        <v>5</v>
      </c>
      <c r="C390">
        <v>457</v>
      </c>
      <c r="D390">
        <f t="shared" ca="1" si="55"/>
        <v>4</v>
      </c>
      <c r="E390" t="str">
        <f t="shared" si="48"/>
        <v>5-457 arg1</v>
      </c>
      <c r="F390">
        <f t="shared" ca="1" si="49"/>
        <v>3</v>
      </c>
      <c r="G390" t="str">
        <f t="shared" si="50"/>
        <v>5-457 feedback1</v>
      </c>
      <c r="H390">
        <v>1</v>
      </c>
      <c r="I390">
        <f t="shared" ca="1" si="51"/>
        <v>4</v>
      </c>
      <c r="J390" t="str">
        <f t="shared" si="52"/>
        <v>5-457 arg2</v>
      </c>
      <c r="K390" t="str">
        <f t="shared" si="53"/>
        <v>5-457 feedback2</v>
      </c>
      <c r="L390">
        <v>1</v>
      </c>
      <c r="M390" t="s">
        <v>1285</v>
      </c>
      <c r="N390">
        <v>389</v>
      </c>
    </row>
    <row r="391" spans="1:14">
      <c r="A391">
        <v>8</v>
      </c>
      <c r="B391">
        <f t="shared" si="54"/>
        <v>5</v>
      </c>
      <c r="C391">
        <v>458</v>
      </c>
      <c r="D391">
        <f t="shared" ca="1" si="55"/>
        <v>4</v>
      </c>
      <c r="E391" t="str">
        <f t="shared" si="48"/>
        <v>5-458 arg1</v>
      </c>
      <c r="F391">
        <f t="shared" ca="1" si="49"/>
        <v>3</v>
      </c>
      <c r="G391" t="str">
        <f t="shared" si="50"/>
        <v>5-458 feedback1</v>
      </c>
      <c r="H391">
        <v>1</v>
      </c>
      <c r="I391">
        <f t="shared" ca="1" si="51"/>
        <v>4</v>
      </c>
      <c r="J391" t="str">
        <f t="shared" si="52"/>
        <v>5-458 arg2</v>
      </c>
      <c r="K391" t="str">
        <f t="shared" si="53"/>
        <v>5-458 feedback2</v>
      </c>
      <c r="L391">
        <v>1</v>
      </c>
      <c r="M391" t="s">
        <v>1285</v>
      </c>
      <c r="N391">
        <v>390</v>
      </c>
    </row>
    <row r="392" spans="1:14">
      <c r="A392">
        <v>8</v>
      </c>
      <c r="B392">
        <f t="shared" si="54"/>
        <v>5</v>
      </c>
      <c r="C392">
        <v>459</v>
      </c>
      <c r="D392">
        <f t="shared" ca="1" si="55"/>
        <v>5</v>
      </c>
      <c r="E392" t="str">
        <f t="shared" si="48"/>
        <v>5-459 arg1</v>
      </c>
      <c r="F392">
        <f t="shared" ca="1" si="49"/>
        <v>4</v>
      </c>
      <c r="G392" t="str">
        <f t="shared" si="50"/>
        <v>5-459 feedback1</v>
      </c>
      <c r="H392">
        <v>1</v>
      </c>
      <c r="I392">
        <f t="shared" ca="1" si="51"/>
        <v>5</v>
      </c>
      <c r="J392" t="str">
        <f t="shared" si="52"/>
        <v>5-459 arg2</v>
      </c>
      <c r="K392" t="str">
        <f t="shared" si="53"/>
        <v>5-459 feedback2</v>
      </c>
      <c r="L392">
        <v>1</v>
      </c>
      <c r="M392" t="s">
        <v>1285</v>
      </c>
      <c r="N392">
        <v>391</v>
      </c>
    </row>
    <row r="393" spans="1:14">
      <c r="A393">
        <v>8</v>
      </c>
      <c r="B393">
        <f t="shared" si="54"/>
        <v>5</v>
      </c>
      <c r="C393">
        <v>460</v>
      </c>
      <c r="D393">
        <f t="shared" ca="1" si="55"/>
        <v>4</v>
      </c>
      <c r="E393" t="str">
        <f t="shared" si="48"/>
        <v>5-460 arg1</v>
      </c>
      <c r="F393">
        <f t="shared" ca="1" si="49"/>
        <v>2</v>
      </c>
      <c r="G393" t="str">
        <f t="shared" si="50"/>
        <v>5-460 feedback1</v>
      </c>
      <c r="H393">
        <v>1</v>
      </c>
      <c r="I393">
        <f t="shared" ca="1" si="51"/>
        <v>3</v>
      </c>
      <c r="J393" t="str">
        <f t="shared" si="52"/>
        <v>5-460 arg2</v>
      </c>
      <c r="K393" t="str">
        <f t="shared" si="53"/>
        <v>5-460 feedback2</v>
      </c>
      <c r="L393">
        <v>1</v>
      </c>
      <c r="M393" t="s">
        <v>1285</v>
      </c>
      <c r="N393">
        <v>392</v>
      </c>
    </row>
    <row r="394" spans="1:14">
      <c r="A394">
        <v>8</v>
      </c>
      <c r="B394">
        <f t="shared" si="54"/>
        <v>5</v>
      </c>
      <c r="C394">
        <v>461</v>
      </c>
      <c r="D394">
        <f t="shared" ca="1" si="55"/>
        <v>4</v>
      </c>
      <c r="E394" t="str">
        <f t="shared" si="48"/>
        <v>5-461 arg1</v>
      </c>
      <c r="F394">
        <f t="shared" ca="1" si="49"/>
        <v>2</v>
      </c>
      <c r="G394" t="str">
        <f t="shared" si="50"/>
        <v>5-461 feedback1</v>
      </c>
      <c r="H394">
        <v>1</v>
      </c>
      <c r="I394">
        <f t="shared" ca="1" si="51"/>
        <v>3</v>
      </c>
      <c r="J394" t="str">
        <f t="shared" si="52"/>
        <v>5-461 arg2</v>
      </c>
      <c r="K394" t="str">
        <f t="shared" si="53"/>
        <v>5-461 feedback2</v>
      </c>
      <c r="L394">
        <v>1</v>
      </c>
      <c r="M394" t="s">
        <v>1285</v>
      </c>
      <c r="N394">
        <v>393</v>
      </c>
    </row>
    <row r="395" spans="1:14">
      <c r="A395">
        <v>8</v>
      </c>
      <c r="B395">
        <f t="shared" si="54"/>
        <v>5</v>
      </c>
      <c r="C395">
        <v>462</v>
      </c>
      <c r="D395">
        <f t="shared" ca="1" si="55"/>
        <v>3</v>
      </c>
      <c r="E395" t="str">
        <f t="shared" si="48"/>
        <v>5-462 arg1</v>
      </c>
      <c r="F395">
        <f t="shared" ca="1" si="49"/>
        <v>1</v>
      </c>
      <c r="G395" t="str">
        <f t="shared" si="50"/>
        <v>5-462 feedback1</v>
      </c>
      <c r="H395">
        <v>1</v>
      </c>
      <c r="I395">
        <f t="shared" ca="1" si="51"/>
        <v>1</v>
      </c>
      <c r="J395" t="str">
        <f t="shared" si="52"/>
        <v>5-462 arg2</v>
      </c>
      <c r="K395" t="str">
        <f t="shared" si="53"/>
        <v>5-462 feedback2</v>
      </c>
      <c r="L395">
        <v>1</v>
      </c>
      <c r="M395" t="s">
        <v>1285</v>
      </c>
      <c r="N395">
        <v>394</v>
      </c>
    </row>
    <row r="396" spans="1:14">
      <c r="A396">
        <v>8</v>
      </c>
      <c r="B396">
        <f t="shared" si="54"/>
        <v>5</v>
      </c>
      <c r="C396">
        <v>463</v>
      </c>
      <c r="D396">
        <f t="shared" ca="1" si="55"/>
        <v>3</v>
      </c>
      <c r="E396" t="str">
        <f t="shared" si="48"/>
        <v>5-463 arg1</v>
      </c>
      <c r="F396">
        <f t="shared" ca="1" si="49"/>
        <v>3</v>
      </c>
      <c r="G396" t="str">
        <f t="shared" si="50"/>
        <v>5-463 feedback1</v>
      </c>
      <c r="H396">
        <v>1</v>
      </c>
      <c r="I396">
        <f t="shared" ca="1" si="51"/>
        <v>3</v>
      </c>
      <c r="J396" t="str">
        <f t="shared" si="52"/>
        <v>5-463 arg2</v>
      </c>
      <c r="K396" t="str">
        <f t="shared" si="53"/>
        <v>5-463 feedback2</v>
      </c>
      <c r="L396">
        <v>1</v>
      </c>
      <c r="M396" t="s">
        <v>1285</v>
      </c>
      <c r="N396">
        <v>395</v>
      </c>
    </row>
    <row r="397" spans="1:14">
      <c r="A397">
        <v>8</v>
      </c>
      <c r="B397">
        <f t="shared" si="54"/>
        <v>5</v>
      </c>
      <c r="C397">
        <v>464</v>
      </c>
      <c r="D397">
        <f t="shared" ca="1" si="55"/>
        <v>5</v>
      </c>
      <c r="E397" t="str">
        <f t="shared" si="48"/>
        <v>5-464 arg1</v>
      </c>
      <c r="F397">
        <f t="shared" ca="1" si="49"/>
        <v>4</v>
      </c>
      <c r="G397" t="str">
        <f t="shared" si="50"/>
        <v>5-464 feedback1</v>
      </c>
      <c r="H397">
        <v>1</v>
      </c>
      <c r="I397">
        <f t="shared" ca="1" si="51"/>
        <v>4</v>
      </c>
      <c r="J397" t="str">
        <f t="shared" si="52"/>
        <v>5-464 arg2</v>
      </c>
      <c r="K397" t="str">
        <f t="shared" si="53"/>
        <v>5-464 feedback2</v>
      </c>
      <c r="L397">
        <v>1</v>
      </c>
      <c r="M397" t="s">
        <v>1285</v>
      </c>
      <c r="N397">
        <v>396</v>
      </c>
    </row>
    <row r="398" spans="1:14">
      <c r="A398">
        <v>8</v>
      </c>
      <c r="B398">
        <f t="shared" si="54"/>
        <v>5</v>
      </c>
      <c r="C398">
        <v>465</v>
      </c>
      <c r="D398">
        <f t="shared" ca="1" si="55"/>
        <v>5</v>
      </c>
      <c r="E398" t="str">
        <f t="shared" si="48"/>
        <v>5-465 arg1</v>
      </c>
      <c r="F398">
        <f t="shared" ca="1" si="49"/>
        <v>5</v>
      </c>
      <c r="G398" t="str">
        <f t="shared" si="50"/>
        <v>5-465 feedback1</v>
      </c>
      <c r="H398">
        <v>1</v>
      </c>
      <c r="I398">
        <f t="shared" ca="1" si="51"/>
        <v>5</v>
      </c>
      <c r="J398" t="str">
        <f t="shared" si="52"/>
        <v>5-465 arg2</v>
      </c>
      <c r="K398" t="str">
        <f t="shared" si="53"/>
        <v>5-465 feedback2</v>
      </c>
      <c r="L398">
        <v>1</v>
      </c>
      <c r="M398" t="s">
        <v>1285</v>
      </c>
      <c r="N398">
        <v>397</v>
      </c>
    </row>
    <row r="399" spans="1:14">
      <c r="A399">
        <v>8</v>
      </c>
      <c r="B399">
        <f t="shared" si="54"/>
        <v>5</v>
      </c>
      <c r="C399">
        <v>466</v>
      </c>
      <c r="D399">
        <f t="shared" ca="1" si="55"/>
        <v>3</v>
      </c>
      <c r="E399" t="str">
        <f t="shared" si="48"/>
        <v>5-466 arg1</v>
      </c>
      <c r="F399">
        <f t="shared" ca="1" si="49"/>
        <v>3</v>
      </c>
      <c r="G399" t="str">
        <f t="shared" si="50"/>
        <v>5-466 feedback1</v>
      </c>
      <c r="H399">
        <v>1</v>
      </c>
      <c r="I399">
        <f t="shared" ca="1" si="51"/>
        <v>3</v>
      </c>
      <c r="J399" t="str">
        <f t="shared" si="52"/>
        <v>5-466 arg2</v>
      </c>
      <c r="K399" t="str">
        <f t="shared" si="53"/>
        <v>5-466 feedback2</v>
      </c>
      <c r="L399">
        <v>1</v>
      </c>
      <c r="M399" t="s">
        <v>1285</v>
      </c>
      <c r="N399">
        <v>398</v>
      </c>
    </row>
    <row r="400" spans="1:14">
      <c r="A400">
        <v>8</v>
      </c>
      <c r="B400">
        <f t="shared" si="54"/>
        <v>5</v>
      </c>
      <c r="C400">
        <v>467</v>
      </c>
      <c r="D400">
        <f t="shared" ca="1" si="55"/>
        <v>5</v>
      </c>
      <c r="E400" t="str">
        <f t="shared" si="48"/>
        <v>5-467 arg1</v>
      </c>
      <c r="F400">
        <f t="shared" ca="1" si="49"/>
        <v>4</v>
      </c>
      <c r="G400" t="str">
        <f t="shared" si="50"/>
        <v>5-467 feedback1</v>
      </c>
      <c r="H400">
        <v>1</v>
      </c>
      <c r="I400">
        <f t="shared" ca="1" si="51"/>
        <v>4</v>
      </c>
      <c r="J400" t="str">
        <f t="shared" si="52"/>
        <v>5-467 arg2</v>
      </c>
      <c r="K400" t="str">
        <f t="shared" si="53"/>
        <v>5-467 feedback2</v>
      </c>
      <c r="L400">
        <v>1</v>
      </c>
      <c r="M400" t="s">
        <v>1285</v>
      </c>
      <c r="N400">
        <v>399</v>
      </c>
    </row>
    <row r="401" spans="1:14">
      <c r="A401">
        <v>8</v>
      </c>
      <c r="B401">
        <f t="shared" si="54"/>
        <v>5</v>
      </c>
      <c r="C401">
        <v>468</v>
      </c>
      <c r="D401">
        <f t="shared" ca="1" si="55"/>
        <v>4</v>
      </c>
      <c r="E401" t="str">
        <f t="shared" si="48"/>
        <v>5-468 arg1</v>
      </c>
      <c r="F401">
        <f t="shared" ca="1" si="49"/>
        <v>2</v>
      </c>
      <c r="G401" t="str">
        <f t="shared" si="50"/>
        <v>5-468 feedback1</v>
      </c>
      <c r="H401">
        <v>1</v>
      </c>
      <c r="I401">
        <f t="shared" ca="1" si="51"/>
        <v>3</v>
      </c>
      <c r="J401" t="str">
        <f t="shared" si="52"/>
        <v>5-468 arg2</v>
      </c>
      <c r="K401" t="str">
        <f t="shared" si="53"/>
        <v>5-468 feedback2</v>
      </c>
      <c r="L401">
        <v>1</v>
      </c>
      <c r="M401" t="s">
        <v>1285</v>
      </c>
      <c r="N401">
        <v>400</v>
      </c>
    </row>
    <row r="402" spans="1:14">
      <c r="A402">
        <v>8</v>
      </c>
      <c r="B402">
        <f t="shared" si="54"/>
        <v>5</v>
      </c>
      <c r="C402">
        <v>469</v>
      </c>
      <c r="D402">
        <f t="shared" ca="1" si="55"/>
        <v>4</v>
      </c>
      <c r="E402" t="str">
        <f t="shared" si="48"/>
        <v>5-469 arg1</v>
      </c>
      <c r="F402">
        <f t="shared" ca="1" si="49"/>
        <v>3</v>
      </c>
      <c r="G402" t="str">
        <f t="shared" si="50"/>
        <v>5-469 feedback1</v>
      </c>
      <c r="H402">
        <v>1</v>
      </c>
      <c r="I402">
        <f t="shared" ca="1" si="51"/>
        <v>3</v>
      </c>
      <c r="J402" t="str">
        <f t="shared" si="52"/>
        <v>5-469 arg2</v>
      </c>
      <c r="K402" t="str">
        <f t="shared" si="53"/>
        <v>5-469 feedback2</v>
      </c>
      <c r="L402">
        <v>1</v>
      </c>
      <c r="M402" t="s">
        <v>1285</v>
      </c>
      <c r="N402">
        <v>401</v>
      </c>
    </row>
    <row r="403" spans="1:14">
      <c r="A403">
        <v>8</v>
      </c>
      <c r="B403">
        <f t="shared" si="54"/>
        <v>5</v>
      </c>
      <c r="C403">
        <v>470</v>
      </c>
      <c r="D403">
        <f t="shared" ca="1" si="55"/>
        <v>3</v>
      </c>
      <c r="E403" t="str">
        <f t="shared" si="48"/>
        <v>5-470 arg1</v>
      </c>
      <c r="F403">
        <f t="shared" ca="1" si="49"/>
        <v>2</v>
      </c>
      <c r="G403" t="str">
        <f t="shared" si="50"/>
        <v>5-470 feedback1</v>
      </c>
      <c r="H403">
        <v>1</v>
      </c>
      <c r="I403">
        <f t="shared" ca="1" si="51"/>
        <v>2</v>
      </c>
      <c r="J403" t="str">
        <f t="shared" si="52"/>
        <v>5-470 arg2</v>
      </c>
      <c r="K403" t="str">
        <f t="shared" si="53"/>
        <v>5-470 feedback2</v>
      </c>
      <c r="L403">
        <v>1</v>
      </c>
      <c r="M403" t="s">
        <v>1285</v>
      </c>
      <c r="N403">
        <v>402</v>
      </c>
    </row>
    <row r="404" spans="1:14">
      <c r="A404">
        <v>8</v>
      </c>
      <c r="B404">
        <f t="shared" si="54"/>
        <v>5</v>
      </c>
      <c r="C404">
        <v>471</v>
      </c>
      <c r="D404">
        <f t="shared" ca="1" si="55"/>
        <v>4</v>
      </c>
      <c r="E404" t="str">
        <f t="shared" si="48"/>
        <v>5-471 arg1</v>
      </c>
      <c r="F404">
        <f t="shared" ca="1" si="49"/>
        <v>3</v>
      </c>
      <c r="G404" t="str">
        <f t="shared" si="50"/>
        <v>5-471 feedback1</v>
      </c>
      <c r="H404">
        <v>1</v>
      </c>
      <c r="I404">
        <f t="shared" ca="1" si="51"/>
        <v>4</v>
      </c>
      <c r="J404" t="str">
        <f t="shared" si="52"/>
        <v>5-471 arg2</v>
      </c>
      <c r="K404" t="str">
        <f t="shared" si="53"/>
        <v>5-471 feedback2</v>
      </c>
      <c r="L404">
        <v>1</v>
      </c>
      <c r="M404" t="s">
        <v>1285</v>
      </c>
      <c r="N404">
        <v>403</v>
      </c>
    </row>
    <row r="405" spans="1:14">
      <c r="A405">
        <v>8</v>
      </c>
      <c r="B405">
        <f t="shared" si="54"/>
        <v>5</v>
      </c>
      <c r="C405">
        <v>472</v>
      </c>
      <c r="D405">
        <f t="shared" ca="1" si="55"/>
        <v>3</v>
      </c>
      <c r="E405" t="str">
        <f t="shared" ref="E405:E468" si="56">_xlfn.CONCAT(B405,"-",C405," arg1")</f>
        <v>5-472 arg1</v>
      </c>
      <c r="F405">
        <f t="shared" ref="F405:F468" ca="1" si="57">D405-ROUND(2*RAND(),0)</f>
        <v>1</v>
      </c>
      <c r="G405" t="str">
        <f t="shared" ref="G405:G468" si="58">_xlfn.CONCAT(B405,"-",C405," feedback1")</f>
        <v>5-472 feedback1</v>
      </c>
      <c r="H405">
        <v>1</v>
      </c>
      <c r="I405">
        <f t="shared" ref="I405:I468" ca="1" si="59">MIN(5,F405+ROUND(RAND(),0))</f>
        <v>2</v>
      </c>
      <c r="J405" t="str">
        <f t="shared" ref="J405:J468" si="60">_xlfn.CONCAT(B405,"-",C405," arg2")</f>
        <v>5-472 arg2</v>
      </c>
      <c r="K405" t="str">
        <f t="shared" ref="K405:K468" si="61">_xlfn.CONCAT(B405,"-",C405," feedback2")</f>
        <v>5-472 feedback2</v>
      </c>
      <c r="L405">
        <v>1</v>
      </c>
      <c r="M405" t="s">
        <v>1285</v>
      </c>
      <c r="N405">
        <v>404</v>
      </c>
    </row>
    <row r="406" spans="1:14">
      <c r="A406">
        <v>8</v>
      </c>
      <c r="B406">
        <f t="shared" si="54"/>
        <v>5</v>
      </c>
      <c r="C406">
        <v>473</v>
      </c>
      <c r="D406">
        <f t="shared" ca="1" si="55"/>
        <v>5</v>
      </c>
      <c r="E406" t="str">
        <f t="shared" si="56"/>
        <v>5-473 arg1</v>
      </c>
      <c r="F406">
        <f t="shared" ca="1" si="57"/>
        <v>4</v>
      </c>
      <c r="G406" t="str">
        <f t="shared" si="58"/>
        <v>5-473 feedback1</v>
      </c>
      <c r="H406">
        <v>1</v>
      </c>
      <c r="I406">
        <f t="shared" ca="1" si="59"/>
        <v>5</v>
      </c>
      <c r="J406" t="str">
        <f t="shared" si="60"/>
        <v>5-473 arg2</v>
      </c>
      <c r="K406" t="str">
        <f t="shared" si="61"/>
        <v>5-473 feedback2</v>
      </c>
      <c r="L406">
        <v>1</v>
      </c>
      <c r="M406" t="s">
        <v>1285</v>
      </c>
      <c r="N406">
        <v>405</v>
      </c>
    </row>
    <row r="407" spans="1:14">
      <c r="A407">
        <v>8</v>
      </c>
      <c r="B407">
        <f t="shared" si="54"/>
        <v>5</v>
      </c>
      <c r="C407">
        <v>474</v>
      </c>
      <c r="D407">
        <f t="shared" ca="1" si="55"/>
        <v>4</v>
      </c>
      <c r="E407" t="str">
        <f t="shared" si="56"/>
        <v>5-474 arg1</v>
      </c>
      <c r="F407">
        <f t="shared" ca="1" si="57"/>
        <v>3</v>
      </c>
      <c r="G407" t="str">
        <f t="shared" si="58"/>
        <v>5-474 feedback1</v>
      </c>
      <c r="H407">
        <v>1</v>
      </c>
      <c r="I407">
        <f t="shared" ca="1" si="59"/>
        <v>4</v>
      </c>
      <c r="J407" t="str">
        <f t="shared" si="60"/>
        <v>5-474 arg2</v>
      </c>
      <c r="K407" t="str">
        <f t="shared" si="61"/>
        <v>5-474 feedback2</v>
      </c>
      <c r="L407">
        <v>1</v>
      </c>
      <c r="M407" t="s">
        <v>1285</v>
      </c>
      <c r="N407">
        <v>406</v>
      </c>
    </row>
    <row r="408" spans="1:14">
      <c r="A408">
        <v>8</v>
      </c>
      <c r="B408">
        <f t="shared" si="54"/>
        <v>5</v>
      </c>
      <c r="C408">
        <v>475</v>
      </c>
      <c r="D408">
        <f t="shared" ca="1" si="55"/>
        <v>4</v>
      </c>
      <c r="E408" t="str">
        <f t="shared" si="56"/>
        <v>5-475 arg1</v>
      </c>
      <c r="F408">
        <f t="shared" ca="1" si="57"/>
        <v>4</v>
      </c>
      <c r="G408" t="str">
        <f t="shared" si="58"/>
        <v>5-475 feedback1</v>
      </c>
      <c r="H408">
        <v>1</v>
      </c>
      <c r="I408">
        <f t="shared" ca="1" si="59"/>
        <v>4</v>
      </c>
      <c r="J408" t="str">
        <f t="shared" si="60"/>
        <v>5-475 arg2</v>
      </c>
      <c r="K408" t="str">
        <f t="shared" si="61"/>
        <v>5-475 feedback2</v>
      </c>
      <c r="L408">
        <v>1</v>
      </c>
      <c r="M408" t="s">
        <v>1285</v>
      </c>
      <c r="N408">
        <v>407</v>
      </c>
    </row>
    <row r="409" spans="1:14">
      <c r="A409">
        <v>8</v>
      </c>
      <c r="B409">
        <f t="shared" si="54"/>
        <v>5</v>
      </c>
      <c r="C409">
        <v>476</v>
      </c>
      <c r="D409">
        <f t="shared" ca="1" si="55"/>
        <v>4</v>
      </c>
      <c r="E409" t="str">
        <f t="shared" si="56"/>
        <v>5-476 arg1</v>
      </c>
      <c r="F409">
        <f t="shared" ca="1" si="57"/>
        <v>4</v>
      </c>
      <c r="G409" t="str">
        <f t="shared" si="58"/>
        <v>5-476 feedback1</v>
      </c>
      <c r="H409">
        <v>1</v>
      </c>
      <c r="I409">
        <f t="shared" ca="1" si="59"/>
        <v>4</v>
      </c>
      <c r="J409" t="str">
        <f t="shared" si="60"/>
        <v>5-476 arg2</v>
      </c>
      <c r="K409" t="str">
        <f t="shared" si="61"/>
        <v>5-476 feedback2</v>
      </c>
      <c r="L409">
        <v>1</v>
      </c>
      <c r="M409" t="s">
        <v>1285</v>
      </c>
      <c r="N409">
        <v>408</v>
      </c>
    </row>
    <row r="410" spans="1:14">
      <c r="A410">
        <v>8</v>
      </c>
      <c r="B410">
        <f t="shared" si="54"/>
        <v>5</v>
      </c>
      <c r="C410">
        <v>477</v>
      </c>
      <c r="D410">
        <f t="shared" ca="1" si="55"/>
        <v>5</v>
      </c>
      <c r="E410" t="str">
        <f t="shared" si="56"/>
        <v>5-477 arg1</v>
      </c>
      <c r="F410">
        <f t="shared" ca="1" si="57"/>
        <v>5</v>
      </c>
      <c r="G410" t="str">
        <f t="shared" si="58"/>
        <v>5-477 feedback1</v>
      </c>
      <c r="H410">
        <v>1</v>
      </c>
      <c r="I410">
        <f t="shared" ca="1" si="59"/>
        <v>5</v>
      </c>
      <c r="J410" t="str">
        <f t="shared" si="60"/>
        <v>5-477 arg2</v>
      </c>
      <c r="K410" t="str">
        <f t="shared" si="61"/>
        <v>5-477 feedback2</v>
      </c>
      <c r="L410">
        <v>1</v>
      </c>
      <c r="M410" t="s">
        <v>1285</v>
      </c>
      <c r="N410">
        <v>409</v>
      </c>
    </row>
    <row r="411" spans="1:14">
      <c r="A411">
        <v>8</v>
      </c>
      <c r="B411">
        <f t="shared" si="54"/>
        <v>5</v>
      </c>
      <c r="C411">
        <v>478</v>
      </c>
      <c r="D411">
        <f t="shared" ca="1" si="55"/>
        <v>4</v>
      </c>
      <c r="E411" t="str">
        <f t="shared" si="56"/>
        <v>5-478 arg1</v>
      </c>
      <c r="F411">
        <f t="shared" ca="1" si="57"/>
        <v>2</v>
      </c>
      <c r="G411" t="str">
        <f t="shared" si="58"/>
        <v>5-478 feedback1</v>
      </c>
      <c r="H411">
        <v>1</v>
      </c>
      <c r="I411">
        <f t="shared" ca="1" si="59"/>
        <v>3</v>
      </c>
      <c r="J411" t="str">
        <f t="shared" si="60"/>
        <v>5-478 arg2</v>
      </c>
      <c r="K411" t="str">
        <f t="shared" si="61"/>
        <v>5-478 feedback2</v>
      </c>
      <c r="L411">
        <v>1</v>
      </c>
      <c r="M411" t="s">
        <v>1285</v>
      </c>
      <c r="N411">
        <v>410</v>
      </c>
    </row>
    <row r="412" spans="1:14">
      <c r="A412">
        <v>8</v>
      </c>
      <c r="B412">
        <f t="shared" si="54"/>
        <v>5</v>
      </c>
      <c r="C412">
        <v>479</v>
      </c>
      <c r="D412">
        <f t="shared" ca="1" si="55"/>
        <v>5</v>
      </c>
      <c r="E412" t="str">
        <f t="shared" si="56"/>
        <v>5-479 arg1</v>
      </c>
      <c r="F412">
        <f t="shared" ca="1" si="57"/>
        <v>5</v>
      </c>
      <c r="G412" t="str">
        <f t="shared" si="58"/>
        <v>5-479 feedback1</v>
      </c>
      <c r="H412">
        <v>1</v>
      </c>
      <c r="I412">
        <f t="shared" ca="1" si="59"/>
        <v>5</v>
      </c>
      <c r="J412" t="str">
        <f t="shared" si="60"/>
        <v>5-479 arg2</v>
      </c>
      <c r="K412" t="str">
        <f t="shared" si="61"/>
        <v>5-479 feedback2</v>
      </c>
      <c r="L412">
        <v>1</v>
      </c>
      <c r="M412" t="s">
        <v>1285</v>
      </c>
      <c r="N412">
        <v>411</v>
      </c>
    </row>
    <row r="413" spans="1:14">
      <c r="A413">
        <v>8</v>
      </c>
      <c r="B413">
        <f t="shared" si="54"/>
        <v>5</v>
      </c>
      <c r="C413">
        <v>480</v>
      </c>
      <c r="D413">
        <f t="shared" ca="1" si="55"/>
        <v>4</v>
      </c>
      <c r="E413" t="str">
        <f t="shared" si="56"/>
        <v>5-480 arg1</v>
      </c>
      <c r="F413">
        <f t="shared" ca="1" si="57"/>
        <v>3</v>
      </c>
      <c r="G413" t="str">
        <f t="shared" si="58"/>
        <v>5-480 feedback1</v>
      </c>
      <c r="H413">
        <v>1</v>
      </c>
      <c r="I413">
        <f t="shared" ca="1" si="59"/>
        <v>3</v>
      </c>
      <c r="J413" t="str">
        <f t="shared" si="60"/>
        <v>5-480 arg2</v>
      </c>
      <c r="K413" t="str">
        <f t="shared" si="61"/>
        <v>5-480 feedback2</v>
      </c>
      <c r="L413">
        <v>1</v>
      </c>
      <c r="M413" t="s">
        <v>1285</v>
      </c>
      <c r="N413">
        <v>412</v>
      </c>
    </row>
    <row r="414" spans="1:14">
      <c r="A414">
        <v>8</v>
      </c>
      <c r="B414">
        <f t="shared" si="54"/>
        <v>5</v>
      </c>
      <c r="C414">
        <v>481</v>
      </c>
      <c r="D414">
        <f t="shared" ca="1" si="55"/>
        <v>4</v>
      </c>
      <c r="E414" t="str">
        <f t="shared" si="56"/>
        <v>5-481 arg1</v>
      </c>
      <c r="F414">
        <f t="shared" ca="1" si="57"/>
        <v>2</v>
      </c>
      <c r="G414" t="str">
        <f t="shared" si="58"/>
        <v>5-481 feedback1</v>
      </c>
      <c r="H414">
        <v>1</v>
      </c>
      <c r="I414">
        <f t="shared" ca="1" si="59"/>
        <v>3</v>
      </c>
      <c r="J414" t="str">
        <f t="shared" si="60"/>
        <v>5-481 arg2</v>
      </c>
      <c r="K414" t="str">
        <f t="shared" si="61"/>
        <v>5-481 feedback2</v>
      </c>
      <c r="L414">
        <v>1</v>
      </c>
      <c r="M414" t="s">
        <v>1285</v>
      </c>
      <c r="N414">
        <v>413</v>
      </c>
    </row>
    <row r="415" spans="1:14">
      <c r="A415">
        <v>8</v>
      </c>
      <c r="B415">
        <f t="shared" si="54"/>
        <v>5</v>
      </c>
      <c r="C415">
        <v>482</v>
      </c>
      <c r="D415">
        <f t="shared" ca="1" si="55"/>
        <v>4</v>
      </c>
      <c r="E415" t="str">
        <f t="shared" si="56"/>
        <v>5-482 arg1</v>
      </c>
      <c r="F415">
        <f t="shared" ca="1" si="57"/>
        <v>4</v>
      </c>
      <c r="G415" t="str">
        <f t="shared" si="58"/>
        <v>5-482 feedback1</v>
      </c>
      <c r="H415">
        <v>1</v>
      </c>
      <c r="I415">
        <f t="shared" ca="1" si="59"/>
        <v>5</v>
      </c>
      <c r="J415" t="str">
        <f t="shared" si="60"/>
        <v>5-482 arg2</v>
      </c>
      <c r="K415" t="str">
        <f t="shared" si="61"/>
        <v>5-482 feedback2</v>
      </c>
      <c r="L415">
        <v>1</v>
      </c>
      <c r="M415" t="s">
        <v>1285</v>
      </c>
      <c r="N415">
        <v>414</v>
      </c>
    </row>
    <row r="416" spans="1:14">
      <c r="A416">
        <v>8</v>
      </c>
      <c r="B416">
        <f t="shared" si="54"/>
        <v>5</v>
      </c>
      <c r="C416">
        <v>483</v>
      </c>
      <c r="D416">
        <f t="shared" ca="1" si="55"/>
        <v>3</v>
      </c>
      <c r="E416" t="str">
        <f t="shared" si="56"/>
        <v>5-483 arg1</v>
      </c>
      <c r="F416">
        <f t="shared" ca="1" si="57"/>
        <v>3</v>
      </c>
      <c r="G416" t="str">
        <f t="shared" si="58"/>
        <v>5-483 feedback1</v>
      </c>
      <c r="H416">
        <v>1</v>
      </c>
      <c r="I416">
        <f t="shared" ca="1" si="59"/>
        <v>4</v>
      </c>
      <c r="J416" t="str">
        <f t="shared" si="60"/>
        <v>5-483 arg2</v>
      </c>
      <c r="K416" t="str">
        <f t="shared" si="61"/>
        <v>5-483 feedback2</v>
      </c>
      <c r="L416">
        <v>1</v>
      </c>
      <c r="M416" t="s">
        <v>1285</v>
      </c>
      <c r="N416">
        <v>415</v>
      </c>
    </row>
    <row r="417" spans="1:14">
      <c r="A417">
        <v>8</v>
      </c>
      <c r="B417">
        <f t="shared" si="54"/>
        <v>5</v>
      </c>
      <c r="C417">
        <v>484</v>
      </c>
      <c r="D417">
        <f t="shared" ca="1" si="55"/>
        <v>4</v>
      </c>
      <c r="E417" t="str">
        <f t="shared" si="56"/>
        <v>5-484 arg1</v>
      </c>
      <c r="F417">
        <f t="shared" ca="1" si="57"/>
        <v>3</v>
      </c>
      <c r="G417" t="str">
        <f t="shared" si="58"/>
        <v>5-484 feedback1</v>
      </c>
      <c r="H417">
        <v>1</v>
      </c>
      <c r="I417">
        <f t="shared" ca="1" si="59"/>
        <v>3</v>
      </c>
      <c r="J417" t="str">
        <f t="shared" si="60"/>
        <v>5-484 arg2</v>
      </c>
      <c r="K417" t="str">
        <f t="shared" si="61"/>
        <v>5-484 feedback2</v>
      </c>
      <c r="L417">
        <v>1</v>
      </c>
      <c r="M417" t="s">
        <v>1285</v>
      </c>
      <c r="N417">
        <v>416</v>
      </c>
    </row>
    <row r="418" spans="1:14">
      <c r="A418">
        <v>8</v>
      </c>
      <c r="B418">
        <f t="shared" si="54"/>
        <v>5</v>
      </c>
      <c r="C418">
        <v>485</v>
      </c>
      <c r="D418">
        <f t="shared" ca="1" si="55"/>
        <v>5</v>
      </c>
      <c r="E418" t="str">
        <f t="shared" si="56"/>
        <v>5-485 arg1</v>
      </c>
      <c r="F418">
        <f t="shared" ca="1" si="57"/>
        <v>4</v>
      </c>
      <c r="G418" t="str">
        <f t="shared" si="58"/>
        <v>5-485 feedback1</v>
      </c>
      <c r="H418">
        <v>1</v>
      </c>
      <c r="I418">
        <f t="shared" ca="1" si="59"/>
        <v>5</v>
      </c>
      <c r="J418" t="str">
        <f t="shared" si="60"/>
        <v>5-485 arg2</v>
      </c>
      <c r="K418" t="str">
        <f t="shared" si="61"/>
        <v>5-485 feedback2</v>
      </c>
      <c r="L418">
        <v>1</v>
      </c>
      <c r="M418" t="s">
        <v>1285</v>
      </c>
      <c r="N418">
        <v>417</v>
      </c>
    </row>
    <row r="419" spans="1:14">
      <c r="A419">
        <v>8</v>
      </c>
      <c r="B419">
        <f t="shared" si="54"/>
        <v>5</v>
      </c>
      <c r="C419">
        <v>486</v>
      </c>
      <c r="D419">
        <f t="shared" ca="1" si="55"/>
        <v>4</v>
      </c>
      <c r="E419" t="str">
        <f t="shared" si="56"/>
        <v>5-486 arg1</v>
      </c>
      <c r="F419">
        <f t="shared" ca="1" si="57"/>
        <v>3</v>
      </c>
      <c r="G419" t="str">
        <f t="shared" si="58"/>
        <v>5-486 feedback1</v>
      </c>
      <c r="H419">
        <v>1</v>
      </c>
      <c r="I419">
        <f t="shared" ca="1" si="59"/>
        <v>3</v>
      </c>
      <c r="J419" t="str">
        <f t="shared" si="60"/>
        <v>5-486 arg2</v>
      </c>
      <c r="K419" t="str">
        <f t="shared" si="61"/>
        <v>5-486 feedback2</v>
      </c>
      <c r="L419">
        <v>1</v>
      </c>
      <c r="M419" t="s">
        <v>1285</v>
      </c>
      <c r="N419">
        <v>418</v>
      </c>
    </row>
    <row r="420" spans="1:14">
      <c r="A420">
        <v>8</v>
      </c>
      <c r="B420">
        <f t="shared" si="54"/>
        <v>5</v>
      </c>
      <c r="C420">
        <v>487</v>
      </c>
      <c r="D420">
        <f t="shared" ca="1" si="55"/>
        <v>3</v>
      </c>
      <c r="E420" t="str">
        <f t="shared" si="56"/>
        <v>5-487 arg1</v>
      </c>
      <c r="F420">
        <f t="shared" ca="1" si="57"/>
        <v>3</v>
      </c>
      <c r="G420" t="str">
        <f t="shared" si="58"/>
        <v>5-487 feedback1</v>
      </c>
      <c r="H420">
        <v>1</v>
      </c>
      <c r="I420">
        <f t="shared" ca="1" si="59"/>
        <v>4</v>
      </c>
      <c r="J420" t="str">
        <f t="shared" si="60"/>
        <v>5-487 arg2</v>
      </c>
      <c r="K420" t="str">
        <f t="shared" si="61"/>
        <v>5-487 feedback2</v>
      </c>
      <c r="L420">
        <v>1</v>
      </c>
      <c r="M420" t="s">
        <v>1285</v>
      </c>
      <c r="N420">
        <v>419</v>
      </c>
    </row>
    <row r="421" spans="1:14">
      <c r="A421">
        <v>8</v>
      </c>
      <c r="B421">
        <f t="shared" si="54"/>
        <v>5</v>
      </c>
      <c r="C421">
        <v>488</v>
      </c>
      <c r="D421">
        <f t="shared" ca="1" si="55"/>
        <v>5</v>
      </c>
      <c r="E421" t="str">
        <f t="shared" si="56"/>
        <v>5-488 arg1</v>
      </c>
      <c r="F421">
        <f t="shared" ca="1" si="57"/>
        <v>5</v>
      </c>
      <c r="G421" t="str">
        <f t="shared" si="58"/>
        <v>5-488 feedback1</v>
      </c>
      <c r="H421">
        <v>1</v>
      </c>
      <c r="I421">
        <f t="shared" ca="1" si="59"/>
        <v>5</v>
      </c>
      <c r="J421" t="str">
        <f t="shared" si="60"/>
        <v>5-488 arg2</v>
      </c>
      <c r="K421" t="str">
        <f t="shared" si="61"/>
        <v>5-488 feedback2</v>
      </c>
      <c r="L421">
        <v>1</v>
      </c>
      <c r="M421" t="s">
        <v>1285</v>
      </c>
      <c r="N421">
        <v>420</v>
      </c>
    </row>
    <row r="422" spans="1:14">
      <c r="A422">
        <v>8</v>
      </c>
      <c r="B422">
        <f t="shared" si="54"/>
        <v>5</v>
      </c>
      <c r="C422">
        <v>489</v>
      </c>
      <c r="D422">
        <f t="shared" ca="1" si="55"/>
        <v>4</v>
      </c>
      <c r="E422" t="str">
        <f t="shared" si="56"/>
        <v>5-489 arg1</v>
      </c>
      <c r="F422">
        <f t="shared" ca="1" si="57"/>
        <v>3</v>
      </c>
      <c r="G422" t="str">
        <f t="shared" si="58"/>
        <v>5-489 feedback1</v>
      </c>
      <c r="H422">
        <v>1</v>
      </c>
      <c r="I422">
        <f t="shared" ca="1" si="59"/>
        <v>4</v>
      </c>
      <c r="J422" t="str">
        <f t="shared" si="60"/>
        <v>5-489 arg2</v>
      </c>
      <c r="K422" t="str">
        <f t="shared" si="61"/>
        <v>5-489 feedback2</v>
      </c>
      <c r="L422">
        <v>1</v>
      </c>
      <c r="M422" t="s">
        <v>1285</v>
      </c>
      <c r="N422">
        <v>421</v>
      </c>
    </row>
    <row r="423" spans="1:14">
      <c r="A423">
        <v>8</v>
      </c>
      <c r="B423">
        <f t="shared" si="54"/>
        <v>5</v>
      </c>
      <c r="C423">
        <v>490</v>
      </c>
      <c r="D423">
        <f t="shared" ca="1" si="55"/>
        <v>4</v>
      </c>
      <c r="E423" t="str">
        <f t="shared" si="56"/>
        <v>5-490 arg1</v>
      </c>
      <c r="F423">
        <f t="shared" ca="1" si="57"/>
        <v>3</v>
      </c>
      <c r="G423" t="str">
        <f t="shared" si="58"/>
        <v>5-490 feedback1</v>
      </c>
      <c r="H423">
        <v>1</v>
      </c>
      <c r="I423">
        <f t="shared" ca="1" si="59"/>
        <v>3</v>
      </c>
      <c r="J423" t="str">
        <f t="shared" si="60"/>
        <v>5-490 arg2</v>
      </c>
      <c r="K423" t="str">
        <f t="shared" si="61"/>
        <v>5-490 feedback2</v>
      </c>
      <c r="L423">
        <v>1</v>
      </c>
      <c r="M423" t="s">
        <v>1285</v>
      </c>
      <c r="N423">
        <v>422</v>
      </c>
    </row>
    <row r="424" spans="1:14">
      <c r="A424">
        <v>8</v>
      </c>
      <c r="B424">
        <f t="shared" si="54"/>
        <v>5</v>
      </c>
      <c r="C424">
        <v>491</v>
      </c>
      <c r="D424">
        <f t="shared" ca="1" si="55"/>
        <v>4</v>
      </c>
      <c r="E424" t="str">
        <f t="shared" si="56"/>
        <v>5-491 arg1</v>
      </c>
      <c r="F424">
        <f t="shared" ca="1" si="57"/>
        <v>4</v>
      </c>
      <c r="G424" t="str">
        <f t="shared" si="58"/>
        <v>5-491 feedback1</v>
      </c>
      <c r="H424">
        <v>1</v>
      </c>
      <c r="I424">
        <f t="shared" ca="1" si="59"/>
        <v>4</v>
      </c>
      <c r="J424" t="str">
        <f t="shared" si="60"/>
        <v>5-491 arg2</v>
      </c>
      <c r="K424" t="str">
        <f t="shared" si="61"/>
        <v>5-491 feedback2</v>
      </c>
      <c r="L424">
        <v>1</v>
      </c>
      <c r="M424" t="s">
        <v>1285</v>
      </c>
      <c r="N424">
        <v>423</v>
      </c>
    </row>
    <row r="425" spans="1:14">
      <c r="A425">
        <v>8</v>
      </c>
      <c r="B425">
        <f t="shared" si="54"/>
        <v>5</v>
      </c>
      <c r="C425">
        <v>492</v>
      </c>
      <c r="D425">
        <f t="shared" ca="1" si="55"/>
        <v>4</v>
      </c>
      <c r="E425" t="str">
        <f t="shared" si="56"/>
        <v>5-492 arg1</v>
      </c>
      <c r="F425">
        <f t="shared" ca="1" si="57"/>
        <v>3</v>
      </c>
      <c r="G425" t="str">
        <f t="shared" si="58"/>
        <v>5-492 feedback1</v>
      </c>
      <c r="H425">
        <v>1</v>
      </c>
      <c r="I425">
        <f t="shared" ca="1" si="59"/>
        <v>4</v>
      </c>
      <c r="J425" t="str">
        <f t="shared" si="60"/>
        <v>5-492 arg2</v>
      </c>
      <c r="K425" t="str">
        <f t="shared" si="61"/>
        <v>5-492 feedback2</v>
      </c>
      <c r="L425">
        <v>1</v>
      </c>
      <c r="M425" t="s">
        <v>1285</v>
      </c>
      <c r="N425">
        <v>424</v>
      </c>
    </row>
    <row r="426" spans="1:14">
      <c r="A426">
        <v>8</v>
      </c>
      <c r="B426">
        <f t="shared" si="54"/>
        <v>5</v>
      </c>
      <c r="C426">
        <v>493</v>
      </c>
      <c r="D426">
        <f t="shared" ca="1" si="55"/>
        <v>5</v>
      </c>
      <c r="E426" t="str">
        <f t="shared" si="56"/>
        <v>5-493 arg1</v>
      </c>
      <c r="F426">
        <f t="shared" ca="1" si="57"/>
        <v>5</v>
      </c>
      <c r="G426" t="str">
        <f t="shared" si="58"/>
        <v>5-493 feedback1</v>
      </c>
      <c r="H426">
        <v>1</v>
      </c>
      <c r="I426">
        <f t="shared" ca="1" si="59"/>
        <v>5</v>
      </c>
      <c r="J426" t="str">
        <f t="shared" si="60"/>
        <v>5-493 arg2</v>
      </c>
      <c r="K426" t="str">
        <f t="shared" si="61"/>
        <v>5-493 feedback2</v>
      </c>
      <c r="L426">
        <v>1</v>
      </c>
      <c r="M426" t="s">
        <v>1285</v>
      </c>
      <c r="N426">
        <v>425</v>
      </c>
    </row>
    <row r="427" spans="1:14">
      <c r="A427">
        <v>8</v>
      </c>
      <c r="B427">
        <f t="shared" si="54"/>
        <v>6</v>
      </c>
      <c r="C427">
        <v>409</v>
      </c>
      <c r="D427">
        <f t="shared" ca="1" si="55"/>
        <v>4</v>
      </c>
      <c r="E427" t="str">
        <f t="shared" si="56"/>
        <v>6-409 arg1</v>
      </c>
      <c r="F427">
        <f t="shared" ca="1" si="57"/>
        <v>3</v>
      </c>
      <c r="G427" t="str">
        <f t="shared" si="58"/>
        <v>6-409 feedback1</v>
      </c>
      <c r="H427">
        <v>1</v>
      </c>
      <c r="I427">
        <f t="shared" ca="1" si="59"/>
        <v>3</v>
      </c>
      <c r="J427" t="str">
        <f t="shared" si="60"/>
        <v>6-409 arg2</v>
      </c>
      <c r="K427" t="str">
        <f t="shared" si="61"/>
        <v>6-409 feedback2</v>
      </c>
      <c r="L427">
        <v>1</v>
      </c>
      <c r="M427" t="s">
        <v>1285</v>
      </c>
      <c r="N427">
        <v>426</v>
      </c>
    </row>
    <row r="428" spans="1:14">
      <c r="A428">
        <v>8</v>
      </c>
      <c r="B428">
        <f t="shared" si="54"/>
        <v>6</v>
      </c>
      <c r="C428">
        <v>410</v>
      </c>
      <c r="D428">
        <f t="shared" ca="1" si="55"/>
        <v>3</v>
      </c>
      <c r="E428" t="str">
        <f t="shared" si="56"/>
        <v>6-410 arg1</v>
      </c>
      <c r="F428">
        <f t="shared" ca="1" si="57"/>
        <v>2</v>
      </c>
      <c r="G428" t="str">
        <f t="shared" si="58"/>
        <v>6-410 feedback1</v>
      </c>
      <c r="H428">
        <v>1</v>
      </c>
      <c r="I428">
        <f t="shared" ca="1" si="59"/>
        <v>2</v>
      </c>
      <c r="J428" t="str">
        <f t="shared" si="60"/>
        <v>6-410 arg2</v>
      </c>
      <c r="K428" t="str">
        <f t="shared" si="61"/>
        <v>6-410 feedback2</v>
      </c>
      <c r="L428">
        <v>1</v>
      </c>
      <c r="M428" t="s">
        <v>1285</v>
      </c>
      <c r="N428">
        <v>427</v>
      </c>
    </row>
    <row r="429" spans="1:14">
      <c r="A429">
        <v>8</v>
      </c>
      <c r="B429">
        <f t="shared" si="54"/>
        <v>6</v>
      </c>
      <c r="C429">
        <v>411</v>
      </c>
      <c r="D429">
        <f t="shared" ca="1" si="55"/>
        <v>4</v>
      </c>
      <c r="E429" t="str">
        <f t="shared" si="56"/>
        <v>6-411 arg1</v>
      </c>
      <c r="F429">
        <f t="shared" ca="1" si="57"/>
        <v>4</v>
      </c>
      <c r="G429" t="str">
        <f t="shared" si="58"/>
        <v>6-411 feedback1</v>
      </c>
      <c r="H429">
        <v>1</v>
      </c>
      <c r="I429">
        <f t="shared" ca="1" si="59"/>
        <v>5</v>
      </c>
      <c r="J429" t="str">
        <f t="shared" si="60"/>
        <v>6-411 arg2</v>
      </c>
      <c r="K429" t="str">
        <f t="shared" si="61"/>
        <v>6-411 feedback2</v>
      </c>
      <c r="L429">
        <v>1</v>
      </c>
      <c r="M429" t="s">
        <v>1285</v>
      </c>
      <c r="N429">
        <v>428</v>
      </c>
    </row>
    <row r="430" spans="1:14">
      <c r="A430">
        <v>8</v>
      </c>
      <c r="B430">
        <f t="shared" si="54"/>
        <v>6</v>
      </c>
      <c r="C430">
        <v>412</v>
      </c>
      <c r="D430">
        <f t="shared" ca="1" si="55"/>
        <v>4</v>
      </c>
      <c r="E430" t="str">
        <f t="shared" si="56"/>
        <v>6-412 arg1</v>
      </c>
      <c r="F430">
        <f t="shared" ca="1" si="57"/>
        <v>4</v>
      </c>
      <c r="G430" t="str">
        <f t="shared" si="58"/>
        <v>6-412 feedback1</v>
      </c>
      <c r="H430">
        <v>1</v>
      </c>
      <c r="I430">
        <f t="shared" ca="1" si="59"/>
        <v>5</v>
      </c>
      <c r="J430" t="str">
        <f t="shared" si="60"/>
        <v>6-412 arg2</v>
      </c>
      <c r="K430" t="str">
        <f t="shared" si="61"/>
        <v>6-412 feedback2</v>
      </c>
      <c r="L430">
        <v>1</v>
      </c>
      <c r="M430" t="s">
        <v>1285</v>
      </c>
      <c r="N430">
        <v>429</v>
      </c>
    </row>
    <row r="431" spans="1:14">
      <c r="A431">
        <v>8</v>
      </c>
      <c r="B431">
        <f t="shared" si="54"/>
        <v>6</v>
      </c>
      <c r="C431">
        <v>413</v>
      </c>
      <c r="D431">
        <f t="shared" ca="1" si="55"/>
        <v>4</v>
      </c>
      <c r="E431" t="str">
        <f t="shared" si="56"/>
        <v>6-413 arg1</v>
      </c>
      <c r="F431">
        <f t="shared" ca="1" si="57"/>
        <v>2</v>
      </c>
      <c r="G431" t="str">
        <f t="shared" si="58"/>
        <v>6-413 feedback1</v>
      </c>
      <c r="H431">
        <v>1</v>
      </c>
      <c r="I431">
        <f t="shared" ca="1" si="59"/>
        <v>2</v>
      </c>
      <c r="J431" t="str">
        <f t="shared" si="60"/>
        <v>6-413 arg2</v>
      </c>
      <c r="K431" t="str">
        <f t="shared" si="61"/>
        <v>6-413 feedback2</v>
      </c>
      <c r="L431">
        <v>1</v>
      </c>
      <c r="M431" t="s">
        <v>1285</v>
      </c>
      <c r="N431">
        <v>430</v>
      </c>
    </row>
    <row r="432" spans="1:14">
      <c r="A432">
        <v>8</v>
      </c>
      <c r="B432">
        <f t="shared" si="54"/>
        <v>6</v>
      </c>
      <c r="C432">
        <v>414</v>
      </c>
      <c r="D432">
        <f t="shared" ca="1" si="55"/>
        <v>4</v>
      </c>
      <c r="E432" t="str">
        <f t="shared" si="56"/>
        <v>6-414 arg1</v>
      </c>
      <c r="F432">
        <f t="shared" ca="1" si="57"/>
        <v>3</v>
      </c>
      <c r="G432" t="str">
        <f t="shared" si="58"/>
        <v>6-414 feedback1</v>
      </c>
      <c r="H432">
        <v>1</v>
      </c>
      <c r="I432">
        <f t="shared" ca="1" si="59"/>
        <v>3</v>
      </c>
      <c r="J432" t="str">
        <f t="shared" si="60"/>
        <v>6-414 arg2</v>
      </c>
      <c r="K432" t="str">
        <f t="shared" si="61"/>
        <v>6-414 feedback2</v>
      </c>
      <c r="L432">
        <v>1</v>
      </c>
      <c r="M432" t="s">
        <v>1285</v>
      </c>
      <c r="N432">
        <v>431</v>
      </c>
    </row>
    <row r="433" spans="1:14">
      <c r="A433">
        <v>8</v>
      </c>
      <c r="B433">
        <f t="shared" si="54"/>
        <v>6</v>
      </c>
      <c r="C433">
        <v>415</v>
      </c>
      <c r="D433">
        <f t="shared" ca="1" si="55"/>
        <v>4</v>
      </c>
      <c r="E433" t="str">
        <f t="shared" si="56"/>
        <v>6-415 arg1</v>
      </c>
      <c r="F433">
        <f t="shared" ca="1" si="57"/>
        <v>4</v>
      </c>
      <c r="G433" t="str">
        <f t="shared" si="58"/>
        <v>6-415 feedback1</v>
      </c>
      <c r="H433">
        <v>1</v>
      </c>
      <c r="I433">
        <f t="shared" ca="1" si="59"/>
        <v>4</v>
      </c>
      <c r="J433" t="str">
        <f t="shared" si="60"/>
        <v>6-415 arg2</v>
      </c>
      <c r="K433" t="str">
        <f t="shared" si="61"/>
        <v>6-415 feedback2</v>
      </c>
      <c r="L433">
        <v>1</v>
      </c>
      <c r="M433" t="s">
        <v>1285</v>
      </c>
      <c r="N433">
        <v>432</v>
      </c>
    </row>
    <row r="434" spans="1:14">
      <c r="A434">
        <v>8</v>
      </c>
      <c r="B434">
        <f t="shared" si="54"/>
        <v>6</v>
      </c>
      <c r="C434">
        <v>416</v>
      </c>
      <c r="D434">
        <f t="shared" ca="1" si="55"/>
        <v>4</v>
      </c>
      <c r="E434" t="str">
        <f t="shared" si="56"/>
        <v>6-416 arg1</v>
      </c>
      <c r="F434">
        <f t="shared" ca="1" si="57"/>
        <v>3</v>
      </c>
      <c r="G434" t="str">
        <f t="shared" si="58"/>
        <v>6-416 feedback1</v>
      </c>
      <c r="H434">
        <v>1</v>
      </c>
      <c r="I434">
        <f t="shared" ca="1" si="59"/>
        <v>3</v>
      </c>
      <c r="J434" t="str">
        <f t="shared" si="60"/>
        <v>6-416 arg2</v>
      </c>
      <c r="K434" t="str">
        <f t="shared" si="61"/>
        <v>6-416 feedback2</v>
      </c>
      <c r="L434">
        <v>1</v>
      </c>
      <c r="M434" t="s">
        <v>1285</v>
      </c>
      <c r="N434">
        <v>433</v>
      </c>
    </row>
    <row r="435" spans="1:14">
      <c r="A435">
        <v>8</v>
      </c>
      <c r="B435">
        <f t="shared" si="54"/>
        <v>6</v>
      </c>
      <c r="C435">
        <v>417</v>
      </c>
      <c r="D435">
        <f t="shared" ca="1" si="55"/>
        <v>4</v>
      </c>
      <c r="E435" t="str">
        <f t="shared" si="56"/>
        <v>6-417 arg1</v>
      </c>
      <c r="F435">
        <f t="shared" ca="1" si="57"/>
        <v>3</v>
      </c>
      <c r="G435" t="str">
        <f t="shared" si="58"/>
        <v>6-417 feedback1</v>
      </c>
      <c r="H435">
        <v>1</v>
      </c>
      <c r="I435">
        <f t="shared" ca="1" si="59"/>
        <v>3</v>
      </c>
      <c r="J435" t="str">
        <f t="shared" si="60"/>
        <v>6-417 arg2</v>
      </c>
      <c r="K435" t="str">
        <f t="shared" si="61"/>
        <v>6-417 feedback2</v>
      </c>
      <c r="L435">
        <v>1</v>
      </c>
      <c r="M435" t="s">
        <v>1285</v>
      </c>
      <c r="N435">
        <v>434</v>
      </c>
    </row>
    <row r="436" spans="1:14">
      <c r="A436">
        <v>8</v>
      </c>
      <c r="B436">
        <f t="shared" si="54"/>
        <v>6</v>
      </c>
      <c r="C436">
        <v>418</v>
      </c>
      <c r="D436">
        <f t="shared" ca="1" si="55"/>
        <v>3</v>
      </c>
      <c r="E436" t="str">
        <f t="shared" si="56"/>
        <v>6-418 arg1</v>
      </c>
      <c r="F436">
        <f t="shared" ca="1" si="57"/>
        <v>1</v>
      </c>
      <c r="G436" t="str">
        <f t="shared" si="58"/>
        <v>6-418 feedback1</v>
      </c>
      <c r="H436">
        <v>1</v>
      </c>
      <c r="I436">
        <f t="shared" ca="1" si="59"/>
        <v>1</v>
      </c>
      <c r="J436" t="str">
        <f t="shared" si="60"/>
        <v>6-418 arg2</v>
      </c>
      <c r="K436" t="str">
        <f t="shared" si="61"/>
        <v>6-418 feedback2</v>
      </c>
      <c r="L436">
        <v>1</v>
      </c>
      <c r="M436" t="s">
        <v>1285</v>
      </c>
      <c r="N436">
        <v>435</v>
      </c>
    </row>
    <row r="437" spans="1:14">
      <c r="A437">
        <v>8</v>
      </c>
      <c r="B437">
        <f t="shared" si="54"/>
        <v>6</v>
      </c>
      <c r="C437">
        <v>419</v>
      </c>
      <c r="D437">
        <f t="shared" ca="1" si="55"/>
        <v>3</v>
      </c>
      <c r="E437" t="str">
        <f t="shared" si="56"/>
        <v>6-419 arg1</v>
      </c>
      <c r="F437">
        <f t="shared" ca="1" si="57"/>
        <v>3</v>
      </c>
      <c r="G437" t="str">
        <f t="shared" si="58"/>
        <v>6-419 feedback1</v>
      </c>
      <c r="H437">
        <v>1</v>
      </c>
      <c r="I437">
        <f t="shared" ca="1" si="59"/>
        <v>4</v>
      </c>
      <c r="J437" t="str">
        <f t="shared" si="60"/>
        <v>6-419 arg2</v>
      </c>
      <c r="K437" t="str">
        <f t="shared" si="61"/>
        <v>6-419 feedback2</v>
      </c>
      <c r="L437">
        <v>1</v>
      </c>
      <c r="M437" t="s">
        <v>1285</v>
      </c>
      <c r="N437">
        <v>436</v>
      </c>
    </row>
    <row r="438" spans="1:14">
      <c r="A438">
        <v>8</v>
      </c>
      <c r="B438">
        <f t="shared" ref="B438:B501" si="62">B353+1</f>
        <v>6</v>
      </c>
      <c r="C438">
        <v>420</v>
      </c>
      <c r="D438">
        <f t="shared" ca="1" si="55"/>
        <v>3</v>
      </c>
      <c r="E438" t="str">
        <f t="shared" si="56"/>
        <v>6-420 arg1</v>
      </c>
      <c r="F438">
        <f t="shared" ca="1" si="57"/>
        <v>3</v>
      </c>
      <c r="G438" t="str">
        <f t="shared" si="58"/>
        <v>6-420 feedback1</v>
      </c>
      <c r="H438">
        <v>1</v>
      </c>
      <c r="I438">
        <f t="shared" ca="1" si="59"/>
        <v>3</v>
      </c>
      <c r="J438" t="str">
        <f t="shared" si="60"/>
        <v>6-420 arg2</v>
      </c>
      <c r="K438" t="str">
        <f t="shared" si="61"/>
        <v>6-420 feedback2</v>
      </c>
      <c r="L438">
        <v>1</v>
      </c>
      <c r="M438" t="s">
        <v>1285</v>
      </c>
      <c r="N438">
        <v>437</v>
      </c>
    </row>
    <row r="439" spans="1:14">
      <c r="A439">
        <v>8</v>
      </c>
      <c r="B439">
        <f t="shared" si="62"/>
        <v>6</v>
      </c>
      <c r="C439">
        <v>421</v>
      </c>
      <c r="D439">
        <f t="shared" ca="1" si="55"/>
        <v>4</v>
      </c>
      <c r="E439" t="str">
        <f t="shared" si="56"/>
        <v>6-421 arg1</v>
      </c>
      <c r="F439">
        <f t="shared" ca="1" si="57"/>
        <v>3</v>
      </c>
      <c r="G439" t="str">
        <f t="shared" si="58"/>
        <v>6-421 feedback1</v>
      </c>
      <c r="H439">
        <v>1</v>
      </c>
      <c r="I439">
        <f t="shared" ca="1" si="59"/>
        <v>3</v>
      </c>
      <c r="J439" t="str">
        <f t="shared" si="60"/>
        <v>6-421 arg2</v>
      </c>
      <c r="K439" t="str">
        <f t="shared" si="61"/>
        <v>6-421 feedback2</v>
      </c>
      <c r="L439">
        <v>1</v>
      </c>
      <c r="M439" t="s">
        <v>1285</v>
      </c>
      <c r="N439">
        <v>438</v>
      </c>
    </row>
    <row r="440" spans="1:14">
      <c r="A440">
        <v>8</v>
      </c>
      <c r="B440">
        <f t="shared" si="62"/>
        <v>6</v>
      </c>
      <c r="C440">
        <v>422</v>
      </c>
      <c r="D440">
        <f t="shared" ca="1" si="55"/>
        <v>4</v>
      </c>
      <c r="E440" t="str">
        <f t="shared" si="56"/>
        <v>6-422 arg1</v>
      </c>
      <c r="F440">
        <f t="shared" ca="1" si="57"/>
        <v>3</v>
      </c>
      <c r="G440" t="str">
        <f t="shared" si="58"/>
        <v>6-422 feedback1</v>
      </c>
      <c r="H440">
        <v>1</v>
      </c>
      <c r="I440">
        <f t="shared" ca="1" si="59"/>
        <v>4</v>
      </c>
      <c r="J440" t="str">
        <f t="shared" si="60"/>
        <v>6-422 arg2</v>
      </c>
      <c r="K440" t="str">
        <f t="shared" si="61"/>
        <v>6-422 feedback2</v>
      </c>
      <c r="L440">
        <v>1</v>
      </c>
      <c r="M440" t="s">
        <v>1285</v>
      </c>
      <c r="N440">
        <v>439</v>
      </c>
    </row>
    <row r="441" spans="1:14">
      <c r="A441">
        <v>8</v>
      </c>
      <c r="B441">
        <f t="shared" si="62"/>
        <v>6</v>
      </c>
      <c r="C441">
        <v>423</v>
      </c>
      <c r="D441">
        <f t="shared" ca="1" si="55"/>
        <v>3</v>
      </c>
      <c r="E441" t="str">
        <f t="shared" si="56"/>
        <v>6-423 arg1</v>
      </c>
      <c r="F441">
        <f t="shared" ca="1" si="57"/>
        <v>2</v>
      </c>
      <c r="G441" t="str">
        <f t="shared" si="58"/>
        <v>6-423 feedback1</v>
      </c>
      <c r="H441">
        <v>1</v>
      </c>
      <c r="I441">
        <f t="shared" ca="1" si="59"/>
        <v>2</v>
      </c>
      <c r="J441" t="str">
        <f t="shared" si="60"/>
        <v>6-423 arg2</v>
      </c>
      <c r="K441" t="str">
        <f t="shared" si="61"/>
        <v>6-423 feedback2</v>
      </c>
      <c r="L441">
        <v>1</v>
      </c>
      <c r="M441" t="s">
        <v>1285</v>
      </c>
      <c r="N441">
        <v>440</v>
      </c>
    </row>
    <row r="442" spans="1:14">
      <c r="A442">
        <v>8</v>
      </c>
      <c r="B442">
        <f t="shared" si="62"/>
        <v>6</v>
      </c>
      <c r="C442">
        <v>424</v>
      </c>
      <c r="D442">
        <f t="shared" ca="1" si="55"/>
        <v>5</v>
      </c>
      <c r="E442" t="str">
        <f t="shared" si="56"/>
        <v>6-424 arg1</v>
      </c>
      <c r="F442">
        <f t="shared" ca="1" si="57"/>
        <v>4</v>
      </c>
      <c r="G442" t="str">
        <f t="shared" si="58"/>
        <v>6-424 feedback1</v>
      </c>
      <c r="H442">
        <v>1</v>
      </c>
      <c r="I442">
        <f t="shared" ca="1" si="59"/>
        <v>5</v>
      </c>
      <c r="J442" t="str">
        <f t="shared" si="60"/>
        <v>6-424 arg2</v>
      </c>
      <c r="K442" t="str">
        <f t="shared" si="61"/>
        <v>6-424 feedback2</v>
      </c>
      <c r="L442">
        <v>1</v>
      </c>
      <c r="M442" t="s">
        <v>1285</v>
      </c>
      <c r="N442">
        <v>441</v>
      </c>
    </row>
    <row r="443" spans="1:14">
      <c r="A443">
        <v>8</v>
      </c>
      <c r="B443">
        <f t="shared" si="62"/>
        <v>6</v>
      </c>
      <c r="C443">
        <v>425</v>
      </c>
      <c r="D443">
        <f t="shared" ca="1" si="55"/>
        <v>4</v>
      </c>
      <c r="E443" t="str">
        <f t="shared" si="56"/>
        <v>6-425 arg1</v>
      </c>
      <c r="F443">
        <f t="shared" ca="1" si="57"/>
        <v>3</v>
      </c>
      <c r="G443" t="str">
        <f t="shared" si="58"/>
        <v>6-425 feedback1</v>
      </c>
      <c r="H443">
        <v>1</v>
      </c>
      <c r="I443">
        <f t="shared" ca="1" si="59"/>
        <v>3</v>
      </c>
      <c r="J443" t="str">
        <f t="shared" si="60"/>
        <v>6-425 arg2</v>
      </c>
      <c r="K443" t="str">
        <f t="shared" si="61"/>
        <v>6-425 feedback2</v>
      </c>
      <c r="L443">
        <v>1</v>
      </c>
      <c r="M443" t="s">
        <v>1285</v>
      </c>
      <c r="N443">
        <v>442</v>
      </c>
    </row>
    <row r="444" spans="1:14">
      <c r="A444">
        <v>8</v>
      </c>
      <c r="B444">
        <f t="shared" si="62"/>
        <v>6</v>
      </c>
      <c r="C444">
        <v>426</v>
      </c>
      <c r="D444">
        <f t="shared" ca="1" si="55"/>
        <v>5</v>
      </c>
      <c r="E444" t="str">
        <f t="shared" si="56"/>
        <v>6-426 arg1</v>
      </c>
      <c r="F444">
        <f t="shared" ca="1" si="57"/>
        <v>5</v>
      </c>
      <c r="G444" t="str">
        <f t="shared" si="58"/>
        <v>6-426 feedback1</v>
      </c>
      <c r="H444">
        <v>1</v>
      </c>
      <c r="I444">
        <f t="shared" ca="1" si="59"/>
        <v>5</v>
      </c>
      <c r="J444" t="str">
        <f t="shared" si="60"/>
        <v>6-426 arg2</v>
      </c>
      <c r="K444" t="str">
        <f t="shared" si="61"/>
        <v>6-426 feedback2</v>
      </c>
      <c r="L444">
        <v>1</v>
      </c>
      <c r="M444" t="s">
        <v>1285</v>
      </c>
      <c r="N444">
        <v>443</v>
      </c>
    </row>
    <row r="445" spans="1:14">
      <c r="A445">
        <v>8</v>
      </c>
      <c r="B445">
        <f t="shared" si="62"/>
        <v>6</v>
      </c>
      <c r="C445">
        <v>427</v>
      </c>
      <c r="D445">
        <f t="shared" ca="1" si="55"/>
        <v>5</v>
      </c>
      <c r="E445" t="str">
        <f t="shared" si="56"/>
        <v>6-427 arg1</v>
      </c>
      <c r="F445">
        <f t="shared" ca="1" si="57"/>
        <v>4</v>
      </c>
      <c r="G445" t="str">
        <f t="shared" si="58"/>
        <v>6-427 feedback1</v>
      </c>
      <c r="H445">
        <v>1</v>
      </c>
      <c r="I445">
        <f t="shared" ca="1" si="59"/>
        <v>5</v>
      </c>
      <c r="J445" t="str">
        <f t="shared" si="60"/>
        <v>6-427 arg2</v>
      </c>
      <c r="K445" t="str">
        <f t="shared" si="61"/>
        <v>6-427 feedback2</v>
      </c>
      <c r="L445">
        <v>1</v>
      </c>
      <c r="M445" t="s">
        <v>1285</v>
      </c>
      <c r="N445">
        <v>444</v>
      </c>
    </row>
    <row r="446" spans="1:14">
      <c r="A446">
        <v>8</v>
      </c>
      <c r="B446">
        <f t="shared" si="62"/>
        <v>6</v>
      </c>
      <c r="C446">
        <v>428</v>
      </c>
      <c r="D446">
        <f t="shared" ca="1" si="55"/>
        <v>4</v>
      </c>
      <c r="E446" t="str">
        <f t="shared" si="56"/>
        <v>6-428 arg1</v>
      </c>
      <c r="F446">
        <f t="shared" ca="1" si="57"/>
        <v>2</v>
      </c>
      <c r="G446" t="str">
        <f t="shared" si="58"/>
        <v>6-428 feedback1</v>
      </c>
      <c r="H446">
        <v>1</v>
      </c>
      <c r="I446">
        <f t="shared" ca="1" si="59"/>
        <v>2</v>
      </c>
      <c r="J446" t="str">
        <f t="shared" si="60"/>
        <v>6-428 arg2</v>
      </c>
      <c r="K446" t="str">
        <f t="shared" si="61"/>
        <v>6-428 feedback2</v>
      </c>
      <c r="L446">
        <v>1</v>
      </c>
      <c r="M446" t="s">
        <v>1285</v>
      </c>
      <c r="N446">
        <v>445</v>
      </c>
    </row>
    <row r="447" spans="1:14">
      <c r="A447">
        <v>8</v>
      </c>
      <c r="B447">
        <f t="shared" si="62"/>
        <v>6</v>
      </c>
      <c r="C447">
        <v>429</v>
      </c>
      <c r="D447">
        <f t="shared" ca="1" si="55"/>
        <v>3</v>
      </c>
      <c r="E447" t="str">
        <f t="shared" si="56"/>
        <v>6-429 arg1</v>
      </c>
      <c r="F447">
        <f t="shared" ca="1" si="57"/>
        <v>3</v>
      </c>
      <c r="G447" t="str">
        <f t="shared" si="58"/>
        <v>6-429 feedback1</v>
      </c>
      <c r="H447">
        <v>1</v>
      </c>
      <c r="I447">
        <f t="shared" ca="1" si="59"/>
        <v>3</v>
      </c>
      <c r="J447" t="str">
        <f t="shared" si="60"/>
        <v>6-429 arg2</v>
      </c>
      <c r="K447" t="str">
        <f t="shared" si="61"/>
        <v>6-429 feedback2</v>
      </c>
      <c r="L447">
        <v>1</v>
      </c>
      <c r="M447" t="s">
        <v>1285</v>
      </c>
      <c r="N447">
        <v>446</v>
      </c>
    </row>
    <row r="448" spans="1:14">
      <c r="A448">
        <v>8</v>
      </c>
      <c r="B448">
        <f t="shared" si="62"/>
        <v>6</v>
      </c>
      <c r="C448">
        <v>430</v>
      </c>
      <c r="D448">
        <f t="shared" ca="1" si="55"/>
        <v>3</v>
      </c>
      <c r="E448" t="str">
        <f t="shared" si="56"/>
        <v>6-430 arg1</v>
      </c>
      <c r="F448">
        <f t="shared" ca="1" si="57"/>
        <v>1</v>
      </c>
      <c r="G448" t="str">
        <f t="shared" si="58"/>
        <v>6-430 feedback1</v>
      </c>
      <c r="H448">
        <v>1</v>
      </c>
      <c r="I448">
        <f t="shared" ca="1" si="59"/>
        <v>1</v>
      </c>
      <c r="J448" t="str">
        <f t="shared" si="60"/>
        <v>6-430 arg2</v>
      </c>
      <c r="K448" t="str">
        <f t="shared" si="61"/>
        <v>6-430 feedback2</v>
      </c>
      <c r="L448">
        <v>1</v>
      </c>
      <c r="M448" t="s">
        <v>1285</v>
      </c>
      <c r="N448">
        <v>447</v>
      </c>
    </row>
    <row r="449" spans="1:14">
      <c r="A449">
        <v>8</v>
      </c>
      <c r="B449">
        <f t="shared" si="62"/>
        <v>6</v>
      </c>
      <c r="C449">
        <v>431</v>
      </c>
      <c r="D449">
        <f t="shared" ca="1" si="55"/>
        <v>4</v>
      </c>
      <c r="E449" t="str">
        <f t="shared" si="56"/>
        <v>6-431 arg1</v>
      </c>
      <c r="F449">
        <f t="shared" ca="1" si="57"/>
        <v>4</v>
      </c>
      <c r="G449" t="str">
        <f t="shared" si="58"/>
        <v>6-431 feedback1</v>
      </c>
      <c r="H449">
        <v>1</v>
      </c>
      <c r="I449">
        <f t="shared" ca="1" si="59"/>
        <v>5</v>
      </c>
      <c r="J449" t="str">
        <f t="shared" si="60"/>
        <v>6-431 arg2</v>
      </c>
      <c r="K449" t="str">
        <f t="shared" si="61"/>
        <v>6-431 feedback2</v>
      </c>
      <c r="L449">
        <v>1</v>
      </c>
      <c r="M449" t="s">
        <v>1285</v>
      </c>
      <c r="N449">
        <v>448</v>
      </c>
    </row>
    <row r="450" spans="1:14">
      <c r="A450">
        <v>8</v>
      </c>
      <c r="B450">
        <f t="shared" si="62"/>
        <v>6</v>
      </c>
      <c r="C450">
        <v>432</v>
      </c>
      <c r="D450">
        <f t="shared" ca="1" si="55"/>
        <v>4</v>
      </c>
      <c r="E450" t="str">
        <f t="shared" si="56"/>
        <v>6-432 arg1</v>
      </c>
      <c r="F450">
        <f t="shared" ca="1" si="57"/>
        <v>3</v>
      </c>
      <c r="G450" t="str">
        <f t="shared" si="58"/>
        <v>6-432 feedback1</v>
      </c>
      <c r="H450">
        <v>1</v>
      </c>
      <c r="I450">
        <f t="shared" ca="1" si="59"/>
        <v>3</v>
      </c>
      <c r="J450" t="str">
        <f t="shared" si="60"/>
        <v>6-432 arg2</v>
      </c>
      <c r="K450" t="str">
        <f t="shared" si="61"/>
        <v>6-432 feedback2</v>
      </c>
      <c r="L450">
        <v>1</v>
      </c>
      <c r="M450" t="s">
        <v>1285</v>
      </c>
      <c r="N450">
        <v>449</v>
      </c>
    </row>
    <row r="451" spans="1:14">
      <c r="A451">
        <v>8</v>
      </c>
      <c r="B451">
        <f t="shared" si="62"/>
        <v>6</v>
      </c>
      <c r="C451">
        <v>433</v>
      </c>
      <c r="D451">
        <f t="shared" ref="D451:D514" ca="1" si="63">ROUND(3+2*RAND(),0)</f>
        <v>4</v>
      </c>
      <c r="E451" t="str">
        <f t="shared" si="56"/>
        <v>6-433 arg1</v>
      </c>
      <c r="F451">
        <f t="shared" ca="1" si="57"/>
        <v>2</v>
      </c>
      <c r="G451" t="str">
        <f t="shared" si="58"/>
        <v>6-433 feedback1</v>
      </c>
      <c r="H451">
        <v>1</v>
      </c>
      <c r="I451">
        <f t="shared" ca="1" si="59"/>
        <v>3</v>
      </c>
      <c r="J451" t="str">
        <f t="shared" si="60"/>
        <v>6-433 arg2</v>
      </c>
      <c r="K451" t="str">
        <f t="shared" si="61"/>
        <v>6-433 feedback2</v>
      </c>
      <c r="L451">
        <v>1</v>
      </c>
      <c r="M451" t="s">
        <v>1285</v>
      </c>
      <c r="N451">
        <v>450</v>
      </c>
    </row>
    <row r="452" spans="1:14">
      <c r="A452">
        <v>8</v>
      </c>
      <c r="B452">
        <f t="shared" si="62"/>
        <v>6</v>
      </c>
      <c r="C452">
        <v>434</v>
      </c>
      <c r="D452">
        <f t="shared" ca="1" si="63"/>
        <v>5</v>
      </c>
      <c r="E452" t="str">
        <f t="shared" si="56"/>
        <v>6-434 arg1</v>
      </c>
      <c r="F452">
        <f t="shared" ca="1" si="57"/>
        <v>5</v>
      </c>
      <c r="G452" t="str">
        <f t="shared" si="58"/>
        <v>6-434 feedback1</v>
      </c>
      <c r="H452">
        <v>1</v>
      </c>
      <c r="I452">
        <f t="shared" ca="1" si="59"/>
        <v>5</v>
      </c>
      <c r="J452" t="str">
        <f t="shared" si="60"/>
        <v>6-434 arg2</v>
      </c>
      <c r="K452" t="str">
        <f t="shared" si="61"/>
        <v>6-434 feedback2</v>
      </c>
      <c r="L452">
        <v>1</v>
      </c>
      <c r="M452" t="s">
        <v>1285</v>
      </c>
      <c r="N452">
        <v>451</v>
      </c>
    </row>
    <row r="453" spans="1:14">
      <c r="A453">
        <v>8</v>
      </c>
      <c r="B453">
        <f t="shared" si="62"/>
        <v>6</v>
      </c>
      <c r="C453">
        <v>435</v>
      </c>
      <c r="D453">
        <f t="shared" ca="1" si="63"/>
        <v>5</v>
      </c>
      <c r="E453" t="str">
        <f t="shared" si="56"/>
        <v>6-435 arg1</v>
      </c>
      <c r="F453">
        <f t="shared" ca="1" si="57"/>
        <v>5</v>
      </c>
      <c r="G453" t="str">
        <f t="shared" si="58"/>
        <v>6-435 feedback1</v>
      </c>
      <c r="H453">
        <v>1</v>
      </c>
      <c r="I453">
        <f t="shared" ca="1" si="59"/>
        <v>5</v>
      </c>
      <c r="J453" t="str">
        <f t="shared" si="60"/>
        <v>6-435 arg2</v>
      </c>
      <c r="K453" t="str">
        <f t="shared" si="61"/>
        <v>6-435 feedback2</v>
      </c>
      <c r="L453">
        <v>1</v>
      </c>
      <c r="M453" t="s">
        <v>1285</v>
      </c>
      <c r="N453">
        <v>452</v>
      </c>
    </row>
    <row r="454" spans="1:14">
      <c r="A454">
        <v>8</v>
      </c>
      <c r="B454">
        <f t="shared" si="62"/>
        <v>6</v>
      </c>
      <c r="C454">
        <v>436</v>
      </c>
      <c r="D454">
        <f t="shared" ca="1" si="63"/>
        <v>4</v>
      </c>
      <c r="E454" t="str">
        <f t="shared" si="56"/>
        <v>6-436 arg1</v>
      </c>
      <c r="F454">
        <f t="shared" ca="1" si="57"/>
        <v>3</v>
      </c>
      <c r="G454" t="str">
        <f t="shared" si="58"/>
        <v>6-436 feedback1</v>
      </c>
      <c r="H454">
        <v>1</v>
      </c>
      <c r="I454">
        <f t="shared" ca="1" si="59"/>
        <v>4</v>
      </c>
      <c r="J454" t="str">
        <f t="shared" si="60"/>
        <v>6-436 arg2</v>
      </c>
      <c r="K454" t="str">
        <f t="shared" si="61"/>
        <v>6-436 feedback2</v>
      </c>
      <c r="L454">
        <v>1</v>
      </c>
      <c r="M454" t="s">
        <v>1285</v>
      </c>
      <c r="N454">
        <v>453</v>
      </c>
    </row>
    <row r="455" spans="1:14">
      <c r="A455">
        <v>8</v>
      </c>
      <c r="B455">
        <f t="shared" si="62"/>
        <v>6</v>
      </c>
      <c r="C455">
        <v>437</v>
      </c>
      <c r="D455">
        <f t="shared" ca="1" si="63"/>
        <v>4</v>
      </c>
      <c r="E455" t="str">
        <f t="shared" si="56"/>
        <v>6-437 arg1</v>
      </c>
      <c r="F455">
        <f t="shared" ca="1" si="57"/>
        <v>2</v>
      </c>
      <c r="G455" t="str">
        <f t="shared" si="58"/>
        <v>6-437 feedback1</v>
      </c>
      <c r="H455">
        <v>1</v>
      </c>
      <c r="I455">
        <f t="shared" ca="1" si="59"/>
        <v>2</v>
      </c>
      <c r="J455" t="str">
        <f t="shared" si="60"/>
        <v>6-437 arg2</v>
      </c>
      <c r="K455" t="str">
        <f t="shared" si="61"/>
        <v>6-437 feedback2</v>
      </c>
      <c r="L455">
        <v>1</v>
      </c>
      <c r="M455" t="s">
        <v>1285</v>
      </c>
      <c r="N455">
        <v>454</v>
      </c>
    </row>
    <row r="456" spans="1:14">
      <c r="A456">
        <v>8</v>
      </c>
      <c r="B456">
        <f t="shared" si="62"/>
        <v>6</v>
      </c>
      <c r="C456">
        <v>438</v>
      </c>
      <c r="D456">
        <f t="shared" ca="1" si="63"/>
        <v>3</v>
      </c>
      <c r="E456" t="str">
        <f t="shared" si="56"/>
        <v>6-438 arg1</v>
      </c>
      <c r="F456">
        <f t="shared" ca="1" si="57"/>
        <v>1</v>
      </c>
      <c r="G456" t="str">
        <f t="shared" si="58"/>
        <v>6-438 feedback1</v>
      </c>
      <c r="H456">
        <v>1</v>
      </c>
      <c r="I456">
        <f t="shared" ca="1" si="59"/>
        <v>1</v>
      </c>
      <c r="J456" t="str">
        <f t="shared" si="60"/>
        <v>6-438 arg2</v>
      </c>
      <c r="K456" t="str">
        <f t="shared" si="61"/>
        <v>6-438 feedback2</v>
      </c>
      <c r="L456">
        <v>1</v>
      </c>
      <c r="M456" t="s">
        <v>1285</v>
      </c>
      <c r="N456">
        <v>455</v>
      </c>
    </row>
    <row r="457" spans="1:14">
      <c r="A457">
        <v>8</v>
      </c>
      <c r="B457">
        <f t="shared" si="62"/>
        <v>6</v>
      </c>
      <c r="C457">
        <v>439</v>
      </c>
      <c r="D457">
        <f t="shared" ca="1" si="63"/>
        <v>5</v>
      </c>
      <c r="E457" t="str">
        <f t="shared" si="56"/>
        <v>6-439 arg1</v>
      </c>
      <c r="F457">
        <f t="shared" ca="1" si="57"/>
        <v>5</v>
      </c>
      <c r="G457" t="str">
        <f t="shared" si="58"/>
        <v>6-439 feedback1</v>
      </c>
      <c r="H457">
        <v>1</v>
      </c>
      <c r="I457">
        <f t="shared" ca="1" si="59"/>
        <v>5</v>
      </c>
      <c r="J457" t="str">
        <f t="shared" si="60"/>
        <v>6-439 arg2</v>
      </c>
      <c r="K457" t="str">
        <f t="shared" si="61"/>
        <v>6-439 feedback2</v>
      </c>
      <c r="L457">
        <v>1</v>
      </c>
      <c r="M457" t="s">
        <v>1285</v>
      </c>
      <c r="N457">
        <v>456</v>
      </c>
    </row>
    <row r="458" spans="1:14">
      <c r="A458">
        <v>8</v>
      </c>
      <c r="B458">
        <f t="shared" si="62"/>
        <v>6</v>
      </c>
      <c r="C458">
        <v>440</v>
      </c>
      <c r="D458">
        <f t="shared" ca="1" si="63"/>
        <v>4</v>
      </c>
      <c r="E458" t="str">
        <f t="shared" si="56"/>
        <v>6-440 arg1</v>
      </c>
      <c r="F458">
        <f t="shared" ca="1" si="57"/>
        <v>3</v>
      </c>
      <c r="G458" t="str">
        <f t="shared" si="58"/>
        <v>6-440 feedback1</v>
      </c>
      <c r="H458">
        <v>1</v>
      </c>
      <c r="I458">
        <f t="shared" ca="1" si="59"/>
        <v>3</v>
      </c>
      <c r="J458" t="str">
        <f t="shared" si="60"/>
        <v>6-440 arg2</v>
      </c>
      <c r="K458" t="str">
        <f t="shared" si="61"/>
        <v>6-440 feedback2</v>
      </c>
      <c r="L458">
        <v>1</v>
      </c>
      <c r="M458" t="s">
        <v>1285</v>
      </c>
      <c r="N458">
        <v>457</v>
      </c>
    </row>
    <row r="459" spans="1:14">
      <c r="A459">
        <v>8</v>
      </c>
      <c r="B459">
        <f t="shared" si="62"/>
        <v>6</v>
      </c>
      <c r="C459">
        <v>441</v>
      </c>
      <c r="D459">
        <f t="shared" ca="1" si="63"/>
        <v>4</v>
      </c>
      <c r="E459" t="str">
        <f t="shared" si="56"/>
        <v>6-441 arg1</v>
      </c>
      <c r="F459">
        <f t="shared" ca="1" si="57"/>
        <v>2</v>
      </c>
      <c r="G459" t="str">
        <f t="shared" si="58"/>
        <v>6-441 feedback1</v>
      </c>
      <c r="H459">
        <v>1</v>
      </c>
      <c r="I459">
        <f t="shared" ca="1" si="59"/>
        <v>2</v>
      </c>
      <c r="J459" t="str">
        <f t="shared" si="60"/>
        <v>6-441 arg2</v>
      </c>
      <c r="K459" t="str">
        <f t="shared" si="61"/>
        <v>6-441 feedback2</v>
      </c>
      <c r="L459">
        <v>1</v>
      </c>
      <c r="M459" t="s">
        <v>1285</v>
      </c>
      <c r="N459">
        <v>458</v>
      </c>
    </row>
    <row r="460" spans="1:14">
      <c r="A460">
        <v>8</v>
      </c>
      <c r="B460">
        <f t="shared" si="62"/>
        <v>6</v>
      </c>
      <c r="C460">
        <v>442</v>
      </c>
      <c r="D460">
        <f t="shared" ca="1" si="63"/>
        <v>5</v>
      </c>
      <c r="E460" t="str">
        <f t="shared" si="56"/>
        <v>6-442 arg1</v>
      </c>
      <c r="F460">
        <f t="shared" ca="1" si="57"/>
        <v>5</v>
      </c>
      <c r="G460" t="str">
        <f t="shared" si="58"/>
        <v>6-442 feedback1</v>
      </c>
      <c r="H460">
        <v>1</v>
      </c>
      <c r="I460">
        <f t="shared" ca="1" si="59"/>
        <v>5</v>
      </c>
      <c r="J460" t="str">
        <f t="shared" si="60"/>
        <v>6-442 arg2</v>
      </c>
      <c r="K460" t="str">
        <f t="shared" si="61"/>
        <v>6-442 feedback2</v>
      </c>
      <c r="L460">
        <v>1</v>
      </c>
      <c r="M460" t="s">
        <v>1285</v>
      </c>
      <c r="N460">
        <v>459</v>
      </c>
    </row>
    <row r="461" spans="1:14">
      <c r="A461">
        <v>8</v>
      </c>
      <c r="B461">
        <f t="shared" si="62"/>
        <v>6</v>
      </c>
      <c r="C461">
        <v>443</v>
      </c>
      <c r="D461">
        <f t="shared" ca="1" si="63"/>
        <v>3</v>
      </c>
      <c r="E461" t="str">
        <f t="shared" si="56"/>
        <v>6-443 arg1</v>
      </c>
      <c r="F461">
        <f t="shared" ca="1" si="57"/>
        <v>2</v>
      </c>
      <c r="G461" t="str">
        <f t="shared" si="58"/>
        <v>6-443 feedback1</v>
      </c>
      <c r="H461">
        <v>1</v>
      </c>
      <c r="I461">
        <f t="shared" ca="1" si="59"/>
        <v>3</v>
      </c>
      <c r="J461" t="str">
        <f t="shared" si="60"/>
        <v>6-443 arg2</v>
      </c>
      <c r="K461" t="str">
        <f t="shared" si="61"/>
        <v>6-443 feedback2</v>
      </c>
      <c r="L461">
        <v>1</v>
      </c>
      <c r="M461" t="s">
        <v>1285</v>
      </c>
      <c r="N461">
        <v>460</v>
      </c>
    </row>
    <row r="462" spans="1:14">
      <c r="A462">
        <v>8</v>
      </c>
      <c r="B462">
        <f t="shared" si="62"/>
        <v>6</v>
      </c>
      <c r="C462">
        <v>444</v>
      </c>
      <c r="D462">
        <f t="shared" ca="1" si="63"/>
        <v>3</v>
      </c>
      <c r="E462" t="str">
        <f t="shared" si="56"/>
        <v>6-444 arg1</v>
      </c>
      <c r="F462">
        <f t="shared" ca="1" si="57"/>
        <v>2</v>
      </c>
      <c r="G462" t="str">
        <f t="shared" si="58"/>
        <v>6-444 feedback1</v>
      </c>
      <c r="H462">
        <v>1</v>
      </c>
      <c r="I462">
        <f t="shared" ca="1" si="59"/>
        <v>2</v>
      </c>
      <c r="J462" t="str">
        <f t="shared" si="60"/>
        <v>6-444 arg2</v>
      </c>
      <c r="K462" t="str">
        <f t="shared" si="61"/>
        <v>6-444 feedback2</v>
      </c>
      <c r="L462">
        <v>1</v>
      </c>
      <c r="M462" t="s">
        <v>1285</v>
      </c>
      <c r="N462">
        <v>461</v>
      </c>
    </row>
    <row r="463" spans="1:14">
      <c r="A463">
        <v>8</v>
      </c>
      <c r="B463">
        <f t="shared" si="62"/>
        <v>6</v>
      </c>
      <c r="C463">
        <v>445</v>
      </c>
      <c r="D463">
        <f t="shared" ca="1" si="63"/>
        <v>3</v>
      </c>
      <c r="E463" t="str">
        <f t="shared" si="56"/>
        <v>6-445 arg1</v>
      </c>
      <c r="F463">
        <f t="shared" ca="1" si="57"/>
        <v>3</v>
      </c>
      <c r="G463" t="str">
        <f t="shared" si="58"/>
        <v>6-445 feedback1</v>
      </c>
      <c r="H463">
        <v>1</v>
      </c>
      <c r="I463">
        <f t="shared" ca="1" si="59"/>
        <v>4</v>
      </c>
      <c r="J463" t="str">
        <f t="shared" si="60"/>
        <v>6-445 arg2</v>
      </c>
      <c r="K463" t="str">
        <f t="shared" si="61"/>
        <v>6-445 feedback2</v>
      </c>
      <c r="L463">
        <v>1</v>
      </c>
      <c r="M463" t="s">
        <v>1285</v>
      </c>
      <c r="N463">
        <v>462</v>
      </c>
    </row>
    <row r="464" spans="1:14">
      <c r="A464">
        <v>8</v>
      </c>
      <c r="B464">
        <f t="shared" si="62"/>
        <v>6</v>
      </c>
      <c r="C464">
        <v>446</v>
      </c>
      <c r="D464">
        <f t="shared" ca="1" si="63"/>
        <v>3</v>
      </c>
      <c r="E464" t="str">
        <f t="shared" si="56"/>
        <v>6-446 arg1</v>
      </c>
      <c r="F464">
        <f t="shared" ca="1" si="57"/>
        <v>3</v>
      </c>
      <c r="G464" t="str">
        <f t="shared" si="58"/>
        <v>6-446 feedback1</v>
      </c>
      <c r="H464">
        <v>1</v>
      </c>
      <c r="I464">
        <f t="shared" ca="1" si="59"/>
        <v>4</v>
      </c>
      <c r="J464" t="str">
        <f t="shared" si="60"/>
        <v>6-446 arg2</v>
      </c>
      <c r="K464" t="str">
        <f t="shared" si="61"/>
        <v>6-446 feedback2</v>
      </c>
      <c r="L464">
        <v>1</v>
      </c>
      <c r="M464" t="s">
        <v>1285</v>
      </c>
      <c r="N464">
        <v>463</v>
      </c>
    </row>
    <row r="465" spans="1:14">
      <c r="A465">
        <v>8</v>
      </c>
      <c r="B465">
        <f t="shared" si="62"/>
        <v>6</v>
      </c>
      <c r="C465">
        <v>447</v>
      </c>
      <c r="D465">
        <f t="shared" ca="1" si="63"/>
        <v>3</v>
      </c>
      <c r="E465" t="str">
        <f t="shared" si="56"/>
        <v>6-447 arg1</v>
      </c>
      <c r="F465">
        <f t="shared" ca="1" si="57"/>
        <v>2</v>
      </c>
      <c r="G465" t="str">
        <f t="shared" si="58"/>
        <v>6-447 feedback1</v>
      </c>
      <c r="H465">
        <v>1</v>
      </c>
      <c r="I465">
        <f t="shared" ca="1" si="59"/>
        <v>3</v>
      </c>
      <c r="J465" t="str">
        <f t="shared" si="60"/>
        <v>6-447 arg2</v>
      </c>
      <c r="K465" t="str">
        <f t="shared" si="61"/>
        <v>6-447 feedback2</v>
      </c>
      <c r="L465">
        <v>1</v>
      </c>
      <c r="M465" t="s">
        <v>1285</v>
      </c>
      <c r="N465">
        <v>464</v>
      </c>
    </row>
    <row r="466" spans="1:14">
      <c r="A466">
        <v>8</v>
      </c>
      <c r="B466">
        <f t="shared" si="62"/>
        <v>6</v>
      </c>
      <c r="C466">
        <v>448</v>
      </c>
      <c r="D466">
        <f t="shared" ca="1" si="63"/>
        <v>4</v>
      </c>
      <c r="E466" t="str">
        <f t="shared" si="56"/>
        <v>6-448 arg1</v>
      </c>
      <c r="F466">
        <f t="shared" ca="1" si="57"/>
        <v>3</v>
      </c>
      <c r="G466" t="str">
        <f t="shared" si="58"/>
        <v>6-448 feedback1</v>
      </c>
      <c r="H466">
        <v>1</v>
      </c>
      <c r="I466">
        <f t="shared" ca="1" si="59"/>
        <v>4</v>
      </c>
      <c r="J466" t="str">
        <f t="shared" si="60"/>
        <v>6-448 arg2</v>
      </c>
      <c r="K466" t="str">
        <f t="shared" si="61"/>
        <v>6-448 feedback2</v>
      </c>
      <c r="L466">
        <v>1</v>
      </c>
      <c r="M466" t="s">
        <v>1285</v>
      </c>
      <c r="N466">
        <v>465</v>
      </c>
    </row>
    <row r="467" spans="1:14">
      <c r="A467">
        <v>8</v>
      </c>
      <c r="B467">
        <f t="shared" si="62"/>
        <v>6</v>
      </c>
      <c r="C467">
        <v>449</v>
      </c>
      <c r="D467">
        <f t="shared" ca="1" si="63"/>
        <v>4</v>
      </c>
      <c r="E467" t="str">
        <f t="shared" si="56"/>
        <v>6-449 arg1</v>
      </c>
      <c r="F467">
        <f t="shared" ca="1" si="57"/>
        <v>3</v>
      </c>
      <c r="G467" t="str">
        <f t="shared" si="58"/>
        <v>6-449 feedback1</v>
      </c>
      <c r="H467">
        <v>1</v>
      </c>
      <c r="I467">
        <f t="shared" ca="1" si="59"/>
        <v>3</v>
      </c>
      <c r="J467" t="str">
        <f t="shared" si="60"/>
        <v>6-449 arg2</v>
      </c>
      <c r="K467" t="str">
        <f t="shared" si="61"/>
        <v>6-449 feedback2</v>
      </c>
      <c r="L467">
        <v>1</v>
      </c>
      <c r="M467" t="s">
        <v>1285</v>
      </c>
      <c r="N467">
        <v>466</v>
      </c>
    </row>
    <row r="468" spans="1:14">
      <c r="A468">
        <v>8</v>
      </c>
      <c r="B468">
        <f t="shared" si="62"/>
        <v>6</v>
      </c>
      <c r="C468">
        <v>450</v>
      </c>
      <c r="D468">
        <f t="shared" ca="1" si="63"/>
        <v>4</v>
      </c>
      <c r="E468" t="str">
        <f t="shared" si="56"/>
        <v>6-450 arg1</v>
      </c>
      <c r="F468">
        <f t="shared" ca="1" si="57"/>
        <v>3</v>
      </c>
      <c r="G468" t="str">
        <f t="shared" si="58"/>
        <v>6-450 feedback1</v>
      </c>
      <c r="H468">
        <v>1</v>
      </c>
      <c r="I468">
        <f t="shared" ca="1" si="59"/>
        <v>4</v>
      </c>
      <c r="J468" t="str">
        <f t="shared" si="60"/>
        <v>6-450 arg2</v>
      </c>
      <c r="K468" t="str">
        <f t="shared" si="61"/>
        <v>6-450 feedback2</v>
      </c>
      <c r="L468">
        <v>1</v>
      </c>
      <c r="M468" t="s">
        <v>1285</v>
      </c>
      <c r="N468">
        <v>467</v>
      </c>
    </row>
    <row r="469" spans="1:14">
      <c r="A469">
        <v>8</v>
      </c>
      <c r="B469">
        <f t="shared" si="62"/>
        <v>6</v>
      </c>
      <c r="C469">
        <v>451</v>
      </c>
      <c r="D469">
        <f t="shared" ca="1" si="63"/>
        <v>5</v>
      </c>
      <c r="E469" t="str">
        <f t="shared" ref="E469:E532" si="64">_xlfn.CONCAT(B469,"-",C469," arg1")</f>
        <v>6-451 arg1</v>
      </c>
      <c r="F469">
        <f t="shared" ref="F469:F532" ca="1" si="65">D469-ROUND(2*RAND(),0)</f>
        <v>4</v>
      </c>
      <c r="G469" t="str">
        <f t="shared" ref="G469:G532" si="66">_xlfn.CONCAT(B469,"-",C469," feedback1")</f>
        <v>6-451 feedback1</v>
      </c>
      <c r="H469">
        <v>1</v>
      </c>
      <c r="I469">
        <f t="shared" ref="I469:I532" ca="1" si="67">MIN(5,F469+ROUND(RAND(),0))</f>
        <v>5</v>
      </c>
      <c r="J469" t="str">
        <f t="shared" ref="J469:J532" si="68">_xlfn.CONCAT(B469,"-",C469," arg2")</f>
        <v>6-451 arg2</v>
      </c>
      <c r="K469" t="str">
        <f t="shared" ref="K469:K532" si="69">_xlfn.CONCAT(B469,"-",C469," feedback2")</f>
        <v>6-451 feedback2</v>
      </c>
      <c r="L469">
        <v>1</v>
      </c>
      <c r="M469" t="s">
        <v>1285</v>
      </c>
      <c r="N469">
        <v>468</v>
      </c>
    </row>
    <row r="470" spans="1:14">
      <c r="A470">
        <v>8</v>
      </c>
      <c r="B470">
        <f t="shared" si="62"/>
        <v>6</v>
      </c>
      <c r="C470">
        <v>452</v>
      </c>
      <c r="D470">
        <f t="shared" ca="1" si="63"/>
        <v>5</v>
      </c>
      <c r="E470" t="str">
        <f t="shared" si="64"/>
        <v>6-452 arg1</v>
      </c>
      <c r="F470">
        <f t="shared" ca="1" si="65"/>
        <v>4</v>
      </c>
      <c r="G470" t="str">
        <f t="shared" si="66"/>
        <v>6-452 feedback1</v>
      </c>
      <c r="H470">
        <v>1</v>
      </c>
      <c r="I470">
        <f t="shared" ca="1" si="67"/>
        <v>5</v>
      </c>
      <c r="J470" t="str">
        <f t="shared" si="68"/>
        <v>6-452 arg2</v>
      </c>
      <c r="K470" t="str">
        <f t="shared" si="69"/>
        <v>6-452 feedback2</v>
      </c>
      <c r="L470">
        <v>1</v>
      </c>
      <c r="M470" t="s">
        <v>1285</v>
      </c>
      <c r="N470">
        <v>469</v>
      </c>
    </row>
    <row r="471" spans="1:14">
      <c r="A471">
        <v>8</v>
      </c>
      <c r="B471">
        <f t="shared" si="62"/>
        <v>6</v>
      </c>
      <c r="C471">
        <v>453</v>
      </c>
      <c r="D471">
        <f t="shared" ca="1" si="63"/>
        <v>4</v>
      </c>
      <c r="E471" t="str">
        <f t="shared" si="64"/>
        <v>6-453 arg1</v>
      </c>
      <c r="F471">
        <f t="shared" ca="1" si="65"/>
        <v>4</v>
      </c>
      <c r="G471" t="str">
        <f t="shared" si="66"/>
        <v>6-453 feedback1</v>
      </c>
      <c r="H471">
        <v>1</v>
      </c>
      <c r="I471">
        <f t="shared" ca="1" si="67"/>
        <v>5</v>
      </c>
      <c r="J471" t="str">
        <f t="shared" si="68"/>
        <v>6-453 arg2</v>
      </c>
      <c r="K471" t="str">
        <f t="shared" si="69"/>
        <v>6-453 feedback2</v>
      </c>
      <c r="L471">
        <v>1</v>
      </c>
      <c r="M471" t="s">
        <v>1285</v>
      </c>
      <c r="N471">
        <v>470</v>
      </c>
    </row>
    <row r="472" spans="1:14">
      <c r="A472">
        <v>8</v>
      </c>
      <c r="B472">
        <f t="shared" si="62"/>
        <v>6</v>
      </c>
      <c r="C472">
        <v>454</v>
      </c>
      <c r="D472">
        <f t="shared" ca="1" si="63"/>
        <v>3</v>
      </c>
      <c r="E472" t="str">
        <f t="shared" si="64"/>
        <v>6-454 arg1</v>
      </c>
      <c r="F472">
        <f t="shared" ca="1" si="65"/>
        <v>1</v>
      </c>
      <c r="G472" t="str">
        <f t="shared" si="66"/>
        <v>6-454 feedback1</v>
      </c>
      <c r="H472">
        <v>1</v>
      </c>
      <c r="I472">
        <f t="shared" ca="1" si="67"/>
        <v>1</v>
      </c>
      <c r="J472" t="str">
        <f t="shared" si="68"/>
        <v>6-454 arg2</v>
      </c>
      <c r="K472" t="str">
        <f t="shared" si="69"/>
        <v>6-454 feedback2</v>
      </c>
      <c r="L472">
        <v>1</v>
      </c>
      <c r="M472" t="s">
        <v>1285</v>
      </c>
      <c r="N472">
        <v>471</v>
      </c>
    </row>
    <row r="473" spans="1:14">
      <c r="A473">
        <v>8</v>
      </c>
      <c r="B473">
        <f t="shared" si="62"/>
        <v>6</v>
      </c>
      <c r="C473">
        <v>455</v>
      </c>
      <c r="D473">
        <f t="shared" ca="1" si="63"/>
        <v>4</v>
      </c>
      <c r="E473" t="str">
        <f t="shared" si="64"/>
        <v>6-455 arg1</v>
      </c>
      <c r="F473">
        <f t="shared" ca="1" si="65"/>
        <v>3</v>
      </c>
      <c r="G473" t="str">
        <f t="shared" si="66"/>
        <v>6-455 feedback1</v>
      </c>
      <c r="H473">
        <v>1</v>
      </c>
      <c r="I473">
        <f t="shared" ca="1" si="67"/>
        <v>4</v>
      </c>
      <c r="J473" t="str">
        <f t="shared" si="68"/>
        <v>6-455 arg2</v>
      </c>
      <c r="K473" t="str">
        <f t="shared" si="69"/>
        <v>6-455 feedback2</v>
      </c>
      <c r="L473">
        <v>1</v>
      </c>
      <c r="M473" t="s">
        <v>1285</v>
      </c>
      <c r="N473">
        <v>472</v>
      </c>
    </row>
    <row r="474" spans="1:14">
      <c r="A474">
        <v>8</v>
      </c>
      <c r="B474">
        <f t="shared" si="62"/>
        <v>6</v>
      </c>
      <c r="C474">
        <v>456</v>
      </c>
      <c r="D474">
        <f t="shared" ca="1" si="63"/>
        <v>3</v>
      </c>
      <c r="E474" t="str">
        <f t="shared" si="64"/>
        <v>6-456 arg1</v>
      </c>
      <c r="F474">
        <f t="shared" ca="1" si="65"/>
        <v>2</v>
      </c>
      <c r="G474" t="str">
        <f t="shared" si="66"/>
        <v>6-456 feedback1</v>
      </c>
      <c r="H474">
        <v>1</v>
      </c>
      <c r="I474">
        <f t="shared" ca="1" si="67"/>
        <v>3</v>
      </c>
      <c r="J474" t="str">
        <f t="shared" si="68"/>
        <v>6-456 arg2</v>
      </c>
      <c r="K474" t="str">
        <f t="shared" si="69"/>
        <v>6-456 feedback2</v>
      </c>
      <c r="L474">
        <v>1</v>
      </c>
      <c r="M474" t="s">
        <v>1285</v>
      </c>
      <c r="N474">
        <v>473</v>
      </c>
    </row>
    <row r="475" spans="1:14">
      <c r="A475">
        <v>8</v>
      </c>
      <c r="B475">
        <f t="shared" si="62"/>
        <v>6</v>
      </c>
      <c r="C475">
        <v>457</v>
      </c>
      <c r="D475">
        <f t="shared" ca="1" si="63"/>
        <v>4</v>
      </c>
      <c r="E475" t="str">
        <f t="shared" si="64"/>
        <v>6-457 arg1</v>
      </c>
      <c r="F475">
        <f t="shared" ca="1" si="65"/>
        <v>2</v>
      </c>
      <c r="G475" t="str">
        <f t="shared" si="66"/>
        <v>6-457 feedback1</v>
      </c>
      <c r="H475">
        <v>1</v>
      </c>
      <c r="I475">
        <f t="shared" ca="1" si="67"/>
        <v>3</v>
      </c>
      <c r="J475" t="str">
        <f t="shared" si="68"/>
        <v>6-457 arg2</v>
      </c>
      <c r="K475" t="str">
        <f t="shared" si="69"/>
        <v>6-457 feedback2</v>
      </c>
      <c r="L475">
        <v>1</v>
      </c>
      <c r="M475" t="s">
        <v>1285</v>
      </c>
      <c r="N475">
        <v>474</v>
      </c>
    </row>
    <row r="476" spans="1:14">
      <c r="A476">
        <v>8</v>
      </c>
      <c r="B476">
        <f t="shared" si="62"/>
        <v>6</v>
      </c>
      <c r="C476">
        <v>458</v>
      </c>
      <c r="D476">
        <f t="shared" ca="1" si="63"/>
        <v>5</v>
      </c>
      <c r="E476" t="str">
        <f t="shared" si="64"/>
        <v>6-458 arg1</v>
      </c>
      <c r="F476">
        <f t="shared" ca="1" si="65"/>
        <v>4</v>
      </c>
      <c r="G476" t="str">
        <f t="shared" si="66"/>
        <v>6-458 feedback1</v>
      </c>
      <c r="H476">
        <v>1</v>
      </c>
      <c r="I476">
        <f t="shared" ca="1" si="67"/>
        <v>4</v>
      </c>
      <c r="J476" t="str">
        <f t="shared" si="68"/>
        <v>6-458 arg2</v>
      </c>
      <c r="K476" t="str">
        <f t="shared" si="69"/>
        <v>6-458 feedback2</v>
      </c>
      <c r="L476">
        <v>1</v>
      </c>
      <c r="M476" t="s">
        <v>1285</v>
      </c>
      <c r="N476">
        <v>475</v>
      </c>
    </row>
    <row r="477" spans="1:14">
      <c r="A477">
        <v>8</v>
      </c>
      <c r="B477">
        <f t="shared" si="62"/>
        <v>6</v>
      </c>
      <c r="C477">
        <v>459</v>
      </c>
      <c r="D477">
        <f t="shared" ca="1" si="63"/>
        <v>4</v>
      </c>
      <c r="E477" t="str">
        <f t="shared" si="64"/>
        <v>6-459 arg1</v>
      </c>
      <c r="F477">
        <f t="shared" ca="1" si="65"/>
        <v>3</v>
      </c>
      <c r="G477" t="str">
        <f t="shared" si="66"/>
        <v>6-459 feedback1</v>
      </c>
      <c r="H477">
        <v>1</v>
      </c>
      <c r="I477">
        <f t="shared" ca="1" si="67"/>
        <v>4</v>
      </c>
      <c r="J477" t="str">
        <f t="shared" si="68"/>
        <v>6-459 arg2</v>
      </c>
      <c r="K477" t="str">
        <f t="shared" si="69"/>
        <v>6-459 feedback2</v>
      </c>
      <c r="L477">
        <v>1</v>
      </c>
      <c r="M477" t="s">
        <v>1285</v>
      </c>
      <c r="N477">
        <v>476</v>
      </c>
    </row>
    <row r="478" spans="1:14">
      <c r="A478">
        <v>8</v>
      </c>
      <c r="B478">
        <f t="shared" si="62"/>
        <v>6</v>
      </c>
      <c r="C478">
        <v>460</v>
      </c>
      <c r="D478">
        <f t="shared" ca="1" si="63"/>
        <v>4</v>
      </c>
      <c r="E478" t="str">
        <f t="shared" si="64"/>
        <v>6-460 arg1</v>
      </c>
      <c r="F478">
        <f t="shared" ca="1" si="65"/>
        <v>3</v>
      </c>
      <c r="G478" t="str">
        <f t="shared" si="66"/>
        <v>6-460 feedback1</v>
      </c>
      <c r="H478">
        <v>1</v>
      </c>
      <c r="I478">
        <f t="shared" ca="1" si="67"/>
        <v>3</v>
      </c>
      <c r="J478" t="str">
        <f t="shared" si="68"/>
        <v>6-460 arg2</v>
      </c>
      <c r="K478" t="str">
        <f t="shared" si="69"/>
        <v>6-460 feedback2</v>
      </c>
      <c r="L478">
        <v>1</v>
      </c>
      <c r="M478" t="s">
        <v>1285</v>
      </c>
      <c r="N478">
        <v>477</v>
      </c>
    </row>
    <row r="479" spans="1:14">
      <c r="A479">
        <v>8</v>
      </c>
      <c r="B479">
        <f t="shared" si="62"/>
        <v>6</v>
      </c>
      <c r="C479">
        <v>461</v>
      </c>
      <c r="D479">
        <f t="shared" ca="1" si="63"/>
        <v>4</v>
      </c>
      <c r="E479" t="str">
        <f t="shared" si="64"/>
        <v>6-461 arg1</v>
      </c>
      <c r="F479">
        <f t="shared" ca="1" si="65"/>
        <v>4</v>
      </c>
      <c r="G479" t="str">
        <f t="shared" si="66"/>
        <v>6-461 feedback1</v>
      </c>
      <c r="H479">
        <v>1</v>
      </c>
      <c r="I479">
        <f t="shared" ca="1" si="67"/>
        <v>4</v>
      </c>
      <c r="J479" t="str">
        <f t="shared" si="68"/>
        <v>6-461 arg2</v>
      </c>
      <c r="K479" t="str">
        <f t="shared" si="69"/>
        <v>6-461 feedback2</v>
      </c>
      <c r="L479">
        <v>1</v>
      </c>
      <c r="M479" t="s">
        <v>1285</v>
      </c>
      <c r="N479">
        <v>478</v>
      </c>
    </row>
    <row r="480" spans="1:14">
      <c r="A480">
        <v>8</v>
      </c>
      <c r="B480">
        <f t="shared" si="62"/>
        <v>6</v>
      </c>
      <c r="C480">
        <v>462</v>
      </c>
      <c r="D480">
        <f t="shared" ca="1" si="63"/>
        <v>3</v>
      </c>
      <c r="E480" t="str">
        <f t="shared" si="64"/>
        <v>6-462 arg1</v>
      </c>
      <c r="F480">
        <f t="shared" ca="1" si="65"/>
        <v>1</v>
      </c>
      <c r="G480" t="str">
        <f t="shared" si="66"/>
        <v>6-462 feedback1</v>
      </c>
      <c r="H480">
        <v>1</v>
      </c>
      <c r="I480">
        <f t="shared" ca="1" si="67"/>
        <v>2</v>
      </c>
      <c r="J480" t="str">
        <f t="shared" si="68"/>
        <v>6-462 arg2</v>
      </c>
      <c r="K480" t="str">
        <f t="shared" si="69"/>
        <v>6-462 feedback2</v>
      </c>
      <c r="L480">
        <v>1</v>
      </c>
      <c r="M480" t="s">
        <v>1285</v>
      </c>
      <c r="N480">
        <v>479</v>
      </c>
    </row>
    <row r="481" spans="1:14">
      <c r="A481">
        <v>8</v>
      </c>
      <c r="B481">
        <f t="shared" si="62"/>
        <v>6</v>
      </c>
      <c r="C481">
        <v>463</v>
      </c>
      <c r="D481">
        <f t="shared" ca="1" si="63"/>
        <v>4</v>
      </c>
      <c r="E481" t="str">
        <f t="shared" si="64"/>
        <v>6-463 arg1</v>
      </c>
      <c r="F481">
        <f t="shared" ca="1" si="65"/>
        <v>3</v>
      </c>
      <c r="G481" t="str">
        <f t="shared" si="66"/>
        <v>6-463 feedback1</v>
      </c>
      <c r="H481">
        <v>1</v>
      </c>
      <c r="I481">
        <f t="shared" ca="1" si="67"/>
        <v>4</v>
      </c>
      <c r="J481" t="str">
        <f t="shared" si="68"/>
        <v>6-463 arg2</v>
      </c>
      <c r="K481" t="str">
        <f t="shared" si="69"/>
        <v>6-463 feedback2</v>
      </c>
      <c r="L481">
        <v>1</v>
      </c>
      <c r="M481" t="s">
        <v>1285</v>
      </c>
      <c r="N481">
        <v>480</v>
      </c>
    </row>
    <row r="482" spans="1:14">
      <c r="A482">
        <v>8</v>
      </c>
      <c r="B482">
        <f t="shared" si="62"/>
        <v>6</v>
      </c>
      <c r="C482">
        <v>464</v>
      </c>
      <c r="D482">
        <f t="shared" ca="1" si="63"/>
        <v>4</v>
      </c>
      <c r="E482" t="str">
        <f t="shared" si="64"/>
        <v>6-464 arg1</v>
      </c>
      <c r="F482">
        <f t="shared" ca="1" si="65"/>
        <v>2</v>
      </c>
      <c r="G482" t="str">
        <f t="shared" si="66"/>
        <v>6-464 feedback1</v>
      </c>
      <c r="H482">
        <v>1</v>
      </c>
      <c r="I482">
        <f t="shared" ca="1" si="67"/>
        <v>2</v>
      </c>
      <c r="J482" t="str">
        <f t="shared" si="68"/>
        <v>6-464 arg2</v>
      </c>
      <c r="K482" t="str">
        <f t="shared" si="69"/>
        <v>6-464 feedback2</v>
      </c>
      <c r="L482">
        <v>1</v>
      </c>
      <c r="M482" t="s">
        <v>1285</v>
      </c>
      <c r="N482">
        <v>481</v>
      </c>
    </row>
    <row r="483" spans="1:14">
      <c r="A483">
        <v>8</v>
      </c>
      <c r="B483">
        <f t="shared" si="62"/>
        <v>6</v>
      </c>
      <c r="C483">
        <v>465</v>
      </c>
      <c r="D483">
        <f t="shared" ca="1" si="63"/>
        <v>4</v>
      </c>
      <c r="E483" t="str">
        <f t="shared" si="64"/>
        <v>6-465 arg1</v>
      </c>
      <c r="F483">
        <f t="shared" ca="1" si="65"/>
        <v>3</v>
      </c>
      <c r="G483" t="str">
        <f t="shared" si="66"/>
        <v>6-465 feedback1</v>
      </c>
      <c r="H483">
        <v>1</v>
      </c>
      <c r="I483">
        <f t="shared" ca="1" si="67"/>
        <v>4</v>
      </c>
      <c r="J483" t="str">
        <f t="shared" si="68"/>
        <v>6-465 arg2</v>
      </c>
      <c r="K483" t="str">
        <f t="shared" si="69"/>
        <v>6-465 feedback2</v>
      </c>
      <c r="L483">
        <v>1</v>
      </c>
      <c r="M483" t="s">
        <v>1285</v>
      </c>
      <c r="N483">
        <v>482</v>
      </c>
    </row>
    <row r="484" spans="1:14">
      <c r="A484">
        <v>8</v>
      </c>
      <c r="B484">
        <f t="shared" si="62"/>
        <v>6</v>
      </c>
      <c r="C484">
        <v>466</v>
      </c>
      <c r="D484">
        <f t="shared" ca="1" si="63"/>
        <v>3</v>
      </c>
      <c r="E484" t="str">
        <f t="shared" si="64"/>
        <v>6-466 arg1</v>
      </c>
      <c r="F484">
        <f t="shared" ca="1" si="65"/>
        <v>3</v>
      </c>
      <c r="G484" t="str">
        <f t="shared" si="66"/>
        <v>6-466 feedback1</v>
      </c>
      <c r="H484">
        <v>1</v>
      </c>
      <c r="I484">
        <f t="shared" ca="1" si="67"/>
        <v>3</v>
      </c>
      <c r="J484" t="str">
        <f t="shared" si="68"/>
        <v>6-466 arg2</v>
      </c>
      <c r="K484" t="str">
        <f t="shared" si="69"/>
        <v>6-466 feedback2</v>
      </c>
      <c r="L484">
        <v>1</v>
      </c>
      <c r="M484" t="s">
        <v>1285</v>
      </c>
      <c r="N484">
        <v>483</v>
      </c>
    </row>
    <row r="485" spans="1:14">
      <c r="A485">
        <v>8</v>
      </c>
      <c r="B485">
        <f t="shared" si="62"/>
        <v>6</v>
      </c>
      <c r="C485">
        <v>467</v>
      </c>
      <c r="D485">
        <f t="shared" ca="1" si="63"/>
        <v>4</v>
      </c>
      <c r="E485" t="str">
        <f t="shared" si="64"/>
        <v>6-467 arg1</v>
      </c>
      <c r="F485">
        <f t="shared" ca="1" si="65"/>
        <v>3</v>
      </c>
      <c r="G485" t="str">
        <f t="shared" si="66"/>
        <v>6-467 feedback1</v>
      </c>
      <c r="H485">
        <v>1</v>
      </c>
      <c r="I485">
        <f t="shared" ca="1" si="67"/>
        <v>3</v>
      </c>
      <c r="J485" t="str">
        <f t="shared" si="68"/>
        <v>6-467 arg2</v>
      </c>
      <c r="K485" t="str">
        <f t="shared" si="69"/>
        <v>6-467 feedback2</v>
      </c>
      <c r="L485">
        <v>1</v>
      </c>
      <c r="M485" t="s">
        <v>1285</v>
      </c>
      <c r="N485">
        <v>484</v>
      </c>
    </row>
    <row r="486" spans="1:14">
      <c r="A486">
        <v>8</v>
      </c>
      <c r="B486">
        <f t="shared" si="62"/>
        <v>6</v>
      </c>
      <c r="C486">
        <v>468</v>
      </c>
      <c r="D486">
        <f t="shared" ca="1" si="63"/>
        <v>4</v>
      </c>
      <c r="E486" t="str">
        <f t="shared" si="64"/>
        <v>6-468 arg1</v>
      </c>
      <c r="F486">
        <f t="shared" ca="1" si="65"/>
        <v>3</v>
      </c>
      <c r="G486" t="str">
        <f t="shared" si="66"/>
        <v>6-468 feedback1</v>
      </c>
      <c r="H486">
        <v>1</v>
      </c>
      <c r="I486">
        <f t="shared" ca="1" si="67"/>
        <v>4</v>
      </c>
      <c r="J486" t="str">
        <f t="shared" si="68"/>
        <v>6-468 arg2</v>
      </c>
      <c r="K486" t="str">
        <f t="shared" si="69"/>
        <v>6-468 feedback2</v>
      </c>
      <c r="L486">
        <v>1</v>
      </c>
      <c r="M486" t="s">
        <v>1285</v>
      </c>
      <c r="N486">
        <v>485</v>
      </c>
    </row>
    <row r="487" spans="1:14">
      <c r="A487">
        <v>8</v>
      </c>
      <c r="B487">
        <f t="shared" si="62"/>
        <v>6</v>
      </c>
      <c r="C487">
        <v>469</v>
      </c>
      <c r="D487">
        <f t="shared" ca="1" si="63"/>
        <v>4</v>
      </c>
      <c r="E487" t="str">
        <f t="shared" si="64"/>
        <v>6-469 arg1</v>
      </c>
      <c r="F487">
        <f t="shared" ca="1" si="65"/>
        <v>3</v>
      </c>
      <c r="G487" t="str">
        <f t="shared" si="66"/>
        <v>6-469 feedback1</v>
      </c>
      <c r="H487">
        <v>1</v>
      </c>
      <c r="I487">
        <f t="shared" ca="1" si="67"/>
        <v>3</v>
      </c>
      <c r="J487" t="str">
        <f t="shared" si="68"/>
        <v>6-469 arg2</v>
      </c>
      <c r="K487" t="str">
        <f t="shared" si="69"/>
        <v>6-469 feedback2</v>
      </c>
      <c r="L487">
        <v>1</v>
      </c>
      <c r="M487" t="s">
        <v>1285</v>
      </c>
      <c r="N487">
        <v>486</v>
      </c>
    </row>
    <row r="488" spans="1:14">
      <c r="A488">
        <v>8</v>
      </c>
      <c r="B488">
        <f t="shared" si="62"/>
        <v>6</v>
      </c>
      <c r="C488">
        <v>470</v>
      </c>
      <c r="D488">
        <f t="shared" ca="1" si="63"/>
        <v>4</v>
      </c>
      <c r="E488" t="str">
        <f t="shared" si="64"/>
        <v>6-470 arg1</v>
      </c>
      <c r="F488">
        <f t="shared" ca="1" si="65"/>
        <v>3</v>
      </c>
      <c r="G488" t="str">
        <f t="shared" si="66"/>
        <v>6-470 feedback1</v>
      </c>
      <c r="H488">
        <v>1</v>
      </c>
      <c r="I488">
        <f t="shared" ca="1" si="67"/>
        <v>4</v>
      </c>
      <c r="J488" t="str">
        <f t="shared" si="68"/>
        <v>6-470 arg2</v>
      </c>
      <c r="K488" t="str">
        <f t="shared" si="69"/>
        <v>6-470 feedback2</v>
      </c>
      <c r="L488">
        <v>1</v>
      </c>
      <c r="M488" t="s">
        <v>1285</v>
      </c>
      <c r="N488">
        <v>487</v>
      </c>
    </row>
    <row r="489" spans="1:14">
      <c r="A489">
        <v>8</v>
      </c>
      <c r="B489">
        <f t="shared" si="62"/>
        <v>6</v>
      </c>
      <c r="C489">
        <v>471</v>
      </c>
      <c r="D489">
        <f t="shared" ca="1" si="63"/>
        <v>3</v>
      </c>
      <c r="E489" t="str">
        <f t="shared" si="64"/>
        <v>6-471 arg1</v>
      </c>
      <c r="F489">
        <f t="shared" ca="1" si="65"/>
        <v>2</v>
      </c>
      <c r="G489" t="str">
        <f t="shared" si="66"/>
        <v>6-471 feedback1</v>
      </c>
      <c r="H489">
        <v>1</v>
      </c>
      <c r="I489">
        <f t="shared" ca="1" si="67"/>
        <v>3</v>
      </c>
      <c r="J489" t="str">
        <f t="shared" si="68"/>
        <v>6-471 arg2</v>
      </c>
      <c r="K489" t="str">
        <f t="shared" si="69"/>
        <v>6-471 feedback2</v>
      </c>
      <c r="L489">
        <v>1</v>
      </c>
      <c r="M489" t="s">
        <v>1285</v>
      </c>
      <c r="N489">
        <v>488</v>
      </c>
    </row>
    <row r="490" spans="1:14">
      <c r="A490">
        <v>8</v>
      </c>
      <c r="B490">
        <f t="shared" si="62"/>
        <v>6</v>
      </c>
      <c r="C490">
        <v>472</v>
      </c>
      <c r="D490">
        <f t="shared" ca="1" si="63"/>
        <v>5</v>
      </c>
      <c r="E490" t="str">
        <f t="shared" si="64"/>
        <v>6-472 arg1</v>
      </c>
      <c r="F490">
        <f t="shared" ca="1" si="65"/>
        <v>4</v>
      </c>
      <c r="G490" t="str">
        <f t="shared" si="66"/>
        <v>6-472 feedback1</v>
      </c>
      <c r="H490">
        <v>1</v>
      </c>
      <c r="I490">
        <f t="shared" ca="1" si="67"/>
        <v>5</v>
      </c>
      <c r="J490" t="str">
        <f t="shared" si="68"/>
        <v>6-472 arg2</v>
      </c>
      <c r="K490" t="str">
        <f t="shared" si="69"/>
        <v>6-472 feedback2</v>
      </c>
      <c r="L490">
        <v>1</v>
      </c>
      <c r="M490" t="s">
        <v>1285</v>
      </c>
      <c r="N490">
        <v>489</v>
      </c>
    </row>
    <row r="491" spans="1:14">
      <c r="A491">
        <v>8</v>
      </c>
      <c r="B491">
        <f t="shared" si="62"/>
        <v>6</v>
      </c>
      <c r="C491">
        <v>473</v>
      </c>
      <c r="D491">
        <f t="shared" ca="1" si="63"/>
        <v>5</v>
      </c>
      <c r="E491" t="str">
        <f t="shared" si="64"/>
        <v>6-473 arg1</v>
      </c>
      <c r="F491">
        <f t="shared" ca="1" si="65"/>
        <v>3</v>
      </c>
      <c r="G491" t="str">
        <f t="shared" si="66"/>
        <v>6-473 feedback1</v>
      </c>
      <c r="H491">
        <v>1</v>
      </c>
      <c r="I491">
        <f t="shared" ca="1" si="67"/>
        <v>3</v>
      </c>
      <c r="J491" t="str">
        <f t="shared" si="68"/>
        <v>6-473 arg2</v>
      </c>
      <c r="K491" t="str">
        <f t="shared" si="69"/>
        <v>6-473 feedback2</v>
      </c>
      <c r="L491">
        <v>1</v>
      </c>
      <c r="M491" t="s">
        <v>1285</v>
      </c>
      <c r="N491">
        <v>490</v>
      </c>
    </row>
    <row r="492" spans="1:14">
      <c r="A492">
        <v>8</v>
      </c>
      <c r="B492">
        <f t="shared" si="62"/>
        <v>6</v>
      </c>
      <c r="C492">
        <v>474</v>
      </c>
      <c r="D492">
        <f t="shared" ca="1" si="63"/>
        <v>4</v>
      </c>
      <c r="E492" t="str">
        <f t="shared" si="64"/>
        <v>6-474 arg1</v>
      </c>
      <c r="F492">
        <f t="shared" ca="1" si="65"/>
        <v>3</v>
      </c>
      <c r="G492" t="str">
        <f t="shared" si="66"/>
        <v>6-474 feedback1</v>
      </c>
      <c r="H492">
        <v>1</v>
      </c>
      <c r="I492">
        <f t="shared" ca="1" si="67"/>
        <v>4</v>
      </c>
      <c r="J492" t="str">
        <f t="shared" si="68"/>
        <v>6-474 arg2</v>
      </c>
      <c r="K492" t="str">
        <f t="shared" si="69"/>
        <v>6-474 feedback2</v>
      </c>
      <c r="L492">
        <v>1</v>
      </c>
      <c r="M492" t="s">
        <v>1285</v>
      </c>
      <c r="N492">
        <v>491</v>
      </c>
    </row>
    <row r="493" spans="1:14">
      <c r="A493">
        <v>8</v>
      </c>
      <c r="B493">
        <f t="shared" si="62"/>
        <v>6</v>
      </c>
      <c r="C493">
        <v>475</v>
      </c>
      <c r="D493">
        <f t="shared" ca="1" si="63"/>
        <v>5</v>
      </c>
      <c r="E493" t="str">
        <f t="shared" si="64"/>
        <v>6-475 arg1</v>
      </c>
      <c r="F493">
        <f t="shared" ca="1" si="65"/>
        <v>4</v>
      </c>
      <c r="G493" t="str">
        <f t="shared" si="66"/>
        <v>6-475 feedback1</v>
      </c>
      <c r="H493">
        <v>1</v>
      </c>
      <c r="I493">
        <f t="shared" ca="1" si="67"/>
        <v>5</v>
      </c>
      <c r="J493" t="str">
        <f t="shared" si="68"/>
        <v>6-475 arg2</v>
      </c>
      <c r="K493" t="str">
        <f t="shared" si="69"/>
        <v>6-475 feedback2</v>
      </c>
      <c r="L493">
        <v>1</v>
      </c>
      <c r="M493" t="s">
        <v>1285</v>
      </c>
      <c r="N493">
        <v>492</v>
      </c>
    </row>
    <row r="494" spans="1:14">
      <c r="A494">
        <v>8</v>
      </c>
      <c r="B494">
        <f t="shared" si="62"/>
        <v>6</v>
      </c>
      <c r="C494">
        <v>476</v>
      </c>
      <c r="D494">
        <f t="shared" ca="1" si="63"/>
        <v>5</v>
      </c>
      <c r="E494" t="str">
        <f t="shared" si="64"/>
        <v>6-476 arg1</v>
      </c>
      <c r="F494">
        <f t="shared" ca="1" si="65"/>
        <v>4</v>
      </c>
      <c r="G494" t="str">
        <f t="shared" si="66"/>
        <v>6-476 feedback1</v>
      </c>
      <c r="H494">
        <v>1</v>
      </c>
      <c r="I494">
        <f t="shared" ca="1" si="67"/>
        <v>5</v>
      </c>
      <c r="J494" t="str">
        <f t="shared" si="68"/>
        <v>6-476 arg2</v>
      </c>
      <c r="K494" t="str">
        <f t="shared" si="69"/>
        <v>6-476 feedback2</v>
      </c>
      <c r="L494">
        <v>1</v>
      </c>
      <c r="M494" t="s">
        <v>1285</v>
      </c>
      <c r="N494">
        <v>493</v>
      </c>
    </row>
    <row r="495" spans="1:14">
      <c r="A495">
        <v>8</v>
      </c>
      <c r="B495">
        <f t="shared" si="62"/>
        <v>6</v>
      </c>
      <c r="C495">
        <v>477</v>
      </c>
      <c r="D495">
        <f t="shared" ca="1" si="63"/>
        <v>5</v>
      </c>
      <c r="E495" t="str">
        <f t="shared" si="64"/>
        <v>6-477 arg1</v>
      </c>
      <c r="F495">
        <f t="shared" ca="1" si="65"/>
        <v>5</v>
      </c>
      <c r="G495" t="str">
        <f t="shared" si="66"/>
        <v>6-477 feedback1</v>
      </c>
      <c r="H495">
        <v>1</v>
      </c>
      <c r="I495">
        <f t="shared" ca="1" si="67"/>
        <v>5</v>
      </c>
      <c r="J495" t="str">
        <f t="shared" si="68"/>
        <v>6-477 arg2</v>
      </c>
      <c r="K495" t="str">
        <f t="shared" si="69"/>
        <v>6-477 feedback2</v>
      </c>
      <c r="L495">
        <v>1</v>
      </c>
      <c r="M495" t="s">
        <v>1285</v>
      </c>
      <c r="N495">
        <v>494</v>
      </c>
    </row>
    <row r="496" spans="1:14">
      <c r="A496">
        <v>8</v>
      </c>
      <c r="B496">
        <f t="shared" si="62"/>
        <v>6</v>
      </c>
      <c r="C496">
        <v>478</v>
      </c>
      <c r="D496">
        <f t="shared" ca="1" si="63"/>
        <v>4</v>
      </c>
      <c r="E496" t="str">
        <f t="shared" si="64"/>
        <v>6-478 arg1</v>
      </c>
      <c r="F496">
        <f t="shared" ca="1" si="65"/>
        <v>3</v>
      </c>
      <c r="G496" t="str">
        <f t="shared" si="66"/>
        <v>6-478 feedback1</v>
      </c>
      <c r="H496">
        <v>1</v>
      </c>
      <c r="I496">
        <f t="shared" ca="1" si="67"/>
        <v>3</v>
      </c>
      <c r="J496" t="str">
        <f t="shared" si="68"/>
        <v>6-478 arg2</v>
      </c>
      <c r="K496" t="str">
        <f t="shared" si="69"/>
        <v>6-478 feedback2</v>
      </c>
      <c r="L496">
        <v>1</v>
      </c>
      <c r="M496" t="s">
        <v>1285</v>
      </c>
      <c r="N496">
        <v>495</v>
      </c>
    </row>
    <row r="497" spans="1:14">
      <c r="A497">
        <v>8</v>
      </c>
      <c r="B497">
        <f t="shared" si="62"/>
        <v>6</v>
      </c>
      <c r="C497">
        <v>479</v>
      </c>
      <c r="D497">
        <f t="shared" ca="1" si="63"/>
        <v>4</v>
      </c>
      <c r="E497" t="str">
        <f t="shared" si="64"/>
        <v>6-479 arg1</v>
      </c>
      <c r="F497">
        <f t="shared" ca="1" si="65"/>
        <v>3</v>
      </c>
      <c r="G497" t="str">
        <f t="shared" si="66"/>
        <v>6-479 feedback1</v>
      </c>
      <c r="H497">
        <v>1</v>
      </c>
      <c r="I497">
        <f t="shared" ca="1" si="67"/>
        <v>3</v>
      </c>
      <c r="J497" t="str">
        <f t="shared" si="68"/>
        <v>6-479 arg2</v>
      </c>
      <c r="K497" t="str">
        <f t="shared" si="69"/>
        <v>6-479 feedback2</v>
      </c>
      <c r="L497">
        <v>1</v>
      </c>
      <c r="M497" t="s">
        <v>1285</v>
      </c>
      <c r="N497">
        <v>496</v>
      </c>
    </row>
    <row r="498" spans="1:14">
      <c r="A498">
        <v>8</v>
      </c>
      <c r="B498">
        <f t="shared" si="62"/>
        <v>6</v>
      </c>
      <c r="C498">
        <v>480</v>
      </c>
      <c r="D498">
        <f t="shared" ca="1" si="63"/>
        <v>4</v>
      </c>
      <c r="E498" t="str">
        <f t="shared" si="64"/>
        <v>6-480 arg1</v>
      </c>
      <c r="F498">
        <f t="shared" ca="1" si="65"/>
        <v>4</v>
      </c>
      <c r="G498" t="str">
        <f t="shared" si="66"/>
        <v>6-480 feedback1</v>
      </c>
      <c r="H498">
        <v>1</v>
      </c>
      <c r="I498">
        <f t="shared" ca="1" si="67"/>
        <v>4</v>
      </c>
      <c r="J498" t="str">
        <f t="shared" si="68"/>
        <v>6-480 arg2</v>
      </c>
      <c r="K498" t="str">
        <f t="shared" si="69"/>
        <v>6-480 feedback2</v>
      </c>
      <c r="L498">
        <v>1</v>
      </c>
      <c r="M498" t="s">
        <v>1285</v>
      </c>
      <c r="N498">
        <v>497</v>
      </c>
    </row>
    <row r="499" spans="1:14">
      <c r="A499">
        <v>8</v>
      </c>
      <c r="B499">
        <f t="shared" si="62"/>
        <v>6</v>
      </c>
      <c r="C499">
        <v>481</v>
      </c>
      <c r="D499">
        <f t="shared" ca="1" si="63"/>
        <v>5</v>
      </c>
      <c r="E499" t="str">
        <f t="shared" si="64"/>
        <v>6-481 arg1</v>
      </c>
      <c r="F499">
        <f t="shared" ca="1" si="65"/>
        <v>4</v>
      </c>
      <c r="G499" t="str">
        <f t="shared" si="66"/>
        <v>6-481 feedback1</v>
      </c>
      <c r="H499">
        <v>1</v>
      </c>
      <c r="I499">
        <f t="shared" ca="1" si="67"/>
        <v>4</v>
      </c>
      <c r="J499" t="str">
        <f t="shared" si="68"/>
        <v>6-481 arg2</v>
      </c>
      <c r="K499" t="str">
        <f t="shared" si="69"/>
        <v>6-481 feedback2</v>
      </c>
      <c r="L499">
        <v>1</v>
      </c>
      <c r="M499" t="s">
        <v>1285</v>
      </c>
      <c r="N499">
        <v>498</v>
      </c>
    </row>
    <row r="500" spans="1:14">
      <c r="A500">
        <v>8</v>
      </c>
      <c r="B500">
        <f t="shared" si="62"/>
        <v>6</v>
      </c>
      <c r="C500">
        <v>482</v>
      </c>
      <c r="D500">
        <f t="shared" ca="1" si="63"/>
        <v>5</v>
      </c>
      <c r="E500" t="str">
        <f t="shared" si="64"/>
        <v>6-482 arg1</v>
      </c>
      <c r="F500">
        <f t="shared" ca="1" si="65"/>
        <v>4</v>
      </c>
      <c r="G500" t="str">
        <f t="shared" si="66"/>
        <v>6-482 feedback1</v>
      </c>
      <c r="H500">
        <v>1</v>
      </c>
      <c r="I500">
        <f t="shared" ca="1" si="67"/>
        <v>5</v>
      </c>
      <c r="J500" t="str">
        <f t="shared" si="68"/>
        <v>6-482 arg2</v>
      </c>
      <c r="K500" t="str">
        <f t="shared" si="69"/>
        <v>6-482 feedback2</v>
      </c>
      <c r="L500">
        <v>1</v>
      </c>
      <c r="M500" t="s">
        <v>1285</v>
      </c>
      <c r="N500">
        <v>499</v>
      </c>
    </row>
    <row r="501" spans="1:14">
      <c r="A501">
        <v>8</v>
      </c>
      <c r="B501">
        <f t="shared" si="62"/>
        <v>6</v>
      </c>
      <c r="C501">
        <v>483</v>
      </c>
      <c r="D501">
        <f t="shared" ca="1" si="63"/>
        <v>4</v>
      </c>
      <c r="E501" t="str">
        <f t="shared" si="64"/>
        <v>6-483 arg1</v>
      </c>
      <c r="F501">
        <f t="shared" ca="1" si="65"/>
        <v>3</v>
      </c>
      <c r="G501" t="str">
        <f t="shared" si="66"/>
        <v>6-483 feedback1</v>
      </c>
      <c r="H501">
        <v>1</v>
      </c>
      <c r="I501">
        <f t="shared" ca="1" si="67"/>
        <v>4</v>
      </c>
      <c r="J501" t="str">
        <f t="shared" si="68"/>
        <v>6-483 arg2</v>
      </c>
      <c r="K501" t="str">
        <f t="shared" si="69"/>
        <v>6-483 feedback2</v>
      </c>
      <c r="L501">
        <v>1</v>
      </c>
      <c r="M501" t="s">
        <v>1285</v>
      </c>
      <c r="N501">
        <v>500</v>
      </c>
    </row>
    <row r="502" spans="1:14">
      <c r="A502">
        <v>8</v>
      </c>
      <c r="B502">
        <f t="shared" ref="B502:B565" si="70">B417+1</f>
        <v>6</v>
      </c>
      <c r="C502">
        <v>484</v>
      </c>
      <c r="D502">
        <f t="shared" ca="1" si="63"/>
        <v>5</v>
      </c>
      <c r="E502" t="str">
        <f t="shared" si="64"/>
        <v>6-484 arg1</v>
      </c>
      <c r="F502">
        <f t="shared" ca="1" si="65"/>
        <v>4</v>
      </c>
      <c r="G502" t="str">
        <f t="shared" si="66"/>
        <v>6-484 feedback1</v>
      </c>
      <c r="H502">
        <v>1</v>
      </c>
      <c r="I502">
        <f t="shared" ca="1" si="67"/>
        <v>4</v>
      </c>
      <c r="J502" t="str">
        <f t="shared" si="68"/>
        <v>6-484 arg2</v>
      </c>
      <c r="K502" t="str">
        <f t="shared" si="69"/>
        <v>6-484 feedback2</v>
      </c>
      <c r="L502">
        <v>1</v>
      </c>
      <c r="M502" t="s">
        <v>1285</v>
      </c>
      <c r="N502">
        <v>501</v>
      </c>
    </row>
    <row r="503" spans="1:14">
      <c r="A503">
        <v>8</v>
      </c>
      <c r="B503">
        <f t="shared" si="70"/>
        <v>6</v>
      </c>
      <c r="C503">
        <v>485</v>
      </c>
      <c r="D503">
        <f t="shared" ca="1" si="63"/>
        <v>3</v>
      </c>
      <c r="E503" t="str">
        <f t="shared" si="64"/>
        <v>6-485 arg1</v>
      </c>
      <c r="F503">
        <f t="shared" ca="1" si="65"/>
        <v>2</v>
      </c>
      <c r="G503" t="str">
        <f t="shared" si="66"/>
        <v>6-485 feedback1</v>
      </c>
      <c r="H503">
        <v>1</v>
      </c>
      <c r="I503">
        <f t="shared" ca="1" si="67"/>
        <v>3</v>
      </c>
      <c r="J503" t="str">
        <f t="shared" si="68"/>
        <v>6-485 arg2</v>
      </c>
      <c r="K503" t="str">
        <f t="shared" si="69"/>
        <v>6-485 feedback2</v>
      </c>
      <c r="L503">
        <v>1</v>
      </c>
      <c r="M503" t="s">
        <v>1285</v>
      </c>
      <c r="N503">
        <v>502</v>
      </c>
    </row>
    <row r="504" spans="1:14">
      <c r="A504">
        <v>8</v>
      </c>
      <c r="B504">
        <f t="shared" si="70"/>
        <v>6</v>
      </c>
      <c r="C504">
        <v>486</v>
      </c>
      <c r="D504">
        <f t="shared" ca="1" si="63"/>
        <v>4</v>
      </c>
      <c r="E504" t="str">
        <f t="shared" si="64"/>
        <v>6-486 arg1</v>
      </c>
      <c r="F504">
        <f t="shared" ca="1" si="65"/>
        <v>4</v>
      </c>
      <c r="G504" t="str">
        <f t="shared" si="66"/>
        <v>6-486 feedback1</v>
      </c>
      <c r="H504">
        <v>1</v>
      </c>
      <c r="I504">
        <f t="shared" ca="1" si="67"/>
        <v>4</v>
      </c>
      <c r="J504" t="str">
        <f t="shared" si="68"/>
        <v>6-486 arg2</v>
      </c>
      <c r="K504" t="str">
        <f t="shared" si="69"/>
        <v>6-486 feedback2</v>
      </c>
      <c r="L504">
        <v>1</v>
      </c>
      <c r="M504" t="s">
        <v>1285</v>
      </c>
      <c r="N504">
        <v>503</v>
      </c>
    </row>
    <row r="505" spans="1:14">
      <c r="A505">
        <v>8</v>
      </c>
      <c r="B505">
        <f t="shared" si="70"/>
        <v>6</v>
      </c>
      <c r="C505">
        <v>487</v>
      </c>
      <c r="D505">
        <f t="shared" ca="1" si="63"/>
        <v>3</v>
      </c>
      <c r="E505" t="str">
        <f t="shared" si="64"/>
        <v>6-487 arg1</v>
      </c>
      <c r="F505">
        <f t="shared" ca="1" si="65"/>
        <v>2</v>
      </c>
      <c r="G505" t="str">
        <f t="shared" si="66"/>
        <v>6-487 feedback1</v>
      </c>
      <c r="H505">
        <v>1</v>
      </c>
      <c r="I505">
        <f t="shared" ca="1" si="67"/>
        <v>3</v>
      </c>
      <c r="J505" t="str">
        <f t="shared" si="68"/>
        <v>6-487 arg2</v>
      </c>
      <c r="K505" t="str">
        <f t="shared" si="69"/>
        <v>6-487 feedback2</v>
      </c>
      <c r="L505">
        <v>1</v>
      </c>
      <c r="M505" t="s">
        <v>1285</v>
      </c>
      <c r="N505">
        <v>504</v>
      </c>
    </row>
    <row r="506" spans="1:14">
      <c r="A506">
        <v>8</v>
      </c>
      <c r="B506">
        <f t="shared" si="70"/>
        <v>6</v>
      </c>
      <c r="C506">
        <v>488</v>
      </c>
      <c r="D506">
        <f t="shared" ca="1" si="63"/>
        <v>4</v>
      </c>
      <c r="E506" t="str">
        <f t="shared" si="64"/>
        <v>6-488 arg1</v>
      </c>
      <c r="F506">
        <f t="shared" ca="1" si="65"/>
        <v>3</v>
      </c>
      <c r="G506" t="str">
        <f t="shared" si="66"/>
        <v>6-488 feedback1</v>
      </c>
      <c r="H506">
        <v>1</v>
      </c>
      <c r="I506">
        <f t="shared" ca="1" si="67"/>
        <v>3</v>
      </c>
      <c r="J506" t="str">
        <f t="shared" si="68"/>
        <v>6-488 arg2</v>
      </c>
      <c r="K506" t="str">
        <f t="shared" si="69"/>
        <v>6-488 feedback2</v>
      </c>
      <c r="L506">
        <v>1</v>
      </c>
      <c r="M506" t="s">
        <v>1285</v>
      </c>
      <c r="N506">
        <v>505</v>
      </c>
    </row>
    <row r="507" spans="1:14">
      <c r="A507">
        <v>8</v>
      </c>
      <c r="B507">
        <f t="shared" si="70"/>
        <v>6</v>
      </c>
      <c r="C507">
        <v>489</v>
      </c>
      <c r="D507">
        <f t="shared" ca="1" si="63"/>
        <v>5</v>
      </c>
      <c r="E507" t="str">
        <f t="shared" si="64"/>
        <v>6-489 arg1</v>
      </c>
      <c r="F507">
        <f t="shared" ca="1" si="65"/>
        <v>4</v>
      </c>
      <c r="G507" t="str">
        <f t="shared" si="66"/>
        <v>6-489 feedback1</v>
      </c>
      <c r="H507">
        <v>1</v>
      </c>
      <c r="I507">
        <f t="shared" ca="1" si="67"/>
        <v>4</v>
      </c>
      <c r="J507" t="str">
        <f t="shared" si="68"/>
        <v>6-489 arg2</v>
      </c>
      <c r="K507" t="str">
        <f t="shared" si="69"/>
        <v>6-489 feedback2</v>
      </c>
      <c r="L507">
        <v>1</v>
      </c>
      <c r="M507" t="s">
        <v>1285</v>
      </c>
      <c r="N507">
        <v>506</v>
      </c>
    </row>
    <row r="508" spans="1:14">
      <c r="A508">
        <v>8</v>
      </c>
      <c r="B508">
        <f t="shared" si="70"/>
        <v>6</v>
      </c>
      <c r="C508">
        <v>490</v>
      </c>
      <c r="D508">
        <f t="shared" ca="1" si="63"/>
        <v>4</v>
      </c>
      <c r="E508" t="str">
        <f t="shared" si="64"/>
        <v>6-490 arg1</v>
      </c>
      <c r="F508">
        <f t="shared" ca="1" si="65"/>
        <v>3</v>
      </c>
      <c r="G508" t="str">
        <f t="shared" si="66"/>
        <v>6-490 feedback1</v>
      </c>
      <c r="H508">
        <v>1</v>
      </c>
      <c r="I508">
        <f t="shared" ca="1" si="67"/>
        <v>3</v>
      </c>
      <c r="J508" t="str">
        <f t="shared" si="68"/>
        <v>6-490 arg2</v>
      </c>
      <c r="K508" t="str">
        <f t="shared" si="69"/>
        <v>6-490 feedback2</v>
      </c>
      <c r="L508">
        <v>1</v>
      </c>
      <c r="M508" t="s">
        <v>1285</v>
      </c>
      <c r="N508">
        <v>507</v>
      </c>
    </row>
    <row r="509" spans="1:14">
      <c r="A509">
        <v>8</v>
      </c>
      <c r="B509">
        <f t="shared" si="70"/>
        <v>6</v>
      </c>
      <c r="C509">
        <v>491</v>
      </c>
      <c r="D509">
        <f t="shared" ca="1" si="63"/>
        <v>4</v>
      </c>
      <c r="E509" t="str">
        <f t="shared" si="64"/>
        <v>6-491 arg1</v>
      </c>
      <c r="F509">
        <f t="shared" ca="1" si="65"/>
        <v>4</v>
      </c>
      <c r="G509" t="str">
        <f t="shared" si="66"/>
        <v>6-491 feedback1</v>
      </c>
      <c r="H509">
        <v>1</v>
      </c>
      <c r="I509">
        <f t="shared" ca="1" si="67"/>
        <v>4</v>
      </c>
      <c r="J509" t="str">
        <f t="shared" si="68"/>
        <v>6-491 arg2</v>
      </c>
      <c r="K509" t="str">
        <f t="shared" si="69"/>
        <v>6-491 feedback2</v>
      </c>
      <c r="L509">
        <v>1</v>
      </c>
      <c r="M509" t="s">
        <v>1285</v>
      </c>
      <c r="N509">
        <v>508</v>
      </c>
    </row>
    <row r="510" spans="1:14">
      <c r="A510">
        <v>8</v>
      </c>
      <c r="B510">
        <f t="shared" si="70"/>
        <v>6</v>
      </c>
      <c r="C510">
        <v>492</v>
      </c>
      <c r="D510">
        <f t="shared" ca="1" si="63"/>
        <v>5</v>
      </c>
      <c r="E510" t="str">
        <f t="shared" si="64"/>
        <v>6-492 arg1</v>
      </c>
      <c r="F510">
        <f t="shared" ca="1" si="65"/>
        <v>4</v>
      </c>
      <c r="G510" t="str">
        <f t="shared" si="66"/>
        <v>6-492 feedback1</v>
      </c>
      <c r="H510">
        <v>1</v>
      </c>
      <c r="I510">
        <f t="shared" ca="1" si="67"/>
        <v>4</v>
      </c>
      <c r="J510" t="str">
        <f t="shared" si="68"/>
        <v>6-492 arg2</v>
      </c>
      <c r="K510" t="str">
        <f t="shared" si="69"/>
        <v>6-492 feedback2</v>
      </c>
      <c r="L510">
        <v>1</v>
      </c>
      <c r="M510" t="s">
        <v>1285</v>
      </c>
      <c r="N510">
        <v>509</v>
      </c>
    </row>
    <row r="511" spans="1:14">
      <c r="A511">
        <v>8</v>
      </c>
      <c r="B511">
        <f t="shared" si="70"/>
        <v>6</v>
      </c>
      <c r="C511">
        <v>493</v>
      </c>
      <c r="D511">
        <f t="shared" ca="1" si="63"/>
        <v>5</v>
      </c>
      <c r="E511" t="str">
        <f t="shared" si="64"/>
        <v>6-493 arg1</v>
      </c>
      <c r="F511">
        <f t="shared" ca="1" si="65"/>
        <v>3</v>
      </c>
      <c r="G511" t="str">
        <f t="shared" si="66"/>
        <v>6-493 feedback1</v>
      </c>
      <c r="H511">
        <v>1</v>
      </c>
      <c r="I511">
        <f t="shared" ca="1" si="67"/>
        <v>4</v>
      </c>
      <c r="J511" t="str">
        <f t="shared" si="68"/>
        <v>6-493 arg2</v>
      </c>
      <c r="K511" t="str">
        <f t="shared" si="69"/>
        <v>6-493 feedback2</v>
      </c>
      <c r="L511">
        <v>1</v>
      </c>
      <c r="M511" t="s">
        <v>1285</v>
      </c>
      <c r="N511">
        <v>510</v>
      </c>
    </row>
    <row r="512" spans="1:14">
      <c r="A512">
        <v>8</v>
      </c>
      <c r="B512">
        <f t="shared" si="70"/>
        <v>7</v>
      </c>
      <c r="C512">
        <v>409</v>
      </c>
      <c r="D512">
        <f t="shared" ca="1" si="63"/>
        <v>5</v>
      </c>
      <c r="E512" t="str">
        <f t="shared" si="64"/>
        <v>7-409 arg1</v>
      </c>
      <c r="F512">
        <f t="shared" ca="1" si="65"/>
        <v>4</v>
      </c>
      <c r="G512" t="str">
        <f t="shared" si="66"/>
        <v>7-409 feedback1</v>
      </c>
      <c r="H512">
        <v>1</v>
      </c>
      <c r="I512">
        <f t="shared" ca="1" si="67"/>
        <v>5</v>
      </c>
      <c r="J512" t="str">
        <f t="shared" si="68"/>
        <v>7-409 arg2</v>
      </c>
      <c r="K512" t="str">
        <f t="shared" si="69"/>
        <v>7-409 feedback2</v>
      </c>
      <c r="L512">
        <v>1</v>
      </c>
      <c r="M512" t="s">
        <v>1285</v>
      </c>
      <c r="N512">
        <v>511</v>
      </c>
    </row>
    <row r="513" spans="1:14">
      <c r="A513">
        <v>8</v>
      </c>
      <c r="B513">
        <f t="shared" si="70"/>
        <v>7</v>
      </c>
      <c r="C513">
        <v>410</v>
      </c>
      <c r="D513">
        <f t="shared" ca="1" si="63"/>
        <v>4</v>
      </c>
      <c r="E513" t="str">
        <f t="shared" si="64"/>
        <v>7-410 arg1</v>
      </c>
      <c r="F513">
        <f t="shared" ca="1" si="65"/>
        <v>4</v>
      </c>
      <c r="G513" t="str">
        <f t="shared" si="66"/>
        <v>7-410 feedback1</v>
      </c>
      <c r="H513">
        <v>1</v>
      </c>
      <c r="I513">
        <f t="shared" ca="1" si="67"/>
        <v>4</v>
      </c>
      <c r="J513" t="str">
        <f t="shared" si="68"/>
        <v>7-410 arg2</v>
      </c>
      <c r="K513" t="str">
        <f t="shared" si="69"/>
        <v>7-410 feedback2</v>
      </c>
      <c r="L513">
        <v>1</v>
      </c>
      <c r="M513" t="s">
        <v>1285</v>
      </c>
      <c r="N513">
        <v>512</v>
      </c>
    </row>
    <row r="514" spans="1:14">
      <c r="A514">
        <v>8</v>
      </c>
      <c r="B514">
        <f t="shared" si="70"/>
        <v>7</v>
      </c>
      <c r="C514">
        <v>411</v>
      </c>
      <c r="D514">
        <f t="shared" ca="1" si="63"/>
        <v>4</v>
      </c>
      <c r="E514" t="str">
        <f t="shared" si="64"/>
        <v>7-411 arg1</v>
      </c>
      <c r="F514">
        <f t="shared" ca="1" si="65"/>
        <v>4</v>
      </c>
      <c r="G514" t="str">
        <f t="shared" si="66"/>
        <v>7-411 feedback1</v>
      </c>
      <c r="H514">
        <v>1</v>
      </c>
      <c r="I514">
        <f t="shared" ca="1" si="67"/>
        <v>5</v>
      </c>
      <c r="J514" t="str">
        <f t="shared" si="68"/>
        <v>7-411 arg2</v>
      </c>
      <c r="K514" t="str">
        <f t="shared" si="69"/>
        <v>7-411 feedback2</v>
      </c>
      <c r="L514">
        <v>1</v>
      </c>
      <c r="M514" t="s">
        <v>1285</v>
      </c>
      <c r="N514">
        <v>513</v>
      </c>
    </row>
    <row r="515" spans="1:14">
      <c r="A515">
        <v>8</v>
      </c>
      <c r="B515">
        <f t="shared" si="70"/>
        <v>7</v>
      </c>
      <c r="C515">
        <v>412</v>
      </c>
      <c r="D515">
        <f t="shared" ref="D515:D578" ca="1" si="71">ROUND(3+2*RAND(),0)</f>
        <v>4</v>
      </c>
      <c r="E515" t="str">
        <f t="shared" si="64"/>
        <v>7-412 arg1</v>
      </c>
      <c r="F515">
        <f t="shared" ca="1" si="65"/>
        <v>2</v>
      </c>
      <c r="G515" t="str">
        <f t="shared" si="66"/>
        <v>7-412 feedback1</v>
      </c>
      <c r="H515">
        <v>1</v>
      </c>
      <c r="I515">
        <f t="shared" ca="1" si="67"/>
        <v>3</v>
      </c>
      <c r="J515" t="str">
        <f t="shared" si="68"/>
        <v>7-412 arg2</v>
      </c>
      <c r="K515" t="str">
        <f t="shared" si="69"/>
        <v>7-412 feedback2</v>
      </c>
      <c r="L515">
        <v>1</v>
      </c>
      <c r="M515" t="s">
        <v>1285</v>
      </c>
      <c r="N515">
        <v>514</v>
      </c>
    </row>
    <row r="516" spans="1:14">
      <c r="A516">
        <v>8</v>
      </c>
      <c r="B516">
        <f t="shared" si="70"/>
        <v>7</v>
      </c>
      <c r="C516">
        <v>413</v>
      </c>
      <c r="D516">
        <f t="shared" ca="1" si="71"/>
        <v>3</v>
      </c>
      <c r="E516" t="str">
        <f t="shared" si="64"/>
        <v>7-413 arg1</v>
      </c>
      <c r="F516">
        <f t="shared" ca="1" si="65"/>
        <v>2</v>
      </c>
      <c r="G516" t="str">
        <f t="shared" si="66"/>
        <v>7-413 feedback1</v>
      </c>
      <c r="H516">
        <v>1</v>
      </c>
      <c r="I516">
        <f t="shared" ca="1" si="67"/>
        <v>3</v>
      </c>
      <c r="J516" t="str">
        <f t="shared" si="68"/>
        <v>7-413 arg2</v>
      </c>
      <c r="K516" t="str">
        <f t="shared" si="69"/>
        <v>7-413 feedback2</v>
      </c>
      <c r="L516">
        <v>1</v>
      </c>
      <c r="M516" t="s">
        <v>1285</v>
      </c>
      <c r="N516">
        <v>515</v>
      </c>
    </row>
    <row r="517" spans="1:14">
      <c r="A517">
        <v>8</v>
      </c>
      <c r="B517">
        <f t="shared" si="70"/>
        <v>7</v>
      </c>
      <c r="C517">
        <v>414</v>
      </c>
      <c r="D517">
        <f t="shared" ca="1" si="71"/>
        <v>4</v>
      </c>
      <c r="E517" t="str">
        <f t="shared" si="64"/>
        <v>7-414 arg1</v>
      </c>
      <c r="F517">
        <f t="shared" ca="1" si="65"/>
        <v>3</v>
      </c>
      <c r="G517" t="str">
        <f t="shared" si="66"/>
        <v>7-414 feedback1</v>
      </c>
      <c r="H517">
        <v>1</v>
      </c>
      <c r="I517">
        <f t="shared" ca="1" si="67"/>
        <v>3</v>
      </c>
      <c r="J517" t="str">
        <f t="shared" si="68"/>
        <v>7-414 arg2</v>
      </c>
      <c r="K517" t="str">
        <f t="shared" si="69"/>
        <v>7-414 feedback2</v>
      </c>
      <c r="L517">
        <v>1</v>
      </c>
      <c r="M517" t="s">
        <v>1285</v>
      </c>
      <c r="N517">
        <v>516</v>
      </c>
    </row>
    <row r="518" spans="1:14">
      <c r="A518">
        <v>8</v>
      </c>
      <c r="B518">
        <f t="shared" si="70"/>
        <v>7</v>
      </c>
      <c r="C518">
        <v>415</v>
      </c>
      <c r="D518">
        <f t="shared" ca="1" si="71"/>
        <v>4</v>
      </c>
      <c r="E518" t="str">
        <f t="shared" si="64"/>
        <v>7-415 arg1</v>
      </c>
      <c r="F518">
        <f t="shared" ca="1" si="65"/>
        <v>3</v>
      </c>
      <c r="G518" t="str">
        <f t="shared" si="66"/>
        <v>7-415 feedback1</v>
      </c>
      <c r="H518">
        <v>1</v>
      </c>
      <c r="I518">
        <f t="shared" ca="1" si="67"/>
        <v>3</v>
      </c>
      <c r="J518" t="str">
        <f t="shared" si="68"/>
        <v>7-415 arg2</v>
      </c>
      <c r="K518" t="str">
        <f t="shared" si="69"/>
        <v>7-415 feedback2</v>
      </c>
      <c r="L518">
        <v>1</v>
      </c>
      <c r="M518" t="s">
        <v>1285</v>
      </c>
      <c r="N518">
        <v>517</v>
      </c>
    </row>
    <row r="519" spans="1:14">
      <c r="A519">
        <v>8</v>
      </c>
      <c r="B519">
        <f t="shared" si="70"/>
        <v>7</v>
      </c>
      <c r="C519">
        <v>416</v>
      </c>
      <c r="D519">
        <f t="shared" ca="1" si="71"/>
        <v>3</v>
      </c>
      <c r="E519" t="str">
        <f t="shared" si="64"/>
        <v>7-416 arg1</v>
      </c>
      <c r="F519">
        <f t="shared" ca="1" si="65"/>
        <v>3</v>
      </c>
      <c r="G519" t="str">
        <f t="shared" si="66"/>
        <v>7-416 feedback1</v>
      </c>
      <c r="H519">
        <v>1</v>
      </c>
      <c r="I519">
        <f t="shared" ca="1" si="67"/>
        <v>4</v>
      </c>
      <c r="J519" t="str">
        <f t="shared" si="68"/>
        <v>7-416 arg2</v>
      </c>
      <c r="K519" t="str">
        <f t="shared" si="69"/>
        <v>7-416 feedback2</v>
      </c>
      <c r="L519">
        <v>1</v>
      </c>
      <c r="M519" t="s">
        <v>1285</v>
      </c>
      <c r="N519">
        <v>518</v>
      </c>
    </row>
    <row r="520" spans="1:14">
      <c r="A520">
        <v>8</v>
      </c>
      <c r="B520">
        <f t="shared" si="70"/>
        <v>7</v>
      </c>
      <c r="C520">
        <v>417</v>
      </c>
      <c r="D520">
        <f t="shared" ca="1" si="71"/>
        <v>5</v>
      </c>
      <c r="E520" t="str">
        <f t="shared" si="64"/>
        <v>7-417 arg1</v>
      </c>
      <c r="F520">
        <f t="shared" ca="1" si="65"/>
        <v>4</v>
      </c>
      <c r="G520" t="str">
        <f t="shared" si="66"/>
        <v>7-417 feedback1</v>
      </c>
      <c r="H520">
        <v>1</v>
      </c>
      <c r="I520">
        <f t="shared" ca="1" si="67"/>
        <v>4</v>
      </c>
      <c r="J520" t="str">
        <f t="shared" si="68"/>
        <v>7-417 arg2</v>
      </c>
      <c r="K520" t="str">
        <f t="shared" si="69"/>
        <v>7-417 feedback2</v>
      </c>
      <c r="L520">
        <v>1</v>
      </c>
      <c r="M520" t="s">
        <v>1285</v>
      </c>
      <c r="N520">
        <v>519</v>
      </c>
    </row>
    <row r="521" spans="1:14">
      <c r="A521">
        <v>8</v>
      </c>
      <c r="B521">
        <f t="shared" si="70"/>
        <v>7</v>
      </c>
      <c r="C521">
        <v>418</v>
      </c>
      <c r="D521">
        <f t="shared" ca="1" si="71"/>
        <v>4</v>
      </c>
      <c r="E521" t="str">
        <f t="shared" si="64"/>
        <v>7-418 arg1</v>
      </c>
      <c r="F521">
        <f t="shared" ca="1" si="65"/>
        <v>3</v>
      </c>
      <c r="G521" t="str">
        <f t="shared" si="66"/>
        <v>7-418 feedback1</v>
      </c>
      <c r="H521">
        <v>1</v>
      </c>
      <c r="I521">
        <f t="shared" ca="1" si="67"/>
        <v>4</v>
      </c>
      <c r="J521" t="str">
        <f t="shared" si="68"/>
        <v>7-418 arg2</v>
      </c>
      <c r="K521" t="str">
        <f t="shared" si="69"/>
        <v>7-418 feedback2</v>
      </c>
      <c r="L521">
        <v>1</v>
      </c>
      <c r="M521" t="s">
        <v>1285</v>
      </c>
      <c r="N521">
        <v>520</v>
      </c>
    </row>
    <row r="522" spans="1:14">
      <c r="A522">
        <v>8</v>
      </c>
      <c r="B522">
        <f t="shared" si="70"/>
        <v>7</v>
      </c>
      <c r="C522">
        <v>419</v>
      </c>
      <c r="D522">
        <f t="shared" ca="1" si="71"/>
        <v>3</v>
      </c>
      <c r="E522" t="str">
        <f t="shared" si="64"/>
        <v>7-419 arg1</v>
      </c>
      <c r="F522">
        <f t="shared" ca="1" si="65"/>
        <v>1</v>
      </c>
      <c r="G522" t="str">
        <f t="shared" si="66"/>
        <v>7-419 feedback1</v>
      </c>
      <c r="H522">
        <v>1</v>
      </c>
      <c r="I522">
        <f t="shared" ca="1" si="67"/>
        <v>1</v>
      </c>
      <c r="J522" t="str">
        <f t="shared" si="68"/>
        <v>7-419 arg2</v>
      </c>
      <c r="K522" t="str">
        <f t="shared" si="69"/>
        <v>7-419 feedback2</v>
      </c>
      <c r="L522">
        <v>1</v>
      </c>
      <c r="M522" t="s">
        <v>1285</v>
      </c>
      <c r="N522">
        <v>521</v>
      </c>
    </row>
    <row r="523" spans="1:14">
      <c r="A523">
        <v>8</v>
      </c>
      <c r="B523">
        <f t="shared" si="70"/>
        <v>7</v>
      </c>
      <c r="C523">
        <v>420</v>
      </c>
      <c r="D523">
        <f t="shared" ca="1" si="71"/>
        <v>4</v>
      </c>
      <c r="E523" t="str">
        <f t="shared" si="64"/>
        <v>7-420 arg1</v>
      </c>
      <c r="F523">
        <f t="shared" ca="1" si="65"/>
        <v>2</v>
      </c>
      <c r="G523" t="str">
        <f t="shared" si="66"/>
        <v>7-420 feedback1</v>
      </c>
      <c r="H523">
        <v>1</v>
      </c>
      <c r="I523">
        <f t="shared" ca="1" si="67"/>
        <v>3</v>
      </c>
      <c r="J523" t="str">
        <f t="shared" si="68"/>
        <v>7-420 arg2</v>
      </c>
      <c r="K523" t="str">
        <f t="shared" si="69"/>
        <v>7-420 feedback2</v>
      </c>
      <c r="L523">
        <v>1</v>
      </c>
      <c r="M523" t="s">
        <v>1285</v>
      </c>
      <c r="N523">
        <v>522</v>
      </c>
    </row>
    <row r="524" spans="1:14">
      <c r="A524">
        <v>8</v>
      </c>
      <c r="B524">
        <f t="shared" si="70"/>
        <v>7</v>
      </c>
      <c r="C524">
        <v>421</v>
      </c>
      <c r="D524">
        <f t="shared" ca="1" si="71"/>
        <v>3</v>
      </c>
      <c r="E524" t="str">
        <f t="shared" si="64"/>
        <v>7-421 arg1</v>
      </c>
      <c r="F524">
        <f t="shared" ca="1" si="65"/>
        <v>2</v>
      </c>
      <c r="G524" t="str">
        <f t="shared" si="66"/>
        <v>7-421 feedback1</v>
      </c>
      <c r="H524">
        <v>1</v>
      </c>
      <c r="I524">
        <f t="shared" ca="1" si="67"/>
        <v>3</v>
      </c>
      <c r="J524" t="str">
        <f t="shared" si="68"/>
        <v>7-421 arg2</v>
      </c>
      <c r="K524" t="str">
        <f t="shared" si="69"/>
        <v>7-421 feedback2</v>
      </c>
      <c r="L524">
        <v>1</v>
      </c>
      <c r="M524" t="s">
        <v>1285</v>
      </c>
      <c r="N524">
        <v>523</v>
      </c>
    </row>
    <row r="525" spans="1:14">
      <c r="A525">
        <v>8</v>
      </c>
      <c r="B525">
        <f t="shared" si="70"/>
        <v>7</v>
      </c>
      <c r="C525">
        <v>422</v>
      </c>
      <c r="D525">
        <f t="shared" ca="1" si="71"/>
        <v>3</v>
      </c>
      <c r="E525" t="str">
        <f t="shared" si="64"/>
        <v>7-422 arg1</v>
      </c>
      <c r="F525">
        <f t="shared" ca="1" si="65"/>
        <v>2</v>
      </c>
      <c r="G525" t="str">
        <f t="shared" si="66"/>
        <v>7-422 feedback1</v>
      </c>
      <c r="H525">
        <v>1</v>
      </c>
      <c r="I525">
        <f t="shared" ca="1" si="67"/>
        <v>3</v>
      </c>
      <c r="J525" t="str">
        <f t="shared" si="68"/>
        <v>7-422 arg2</v>
      </c>
      <c r="K525" t="str">
        <f t="shared" si="69"/>
        <v>7-422 feedback2</v>
      </c>
      <c r="L525">
        <v>1</v>
      </c>
      <c r="M525" t="s">
        <v>1285</v>
      </c>
      <c r="N525">
        <v>524</v>
      </c>
    </row>
    <row r="526" spans="1:14">
      <c r="A526">
        <v>8</v>
      </c>
      <c r="B526">
        <f t="shared" si="70"/>
        <v>7</v>
      </c>
      <c r="C526">
        <v>423</v>
      </c>
      <c r="D526">
        <f t="shared" ca="1" si="71"/>
        <v>3</v>
      </c>
      <c r="E526" t="str">
        <f t="shared" si="64"/>
        <v>7-423 arg1</v>
      </c>
      <c r="F526">
        <f t="shared" ca="1" si="65"/>
        <v>1</v>
      </c>
      <c r="G526" t="str">
        <f t="shared" si="66"/>
        <v>7-423 feedback1</v>
      </c>
      <c r="H526">
        <v>1</v>
      </c>
      <c r="I526">
        <f t="shared" ca="1" si="67"/>
        <v>2</v>
      </c>
      <c r="J526" t="str">
        <f t="shared" si="68"/>
        <v>7-423 arg2</v>
      </c>
      <c r="K526" t="str">
        <f t="shared" si="69"/>
        <v>7-423 feedback2</v>
      </c>
      <c r="L526">
        <v>1</v>
      </c>
      <c r="M526" t="s">
        <v>1285</v>
      </c>
      <c r="N526">
        <v>525</v>
      </c>
    </row>
    <row r="527" spans="1:14">
      <c r="A527">
        <v>8</v>
      </c>
      <c r="B527">
        <f t="shared" si="70"/>
        <v>7</v>
      </c>
      <c r="C527">
        <v>424</v>
      </c>
      <c r="D527">
        <f t="shared" ca="1" si="71"/>
        <v>5</v>
      </c>
      <c r="E527" t="str">
        <f t="shared" si="64"/>
        <v>7-424 arg1</v>
      </c>
      <c r="F527">
        <f t="shared" ca="1" si="65"/>
        <v>5</v>
      </c>
      <c r="G527" t="str">
        <f t="shared" si="66"/>
        <v>7-424 feedback1</v>
      </c>
      <c r="H527">
        <v>1</v>
      </c>
      <c r="I527">
        <f t="shared" ca="1" si="67"/>
        <v>5</v>
      </c>
      <c r="J527" t="str">
        <f t="shared" si="68"/>
        <v>7-424 arg2</v>
      </c>
      <c r="K527" t="str">
        <f t="shared" si="69"/>
        <v>7-424 feedback2</v>
      </c>
      <c r="L527">
        <v>1</v>
      </c>
      <c r="M527" t="s">
        <v>1285</v>
      </c>
      <c r="N527">
        <v>526</v>
      </c>
    </row>
    <row r="528" spans="1:14">
      <c r="A528">
        <v>8</v>
      </c>
      <c r="B528">
        <f t="shared" si="70"/>
        <v>7</v>
      </c>
      <c r="C528">
        <v>425</v>
      </c>
      <c r="D528">
        <f t="shared" ca="1" si="71"/>
        <v>5</v>
      </c>
      <c r="E528" t="str">
        <f t="shared" si="64"/>
        <v>7-425 arg1</v>
      </c>
      <c r="F528">
        <f t="shared" ca="1" si="65"/>
        <v>5</v>
      </c>
      <c r="G528" t="str">
        <f t="shared" si="66"/>
        <v>7-425 feedback1</v>
      </c>
      <c r="H528">
        <v>1</v>
      </c>
      <c r="I528">
        <f t="shared" ca="1" si="67"/>
        <v>5</v>
      </c>
      <c r="J528" t="str">
        <f t="shared" si="68"/>
        <v>7-425 arg2</v>
      </c>
      <c r="K528" t="str">
        <f t="shared" si="69"/>
        <v>7-425 feedback2</v>
      </c>
      <c r="L528">
        <v>1</v>
      </c>
      <c r="M528" t="s">
        <v>1285</v>
      </c>
      <c r="N528">
        <v>527</v>
      </c>
    </row>
    <row r="529" spans="1:14">
      <c r="A529">
        <v>8</v>
      </c>
      <c r="B529">
        <f t="shared" si="70"/>
        <v>7</v>
      </c>
      <c r="C529">
        <v>426</v>
      </c>
      <c r="D529">
        <f t="shared" ca="1" si="71"/>
        <v>5</v>
      </c>
      <c r="E529" t="str">
        <f t="shared" si="64"/>
        <v>7-426 arg1</v>
      </c>
      <c r="F529">
        <f t="shared" ca="1" si="65"/>
        <v>4</v>
      </c>
      <c r="G529" t="str">
        <f t="shared" si="66"/>
        <v>7-426 feedback1</v>
      </c>
      <c r="H529">
        <v>1</v>
      </c>
      <c r="I529">
        <f t="shared" ca="1" si="67"/>
        <v>5</v>
      </c>
      <c r="J529" t="str">
        <f t="shared" si="68"/>
        <v>7-426 arg2</v>
      </c>
      <c r="K529" t="str">
        <f t="shared" si="69"/>
        <v>7-426 feedback2</v>
      </c>
      <c r="L529">
        <v>1</v>
      </c>
      <c r="M529" t="s">
        <v>1285</v>
      </c>
      <c r="N529">
        <v>528</v>
      </c>
    </row>
    <row r="530" spans="1:14">
      <c r="A530">
        <v>8</v>
      </c>
      <c r="B530">
        <f t="shared" si="70"/>
        <v>7</v>
      </c>
      <c r="C530">
        <v>427</v>
      </c>
      <c r="D530">
        <f t="shared" ca="1" si="71"/>
        <v>4</v>
      </c>
      <c r="E530" t="str">
        <f t="shared" si="64"/>
        <v>7-427 arg1</v>
      </c>
      <c r="F530">
        <f t="shared" ca="1" si="65"/>
        <v>2</v>
      </c>
      <c r="G530" t="str">
        <f t="shared" si="66"/>
        <v>7-427 feedback1</v>
      </c>
      <c r="H530">
        <v>1</v>
      </c>
      <c r="I530">
        <f t="shared" ca="1" si="67"/>
        <v>2</v>
      </c>
      <c r="J530" t="str">
        <f t="shared" si="68"/>
        <v>7-427 arg2</v>
      </c>
      <c r="K530" t="str">
        <f t="shared" si="69"/>
        <v>7-427 feedback2</v>
      </c>
      <c r="L530">
        <v>1</v>
      </c>
      <c r="M530" t="s">
        <v>1285</v>
      </c>
      <c r="N530">
        <v>529</v>
      </c>
    </row>
    <row r="531" spans="1:14">
      <c r="A531">
        <v>8</v>
      </c>
      <c r="B531">
        <f t="shared" si="70"/>
        <v>7</v>
      </c>
      <c r="C531">
        <v>428</v>
      </c>
      <c r="D531">
        <f t="shared" ca="1" si="71"/>
        <v>4</v>
      </c>
      <c r="E531" t="str">
        <f t="shared" si="64"/>
        <v>7-428 arg1</v>
      </c>
      <c r="F531">
        <f t="shared" ca="1" si="65"/>
        <v>3</v>
      </c>
      <c r="G531" t="str">
        <f t="shared" si="66"/>
        <v>7-428 feedback1</v>
      </c>
      <c r="H531">
        <v>1</v>
      </c>
      <c r="I531">
        <f t="shared" ca="1" si="67"/>
        <v>4</v>
      </c>
      <c r="J531" t="str">
        <f t="shared" si="68"/>
        <v>7-428 arg2</v>
      </c>
      <c r="K531" t="str">
        <f t="shared" si="69"/>
        <v>7-428 feedback2</v>
      </c>
      <c r="L531">
        <v>1</v>
      </c>
      <c r="M531" t="s">
        <v>1285</v>
      </c>
      <c r="N531">
        <v>530</v>
      </c>
    </row>
    <row r="532" spans="1:14">
      <c r="A532">
        <v>8</v>
      </c>
      <c r="B532">
        <f t="shared" si="70"/>
        <v>7</v>
      </c>
      <c r="C532">
        <v>429</v>
      </c>
      <c r="D532">
        <f t="shared" ca="1" si="71"/>
        <v>4</v>
      </c>
      <c r="E532" t="str">
        <f t="shared" si="64"/>
        <v>7-429 arg1</v>
      </c>
      <c r="F532">
        <f t="shared" ca="1" si="65"/>
        <v>4</v>
      </c>
      <c r="G532" t="str">
        <f t="shared" si="66"/>
        <v>7-429 feedback1</v>
      </c>
      <c r="H532">
        <v>1</v>
      </c>
      <c r="I532">
        <f t="shared" ca="1" si="67"/>
        <v>4</v>
      </c>
      <c r="J532" t="str">
        <f t="shared" si="68"/>
        <v>7-429 arg2</v>
      </c>
      <c r="K532" t="str">
        <f t="shared" si="69"/>
        <v>7-429 feedback2</v>
      </c>
      <c r="L532">
        <v>1</v>
      </c>
      <c r="M532" t="s">
        <v>1285</v>
      </c>
      <c r="N532">
        <v>531</v>
      </c>
    </row>
    <row r="533" spans="1:14">
      <c r="A533">
        <v>8</v>
      </c>
      <c r="B533">
        <f t="shared" si="70"/>
        <v>7</v>
      </c>
      <c r="C533">
        <v>430</v>
      </c>
      <c r="D533">
        <f t="shared" ca="1" si="71"/>
        <v>4</v>
      </c>
      <c r="E533" t="str">
        <f t="shared" ref="E533:E596" si="72">_xlfn.CONCAT(B533,"-",C533," arg1")</f>
        <v>7-430 arg1</v>
      </c>
      <c r="F533">
        <f t="shared" ref="F533:F596" ca="1" si="73">D533-ROUND(2*RAND(),0)</f>
        <v>3</v>
      </c>
      <c r="G533" t="str">
        <f t="shared" ref="G533:G596" si="74">_xlfn.CONCAT(B533,"-",C533," feedback1")</f>
        <v>7-430 feedback1</v>
      </c>
      <c r="H533">
        <v>1</v>
      </c>
      <c r="I533">
        <f t="shared" ref="I533:I596" ca="1" si="75">MIN(5,F533+ROUND(RAND(),0))</f>
        <v>4</v>
      </c>
      <c r="J533" t="str">
        <f t="shared" ref="J533:J596" si="76">_xlfn.CONCAT(B533,"-",C533," arg2")</f>
        <v>7-430 arg2</v>
      </c>
      <c r="K533" t="str">
        <f t="shared" ref="K533:K596" si="77">_xlfn.CONCAT(B533,"-",C533," feedback2")</f>
        <v>7-430 feedback2</v>
      </c>
      <c r="L533">
        <v>1</v>
      </c>
      <c r="M533" t="s">
        <v>1285</v>
      </c>
      <c r="N533">
        <v>532</v>
      </c>
    </row>
    <row r="534" spans="1:14">
      <c r="A534">
        <v>8</v>
      </c>
      <c r="B534">
        <f t="shared" si="70"/>
        <v>7</v>
      </c>
      <c r="C534">
        <v>431</v>
      </c>
      <c r="D534">
        <f t="shared" ca="1" si="71"/>
        <v>3</v>
      </c>
      <c r="E534" t="str">
        <f t="shared" si="72"/>
        <v>7-431 arg1</v>
      </c>
      <c r="F534">
        <f t="shared" ca="1" si="73"/>
        <v>3</v>
      </c>
      <c r="G534" t="str">
        <f t="shared" si="74"/>
        <v>7-431 feedback1</v>
      </c>
      <c r="H534">
        <v>1</v>
      </c>
      <c r="I534">
        <f t="shared" ca="1" si="75"/>
        <v>4</v>
      </c>
      <c r="J534" t="str">
        <f t="shared" si="76"/>
        <v>7-431 arg2</v>
      </c>
      <c r="K534" t="str">
        <f t="shared" si="77"/>
        <v>7-431 feedback2</v>
      </c>
      <c r="L534">
        <v>1</v>
      </c>
      <c r="M534" t="s">
        <v>1285</v>
      </c>
      <c r="N534">
        <v>533</v>
      </c>
    </row>
    <row r="535" spans="1:14">
      <c r="A535">
        <v>8</v>
      </c>
      <c r="B535">
        <f t="shared" si="70"/>
        <v>7</v>
      </c>
      <c r="C535">
        <v>432</v>
      </c>
      <c r="D535">
        <f t="shared" ca="1" si="71"/>
        <v>3</v>
      </c>
      <c r="E535" t="str">
        <f t="shared" si="72"/>
        <v>7-432 arg1</v>
      </c>
      <c r="F535">
        <f t="shared" ca="1" si="73"/>
        <v>3</v>
      </c>
      <c r="G535" t="str">
        <f t="shared" si="74"/>
        <v>7-432 feedback1</v>
      </c>
      <c r="H535">
        <v>1</v>
      </c>
      <c r="I535">
        <f t="shared" ca="1" si="75"/>
        <v>3</v>
      </c>
      <c r="J535" t="str">
        <f t="shared" si="76"/>
        <v>7-432 arg2</v>
      </c>
      <c r="K535" t="str">
        <f t="shared" si="77"/>
        <v>7-432 feedback2</v>
      </c>
      <c r="L535">
        <v>1</v>
      </c>
      <c r="M535" t="s">
        <v>1285</v>
      </c>
      <c r="N535">
        <v>534</v>
      </c>
    </row>
    <row r="536" spans="1:14">
      <c r="A536">
        <v>8</v>
      </c>
      <c r="B536">
        <f t="shared" si="70"/>
        <v>7</v>
      </c>
      <c r="C536">
        <v>433</v>
      </c>
      <c r="D536">
        <f t="shared" ca="1" si="71"/>
        <v>4</v>
      </c>
      <c r="E536" t="str">
        <f t="shared" si="72"/>
        <v>7-433 arg1</v>
      </c>
      <c r="F536">
        <f t="shared" ca="1" si="73"/>
        <v>2</v>
      </c>
      <c r="G536" t="str">
        <f t="shared" si="74"/>
        <v>7-433 feedback1</v>
      </c>
      <c r="H536">
        <v>1</v>
      </c>
      <c r="I536">
        <f t="shared" ca="1" si="75"/>
        <v>2</v>
      </c>
      <c r="J536" t="str">
        <f t="shared" si="76"/>
        <v>7-433 arg2</v>
      </c>
      <c r="K536" t="str">
        <f t="shared" si="77"/>
        <v>7-433 feedback2</v>
      </c>
      <c r="L536">
        <v>1</v>
      </c>
      <c r="M536" t="s">
        <v>1285</v>
      </c>
      <c r="N536">
        <v>535</v>
      </c>
    </row>
    <row r="537" spans="1:14">
      <c r="A537">
        <v>8</v>
      </c>
      <c r="B537">
        <f t="shared" si="70"/>
        <v>7</v>
      </c>
      <c r="C537">
        <v>434</v>
      </c>
      <c r="D537">
        <f t="shared" ca="1" si="71"/>
        <v>4</v>
      </c>
      <c r="E537" t="str">
        <f t="shared" si="72"/>
        <v>7-434 arg1</v>
      </c>
      <c r="F537">
        <f t="shared" ca="1" si="73"/>
        <v>2</v>
      </c>
      <c r="G537" t="str">
        <f t="shared" si="74"/>
        <v>7-434 feedback1</v>
      </c>
      <c r="H537">
        <v>1</v>
      </c>
      <c r="I537">
        <f t="shared" ca="1" si="75"/>
        <v>2</v>
      </c>
      <c r="J537" t="str">
        <f t="shared" si="76"/>
        <v>7-434 arg2</v>
      </c>
      <c r="K537" t="str">
        <f t="shared" si="77"/>
        <v>7-434 feedback2</v>
      </c>
      <c r="L537">
        <v>1</v>
      </c>
      <c r="M537" t="s">
        <v>1285</v>
      </c>
      <c r="N537">
        <v>536</v>
      </c>
    </row>
    <row r="538" spans="1:14">
      <c r="A538">
        <v>8</v>
      </c>
      <c r="B538">
        <f t="shared" si="70"/>
        <v>7</v>
      </c>
      <c r="C538">
        <v>435</v>
      </c>
      <c r="D538">
        <f t="shared" ca="1" si="71"/>
        <v>4</v>
      </c>
      <c r="E538" t="str">
        <f t="shared" si="72"/>
        <v>7-435 arg1</v>
      </c>
      <c r="F538">
        <f t="shared" ca="1" si="73"/>
        <v>3</v>
      </c>
      <c r="G538" t="str">
        <f t="shared" si="74"/>
        <v>7-435 feedback1</v>
      </c>
      <c r="H538">
        <v>1</v>
      </c>
      <c r="I538">
        <f t="shared" ca="1" si="75"/>
        <v>4</v>
      </c>
      <c r="J538" t="str">
        <f t="shared" si="76"/>
        <v>7-435 arg2</v>
      </c>
      <c r="K538" t="str">
        <f t="shared" si="77"/>
        <v>7-435 feedback2</v>
      </c>
      <c r="L538">
        <v>1</v>
      </c>
      <c r="M538" t="s">
        <v>1285</v>
      </c>
      <c r="N538">
        <v>537</v>
      </c>
    </row>
    <row r="539" spans="1:14">
      <c r="A539">
        <v>8</v>
      </c>
      <c r="B539">
        <f t="shared" si="70"/>
        <v>7</v>
      </c>
      <c r="C539">
        <v>436</v>
      </c>
      <c r="D539">
        <f t="shared" ca="1" si="71"/>
        <v>4</v>
      </c>
      <c r="E539" t="str">
        <f t="shared" si="72"/>
        <v>7-436 arg1</v>
      </c>
      <c r="F539">
        <f t="shared" ca="1" si="73"/>
        <v>4</v>
      </c>
      <c r="G539" t="str">
        <f t="shared" si="74"/>
        <v>7-436 feedback1</v>
      </c>
      <c r="H539">
        <v>1</v>
      </c>
      <c r="I539">
        <f t="shared" ca="1" si="75"/>
        <v>5</v>
      </c>
      <c r="J539" t="str">
        <f t="shared" si="76"/>
        <v>7-436 arg2</v>
      </c>
      <c r="K539" t="str">
        <f t="shared" si="77"/>
        <v>7-436 feedback2</v>
      </c>
      <c r="L539">
        <v>1</v>
      </c>
      <c r="M539" t="s">
        <v>1285</v>
      </c>
      <c r="N539">
        <v>538</v>
      </c>
    </row>
    <row r="540" spans="1:14">
      <c r="A540">
        <v>8</v>
      </c>
      <c r="B540">
        <f t="shared" si="70"/>
        <v>7</v>
      </c>
      <c r="C540">
        <v>437</v>
      </c>
      <c r="D540">
        <f t="shared" ca="1" si="71"/>
        <v>4</v>
      </c>
      <c r="E540" t="str">
        <f t="shared" si="72"/>
        <v>7-437 arg1</v>
      </c>
      <c r="F540">
        <f t="shared" ca="1" si="73"/>
        <v>4</v>
      </c>
      <c r="G540" t="str">
        <f t="shared" si="74"/>
        <v>7-437 feedback1</v>
      </c>
      <c r="H540">
        <v>1</v>
      </c>
      <c r="I540">
        <f t="shared" ca="1" si="75"/>
        <v>5</v>
      </c>
      <c r="J540" t="str">
        <f t="shared" si="76"/>
        <v>7-437 arg2</v>
      </c>
      <c r="K540" t="str">
        <f t="shared" si="77"/>
        <v>7-437 feedback2</v>
      </c>
      <c r="L540">
        <v>1</v>
      </c>
      <c r="M540" t="s">
        <v>1285</v>
      </c>
      <c r="N540">
        <v>539</v>
      </c>
    </row>
    <row r="541" spans="1:14">
      <c r="A541">
        <v>8</v>
      </c>
      <c r="B541">
        <f t="shared" si="70"/>
        <v>7</v>
      </c>
      <c r="C541">
        <v>438</v>
      </c>
      <c r="D541">
        <f t="shared" ca="1" si="71"/>
        <v>4</v>
      </c>
      <c r="E541" t="str">
        <f t="shared" si="72"/>
        <v>7-438 arg1</v>
      </c>
      <c r="F541">
        <f t="shared" ca="1" si="73"/>
        <v>3</v>
      </c>
      <c r="G541" t="str">
        <f t="shared" si="74"/>
        <v>7-438 feedback1</v>
      </c>
      <c r="H541">
        <v>1</v>
      </c>
      <c r="I541">
        <f t="shared" ca="1" si="75"/>
        <v>3</v>
      </c>
      <c r="J541" t="str">
        <f t="shared" si="76"/>
        <v>7-438 arg2</v>
      </c>
      <c r="K541" t="str">
        <f t="shared" si="77"/>
        <v>7-438 feedback2</v>
      </c>
      <c r="L541">
        <v>1</v>
      </c>
      <c r="M541" t="s">
        <v>1285</v>
      </c>
      <c r="N541">
        <v>540</v>
      </c>
    </row>
    <row r="542" spans="1:14">
      <c r="A542">
        <v>8</v>
      </c>
      <c r="B542">
        <f t="shared" si="70"/>
        <v>7</v>
      </c>
      <c r="C542">
        <v>439</v>
      </c>
      <c r="D542">
        <f t="shared" ca="1" si="71"/>
        <v>3</v>
      </c>
      <c r="E542" t="str">
        <f t="shared" si="72"/>
        <v>7-439 arg1</v>
      </c>
      <c r="F542">
        <f t="shared" ca="1" si="73"/>
        <v>1</v>
      </c>
      <c r="G542" t="str">
        <f t="shared" si="74"/>
        <v>7-439 feedback1</v>
      </c>
      <c r="H542">
        <v>1</v>
      </c>
      <c r="I542">
        <f t="shared" ca="1" si="75"/>
        <v>2</v>
      </c>
      <c r="J542" t="str">
        <f t="shared" si="76"/>
        <v>7-439 arg2</v>
      </c>
      <c r="K542" t="str">
        <f t="shared" si="77"/>
        <v>7-439 feedback2</v>
      </c>
      <c r="L542">
        <v>1</v>
      </c>
      <c r="M542" t="s">
        <v>1285</v>
      </c>
      <c r="N542">
        <v>541</v>
      </c>
    </row>
    <row r="543" spans="1:14">
      <c r="A543">
        <v>8</v>
      </c>
      <c r="B543">
        <f t="shared" si="70"/>
        <v>7</v>
      </c>
      <c r="C543">
        <v>440</v>
      </c>
      <c r="D543">
        <f t="shared" ca="1" si="71"/>
        <v>5</v>
      </c>
      <c r="E543" t="str">
        <f t="shared" si="72"/>
        <v>7-440 arg1</v>
      </c>
      <c r="F543">
        <f t="shared" ca="1" si="73"/>
        <v>5</v>
      </c>
      <c r="G543" t="str">
        <f t="shared" si="74"/>
        <v>7-440 feedback1</v>
      </c>
      <c r="H543">
        <v>1</v>
      </c>
      <c r="I543">
        <f t="shared" ca="1" si="75"/>
        <v>5</v>
      </c>
      <c r="J543" t="str">
        <f t="shared" si="76"/>
        <v>7-440 arg2</v>
      </c>
      <c r="K543" t="str">
        <f t="shared" si="77"/>
        <v>7-440 feedback2</v>
      </c>
      <c r="L543">
        <v>1</v>
      </c>
      <c r="M543" t="s">
        <v>1285</v>
      </c>
      <c r="N543">
        <v>542</v>
      </c>
    </row>
    <row r="544" spans="1:14">
      <c r="A544">
        <v>8</v>
      </c>
      <c r="B544">
        <f t="shared" si="70"/>
        <v>7</v>
      </c>
      <c r="C544">
        <v>441</v>
      </c>
      <c r="D544">
        <f t="shared" ca="1" si="71"/>
        <v>5</v>
      </c>
      <c r="E544" t="str">
        <f t="shared" si="72"/>
        <v>7-441 arg1</v>
      </c>
      <c r="F544">
        <f t="shared" ca="1" si="73"/>
        <v>3</v>
      </c>
      <c r="G544" t="str">
        <f t="shared" si="74"/>
        <v>7-441 feedback1</v>
      </c>
      <c r="H544">
        <v>1</v>
      </c>
      <c r="I544">
        <f t="shared" ca="1" si="75"/>
        <v>4</v>
      </c>
      <c r="J544" t="str">
        <f t="shared" si="76"/>
        <v>7-441 arg2</v>
      </c>
      <c r="K544" t="str">
        <f t="shared" si="77"/>
        <v>7-441 feedback2</v>
      </c>
      <c r="L544">
        <v>1</v>
      </c>
      <c r="M544" t="s">
        <v>1285</v>
      </c>
      <c r="N544">
        <v>543</v>
      </c>
    </row>
    <row r="545" spans="1:14">
      <c r="A545">
        <v>8</v>
      </c>
      <c r="B545">
        <f t="shared" si="70"/>
        <v>7</v>
      </c>
      <c r="C545">
        <v>442</v>
      </c>
      <c r="D545">
        <f t="shared" ca="1" si="71"/>
        <v>4</v>
      </c>
      <c r="E545" t="str">
        <f t="shared" si="72"/>
        <v>7-442 arg1</v>
      </c>
      <c r="F545">
        <f t="shared" ca="1" si="73"/>
        <v>2</v>
      </c>
      <c r="G545" t="str">
        <f t="shared" si="74"/>
        <v>7-442 feedback1</v>
      </c>
      <c r="H545">
        <v>1</v>
      </c>
      <c r="I545">
        <f t="shared" ca="1" si="75"/>
        <v>2</v>
      </c>
      <c r="J545" t="str">
        <f t="shared" si="76"/>
        <v>7-442 arg2</v>
      </c>
      <c r="K545" t="str">
        <f t="shared" si="77"/>
        <v>7-442 feedback2</v>
      </c>
      <c r="L545">
        <v>1</v>
      </c>
      <c r="M545" t="s">
        <v>1285</v>
      </c>
      <c r="N545">
        <v>544</v>
      </c>
    </row>
    <row r="546" spans="1:14">
      <c r="A546">
        <v>8</v>
      </c>
      <c r="B546">
        <f t="shared" si="70"/>
        <v>7</v>
      </c>
      <c r="C546">
        <v>443</v>
      </c>
      <c r="D546">
        <f t="shared" ca="1" si="71"/>
        <v>3</v>
      </c>
      <c r="E546" t="str">
        <f t="shared" si="72"/>
        <v>7-443 arg1</v>
      </c>
      <c r="F546">
        <f t="shared" ca="1" si="73"/>
        <v>3</v>
      </c>
      <c r="G546" t="str">
        <f t="shared" si="74"/>
        <v>7-443 feedback1</v>
      </c>
      <c r="H546">
        <v>1</v>
      </c>
      <c r="I546">
        <f t="shared" ca="1" si="75"/>
        <v>3</v>
      </c>
      <c r="J546" t="str">
        <f t="shared" si="76"/>
        <v>7-443 arg2</v>
      </c>
      <c r="K546" t="str">
        <f t="shared" si="77"/>
        <v>7-443 feedback2</v>
      </c>
      <c r="L546">
        <v>1</v>
      </c>
      <c r="M546" t="s">
        <v>1285</v>
      </c>
      <c r="N546">
        <v>545</v>
      </c>
    </row>
    <row r="547" spans="1:14">
      <c r="A547">
        <v>8</v>
      </c>
      <c r="B547">
        <f t="shared" si="70"/>
        <v>7</v>
      </c>
      <c r="C547">
        <v>444</v>
      </c>
      <c r="D547">
        <f t="shared" ca="1" si="71"/>
        <v>4</v>
      </c>
      <c r="E547" t="str">
        <f t="shared" si="72"/>
        <v>7-444 arg1</v>
      </c>
      <c r="F547">
        <f t="shared" ca="1" si="73"/>
        <v>2</v>
      </c>
      <c r="G547" t="str">
        <f t="shared" si="74"/>
        <v>7-444 feedback1</v>
      </c>
      <c r="H547">
        <v>1</v>
      </c>
      <c r="I547">
        <f t="shared" ca="1" si="75"/>
        <v>2</v>
      </c>
      <c r="J547" t="str">
        <f t="shared" si="76"/>
        <v>7-444 arg2</v>
      </c>
      <c r="K547" t="str">
        <f t="shared" si="77"/>
        <v>7-444 feedback2</v>
      </c>
      <c r="L547">
        <v>1</v>
      </c>
      <c r="M547" t="s">
        <v>1285</v>
      </c>
      <c r="N547">
        <v>546</v>
      </c>
    </row>
    <row r="548" spans="1:14">
      <c r="A548">
        <v>8</v>
      </c>
      <c r="B548">
        <f t="shared" si="70"/>
        <v>7</v>
      </c>
      <c r="C548">
        <v>445</v>
      </c>
      <c r="D548">
        <f t="shared" ca="1" si="71"/>
        <v>3</v>
      </c>
      <c r="E548" t="str">
        <f t="shared" si="72"/>
        <v>7-445 arg1</v>
      </c>
      <c r="F548">
        <f t="shared" ca="1" si="73"/>
        <v>2</v>
      </c>
      <c r="G548" t="str">
        <f t="shared" si="74"/>
        <v>7-445 feedback1</v>
      </c>
      <c r="H548">
        <v>1</v>
      </c>
      <c r="I548">
        <f t="shared" ca="1" si="75"/>
        <v>2</v>
      </c>
      <c r="J548" t="str">
        <f t="shared" si="76"/>
        <v>7-445 arg2</v>
      </c>
      <c r="K548" t="str">
        <f t="shared" si="77"/>
        <v>7-445 feedback2</v>
      </c>
      <c r="L548">
        <v>1</v>
      </c>
      <c r="M548" t="s">
        <v>1285</v>
      </c>
      <c r="N548">
        <v>547</v>
      </c>
    </row>
    <row r="549" spans="1:14">
      <c r="A549">
        <v>8</v>
      </c>
      <c r="B549">
        <f t="shared" si="70"/>
        <v>7</v>
      </c>
      <c r="C549">
        <v>446</v>
      </c>
      <c r="D549">
        <f t="shared" ca="1" si="71"/>
        <v>4</v>
      </c>
      <c r="E549" t="str">
        <f t="shared" si="72"/>
        <v>7-446 arg1</v>
      </c>
      <c r="F549">
        <f t="shared" ca="1" si="73"/>
        <v>3</v>
      </c>
      <c r="G549" t="str">
        <f t="shared" si="74"/>
        <v>7-446 feedback1</v>
      </c>
      <c r="H549">
        <v>1</v>
      </c>
      <c r="I549">
        <f t="shared" ca="1" si="75"/>
        <v>4</v>
      </c>
      <c r="J549" t="str">
        <f t="shared" si="76"/>
        <v>7-446 arg2</v>
      </c>
      <c r="K549" t="str">
        <f t="shared" si="77"/>
        <v>7-446 feedback2</v>
      </c>
      <c r="L549">
        <v>1</v>
      </c>
      <c r="M549" t="s">
        <v>1285</v>
      </c>
      <c r="N549">
        <v>548</v>
      </c>
    </row>
    <row r="550" spans="1:14">
      <c r="A550">
        <v>8</v>
      </c>
      <c r="B550">
        <f t="shared" si="70"/>
        <v>7</v>
      </c>
      <c r="C550">
        <v>447</v>
      </c>
      <c r="D550">
        <f t="shared" ca="1" si="71"/>
        <v>4</v>
      </c>
      <c r="E550" t="str">
        <f t="shared" si="72"/>
        <v>7-447 arg1</v>
      </c>
      <c r="F550">
        <f t="shared" ca="1" si="73"/>
        <v>4</v>
      </c>
      <c r="G550" t="str">
        <f t="shared" si="74"/>
        <v>7-447 feedback1</v>
      </c>
      <c r="H550">
        <v>1</v>
      </c>
      <c r="I550">
        <f t="shared" ca="1" si="75"/>
        <v>4</v>
      </c>
      <c r="J550" t="str">
        <f t="shared" si="76"/>
        <v>7-447 arg2</v>
      </c>
      <c r="K550" t="str">
        <f t="shared" si="77"/>
        <v>7-447 feedback2</v>
      </c>
      <c r="L550">
        <v>1</v>
      </c>
      <c r="M550" t="s">
        <v>1285</v>
      </c>
      <c r="N550">
        <v>549</v>
      </c>
    </row>
    <row r="551" spans="1:14">
      <c r="A551">
        <v>8</v>
      </c>
      <c r="B551">
        <f t="shared" si="70"/>
        <v>7</v>
      </c>
      <c r="C551">
        <v>448</v>
      </c>
      <c r="D551">
        <f t="shared" ca="1" si="71"/>
        <v>3</v>
      </c>
      <c r="E551" t="str">
        <f t="shared" si="72"/>
        <v>7-448 arg1</v>
      </c>
      <c r="F551">
        <f t="shared" ca="1" si="73"/>
        <v>1</v>
      </c>
      <c r="G551" t="str">
        <f t="shared" si="74"/>
        <v>7-448 feedback1</v>
      </c>
      <c r="H551">
        <v>1</v>
      </c>
      <c r="I551">
        <f t="shared" ca="1" si="75"/>
        <v>2</v>
      </c>
      <c r="J551" t="str">
        <f t="shared" si="76"/>
        <v>7-448 arg2</v>
      </c>
      <c r="K551" t="str">
        <f t="shared" si="77"/>
        <v>7-448 feedback2</v>
      </c>
      <c r="L551">
        <v>1</v>
      </c>
      <c r="M551" t="s">
        <v>1285</v>
      </c>
      <c r="N551">
        <v>550</v>
      </c>
    </row>
    <row r="552" spans="1:14">
      <c r="A552">
        <v>8</v>
      </c>
      <c r="B552">
        <f t="shared" si="70"/>
        <v>7</v>
      </c>
      <c r="C552">
        <v>449</v>
      </c>
      <c r="D552">
        <f t="shared" ca="1" si="71"/>
        <v>4</v>
      </c>
      <c r="E552" t="str">
        <f t="shared" si="72"/>
        <v>7-449 arg1</v>
      </c>
      <c r="F552">
        <f t="shared" ca="1" si="73"/>
        <v>3</v>
      </c>
      <c r="G552" t="str">
        <f t="shared" si="74"/>
        <v>7-449 feedback1</v>
      </c>
      <c r="H552">
        <v>1</v>
      </c>
      <c r="I552">
        <f t="shared" ca="1" si="75"/>
        <v>4</v>
      </c>
      <c r="J552" t="str">
        <f t="shared" si="76"/>
        <v>7-449 arg2</v>
      </c>
      <c r="K552" t="str">
        <f t="shared" si="77"/>
        <v>7-449 feedback2</v>
      </c>
      <c r="L552">
        <v>1</v>
      </c>
      <c r="M552" t="s">
        <v>1285</v>
      </c>
      <c r="N552">
        <v>551</v>
      </c>
    </row>
    <row r="553" spans="1:14">
      <c r="A553">
        <v>8</v>
      </c>
      <c r="B553">
        <f t="shared" si="70"/>
        <v>7</v>
      </c>
      <c r="C553">
        <v>450</v>
      </c>
      <c r="D553">
        <f t="shared" ca="1" si="71"/>
        <v>5</v>
      </c>
      <c r="E553" t="str">
        <f t="shared" si="72"/>
        <v>7-450 arg1</v>
      </c>
      <c r="F553">
        <f t="shared" ca="1" si="73"/>
        <v>4</v>
      </c>
      <c r="G553" t="str">
        <f t="shared" si="74"/>
        <v>7-450 feedback1</v>
      </c>
      <c r="H553">
        <v>1</v>
      </c>
      <c r="I553">
        <f t="shared" ca="1" si="75"/>
        <v>4</v>
      </c>
      <c r="J553" t="str">
        <f t="shared" si="76"/>
        <v>7-450 arg2</v>
      </c>
      <c r="K553" t="str">
        <f t="shared" si="77"/>
        <v>7-450 feedback2</v>
      </c>
      <c r="L553">
        <v>1</v>
      </c>
      <c r="M553" t="s">
        <v>1285</v>
      </c>
      <c r="N553">
        <v>552</v>
      </c>
    </row>
    <row r="554" spans="1:14">
      <c r="A554">
        <v>8</v>
      </c>
      <c r="B554">
        <f t="shared" si="70"/>
        <v>7</v>
      </c>
      <c r="C554">
        <v>451</v>
      </c>
      <c r="D554">
        <f t="shared" ca="1" si="71"/>
        <v>5</v>
      </c>
      <c r="E554" t="str">
        <f t="shared" si="72"/>
        <v>7-451 arg1</v>
      </c>
      <c r="F554">
        <f t="shared" ca="1" si="73"/>
        <v>4</v>
      </c>
      <c r="G554" t="str">
        <f t="shared" si="74"/>
        <v>7-451 feedback1</v>
      </c>
      <c r="H554">
        <v>1</v>
      </c>
      <c r="I554">
        <f t="shared" ca="1" si="75"/>
        <v>5</v>
      </c>
      <c r="J554" t="str">
        <f t="shared" si="76"/>
        <v>7-451 arg2</v>
      </c>
      <c r="K554" t="str">
        <f t="shared" si="77"/>
        <v>7-451 feedback2</v>
      </c>
      <c r="L554">
        <v>1</v>
      </c>
      <c r="M554" t="s">
        <v>1285</v>
      </c>
      <c r="N554">
        <v>553</v>
      </c>
    </row>
    <row r="555" spans="1:14">
      <c r="A555">
        <v>8</v>
      </c>
      <c r="B555">
        <f t="shared" si="70"/>
        <v>7</v>
      </c>
      <c r="C555">
        <v>452</v>
      </c>
      <c r="D555">
        <f t="shared" ca="1" si="71"/>
        <v>4</v>
      </c>
      <c r="E555" t="str">
        <f t="shared" si="72"/>
        <v>7-452 arg1</v>
      </c>
      <c r="F555">
        <f t="shared" ca="1" si="73"/>
        <v>2</v>
      </c>
      <c r="G555" t="str">
        <f t="shared" si="74"/>
        <v>7-452 feedback1</v>
      </c>
      <c r="H555">
        <v>1</v>
      </c>
      <c r="I555">
        <f t="shared" ca="1" si="75"/>
        <v>3</v>
      </c>
      <c r="J555" t="str">
        <f t="shared" si="76"/>
        <v>7-452 arg2</v>
      </c>
      <c r="K555" t="str">
        <f t="shared" si="77"/>
        <v>7-452 feedback2</v>
      </c>
      <c r="L555">
        <v>1</v>
      </c>
      <c r="M555" t="s">
        <v>1285</v>
      </c>
      <c r="N555">
        <v>554</v>
      </c>
    </row>
    <row r="556" spans="1:14">
      <c r="A556">
        <v>8</v>
      </c>
      <c r="B556">
        <f t="shared" si="70"/>
        <v>7</v>
      </c>
      <c r="C556">
        <v>453</v>
      </c>
      <c r="D556">
        <f t="shared" ca="1" si="71"/>
        <v>4</v>
      </c>
      <c r="E556" t="str">
        <f t="shared" si="72"/>
        <v>7-453 arg1</v>
      </c>
      <c r="F556">
        <f t="shared" ca="1" si="73"/>
        <v>3</v>
      </c>
      <c r="G556" t="str">
        <f t="shared" si="74"/>
        <v>7-453 feedback1</v>
      </c>
      <c r="H556">
        <v>1</v>
      </c>
      <c r="I556">
        <f t="shared" ca="1" si="75"/>
        <v>4</v>
      </c>
      <c r="J556" t="str">
        <f t="shared" si="76"/>
        <v>7-453 arg2</v>
      </c>
      <c r="K556" t="str">
        <f t="shared" si="77"/>
        <v>7-453 feedback2</v>
      </c>
      <c r="L556">
        <v>1</v>
      </c>
      <c r="M556" t="s">
        <v>1285</v>
      </c>
      <c r="N556">
        <v>555</v>
      </c>
    </row>
    <row r="557" spans="1:14">
      <c r="A557">
        <v>8</v>
      </c>
      <c r="B557">
        <f t="shared" si="70"/>
        <v>7</v>
      </c>
      <c r="C557">
        <v>454</v>
      </c>
      <c r="D557">
        <f t="shared" ca="1" si="71"/>
        <v>5</v>
      </c>
      <c r="E557" t="str">
        <f t="shared" si="72"/>
        <v>7-454 arg1</v>
      </c>
      <c r="F557">
        <f t="shared" ca="1" si="73"/>
        <v>5</v>
      </c>
      <c r="G557" t="str">
        <f t="shared" si="74"/>
        <v>7-454 feedback1</v>
      </c>
      <c r="H557">
        <v>1</v>
      </c>
      <c r="I557">
        <f t="shared" ca="1" si="75"/>
        <v>5</v>
      </c>
      <c r="J557" t="str">
        <f t="shared" si="76"/>
        <v>7-454 arg2</v>
      </c>
      <c r="K557" t="str">
        <f t="shared" si="77"/>
        <v>7-454 feedback2</v>
      </c>
      <c r="L557">
        <v>1</v>
      </c>
      <c r="M557" t="s">
        <v>1285</v>
      </c>
      <c r="N557">
        <v>556</v>
      </c>
    </row>
    <row r="558" spans="1:14">
      <c r="A558">
        <v>8</v>
      </c>
      <c r="B558">
        <f t="shared" si="70"/>
        <v>7</v>
      </c>
      <c r="C558">
        <v>455</v>
      </c>
      <c r="D558">
        <f t="shared" ca="1" si="71"/>
        <v>4</v>
      </c>
      <c r="E558" t="str">
        <f t="shared" si="72"/>
        <v>7-455 arg1</v>
      </c>
      <c r="F558">
        <f t="shared" ca="1" si="73"/>
        <v>3</v>
      </c>
      <c r="G558" t="str">
        <f t="shared" si="74"/>
        <v>7-455 feedback1</v>
      </c>
      <c r="H558">
        <v>1</v>
      </c>
      <c r="I558">
        <f t="shared" ca="1" si="75"/>
        <v>3</v>
      </c>
      <c r="J558" t="str">
        <f t="shared" si="76"/>
        <v>7-455 arg2</v>
      </c>
      <c r="K558" t="str">
        <f t="shared" si="77"/>
        <v>7-455 feedback2</v>
      </c>
      <c r="L558">
        <v>1</v>
      </c>
      <c r="M558" t="s">
        <v>1285</v>
      </c>
      <c r="N558">
        <v>557</v>
      </c>
    </row>
    <row r="559" spans="1:14">
      <c r="A559">
        <v>8</v>
      </c>
      <c r="B559">
        <f t="shared" si="70"/>
        <v>7</v>
      </c>
      <c r="C559">
        <v>456</v>
      </c>
      <c r="D559">
        <f t="shared" ca="1" si="71"/>
        <v>3</v>
      </c>
      <c r="E559" t="str">
        <f t="shared" si="72"/>
        <v>7-456 arg1</v>
      </c>
      <c r="F559">
        <f t="shared" ca="1" si="73"/>
        <v>1</v>
      </c>
      <c r="G559" t="str">
        <f t="shared" si="74"/>
        <v>7-456 feedback1</v>
      </c>
      <c r="H559">
        <v>1</v>
      </c>
      <c r="I559">
        <f t="shared" ca="1" si="75"/>
        <v>2</v>
      </c>
      <c r="J559" t="str">
        <f t="shared" si="76"/>
        <v>7-456 arg2</v>
      </c>
      <c r="K559" t="str">
        <f t="shared" si="77"/>
        <v>7-456 feedback2</v>
      </c>
      <c r="L559">
        <v>1</v>
      </c>
      <c r="M559" t="s">
        <v>1285</v>
      </c>
      <c r="N559">
        <v>558</v>
      </c>
    </row>
    <row r="560" spans="1:14">
      <c r="A560">
        <v>8</v>
      </c>
      <c r="B560">
        <f t="shared" si="70"/>
        <v>7</v>
      </c>
      <c r="C560">
        <v>457</v>
      </c>
      <c r="D560">
        <f t="shared" ca="1" si="71"/>
        <v>3</v>
      </c>
      <c r="E560" t="str">
        <f t="shared" si="72"/>
        <v>7-457 arg1</v>
      </c>
      <c r="F560">
        <f t="shared" ca="1" si="73"/>
        <v>2</v>
      </c>
      <c r="G560" t="str">
        <f t="shared" si="74"/>
        <v>7-457 feedback1</v>
      </c>
      <c r="H560">
        <v>1</v>
      </c>
      <c r="I560">
        <f t="shared" ca="1" si="75"/>
        <v>3</v>
      </c>
      <c r="J560" t="str">
        <f t="shared" si="76"/>
        <v>7-457 arg2</v>
      </c>
      <c r="K560" t="str">
        <f t="shared" si="77"/>
        <v>7-457 feedback2</v>
      </c>
      <c r="L560">
        <v>1</v>
      </c>
      <c r="M560" t="s">
        <v>1285</v>
      </c>
      <c r="N560">
        <v>559</v>
      </c>
    </row>
    <row r="561" spans="1:14">
      <c r="A561">
        <v>8</v>
      </c>
      <c r="B561">
        <f t="shared" si="70"/>
        <v>7</v>
      </c>
      <c r="C561">
        <v>458</v>
      </c>
      <c r="D561">
        <f t="shared" ca="1" si="71"/>
        <v>4</v>
      </c>
      <c r="E561" t="str">
        <f t="shared" si="72"/>
        <v>7-458 arg1</v>
      </c>
      <c r="F561">
        <f t="shared" ca="1" si="73"/>
        <v>3</v>
      </c>
      <c r="G561" t="str">
        <f t="shared" si="74"/>
        <v>7-458 feedback1</v>
      </c>
      <c r="H561">
        <v>1</v>
      </c>
      <c r="I561">
        <f t="shared" ca="1" si="75"/>
        <v>3</v>
      </c>
      <c r="J561" t="str">
        <f t="shared" si="76"/>
        <v>7-458 arg2</v>
      </c>
      <c r="K561" t="str">
        <f t="shared" si="77"/>
        <v>7-458 feedback2</v>
      </c>
      <c r="L561">
        <v>1</v>
      </c>
      <c r="M561" t="s">
        <v>1285</v>
      </c>
      <c r="N561">
        <v>560</v>
      </c>
    </row>
    <row r="562" spans="1:14">
      <c r="A562">
        <v>8</v>
      </c>
      <c r="B562">
        <f t="shared" si="70"/>
        <v>7</v>
      </c>
      <c r="C562">
        <v>459</v>
      </c>
      <c r="D562">
        <f t="shared" ca="1" si="71"/>
        <v>4</v>
      </c>
      <c r="E562" t="str">
        <f t="shared" si="72"/>
        <v>7-459 arg1</v>
      </c>
      <c r="F562">
        <f t="shared" ca="1" si="73"/>
        <v>4</v>
      </c>
      <c r="G562" t="str">
        <f t="shared" si="74"/>
        <v>7-459 feedback1</v>
      </c>
      <c r="H562">
        <v>1</v>
      </c>
      <c r="I562">
        <f t="shared" ca="1" si="75"/>
        <v>4</v>
      </c>
      <c r="J562" t="str">
        <f t="shared" si="76"/>
        <v>7-459 arg2</v>
      </c>
      <c r="K562" t="str">
        <f t="shared" si="77"/>
        <v>7-459 feedback2</v>
      </c>
      <c r="L562">
        <v>1</v>
      </c>
      <c r="M562" t="s">
        <v>1285</v>
      </c>
      <c r="N562">
        <v>561</v>
      </c>
    </row>
    <row r="563" spans="1:14">
      <c r="A563">
        <v>8</v>
      </c>
      <c r="B563">
        <f t="shared" si="70"/>
        <v>7</v>
      </c>
      <c r="C563">
        <v>460</v>
      </c>
      <c r="D563">
        <f t="shared" ca="1" si="71"/>
        <v>5</v>
      </c>
      <c r="E563" t="str">
        <f t="shared" si="72"/>
        <v>7-460 arg1</v>
      </c>
      <c r="F563">
        <f t="shared" ca="1" si="73"/>
        <v>4</v>
      </c>
      <c r="G563" t="str">
        <f t="shared" si="74"/>
        <v>7-460 feedback1</v>
      </c>
      <c r="H563">
        <v>1</v>
      </c>
      <c r="I563">
        <f t="shared" ca="1" si="75"/>
        <v>4</v>
      </c>
      <c r="J563" t="str">
        <f t="shared" si="76"/>
        <v>7-460 arg2</v>
      </c>
      <c r="K563" t="str">
        <f t="shared" si="77"/>
        <v>7-460 feedback2</v>
      </c>
      <c r="L563">
        <v>1</v>
      </c>
      <c r="M563" t="s">
        <v>1285</v>
      </c>
      <c r="N563">
        <v>562</v>
      </c>
    </row>
    <row r="564" spans="1:14">
      <c r="A564">
        <v>8</v>
      </c>
      <c r="B564">
        <f t="shared" si="70"/>
        <v>7</v>
      </c>
      <c r="C564">
        <v>461</v>
      </c>
      <c r="D564">
        <f t="shared" ca="1" si="71"/>
        <v>5</v>
      </c>
      <c r="E564" t="str">
        <f t="shared" si="72"/>
        <v>7-461 arg1</v>
      </c>
      <c r="F564">
        <f t="shared" ca="1" si="73"/>
        <v>4</v>
      </c>
      <c r="G564" t="str">
        <f t="shared" si="74"/>
        <v>7-461 feedback1</v>
      </c>
      <c r="H564">
        <v>1</v>
      </c>
      <c r="I564">
        <f t="shared" ca="1" si="75"/>
        <v>4</v>
      </c>
      <c r="J564" t="str">
        <f t="shared" si="76"/>
        <v>7-461 arg2</v>
      </c>
      <c r="K564" t="str">
        <f t="shared" si="77"/>
        <v>7-461 feedback2</v>
      </c>
      <c r="L564">
        <v>1</v>
      </c>
      <c r="M564" t="s">
        <v>1285</v>
      </c>
      <c r="N564">
        <v>563</v>
      </c>
    </row>
    <row r="565" spans="1:14">
      <c r="A565">
        <v>8</v>
      </c>
      <c r="B565">
        <f t="shared" si="70"/>
        <v>7</v>
      </c>
      <c r="C565">
        <v>462</v>
      </c>
      <c r="D565">
        <f t="shared" ca="1" si="71"/>
        <v>4</v>
      </c>
      <c r="E565" t="str">
        <f t="shared" si="72"/>
        <v>7-462 arg1</v>
      </c>
      <c r="F565">
        <f t="shared" ca="1" si="73"/>
        <v>3</v>
      </c>
      <c r="G565" t="str">
        <f t="shared" si="74"/>
        <v>7-462 feedback1</v>
      </c>
      <c r="H565">
        <v>1</v>
      </c>
      <c r="I565">
        <f t="shared" ca="1" si="75"/>
        <v>3</v>
      </c>
      <c r="J565" t="str">
        <f t="shared" si="76"/>
        <v>7-462 arg2</v>
      </c>
      <c r="K565" t="str">
        <f t="shared" si="77"/>
        <v>7-462 feedback2</v>
      </c>
      <c r="L565">
        <v>1</v>
      </c>
      <c r="M565" t="s">
        <v>1285</v>
      </c>
      <c r="N565">
        <v>564</v>
      </c>
    </row>
    <row r="566" spans="1:14">
      <c r="A566">
        <v>8</v>
      </c>
      <c r="B566">
        <f t="shared" ref="B566:B629" si="78">B481+1</f>
        <v>7</v>
      </c>
      <c r="C566">
        <v>463</v>
      </c>
      <c r="D566">
        <f t="shared" ca="1" si="71"/>
        <v>4</v>
      </c>
      <c r="E566" t="str">
        <f t="shared" si="72"/>
        <v>7-463 arg1</v>
      </c>
      <c r="F566">
        <f t="shared" ca="1" si="73"/>
        <v>4</v>
      </c>
      <c r="G566" t="str">
        <f t="shared" si="74"/>
        <v>7-463 feedback1</v>
      </c>
      <c r="H566">
        <v>1</v>
      </c>
      <c r="I566">
        <f t="shared" ca="1" si="75"/>
        <v>4</v>
      </c>
      <c r="J566" t="str">
        <f t="shared" si="76"/>
        <v>7-463 arg2</v>
      </c>
      <c r="K566" t="str">
        <f t="shared" si="77"/>
        <v>7-463 feedback2</v>
      </c>
      <c r="L566">
        <v>1</v>
      </c>
      <c r="M566" t="s">
        <v>1285</v>
      </c>
      <c r="N566">
        <v>565</v>
      </c>
    </row>
    <row r="567" spans="1:14">
      <c r="A567">
        <v>8</v>
      </c>
      <c r="B567">
        <f t="shared" si="78"/>
        <v>7</v>
      </c>
      <c r="C567">
        <v>464</v>
      </c>
      <c r="D567">
        <f t="shared" ca="1" si="71"/>
        <v>4</v>
      </c>
      <c r="E567" t="str">
        <f t="shared" si="72"/>
        <v>7-464 arg1</v>
      </c>
      <c r="F567">
        <f t="shared" ca="1" si="73"/>
        <v>2</v>
      </c>
      <c r="G567" t="str">
        <f t="shared" si="74"/>
        <v>7-464 feedback1</v>
      </c>
      <c r="H567">
        <v>1</v>
      </c>
      <c r="I567">
        <f t="shared" ca="1" si="75"/>
        <v>3</v>
      </c>
      <c r="J567" t="str">
        <f t="shared" si="76"/>
        <v>7-464 arg2</v>
      </c>
      <c r="K567" t="str">
        <f t="shared" si="77"/>
        <v>7-464 feedback2</v>
      </c>
      <c r="L567">
        <v>1</v>
      </c>
      <c r="M567" t="s">
        <v>1285</v>
      </c>
      <c r="N567">
        <v>566</v>
      </c>
    </row>
    <row r="568" spans="1:14">
      <c r="A568">
        <v>8</v>
      </c>
      <c r="B568">
        <f t="shared" si="78"/>
        <v>7</v>
      </c>
      <c r="C568">
        <v>465</v>
      </c>
      <c r="D568">
        <f t="shared" ca="1" si="71"/>
        <v>5</v>
      </c>
      <c r="E568" t="str">
        <f t="shared" si="72"/>
        <v>7-465 arg1</v>
      </c>
      <c r="F568">
        <f t="shared" ca="1" si="73"/>
        <v>4</v>
      </c>
      <c r="G568" t="str">
        <f t="shared" si="74"/>
        <v>7-465 feedback1</v>
      </c>
      <c r="H568">
        <v>1</v>
      </c>
      <c r="I568">
        <f t="shared" ca="1" si="75"/>
        <v>4</v>
      </c>
      <c r="J568" t="str">
        <f t="shared" si="76"/>
        <v>7-465 arg2</v>
      </c>
      <c r="K568" t="str">
        <f t="shared" si="77"/>
        <v>7-465 feedback2</v>
      </c>
      <c r="L568">
        <v>1</v>
      </c>
      <c r="M568" t="s">
        <v>1285</v>
      </c>
      <c r="N568">
        <v>567</v>
      </c>
    </row>
    <row r="569" spans="1:14">
      <c r="A569">
        <v>8</v>
      </c>
      <c r="B569">
        <f t="shared" si="78"/>
        <v>7</v>
      </c>
      <c r="C569">
        <v>466</v>
      </c>
      <c r="D569">
        <f t="shared" ca="1" si="71"/>
        <v>4</v>
      </c>
      <c r="E569" t="str">
        <f t="shared" si="72"/>
        <v>7-466 arg1</v>
      </c>
      <c r="F569">
        <f t="shared" ca="1" si="73"/>
        <v>3</v>
      </c>
      <c r="G569" t="str">
        <f t="shared" si="74"/>
        <v>7-466 feedback1</v>
      </c>
      <c r="H569">
        <v>1</v>
      </c>
      <c r="I569">
        <f t="shared" ca="1" si="75"/>
        <v>3</v>
      </c>
      <c r="J569" t="str">
        <f t="shared" si="76"/>
        <v>7-466 arg2</v>
      </c>
      <c r="K569" t="str">
        <f t="shared" si="77"/>
        <v>7-466 feedback2</v>
      </c>
      <c r="L569">
        <v>1</v>
      </c>
      <c r="M569" t="s">
        <v>1285</v>
      </c>
      <c r="N569">
        <v>568</v>
      </c>
    </row>
    <row r="570" spans="1:14">
      <c r="A570">
        <v>8</v>
      </c>
      <c r="B570">
        <f t="shared" si="78"/>
        <v>7</v>
      </c>
      <c r="C570">
        <v>467</v>
      </c>
      <c r="D570">
        <f t="shared" ca="1" si="71"/>
        <v>3</v>
      </c>
      <c r="E570" t="str">
        <f t="shared" si="72"/>
        <v>7-467 arg1</v>
      </c>
      <c r="F570">
        <f t="shared" ca="1" si="73"/>
        <v>1</v>
      </c>
      <c r="G570" t="str">
        <f t="shared" si="74"/>
        <v>7-467 feedback1</v>
      </c>
      <c r="H570">
        <v>1</v>
      </c>
      <c r="I570">
        <f t="shared" ca="1" si="75"/>
        <v>2</v>
      </c>
      <c r="J570" t="str">
        <f t="shared" si="76"/>
        <v>7-467 arg2</v>
      </c>
      <c r="K570" t="str">
        <f t="shared" si="77"/>
        <v>7-467 feedback2</v>
      </c>
      <c r="L570">
        <v>1</v>
      </c>
      <c r="M570" t="s">
        <v>1285</v>
      </c>
      <c r="N570">
        <v>569</v>
      </c>
    </row>
    <row r="571" spans="1:14">
      <c r="A571">
        <v>8</v>
      </c>
      <c r="B571">
        <f t="shared" si="78"/>
        <v>7</v>
      </c>
      <c r="C571">
        <v>468</v>
      </c>
      <c r="D571">
        <f t="shared" ca="1" si="71"/>
        <v>4</v>
      </c>
      <c r="E571" t="str">
        <f t="shared" si="72"/>
        <v>7-468 arg1</v>
      </c>
      <c r="F571">
        <f t="shared" ca="1" si="73"/>
        <v>4</v>
      </c>
      <c r="G571" t="str">
        <f t="shared" si="74"/>
        <v>7-468 feedback1</v>
      </c>
      <c r="H571">
        <v>1</v>
      </c>
      <c r="I571">
        <f t="shared" ca="1" si="75"/>
        <v>4</v>
      </c>
      <c r="J571" t="str">
        <f t="shared" si="76"/>
        <v>7-468 arg2</v>
      </c>
      <c r="K571" t="str">
        <f t="shared" si="77"/>
        <v>7-468 feedback2</v>
      </c>
      <c r="L571">
        <v>1</v>
      </c>
      <c r="M571" t="s">
        <v>1285</v>
      </c>
      <c r="N571">
        <v>570</v>
      </c>
    </row>
    <row r="572" spans="1:14">
      <c r="A572">
        <v>8</v>
      </c>
      <c r="B572">
        <f t="shared" si="78"/>
        <v>7</v>
      </c>
      <c r="C572">
        <v>469</v>
      </c>
      <c r="D572">
        <f t="shared" ca="1" si="71"/>
        <v>4</v>
      </c>
      <c r="E572" t="str">
        <f t="shared" si="72"/>
        <v>7-469 arg1</v>
      </c>
      <c r="F572">
        <f t="shared" ca="1" si="73"/>
        <v>3</v>
      </c>
      <c r="G572" t="str">
        <f t="shared" si="74"/>
        <v>7-469 feedback1</v>
      </c>
      <c r="H572">
        <v>1</v>
      </c>
      <c r="I572">
        <f t="shared" ca="1" si="75"/>
        <v>4</v>
      </c>
      <c r="J572" t="str">
        <f t="shared" si="76"/>
        <v>7-469 arg2</v>
      </c>
      <c r="K572" t="str">
        <f t="shared" si="77"/>
        <v>7-469 feedback2</v>
      </c>
      <c r="L572">
        <v>1</v>
      </c>
      <c r="M572" t="s">
        <v>1285</v>
      </c>
      <c r="N572">
        <v>571</v>
      </c>
    </row>
    <row r="573" spans="1:14">
      <c r="A573">
        <v>8</v>
      </c>
      <c r="B573">
        <f t="shared" si="78"/>
        <v>7</v>
      </c>
      <c r="C573">
        <v>470</v>
      </c>
      <c r="D573">
        <f t="shared" ca="1" si="71"/>
        <v>4</v>
      </c>
      <c r="E573" t="str">
        <f t="shared" si="72"/>
        <v>7-470 arg1</v>
      </c>
      <c r="F573">
        <f t="shared" ca="1" si="73"/>
        <v>3</v>
      </c>
      <c r="G573" t="str">
        <f t="shared" si="74"/>
        <v>7-470 feedback1</v>
      </c>
      <c r="H573">
        <v>1</v>
      </c>
      <c r="I573">
        <f t="shared" ca="1" si="75"/>
        <v>4</v>
      </c>
      <c r="J573" t="str">
        <f t="shared" si="76"/>
        <v>7-470 arg2</v>
      </c>
      <c r="K573" t="str">
        <f t="shared" si="77"/>
        <v>7-470 feedback2</v>
      </c>
      <c r="L573">
        <v>1</v>
      </c>
      <c r="M573" t="s">
        <v>1285</v>
      </c>
      <c r="N573">
        <v>572</v>
      </c>
    </row>
    <row r="574" spans="1:14">
      <c r="A574">
        <v>8</v>
      </c>
      <c r="B574">
        <f t="shared" si="78"/>
        <v>7</v>
      </c>
      <c r="C574">
        <v>471</v>
      </c>
      <c r="D574">
        <f t="shared" ca="1" si="71"/>
        <v>5</v>
      </c>
      <c r="E574" t="str">
        <f t="shared" si="72"/>
        <v>7-471 arg1</v>
      </c>
      <c r="F574">
        <f t="shared" ca="1" si="73"/>
        <v>4</v>
      </c>
      <c r="G574" t="str">
        <f t="shared" si="74"/>
        <v>7-471 feedback1</v>
      </c>
      <c r="H574">
        <v>1</v>
      </c>
      <c r="I574">
        <f t="shared" ca="1" si="75"/>
        <v>4</v>
      </c>
      <c r="J574" t="str">
        <f t="shared" si="76"/>
        <v>7-471 arg2</v>
      </c>
      <c r="K574" t="str">
        <f t="shared" si="77"/>
        <v>7-471 feedback2</v>
      </c>
      <c r="L574">
        <v>1</v>
      </c>
      <c r="M574" t="s">
        <v>1285</v>
      </c>
      <c r="N574">
        <v>573</v>
      </c>
    </row>
    <row r="575" spans="1:14">
      <c r="A575">
        <v>8</v>
      </c>
      <c r="B575">
        <f t="shared" si="78"/>
        <v>7</v>
      </c>
      <c r="C575">
        <v>472</v>
      </c>
      <c r="D575">
        <f t="shared" ca="1" si="71"/>
        <v>5</v>
      </c>
      <c r="E575" t="str">
        <f t="shared" si="72"/>
        <v>7-472 arg1</v>
      </c>
      <c r="F575">
        <f t="shared" ca="1" si="73"/>
        <v>5</v>
      </c>
      <c r="G575" t="str">
        <f t="shared" si="74"/>
        <v>7-472 feedback1</v>
      </c>
      <c r="H575">
        <v>1</v>
      </c>
      <c r="I575">
        <f t="shared" ca="1" si="75"/>
        <v>5</v>
      </c>
      <c r="J575" t="str">
        <f t="shared" si="76"/>
        <v>7-472 arg2</v>
      </c>
      <c r="K575" t="str">
        <f t="shared" si="77"/>
        <v>7-472 feedback2</v>
      </c>
      <c r="L575">
        <v>1</v>
      </c>
      <c r="M575" t="s">
        <v>1285</v>
      </c>
      <c r="N575">
        <v>574</v>
      </c>
    </row>
    <row r="576" spans="1:14">
      <c r="A576">
        <v>8</v>
      </c>
      <c r="B576">
        <f t="shared" si="78"/>
        <v>7</v>
      </c>
      <c r="C576">
        <v>473</v>
      </c>
      <c r="D576">
        <f t="shared" ca="1" si="71"/>
        <v>4</v>
      </c>
      <c r="E576" t="str">
        <f t="shared" si="72"/>
        <v>7-473 arg1</v>
      </c>
      <c r="F576">
        <f t="shared" ca="1" si="73"/>
        <v>2</v>
      </c>
      <c r="G576" t="str">
        <f t="shared" si="74"/>
        <v>7-473 feedback1</v>
      </c>
      <c r="H576">
        <v>1</v>
      </c>
      <c r="I576">
        <f t="shared" ca="1" si="75"/>
        <v>2</v>
      </c>
      <c r="J576" t="str">
        <f t="shared" si="76"/>
        <v>7-473 arg2</v>
      </c>
      <c r="K576" t="str">
        <f t="shared" si="77"/>
        <v>7-473 feedback2</v>
      </c>
      <c r="L576">
        <v>1</v>
      </c>
      <c r="M576" t="s">
        <v>1285</v>
      </c>
      <c r="N576">
        <v>575</v>
      </c>
    </row>
    <row r="577" spans="1:14">
      <c r="A577">
        <v>8</v>
      </c>
      <c r="B577">
        <f t="shared" si="78"/>
        <v>7</v>
      </c>
      <c r="C577">
        <v>474</v>
      </c>
      <c r="D577">
        <f t="shared" ca="1" si="71"/>
        <v>5</v>
      </c>
      <c r="E577" t="str">
        <f t="shared" si="72"/>
        <v>7-474 arg1</v>
      </c>
      <c r="F577">
        <f t="shared" ca="1" si="73"/>
        <v>4</v>
      </c>
      <c r="G577" t="str">
        <f t="shared" si="74"/>
        <v>7-474 feedback1</v>
      </c>
      <c r="H577">
        <v>1</v>
      </c>
      <c r="I577">
        <f t="shared" ca="1" si="75"/>
        <v>4</v>
      </c>
      <c r="J577" t="str">
        <f t="shared" si="76"/>
        <v>7-474 arg2</v>
      </c>
      <c r="K577" t="str">
        <f t="shared" si="77"/>
        <v>7-474 feedback2</v>
      </c>
      <c r="L577">
        <v>1</v>
      </c>
      <c r="M577" t="s">
        <v>1285</v>
      </c>
      <c r="N577">
        <v>576</v>
      </c>
    </row>
    <row r="578" spans="1:14">
      <c r="A578">
        <v>8</v>
      </c>
      <c r="B578">
        <f t="shared" si="78"/>
        <v>7</v>
      </c>
      <c r="C578">
        <v>475</v>
      </c>
      <c r="D578">
        <f t="shared" ca="1" si="71"/>
        <v>3</v>
      </c>
      <c r="E578" t="str">
        <f t="shared" si="72"/>
        <v>7-475 arg1</v>
      </c>
      <c r="F578">
        <f t="shared" ca="1" si="73"/>
        <v>3</v>
      </c>
      <c r="G578" t="str">
        <f t="shared" si="74"/>
        <v>7-475 feedback1</v>
      </c>
      <c r="H578">
        <v>1</v>
      </c>
      <c r="I578">
        <f t="shared" ca="1" si="75"/>
        <v>4</v>
      </c>
      <c r="J578" t="str">
        <f t="shared" si="76"/>
        <v>7-475 arg2</v>
      </c>
      <c r="K578" t="str">
        <f t="shared" si="77"/>
        <v>7-475 feedback2</v>
      </c>
      <c r="L578">
        <v>1</v>
      </c>
      <c r="M578" t="s">
        <v>1285</v>
      </c>
      <c r="N578">
        <v>577</v>
      </c>
    </row>
    <row r="579" spans="1:14">
      <c r="A579">
        <v>8</v>
      </c>
      <c r="B579">
        <f t="shared" si="78"/>
        <v>7</v>
      </c>
      <c r="C579">
        <v>476</v>
      </c>
      <c r="D579">
        <f t="shared" ref="D579:D642" ca="1" si="79">ROUND(3+2*RAND(),0)</f>
        <v>4</v>
      </c>
      <c r="E579" t="str">
        <f t="shared" si="72"/>
        <v>7-476 arg1</v>
      </c>
      <c r="F579">
        <f t="shared" ca="1" si="73"/>
        <v>3</v>
      </c>
      <c r="G579" t="str">
        <f t="shared" si="74"/>
        <v>7-476 feedback1</v>
      </c>
      <c r="H579">
        <v>1</v>
      </c>
      <c r="I579">
        <f t="shared" ca="1" si="75"/>
        <v>4</v>
      </c>
      <c r="J579" t="str">
        <f t="shared" si="76"/>
        <v>7-476 arg2</v>
      </c>
      <c r="K579" t="str">
        <f t="shared" si="77"/>
        <v>7-476 feedback2</v>
      </c>
      <c r="L579">
        <v>1</v>
      </c>
      <c r="M579" t="s">
        <v>1285</v>
      </c>
      <c r="N579">
        <v>578</v>
      </c>
    </row>
    <row r="580" spans="1:14">
      <c r="A580">
        <v>8</v>
      </c>
      <c r="B580">
        <f t="shared" si="78"/>
        <v>7</v>
      </c>
      <c r="C580">
        <v>477</v>
      </c>
      <c r="D580">
        <f t="shared" ca="1" si="79"/>
        <v>4</v>
      </c>
      <c r="E580" t="str">
        <f t="shared" si="72"/>
        <v>7-477 arg1</v>
      </c>
      <c r="F580">
        <f t="shared" ca="1" si="73"/>
        <v>4</v>
      </c>
      <c r="G580" t="str">
        <f t="shared" si="74"/>
        <v>7-477 feedback1</v>
      </c>
      <c r="H580">
        <v>1</v>
      </c>
      <c r="I580">
        <f t="shared" ca="1" si="75"/>
        <v>5</v>
      </c>
      <c r="J580" t="str">
        <f t="shared" si="76"/>
        <v>7-477 arg2</v>
      </c>
      <c r="K580" t="str">
        <f t="shared" si="77"/>
        <v>7-477 feedback2</v>
      </c>
      <c r="L580">
        <v>1</v>
      </c>
      <c r="M580" t="s">
        <v>1285</v>
      </c>
      <c r="N580">
        <v>579</v>
      </c>
    </row>
    <row r="581" spans="1:14">
      <c r="A581">
        <v>8</v>
      </c>
      <c r="B581">
        <f t="shared" si="78"/>
        <v>7</v>
      </c>
      <c r="C581">
        <v>478</v>
      </c>
      <c r="D581">
        <f t="shared" ca="1" si="79"/>
        <v>4</v>
      </c>
      <c r="E581" t="str">
        <f t="shared" si="72"/>
        <v>7-478 arg1</v>
      </c>
      <c r="F581">
        <f t="shared" ca="1" si="73"/>
        <v>3</v>
      </c>
      <c r="G581" t="str">
        <f t="shared" si="74"/>
        <v>7-478 feedback1</v>
      </c>
      <c r="H581">
        <v>1</v>
      </c>
      <c r="I581">
        <f t="shared" ca="1" si="75"/>
        <v>4</v>
      </c>
      <c r="J581" t="str">
        <f t="shared" si="76"/>
        <v>7-478 arg2</v>
      </c>
      <c r="K581" t="str">
        <f t="shared" si="77"/>
        <v>7-478 feedback2</v>
      </c>
      <c r="L581">
        <v>1</v>
      </c>
      <c r="M581" t="s">
        <v>1285</v>
      </c>
      <c r="N581">
        <v>580</v>
      </c>
    </row>
    <row r="582" spans="1:14">
      <c r="A582">
        <v>8</v>
      </c>
      <c r="B582">
        <f t="shared" si="78"/>
        <v>7</v>
      </c>
      <c r="C582">
        <v>479</v>
      </c>
      <c r="D582">
        <f t="shared" ca="1" si="79"/>
        <v>4</v>
      </c>
      <c r="E582" t="str">
        <f t="shared" si="72"/>
        <v>7-479 arg1</v>
      </c>
      <c r="F582">
        <f t="shared" ca="1" si="73"/>
        <v>3</v>
      </c>
      <c r="G582" t="str">
        <f t="shared" si="74"/>
        <v>7-479 feedback1</v>
      </c>
      <c r="H582">
        <v>1</v>
      </c>
      <c r="I582">
        <f t="shared" ca="1" si="75"/>
        <v>4</v>
      </c>
      <c r="J582" t="str">
        <f t="shared" si="76"/>
        <v>7-479 arg2</v>
      </c>
      <c r="K582" t="str">
        <f t="shared" si="77"/>
        <v>7-479 feedback2</v>
      </c>
      <c r="L582">
        <v>1</v>
      </c>
      <c r="M582" t="s">
        <v>1285</v>
      </c>
      <c r="N582">
        <v>581</v>
      </c>
    </row>
    <row r="583" spans="1:14">
      <c r="A583">
        <v>8</v>
      </c>
      <c r="B583">
        <f t="shared" si="78"/>
        <v>7</v>
      </c>
      <c r="C583">
        <v>480</v>
      </c>
      <c r="D583">
        <f t="shared" ca="1" si="79"/>
        <v>4</v>
      </c>
      <c r="E583" t="str">
        <f t="shared" si="72"/>
        <v>7-480 arg1</v>
      </c>
      <c r="F583">
        <f t="shared" ca="1" si="73"/>
        <v>2</v>
      </c>
      <c r="G583" t="str">
        <f t="shared" si="74"/>
        <v>7-480 feedback1</v>
      </c>
      <c r="H583">
        <v>1</v>
      </c>
      <c r="I583">
        <f t="shared" ca="1" si="75"/>
        <v>3</v>
      </c>
      <c r="J583" t="str">
        <f t="shared" si="76"/>
        <v>7-480 arg2</v>
      </c>
      <c r="K583" t="str">
        <f t="shared" si="77"/>
        <v>7-480 feedback2</v>
      </c>
      <c r="L583">
        <v>1</v>
      </c>
      <c r="M583" t="s">
        <v>1285</v>
      </c>
      <c r="N583">
        <v>582</v>
      </c>
    </row>
    <row r="584" spans="1:14">
      <c r="A584">
        <v>8</v>
      </c>
      <c r="B584">
        <f t="shared" si="78"/>
        <v>7</v>
      </c>
      <c r="C584">
        <v>481</v>
      </c>
      <c r="D584">
        <f t="shared" ca="1" si="79"/>
        <v>3</v>
      </c>
      <c r="E584" t="str">
        <f t="shared" si="72"/>
        <v>7-481 arg1</v>
      </c>
      <c r="F584">
        <f t="shared" ca="1" si="73"/>
        <v>2</v>
      </c>
      <c r="G584" t="str">
        <f t="shared" si="74"/>
        <v>7-481 feedback1</v>
      </c>
      <c r="H584">
        <v>1</v>
      </c>
      <c r="I584">
        <f t="shared" ca="1" si="75"/>
        <v>2</v>
      </c>
      <c r="J584" t="str">
        <f t="shared" si="76"/>
        <v>7-481 arg2</v>
      </c>
      <c r="K584" t="str">
        <f t="shared" si="77"/>
        <v>7-481 feedback2</v>
      </c>
      <c r="L584">
        <v>1</v>
      </c>
      <c r="M584" t="s">
        <v>1285</v>
      </c>
      <c r="N584">
        <v>583</v>
      </c>
    </row>
    <row r="585" spans="1:14">
      <c r="A585">
        <v>8</v>
      </c>
      <c r="B585">
        <f t="shared" si="78"/>
        <v>7</v>
      </c>
      <c r="C585">
        <v>482</v>
      </c>
      <c r="D585">
        <f t="shared" ca="1" si="79"/>
        <v>4</v>
      </c>
      <c r="E585" t="str">
        <f t="shared" si="72"/>
        <v>7-482 arg1</v>
      </c>
      <c r="F585">
        <f t="shared" ca="1" si="73"/>
        <v>3</v>
      </c>
      <c r="G585" t="str">
        <f t="shared" si="74"/>
        <v>7-482 feedback1</v>
      </c>
      <c r="H585">
        <v>1</v>
      </c>
      <c r="I585">
        <f t="shared" ca="1" si="75"/>
        <v>4</v>
      </c>
      <c r="J585" t="str">
        <f t="shared" si="76"/>
        <v>7-482 arg2</v>
      </c>
      <c r="K585" t="str">
        <f t="shared" si="77"/>
        <v>7-482 feedback2</v>
      </c>
      <c r="L585">
        <v>1</v>
      </c>
      <c r="M585" t="s">
        <v>1285</v>
      </c>
      <c r="N585">
        <v>584</v>
      </c>
    </row>
    <row r="586" spans="1:14">
      <c r="A586">
        <v>8</v>
      </c>
      <c r="B586">
        <f t="shared" si="78"/>
        <v>7</v>
      </c>
      <c r="C586">
        <v>483</v>
      </c>
      <c r="D586">
        <f t="shared" ca="1" si="79"/>
        <v>4</v>
      </c>
      <c r="E586" t="str">
        <f t="shared" si="72"/>
        <v>7-483 arg1</v>
      </c>
      <c r="F586">
        <f t="shared" ca="1" si="73"/>
        <v>4</v>
      </c>
      <c r="G586" t="str">
        <f t="shared" si="74"/>
        <v>7-483 feedback1</v>
      </c>
      <c r="H586">
        <v>1</v>
      </c>
      <c r="I586">
        <f t="shared" ca="1" si="75"/>
        <v>4</v>
      </c>
      <c r="J586" t="str">
        <f t="shared" si="76"/>
        <v>7-483 arg2</v>
      </c>
      <c r="K586" t="str">
        <f t="shared" si="77"/>
        <v>7-483 feedback2</v>
      </c>
      <c r="L586">
        <v>1</v>
      </c>
      <c r="M586" t="s">
        <v>1285</v>
      </c>
      <c r="N586">
        <v>585</v>
      </c>
    </row>
    <row r="587" spans="1:14">
      <c r="A587">
        <v>8</v>
      </c>
      <c r="B587">
        <f t="shared" si="78"/>
        <v>7</v>
      </c>
      <c r="C587">
        <v>484</v>
      </c>
      <c r="D587">
        <f t="shared" ca="1" si="79"/>
        <v>4</v>
      </c>
      <c r="E587" t="str">
        <f t="shared" si="72"/>
        <v>7-484 arg1</v>
      </c>
      <c r="F587">
        <f t="shared" ca="1" si="73"/>
        <v>4</v>
      </c>
      <c r="G587" t="str">
        <f t="shared" si="74"/>
        <v>7-484 feedback1</v>
      </c>
      <c r="H587">
        <v>1</v>
      </c>
      <c r="I587">
        <f t="shared" ca="1" si="75"/>
        <v>5</v>
      </c>
      <c r="J587" t="str">
        <f t="shared" si="76"/>
        <v>7-484 arg2</v>
      </c>
      <c r="K587" t="str">
        <f t="shared" si="77"/>
        <v>7-484 feedback2</v>
      </c>
      <c r="L587">
        <v>1</v>
      </c>
      <c r="M587" t="s">
        <v>1285</v>
      </c>
      <c r="N587">
        <v>586</v>
      </c>
    </row>
    <row r="588" spans="1:14">
      <c r="A588">
        <v>8</v>
      </c>
      <c r="B588">
        <f t="shared" si="78"/>
        <v>7</v>
      </c>
      <c r="C588">
        <v>485</v>
      </c>
      <c r="D588">
        <f t="shared" ca="1" si="79"/>
        <v>4</v>
      </c>
      <c r="E588" t="str">
        <f t="shared" si="72"/>
        <v>7-485 arg1</v>
      </c>
      <c r="F588">
        <f t="shared" ca="1" si="73"/>
        <v>3</v>
      </c>
      <c r="G588" t="str">
        <f t="shared" si="74"/>
        <v>7-485 feedback1</v>
      </c>
      <c r="H588">
        <v>1</v>
      </c>
      <c r="I588">
        <f t="shared" ca="1" si="75"/>
        <v>3</v>
      </c>
      <c r="J588" t="str">
        <f t="shared" si="76"/>
        <v>7-485 arg2</v>
      </c>
      <c r="K588" t="str">
        <f t="shared" si="77"/>
        <v>7-485 feedback2</v>
      </c>
      <c r="L588">
        <v>1</v>
      </c>
      <c r="M588" t="s">
        <v>1285</v>
      </c>
      <c r="N588">
        <v>587</v>
      </c>
    </row>
    <row r="589" spans="1:14">
      <c r="A589">
        <v>8</v>
      </c>
      <c r="B589">
        <f t="shared" si="78"/>
        <v>7</v>
      </c>
      <c r="C589">
        <v>486</v>
      </c>
      <c r="D589">
        <f t="shared" ca="1" si="79"/>
        <v>5</v>
      </c>
      <c r="E589" t="str">
        <f t="shared" si="72"/>
        <v>7-486 arg1</v>
      </c>
      <c r="F589">
        <f t="shared" ca="1" si="73"/>
        <v>5</v>
      </c>
      <c r="G589" t="str">
        <f t="shared" si="74"/>
        <v>7-486 feedback1</v>
      </c>
      <c r="H589">
        <v>1</v>
      </c>
      <c r="I589">
        <f t="shared" ca="1" si="75"/>
        <v>5</v>
      </c>
      <c r="J589" t="str">
        <f t="shared" si="76"/>
        <v>7-486 arg2</v>
      </c>
      <c r="K589" t="str">
        <f t="shared" si="77"/>
        <v>7-486 feedback2</v>
      </c>
      <c r="L589">
        <v>1</v>
      </c>
      <c r="M589" t="s">
        <v>1285</v>
      </c>
      <c r="N589">
        <v>588</v>
      </c>
    </row>
    <row r="590" spans="1:14">
      <c r="A590">
        <v>8</v>
      </c>
      <c r="B590">
        <f t="shared" si="78"/>
        <v>7</v>
      </c>
      <c r="C590">
        <v>487</v>
      </c>
      <c r="D590">
        <f t="shared" ca="1" si="79"/>
        <v>4</v>
      </c>
      <c r="E590" t="str">
        <f t="shared" si="72"/>
        <v>7-487 arg1</v>
      </c>
      <c r="F590">
        <f t="shared" ca="1" si="73"/>
        <v>4</v>
      </c>
      <c r="G590" t="str">
        <f t="shared" si="74"/>
        <v>7-487 feedback1</v>
      </c>
      <c r="H590">
        <v>1</v>
      </c>
      <c r="I590">
        <f t="shared" ca="1" si="75"/>
        <v>4</v>
      </c>
      <c r="J590" t="str">
        <f t="shared" si="76"/>
        <v>7-487 arg2</v>
      </c>
      <c r="K590" t="str">
        <f t="shared" si="77"/>
        <v>7-487 feedback2</v>
      </c>
      <c r="L590">
        <v>1</v>
      </c>
      <c r="M590" t="s">
        <v>1285</v>
      </c>
      <c r="N590">
        <v>589</v>
      </c>
    </row>
    <row r="591" spans="1:14">
      <c r="A591">
        <v>8</v>
      </c>
      <c r="B591">
        <f t="shared" si="78"/>
        <v>7</v>
      </c>
      <c r="C591">
        <v>488</v>
      </c>
      <c r="D591">
        <f t="shared" ca="1" si="79"/>
        <v>3</v>
      </c>
      <c r="E591" t="str">
        <f t="shared" si="72"/>
        <v>7-488 arg1</v>
      </c>
      <c r="F591">
        <f t="shared" ca="1" si="73"/>
        <v>3</v>
      </c>
      <c r="G591" t="str">
        <f t="shared" si="74"/>
        <v>7-488 feedback1</v>
      </c>
      <c r="H591">
        <v>1</v>
      </c>
      <c r="I591">
        <f t="shared" ca="1" si="75"/>
        <v>4</v>
      </c>
      <c r="J591" t="str">
        <f t="shared" si="76"/>
        <v>7-488 arg2</v>
      </c>
      <c r="K591" t="str">
        <f t="shared" si="77"/>
        <v>7-488 feedback2</v>
      </c>
      <c r="L591">
        <v>1</v>
      </c>
      <c r="M591" t="s">
        <v>1285</v>
      </c>
      <c r="N591">
        <v>590</v>
      </c>
    </row>
    <row r="592" spans="1:14">
      <c r="A592">
        <v>8</v>
      </c>
      <c r="B592">
        <f t="shared" si="78"/>
        <v>7</v>
      </c>
      <c r="C592">
        <v>489</v>
      </c>
      <c r="D592">
        <f t="shared" ca="1" si="79"/>
        <v>4</v>
      </c>
      <c r="E592" t="str">
        <f t="shared" si="72"/>
        <v>7-489 arg1</v>
      </c>
      <c r="F592">
        <f t="shared" ca="1" si="73"/>
        <v>2</v>
      </c>
      <c r="G592" t="str">
        <f t="shared" si="74"/>
        <v>7-489 feedback1</v>
      </c>
      <c r="H592">
        <v>1</v>
      </c>
      <c r="I592">
        <f t="shared" ca="1" si="75"/>
        <v>3</v>
      </c>
      <c r="J592" t="str">
        <f t="shared" si="76"/>
        <v>7-489 arg2</v>
      </c>
      <c r="K592" t="str">
        <f t="shared" si="77"/>
        <v>7-489 feedback2</v>
      </c>
      <c r="L592">
        <v>1</v>
      </c>
      <c r="M592" t="s">
        <v>1285</v>
      </c>
      <c r="N592">
        <v>591</v>
      </c>
    </row>
    <row r="593" spans="1:14">
      <c r="A593">
        <v>8</v>
      </c>
      <c r="B593">
        <f t="shared" si="78"/>
        <v>7</v>
      </c>
      <c r="C593">
        <v>490</v>
      </c>
      <c r="D593">
        <f t="shared" ca="1" si="79"/>
        <v>5</v>
      </c>
      <c r="E593" t="str">
        <f t="shared" si="72"/>
        <v>7-490 arg1</v>
      </c>
      <c r="F593">
        <f t="shared" ca="1" si="73"/>
        <v>3</v>
      </c>
      <c r="G593" t="str">
        <f t="shared" si="74"/>
        <v>7-490 feedback1</v>
      </c>
      <c r="H593">
        <v>1</v>
      </c>
      <c r="I593">
        <f t="shared" ca="1" si="75"/>
        <v>3</v>
      </c>
      <c r="J593" t="str">
        <f t="shared" si="76"/>
        <v>7-490 arg2</v>
      </c>
      <c r="K593" t="str">
        <f t="shared" si="77"/>
        <v>7-490 feedback2</v>
      </c>
      <c r="L593">
        <v>1</v>
      </c>
      <c r="M593" t="s">
        <v>1285</v>
      </c>
      <c r="N593">
        <v>592</v>
      </c>
    </row>
    <row r="594" spans="1:14">
      <c r="A594">
        <v>8</v>
      </c>
      <c r="B594">
        <f t="shared" si="78"/>
        <v>7</v>
      </c>
      <c r="C594">
        <v>491</v>
      </c>
      <c r="D594">
        <f t="shared" ca="1" si="79"/>
        <v>4</v>
      </c>
      <c r="E594" t="str">
        <f t="shared" si="72"/>
        <v>7-491 arg1</v>
      </c>
      <c r="F594">
        <f t="shared" ca="1" si="73"/>
        <v>3</v>
      </c>
      <c r="G594" t="str">
        <f t="shared" si="74"/>
        <v>7-491 feedback1</v>
      </c>
      <c r="H594">
        <v>1</v>
      </c>
      <c r="I594">
        <f t="shared" ca="1" si="75"/>
        <v>4</v>
      </c>
      <c r="J594" t="str">
        <f t="shared" si="76"/>
        <v>7-491 arg2</v>
      </c>
      <c r="K594" t="str">
        <f t="shared" si="77"/>
        <v>7-491 feedback2</v>
      </c>
      <c r="L594">
        <v>1</v>
      </c>
      <c r="M594" t="s">
        <v>1285</v>
      </c>
      <c r="N594">
        <v>593</v>
      </c>
    </row>
    <row r="595" spans="1:14">
      <c r="A595">
        <v>8</v>
      </c>
      <c r="B595">
        <f t="shared" si="78"/>
        <v>7</v>
      </c>
      <c r="C595">
        <v>492</v>
      </c>
      <c r="D595">
        <f t="shared" ca="1" si="79"/>
        <v>4</v>
      </c>
      <c r="E595" t="str">
        <f t="shared" si="72"/>
        <v>7-492 arg1</v>
      </c>
      <c r="F595">
        <f t="shared" ca="1" si="73"/>
        <v>2</v>
      </c>
      <c r="G595" t="str">
        <f t="shared" si="74"/>
        <v>7-492 feedback1</v>
      </c>
      <c r="H595">
        <v>1</v>
      </c>
      <c r="I595">
        <f t="shared" ca="1" si="75"/>
        <v>3</v>
      </c>
      <c r="J595" t="str">
        <f t="shared" si="76"/>
        <v>7-492 arg2</v>
      </c>
      <c r="K595" t="str">
        <f t="shared" si="77"/>
        <v>7-492 feedback2</v>
      </c>
      <c r="L595">
        <v>1</v>
      </c>
      <c r="M595" t="s">
        <v>1285</v>
      </c>
      <c r="N595">
        <v>594</v>
      </c>
    </row>
    <row r="596" spans="1:14">
      <c r="A596">
        <v>8</v>
      </c>
      <c r="B596">
        <f t="shared" si="78"/>
        <v>7</v>
      </c>
      <c r="C596">
        <v>493</v>
      </c>
      <c r="D596">
        <f t="shared" ca="1" si="79"/>
        <v>4</v>
      </c>
      <c r="E596" t="str">
        <f t="shared" si="72"/>
        <v>7-493 arg1</v>
      </c>
      <c r="F596">
        <f t="shared" ca="1" si="73"/>
        <v>3</v>
      </c>
      <c r="G596" t="str">
        <f t="shared" si="74"/>
        <v>7-493 feedback1</v>
      </c>
      <c r="H596">
        <v>1</v>
      </c>
      <c r="I596">
        <f t="shared" ca="1" si="75"/>
        <v>3</v>
      </c>
      <c r="J596" t="str">
        <f t="shared" si="76"/>
        <v>7-493 arg2</v>
      </c>
      <c r="K596" t="str">
        <f t="shared" si="77"/>
        <v>7-493 feedback2</v>
      </c>
      <c r="L596">
        <v>1</v>
      </c>
      <c r="M596" t="s">
        <v>1285</v>
      </c>
      <c r="N596">
        <v>595</v>
      </c>
    </row>
    <row r="597" spans="1:14">
      <c r="A597">
        <v>8</v>
      </c>
      <c r="B597">
        <f t="shared" si="78"/>
        <v>8</v>
      </c>
      <c r="C597">
        <v>409</v>
      </c>
      <c r="D597">
        <f t="shared" ca="1" si="79"/>
        <v>4</v>
      </c>
      <c r="E597" t="str">
        <f t="shared" ref="E597:E660" si="80">_xlfn.CONCAT(B597,"-",C597," arg1")</f>
        <v>8-409 arg1</v>
      </c>
      <c r="F597">
        <f t="shared" ref="F597:F660" ca="1" si="81">D597-ROUND(2*RAND(),0)</f>
        <v>2</v>
      </c>
      <c r="G597" t="str">
        <f t="shared" ref="G597:G660" si="82">_xlfn.CONCAT(B597,"-",C597," feedback1")</f>
        <v>8-409 feedback1</v>
      </c>
      <c r="H597">
        <v>1</v>
      </c>
      <c r="I597">
        <f t="shared" ref="I597:I660" ca="1" si="83">MIN(5,F597+ROUND(RAND(),0))</f>
        <v>2</v>
      </c>
      <c r="J597" t="str">
        <f t="shared" ref="J597:J660" si="84">_xlfn.CONCAT(B597,"-",C597," arg2")</f>
        <v>8-409 arg2</v>
      </c>
      <c r="K597" t="str">
        <f t="shared" ref="K597:K660" si="85">_xlfn.CONCAT(B597,"-",C597," feedback2")</f>
        <v>8-409 feedback2</v>
      </c>
      <c r="L597">
        <v>1</v>
      </c>
      <c r="M597" t="s">
        <v>1285</v>
      </c>
      <c r="N597">
        <v>596</v>
      </c>
    </row>
    <row r="598" spans="1:14">
      <c r="A598">
        <v>8</v>
      </c>
      <c r="B598">
        <f t="shared" si="78"/>
        <v>8</v>
      </c>
      <c r="C598">
        <v>410</v>
      </c>
      <c r="D598">
        <f t="shared" ca="1" si="79"/>
        <v>4</v>
      </c>
      <c r="E598" t="str">
        <f t="shared" si="80"/>
        <v>8-410 arg1</v>
      </c>
      <c r="F598">
        <f t="shared" ca="1" si="81"/>
        <v>3</v>
      </c>
      <c r="G598" t="str">
        <f t="shared" si="82"/>
        <v>8-410 feedback1</v>
      </c>
      <c r="H598">
        <v>1</v>
      </c>
      <c r="I598">
        <f t="shared" ca="1" si="83"/>
        <v>3</v>
      </c>
      <c r="J598" t="str">
        <f t="shared" si="84"/>
        <v>8-410 arg2</v>
      </c>
      <c r="K598" t="str">
        <f t="shared" si="85"/>
        <v>8-410 feedback2</v>
      </c>
      <c r="L598">
        <v>1</v>
      </c>
      <c r="M598" t="s">
        <v>1285</v>
      </c>
      <c r="N598">
        <v>597</v>
      </c>
    </row>
    <row r="599" spans="1:14">
      <c r="A599">
        <v>8</v>
      </c>
      <c r="B599">
        <f t="shared" si="78"/>
        <v>8</v>
      </c>
      <c r="C599">
        <v>411</v>
      </c>
      <c r="D599">
        <f t="shared" ca="1" si="79"/>
        <v>5</v>
      </c>
      <c r="E599" t="str">
        <f t="shared" si="80"/>
        <v>8-411 arg1</v>
      </c>
      <c r="F599">
        <f t="shared" ca="1" si="81"/>
        <v>5</v>
      </c>
      <c r="G599" t="str">
        <f t="shared" si="82"/>
        <v>8-411 feedback1</v>
      </c>
      <c r="H599">
        <v>1</v>
      </c>
      <c r="I599">
        <f t="shared" ca="1" si="83"/>
        <v>5</v>
      </c>
      <c r="J599" t="str">
        <f t="shared" si="84"/>
        <v>8-411 arg2</v>
      </c>
      <c r="K599" t="str">
        <f t="shared" si="85"/>
        <v>8-411 feedback2</v>
      </c>
      <c r="L599">
        <v>1</v>
      </c>
      <c r="M599" t="s">
        <v>1285</v>
      </c>
      <c r="N599">
        <v>598</v>
      </c>
    </row>
    <row r="600" spans="1:14">
      <c r="A600">
        <v>8</v>
      </c>
      <c r="B600">
        <f t="shared" si="78"/>
        <v>8</v>
      </c>
      <c r="C600">
        <v>412</v>
      </c>
      <c r="D600">
        <f t="shared" ca="1" si="79"/>
        <v>4</v>
      </c>
      <c r="E600" t="str">
        <f t="shared" si="80"/>
        <v>8-412 arg1</v>
      </c>
      <c r="F600">
        <f t="shared" ca="1" si="81"/>
        <v>3</v>
      </c>
      <c r="G600" t="str">
        <f t="shared" si="82"/>
        <v>8-412 feedback1</v>
      </c>
      <c r="H600">
        <v>1</v>
      </c>
      <c r="I600">
        <f t="shared" ca="1" si="83"/>
        <v>4</v>
      </c>
      <c r="J600" t="str">
        <f t="shared" si="84"/>
        <v>8-412 arg2</v>
      </c>
      <c r="K600" t="str">
        <f t="shared" si="85"/>
        <v>8-412 feedback2</v>
      </c>
      <c r="L600">
        <v>1</v>
      </c>
      <c r="M600" t="s">
        <v>1285</v>
      </c>
      <c r="N600">
        <v>599</v>
      </c>
    </row>
    <row r="601" spans="1:14">
      <c r="A601">
        <v>8</v>
      </c>
      <c r="B601">
        <f t="shared" si="78"/>
        <v>8</v>
      </c>
      <c r="C601">
        <v>413</v>
      </c>
      <c r="D601">
        <f t="shared" ca="1" si="79"/>
        <v>4</v>
      </c>
      <c r="E601" t="str">
        <f t="shared" si="80"/>
        <v>8-413 arg1</v>
      </c>
      <c r="F601">
        <f t="shared" ca="1" si="81"/>
        <v>3</v>
      </c>
      <c r="G601" t="str">
        <f t="shared" si="82"/>
        <v>8-413 feedback1</v>
      </c>
      <c r="H601">
        <v>1</v>
      </c>
      <c r="I601">
        <f t="shared" ca="1" si="83"/>
        <v>4</v>
      </c>
      <c r="J601" t="str">
        <f t="shared" si="84"/>
        <v>8-413 arg2</v>
      </c>
      <c r="K601" t="str">
        <f t="shared" si="85"/>
        <v>8-413 feedback2</v>
      </c>
      <c r="L601">
        <v>1</v>
      </c>
      <c r="M601" t="s">
        <v>1285</v>
      </c>
      <c r="N601">
        <v>600</v>
      </c>
    </row>
    <row r="602" spans="1:14">
      <c r="A602">
        <v>8</v>
      </c>
      <c r="B602">
        <f t="shared" si="78"/>
        <v>8</v>
      </c>
      <c r="C602">
        <v>414</v>
      </c>
      <c r="D602">
        <f t="shared" ca="1" si="79"/>
        <v>3</v>
      </c>
      <c r="E602" t="str">
        <f t="shared" si="80"/>
        <v>8-414 arg1</v>
      </c>
      <c r="F602">
        <f t="shared" ca="1" si="81"/>
        <v>3</v>
      </c>
      <c r="G602" t="str">
        <f t="shared" si="82"/>
        <v>8-414 feedback1</v>
      </c>
      <c r="H602">
        <v>1</v>
      </c>
      <c r="I602">
        <f t="shared" ca="1" si="83"/>
        <v>4</v>
      </c>
      <c r="J602" t="str">
        <f t="shared" si="84"/>
        <v>8-414 arg2</v>
      </c>
      <c r="K602" t="str">
        <f t="shared" si="85"/>
        <v>8-414 feedback2</v>
      </c>
      <c r="L602">
        <v>1</v>
      </c>
      <c r="M602" t="s">
        <v>1285</v>
      </c>
      <c r="N602">
        <v>601</v>
      </c>
    </row>
    <row r="603" spans="1:14">
      <c r="A603">
        <v>8</v>
      </c>
      <c r="B603">
        <f t="shared" si="78"/>
        <v>8</v>
      </c>
      <c r="C603">
        <v>415</v>
      </c>
      <c r="D603">
        <f t="shared" ca="1" si="79"/>
        <v>5</v>
      </c>
      <c r="E603" t="str">
        <f t="shared" si="80"/>
        <v>8-415 arg1</v>
      </c>
      <c r="F603">
        <f t="shared" ca="1" si="81"/>
        <v>4</v>
      </c>
      <c r="G603" t="str">
        <f t="shared" si="82"/>
        <v>8-415 feedback1</v>
      </c>
      <c r="H603">
        <v>1</v>
      </c>
      <c r="I603">
        <f t="shared" ca="1" si="83"/>
        <v>5</v>
      </c>
      <c r="J603" t="str">
        <f t="shared" si="84"/>
        <v>8-415 arg2</v>
      </c>
      <c r="K603" t="str">
        <f t="shared" si="85"/>
        <v>8-415 feedback2</v>
      </c>
      <c r="L603">
        <v>1</v>
      </c>
      <c r="M603" t="s">
        <v>1285</v>
      </c>
      <c r="N603">
        <v>602</v>
      </c>
    </row>
    <row r="604" spans="1:14">
      <c r="A604">
        <v>8</v>
      </c>
      <c r="B604">
        <f t="shared" si="78"/>
        <v>8</v>
      </c>
      <c r="C604">
        <v>416</v>
      </c>
      <c r="D604">
        <f t="shared" ca="1" si="79"/>
        <v>4</v>
      </c>
      <c r="E604" t="str">
        <f t="shared" si="80"/>
        <v>8-416 arg1</v>
      </c>
      <c r="F604">
        <f t="shared" ca="1" si="81"/>
        <v>3</v>
      </c>
      <c r="G604" t="str">
        <f t="shared" si="82"/>
        <v>8-416 feedback1</v>
      </c>
      <c r="H604">
        <v>1</v>
      </c>
      <c r="I604">
        <f t="shared" ca="1" si="83"/>
        <v>4</v>
      </c>
      <c r="J604" t="str">
        <f t="shared" si="84"/>
        <v>8-416 arg2</v>
      </c>
      <c r="K604" t="str">
        <f t="shared" si="85"/>
        <v>8-416 feedback2</v>
      </c>
      <c r="L604">
        <v>1</v>
      </c>
      <c r="M604" t="s">
        <v>1285</v>
      </c>
      <c r="N604">
        <v>603</v>
      </c>
    </row>
    <row r="605" spans="1:14">
      <c r="A605">
        <v>8</v>
      </c>
      <c r="B605">
        <f t="shared" si="78"/>
        <v>8</v>
      </c>
      <c r="C605">
        <v>417</v>
      </c>
      <c r="D605">
        <f t="shared" ca="1" si="79"/>
        <v>3</v>
      </c>
      <c r="E605" t="str">
        <f t="shared" si="80"/>
        <v>8-417 arg1</v>
      </c>
      <c r="F605">
        <f t="shared" ca="1" si="81"/>
        <v>2</v>
      </c>
      <c r="G605" t="str">
        <f t="shared" si="82"/>
        <v>8-417 feedback1</v>
      </c>
      <c r="H605">
        <v>1</v>
      </c>
      <c r="I605">
        <f t="shared" ca="1" si="83"/>
        <v>3</v>
      </c>
      <c r="J605" t="str">
        <f t="shared" si="84"/>
        <v>8-417 arg2</v>
      </c>
      <c r="K605" t="str">
        <f t="shared" si="85"/>
        <v>8-417 feedback2</v>
      </c>
      <c r="L605">
        <v>1</v>
      </c>
      <c r="M605" t="s">
        <v>1285</v>
      </c>
      <c r="N605">
        <v>604</v>
      </c>
    </row>
    <row r="606" spans="1:14">
      <c r="A606">
        <v>8</v>
      </c>
      <c r="B606">
        <f t="shared" si="78"/>
        <v>8</v>
      </c>
      <c r="C606">
        <v>418</v>
      </c>
      <c r="D606">
        <f t="shared" ca="1" si="79"/>
        <v>4</v>
      </c>
      <c r="E606" t="str">
        <f t="shared" si="80"/>
        <v>8-418 arg1</v>
      </c>
      <c r="F606">
        <f t="shared" ca="1" si="81"/>
        <v>4</v>
      </c>
      <c r="G606" t="str">
        <f t="shared" si="82"/>
        <v>8-418 feedback1</v>
      </c>
      <c r="H606">
        <v>1</v>
      </c>
      <c r="I606">
        <f t="shared" ca="1" si="83"/>
        <v>5</v>
      </c>
      <c r="J606" t="str">
        <f t="shared" si="84"/>
        <v>8-418 arg2</v>
      </c>
      <c r="K606" t="str">
        <f t="shared" si="85"/>
        <v>8-418 feedback2</v>
      </c>
      <c r="L606">
        <v>1</v>
      </c>
      <c r="M606" t="s">
        <v>1285</v>
      </c>
      <c r="N606">
        <v>605</v>
      </c>
    </row>
    <row r="607" spans="1:14">
      <c r="A607">
        <v>8</v>
      </c>
      <c r="B607">
        <f t="shared" si="78"/>
        <v>8</v>
      </c>
      <c r="C607">
        <v>419</v>
      </c>
      <c r="D607">
        <f t="shared" ca="1" si="79"/>
        <v>5</v>
      </c>
      <c r="E607" t="str">
        <f t="shared" si="80"/>
        <v>8-419 arg1</v>
      </c>
      <c r="F607">
        <f t="shared" ca="1" si="81"/>
        <v>4</v>
      </c>
      <c r="G607" t="str">
        <f t="shared" si="82"/>
        <v>8-419 feedback1</v>
      </c>
      <c r="H607">
        <v>1</v>
      </c>
      <c r="I607">
        <f t="shared" ca="1" si="83"/>
        <v>4</v>
      </c>
      <c r="J607" t="str">
        <f t="shared" si="84"/>
        <v>8-419 arg2</v>
      </c>
      <c r="K607" t="str">
        <f t="shared" si="85"/>
        <v>8-419 feedback2</v>
      </c>
      <c r="L607">
        <v>1</v>
      </c>
      <c r="M607" t="s">
        <v>1285</v>
      </c>
      <c r="N607">
        <v>606</v>
      </c>
    </row>
    <row r="608" spans="1:14">
      <c r="A608">
        <v>8</v>
      </c>
      <c r="B608">
        <f t="shared" si="78"/>
        <v>8</v>
      </c>
      <c r="C608">
        <v>420</v>
      </c>
      <c r="D608">
        <f t="shared" ca="1" si="79"/>
        <v>3</v>
      </c>
      <c r="E608" t="str">
        <f t="shared" si="80"/>
        <v>8-420 arg1</v>
      </c>
      <c r="F608">
        <f t="shared" ca="1" si="81"/>
        <v>2</v>
      </c>
      <c r="G608" t="str">
        <f t="shared" si="82"/>
        <v>8-420 feedback1</v>
      </c>
      <c r="H608">
        <v>1</v>
      </c>
      <c r="I608">
        <f t="shared" ca="1" si="83"/>
        <v>3</v>
      </c>
      <c r="J608" t="str">
        <f t="shared" si="84"/>
        <v>8-420 arg2</v>
      </c>
      <c r="K608" t="str">
        <f t="shared" si="85"/>
        <v>8-420 feedback2</v>
      </c>
      <c r="L608">
        <v>1</v>
      </c>
      <c r="M608" t="s">
        <v>1285</v>
      </c>
      <c r="N608">
        <v>607</v>
      </c>
    </row>
    <row r="609" spans="1:14">
      <c r="A609">
        <v>8</v>
      </c>
      <c r="B609">
        <f t="shared" si="78"/>
        <v>8</v>
      </c>
      <c r="C609">
        <v>421</v>
      </c>
      <c r="D609">
        <f t="shared" ca="1" si="79"/>
        <v>3</v>
      </c>
      <c r="E609" t="str">
        <f t="shared" si="80"/>
        <v>8-421 arg1</v>
      </c>
      <c r="F609">
        <f t="shared" ca="1" si="81"/>
        <v>2</v>
      </c>
      <c r="G609" t="str">
        <f t="shared" si="82"/>
        <v>8-421 feedback1</v>
      </c>
      <c r="H609">
        <v>1</v>
      </c>
      <c r="I609">
        <f t="shared" ca="1" si="83"/>
        <v>3</v>
      </c>
      <c r="J609" t="str">
        <f t="shared" si="84"/>
        <v>8-421 arg2</v>
      </c>
      <c r="K609" t="str">
        <f t="shared" si="85"/>
        <v>8-421 feedback2</v>
      </c>
      <c r="L609">
        <v>1</v>
      </c>
      <c r="M609" t="s">
        <v>1285</v>
      </c>
      <c r="N609">
        <v>608</v>
      </c>
    </row>
    <row r="610" spans="1:14">
      <c r="A610">
        <v>8</v>
      </c>
      <c r="B610">
        <f t="shared" si="78"/>
        <v>8</v>
      </c>
      <c r="C610">
        <v>422</v>
      </c>
      <c r="D610">
        <f t="shared" ca="1" si="79"/>
        <v>4</v>
      </c>
      <c r="E610" t="str">
        <f t="shared" si="80"/>
        <v>8-422 arg1</v>
      </c>
      <c r="F610">
        <f t="shared" ca="1" si="81"/>
        <v>3</v>
      </c>
      <c r="G610" t="str">
        <f t="shared" si="82"/>
        <v>8-422 feedback1</v>
      </c>
      <c r="H610">
        <v>1</v>
      </c>
      <c r="I610">
        <f t="shared" ca="1" si="83"/>
        <v>4</v>
      </c>
      <c r="J610" t="str">
        <f t="shared" si="84"/>
        <v>8-422 arg2</v>
      </c>
      <c r="K610" t="str">
        <f t="shared" si="85"/>
        <v>8-422 feedback2</v>
      </c>
      <c r="L610">
        <v>1</v>
      </c>
      <c r="M610" t="s">
        <v>1285</v>
      </c>
      <c r="N610">
        <v>609</v>
      </c>
    </row>
    <row r="611" spans="1:14">
      <c r="A611">
        <v>8</v>
      </c>
      <c r="B611">
        <f t="shared" si="78"/>
        <v>8</v>
      </c>
      <c r="C611">
        <v>423</v>
      </c>
      <c r="D611">
        <f t="shared" ca="1" si="79"/>
        <v>4</v>
      </c>
      <c r="E611" t="str">
        <f t="shared" si="80"/>
        <v>8-423 arg1</v>
      </c>
      <c r="F611">
        <f t="shared" ca="1" si="81"/>
        <v>3</v>
      </c>
      <c r="G611" t="str">
        <f t="shared" si="82"/>
        <v>8-423 feedback1</v>
      </c>
      <c r="H611">
        <v>1</v>
      </c>
      <c r="I611">
        <f t="shared" ca="1" si="83"/>
        <v>4</v>
      </c>
      <c r="J611" t="str">
        <f t="shared" si="84"/>
        <v>8-423 arg2</v>
      </c>
      <c r="K611" t="str">
        <f t="shared" si="85"/>
        <v>8-423 feedback2</v>
      </c>
      <c r="L611">
        <v>1</v>
      </c>
      <c r="M611" t="s">
        <v>1285</v>
      </c>
      <c r="N611">
        <v>610</v>
      </c>
    </row>
    <row r="612" spans="1:14">
      <c r="A612">
        <v>8</v>
      </c>
      <c r="B612">
        <f t="shared" si="78"/>
        <v>8</v>
      </c>
      <c r="C612">
        <v>424</v>
      </c>
      <c r="D612">
        <f t="shared" ca="1" si="79"/>
        <v>4</v>
      </c>
      <c r="E612" t="str">
        <f t="shared" si="80"/>
        <v>8-424 arg1</v>
      </c>
      <c r="F612">
        <f t="shared" ca="1" si="81"/>
        <v>3</v>
      </c>
      <c r="G612" t="str">
        <f t="shared" si="82"/>
        <v>8-424 feedback1</v>
      </c>
      <c r="H612">
        <v>1</v>
      </c>
      <c r="I612">
        <f t="shared" ca="1" si="83"/>
        <v>4</v>
      </c>
      <c r="J612" t="str">
        <f t="shared" si="84"/>
        <v>8-424 arg2</v>
      </c>
      <c r="K612" t="str">
        <f t="shared" si="85"/>
        <v>8-424 feedback2</v>
      </c>
      <c r="L612">
        <v>1</v>
      </c>
      <c r="M612" t="s">
        <v>1285</v>
      </c>
      <c r="N612">
        <v>611</v>
      </c>
    </row>
    <row r="613" spans="1:14">
      <c r="A613">
        <v>8</v>
      </c>
      <c r="B613">
        <f t="shared" si="78"/>
        <v>8</v>
      </c>
      <c r="C613">
        <v>425</v>
      </c>
      <c r="D613">
        <f t="shared" ca="1" si="79"/>
        <v>4</v>
      </c>
      <c r="E613" t="str">
        <f t="shared" si="80"/>
        <v>8-425 arg1</v>
      </c>
      <c r="F613">
        <f t="shared" ca="1" si="81"/>
        <v>2</v>
      </c>
      <c r="G613" t="str">
        <f t="shared" si="82"/>
        <v>8-425 feedback1</v>
      </c>
      <c r="H613">
        <v>1</v>
      </c>
      <c r="I613">
        <f t="shared" ca="1" si="83"/>
        <v>3</v>
      </c>
      <c r="J613" t="str">
        <f t="shared" si="84"/>
        <v>8-425 arg2</v>
      </c>
      <c r="K613" t="str">
        <f t="shared" si="85"/>
        <v>8-425 feedback2</v>
      </c>
      <c r="L613">
        <v>1</v>
      </c>
      <c r="M613" t="s">
        <v>1285</v>
      </c>
      <c r="N613">
        <v>612</v>
      </c>
    </row>
    <row r="614" spans="1:14">
      <c r="A614">
        <v>8</v>
      </c>
      <c r="B614">
        <f t="shared" si="78"/>
        <v>8</v>
      </c>
      <c r="C614">
        <v>426</v>
      </c>
      <c r="D614">
        <f t="shared" ca="1" si="79"/>
        <v>4</v>
      </c>
      <c r="E614" t="str">
        <f t="shared" si="80"/>
        <v>8-426 arg1</v>
      </c>
      <c r="F614">
        <f t="shared" ca="1" si="81"/>
        <v>3</v>
      </c>
      <c r="G614" t="str">
        <f t="shared" si="82"/>
        <v>8-426 feedback1</v>
      </c>
      <c r="H614">
        <v>1</v>
      </c>
      <c r="I614">
        <f t="shared" ca="1" si="83"/>
        <v>3</v>
      </c>
      <c r="J614" t="str">
        <f t="shared" si="84"/>
        <v>8-426 arg2</v>
      </c>
      <c r="K614" t="str">
        <f t="shared" si="85"/>
        <v>8-426 feedback2</v>
      </c>
      <c r="L614">
        <v>1</v>
      </c>
      <c r="M614" t="s">
        <v>1285</v>
      </c>
      <c r="N614">
        <v>613</v>
      </c>
    </row>
    <row r="615" spans="1:14">
      <c r="A615">
        <v>8</v>
      </c>
      <c r="B615">
        <f t="shared" si="78"/>
        <v>8</v>
      </c>
      <c r="C615">
        <v>427</v>
      </c>
      <c r="D615">
        <f t="shared" ca="1" si="79"/>
        <v>4</v>
      </c>
      <c r="E615" t="str">
        <f t="shared" si="80"/>
        <v>8-427 arg1</v>
      </c>
      <c r="F615">
        <f t="shared" ca="1" si="81"/>
        <v>3</v>
      </c>
      <c r="G615" t="str">
        <f t="shared" si="82"/>
        <v>8-427 feedback1</v>
      </c>
      <c r="H615">
        <v>1</v>
      </c>
      <c r="I615">
        <f t="shared" ca="1" si="83"/>
        <v>3</v>
      </c>
      <c r="J615" t="str">
        <f t="shared" si="84"/>
        <v>8-427 arg2</v>
      </c>
      <c r="K615" t="str">
        <f t="shared" si="85"/>
        <v>8-427 feedback2</v>
      </c>
      <c r="L615">
        <v>1</v>
      </c>
      <c r="M615" t="s">
        <v>1285</v>
      </c>
      <c r="N615">
        <v>614</v>
      </c>
    </row>
    <row r="616" spans="1:14">
      <c r="A616">
        <v>8</v>
      </c>
      <c r="B616">
        <f t="shared" si="78"/>
        <v>8</v>
      </c>
      <c r="C616">
        <v>428</v>
      </c>
      <c r="D616">
        <f t="shared" ca="1" si="79"/>
        <v>4</v>
      </c>
      <c r="E616" t="str">
        <f t="shared" si="80"/>
        <v>8-428 arg1</v>
      </c>
      <c r="F616">
        <f t="shared" ca="1" si="81"/>
        <v>3</v>
      </c>
      <c r="G616" t="str">
        <f t="shared" si="82"/>
        <v>8-428 feedback1</v>
      </c>
      <c r="H616">
        <v>1</v>
      </c>
      <c r="I616">
        <f t="shared" ca="1" si="83"/>
        <v>3</v>
      </c>
      <c r="J616" t="str">
        <f t="shared" si="84"/>
        <v>8-428 arg2</v>
      </c>
      <c r="K616" t="str">
        <f t="shared" si="85"/>
        <v>8-428 feedback2</v>
      </c>
      <c r="L616">
        <v>1</v>
      </c>
      <c r="M616" t="s">
        <v>1285</v>
      </c>
      <c r="N616">
        <v>615</v>
      </c>
    </row>
    <row r="617" spans="1:14">
      <c r="A617">
        <v>8</v>
      </c>
      <c r="B617">
        <f t="shared" si="78"/>
        <v>8</v>
      </c>
      <c r="C617">
        <v>429</v>
      </c>
      <c r="D617">
        <f t="shared" ca="1" si="79"/>
        <v>4</v>
      </c>
      <c r="E617" t="str">
        <f t="shared" si="80"/>
        <v>8-429 arg1</v>
      </c>
      <c r="F617">
        <f t="shared" ca="1" si="81"/>
        <v>2</v>
      </c>
      <c r="G617" t="str">
        <f t="shared" si="82"/>
        <v>8-429 feedback1</v>
      </c>
      <c r="H617">
        <v>1</v>
      </c>
      <c r="I617">
        <f t="shared" ca="1" si="83"/>
        <v>3</v>
      </c>
      <c r="J617" t="str">
        <f t="shared" si="84"/>
        <v>8-429 arg2</v>
      </c>
      <c r="K617" t="str">
        <f t="shared" si="85"/>
        <v>8-429 feedback2</v>
      </c>
      <c r="L617">
        <v>1</v>
      </c>
      <c r="M617" t="s">
        <v>1285</v>
      </c>
      <c r="N617">
        <v>616</v>
      </c>
    </row>
    <row r="618" spans="1:14">
      <c r="A618">
        <v>8</v>
      </c>
      <c r="B618">
        <f t="shared" si="78"/>
        <v>8</v>
      </c>
      <c r="C618">
        <v>430</v>
      </c>
      <c r="D618">
        <f t="shared" ca="1" si="79"/>
        <v>5</v>
      </c>
      <c r="E618" t="str">
        <f t="shared" si="80"/>
        <v>8-430 arg1</v>
      </c>
      <c r="F618">
        <f t="shared" ca="1" si="81"/>
        <v>4</v>
      </c>
      <c r="G618" t="str">
        <f t="shared" si="82"/>
        <v>8-430 feedback1</v>
      </c>
      <c r="H618">
        <v>1</v>
      </c>
      <c r="I618">
        <f t="shared" ca="1" si="83"/>
        <v>4</v>
      </c>
      <c r="J618" t="str">
        <f t="shared" si="84"/>
        <v>8-430 arg2</v>
      </c>
      <c r="K618" t="str">
        <f t="shared" si="85"/>
        <v>8-430 feedback2</v>
      </c>
      <c r="L618">
        <v>1</v>
      </c>
      <c r="M618" t="s">
        <v>1285</v>
      </c>
      <c r="N618">
        <v>617</v>
      </c>
    </row>
    <row r="619" spans="1:14">
      <c r="A619">
        <v>8</v>
      </c>
      <c r="B619">
        <f t="shared" si="78"/>
        <v>8</v>
      </c>
      <c r="C619">
        <v>431</v>
      </c>
      <c r="D619">
        <f t="shared" ca="1" si="79"/>
        <v>5</v>
      </c>
      <c r="E619" t="str">
        <f t="shared" si="80"/>
        <v>8-431 arg1</v>
      </c>
      <c r="F619">
        <f t="shared" ca="1" si="81"/>
        <v>5</v>
      </c>
      <c r="G619" t="str">
        <f t="shared" si="82"/>
        <v>8-431 feedback1</v>
      </c>
      <c r="H619">
        <v>1</v>
      </c>
      <c r="I619">
        <f t="shared" ca="1" si="83"/>
        <v>5</v>
      </c>
      <c r="J619" t="str">
        <f t="shared" si="84"/>
        <v>8-431 arg2</v>
      </c>
      <c r="K619" t="str">
        <f t="shared" si="85"/>
        <v>8-431 feedback2</v>
      </c>
      <c r="L619">
        <v>1</v>
      </c>
      <c r="M619" t="s">
        <v>1285</v>
      </c>
      <c r="N619">
        <v>618</v>
      </c>
    </row>
    <row r="620" spans="1:14">
      <c r="A620">
        <v>8</v>
      </c>
      <c r="B620">
        <f t="shared" si="78"/>
        <v>8</v>
      </c>
      <c r="C620">
        <v>432</v>
      </c>
      <c r="D620">
        <f t="shared" ca="1" si="79"/>
        <v>4</v>
      </c>
      <c r="E620" t="str">
        <f t="shared" si="80"/>
        <v>8-432 arg1</v>
      </c>
      <c r="F620">
        <f t="shared" ca="1" si="81"/>
        <v>3</v>
      </c>
      <c r="G620" t="str">
        <f t="shared" si="82"/>
        <v>8-432 feedback1</v>
      </c>
      <c r="H620">
        <v>1</v>
      </c>
      <c r="I620">
        <f t="shared" ca="1" si="83"/>
        <v>4</v>
      </c>
      <c r="J620" t="str">
        <f t="shared" si="84"/>
        <v>8-432 arg2</v>
      </c>
      <c r="K620" t="str">
        <f t="shared" si="85"/>
        <v>8-432 feedback2</v>
      </c>
      <c r="L620">
        <v>1</v>
      </c>
      <c r="M620" t="s">
        <v>1285</v>
      </c>
      <c r="N620">
        <v>619</v>
      </c>
    </row>
    <row r="621" spans="1:14">
      <c r="A621">
        <v>8</v>
      </c>
      <c r="B621">
        <f t="shared" si="78"/>
        <v>8</v>
      </c>
      <c r="C621">
        <v>433</v>
      </c>
      <c r="D621">
        <f t="shared" ca="1" si="79"/>
        <v>5</v>
      </c>
      <c r="E621" t="str">
        <f t="shared" si="80"/>
        <v>8-433 arg1</v>
      </c>
      <c r="F621">
        <f t="shared" ca="1" si="81"/>
        <v>5</v>
      </c>
      <c r="G621" t="str">
        <f t="shared" si="82"/>
        <v>8-433 feedback1</v>
      </c>
      <c r="H621">
        <v>1</v>
      </c>
      <c r="I621">
        <f t="shared" ca="1" si="83"/>
        <v>5</v>
      </c>
      <c r="J621" t="str">
        <f t="shared" si="84"/>
        <v>8-433 arg2</v>
      </c>
      <c r="K621" t="str">
        <f t="shared" si="85"/>
        <v>8-433 feedback2</v>
      </c>
      <c r="L621">
        <v>1</v>
      </c>
      <c r="M621" t="s">
        <v>1285</v>
      </c>
      <c r="N621">
        <v>620</v>
      </c>
    </row>
    <row r="622" spans="1:14">
      <c r="A622">
        <v>8</v>
      </c>
      <c r="B622">
        <f t="shared" si="78"/>
        <v>8</v>
      </c>
      <c r="C622">
        <v>434</v>
      </c>
      <c r="D622">
        <f t="shared" ca="1" si="79"/>
        <v>5</v>
      </c>
      <c r="E622" t="str">
        <f t="shared" si="80"/>
        <v>8-434 arg1</v>
      </c>
      <c r="F622">
        <f t="shared" ca="1" si="81"/>
        <v>4</v>
      </c>
      <c r="G622" t="str">
        <f t="shared" si="82"/>
        <v>8-434 feedback1</v>
      </c>
      <c r="H622">
        <v>1</v>
      </c>
      <c r="I622">
        <f t="shared" ca="1" si="83"/>
        <v>5</v>
      </c>
      <c r="J622" t="str">
        <f t="shared" si="84"/>
        <v>8-434 arg2</v>
      </c>
      <c r="K622" t="str">
        <f t="shared" si="85"/>
        <v>8-434 feedback2</v>
      </c>
      <c r="L622">
        <v>1</v>
      </c>
      <c r="M622" t="s">
        <v>1285</v>
      </c>
      <c r="N622">
        <v>621</v>
      </c>
    </row>
    <row r="623" spans="1:14">
      <c r="A623">
        <v>8</v>
      </c>
      <c r="B623">
        <f t="shared" si="78"/>
        <v>8</v>
      </c>
      <c r="C623">
        <v>435</v>
      </c>
      <c r="D623">
        <f t="shared" ca="1" si="79"/>
        <v>4</v>
      </c>
      <c r="E623" t="str">
        <f t="shared" si="80"/>
        <v>8-435 arg1</v>
      </c>
      <c r="F623">
        <f t="shared" ca="1" si="81"/>
        <v>3</v>
      </c>
      <c r="G623" t="str">
        <f t="shared" si="82"/>
        <v>8-435 feedback1</v>
      </c>
      <c r="H623">
        <v>1</v>
      </c>
      <c r="I623">
        <f t="shared" ca="1" si="83"/>
        <v>3</v>
      </c>
      <c r="J623" t="str">
        <f t="shared" si="84"/>
        <v>8-435 arg2</v>
      </c>
      <c r="K623" t="str">
        <f t="shared" si="85"/>
        <v>8-435 feedback2</v>
      </c>
      <c r="L623">
        <v>1</v>
      </c>
      <c r="M623" t="s">
        <v>1285</v>
      </c>
      <c r="N623">
        <v>622</v>
      </c>
    </row>
    <row r="624" spans="1:14">
      <c r="A624">
        <v>8</v>
      </c>
      <c r="B624">
        <f t="shared" si="78"/>
        <v>8</v>
      </c>
      <c r="C624">
        <v>436</v>
      </c>
      <c r="D624">
        <f t="shared" ca="1" si="79"/>
        <v>3</v>
      </c>
      <c r="E624" t="str">
        <f t="shared" si="80"/>
        <v>8-436 arg1</v>
      </c>
      <c r="F624">
        <f t="shared" ca="1" si="81"/>
        <v>3</v>
      </c>
      <c r="G624" t="str">
        <f t="shared" si="82"/>
        <v>8-436 feedback1</v>
      </c>
      <c r="H624">
        <v>1</v>
      </c>
      <c r="I624">
        <f t="shared" ca="1" si="83"/>
        <v>4</v>
      </c>
      <c r="J624" t="str">
        <f t="shared" si="84"/>
        <v>8-436 arg2</v>
      </c>
      <c r="K624" t="str">
        <f t="shared" si="85"/>
        <v>8-436 feedback2</v>
      </c>
      <c r="L624">
        <v>1</v>
      </c>
      <c r="M624" t="s">
        <v>1285</v>
      </c>
      <c r="N624">
        <v>623</v>
      </c>
    </row>
    <row r="625" spans="1:14">
      <c r="A625">
        <v>8</v>
      </c>
      <c r="B625">
        <f t="shared" si="78"/>
        <v>8</v>
      </c>
      <c r="C625">
        <v>437</v>
      </c>
      <c r="D625">
        <f t="shared" ca="1" si="79"/>
        <v>5</v>
      </c>
      <c r="E625" t="str">
        <f t="shared" si="80"/>
        <v>8-437 arg1</v>
      </c>
      <c r="F625">
        <f t="shared" ca="1" si="81"/>
        <v>4</v>
      </c>
      <c r="G625" t="str">
        <f t="shared" si="82"/>
        <v>8-437 feedback1</v>
      </c>
      <c r="H625">
        <v>1</v>
      </c>
      <c r="I625">
        <f t="shared" ca="1" si="83"/>
        <v>5</v>
      </c>
      <c r="J625" t="str">
        <f t="shared" si="84"/>
        <v>8-437 arg2</v>
      </c>
      <c r="K625" t="str">
        <f t="shared" si="85"/>
        <v>8-437 feedback2</v>
      </c>
      <c r="L625">
        <v>1</v>
      </c>
      <c r="M625" t="s">
        <v>1285</v>
      </c>
      <c r="N625">
        <v>624</v>
      </c>
    </row>
    <row r="626" spans="1:14">
      <c r="A626">
        <v>8</v>
      </c>
      <c r="B626">
        <f t="shared" si="78"/>
        <v>8</v>
      </c>
      <c r="C626">
        <v>438</v>
      </c>
      <c r="D626">
        <f t="shared" ca="1" si="79"/>
        <v>5</v>
      </c>
      <c r="E626" t="str">
        <f t="shared" si="80"/>
        <v>8-438 arg1</v>
      </c>
      <c r="F626">
        <f t="shared" ca="1" si="81"/>
        <v>4</v>
      </c>
      <c r="G626" t="str">
        <f t="shared" si="82"/>
        <v>8-438 feedback1</v>
      </c>
      <c r="H626">
        <v>1</v>
      </c>
      <c r="I626">
        <f t="shared" ca="1" si="83"/>
        <v>5</v>
      </c>
      <c r="J626" t="str">
        <f t="shared" si="84"/>
        <v>8-438 arg2</v>
      </c>
      <c r="K626" t="str">
        <f t="shared" si="85"/>
        <v>8-438 feedback2</v>
      </c>
      <c r="L626">
        <v>1</v>
      </c>
      <c r="M626" t="s">
        <v>1285</v>
      </c>
      <c r="N626">
        <v>625</v>
      </c>
    </row>
    <row r="627" spans="1:14">
      <c r="A627">
        <v>8</v>
      </c>
      <c r="B627">
        <f t="shared" si="78"/>
        <v>8</v>
      </c>
      <c r="C627">
        <v>439</v>
      </c>
      <c r="D627">
        <f t="shared" ca="1" si="79"/>
        <v>4</v>
      </c>
      <c r="E627" t="str">
        <f t="shared" si="80"/>
        <v>8-439 arg1</v>
      </c>
      <c r="F627">
        <f t="shared" ca="1" si="81"/>
        <v>3</v>
      </c>
      <c r="G627" t="str">
        <f t="shared" si="82"/>
        <v>8-439 feedback1</v>
      </c>
      <c r="H627">
        <v>1</v>
      </c>
      <c r="I627">
        <f t="shared" ca="1" si="83"/>
        <v>3</v>
      </c>
      <c r="J627" t="str">
        <f t="shared" si="84"/>
        <v>8-439 arg2</v>
      </c>
      <c r="K627" t="str">
        <f t="shared" si="85"/>
        <v>8-439 feedback2</v>
      </c>
      <c r="L627">
        <v>1</v>
      </c>
      <c r="M627" t="s">
        <v>1285</v>
      </c>
      <c r="N627">
        <v>626</v>
      </c>
    </row>
    <row r="628" spans="1:14">
      <c r="A628">
        <v>8</v>
      </c>
      <c r="B628">
        <f t="shared" si="78"/>
        <v>8</v>
      </c>
      <c r="C628">
        <v>440</v>
      </c>
      <c r="D628">
        <f t="shared" ca="1" si="79"/>
        <v>5</v>
      </c>
      <c r="E628" t="str">
        <f t="shared" si="80"/>
        <v>8-440 arg1</v>
      </c>
      <c r="F628">
        <f t="shared" ca="1" si="81"/>
        <v>5</v>
      </c>
      <c r="G628" t="str">
        <f t="shared" si="82"/>
        <v>8-440 feedback1</v>
      </c>
      <c r="H628">
        <v>1</v>
      </c>
      <c r="I628">
        <f t="shared" ca="1" si="83"/>
        <v>5</v>
      </c>
      <c r="J628" t="str">
        <f t="shared" si="84"/>
        <v>8-440 arg2</v>
      </c>
      <c r="K628" t="str">
        <f t="shared" si="85"/>
        <v>8-440 feedback2</v>
      </c>
      <c r="L628">
        <v>1</v>
      </c>
      <c r="M628" t="s">
        <v>1285</v>
      </c>
      <c r="N628">
        <v>627</v>
      </c>
    </row>
    <row r="629" spans="1:14">
      <c r="A629">
        <v>8</v>
      </c>
      <c r="B629">
        <f t="shared" si="78"/>
        <v>8</v>
      </c>
      <c r="C629">
        <v>441</v>
      </c>
      <c r="D629">
        <f t="shared" ca="1" si="79"/>
        <v>3</v>
      </c>
      <c r="E629" t="str">
        <f t="shared" si="80"/>
        <v>8-441 arg1</v>
      </c>
      <c r="F629">
        <f t="shared" ca="1" si="81"/>
        <v>1</v>
      </c>
      <c r="G629" t="str">
        <f t="shared" si="82"/>
        <v>8-441 feedback1</v>
      </c>
      <c r="H629">
        <v>1</v>
      </c>
      <c r="I629">
        <f t="shared" ca="1" si="83"/>
        <v>2</v>
      </c>
      <c r="J629" t="str">
        <f t="shared" si="84"/>
        <v>8-441 arg2</v>
      </c>
      <c r="K629" t="str">
        <f t="shared" si="85"/>
        <v>8-441 feedback2</v>
      </c>
      <c r="L629">
        <v>1</v>
      </c>
      <c r="M629" t="s">
        <v>1285</v>
      </c>
      <c r="N629">
        <v>628</v>
      </c>
    </row>
    <row r="630" spans="1:14">
      <c r="A630">
        <v>8</v>
      </c>
      <c r="B630">
        <f t="shared" ref="B630:B693" si="86">B545+1</f>
        <v>8</v>
      </c>
      <c r="C630">
        <v>442</v>
      </c>
      <c r="D630">
        <f t="shared" ca="1" si="79"/>
        <v>5</v>
      </c>
      <c r="E630" t="str">
        <f t="shared" si="80"/>
        <v>8-442 arg1</v>
      </c>
      <c r="F630">
        <f t="shared" ca="1" si="81"/>
        <v>5</v>
      </c>
      <c r="G630" t="str">
        <f t="shared" si="82"/>
        <v>8-442 feedback1</v>
      </c>
      <c r="H630">
        <v>1</v>
      </c>
      <c r="I630">
        <f t="shared" ca="1" si="83"/>
        <v>5</v>
      </c>
      <c r="J630" t="str">
        <f t="shared" si="84"/>
        <v>8-442 arg2</v>
      </c>
      <c r="K630" t="str">
        <f t="shared" si="85"/>
        <v>8-442 feedback2</v>
      </c>
      <c r="L630">
        <v>1</v>
      </c>
      <c r="M630" t="s">
        <v>1285</v>
      </c>
      <c r="N630">
        <v>629</v>
      </c>
    </row>
    <row r="631" spans="1:14">
      <c r="A631">
        <v>8</v>
      </c>
      <c r="B631">
        <f t="shared" si="86"/>
        <v>8</v>
      </c>
      <c r="C631">
        <v>443</v>
      </c>
      <c r="D631">
        <f t="shared" ca="1" si="79"/>
        <v>5</v>
      </c>
      <c r="E631" t="str">
        <f t="shared" si="80"/>
        <v>8-443 arg1</v>
      </c>
      <c r="F631">
        <f t="shared" ca="1" si="81"/>
        <v>3</v>
      </c>
      <c r="G631" t="str">
        <f t="shared" si="82"/>
        <v>8-443 feedback1</v>
      </c>
      <c r="H631">
        <v>1</v>
      </c>
      <c r="I631">
        <f t="shared" ca="1" si="83"/>
        <v>3</v>
      </c>
      <c r="J631" t="str">
        <f t="shared" si="84"/>
        <v>8-443 arg2</v>
      </c>
      <c r="K631" t="str">
        <f t="shared" si="85"/>
        <v>8-443 feedback2</v>
      </c>
      <c r="L631">
        <v>1</v>
      </c>
      <c r="M631" t="s">
        <v>1285</v>
      </c>
      <c r="N631">
        <v>630</v>
      </c>
    </row>
    <row r="632" spans="1:14">
      <c r="A632">
        <v>8</v>
      </c>
      <c r="B632">
        <f t="shared" si="86"/>
        <v>8</v>
      </c>
      <c r="C632">
        <v>444</v>
      </c>
      <c r="D632">
        <f t="shared" ca="1" si="79"/>
        <v>3</v>
      </c>
      <c r="E632" t="str">
        <f t="shared" si="80"/>
        <v>8-444 arg1</v>
      </c>
      <c r="F632">
        <f t="shared" ca="1" si="81"/>
        <v>3</v>
      </c>
      <c r="G632" t="str">
        <f t="shared" si="82"/>
        <v>8-444 feedback1</v>
      </c>
      <c r="H632">
        <v>1</v>
      </c>
      <c r="I632">
        <f t="shared" ca="1" si="83"/>
        <v>4</v>
      </c>
      <c r="J632" t="str">
        <f t="shared" si="84"/>
        <v>8-444 arg2</v>
      </c>
      <c r="K632" t="str">
        <f t="shared" si="85"/>
        <v>8-444 feedback2</v>
      </c>
      <c r="L632">
        <v>1</v>
      </c>
      <c r="M632" t="s">
        <v>1285</v>
      </c>
      <c r="N632">
        <v>631</v>
      </c>
    </row>
    <row r="633" spans="1:14">
      <c r="A633">
        <v>8</v>
      </c>
      <c r="B633">
        <f t="shared" si="86"/>
        <v>8</v>
      </c>
      <c r="C633">
        <v>445</v>
      </c>
      <c r="D633">
        <f t="shared" ca="1" si="79"/>
        <v>5</v>
      </c>
      <c r="E633" t="str">
        <f t="shared" si="80"/>
        <v>8-445 arg1</v>
      </c>
      <c r="F633">
        <f t="shared" ca="1" si="81"/>
        <v>4</v>
      </c>
      <c r="G633" t="str">
        <f t="shared" si="82"/>
        <v>8-445 feedback1</v>
      </c>
      <c r="H633">
        <v>1</v>
      </c>
      <c r="I633">
        <f t="shared" ca="1" si="83"/>
        <v>4</v>
      </c>
      <c r="J633" t="str">
        <f t="shared" si="84"/>
        <v>8-445 arg2</v>
      </c>
      <c r="K633" t="str">
        <f t="shared" si="85"/>
        <v>8-445 feedback2</v>
      </c>
      <c r="L633">
        <v>1</v>
      </c>
      <c r="M633" t="s">
        <v>1285</v>
      </c>
      <c r="N633">
        <v>632</v>
      </c>
    </row>
    <row r="634" spans="1:14">
      <c r="A634">
        <v>8</v>
      </c>
      <c r="B634">
        <f t="shared" si="86"/>
        <v>8</v>
      </c>
      <c r="C634">
        <v>446</v>
      </c>
      <c r="D634">
        <f t="shared" ca="1" si="79"/>
        <v>4</v>
      </c>
      <c r="E634" t="str">
        <f t="shared" si="80"/>
        <v>8-446 arg1</v>
      </c>
      <c r="F634">
        <f t="shared" ca="1" si="81"/>
        <v>3</v>
      </c>
      <c r="G634" t="str">
        <f t="shared" si="82"/>
        <v>8-446 feedback1</v>
      </c>
      <c r="H634">
        <v>1</v>
      </c>
      <c r="I634">
        <f t="shared" ca="1" si="83"/>
        <v>4</v>
      </c>
      <c r="J634" t="str">
        <f t="shared" si="84"/>
        <v>8-446 arg2</v>
      </c>
      <c r="K634" t="str">
        <f t="shared" si="85"/>
        <v>8-446 feedback2</v>
      </c>
      <c r="L634">
        <v>1</v>
      </c>
      <c r="M634" t="s">
        <v>1285</v>
      </c>
      <c r="N634">
        <v>633</v>
      </c>
    </row>
    <row r="635" spans="1:14">
      <c r="A635">
        <v>8</v>
      </c>
      <c r="B635">
        <f t="shared" si="86"/>
        <v>8</v>
      </c>
      <c r="C635">
        <v>447</v>
      </c>
      <c r="D635">
        <f t="shared" ca="1" si="79"/>
        <v>4</v>
      </c>
      <c r="E635" t="str">
        <f t="shared" si="80"/>
        <v>8-447 arg1</v>
      </c>
      <c r="F635">
        <f t="shared" ca="1" si="81"/>
        <v>3</v>
      </c>
      <c r="G635" t="str">
        <f t="shared" si="82"/>
        <v>8-447 feedback1</v>
      </c>
      <c r="H635">
        <v>1</v>
      </c>
      <c r="I635">
        <f t="shared" ca="1" si="83"/>
        <v>3</v>
      </c>
      <c r="J635" t="str">
        <f t="shared" si="84"/>
        <v>8-447 arg2</v>
      </c>
      <c r="K635" t="str">
        <f t="shared" si="85"/>
        <v>8-447 feedback2</v>
      </c>
      <c r="L635">
        <v>1</v>
      </c>
      <c r="M635" t="s">
        <v>1285</v>
      </c>
      <c r="N635">
        <v>634</v>
      </c>
    </row>
    <row r="636" spans="1:14">
      <c r="A636">
        <v>8</v>
      </c>
      <c r="B636">
        <f t="shared" si="86"/>
        <v>8</v>
      </c>
      <c r="C636">
        <v>448</v>
      </c>
      <c r="D636">
        <f t="shared" ca="1" si="79"/>
        <v>4</v>
      </c>
      <c r="E636" t="str">
        <f t="shared" si="80"/>
        <v>8-448 arg1</v>
      </c>
      <c r="F636">
        <f t="shared" ca="1" si="81"/>
        <v>4</v>
      </c>
      <c r="G636" t="str">
        <f t="shared" si="82"/>
        <v>8-448 feedback1</v>
      </c>
      <c r="H636">
        <v>1</v>
      </c>
      <c r="I636">
        <f t="shared" ca="1" si="83"/>
        <v>5</v>
      </c>
      <c r="J636" t="str">
        <f t="shared" si="84"/>
        <v>8-448 arg2</v>
      </c>
      <c r="K636" t="str">
        <f t="shared" si="85"/>
        <v>8-448 feedback2</v>
      </c>
      <c r="L636">
        <v>1</v>
      </c>
      <c r="M636" t="s">
        <v>1285</v>
      </c>
      <c r="N636">
        <v>635</v>
      </c>
    </row>
    <row r="637" spans="1:14">
      <c r="A637">
        <v>8</v>
      </c>
      <c r="B637">
        <f t="shared" si="86"/>
        <v>8</v>
      </c>
      <c r="C637">
        <v>449</v>
      </c>
      <c r="D637">
        <f t="shared" ca="1" si="79"/>
        <v>4</v>
      </c>
      <c r="E637" t="str">
        <f t="shared" si="80"/>
        <v>8-449 arg1</v>
      </c>
      <c r="F637">
        <f t="shared" ca="1" si="81"/>
        <v>3</v>
      </c>
      <c r="G637" t="str">
        <f t="shared" si="82"/>
        <v>8-449 feedback1</v>
      </c>
      <c r="H637">
        <v>1</v>
      </c>
      <c r="I637">
        <f t="shared" ca="1" si="83"/>
        <v>3</v>
      </c>
      <c r="J637" t="str">
        <f t="shared" si="84"/>
        <v>8-449 arg2</v>
      </c>
      <c r="K637" t="str">
        <f t="shared" si="85"/>
        <v>8-449 feedback2</v>
      </c>
      <c r="L637">
        <v>1</v>
      </c>
      <c r="M637" t="s">
        <v>1285</v>
      </c>
      <c r="N637">
        <v>636</v>
      </c>
    </row>
    <row r="638" spans="1:14">
      <c r="A638">
        <v>8</v>
      </c>
      <c r="B638">
        <f t="shared" si="86"/>
        <v>8</v>
      </c>
      <c r="C638">
        <v>450</v>
      </c>
      <c r="D638">
        <f t="shared" ca="1" si="79"/>
        <v>4</v>
      </c>
      <c r="E638" t="str">
        <f t="shared" si="80"/>
        <v>8-450 arg1</v>
      </c>
      <c r="F638">
        <f t="shared" ca="1" si="81"/>
        <v>3</v>
      </c>
      <c r="G638" t="str">
        <f t="shared" si="82"/>
        <v>8-450 feedback1</v>
      </c>
      <c r="H638">
        <v>1</v>
      </c>
      <c r="I638">
        <f t="shared" ca="1" si="83"/>
        <v>4</v>
      </c>
      <c r="J638" t="str">
        <f t="shared" si="84"/>
        <v>8-450 arg2</v>
      </c>
      <c r="K638" t="str">
        <f t="shared" si="85"/>
        <v>8-450 feedback2</v>
      </c>
      <c r="L638">
        <v>1</v>
      </c>
      <c r="M638" t="s">
        <v>1285</v>
      </c>
      <c r="N638">
        <v>637</v>
      </c>
    </row>
    <row r="639" spans="1:14">
      <c r="A639">
        <v>8</v>
      </c>
      <c r="B639">
        <f t="shared" si="86"/>
        <v>8</v>
      </c>
      <c r="C639">
        <v>451</v>
      </c>
      <c r="D639">
        <f t="shared" ca="1" si="79"/>
        <v>4</v>
      </c>
      <c r="E639" t="str">
        <f t="shared" si="80"/>
        <v>8-451 arg1</v>
      </c>
      <c r="F639">
        <f t="shared" ca="1" si="81"/>
        <v>3</v>
      </c>
      <c r="G639" t="str">
        <f t="shared" si="82"/>
        <v>8-451 feedback1</v>
      </c>
      <c r="H639">
        <v>1</v>
      </c>
      <c r="I639">
        <f t="shared" ca="1" si="83"/>
        <v>4</v>
      </c>
      <c r="J639" t="str">
        <f t="shared" si="84"/>
        <v>8-451 arg2</v>
      </c>
      <c r="K639" t="str">
        <f t="shared" si="85"/>
        <v>8-451 feedback2</v>
      </c>
      <c r="L639">
        <v>1</v>
      </c>
      <c r="M639" t="s">
        <v>1285</v>
      </c>
      <c r="N639">
        <v>638</v>
      </c>
    </row>
    <row r="640" spans="1:14">
      <c r="A640">
        <v>8</v>
      </c>
      <c r="B640">
        <f t="shared" si="86"/>
        <v>8</v>
      </c>
      <c r="C640">
        <v>452</v>
      </c>
      <c r="D640">
        <f t="shared" ca="1" si="79"/>
        <v>4</v>
      </c>
      <c r="E640" t="str">
        <f t="shared" si="80"/>
        <v>8-452 arg1</v>
      </c>
      <c r="F640">
        <f t="shared" ca="1" si="81"/>
        <v>4</v>
      </c>
      <c r="G640" t="str">
        <f t="shared" si="82"/>
        <v>8-452 feedback1</v>
      </c>
      <c r="H640">
        <v>1</v>
      </c>
      <c r="I640">
        <f t="shared" ca="1" si="83"/>
        <v>4</v>
      </c>
      <c r="J640" t="str">
        <f t="shared" si="84"/>
        <v>8-452 arg2</v>
      </c>
      <c r="K640" t="str">
        <f t="shared" si="85"/>
        <v>8-452 feedback2</v>
      </c>
      <c r="L640">
        <v>1</v>
      </c>
      <c r="M640" t="s">
        <v>1285</v>
      </c>
      <c r="N640">
        <v>639</v>
      </c>
    </row>
    <row r="641" spans="1:14">
      <c r="A641">
        <v>8</v>
      </c>
      <c r="B641">
        <f t="shared" si="86"/>
        <v>8</v>
      </c>
      <c r="C641">
        <v>453</v>
      </c>
      <c r="D641">
        <f t="shared" ca="1" si="79"/>
        <v>4</v>
      </c>
      <c r="E641" t="str">
        <f t="shared" si="80"/>
        <v>8-453 arg1</v>
      </c>
      <c r="F641">
        <f t="shared" ca="1" si="81"/>
        <v>3</v>
      </c>
      <c r="G641" t="str">
        <f t="shared" si="82"/>
        <v>8-453 feedback1</v>
      </c>
      <c r="H641">
        <v>1</v>
      </c>
      <c r="I641">
        <f t="shared" ca="1" si="83"/>
        <v>3</v>
      </c>
      <c r="J641" t="str">
        <f t="shared" si="84"/>
        <v>8-453 arg2</v>
      </c>
      <c r="K641" t="str">
        <f t="shared" si="85"/>
        <v>8-453 feedback2</v>
      </c>
      <c r="L641">
        <v>1</v>
      </c>
      <c r="M641" t="s">
        <v>1285</v>
      </c>
      <c r="N641">
        <v>640</v>
      </c>
    </row>
    <row r="642" spans="1:14">
      <c r="A642">
        <v>8</v>
      </c>
      <c r="B642">
        <f t="shared" si="86"/>
        <v>8</v>
      </c>
      <c r="C642">
        <v>454</v>
      </c>
      <c r="D642">
        <f t="shared" ca="1" si="79"/>
        <v>5</v>
      </c>
      <c r="E642" t="str">
        <f t="shared" si="80"/>
        <v>8-454 arg1</v>
      </c>
      <c r="F642">
        <f t="shared" ca="1" si="81"/>
        <v>4</v>
      </c>
      <c r="G642" t="str">
        <f t="shared" si="82"/>
        <v>8-454 feedback1</v>
      </c>
      <c r="H642">
        <v>1</v>
      </c>
      <c r="I642">
        <f t="shared" ca="1" si="83"/>
        <v>5</v>
      </c>
      <c r="J642" t="str">
        <f t="shared" si="84"/>
        <v>8-454 arg2</v>
      </c>
      <c r="K642" t="str">
        <f t="shared" si="85"/>
        <v>8-454 feedback2</v>
      </c>
      <c r="L642">
        <v>1</v>
      </c>
      <c r="M642" t="s">
        <v>1285</v>
      </c>
      <c r="N642">
        <v>641</v>
      </c>
    </row>
    <row r="643" spans="1:14">
      <c r="A643">
        <v>8</v>
      </c>
      <c r="B643">
        <f t="shared" si="86"/>
        <v>8</v>
      </c>
      <c r="C643">
        <v>455</v>
      </c>
      <c r="D643">
        <f t="shared" ref="D643:D706" ca="1" si="87">ROUND(3+2*RAND(),0)</f>
        <v>4</v>
      </c>
      <c r="E643" t="str">
        <f t="shared" si="80"/>
        <v>8-455 arg1</v>
      </c>
      <c r="F643">
        <f t="shared" ca="1" si="81"/>
        <v>3</v>
      </c>
      <c r="G643" t="str">
        <f t="shared" si="82"/>
        <v>8-455 feedback1</v>
      </c>
      <c r="H643">
        <v>1</v>
      </c>
      <c r="I643">
        <f t="shared" ca="1" si="83"/>
        <v>4</v>
      </c>
      <c r="J643" t="str">
        <f t="shared" si="84"/>
        <v>8-455 arg2</v>
      </c>
      <c r="K643" t="str">
        <f t="shared" si="85"/>
        <v>8-455 feedback2</v>
      </c>
      <c r="L643">
        <v>1</v>
      </c>
      <c r="M643" t="s">
        <v>1285</v>
      </c>
      <c r="N643">
        <v>642</v>
      </c>
    </row>
    <row r="644" spans="1:14">
      <c r="A644">
        <v>8</v>
      </c>
      <c r="B644">
        <f t="shared" si="86"/>
        <v>8</v>
      </c>
      <c r="C644">
        <v>456</v>
      </c>
      <c r="D644">
        <f t="shared" ca="1" si="87"/>
        <v>3</v>
      </c>
      <c r="E644" t="str">
        <f t="shared" si="80"/>
        <v>8-456 arg1</v>
      </c>
      <c r="F644">
        <f t="shared" ca="1" si="81"/>
        <v>1</v>
      </c>
      <c r="G644" t="str">
        <f t="shared" si="82"/>
        <v>8-456 feedback1</v>
      </c>
      <c r="H644">
        <v>1</v>
      </c>
      <c r="I644">
        <f t="shared" ca="1" si="83"/>
        <v>1</v>
      </c>
      <c r="J644" t="str">
        <f t="shared" si="84"/>
        <v>8-456 arg2</v>
      </c>
      <c r="K644" t="str">
        <f t="shared" si="85"/>
        <v>8-456 feedback2</v>
      </c>
      <c r="L644">
        <v>1</v>
      </c>
      <c r="M644" t="s">
        <v>1285</v>
      </c>
      <c r="N644">
        <v>643</v>
      </c>
    </row>
    <row r="645" spans="1:14">
      <c r="A645">
        <v>8</v>
      </c>
      <c r="B645">
        <f t="shared" si="86"/>
        <v>8</v>
      </c>
      <c r="C645">
        <v>457</v>
      </c>
      <c r="D645">
        <f t="shared" ca="1" si="87"/>
        <v>4</v>
      </c>
      <c r="E645" t="str">
        <f t="shared" si="80"/>
        <v>8-457 arg1</v>
      </c>
      <c r="F645">
        <f t="shared" ca="1" si="81"/>
        <v>3</v>
      </c>
      <c r="G645" t="str">
        <f t="shared" si="82"/>
        <v>8-457 feedback1</v>
      </c>
      <c r="H645">
        <v>1</v>
      </c>
      <c r="I645">
        <f t="shared" ca="1" si="83"/>
        <v>4</v>
      </c>
      <c r="J645" t="str">
        <f t="shared" si="84"/>
        <v>8-457 arg2</v>
      </c>
      <c r="K645" t="str">
        <f t="shared" si="85"/>
        <v>8-457 feedback2</v>
      </c>
      <c r="L645">
        <v>1</v>
      </c>
      <c r="M645" t="s">
        <v>1285</v>
      </c>
      <c r="N645">
        <v>644</v>
      </c>
    </row>
    <row r="646" spans="1:14">
      <c r="A646">
        <v>8</v>
      </c>
      <c r="B646">
        <f t="shared" si="86"/>
        <v>8</v>
      </c>
      <c r="C646">
        <v>458</v>
      </c>
      <c r="D646">
        <f t="shared" ca="1" si="87"/>
        <v>5</v>
      </c>
      <c r="E646" t="str">
        <f t="shared" si="80"/>
        <v>8-458 arg1</v>
      </c>
      <c r="F646">
        <f t="shared" ca="1" si="81"/>
        <v>4</v>
      </c>
      <c r="G646" t="str">
        <f t="shared" si="82"/>
        <v>8-458 feedback1</v>
      </c>
      <c r="H646">
        <v>1</v>
      </c>
      <c r="I646">
        <f t="shared" ca="1" si="83"/>
        <v>5</v>
      </c>
      <c r="J646" t="str">
        <f t="shared" si="84"/>
        <v>8-458 arg2</v>
      </c>
      <c r="K646" t="str">
        <f t="shared" si="85"/>
        <v>8-458 feedback2</v>
      </c>
      <c r="L646">
        <v>1</v>
      </c>
      <c r="M646" t="s">
        <v>1285</v>
      </c>
      <c r="N646">
        <v>645</v>
      </c>
    </row>
    <row r="647" spans="1:14">
      <c r="A647">
        <v>8</v>
      </c>
      <c r="B647">
        <f t="shared" si="86"/>
        <v>8</v>
      </c>
      <c r="C647">
        <v>459</v>
      </c>
      <c r="D647">
        <f t="shared" ca="1" si="87"/>
        <v>3</v>
      </c>
      <c r="E647" t="str">
        <f t="shared" si="80"/>
        <v>8-459 arg1</v>
      </c>
      <c r="F647">
        <f t="shared" ca="1" si="81"/>
        <v>2</v>
      </c>
      <c r="G647" t="str">
        <f t="shared" si="82"/>
        <v>8-459 feedback1</v>
      </c>
      <c r="H647">
        <v>1</v>
      </c>
      <c r="I647">
        <f t="shared" ca="1" si="83"/>
        <v>2</v>
      </c>
      <c r="J647" t="str">
        <f t="shared" si="84"/>
        <v>8-459 arg2</v>
      </c>
      <c r="K647" t="str">
        <f t="shared" si="85"/>
        <v>8-459 feedback2</v>
      </c>
      <c r="L647">
        <v>1</v>
      </c>
      <c r="M647" t="s">
        <v>1285</v>
      </c>
      <c r="N647">
        <v>646</v>
      </c>
    </row>
    <row r="648" spans="1:14">
      <c r="A648">
        <v>8</v>
      </c>
      <c r="B648">
        <f t="shared" si="86"/>
        <v>8</v>
      </c>
      <c r="C648">
        <v>460</v>
      </c>
      <c r="D648">
        <f t="shared" ca="1" si="87"/>
        <v>4</v>
      </c>
      <c r="E648" t="str">
        <f t="shared" si="80"/>
        <v>8-460 arg1</v>
      </c>
      <c r="F648">
        <f t="shared" ca="1" si="81"/>
        <v>3</v>
      </c>
      <c r="G648" t="str">
        <f t="shared" si="82"/>
        <v>8-460 feedback1</v>
      </c>
      <c r="H648">
        <v>1</v>
      </c>
      <c r="I648">
        <f t="shared" ca="1" si="83"/>
        <v>3</v>
      </c>
      <c r="J648" t="str">
        <f t="shared" si="84"/>
        <v>8-460 arg2</v>
      </c>
      <c r="K648" t="str">
        <f t="shared" si="85"/>
        <v>8-460 feedback2</v>
      </c>
      <c r="L648">
        <v>1</v>
      </c>
      <c r="M648" t="s">
        <v>1285</v>
      </c>
      <c r="N648">
        <v>647</v>
      </c>
    </row>
    <row r="649" spans="1:14">
      <c r="A649">
        <v>8</v>
      </c>
      <c r="B649">
        <f t="shared" si="86"/>
        <v>8</v>
      </c>
      <c r="C649">
        <v>461</v>
      </c>
      <c r="D649">
        <f t="shared" ca="1" si="87"/>
        <v>3</v>
      </c>
      <c r="E649" t="str">
        <f t="shared" si="80"/>
        <v>8-461 arg1</v>
      </c>
      <c r="F649">
        <f t="shared" ca="1" si="81"/>
        <v>2</v>
      </c>
      <c r="G649" t="str">
        <f t="shared" si="82"/>
        <v>8-461 feedback1</v>
      </c>
      <c r="H649">
        <v>1</v>
      </c>
      <c r="I649">
        <f t="shared" ca="1" si="83"/>
        <v>2</v>
      </c>
      <c r="J649" t="str">
        <f t="shared" si="84"/>
        <v>8-461 arg2</v>
      </c>
      <c r="K649" t="str">
        <f t="shared" si="85"/>
        <v>8-461 feedback2</v>
      </c>
      <c r="L649">
        <v>1</v>
      </c>
      <c r="M649" t="s">
        <v>1285</v>
      </c>
      <c r="N649">
        <v>648</v>
      </c>
    </row>
    <row r="650" spans="1:14">
      <c r="A650">
        <v>8</v>
      </c>
      <c r="B650">
        <f t="shared" si="86"/>
        <v>8</v>
      </c>
      <c r="C650">
        <v>462</v>
      </c>
      <c r="D650">
        <f t="shared" ca="1" si="87"/>
        <v>4</v>
      </c>
      <c r="E650" t="str">
        <f t="shared" si="80"/>
        <v>8-462 arg1</v>
      </c>
      <c r="F650">
        <f t="shared" ca="1" si="81"/>
        <v>3</v>
      </c>
      <c r="G650" t="str">
        <f t="shared" si="82"/>
        <v>8-462 feedback1</v>
      </c>
      <c r="H650">
        <v>1</v>
      </c>
      <c r="I650">
        <f t="shared" ca="1" si="83"/>
        <v>3</v>
      </c>
      <c r="J650" t="str">
        <f t="shared" si="84"/>
        <v>8-462 arg2</v>
      </c>
      <c r="K650" t="str">
        <f t="shared" si="85"/>
        <v>8-462 feedback2</v>
      </c>
      <c r="L650">
        <v>1</v>
      </c>
      <c r="M650" t="s">
        <v>1285</v>
      </c>
      <c r="N650">
        <v>649</v>
      </c>
    </row>
    <row r="651" spans="1:14">
      <c r="A651">
        <v>8</v>
      </c>
      <c r="B651">
        <f t="shared" si="86"/>
        <v>8</v>
      </c>
      <c r="C651">
        <v>463</v>
      </c>
      <c r="D651">
        <f t="shared" ca="1" si="87"/>
        <v>4</v>
      </c>
      <c r="E651" t="str">
        <f t="shared" si="80"/>
        <v>8-463 arg1</v>
      </c>
      <c r="F651">
        <f t="shared" ca="1" si="81"/>
        <v>3</v>
      </c>
      <c r="G651" t="str">
        <f t="shared" si="82"/>
        <v>8-463 feedback1</v>
      </c>
      <c r="H651">
        <v>1</v>
      </c>
      <c r="I651">
        <f t="shared" ca="1" si="83"/>
        <v>3</v>
      </c>
      <c r="J651" t="str">
        <f t="shared" si="84"/>
        <v>8-463 arg2</v>
      </c>
      <c r="K651" t="str">
        <f t="shared" si="85"/>
        <v>8-463 feedback2</v>
      </c>
      <c r="L651">
        <v>1</v>
      </c>
      <c r="M651" t="s">
        <v>1285</v>
      </c>
      <c r="N651">
        <v>650</v>
      </c>
    </row>
    <row r="652" spans="1:14">
      <c r="A652">
        <v>8</v>
      </c>
      <c r="B652">
        <f t="shared" si="86"/>
        <v>8</v>
      </c>
      <c r="C652">
        <v>464</v>
      </c>
      <c r="D652">
        <f t="shared" ca="1" si="87"/>
        <v>4</v>
      </c>
      <c r="E652" t="str">
        <f t="shared" si="80"/>
        <v>8-464 arg1</v>
      </c>
      <c r="F652">
        <f t="shared" ca="1" si="81"/>
        <v>3</v>
      </c>
      <c r="G652" t="str">
        <f t="shared" si="82"/>
        <v>8-464 feedback1</v>
      </c>
      <c r="H652">
        <v>1</v>
      </c>
      <c r="I652">
        <f t="shared" ca="1" si="83"/>
        <v>4</v>
      </c>
      <c r="J652" t="str">
        <f t="shared" si="84"/>
        <v>8-464 arg2</v>
      </c>
      <c r="K652" t="str">
        <f t="shared" si="85"/>
        <v>8-464 feedback2</v>
      </c>
      <c r="L652">
        <v>1</v>
      </c>
      <c r="M652" t="s">
        <v>1285</v>
      </c>
      <c r="N652">
        <v>651</v>
      </c>
    </row>
    <row r="653" spans="1:14">
      <c r="A653">
        <v>8</v>
      </c>
      <c r="B653">
        <f t="shared" si="86"/>
        <v>8</v>
      </c>
      <c r="C653">
        <v>465</v>
      </c>
      <c r="D653">
        <f t="shared" ca="1" si="87"/>
        <v>3</v>
      </c>
      <c r="E653" t="str">
        <f t="shared" si="80"/>
        <v>8-465 arg1</v>
      </c>
      <c r="F653">
        <f t="shared" ca="1" si="81"/>
        <v>2</v>
      </c>
      <c r="G653" t="str">
        <f t="shared" si="82"/>
        <v>8-465 feedback1</v>
      </c>
      <c r="H653">
        <v>1</v>
      </c>
      <c r="I653">
        <f t="shared" ca="1" si="83"/>
        <v>2</v>
      </c>
      <c r="J653" t="str">
        <f t="shared" si="84"/>
        <v>8-465 arg2</v>
      </c>
      <c r="K653" t="str">
        <f t="shared" si="85"/>
        <v>8-465 feedback2</v>
      </c>
      <c r="L653">
        <v>1</v>
      </c>
      <c r="M653" t="s">
        <v>1285</v>
      </c>
      <c r="N653">
        <v>652</v>
      </c>
    </row>
    <row r="654" spans="1:14">
      <c r="A654">
        <v>8</v>
      </c>
      <c r="B654">
        <f t="shared" si="86"/>
        <v>8</v>
      </c>
      <c r="C654">
        <v>466</v>
      </c>
      <c r="D654">
        <f t="shared" ca="1" si="87"/>
        <v>3</v>
      </c>
      <c r="E654" t="str">
        <f t="shared" si="80"/>
        <v>8-466 arg1</v>
      </c>
      <c r="F654">
        <f t="shared" ca="1" si="81"/>
        <v>2</v>
      </c>
      <c r="G654" t="str">
        <f t="shared" si="82"/>
        <v>8-466 feedback1</v>
      </c>
      <c r="H654">
        <v>1</v>
      </c>
      <c r="I654">
        <f t="shared" ca="1" si="83"/>
        <v>2</v>
      </c>
      <c r="J654" t="str">
        <f t="shared" si="84"/>
        <v>8-466 arg2</v>
      </c>
      <c r="K654" t="str">
        <f t="shared" si="85"/>
        <v>8-466 feedback2</v>
      </c>
      <c r="L654">
        <v>1</v>
      </c>
      <c r="M654" t="s">
        <v>1285</v>
      </c>
      <c r="N654">
        <v>653</v>
      </c>
    </row>
    <row r="655" spans="1:14">
      <c r="A655">
        <v>8</v>
      </c>
      <c r="B655">
        <f t="shared" si="86"/>
        <v>8</v>
      </c>
      <c r="C655">
        <v>467</v>
      </c>
      <c r="D655">
        <f t="shared" ca="1" si="87"/>
        <v>4</v>
      </c>
      <c r="E655" t="str">
        <f t="shared" si="80"/>
        <v>8-467 arg1</v>
      </c>
      <c r="F655">
        <f t="shared" ca="1" si="81"/>
        <v>4</v>
      </c>
      <c r="G655" t="str">
        <f t="shared" si="82"/>
        <v>8-467 feedback1</v>
      </c>
      <c r="H655">
        <v>1</v>
      </c>
      <c r="I655">
        <f t="shared" ca="1" si="83"/>
        <v>5</v>
      </c>
      <c r="J655" t="str">
        <f t="shared" si="84"/>
        <v>8-467 arg2</v>
      </c>
      <c r="K655" t="str">
        <f t="shared" si="85"/>
        <v>8-467 feedback2</v>
      </c>
      <c r="L655">
        <v>1</v>
      </c>
      <c r="M655" t="s">
        <v>1285</v>
      </c>
      <c r="N655">
        <v>654</v>
      </c>
    </row>
    <row r="656" spans="1:14">
      <c r="A656">
        <v>8</v>
      </c>
      <c r="B656">
        <f t="shared" si="86"/>
        <v>8</v>
      </c>
      <c r="C656">
        <v>468</v>
      </c>
      <c r="D656">
        <f t="shared" ca="1" si="87"/>
        <v>4</v>
      </c>
      <c r="E656" t="str">
        <f t="shared" si="80"/>
        <v>8-468 arg1</v>
      </c>
      <c r="F656">
        <f t="shared" ca="1" si="81"/>
        <v>4</v>
      </c>
      <c r="G656" t="str">
        <f t="shared" si="82"/>
        <v>8-468 feedback1</v>
      </c>
      <c r="H656">
        <v>1</v>
      </c>
      <c r="I656">
        <f t="shared" ca="1" si="83"/>
        <v>4</v>
      </c>
      <c r="J656" t="str">
        <f t="shared" si="84"/>
        <v>8-468 arg2</v>
      </c>
      <c r="K656" t="str">
        <f t="shared" si="85"/>
        <v>8-468 feedback2</v>
      </c>
      <c r="L656">
        <v>1</v>
      </c>
      <c r="M656" t="s">
        <v>1285</v>
      </c>
      <c r="N656">
        <v>655</v>
      </c>
    </row>
    <row r="657" spans="1:14">
      <c r="A657">
        <v>8</v>
      </c>
      <c r="B657">
        <f t="shared" si="86"/>
        <v>8</v>
      </c>
      <c r="C657">
        <v>469</v>
      </c>
      <c r="D657">
        <f t="shared" ca="1" si="87"/>
        <v>5</v>
      </c>
      <c r="E657" t="str">
        <f t="shared" si="80"/>
        <v>8-469 arg1</v>
      </c>
      <c r="F657">
        <f t="shared" ca="1" si="81"/>
        <v>3</v>
      </c>
      <c r="G657" t="str">
        <f t="shared" si="82"/>
        <v>8-469 feedback1</v>
      </c>
      <c r="H657">
        <v>1</v>
      </c>
      <c r="I657">
        <f t="shared" ca="1" si="83"/>
        <v>3</v>
      </c>
      <c r="J657" t="str">
        <f t="shared" si="84"/>
        <v>8-469 arg2</v>
      </c>
      <c r="K657" t="str">
        <f t="shared" si="85"/>
        <v>8-469 feedback2</v>
      </c>
      <c r="L657">
        <v>1</v>
      </c>
      <c r="M657" t="s">
        <v>1285</v>
      </c>
      <c r="N657">
        <v>656</v>
      </c>
    </row>
    <row r="658" spans="1:14">
      <c r="A658">
        <v>8</v>
      </c>
      <c r="B658">
        <f t="shared" si="86"/>
        <v>8</v>
      </c>
      <c r="C658">
        <v>470</v>
      </c>
      <c r="D658">
        <f t="shared" ca="1" si="87"/>
        <v>3</v>
      </c>
      <c r="E658" t="str">
        <f t="shared" si="80"/>
        <v>8-470 arg1</v>
      </c>
      <c r="F658">
        <f t="shared" ca="1" si="81"/>
        <v>2</v>
      </c>
      <c r="G658" t="str">
        <f t="shared" si="82"/>
        <v>8-470 feedback1</v>
      </c>
      <c r="H658">
        <v>1</v>
      </c>
      <c r="I658">
        <f t="shared" ca="1" si="83"/>
        <v>3</v>
      </c>
      <c r="J658" t="str">
        <f t="shared" si="84"/>
        <v>8-470 arg2</v>
      </c>
      <c r="K658" t="str">
        <f t="shared" si="85"/>
        <v>8-470 feedback2</v>
      </c>
      <c r="L658">
        <v>1</v>
      </c>
      <c r="M658" t="s">
        <v>1285</v>
      </c>
      <c r="N658">
        <v>657</v>
      </c>
    </row>
    <row r="659" spans="1:14">
      <c r="A659">
        <v>8</v>
      </c>
      <c r="B659">
        <f t="shared" si="86"/>
        <v>8</v>
      </c>
      <c r="C659">
        <v>471</v>
      </c>
      <c r="D659">
        <f t="shared" ca="1" si="87"/>
        <v>4</v>
      </c>
      <c r="E659" t="str">
        <f t="shared" si="80"/>
        <v>8-471 arg1</v>
      </c>
      <c r="F659">
        <f t="shared" ca="1" si="81"/>
        <v>3</v>
      </c>
      <c r="G659" t="str">
        <f t="shared" si="82"/>
        <v>8-471 feedback1</v>
      </c>
      <c r="H659">
        <v>1</v>
      </c>
      <c r="I659">
        <f t="shared" ca="1" si="83"/>
        <v>4</v>
      </c>
      <c r="J659" t="str">
        <f t="shared" si="84"/>
        <v>8-471 arg2</v>
      </c>
      <c r="K659" t="str">
        <f t="shared" si="85"/>
        <v>8-471 feedback2</v>
      </c>
      <c r="L659">
        <v>1</v>
      </c>
      <c r="M659" t="s">
        <v>1285</v>
      </c>
      <c r="N659">
        <v>658</v>
      </c>
    </row>
    <row r="660" spans="1:14">
      <c r="A660">
        <v>8</v>
      </c>
      <c r="B660">
        <f t="shared" si="86"/>
        <v>8</v>
      </c>
      <c r="C660">
        <v>472</v>
      </c>
      <c r="D660">
        <f t="shared" ca="1" si="87"/>
        <v>4</v>
      </c>
      <c r="E660" t="str">
        <f t="shared" si="80"/>
        <v>8-472 arg1</v>
      </c>
      <c r="F660">
        <f t="shared" ca="1" si="81"/>
        <v>3</v>
      </c>
      <c r="G660" t="str">
        <f t="shared" si="82"/>
        <v>8-472 feedback1</v>
      </c>
      <c r="H660">
        <v>1</v>
      </c>
      <c r="I660">
        <f t="shared" ca="1" si="83"/>
        <v>4</v>
      </c>
      <c r="J660" t="str">
        <f t="shared" si="84"/>
        <v>8-472 arg2</v>
      </c>
      <c r="K660" t="str">
        <f t="shared" si="85"/>
        <v>8-472 feedback2</v>
      </c>
      <c r="L660">
        <v>1</v>
      </c>
      <c r="M660" t="s">
        <v>1285</v>
      </c>
      <c r="N660">
        <v>659</v>
      </c>
    </row>
    <row r="661" spans="1:14">
      <c r="A661">
        <v>8</v>
      </c>
      <c r="B661">
        <f t="shared" si="86"/>
        <v>8</v>
      </c>
      <c r="C661">
        <v>473</v>
      </c>
      <c r="D661">
        <f t="shared" ca="1" si="87"/>
        <v>4</v>
      </c>
      <c r="E661" t="str">
        <f t="shared" ref="E661:E724" si="88">_xlfn.CONCAT(B661,"-",C661," arg1")</f>
        <v>8-473 arg1</v>
      </c>
      <c r="F661">
        <f t="shared" ref="F661:F724" ca="1" si="89">D661-ROUND(2*RAND(),0)</f>
        <v>3</v>
      </c>
      <c r="G661" t="str">
        <f t="shared" ref="G661:G724" si="90">_xlfn.CONCAT(B661,"-",C661," feedback1")</f>
        <v>8-473 feedback1</v>
      </c>
      <c r="H661">
        <v>1</v>
      </c>
      <c r="I661">
        <f t="shared" ref="I661:I724" ca="1" si="91">MIN(5,F661+ROUND(RAND(),0))</f>
        <v>3</v>
      </c>
      <c r="J661" t="str">
        <f t="shared" ref="J661:J724" si="92">_xlfn.CONCAT(B661,"-",C661," arg2")</f>
        <v>8-473 arg2</v>
      </c>
      <c r="K661" t="str">
        <f t="shared" ref="K661:K724" si="93">_xlfn.CONCAT(B661,"-",C661," feedback2")</f>
        <v>8-473 feedback2</v>
      </c>
      <c r="L661">
        <v>1</v>
      </c>
      <c r="M661" t="s">
        <v>1285</v>
      </c>
      <c r="N661">
        <v>660</v>
      </c>
    </row>
    <row r="662" spans="1:14">
      <c r="A662">
        <v>8</v>
      </c>
      <c r="B662">
        <f t="shared" si="86"/>
        <v>8</v>
      </c>
      <c r="C662">
        <v>474</v>
      </c>
      <c r="D662">
        <f t="shared" ca="1" si="87"/>
        <v>4</v>
      </c>
      <c r="E662" t="str">
        <f t="shared" si="88"/>
        <v>8-474 arg1</v>
      </c>
      <c r="F662">
        <f t="shared" ca="1" si="89"/>
        <v>3</v>
      </c>
      <c r="G662" t="str">
        <f t="shared" si="90"/>
        <v>8-474 feedback1</v>
      </c>
      <c r="H662">
        <v>1</v>
      </c>
      <c r="I662">
        <f t="shared" ca="1" si="91"/>
        <v>3</v>
      </c>
      <c r="J662" t="str">
        <f t="shared" si="92"/>
        <v>8-474 arg2</v>
      </c>
      <c r="K662" t="str">
        <f t="shared" si="93"/>
        <v>8-474 feedback2</v>
      </c>
      <c r="L662">
        <v>1</v>
      </c>
      <c r="M662" t="s">
        <v>1285</v>
      </c>
      <c r="N662">
        <v>661</v>
      </c>
    </row>
    <row r="663" spans="1:14">
      <c r="A663">
        <v>8</v>
      </c>
      <c r="B663">
        <f t="shared" si="86"/>
        <v>8</v>
      </c>
      <c r="C663">
        <v>475</v>
      </c>
      <c r="D663">
        <f t="shared" ca="1" si="87"/>
        <v>4</v>
      </c>
      <c r="E663" t="str">
        <f t="shared" si="88"/>
        <v>8-475 arg1</v>
      </c>
      <c r="F663">
        <f t="shared" ca="1" si="89"/>
        <v>4</v>
      </c>
      <c r="G663" t="str">
        <f t="shared" si="90"/>
        <v>8-475 feedback1</v>
      </c>
      <c r="H663">
        <v>1</v>
      </c>
      <c r="I663">
        <f t="shared" ca="1" si="91"/>
        <v>5</v>
      </c>
      <c r="J663" t="str">
        <f t="shared" si="92"/>
        <v>8-475 arg2</v>
      </c>
      <c r="K663" t="str">
        <f t="shared" si="93"/>
        <v>8-475 feedback2</v>
      </c>
      <c r="L663">
        <v>1</v>
      </c>
      <c r="M663" t="s">
        <v>1285</v>
      </c>
      <c r="N663">
        <v>662</v>
      </c>
    </row>
    <row r="664" spans="1:14">
      <c r="A664">
        <v>8</v>
      </c>
      <c r="B664">
        <f t="shared" si="86"/>
        <v>8</v>
      </c>
      <c r="C664">
        <v>476</v>
      </c>
      <c r="D664">
        <f t="shared" ca="1" si="87"/>
        <v>4</v>
      </c>
      <c r="E664" t="str">
        <f t="shared" si="88"/>
        <v>8-476 arg1</v>
      </c>
      <c r="F664">
        <f t="shared" ca="1" si="89"/>
        <v>4</v>
      </c>
      <c r="G664" t="str">
        <f t="shared" si="90"/>
        <v>8-476 feedback1</v>
      </c>
      <c r="H664">
        <v>1</v>
      </c>
      <c r="I664">
        <f t="shared" ca="1" si="91"/>
        <v>5</v>
      </c>
      <c r="J664" t="str">
        <f t="shared" si="92"/>
        <v>8-476 arg2</v>
      </c>
      <c r="K664" t="str">
        <f t="shared" si="93"/>
        <v>8-476 feedback2</v>
      </c>
      <c r="L664">
        <v>1</v>
      </c>
      <c r="M664" t="s">
        <v>1285</v>
      </c>
      <c r="N664">
        <v>663</v>
      </c>
    </row>
    <row r="665" spans="1:14">
      <c r="A665">
        <v>8</v>
      </c>
      <c r="B665">
        <f t="shared" si="86"/>
        <v>8</v>
      </c>
      <c r="C665">
        <v>477</v>
      </c>
      <c r="D665">
        <f t="shared" ca="1" si="87"/>
        <v>5</v>
      </c>
      <c r="E665" t="str">
        <f t="shared" si="88"/>
        <v>8-477 arg1</v>
      </c>
      <c r="F665">
        <f t="shared" ca="1" si="89"/>
        <v>5</v>
      </c>
      <c r="G665" t="str">
        <f t="shared" si="90"/>
        <v>8-477 feedback1</v>
      </c>
      <c r="H665">
        <v>1</v>
      </c>
      <c r="I665">
        <f t="shared" ca="1" si="91"/>
        <v>5</v>
      </c>
      <c r="J665" t="str">
        <f t="shared" si="92"/>
        <v>8-477 arg2</v>
      </c>
      <c r="K665" t="str">
        <f t="shared" si="93"/>
        <v>8-477 feedback2</v>
      </c>
      <c r="L665">
        <v>1</v>
      </c>
      <c r="M665" t="s">
        <v>1285</v>
      </c>
      <c r="N665">
        <v>664</v>
      </c>
    </row>
    <row r="666" spans="1:14">
      <c r="A666">
        <v>8</v>
      </c>
      <c r="B666">
        <f t="shared" si="86"/>
        <v>8</v>
      </c>
      <c r="C666">
        <v>478</v>
      </c>
      <c r="D666">
        <f t="shared" ca="1" si="87"/>
        <v>4</v>
      </c>
      <c r="E666" t="str">
        <f t="shared" si="88"/>
        <v>8-478 arg1</v>
      </c>
      <c r="F666">
        <f t="shared" ca="1" si="89"/>
        <v>2</v>
      </c>
      <c r="G666" t="str">
        <f t="shared" si="90"/>
        <v>8-478 feedback1</v>
      </c>
      <c r="H666">
        <v>1</v>
      </c>
      <c r="I666">
        <f t="shared" ca="1" si="91"/>
        <v>3</v>
      </c>
      <c r="J666" t="str">
        <f t="shared" si="92"/>
        <v>8-478 arg2</v>
      </c>
      <c r="K666" t="str">
        <f t="shared" si="93"/>
        <v>8-478 feedback2</v>
      </c>
      <c r="L666">
        <v>1</v>
      </c>
      <c r="M666" t="s">
        <v>1285</v>
      </c>
      <c r="N666">
        <v>665</v>
      </c>
    </row>
    <row r="667" spans="1:14">
      <c r="A667">
        <v>8</v>
      </c>
      <c r="B667">
        <f t="shared" si="86"/>
        <v>8</v>
      </c>
      <c r="C667">
        <v>479</v>
      </c>
      <c r="D667">
        <f t="shared" ca="1" si="87"/>
        <v>4</v>
      </c>
      <c r="E667" t="str">
        <f t="shared" si="88"/>
        <v>8-479 arg1</v>
      </c>
      <c r="F667">
        <f t="shared" ca="1" si="89"/>
        <v>4</v>
      </c>
      <c r="G667" t="str">
        <f t="shared" si="90"/>
        <v>8-479 feedback1</v>
      </c>
      <c r="H667">
        <v>1</v>
      </c>
      <c r="I667">
        <f t="shared" ca="1" si="91"/>
        <v>5</v>
      </c>
      <c r="J667" t="str">
        <f t="shared" si="92"/>
        <v>8-479 arg2</v>
      </c>
      <c r="K667" t="str">
        <f t="shared" si="93"/>
        <v>8-479 feedback2</v>
      </c>
      <c r="L667">
        <v>1</v>
      </c>
      <c r="M667" t="s">
        <v>1285</v>
      </c>
      <c r="N667">
        <v>666</v>
      </c>
    </row>
    <row r="668" spans="1:14">
      <c r="A668">
        <v>8</v>
      </c>
      <c r="B668">
        <f t="shared" si="86"/>
        <v>8</v>
      </c>
      <c r="C668">
        <v>480</v>
      </c>
      <c r="D668">
        <f t="shared" ca="1" si="87"/>
        <v>4</v>
      </c>
      <c r="E668" t="str">
        <f t="shared" si="88"/>
        <v>8-480 arg1</v>
      </c>
      <c r="F668">
        <f t="shared" ca="1" si="89"/>
        <v>4</v>
      </c>
      <c r="G668" t="str">
        <f t="shared" si="90"/>
        <v>8-480 feedback1</v>
      </c>
      <c r="H668">
        <v>1</v>
      </c>
      <c r="I668">
        <f t="shared" ca="1" si="91"/>
        <v>4</v>
      </c>
      <c r="J668" t="str">
        <f t="shared" si="92"/>
        <v>8-480 arg2</v>
      </c>
      <c r="K668" t="str">
        <f t="shared" si="93"/>
        <v>8-480 feedback2</v>
      </c>
      <c r="L668">
        <v>1</v>
      </c>
      <c r="M668" t="s">
        <v>1285</v>
      </c>
      <c r="N668">
        <v>667</v>
      </c>
    </row>
    <row r="669" spans="1:14">
      <c r="A669">
        <v>8</v>
      </c>
      <c r="B669">
        <f t="shared" si="86"/>
        <v>8</v>
      </c>
      <c r="C669">
        <v>481</v>
      </c>
      <c r="D669">
        <f t="shared" ca="1" si="87"/>
        <v>5</v>
      </c>
      <c r="E669" t="str">
        <f t="shared" si="88"/>
        <v>8-481 arg1</v>
      </c>
      <c r="F669">
        <f t="shared" ca="1" si="89"/>
        <v>3</v>
      </c>
      <c r="G669" t="str">
        <f t="shared" si="90"/>
        <v>8-481 feedback1</v>
      </c>
      <c r="H669">
        <v>1</v>
      </c>
      <c r="I669">
        <f t="shared" ca="1" si="91"/>
        <v>4</v>
      </c>
      <c r="J669" t="str">
        <f t="shared" si="92"/>
        <v>8-481 arg2</v>
      </c>
      <c r="K669" t="str">
        <f t="shared" si="93"/>
        <v>8-481 feedback2</v>
      </c>
      <c r="L669">
        <v>1</v>
      </c>
      <c r="M669" t="s">
        <v>1285</v>
      </c>
      <c r="N669">
        <v>668</v>
      </c>
    </row>
    <row r="670" spans="1:14">
      <c r="A670">
        <v>8</v>
      </c>
      <c r="B670">
        <f t="shared" si="86"/>
        <v>8</v>
      </c>
      <c r="C670">
        <v>482</v>
      </c>
      <c r="D670">
        <f t="shared" ca="1" si="87"/>
        <v>4</v>
      </c>
      <c r="E670" t="str">
        <f t="shared" si="88"/>
        <v>8-482 arg1</v>
      </c>
      <c r="F670">
        <f t="shared" ca="1" si="89"/>
        <v>3</v>
      </c>
      <c r="G670" t="str">
        <f t="shared" si="90"/>
        <v>8-482 feedback1</v>
      </c>
      <c r="H670">
        <v>1</v>
      </c>
      <c r="I670">
        <f t="shared" ca="1" si="91"/>
        <v>4</v>
      </c>
      <c r="J670" t="str">
        <f t="shared" si="92"/>
        <v>8-482 arg2</v>
      </c>
      <c r="K670" t="str">
        <f t="shared" si="93"/>
        <v>8-482 feedback2</v>
      </c>
      <c r="L670">
        <v>1</v>
      </c>
      <c r="M670" t="s">
        <v>1285</v>
      </c>
      <c r="N670">
        <v>669</v>
      </c>
    </row>
    <row r="671" spans="1:14">
      <c r="A671">
        <v>8</v>
      </c>
      <c r="B671">
        <f t="shared" si="86"/>
        <v>8</v>
      </c>
      <c r="C671">
        <v>483</v>
      </c>
      <c r="D671">
        <f t="shared" ca="1" si="87"/>
        <v>5</v>
      </c>
      <c r="E671" t="str">
        <f t="shared" si="88"/>
        <v>8-483 arg1</v>
      </c>
      <c r="F671">
        <f t="shared" ca="1" si="89"/>
        <v>5</v>
      </c>
      <c r="G671" t="str">
        <f t="shared" si="90"/>
        <v>8-483 feedback1</v>
      </c>
      <c r="H671">
        <v>1</v>
      </c>
      <c r="I671">
        <f t="shared" ca="1" si="91"/>
        <v>5</v>
      </c>
      <c r="J671" t="str">
        <f t="shared" si="92"/>
        <v>8-483 arg2</v>
      </c>
      <c r="K671" t="str">
        <f t="shared" si="93"/>
        <v>8-483 feedback2</v>
      </c>
      <c r="L671">
        <v>1</v>
      </c>
      <c r="M671" t="s">
        <v>1285</v>
      </c>
      <c r="N671">
        <v>670</v>
      </c>
    </row>
    <row r="672" spans="1:14">
      <c r="A672">
        <v>8</v>
      </c>
      <c r="B672">
        <f t="shared" si="86"/>
        <v>8</v>
      </c>
      <c r="C672">
        <v>484</v>
      </c>
      <c r="D672">
        <f t="shared" ca="1" si="87"/>
        <v>5</v>
      </c>
      <c r="E672" t="str">
        <f t="shared" si="88"/>
        <v>8-484 arg1</v>
      </c>
      <c r="F672">
        <f t="shared" ca="1" si="89"/>
        <v>4</v>
      </c>
      <c r="G672" t="str">
        <f t="shared" si="90"/>
        <v>8-484 feedback1</v>
      </c>
      <c r="H672">
        <v>1</v>
      </c>
      <c r="I672">
        <f t="shared" ca="1" si="91"/>
        <v>5</v>
      </c>
      <c r="J672" t="str">
        <f t="shared" si="92"/>
        <v>8-484 arg2</v>
      </c>
      <c r="K672" t="str">
        <f t="shared" si="93"/>
        <v>8-484 feedback2</v>
      </c>
      <c r="L672">
        <v>1</v>
      </c>
      <c r="M672" t="s">
        <v>1285</v>
      </c>
      <c r="N672">
        <v>671</v>
      </c>
    </row>
    <row r="673" spans="1:14">
      <c r="A673">
        <v>8</v>
      </c>
      <c r="B673">
        <f t="shared" si="86"/>
        <v>8</v>
      </c>
      <c r="C673">
        <v>485</v>
      </c>
      <c r="D673">
        <f t="shared" ca="1" si="87"/>
        <v>5</v>
      </c>
      <c r="E673" t="str">
        <f t="shared" si="88"/>
        <v>8-485 arg1</v>
      </c>
      <c r="F673">
        <f t="shared" ca="1" si="89"/>
        <v>4</v>
      </c>
      <c r="G673" t="str">
        <f t="shared" si="90"/>
        <v>8-485 feedback1</v>
      </c>
      <c r="H673">
        <v>1</v>
      </c>
      <c r="I673">
        <f t="shared" ca="1" si="91"/>
        <v>5</v>
      </c>
      <c r="J673" t="str">
        <f t="shared" si="92"/>
        <v>8-485 arg2</v>
      </c>
      <c r="K673" t="str">
        <f t="shared" si="93"/>
        <v>8-485 feedback2</v>
      </c>
      <c r="L673">
        <v>1</v>
      </c>
      <c r="M673" t="s">
        <v>1285</v>
      </c>
      <c r="N673">
        <v>672</v>
      </c>
    </row>
    <row r="674" spans="1:14">
      <c r="A674">
        <v>8</v>
      </c>
      <c r="B674">
        <f t="shared" si="86"/>
        <v>8</v>
      </c>
      <c r="C674">
        <v>486</v>
      </c>
      <c r="D674">
        <f t="shared" ca="1" si="87"/>
        <v>4</v>
      </c>
      <c r="E674" t="str">
        <f t="shared" si="88"/>
        <v>8-486 arg1</v>
      </c>
      <c r="F674">
        <f t="shared" ca="1" si="89"/>
        <v>4</v>
      </c>
      <c r="G674" t="str">
        <f t="shared" si="90"/>
        <v>8-486 feedback1</v>
      </c>
      <c r="H674">
        <v>1</v>
      </c>
      <c r="I674">
        <f t="shared" ca="1" si="91"/>
        <v>5</v>
      </c>
      <c r="J674" t="str">
        <f t="shared" si="92"/>
        <v>8-486 arg2</v>
      </c>
      <c r="K674" t="str">
        <f t="shared" si="93"/>
        <v>8-486 feedback2</v>
      </c>
      <c r="L674">
        <v>1</v>
      </c>
      <c r="M674" t="s">
        <v>1285</v>
      </c>
      <c r="N674">
        <v>673</v>
      </c>
    </row>
    <row r="675" spans="1:14">
      <c r="A675">
        <v>8</v>
      </c>
      <c r="B675">
        <f t="shared" si="86"/>
        <v>8</v>
      </c>
      <c r="C675">
        <v>487</v>
      </c>
      <c r="D675">
        <f t="shared" ca="1" si="87"/>
        <v>4</v>
      </c>
      <c r="E675" t="str">
        <f t="shared" si="88"/>
        <v>8-487 arg1</v>
      </c>
      <c r="F675">
        <f t="shared" ca="1" si="89"/>
        <v>2</v>
      </c>
      <c r="G675" t="str">
        <f t="shared" si="90"/>
        <v>8-487 feedback1</v>
      </c>
      <c r="H675">
        <v>1</v>
      </c>
      <c r="I675">
        <f t="shared" ca="1" si="91"/>
        <v>3</v>
      </c>
      <c r="J675" t="str">
        <f t="shared" si="92"/>
        <v>8-487 arg2</v>
      </c>
      <c r="K675" t="str">
        <f t="shared" si="93"/>
        <v>8-487 feedback2</v>
      </c>
      <c r="L675">
        <v>1</v>
      </c>
      <c r="M675" t="s">
        <v>1285</v>
      </c>
      <c r="N675">
        <v>674</v>
      </c>
    </row>
    <row r="676" spans="1:14">
      <c r="A676">
        <v>8</v>
      </c>
      <c r="B676">
        <f t="shared" si="86"/>
        <v>8</v>
      </c>
      <c r="C676">
        <v>488</v>
      </c>
      <c r="D676">
        <f t="shared" ca="1" si="87"/>
        <v>4</v>
      </c>
      <c r="E676" t="str">
        <f t="shared" si="88"/>
        <v>8-488 arg1</v>
      </c>
      <c r="F676">
        <f t="shared" ca="1" si="89"/>
        <v>3</v>
      </c>
      <c r="G676" t="str">
        <f t="shared" si="90"/>
        <v>8-488 feedback1</v>
      </c>
      <c r="H676">
        <v>1</v>
      </c>
      <c r="I676">
        <f t="shared" ca="1" si="91"/>
        <v>3</v>
      </c>
      <c r="J676" t="str">
        <f t="shared" si="92"/>
        <v>8-488 arg2</v>
      </c>
      <c r="K676" t="str">
        <f t="shared" si="93"/>
        <v>8-488 feedback2</v>
      </c>
      <c r="L676">
        <v>1</v>
      </c>
      <c r="M676" t="s">
        <v>1285</v>
      </c>
      <c r="N676">
        <v>675</v>
      </c>
    </row>
    <row r="677" spans="1:14">
      <c r="A677">
        <v>8</v>
      </c>
      <c r="B677">
        <f t="shared" si="86"/>
        <v>8</v>
      </c>
      <c r="C677">
        <v>489</v>
      </c>
      <c r="D677">
        <f t="shared" ca="1" si="87"/>
        <v>4</v>
      </c>
      <c r="E677" t="str">
        <f t="shared" si="88"/>
        <v>8-489 arg1</v>
      </c>
      <c r="F677">
        <f t="shared" ca="1" si="89"/>
        <v>3</v>
      </c>
      <c r="G677" t="str">
        <f t="shared" si="90"/>
        <v>8-489 feedback1</v>
      </c>
      <c r="H677">
        <v>1</v>
      </c>
      <c r="I677">
        <f t="shared" ca="1" si="91"/>
        <v>4</v>
      </c>
      <c r="J677" t="str">
        <f t="shared" si="92"/>
        <v>8-489 arg2</v>
      </c>
      <c r="K677" t="str">
        <f t="shared" si="93"/>
        <v>8-489 feedback2</v>
      </c>
      <c r="L677">
        <v>1</v>
      </c>
      <c r="M677" t="s">
        <v>1285</v>
      </c>
      <c r="N677">
        <v>676</v>
      </c>
    </row>
    <row r="678" spans="1:14">
      <c r="A678">
        <v>8</v>
      </c>
      <c r="B678">
        <f t="shared" si="86"/>
        <v>8</v>
      </c>
      <c r="C678">
        <v>490</v>
      </c>
      <c r="D678">
        <f t="shared" ca="1" si="87"/>
        <v>4</v>
      </c>
      <c r="E678" t="str">
        <f t="shared" si="88"/>
        <v>8-490 arg1</v>
      </c>
      <c r="F678">
        <f t="shared" ca="1" si="89"/>
        <v>4</v>
      </c>
      <c r="G678" t="str">
        <f t="shared" si="90"/>
        <v>8-490 feedback1</v>
      </c>
      <c r="H678">
        <v>1</v>
      </c>
      <c r="I678">
        <f t="shared" ca="1" si="91"/>
        <v>4</v>
      </c>
      <c r="J678" t="str">
        <f t="shared" si="92"/>
        <v>8-490 arg2</v>
      </c>
      <c r="K678" t="str">
        <f t="shared" si="93"/>
        <v>8-490 feedback2</v>
      </c>
      <c r="L678">
        <v>1</v>
      </c>
      <c r="M678" t="s">
        <v>1285</v>
      </c>
      <c r="N678">
        <v>677</v>
      </c>
    </row>
    <row r="679" spans="1:14">
      <c r="A679">
        <v>8</v>
      </c>
      <c r="B679">
        <f t="shared" si="86"/>
        <v>8</v>
      </c>
      <c r="C679">
        <v>491</v>
      </c>
      <c r="D679">
        <f t="shared" ca="1" si="87"/>
        <v>5</v>
      </c>
      <c r="E679" t="str">
        <f t="shared" si="88"/>
        <v>8-491 arg1</v>
      </c>
      <c r="F679">
        <f t="shared" ca="1" si="89"/>
        <v>3</v>
      </c>
      <c r="G679" t="str">
        <f t="shared" si="90"/>
        <v>8-491 feedback1</v>
      </c>
      <c r="H679">
        <v>1</v>
      </c>
      <c r="I679">
        <f t="shared" ca="1" si="91"/>
        <v>4</v>
      </c>
      <c r="J679" t="str">
        <f t="shared" si="92"/>
        <v>8-491 arg2</v>
      </c>
      <c r="K679" t="str">
        <f t="shared" si="93"/>
        <v>8-491 feedback2</v>
      </c>
      <c r="L679">
        <v>1</v>
      </c>
      <c r="M679" t="s">
        <v>1285</v>
      </c>
      <c r="N679">
        <v>678</v>
      </c>
    </row>
    <row r="680" spans="1:14">
      <c r="A680">
        <v>8</v>
      </c>
      <c r="B680">
        <f t="shared" si="86"/>
        <v>8</v>
      </c>
      <c r="C680">
        <v>492</v>
      </c>
      <c r="D680">
        <f t="shared" ca="1" si="87"/>
        <v>4</v>
      </c>
      <c r="E680" t="str">
        <f t="shared" si="88"/>
        <v>8-492 arg1</v>
      </c>
      <c r="F680">
        <f t="shared" ca="1" si="89"/>
        <v>3</v>
      </c>
      <c r="G680" t="str">
        <f t="shared" si="90"/>
        <v>8-492 feedback1</v>
      </c>
      <c r="H680">
        <v>1</v>
      </c>
      <c r="I680">
        <f t="shared" ca="1" si="91"/>
        <v>4</v>
      </c>
      <c r="J680" t="str">
        <f t="shared" si="92"/>
        <v>8-492 arg2</v>
      </c>
      <c r="K680" t="str">
        <f t="shared" si="93"/>
        <v>8-492 feedback2</v>
      </c>
      <c r="L680">
        <v>1</v>
      </c>
      <c r="M680" t="s">
        <v>1285</v>
      </c>
      <c r="N680">
        <v>679</v>
      </c>
    </row>
    <row r="681" spans="1:14">
      <c r="A681">
        <v>8</v>
      </c>
      <c r="B681">
        <f t="shared" si="86"/>
        <v>8</v>
      </c>
      <c r="C681">
        <v>493</v>
      </c>
      <c r="D681">
        <f t="shared" ca="1" si="87"/>
        <v>3</v>
      </c>
      <c r="E681" t="str">
        <f t="shared" si="88"/>
        <v>8-493 arg1</v>
      </c>
      <c r="F681">
        <f t="shared" ca="1" si="89"/>
        <v>2</v>
      </c>
      <c r="G681" t="str">
        <f t="shared" si="90"/>
        <v>8-493 feedback1</v>
      </c>
      <c r="H681">
        <v>1</v>
      </c>
      <c r="I681">
        <f t="shared" ca="1" si="91"/>
        <v>2</v>
      </c>
      <c r="J681" t="str">
        <f t="shared" si="92"/>
        <v>8-493 arg2</v>
      </c>
      <c r="K681" t="str">
        <f t="shared" si="93"/>
        <v>8-493 feedback2</v>
      </c>
      <c r="L681">
        <v>1</v>
      </c>
      <c r="M681" t="s">
        <v>1285</v>
      </c>
      <c r="N681">
        <v>680</v>
      </c>
    </row>
    <row r="682" spans="1:14">
      <c r="A682">
        <v>8</v>
      </c>
      <c r="B682">
        <f t="shared" si="86"/>
        <v>9</v>
      </c>
      <c r="C682">
        <v>409</v>
      </c>
      <c r="D682">
        <f t="shared" ca="1" si="87"/>
        <v>5</v>
      </c>
      <c r="E682" t="str">
        <f t="shared" si="88"/>
        <v>9-409 arg1</v>
      </c>
      <c r="F682">
        <f t="shared" ca="1" si="89"/>
        <v>3</v>
      </c>
      <c r="G682" t="str">
        <f t="shared" si="90"/>
        <v>9-409 feedback1</v>
      </c>
      <c r="H682">
        <v>1</v>
      </c>
      <c r="I682">
        <f t="shared" ca="1" si="91"/>
        <v>3</v>
      </c>
      <c r="J682" t="str">
        <f t="shared" si="92"/>
        <v>9-409 arg2</v>
      </c>
      <c r="K682" t="str">
        <f t="shared" si="93"/>
        <v>9-409 feedback2</v>
      </c>
      <c r="L682">
        <v>1</v>
      </c>
      <c r="M682" t="s">
        <v>1285</v>
      </c>
      <c r="N682">
        <v>681</v>
      </c>
    </row>
    <row r="683" spans="1:14">
      <c r="A683">
        <v>8</v>
      </c>
      <c r="B683">
        <f t="shared" si="86"/>
        <v>9</v>
      </c>
      <c r="C683">
        <v>410</v>
      </c>
      <c r="D683">
        <f t="shared" ca="1" si="87"/>
        <v>3</v>
      </c>
      <c r="E683" t="str">
        <f t="shared" si="88"/>
        <v>9-410 arg1</v>
      </c>
      <c r="F683">
        <f t="shared" ca="1" si="89"/>
        <v>3</v>
      </c>
      <c r="G683" t="str">
        <f t="shared" si="90"/>
        <v>9-410 feedback1</v>
      </c>
      <c r="H683">
        <v>1</v>
      </c>
      <c r="I683">
        <f t="shared" ca="1" si="91"/>
        <v>3</v>
      </c>
      <c r="J683" t="str">
        <f t="shared" si="92"/>
        <v>9-410 arg2</v>
      </c>
      <c r="K683" t="str">
        <f t="shared" si="93"/>
        <v>9-410 feedback2</v>
      </c>
      <c r="L683">
        <v>1</v>
      </c>
      <c r="M683" t="s">
        <v>1285</v>
      </c>
      <c r="N683">
        <v>682</v>
      </c>
    </row>
    <row r="684" spans="1:14">
      <c r="A684">
        <v>8</v>
      </c>
      <c r="B684">
        <f t="shared" si="86"/>
        <v>9</v>
      </c>
      <c r="C684">
        <v>411</v>
      </c>
      <c r="D684">
        <f t="shared" ca="1" si="87"/>
        <v>4</v>
      </c>
      <c r="E684" t="str">
        <f t="shared" si="88"/>
        <v>9-411 arg1</v>
      </c>
      <c r="F684">
        <f t="shared" ca="1" si="89"/>
        <v>3</v>
      </c>
      <c r="G684" t="str">
        <f t="shared" si="90"/>
        <v>9-411 feedback1</v>
      </c>
      <c r="H684">
        <v>1</v>
      </c>
      <c r="I684">
        <f t="shared" ca="1" si="91"/>
        <v>3</v>
      </c>
      <c r="J684" t="str">
        <f t="shared" si="92"/>
        <v>9-411 arg2</v>
      </c>
      <c r="K684" t="str">
        <f t="shared" si="93"/>
        <v>9-411 feedback2</v>
      </c>
      <c r="L684">
        <v>1</v>
      </c>
      <c r="M684" t="s">
        <v>1285</v>
      </c>
      <c r="N684">
        <v>683</v>
      </c>
    </row>
    <row r="685" spans="1:14">
      <c r="A685">
        <v>8</v>
      </c>
      <c r="B685">
        <f t="shared" si="86"/>
        <v>9</v>
      </c>
      <c r="C685">
        <v>412</v>
      </c>
      <c r="D685">
        <f t="shared" ca="1" si="87"/>
        <v>5</v>
      </c>
      <c r="E685" t="str">
        <f t="shared" si="88"/>
        <v>9-412 arg1</v>
      </c>
      <c r="F685">
        <f t="shared" ca="1" si="89"/>
        <v>4</v>
      </c>
      <c r="G685" t="str">
        <f t="shared" si="90"/>
        <v>9-412 feedback1</v>
      </c>
      <c r="H685">
        <v>1</v>
      </c>
      <c r="I685">
        <f t="shared" ca="1" si="91"/>
        <v>5</v>
      </c>
      <c r="J685" t="str">
        <f t="shared" si="92"/>
        <v>9-412 arg2</v>
      </c>
      <c r="K685" t="str">
        <f t="shared" si="93"/>
        <v>9-412 feedback2</v>
      </c>
      <c r="L685">
        <v>1</v>
      </c>
      <c r="M685" t="s">
        <v>1285</v>
      </c>
      <c r="N685">
        <v>684</v>
      </c>
    </row>
    <row r="686" spans="1:14">
      <c r="A686">
        <v>8</v>
      </c>
      <c r="B686">
        <f t="shared" si="86"/>
        <v>9</v>
      </c>
      <c r="C686">
        <v>413</v>
      </c>
      <c r="D686">
        <f t="shared" ca="1" si="87"/>
        <v>4</v>
      </c>
      <c r="E686" t="str">
        <f t="shared" si="88"/>
        <v>9-413 arg1</v>
      </c>
      <c r="F686">
        <f t="shared" ca="1" si="89"/>
        <v>3</v>
      </c>
      <c r="G686" t="str">
        <f t="shared" si="90"/>
        <v>9-413 feedback1</v>
      </c>
      <c r="H686">
        <v>1</v>
      </c>
      <c r="I686">
        <f t="shared" ca="1" si="91"/>
        <v>3</v>
      </c>
      <c r="J686" t="str">
        <f t="shared" si="92"/>
        <v>9-413 arg2</v>
      </c>
      <c r="K686" t="str">
        <f t="shared" si="93"/>
        <v>9-413 feedback2</v>
      </c>
      <c r="L686">
        <v>1</v>
      </c>
      <c r="M686" t="s">
        <v>1285</v>
      </c>
      <c r="N686">
        <v>685</v>
      </c>
    </row>
    <row r="687" spans="1:14">
      <c r="A687">
        <v>8</v>
      </c>
      <c r="B687">
        <f t="shared" si="86"/>
        <v>9</v>
      </c>
      <c r="C687">
        <v>414</v>
      </c>
      <c r="D687">
        <f t="shared" ca="1" si="87"/>
        <v>3</v>
      </c>
      <c r="E687" t="str">
        <f t="shared" si="88"/>
        <v>9-414 arg1</v>
      </c>
      <c r="F687">
        <f t="shared" ca="1" si="89"/>
        <v>3</v>
      </c>
      <c r="G687" t="str">
        <f t="shared" si="90"/>
        <v>9-414 feedback1</v>
      </c>
      <c r="H687">
        <v>1</v>
      </c>
      <c r="I687">
        <f t="shared" ca="1" si="91"/>
        <v>4</v>
      </c>
      <c r="J687" t="str">
        <f t="shared" si="92"/>
        <v>9-414 arg2</v>
      </c>
      <c r="K687" t="str">
        <f t="shared" si="93"/>
        <v>9-414 feedback2</v>
      </c>
      <c r="L687">
        <v>1</v>
      </c>
      <c r="M687" t="s">
        <v>1285</v>
      </c>
      <c r="N687">
        <v>686</v>
      </c>
    </row>
    <row r="688" spans="1:14">
      <c r="A688">
        <v>8</v>
      </c>
      <c r="B688">
        <f t="shared" si="86"/>
        <v>9</v>
      </c>
      <c r="C688">
        <v>415</v>
      </c>
      <c r="D688">
        <f t="shared" ca="1" si="87"/>
        <v>4</v>
      </c>
      <c r="E688" t="str">
        <f t="shared" si="88"/>
        <v>9-415 arg1</v>
      </c>
      <c r="F688">
        <f t="shared" ca="1" si="89"/>
        <v>2</v>
      </c>
      <c r="G688" t="str">
        <f t="shared" si="90"/>
        <v>9-415 feedback1</v>
      </c>
      <c r="H688">
        <v>1</v>
      </c>
      <c r="I688">
        <f t="shared" ca="1" si="91"/>
        <v>2</v>
      </c>
      <c r="J688" t="str">
        <f t="shared" si="92"/>
        <v>9-415 arg2</v>
      </c>
      <c r="K688" t="str">
        <f t="shared" si="93"/>
        <v>9-415 feedback2</v>
      </c>
      <c r="L688">
        <v>1</v>
      </c>
      <c r="M688" t="s">
        <v>1285</v>
      </c>
      <c r="N688">
        <v>687</v>
      </c>
    </row>
    <row r="689" spans="1:14">
      <c r="A689">
        <v>8</v>
      </c>
      <c r="B689">
        <f t="shared" si="86"/>
        <v>9</v>
      </c>
      <c r="C689">
        <v>416</v>
      </c>
      <c r="D689">
        <f t="shared" ca="1" si="87"/>
        <v>3</v>
      </c>
      <c r="E689" t="str">
        <f t="shared" si="88"/>
        <v>9-416 arg1</v>
      </c>
      <c r="F689">
        <f t="shared" ca="1" si="89"/>
        <v>1</v>
      </c>
      <c r="G689" t="str">
        <f t="shared" si="90"/>
        <v>9-416 feedback1</v>
      </c>
      <c r="H689">
        <v>1</v>
      </c>
      <c r="I689">
        <f t="shared" ca="1" si="91"/>
        <v>2</v>
      </c>
      <c r="J689" t="str">
        <f t="shared" si="92"/>
        <v>9-416 arg2</v>
      </c>
      <c r="K689" t="str">
        <f t="shared" si="93"/>
        <v>9-416 feedback2</v>
      </c>
      <c r="L689">
        <v>1</v>
      </c>
      <c r="M689" t="s">
        <v>1285</v>
      </c>
      <c r="N689">
        <v>688</v>
      </c>
    </row>
    <row r="690" spans="1:14">
      <c r="A690">
        <v>8</v>
      </c>
      <c r="B690">
        <f t="shared" si="86"/>
        <v>9</v>
      </c>
      <c r="C690">
        <v>417</v>
      </c>
      <c r="D690">
        <f t="shared" ca="1" si="87"/>
        <v>3</v>
      </c>
      <c r="E690" t="str">
        <f t="shared" si="88"/>
        <v>9-417 arg1</v>
      </c>
      <c r="F690">
        <f t="shared" ca="1" si="89"/>
        <v>1</v>
      </c>
      <c r="G690" t="str">
        <f t="shared" si="90"/>
        <v>9-417 feedback1</v>
      </c>
      <c r="H690">
        <v>1</v>
      </c>
      <c r="I690">
        <f t="shared" ca="1" si="91"/>
        <v>2</v>
      </c>
      <c r="J690" t="str">
        <f t="shared" si="92"/>
        <v>9-417 arg2</v>
      </c>
      <c r="K690" t="str">
        <f t="shared" si="93"/>
        <v>9-417 feedback2</v>
      </c>
      <c r="L690">
        <v>1</v>
      </c>
      <c r="M690" t="s">
        <v>1285</v>
      </c>
      <c r="N690">
        <v>689</v>
      </c>
    </row>
    <row r="691" spans="1:14">
      <c r="A691">
        <v>8</v>
      </c>
      <c r="B691">
        <f t="shared" si="86"/>
        <v>9</v>
      </c>
      <c r="C691">
        <v>418</v>
      </c>
      <c r="D691">
        <f t="shared" ca="1" si="87"/>
        <v>5</v>
      </c>
      <c r="E691" t="str">
        <f t="shared" si="88"/>
        <v>9-418 arg1</v>
      </c>
      <c r="F691">
        <f t="shared" ca="1" si="89"/>
        <v>5</v>
      </c>
      <c r="G691" t="str">
        <f t="shared" si="90"/>
        <v>9-418 feedback1</v>
      </c>
      <c r="H691">
        <v>1</v>
      </c>
      <c r="I691">
        <f t="shared" ca="1" si="91"/>
        <v>5</v>
      </c>
      <c r="J691" t="str">
        <f t="shared" si="92"/>
        <v>9-418 arg2</v>
      </c>
      <c r="K691" t="str">
        <f t="shared" si="93"/>
        <v>9-418 feedback2</v>
      </c>
      <c r="L691">
        <v>1</v>
      </c>
      <c r="M691" t="s">
        <v>1285</v>
      </c>
      <c r="N691">
        <v>690</v>
      </c>
    </row>
    <row r="692" spans="1:14">
      <c r="A692">
        <v>8</v>
      </c>
      <c r="B692">
        <f t="shared" si="86"/>
        <v>9</v>
      </c>
      <c r="C692">
        <v>419</v>
      </c>
      <c r="D692">
        <f t="shared" ca="1" si="87"/>
        <v>5</v>
      </c>
      <c r="E692" t="str">
        <f t="shared" si="88"/>
        <v>9-419 arg1</v>
      </c>
      <c r="F692">
        <f t="shared" ca="1" si="89"/>
        <v>5</v>
      </c>
      <c r="G692" t="str">
        <f t="shared" si="90"/>
        <v>9-419 feedback1</v>
      </c>
      <c r="H692">
        <v>1</v>
      </c>
      <c r="I692">
        <f t="shared" ca="1" si="91"/>
        <v>5</v>
      </c>
      <c r="J692" t="str">
        <f t="shared" si="92"/>
        <v>9-419 arg2</v>
      </c>
      <c r="K692" t="str">
        <f t="shared" si="93"/>
        <v>9-419 feedback2</v>
      </c>
      <c r="L692">
        <v>1</v>
      </c>
      <c r="M692" t="s">
        <v>1285</v>
      </c>
      <c r="N692">
        <v>691</v>
      </c>
    </row>
    <row r="693" spans="1:14">
      <c r="A693">
        <v>8</v>
      </c>
      <c r="B693">
        <f t="shared" si="86"/>
        <v>9</v>
      </c>
      <c r="C693">
        <v>420</v>
      </c>
      <c r="D693">
        <f t="shared" ca="1" si="87"/>
        <v>3</v>
      </c>
      <c r="E693" t="str">
        <f t="shared" si="88"/>
        <v>9-420 arg1</v>
      </c>
      <c r="F693">
        <f t="shared" ca="1" si="89"/>
        <v>1</v>
      </c>
      <c r="G693" t="str">
        <f t="shared" si="90"/>
        <v>9-420 feedback1</v>
      </c>
      <c r="H693">
        <v>1</v>
      </c>
      <c r="I693">
        <f t="shared" ca="1" si="91"/>
        <v>1</v>
      </c>
      <c r="J693" t="str">
        <f t="shared" si="92"/>
        <v>9-420 arg2</v>
      </c>
      <c r="K693" t="str">
        <f t="shared" si="93"/>
        <v>9-420 feedback2</v>
      </c>
      <c r="L693">
        <v>1</v>
      </c>
      <c r="M693" t="s">
        <v>1285</v>
      </c>
      <c r="N693">
        <v>692</v>
      </c>
    </row>
    <row r="694" spans="1:14">
      <c r="A694">
        <v>8</v>
      </c>
      <c r="B694">
        <f t="shared" ref="B694:B757" si="94">B609+1</f>
        <v>9</v>
      </c>
      <c r="C694">
        <v>421</v>
      </c>
      <c r="D694">
        <f t="shared" ca="1" si="87"/>
        <v>5</v>
      </c>
      <c r="E694" t="str">
        <f t="shared" si="88"/>
        <v>9-421 arg1</v>
      </c>
      <c r="F694">
        <f t="shared" ca="1" si="89"/>
        <v>3</v>
      </c>
      <c r="G694" t="str">
        <f t="shared" si="90"/>
        <v>9-421 feedback1</v>
      </c>
      <c r="H694">
        <v>1</v>
      </c>
      <c r="I694">
        <f t="shared" ca="1" si="91"/>
        <v>3</v>
      </c>
      <c r="J694" t="str">
        <f t="shared" si="92"/>
        <v>9-421 arg2</v>
      </c>
      <c r="K694" t="str">
        <f t="shared" si="93"/>
        <v>9-421 feedback2</v>
      </c>
      <c r="L694">
        <v>1</v>
      </c>
      <c r="M694" t="s">
        <v>1285</v>
      </c>
      <c r="N694">
        <v>693</v>
      </c>
    </row>
    <row r="695" spans="1:14">
      <c r="A695">
        <v>8</v>
      </c>
      <c r="B695">
        <f t="shared" si="94"/>
        <v>9</v>
      </c>
      <c r="C695">
        <v>422</v>
      </c>
      <c r="D695">
        <f t="shared" ca="1" si="87"/>
        <v>5</v>
      </c>
      <c r="E695" t="str">
        <f t="shared" si="88"/>
        <v>9-422 arg1</v>
      </c>
      <c r="F695">
        <f t="shared" ca="1" si="89"/>
        <v>3</v>
      </c>
      <c r="G695" t="str">
        <f t="shared" si="90"/>
        <v>9-422 feedback1</v>
      </c>
      <c r="H695">
        <v>1</v>
      </c>
      <c r="I695">
        <f t="shared" ca="1" si="91"/>
        <v>4</v>
      </c>
      <c r="J695" t="str">
        <f t="shared" si="92"/>
        <v>9-422 arg2</v>
      </c>
      <c r="K695" t="str">
        <f t="shared" si="93"/>
        <v>9-422 feedback2</v>
      </c>
      <c r="L695">
        <v>1</v>
      </c>
      <c r="M695" t="s">
        <v>1285</v>
      </c>
      <c r="N695">
        <v>694</v>
      </c>
    </row>
    <row r="696" spans="1:14">
      <c r="A696">
        <v>8</v>
      </c>
      <c r="B696">
        <f t="shared" si="94"/>
        <v>9</v>
      </c>
      <c r="C696">
        <v>423</v>
      </c>
      <c r="D696">
        <f t="shared" ca="1" si="87"/>
        <v>4</v>
      </c>
      <c r="E696" t="str">
        <f t="shared" si="88"/>
        <v>9-423 arg1</v>
      </c>
      <c r="F696">
        <f t="shared" ca="1" si="89"/>
        <v>4</v>
      </c>
      <c r="G696" t="str">
        <f t="shared" si="90"/>
        <v>9-423 feedback1</v>
      </c>
      <c r="H696">
        <v>1</v>
      </c>
      <c r="I696">
        <f t="shared" ca="1" si="91"/>
        <v>4</v>
      </c>
      <c r="J696" t="str">
        <f t="shared" si="92"/>
        <v>9-423 arg2</v>
      </c>
      <c r="K696" t="str">
        <f t="shared" si="93"/>
        <v>9-423 feedback2</v>
      </c>
      <c r="L696">
        <v>1</v>
      </c>
      <c r="M696" t="s">
        <v>1285</v>
      </c>
      <c r="N696">
        <v>695</v>
      </c>
    </row>
    <row r="697" spans="1:14">
      <c r="A697">
        <v>8</v>
      </c>
      <c r="B697">
        <f t="shared" si="94"/>
        <v>9</v>
      </c>
      <c r="C697">
        <v>424</v>
      </c>
      <c r="D697">
        <f t="shared" ca="1" si="87"/>
        <v>4</v>
      </c>
      <c r="E697" t="str">
        <f t="shared" si="88"/>
        <v>9-424 arg1</v>
      </c>
      <c r="F697">
        <f t="shared" ca="1" si="89"/>
        <v>3</v>
      </c>
      <c r="G697" t="str">
        <f t="shared" si="90"/>
        <v>9-424 feedback1</v>
      </c>
      <c r="H697">
        <v>1</v>
      </c>
      <c r="I697">
        <f t="shared" ca="1" si="91"/>
        <v>3</v>
      </c>
      <c r="J697" t="str">
        <f t="shared" si="92"/>
        <v>9-424 arg2</v>
      </c>
      <c r="K697" t="str">
        <f t="shared" si="93"/>
        <v>9-424 feedback2</v>
      </c>
      <c r="L697">
        <v>1</v>
      </c>
      <c r="M697" t="s">
        <v>1285</v>
      </c>
      <c r="N697">
        <v>696</v>
      </c>
    </row>
    <row r="698" spans="1:14">
      <c r="A698">
        <v>8</v>
      </c>
      <c r="B698">
        <f t="shared" si="94"/>
        <v>9</v>
      </c>
      <c r="C698">
        <v>425</v>
      </c>
      <c r="D698">
        <f t="shared" ca="1" si="87"/>
        <v>4</v>
      </c>
      <c r="E698" t="str">
        <f t="shared" si="88"/>
        <v>9-425 arg1</v>
      </c>
      <c r="F698">
        <f t="shared" ca="1" si="89"/>
        <v>4</v>
      </c>
      <c r="G698" t="str">
        <f t="shared" si="90"/>
        <v>9-425 feedback1</v>
      </c>
      <c r="H698">
        <v>1</v>
      </c>
      <c r="I698">
        <f t="shared" ca="1" si="91"/>
        <v>5</v>
      </c>
      <c r="J698" t="str">
        <f t="shared" si="92"/>
        <v>9-425 arg2</v>
      </c>
      <c r="K698" t="str">
        <f t="shared" si="93"/>
        <v>9-425 feedback2</v>
      </c>
      <c r="L698">
        <v>1</v>
      </c>
      <c r="M698" t="s">
        <v>1285</v>
      </c>
      <c r="N698">
        <v>697</v>
      </c>
    </row>
    <row r="699" spans="1:14">
      <c r="A699">
        <v>8</v>
      </c>
      <c r="B699">
        <f t="shared" si="94"/>
        <v>9</v>
      </c>
      <c r="C699">
        <v>426</v>
      </c>
      <c r="D699">
        <f t="shared" ca="1" si="87"/>
        <v>3</v>
      </c>
      <c r="E699" t="str">
        <f t="shared" si="88"/>
        <v>9-426 arg1</v>
      </c>
      <c r="F699">
        <f t="shared" ca="1" si="89"/>
        <v>2</v>
      </c>
      <c r="G699" t="str">
        <f t="shared" si="90"/>
        <v>9-426 feedback1</v>
      </c>
      <c r="H699">
        <v>1</v>
      </c>
      <c r="I699">
        <f t="shared" ca="1" si="91"/>
        <v>2</v>
      </c>
      <c r="J699" t="str">
        <f t="shared" si="92"/>
        <v>9-426 arg2</v>
      </c>
      <c r="K699" t="str">
        <f t="shared" si="93"/>
        <v>9-426 feedback2</v>
      </c>
      <c r="L699">
        <v>1</v>
      </c>
      <c r="M699" t="s">
        <v>1285</v>
      </c>
      <c r="N699">
        <v>698</v>
      </c>
    </row>
    <row r="700" spans="1:14">
      <c r="A700">
        <v>8</v>
      </c>
      <c r="B700">
        <f t="shared" si="94"/>
        <v>9</v>
      </c>
      <c r="C700">
        <v>427</v>
      </c>
      <c r="D700">
        <f t="shared" ca="1" si="87"/>
        <v>4</v>
      </c>
      <c r="E700" t="str">
        <f t="shared" si="88"/>
        <v>9-427 arg1</v>
      </c>
      <c r="F700">
        <f t="shared" ca="1" si="89"/>
        <v>2</v>
      </c>
      <c r="G700" t="str">
        <f t="shared" si="90"/>
        <v>9-427 feedback1</v>
      </c>
      <c r="H700">
        <v>1</v>
      </c>
      <c r="I700">
        <f t="shared" ca="1" si="91"/>
        <v>2</v>
      </c>
      <c r="J700" t="str">
        <f t="shared" si="92"/>
        <v>9-427 arg2</v>
      </c>
      <c r="K700" t="str">
        <f t="shared" si="93"/>
        <v>9-427 feedback2</v>
      </c>
      <c r="L700">
        <v>1</v>
      </c>
      <c r="M700" t="s">
        <v>1285</v>
      </c>
      <c r="N700">
        <v>699</v>
      </c>
    </row>
    <row r="701" spans="1:14">
      <c r="A701">
        <v>8</v>
      </c>
      <c r="B701">
        <f t="shared" si="94"/>
        <v>9</v>
      </c>
      <c r="C701">
        <v>428</v>
      </c>
      <c r="D701">
        <f t="shared" ca="1" si="87"/>
        <v>5</v>
      </c>
      <c r="E701" t="str">
        <f t="shared" si="88"/>
        <v>9-428 arg1</v>
      </c>
      <c r="F701">
        <f t="shared" ca="1" si="89"/>
        <v>4</v>
      </c>
      <c r="G701" t="str">
        <f t="shared" si="90"/>
        <v>9-428 feedback1</v>
      </c>
      <c r="H701">
        <v>1</v>
      </c>
      <c r="I701">
        <f t="shared" ca="1" si="91"/>
        <v>4</v>
      </c>
      <c r="J701" t="str">
        <f t="shared" si="92"/>
        <v>9-428 arg2</v>
      </c>
      <c r="K701" t="str">
        <f t="shared" si="93"/>
        <v>9-428 feedback2</v>
      </c>
      <c r="L701">
        <v>1</v>
      </c>
      <c r="M701" t="s">
        <v>1285</v>
      </c>
      <c r="N701">
        <v>700</v>
      </c>
    </row>
    <row r="702" spans="1:14">
      <c r="A702">
        <v>8</v>
      </c>
      <c r="B702">
        <f t="shared" si="94"/>
        <v>9</v>
      </c>
      <c r="C702">
        <v>429</v>
      </c>
      <c r="D702">
        <f t="shared" ca="1" si="87"/>
        <v>4</v>
      </c>
      <c r="E702" t="str">
        <f t="shared" si="88"/>
        <v>9-429 arg1</v>
      </c>
      <c r="F702">
        <f t="shared" ca="1" si="89"/>
        <v>3</v>
      </c>
      <c r="G702" t="str">
        <f t="shared" si="90"/>
        <v>9-429 feedback1</v>
      </c>
      <c r="H702">
        <v>1</v>
      </c>
      <c r="I702">
        <f t="shared" ca="1" si="91"/>
        <v>4</v>
      </c>
      <c r="J702" t="str">
        <f t="shared" si="92"/>
        <v>9-429 arg2</v>
      </c>
      <c r="K702" t="str">
        <f t="shared" si="93"/>
        <v>9-429 feedback2</v>
      </c>
      <c r="L702">
        <v>1</v>
      </c>
      <c r="M702" t="s">
        <v>1285</v>
      </c>
      <c r="N702">
        <v>701</v>
      </c>
    </row>
    <row r="703" spans="1:14">
      <c r="A703">
        <v>8</v>
      </c>
      <c r="B703">
        <f t="shared" si="94"/>
        <v>9</v>
      </c>
      <c r="C703">
        <v>430</v>
      </c>
      <c r="D703">
        <f t="shared" ca="1" si="87"/>
        <v>3</v>
      </c>
      <c r="E703" t="str">
        <f t="shared" si="88"/>
        <v>9-430 arg1</v>
      </c>
      <c r="F703">
        <f t="shared" ca="1" si="89"/>
        <v>1</v>
      </c>
      <c r="G703" t="str">
        <f t="shared" si="90"/>
        <v>9-430 feedback1</v>
      </c>
      <c r="H703">
        <v>1</v>
      </c>
      <c r="I703">
        <f t="shared" ca="1" si="91"/>
        <v>1</v>
      </c>
      <c r="J703" t="str">
        <f t="shared" si="92"/>
        <v>9-430 arg2</v>
      </c>
      <c r="K703" t="str">
        <f t="shared" si="93"/>
        <v>9-430 feedback2</v>
      </c>
      <c r="L703">
        <v>1</v>
      </c>
      <c r="M703" t="s">
        <v>1285</v>
      </c>
      <c r="N703">
        <v>702</v>
      </c>
    </row>
    <row r="704" spans="1:14">
      <c r="A704">
        <v>8</v>
      </c>
      <c r="B704">
        <f t="shared" si="94"/>
        <v>9</v>
      </c>
      <c r="C704">
        <v>431</v>
      </c>
      <c r="D704">
        <f t="shared" ca="1" si="87"/>
        <v>4</v>
      </c>
      <c r="E704" t="str">
        <f t="shared" si="88"/>
        <v>9-431 arg1</v>
      </c>
      <c r="F704">
        <f t="shared" ca="1" si="89"/>
        <v>3</v>
      </c>
      <c r="G704" t="str">
        <f t="shared" si="90"/>
        <v>9-431 feedback1</v>
      </c>
      <c r="H704">
        <v>1</v>
      </c>
      <c r="I704">
        <f t="shared" ca="1" si="91"/>
        <v>4</v>
      </c>
      <c r="J704" t="str">
        <f t="shared" si="92"/>
        <v>9-431 arg2</v>
      </c>
      <c r="K704" t="str">
        <f t="shared" si="93"/>
        <v>9-431 feedback2</v>
      </c>
      <c r="L704">
        <v>1</v>
      </c>
      <c r="M704" t="s">
        <v>1285</v>
      </c>
      <c r="N704">
        <v>703</v>
      </c>
    </row>
    <row r="705" spans="1:14">
      <c r="A705">
        <v>8</v>
      </c>
      <c r="B705">
        <f t="shared" si="94"/>
        <v>9</v>
      </c>
      <c r="C705">
        <v>432</v>
      </c>
      <c r="D705">
        <f t="shared" ca="1" si="87"/>
        <v>4</v>
      </c>
      <c r="E705" t="str">
        <f t="shared" si="88"/>
        <v>9-432 arg1</v>
      </c>
      <c r="F705">
        <f t="shared" ca="1" si="89"/>
        <v>3</v>
      </c>
      <c r="G705" t="str">
        <f t="shared" si="90"/>
        <v>9-432 feedback1</v>
      </c>
      <c r="H705">
        <v>1</v>
      </c>
      <c r="I705">
        <f t="shared" ca="1" si="91"/>
        <v>4</v>
      </c>
      <c r="J705" t="str">
        <f t="shared" si="92"/>
        <v>9-432 arg2</v>
      </c>
      <c r="K705" t="str">
        <f t="shared" si="93"/>
        <v>9-432 feedback2</v>
      </c>
      <c r="L705">
        <v>1</v>
      </c>
      <c r="M705" t="s">
        <v>1285</v>
      </c>
      <c r="N705">
        <v>704</v>
      </c>
    </row>
    <row r="706" spans="1:14">
      <c r="A706">
        <v>8</v>
      </c>
      <c r="B706">
        <f t="shared" si="94"/>
        <v>9</v>
      </c>
      <c r="C706">
        <v>433</v>
      </c>
      <c r="D706">
        <f t="shared" ca="1" si="87"/>
        <v>4</v>
      </c>
      <c r="E706" t="str">
        <f t="shared" si="88"/>
        <v>9-433 arg1</v>
      </c>
      <c r="F706">
        <f t="shared" ca="1" si="89"/>
        <v>2</v>
      </c>
      <c r="G706" t="str">
        <f t="shared" si="90"/>
        <v>9-433 feedback1</v>
      </c>
      <c r="H706">
        <v>1</v>
      </c>
      <c r="I706">
        <f t="shared" ca="1" si="91"/>
        <v>3</v>
      </c>
      <c r="J706" t="str">
        <f t="shared" si="92"/>
        <v>9-433 arg2</v>
      </c>
      <c r="K706" t="str">
        <f t="shared" si="93"/>
        <v>9-433 feedback2</v>
      </c>
      <c r="L706">
        <v>1</v>
      </c>
      <c r="M706" t="s">
        <v>1285</v>
      </c>
      <c r="N706">
        <v>705</v>
      </c>
    </row>
    <row r="707" spans="1:14">
      <c r="A707">
        <v>8</v>
      </c>
      <c r="B707">
        <f t="shared" si="94"/>
        <v>9</v>
      </c>
      <c r="C707">
        <v>434</v>
      </c>
      <c r="D707">
        <f t="shared" ref="D707:D770" ca="1" si="95">ROUND(3+2*RAND(),0)</f>
        <v>4</v>
      </c>
      <c r="E707" t="str">
        <f t="shared" si="88"/>
        <v>9-434 arg1</v>
      </c>
      <c r="F707">
        <f t="shared" ca="1" si="89"/>
        <v>3</v>
      </c>
      <c r="G707" t="str">
        <f t="shared" si="90"/>
        <v>9-434 feedback1</v>
      </c>
      <c r="H707">
        <v>1</v>
      </c>
      <c r="I707">
        <f t="shared" ca="1" si="91"/>
        <v>3</v>
      </c>
      <c r="J707" t="str">
        <f t="shared" si="92"/>
        <v>9-434 arg2</v>
      </c>
      <c r="K707" t="str">
        <f t="shared" si="93"/>
        <v>9-434 feedback2</v>
      </c>
      <c r="L707">
        <v>1</v>
      </c>
      <c r="M707" t="s">
        <v>1285</v>
      </c>
      <c r="N707">
        <v>706</v>
      </c>
    </row>
    <row r="708" spans="1:14">
      <c r="A708">
        <v>8</v>
      </c>
      <c r="B708">
        <f t="shared" si="94"/>
        <v>9</v>
      </c>
      <c r="C708">
        <v>435</v>
      </c>
      <c r="D708">
        <f t="shared" ca="1" si="95"/>
        <v>3</v>
      </c>
      <c r="E708" t="str">
        <f t="shared" si="88"/>
        <v>9-435 arg1</v>
      </c>
      <c r="F708">
        <f t="shared" ca="1" si="89"/>
        <v>2</v>
      </c>
      <c r="G708" t="str">
        <f t="shared" si="90"/>
        <v>9-435 feedback1</v>
      </c>
      <c r="H708">
        <v>1</v>
      </c>
      <c r="I708">
        <f t="shared" ca="1" si="91"/>
        <v>3</v>
      </c>
      <c r="J708" t="str">
        <f t="shared" si="92"/>
        <v>9-435 arg2</v>
      </c>
      <c r="K708" t="str">
        <f t="shared" si="93"/>
        <v>9-435 feedback2</v>
      </c>
      <c r="L708">
        <v>1</v>
      </c>
      <c r="M708" t="s">
        <v>1285</v>
      </c>
      <c r="N708">
        <v>707</v>
      </c>
    </row>
    <row r="709" spans="1:14">
      <c r="A709">
        <v>8</v>
      </c>
      <c r="B709">
        <f t="shared" si="94"/>
        <v>9</v>
      </c>
      <c r="C709">
        <v>436</v>
      </c>
      <c r="D709">
        <f t="shared" ca="1" si="95"/>
        <v>5</v>
      </c>
      <c r="E709" t="str">
        <f t="shared" si="88"/>
        <v>9-436 arg1</v>
      </c>
      <c r="F709">
        <f t="shared" ca="1" si="89"/>
        <v>5</v>
      </c>
      <c r="G709" t="str">
        <f t="shared" si="90"/>
        <v>9-436 feedback1</v>
      </c>
      <c r="H709">
        <v>1</v>
      </c>
      <c r="I709">
        <f t="shared" ca="1" si="91"/>
        <v>5</v>
      </c>
      <c r="J709" t="str">
        <f t="shared" si="92"/>
        <v>9-436 arg2</v>
      </c>
      <c r="K709" t="str">
        <f t="shared" si="93"/>
        <v>9-436 feedback2</v>
      </c>
      <c r="L709">
        <v>1</v>
      </c>
      <c r="M709" t="s">
        <v>1285</v>
      </c>
      <c r="N709">
        <v>708</v>
      </c>
    </row>
    <row r="710" spans="1:14">
      <c r="A710">
        <v>8</v>
      </c>
      <c r="B710">
        <f t="shared" si="94"/>
        <v>9</v>
      </c>
      <c r="C710">
        <v>437</v>
      </c>
      <c r="D710">
        <f t="shared" ca="1" si="95"/>
        <v>4</v>
      </c>
      <c r="E710" t="str">
        <f t="shared" si="88"/>
        <v>9-437 arg1</v>
      </c>
      <c r="F710">
        <f t="shared" ca="1" si="89"/>
        <v>2</v>
      </c>
      <c r="G710" t="str">
        <f t="shared" si="90"/>
        <v>9-437 feedback1</v>
      </c>
      <c r="H710">
        <v>1</v>
      </c>
      <c r="I710">
        <f t="shared" ca="1" si="91"/>
        <v>2</v>
      </c>
      <c r="J710" t="str">
        <f t="shared" si="92"/>
        <v>9-437 arg2</v>
      </c>
      <c r="K710" t="str">
        <f t="shared" si="93"/>
        <v>9-437 feedback2</v>
      </c>
      <c r="L710">
        <v>1</v>
      </c>
      <c r="M710" t="s">
        <v>1285</v>
      </c>
      <c r="N710">
        <v>709</v>
      </c>
    </row>
    <row r="711" spans="1:14">
      <c r="A711">
        <v>8</v>
      </c>
      <c r="B711">
        <f t="shared" si="94"/>
        <v>9</v>
      </c>
      <c r="C711">
        <v>438</v>
      </c>
      <c r="D711">
        <f t="shared" ca="1" si="95"/>
        <v>5</v>
      </c>
      <c r="E711" t="str">
        <f t="shared" si="88"/>
        <v>9-438 arg1</v>
      </c>
      <c r="F711">
        <f t="shared" ca="1" si="89"/>
        <v>4</v>
      </c>
      <c r="G711" t="str">
        <f t="shared" si="90"/>
        <v>9-438 feedback1</v>
      </c>
      <c r="H711">
        <v>1</v>
      </c>
      <c r="I711">
        <f t="shared" ca="1" si="91"/>
        <v>4</v>
      </c>
      <c r="J711" t="str">
        <f t="shared" si="92"/>
        <v>9-438 arg2</v>
      </c>
      <c r="K711" t="str">
        <f t="shared" si="93"/>
        <v>9-438 feedback2</v>
      </c>
      <c r="L711">
        <v>1</v>
      </c>
      <c r="M711" t="s">
        <v>1285</v>
      </c>
      <c r="N711">
        <v>710</v>
      </c>
    </row>
    <row r="712" spans="1:14">
      <c r="A712">
        <v>8</v>
      </c>
      <c r="B712">
        <f t="shared" si="94"/>
        <v>9</v>
      </c>
      <c r="C712">
        <v>439</v>
      </c>
      <c r="D712">
        <f t="shared" ca="1" si="95"/>
        <v>3</v>
      </c>
      <c r="E712" t="str">
        <f t="shared" si="88"/>
        <v>9-439 arg1</v>
      </c>
      <c r="F712">
        <f t="shared" ca="1" si="89"/>
        <v>1</v>
      </c>
      <c r="G712" t="str">
        <f t="shared" si="90"/>
        <v>9-439 feedback1</v>
      </c>
      <c r="H712">
        <v>1</v>
      </c>
      <c r="I712">
        <f t="shared" ca="1" si="91"/>
        <v>1</v>
      </c>
      <c r="J712" t="str">
        <f t="shared" si="92"/>
        <v>9-439 arg2</v>
      </c>
      <c r="K712" t="str">
        <f t="shared" si="93"/>
        <v>9-439 feedback2</v>
      </c>
      <c r="L712">
        <v>1</v>
      </c>
      <c r="M712" t="s">
        <v>1285</v>
      </c>
      <c r="N712">
        <v>711</v>
      </c>
    </row>
    <row r="713" spans="1:14">
      <c r="A713">
        <v>8</v>
      </c>
      <c r="B713">
        <f t="shared" si="94"/>
        <v>9</v>
      </c>
      <c r="C713">
        <v>440</v>
      </c>
      <c r="D713">
        <f t="shared" ca="1" si="95"/>
        <v>3</v>
      </c>
      <c r="E713" t="str">
        <f t="shared" si="88"/>
        <v>9-440 arg1</v>
      </c>
      <c r="F713">
        <f t="shared" ca="1" si="89"/>
        <v>2</v>
      </c>
      <c r="G713" t="str">
        <f t="shared" si="90"/>
        <v>9-440 feedback1</v>
      </c>
      <c r="H713">
        <v>1</v>
      </c>
      <c r="I713">
        <f t="shared" ca="1" si="91"/>
        <v>3</v>
      </c>
      <c r="J713" t="str">
        <f t="shared" si="92"/>
        <v>9-440 arg2</v>
      </c>
      <c r="K713" t="str">
        <f t="shared" si="93"/>
        <v>9-440 feedback2</v>
      </c>
      <c r="L713">
        <v>1</v>
      </c>
      <c r="M713" t="s">
        <v>1285</v>
      </c>
      <c r="N713">
        <v>712</v>
      </c>
    </row>
    <row r="714" spans="1:14">
      <c r="A714">
        <v>8</v>
      </c>
      <c r="B714">
        <f t="shared" si="94"/>
        <v>9</v>
      </c>
      <c r="C714">
        <v>441</v>
      </c>
      <c r="D714">
        <f t="shared" ca="1" si="95"/>
        <v>5</v>
      </c>
      <c r="E714" t="str">
        <f t="shared" si="88"/>
        <v>9-441 arg1</v>
      </c>
      <c r="F714">
        <f t="shared" ca="1" si="89"/>
        <v>4</v>
      </c>
      <c r="G714" t="str">
        <f t="shared" si="90"/>
        <v>9-441 feedback1</v>
      </c>
      <c r="H714">
        <v>1</v>
      </c>
      <c r="I714">
        <f t="shared" ca="1" si="91"/>
        <v>4</v>
      </c>
      <c r="J714" t="str">
        <f t="shared" si="92"/>
        <v>9-441 arg2</v>
      </c>
      <c r="K714" t="str">
        <f t="shared" si="93"/>
        <v>9-441 feedback2</v>
      </c>
      <c r="L714">
        <v>1</v>
      </c>
      <c r="M714" t="s">
        <v>1285</v>
      </c>
      <c r="N714">
        <v>713</v>
      </c>
    </row>
    <row r="715" spans="1:14">
      <c r="A715">
        <v>8</v>
      </c>
      <c r="B715">
        <f t="shared" si="94"/>
        <v>9</v>
      </c>
      <c r="C715">
        <v>442</v>
      </c>
      <c r="D715">
        <f t="shared" ca="1" si="95"/>
        <v>4</v>
      </c>
      <c r="E715" t="str">
        <f t="shared" si="88"/>
        <v>9-442 arg1</v>
      </c>
      <c r="F715">
        <f t="shared" ca="1" si="89"/>
        <v>4</v>
      </c>
      <c r="G715" t="str">
        <f t="shared" si="90"/>
        <v>9-442 feedback1</v>
      </c>
      <c r="H715">
        <v>1</v>
      </c>
      <c r="I715">
        <f t="shared" ca="1" si="91"/>
        <v>5</v>
      </c>
      <c r="J715" t="str">
        <f t="shared" si="92"/>
        <v>9-442 arg2</v>
      </c>
      <c r="K715" t="str">
        <f t="shared" si="93"/>
        <v>9-442 feedback2</v>
      </c>
      <c r="L715">
        <v>1</v>
      </c>
      <c r="M715" t="s">
        <v>1285</v>
      </c>
      <c r="N715">
        <v>714</v>
      </c>
    </row>
    <row r="716" spans="1:14">
      <c r="A716">
        <v>8</v>
      </c>
      <c r="B716">
        <f t="shared" si="94"/>
        <v>9</v>
      </c>
      <c r="C716">
        <v>443</v>
      </c>
      <c r="D716">
        <f t="shared" ca="1" si="95"/>
        <v>4</v>
      </c>
      <c r="E716" t="str">
        <f t="shared" si="88"/>
        <v>9-443 arg1</v>
      </c>
      <c r="F716">
        <f t="shared" ca="1" si="89"/>
        <v>2</v>
      </c>
      <c r="G716" t="str">
        <f t="shared" si="90"/>
        <v>9-443 feedback1</v>
      </c>
      <c r="H716">
        <v>1</v>
      </c>
      <c r="I716">
        <f t="shared" ca="1" si="91"/>
        <v>3</v>
      </c>
      <c r="J716" t="str">
        <f t="shared" si="92"/>
        <v>9-443 arg2</v>
      </c>
      <c r="K716" t="str">
        <f t="shared" si="93"/>
        <v>9-443 feedback2</v>
      </c>
      <c r="L716">
        <v>1</v>
      </c>
      <c r="M716" t="s">
        <v>1285</v>
      </c>
      <c r="N716">
        <v>715</v>
      </c>
    </row>
    <row r="717" spans="1:14">
      <c r="A717">
        <v>8</v>
      </c>
      <c r="B717">
        <f t="shared" si="94"/>
        <v>9</v>
      </c>
      <c r="C717">
        <v>444</v>
      </c>
      <c r="D717">
        <f t="shared" ca="1" si="95"/>
        <v>3</v>
      </c>
      <c r="E717" t="str">
        <f t="shared" si="88"/>
        <v>9-444 arg1</v>
      </c>
      <c r="F717">
        <f t="shared" ca="1" si="89"/>
        <v>3</v>
      </c>
      <c r="G717" t="str">
        <f t="shared" si="90"/>
        <v>9-444 feedback1</v>
      </c>
      <c r="H717">
        <v>1</v>
      </c>
      <c r="I717">
        <f t="shared" ca="1" si="91"/>
        <v>3</v>
      </c>
      <c r="J717" t="str">
        <f t="shared" si="92"/>
        <v>9-444 arg2</v>
      </c>
      <c r="K717" t="str">
        <f t="shared" si="93"/>
        <v>9-444 feedback2</v>
      </c>
      <c r="L717">
        <v>1</v>
      </c>
      <c r="M717" t="s">
        <v>1285</v>
      </c>
      <c r="N717">
        <v>716</v>
      </c>
    </row>
    <row r="718" spans="1:14">
      <c r="A718">
        <v>8</v>
      </c>
      <c r="B718">
        <f t="shared" si="94"/>
        <v>9</v>
      </c>
      <c r="C718">
        <v>445</v>
      </c>
      <c r="D718">
        <f t="shared" ca="1" si="95"/>
        <v>4</v>
      </c>
      <c r="E718" t="str">
        <f t="shared" si="88"/>
        <v>9-445 arg1</v>
      </c>
      <c r="F718">
        <f t="shared" ca="1" si="89"/>
        <v>4</v>
      </c>
      <c r="G718" t="str">
        <f t="shared" si="90"/>
        <v>9-445 feedback1</v>
      </c>
      <c r="H718">
        <v>1</v>
      </c>
      <c r="I718">
        <f t="shared" ca="1" si="91"/>
        <v>4</v>
      </c>
      <c r="J718" t="str">
        <f t="shared" si="92"/>
        <v>9-445 arg2</v>
      </c>
      <c r="K718" t="str">
        <f t="shared" si="93"/>
        <v>9-445 feedback2</v>
      </c>
      <c r="L718">
        <v>1</v>
      </c>
      <c r="M718" t="s">
        <v>1285</v>
      </c>
      <c r="N718">
        <v>717</v>
      </c>
    </row>
    <row r="719" spans="1:14">
      <c r="A719">
        <v>8</v>
      </c>
      <c r="B719">
        <f t="shared" si="94"/>
        <v>9</v>
      </c>
      <c r="C719">
        <v>446</v>
      </c>
      <c r="D719">
        <f t="shared" ca="1" si="95"/>
        <v>5</v>
      </c>
      <c r="E719" t="str">
        <f t="shared" si="88"/>
        <v>9-446 arg1</v>
      </c>
      <c r="F719">
        <f t="shared" ca="1" si="89"/>
        <v>4</v>
      </c>
      <c r="G719" t="str">
        <f t="shared" si="90"/>
        <v>9-446 feedback1</v>
      </c>
      <c r="H719">
        <v>1</v>
      </c>
      <c r="I719">
        <f t="shared" ca="1" si="91"/>
        <v>5</v>
      </c>
      <c r="J719" t="str">
        <f t="shared" si="92"/>
        <v>9-446 arg2</v>
      </c>
      <c r="K719" t="str">
        <f t="shared" si="93"/>
        <v>9-446 feedback2</v>
      </c>
      <c r="L719">
        <v>1</v>
      </c>
      <c r="M719" t="s">
        <v>1285</v>
      </c>
      <c r="N719">
        <v>718</v>
      </c>
    </row>
    <row r="720" spans="1:14">
      <c r="A720">
        <v>8</v>
      </c>
      <c r="B720">
        <f t="shared" si="94"/>
        <v>9</v>
      </c>
      <c r="C720">
        <v>447</v>
      </c>
      <c r="D720">
        <f t="shared" ca="1" si="95"/>
        <v>4</v>
      </c>
      <c r="E720" t="str">
        <f t="shared" si="88"/>
        <v>9-447 arg1</v>
      </c>
      <c r="F720">
        <f t="shared" ca="1" si="89"/>
        <v>4</v>
      </c>
      <c r="G720" t="str">
        <f t="shared" si="90"/>
        <v>9-447 feedback1</v>
      </c>
      <c r="H720">
        <v>1</v>
      </c>
      <c r="I720">
        <f t="shared" ca="1" si="91"/>
        <v>5</v>
      </c>
      <c r="J720" t="str">
        <f t="shared" si="92"/>
        <v>9-447 arg2</v>
      </c>
      <c r="K720" t="str">
        <f t="shared" si="93"/>
        <v>9-447 feedback2</v>
      </c>
      <c r="L720">
        <v>1</v>
      </c>
      <c r="M720" t="s">
        <v>1285</v>
      </c>
      <c r="N720">
        <v>719</v>
      </c>
    </row>
    <row r="721" spans="1:14">
      <c r="A721">
        <v>8</v>
      </c>
      <c r="B721">
        <f t="shared" si="94"/>
        <v>9</v>
      </c>
      <c r="C721">
        <v>448</v>
      </c>
      <c r="D721">
        <f t="shared" ca="1" si="95"/>
        <v>4</v>
      </c>
      <c r="E721" t="str">
        <f t="shared" si="88"/>
        <v>9-448 arg1</v>
      </c>
      <c r="F721">
        <f t="shared" ca="1" si="89"/>
        <v>4</v>
      </c>
      <c r="G721" t="str">
        <f t="shared" si="90"/>
        <v>9-448 feedback1</v>
      </c>
      <c r="H721">
        <v>1</v>
      </c>
      <c r="I721">
        <f t="shared" ca="1" si="91"/>
        <v>5</v>
      </c>
      <c r="J721" t="str">
        <f t="shared" si="92"/>
        <v>9-448 arg2</v>
      </c>
      <c r="K721" t="str">
        <f t="shared" si="93"/>
        <v>9-448 feedback2</v>
      </c>
      <c r="L721">
        <v>1</v>
      </c>
      <c r="M721" t="s">
        <v>1285</v>
      </c>
      <c r="N721">
        <v>720</v>
      </c>
    </row>
    <row r="722" spans="1:14">
      <c r="A722">
        <v>8</v>
      </c>
      <c r="B722">
        <f t="shared" si="94"/>
        <v>9</v>
      </c>
      <c r="C722">
        <v>449</v>
      </c>
      <c r="D722">
        <f t="shared" ca="1" si="95"/>
        <v>5</v>
      </c>
      <c r="E722" t="str">
        <f t="shared" si="88"/>
        <v>9-449 arg1</v>
      </c>
      <c r="F722">
        <f t="shared" ca="1" si="89"/>
        <v>5</v>
      </c>
      <c r="G722" t="str">
        <f t="shared" si="90"/>
        <v>9-449 feedback1</v>
      </c>
      <c r="H722">
        <v>1</v>
      </c>
      <c r="I722">
        <f t="shared" ca="1" si="91"/>
        <v>5</v>
      </c>
      <c r="J722" t="str">
        <f t="shared" si="92"/>
        <v>9-449 arg2</v>
      </c>
      <c r="K722" t="str">
        <f t="shared" si="93"/>
        <v>9-449 feedback2</v>
      </c>
      <c r="L722">
        <v>1</v>
      </c>
      <c r="M722" t="s">
        <v>1285</v>
      </c>
      <c r="N722">
        <v>721</v>
      </c>
    </row>
    <row r="723" spans="1:14">
      <c r="A723">
        <v>8</v>
      </c>
      <c r="B723">
        <f t="shared" si="94"/>
        <v>9</v>
      </c>
      <c r="C723">
        <v>450</v>
      </c>
      <c r="D723">
        <f t="shared" ca="1" si="95"/>
        <v>5</v>
      </c>
      <c r="E723" t="str">
        <f t="shared" si="88"/>
        <v>9-450 arg1</v>
      </c>
      <c r="F723">
        <f t="shared" ca="1" si="89"/>
        <v>4</v>
      </c>
      <c r="G723" t="str">
        <f t="shared" si="90"/>
        <v>9-450 feedback1</v>
      </c>
      <c r="H723">
        <v>1</v>
      </c>
      <c r="I723">
        <f t="shared" ca="1" si="91"/>
        <v>5</v>
      </c>
      <c r="J723" t="str">
        <f t="shared" si="92"/>
        <v>9-450 arg2</v>
      </c>
      <c r="K723" t="str">
        <f t="shared" si="93"/>
        <v>9-450 feedback2</v>
      </c>
      <c r="L723">
        <v>1</v>
      </c>
      <c r="M723" t="s">
        <v>1285</v>
      </c>
      <c r="N723">
        <v>722</v>
      </c>
    </row>
    <row r="724" spans="1:14">
      <c r="A724">
        <v>8</v>
      </c>
      <c r="B724">
        <f t="shared" si="94"/>
        <v>9</v>
      </c>
      <c r="C724">
        <v>451</v>
      </c>
      <c r="D724">
        <f t="shared" ca="1" si="95"/>
        <v>4</v>
      </c>
      <c r="E724" t="str">
        <f t="shared" si="88"/>
        <v>9-451 arg1</v>
      </c>
      <c r="F724">
        <f t="shared" ca="1" si="89"/>
        <v>4</v>
      </c>
      <c r="G724" t="str">
        <f t="shared" si="90"/>
        <v>9-451 feedback1</v>
      </c>
      <c r="H724">
        <v>1</v>
      </c>
      <c r="I724">
        <f t="shared" ca="1" si="91"/>
        <v>5</v>
      </c>
      <c r="J724" t="str">
        <f t="shared" si="92"/>
        <v>9-451 arg2</v>
      </c>
      <c r="K724" t="str">
        <f t="shared" si="93"/>
        <v>9-451 feedback2</v>
      </c>
      <c r="L724">
        <v>1</v>
      </c>
      <c r="M724" t="s">
        <v>1285</v>
      </c>
      <c r="N724">
        <v>723</v>
      </c>
    </row>
    <row r="725" spans="1:14">
      <c r="A725">
        <v>8</v>
      </c>
      <c r="B725">
        <f t="shared" si="94"/>
        <v>9</v>
      </c>
      <c r="C725">
        <v>452</v>
      </c>
      <c r="D725">
        <f t="shared" ca="1" si="95"/>
        <v>4</v>
      </c>
      <c r="E725" t="str">
        <f t="shared" ref="E725:E788" si="96">_xlfn.CONCAT(B725,"-",C725," arg1")</f>
        <v>9-452 arg1</v>
      </c>
      <c r="F725">
        <f t="shared" ref="F725:F788" ca="1" si="97">D725-ROUND(2*RAND(),0)</f>
        <v>3</v>
      </c>
      <c r="G725" t="str">
        <f t="shared" ref="G725:G788" si="98">_xlfn.CONCAT(B725,"-",C725," feedback1")</f>
        <v>9-452 feedback1</v>
      </c>
      <c r="H725">
        <v>1</v>
      </c>
      <c r="I725">
        <f t="shared" ref="I725:I788" ca="1" si="99">MIN(5,F725+ROUND(RAND(),0))</f>
        <v>3</v>
      </c>
      <c r="J725" t="str">
        <f t="shared" ref="J725:J788" si="100">_xlfn.CONCAT(B725,"-",C725," arg2")</f>
        <v>9-452 arg2</v>
      </c>
      <c r="K725" t="str">
        <f t="shared" ref="K725:K788" si="101">_xlfn.CONCAT(B725,"-",C725," feedback2")</f>
        <v>9-452 feedback2</v>
      </c>
      <c r="L725">
        <v>1</v>
      </c>
      <c r="M725" t="s">
        <v>1285</v>
      </c>
      <c r="N725">
        <v>724</v>
      </c>
    </row>
    <row r="726" spans="1:14">
      <c r="A726">
        <v>8</v>
      </c>
      <c r="B726">
        <f t="shared" si="94"/>
        <v>9</v>
      </c>
      <c r="C726">
        <v>453</v>
      </c>
      <c r="D726">
        <f t="shared" ca="1" si="95"/>
        <v>4</v>
      </c>
      <c r="E726" t="str">
        <f t="shared" si="96"/>
        <v>9-453 arg1</v>
      </c>
      <c r="F726">
        <f t="shared" ca="1" si="97"/>
        <v>2</v>
      </c>
      <c r="G726" t="str">
        <f t="shared" si="98"/>
        <v>9-453 feedback1</v>
      </c>
      <c r="H726">
        <v>1</v>
      </c>
      <c r="I726">
        <f t="shared" ca="1" si="99"/>
        <v>3</v>
      </c>
      <c r="J726" t="str">
        <f t="shared" si="100"/>
        <v>9-453 arg2</v>
      </c>
      <c r="K726" t="str">
        <f t="shared" si="101"/>
        <v>9-453 feedback2</v>
      </c>
      <c r="L726">
        <v>1</v>
      </c>
      <c r="M726" t="s">
        <v>1285</v>
      </c>
      <c r="N726">
        <v>725</v>
      </c>
    </row>
    <row r="727" spans="1:14">
      <c r="A727">
        <v>8</v>
      </c>
      <c r="B727">
        <f t="shared" si="94"/>
        <v>9</v>
      </c>
      <c r="C727">
        <v>454</v>
      </c>
      <c r="D727">
        <f t="shared" ca="1" si="95"/>
        <v>5</v>
      </c>
      <c r="E727" t="str">
        <f t="shared" si="96"/>
        <v>9-454 arg1</v>
      </c>
      <c r="F727">
        <f t="shared" ca="1" si="97"/>
        <v>4</v>
      </c>
      <c r="G727" t="str">
        <f t="shared" si="98"/>
        <v>9-454 feedback1</v>
      </c>
      <c r="H727">
        <v>1</v>
      </c>
      <c r="I727">
        <f t="shared" ca="1" si="99"/>
        <v>4</v>
      </c>
      <c r="J727" t="str">
        <f t="shared" si="100"/>
        <v>9-454 arg2</v>
      </c>
      <c r="K727" t="str">
        <f t="shared" si="101"/>
        <v>9-454 feedback2</v>
      </c>
      <c r="L727">
        <v>1</v>
      </c>
      <c r="M727" t="s">
        <v>1285</v>
      </c>
      <c r="N727">
        <v>726</v>
      </c>
    </row>
    <row r="728" spans="1:14">
      <c r="A728">
        <v>8</v>
      </c>
      <c r="B728">
        <f t="shared" si="94"/>
        <v>9</v>
      </c>
      <c r="C728">
        <v>455</v>
      </c>
      <c r="D728">
        <f t="shared" ca="1" si="95"/>
        <v>5</v>
      </c>
      <c r="E728" t="str">
        <f t="shared" si="96"/>
        <v>9-455 arg1</v>
      </c>
      <c r="F728">
        <f t="shared" ca="1" si="97"/>
        <v>4</v>
      </c>
      <c r="G728" t="str">
        <f t="shared" si="98"/>
        <v>9-455 feedback1</v>
      </c>
      <c r="H728">
        <v>1</v>
      </c>
      <c r="I728">
        <f t="shared" ca="1" si="99"/>
        <v>5</v>
      </c>
      <c r="J728" t="str">
        <f t="shared" si="100"/>
        <v>9-455 arg2</v>
      </c>
      <c r="K728" t="str">
        <f t="shared" si="101"/>
        <v>9-455 feedback2</v>
      </c>
      <c r="L728">
        <v>1</v>
      </c>
      <c r="M728" t="s">
        <v>1285</v>
      </c>
      <c r="N728">
        <v>727</v>
      </c>
    </row>
    <row r="729" spans="1:14">
      <c r="A729">
        <v>8</v>
      </c>
      <c r="B729">
        <f t="shared" si="94"/>
        <v>9</v>
      </c>
      <c r="C729">
        <v>456</v>
      </c>
      <c r="D729">
        <f t="shared" ca="1" si="95"/>
        <v>4</v>
      </c>
      <c r="E729" t="str">
        <f t="shared" si="96"/>
        <v>9-456 arg1</v>
      </c>
      <c r="F729">
        <f t="shared" ca="1" si="97"/>
        <v>2</v>
      </c>
      <c r="G729" t="str">
        <f t="shared" si="98"/>
        <v>9-456 feedback1</v>
      </c>
      <c r="H729">
        <v>1</v>
      </c>
      <c r="I729">
        <f t="shared" ca="1" si="99"/>
        <v>2</v>
      </c>
      <c r="J729" t="str">
        <f t="shared" si="100"/>
        <v>9-456 arg2</v>
      </c>
      <c r="K729" t="str">
        <f t="shared" si="101"/>
        <v>9-456 feedback2</v>
      </c>
      <c r="L729">
        <v>1</v>
      </c>
      <c r="M729" t="s">
        <v>1285</v>
      </c>
      <c r="N729">
        <v>728</v>
      </c>
    </row>
    <row r="730" spans="1:14">
      <c r="A730">
        <v>8</v>
      </c>
      <c r="B730">
        <f t="shared" si="94"/>
        <v>9</v>
      </c>
      <c r="C730">
        <v>457</v>
      </c>
      <c r="D730">
        <f t="shared" ca="1" si="95"/>
        <v>3</v>
      </c>
      <c r="E730" t="str">
        <f t="shared" si="96"/>
        <v>9-457 arg1</v>
      </c>
      <c r="F730">
        <f t="shared" ca="1" si="97"/>
        <v>1</v>
      </c>
      <c r="G730" t="str">
        <f t="shared" si="98"/>
        <v>9-457 feedback1</v>
      </c>
      <c r="H730">
        <v>1</v>
      </c>
      <c r="I730">
        <f t="shared" ca="1" si="99"/>
        <v>1</v>
      </c>
      <c r="J730" t="str">
        <f t="shared" si="100"/>
        <v>9-457 arg2</v>
      </c>
      <c r="K730" t="str">
        <f t="shared" si="101"/>
        <v>9-457 feedback2</v>
      </c>
      <c r="L730">
        <v>1</v>
      </c>
      <c r="M730" t="s">
        <v>1285</v>
      </c>
      <c r="N730">
        <v>729</v>
      </c>
    </row>
    <row r="731" spans="1:14">
      <c r="A731">
        <v>8</v>
      </c>
      <c r="B731">
        <f t="shared" si="94"/>
        <v>9</v>
      </c>
      <c r="C731">
        <v>458</v>
      </c>
      <c r="D731">
        <f t="shared" ca="1" si="95"/>
        <v>4</v>
      </c>
      <c r="E731" t="str">
        <f t="shared" si="96"/>
        <v>9-458 arg1</v>
      </c>
      <c r="F731">
        <f t="shared" ca="1" si="97"/>
        <v>2</v>
      </c>
      <c r="G731" t="str">
        <f t="shared" si="98"/>
        <v>9-458 feedback1</v>
      </c>
      <c r="H731">
        <v>1</v>
      </c>
      <c r="I731">
        <f t="shared" ca="1" si="99"/>
        <v>2</v>
      </c>
      <c r="J731" t="str">
        <f t="shared" si="100"/>
        <v>9-458 arg2</v>
      </c>
      <c r="K731" t="str">
        <f t="shared" si="101"/>
        <v>9-458 feedback2</v>
      </c>
      <c r="L731">
        <v>1</v>
      </c>
      <c r="M731" t="s">
        <v>1285</v>
      </c>
      <c r="N731">
        <v>730</v>
      </c>
    </row>
    <row r="732" spans="1:14">
      <c r="A732">
        <v>8</v>
      </c>
      <c r="B732">
        <f t="shared" si="94"/>
        <v>9</v>
      </c>
      <c r="C732">
        <v>459</v>
      </c>
      <c r="D732">
        <f t="shared" ca="1" si="95"/>
        <v>3</v>
      </c>
      <c r="E732" t="str">
        <f t="shared" si="96"/>
        <v>9-459 arg1</v>
      </c>
      <c r="F732">
        <f t="shared" ca="1" si="97"/>
        <v>3</v>
      </c>
      <c r="G732" t="str">
        <f t="shared" si="98"/>
        <v>9-459 feedback1</v>
      </c>
      <c r="H732">
        <v>1</v>
      </c>
      <c r="I732">
        <f t="shared" ca="1" si="99"/>
        <v>4</v>
      </c>
      <c r="J732" t="str">
        <f t="shared" si="100"/>
        <v>9-459 arg2</v>
      </c>
      <c r="K732" t="str">
        <f t="shared" si="101"/>
        <v>9-459 feedback2</v>
      </c>
      <c r="L732">
        <v>1</v>
      </c>
      <c r="M732" t="s">
        <v>1285</v>
      </c>
      <c r="N732">
        <v>731</v>
      </c>
    </row>
    <row r="733" spans="1:14">
      <c r="A733">
        <v>8</v>
      </c>
      <c r="B733">
        <f t="shared" si="94"/>
        <v>9</v>
      </c>
      <c r="C733">
        <v>460</v>
      </c>
      <c r="D733">
        <f t="shared" ca="1" si="95"/>
        <v>3</v>
      </c>
      <c r="E733" t="str">
        <f t="shared" si="96"/>
        <v>9-460 arg1</v>
      </c>
      <c r="F733">
        <f t="shared" ca="1" si="97"/>
        <v>2</v>
      </c>
      <c r="G733" t="str">
        <f t="shared" si="98"/>
        <v>9-460 feedback1</v>
      </c>
      <c r="H733">
        <v>1</v>
      </c>
      <c r="I733">
        <f t="shared" ca="1" si="99"/>
        <v>3</v>
      </c>
      <c r="J733" t="str">
        <f t="shared" si="100"/>
        <v>9-460 arg2</v>
      </c>
      <c r="K733" t="str">
        <f t="shared" si="101"/>
        <v>9-460 feedback2</v>
      </c>
      <c r="L733">
        <v>1</v>
      </c>
      <c r="M733" t="s">
        <v>1285</v>
      </c>
      <c r="N733">
        <v>732</v>
      </c>
    </row>
    <row r="734" spans="1:14">
      <c r="A734">
        <v>8</v>
      </c>
      <c r="B734">
        <f t="shared" si="94"/>
        <v>9</v>
      </c>
      <c r="C734">
        <v>461</v>
      </c>
      <c r="D734">
        <f t="shared" ca="1" si="95"/>
        <v>4</v>
      </c>
      <c r="E734" t="str">
        <f t="shared" si="96"/>
        <v>9-461 arg1</v>
      </c>
      <c r="F734">
        <f t="shared" ca="1" si="97"/>
        <v>3</v>
      </c>
      <c r="G734" t="str">
        <f t="shared" si="98"/>
        <v>9-461 feedback1</v>
      </c>
      <c r="H734">
        <v>1</v>
      </c>
      <c r="I734">
        <f t="shared" ca="1" si="99"/>
        <v>3</v>
      </c>
      <c r="J734" t="str">
        <f t="shared" si="100"/>
        <v>9-461 arg2</v>
      </c>
      <c r="K734" t="str">
        <f t="shared" si="101"/>
        <v>9-461 feedback2</v>
      </c>
      <c r="L734">
        <v>1</v>
      </c>
      <c r="M734" t="s">
        <v>1285</v>
      </c>
      <c r="N734">
        <v>733</v>
      </c>
    </row>
    <row r="735" spans="1:14">
      <c r="A735">
        <v>8</v>
      </c>
      <c r="B735">
        <f t="shared" si="94"/>
        <v>9</v>
      </c>
      <c r="C735">
        <v>462</v>
      </c>
      <c r="D735">
        <f t="shared" ca="1" si="95"/>
        <v>3</v>
      </c>
      <c r="E735" t="str">
        <f t="shared" si="96"/>
        <v>9-462 arg1</v>
      </c>
      <c r="F735">
        <f t="shared" ca="1" si="97"/>
        <v>1</v>
      </c>
      <c r="G735" t="str">
        <f t="shared" si="98"/>
        <v>9-462 feedback1</v>
      </c>
      <c r="H735">
        <v>1</v>
      </c>
      <c r="I735">
        <f t="shared" ca="1" si="99"/>
        <v>1</v>
      </c>
      <c r="J735" t="str">
        <f t="shared" si="100"/>
        <v>9-462 arg2</v>
      </c>
      <c r="K735" t="str">
        <f t="shared" si="101"/>
        <v>9-462 feedback2</v>
      </c>
      <c r="L735">
        <v>1</v>
      </c>
      <c r="M735" t="s">
        <v>1285</v>
      </c>
      <c r="N735">
        <v>734</v>
      </c>
    </row>
    <row r="736" spans="1:14">
      <c r="A736">
        <v>8</v>
      </c>
      <c r="B736">
        <f t="shared" si="94"/>
        <v>9</v>
      </c>
      <c r="C736">
        <v>463</v>
      </c>
      <c r="D736">
        <f t="shared" ca="1" si="95"/>
        <v>4</v>
      </c>
      <c r="E736" t="str">
        <f t="shared" si="96"/>
        <v>9-463 arg1</v>
      </c>
      <c r="F736">
        <f t="shared" ca="1" si="97"/>
        <v>3</v>
      </c>
      <c r="G736" t="str">
        <f t="shared" si="98"/>
        <v>9-463 feedback1</v>
      </c>
      <c r="H736">
        <v>1</v>
      </c>
      <c r="I736">
        <f t="shared" ca="1" si="99"/>
        <v>4</v>
      </c>
      <c r="J736" t="str">
        <f t="shared" si="100"/>
        <v>9-463 arg2</v>
      </c>
      <c r="K736" t="str">
        <f t="shared" si="101"/>
        <v>9-463 feedback2</v>
      </c>
      <c r="L736">
        <v>1</v>
      </c>
      <c r="M736" t="s">
        <v>1285</v>
      </c>
      <c r="N736">
        <v>735</v>
      </c>
    </row>
    <row r="737" spans="1:14">
      <c r="A737">
        <v>8</v>
      </c>
      <c r="B737">
        <f t="shared" si="94"/>
        <v>9</v>
      </c>
      <c r="C737">
        <v>464</v>
      </c>
      <c r="D737">
        <f t="shared" ca="1" si="95"/>
        <v>4</v>
      </c>
      <c r="E737" t="str">
        <f t="shared" si="96"/>
        <v>9-464 arg1</v>
      </c>
      <c r="F737">
        <f t="shared" ca="1" si="97"/>
        <v>2</v>
      </c>
      <c r="G737" t="str">
        <f t="shared" si="98"/>
        <v>9-464 feedback1</v>
      </c>
      <c r="H737">
        <v>1</v>
      </c>
      <c r="I737">
        <f t="shared" ca="1" si="99"/>
        <v>3</v>
      </c>
      <c r="J737" t="str">
        <f t="shared" si="100"/>
        <v>9-464 arg2</v>
      </c>
      <c r="K737" t="str">
        <f t="shared" si="101"/>
        <v>9-464 feedback2</v>
      </c>
      <c r="L737">
        <v>1</v>
      </c>
      <c r="M737" t="s">
        <v>1285</v>
      </c>
      <c r="N737">
        <v>736</v>
      </c>
    </row>
    <row r="738" spans="1:14">
      <c r="A738">
        <v>8</v>
      </c>
      <c r="B738">
        <f t="shared" si="94"/>
        <v>9</v>
      </c>
      <c r="C738">
        <v>465</v>
      </c>
      <c r="D738">
        <f t="shared" ca="1" si="95"/>
        <v>4</v>
      </c>
      <c r="E738" t="str">
        <f t="shared" si="96"/>
        <v>9-465 arg1</v>
      </c>
      <c r="F738">
        <f t="shared" ca="1" si="97"/>
        <v>3</v>
      </c>
      <c r="G738" t="str">
        <f t="shared" si="98"/>
        <v>9-465 feedback1</v>
      </c>
      <c r="H738">
        <v>1</v>
      </c>
      <c r="I738">
        <f t="shared" ca="1" si="99"/>
        <v>3</v>
      </c>
      <c r="J738" t="str">
        <f t="shared" si="100"/>
        <v>9-465 arg2</v>
      </c>
      <c r="K738" t="str">
        <f t="shared" si="101"/>
        <v>9-465 feedback2</v>
      </c>
      <c r="L738">
        <v>1</v>
      </c>
      <c r="M738" t="s">
        <v>1285</v>
      </c>
      <c r="N738">
        <v>737</v>
      </c>
    </row>
    <row r="739" spans="1:14">
      <c r="A739">
        <v>8</v>
      </c>
      <c r="B739">
        <f t="shared" si="94"/>
        <v>9</v>
      </c>
      <c r="C739">
        <v>466</v>
      </c>
      <c r="D739">
        <f t="shared" ca="1" si="95"/>
        <v>4</v>
      </c>
      <c r="E739" t="str">
        <f t="shared" si="96"/>
        <v>9-466 arg1</v>
      </c>
      <c r="F739">
        <f t="shared" ca="1" si="97"/>
        <v>3</v>
      </c>
      <c r="G739" t="str">
        <f t="shared" si="98"/>
        <v>9-466 feedback1</v>
      </c>
      <c r="H739">
        <v>1</v>
      </c>
      <c r="I739">
        <f t="shared" ca="1" si="99"/>
        <v>4</v>
      </c>
      <c r="J739" t="str">
        <f t="shared" si="100"/>
        <v>9-466 arg2</v>
      </c>
      <c r="K739" t="str">
        <f t="shared" si="101"/>
        <v>9-466 feedback2</v>
      </c>
      <c r="L739">
        <v>1</v>
      </c>
      <c r="M739" t="s">
        <v>1285</v>
      </c>
      <c r="N739">
        <v>738</v>
      </c>
    </row>
    <row r="740" spans="1:14">
      <c r="A740">
        <v>8</v>
      </c>
      <c r="B740">
        <f t="shared" si="94"/>
        <v>9</v>
      </c>
      <c r="C740">
        <v>467</v>
      </c>
      <c r="D740">
        <f t="shared" ca="1" si="95"/>
        <v>5</v>
      </c>
      <c r="E740" t="str">
        <f t="shared" si="96"/>
        <v>9-467 arg1</v>
      </c>
      <c r="F740">
        <f t="shared" ca="1" si="97"/>
        <v>5</v>
      </c>
      <c r="G740" t="str">
        <f t="shared" si="98"/>
        <v>9-467 feedback1</v>
      </c>
      <c r="H740">
        <v>1</v>
      </c>
      <c r="I740">
        <f t="shared" ca="1" si="99"/>
        <v>5</v>
      </c>
      <c r="J740" t="str">
        <f t="shared" si="100"/>
        <v>9-467 arg2</v>
      </c>
      <c r="K740" t="str">
        <f t="shared" si="101"/>
        <v>9-467 feedback2</v>
      </c>
      <c r="L740">
        <v>1</v>
      </c>
      <c r="M740" t="s">
        <v>1285</v>
      </c>
      <c r="N740">
        <v>739</v>
      </c>
    </row>
    <row r="741" spans="1:14">
      <c r="A741">
        <v>8</v>
      </c>
      <c r="B741">
        <f t="shared" si="94"/>
        <v>9</v>
      </c>
      <c r="C741">
        <v>468</v>
      </c>
      <c r="D741">
        <f t="shared" ca="1" si="95"/>
        <v>3</v>
      </c>
      <c r="E741" t="str">
        <f t="shared" si="96"/>
        <v>9-468 arg1</v>
      </c>
      <c r="F741">
        <f t="shared" ca="1" si="97"/>
        <v>3</v>
      </c>
      <c r="G741" t="str">
        <f t="shared" si="98"/>
        <v>9-468 feedback1</v>
      </c>
      <c r="H741">
        <v>1</v>
      </c>
      <c r="I741">
        <f t="shared" ca="1" si="99"/>
        <v>3</v>
      </c>
      <c r="J741" t="str">
        <f t="shared" si="100"/>
        <v>9-468 arg2</v>
      </c>
      <c r="K741" t="str">
        <f t="shared" si="101"/>
        <v>9-468 feedback2</v>
      </c>
      <c r="L741">
        <v>1</v>
      </c>
      <c r="M741" t="s">
        <v>1285</v>
      </c>
      <c r="N741">
        <v>740</v>
      </c>
    </row>
    <row r="742" spans="1:14">
      <c r="A742">
        <v>8</v>
      </c>
      <c r="B742">
        <f t="shared" si="94"/>
        <v>9</v>
      </c>
      <c r="C742">
        <v>469</v>
      </c>
      <c r="D742">
        <f t="shared" ca="1" si="95"/>
        <v>4</v>
      </c>
      <c r="E742" t="str">
        <f t="shared" si="96"/>
        <v>9-469 arg1</v>
      </c>
      <c r="F742">
        <f t="shared" ca="1" si="97"/>
        <v>4</v>
      </c>
      <c r="G742" t="str">
        <f t="shared" si="98"/>
        <v>9-469 feedback1</v>
      </c>
      <c r="H742">
        <v>1</v>
      </c>
      <c r="I742">
        <f t="shared" ca="1" si="99"/>
        <v>4</v>
      </c>
      <c r="J742" t="str">
        <f t="shared" si="100"/>
        <v>9-469 arg2</v>
      </c>
      <c r="K742" t="str">
        <f t="shared" si="101"/>
        <v>9-469 feedback2</v>
      </c>
      <c r="L742">
        <v>1</v>
      </c>
      <c r="M742" t="s">
        <v>1285</v>
      </c>
      <c r="N742">
        <v>741</v>
      </c>
    </row>
    <row r="743" spans="1:14">
      <c r="A743">
        <v>8</v>
      </c>
      <c r="B743">
        <f t="shared" si="94"/>
        <v>9</v>
      </c>
      <c r="C743">
        <v>470</v>
      </c>
      <c r="D743">
        <f t="shared" ca="1" si="95"/>
        <v>4</v>
      </c>
      <c r="E743" t="str">
        <f t="shared" si="96"/>
        <v>9-470 arg1</v>
      </c>
      <c r="F743">
        <f t="shared" ca="1" si="97"/>
        <v>2</v>
      </c>
      <c r="G743" t="str">
        <f t="shared" si="98"/>
        <v>9-470 feedback1</v>
      </c>
      <c r="H743">
        <v>1</v>
      </c>
      <c r="I743">
        <f t="shared" ca="1" si="99"/>
        <v>3</v>
      </c>
      <c r="J743" t="str">
        <f t="shared" si="100"/>
        <v>9-470 arg2</v>
      </c>
      <c r="K743" t="str">
        <f t="shared" si="101"/>
        <v>9-470 feedback2</v>
      </c>
      <c r="L743">
        <v>1</v>
      </c>
      <c r="M743" t="s">
        <v>1285</v>
      </c>
      <c r="N743">
        <v>742</v>
      </c>
    </row>
    <row r="744" spans="1:14">
      <c r="A744">
        <v>8</v>
      </c>
      <c r="B744">
        <f t="shared" si="94"/>
        <v>9</v>
      </c>
      <c r="C744">
        <v>471</v>
      </c>
      <c r="D744">
        <f t="shared" ca="1" si="95"/>
        <v>5</v>
      </c>
      <c r="E744" t="str">
        <f t="shared" si="96"/>
        <v>9-471 arg1</v>
      </c>
      <c r="F744">
        <f t="shared" ca="1" si="97"/>
        <v>5</v>
      </c>
      <c r="G744" t="str">
        <f t="shared" si="98"/>
        <v>9-471 feedback1</v>
      </c>
      <c r="H744">
        <v>1</v>
      </c>
      <c r="I744">
        <f t="shared" ca="1" si="99"/>
        <v>5</v>
      </c>
      <c r="J744" t="str">
        <f t="shared" si="100"/>
        <v>9-471 arg2</v>
      </c>
      <c r="K744" t="str">
        <f t="shared" si="101"/>
        <v>9-471 feedback2</v>
      </c>
      <c r="L744">
        <v>1</v>
      </c>
      <c r="M744" t="s">
        <v>1285</v>
      </c>
      <c r="N744">
        <v>743</v>
      </c>
    </row>
    <row r="745" spans="1:14">
      <c r="A745">
        <v>8</v>
      </c>
      <c r="B745">
        <f t="shared" si="94"/>
        <v>9</v>
      </c>
      <c r="C745">
        <v>472</v>
      </c>
      <c r="D745">
        <f t="shared" ca="1" si="95"/>
        <v>5</v>
      </c>
      <c r="E745" t="str">
        <f t="shared" si="96"/>
        <v>9-472 arg1</v>
      </c>
      <c r="F745">
        <f t="shared" ca="1" si="97"/>
        <v>4</v>
      </c>
      <c r="G745" t="str">
        <f t="shared" si="98"/>
        <v>9-472 feedback1</v>
      </c>
      <c r="H745">
        <v>1</v>
      </c>
      <c r="I745">
        <f t="shared" ca="1" si="99"/>
        <v>4</v>
      </c>
      <c r="J745" t="str">
        <f t="shared" si="100"/>
        <v>9-472 arg2</v>
      </c>
      <c r="K745" t="str">
        <f t="shared" si="101"/>
        <v>9-472 feedback2</v>
      </c>
      <c r="L745">
        <v>1</v>
      </c>
      <c r="M745" t="s">
        <v>1285</v>
      </c>
      <c r="N745">
        <v>744</v>
      </c>
    </row>
    <row r="746" spans="1:14">
      <c r="A746">
        <v>8</v>
      </c>
      <c r="B746">
        <f t="shared" si="94"/>
        <v>9</v>
      </c>
      <c r="C746">
        <v>473</v>
      </c>
      <c r="D746">
        <f t="shared" ca="1" si="95"/>
        <v>5</v>
      </c>
      <c r="E746" t="str">
        <f t="shared" si="96"/>
        <v>9-473 arg1</v>
      </c>
      <c r="F746">
        <f t="shared" ca="1" si="97"/>
        <v>3</v>
      </c>
      <c r="G746" t="str">
        <f t="shared" si="98"/>
        <v>9-473 feedback1</v>
      </c>
      <c r="H746">
        <v>1</v>
      </c>
      <c r="I746">
        <f t="shared" ca="1" si="99"/>
        <v>3</v>
      </c>
      <c r="J746" t="str">
        <f t="shared" si="100"/>
        <v>9-473 arg2</v>
      </c>
      <c r="K746" t="str">
        <f t="shared" si="101"/>
        <v>9-473 feedback2</v>
      </c>
      <c r="L746">
        <v>1</v>
      </c>
      <c r="M746" t="s">
        <v>1285</v>
      </c>
      <c r="N746">
        <v>745</v>
      </c>
    </row>
    <row r="747" spans="1:14">
      <c r="A747">
        <v>8</v>
      </c>
      <c r="B747">
        <f t="shared" si="94"/>
        <v>9</v>
      </c>
      <c r="C747">
        <v>474</v>
      </c>
      <c r="D747">
        <f t="shared" ca="1" si="95"/>
        <v>4</v>
      </c>
      <c r="E747" t="str">
        <f t="shared" si="96"/>
        <v>9-474 arg1</v>
      </c>
      <c r="F747">
        <f t="shared" ca="1" si="97"/>
        <v>3</v>
      </c>
      <c r="G747" t="str">
        <f t="shared" si="98"/>
        <v>9-474 feedback1</v>
      </c>
      <c r="H747">
        <v>1</v>
      </c>
      <c r="I747">
        <f t="shared" ca="1" si="99"/>
        <v>3</v>
      </c>
      <c r="J747" t="str">
        <f t="shared" si="100"/>
        <v>9-474 arg2</v>
      </c>
      <c r="K747" t="str">
        <f t="shared" si="101"/>
        <v>9-474 feedback2</v>
      </c>
      <c r="L747">
        <v>1</v>
      </c>
      <c r="M747" t="s">
        <v>1285</v>
      </c>
      <c r="N747">
        <v>746</v>
      </c>
    </row>
    <row r="748" spans="1:14">
      <c r="A748">
        <v>8</v>
      </c>
      <c r="B748">
        <f t="shared" si="94"/>
        <v>9</v>
      </c>
      <c r="C748">
        <v>475</v>
      </c>
      <c r="D748">
        <f t="shared" ca="1" si="95"/>
        <v>5</v>
      </c>
      <c r="E748" t="str">
        <f t="shared" si="96"/>
        <v>9-475 arg1</v>
      </c>
      <c r="F748">
        <f t="shared" ca="1" si="97"/>
        <v>4</v>
      </c>
      <c r="G748" t="str">
        <f t="shared" si="98"/>
        <v>9-475 feedback1</v>
      </c>
      <c r="H748">
        <v>1</v>
      </c>
      <c r="I748">
        <f t="shared" ca="1" si="99"/>
        <v>4</v>
      </c>
      <c r="J748" t="str">
        <f t="shared" si="100"/>
        <v>9-475 arg2</v>
      </c>
      <c r="K748" t="str">
        <f t="shared" si="101"/>
        <v>9-475 feedback2</v>
      </c>
      <c r="L748">
        <v>1</v>
      </c>
      <c r="M748" t="s">
        <v>1285</v>
      </c>
      <c r="N748">
        <v>747</v>
      </c>
    </row>
    <row r="749" spans="1:14">
      <c r="A749">
        <v>8</v>
      </c>
      <c r="B749">
        <f t="shared" si="94"/>
        <v>9</v>
      </c>
      <c r="C749">
        <v>476</v>
      </c>
      <c r="D749">
        <f t="shared" ca="1" si="95"/>
        <v>4</v>
      </c>
      <c r="E749" t="str">
        <f t="shared" si="96"/>
        <v>9-476 arg1</v>
      </c>
      <c r="F749">
        <f t="shared" ca="1" si="97"/>
        <v>3</v>
      </c>
      <c r="G749" t="str">
        <f t="shared" si="98"/>
        <v>9-476 feedback1</v>
      </c>
      <c r="H749">
        <v>1</v>
      </c>
      <c r="I749">
        <f t="shared" ca="1" si="99"/>
        <v>4</v>
      </c>
      <c r="J749" t="str">
        <f t="shared" si="100"/>
        <v>9-476 arg2</v>
      </c>
      <c r="K749" t="str">
        <f t="shared" si="101"/>
        <v>9-476 feedback2</v>
      </c>
      <c r="L749">
        <v>1</v>
      </c>
      <c r="M749" t="s">
        <v>1285</v>
      </c>
      <c r="N749">
        <v>748</v>
      </c>
    </row>
    <row r="750" spans="1:14">
      <c r="A750">
        <v>8</v>
      </c>
      <c r="B750">
        <f t="shared" si="94"/>
        <v>9</v>
      </c>
      <c r="C750">
        <v>477</v>
      </c>
      <c r="D750">
        <f t="shared" ca="1" si="95"/>
        <v>4</v>
      </c>
      <c r="E750" t="str">
        <f t="shared" si="96"/>
        <v>9-477 arg1</v>
      </c>
      <c r="F750">
        <f t="shared" ca="1" si="97"/>
        <v>3</v>
      </c>
      <c r="G750" t="str">
        <f t="shared" si="98"/>
        <v>9-477 feedback1</v>
      </c>
      <c r="H750">
        <v>1</v>
      </c>
      <c r="I750">
        <f t="shared" ca="1" si="99"/>
        <v>3</v>
      </c>
      <c r="J750" t="str">
        <f t="shared" si="100"/>
        <v>9-477 arg2</v>
      </c>
      <c r="K750" t="str">
        <f t="shared" si="101"/>
        <v>9-477 feedback2</v>
      </c>
      <c r="L750">
        <v>1</v>
      </c>
      <c r="M750" t="s">
        <v>1285</v>
      </c>
      <c r="N750">
        <v>749</v>
      </c>
    </row>
    <row r="751" spans="1:14">
      <c r="A751">
        <v>8</v>
      </c>
      <c r="B751">
        <f t="shared" si="94"/>
        <v>9</v>
      </c>
      <c r="C751">
        <v>478</v>
      </c>
      <c r="D751">
        <f t="shared" ca="1" si="95"/>
        <v>5</v>
      </c>
      <c r="E751" t="str">
        <f t="shared" si="96"/>
        <v>9-478 arg1</v>
      </c>
      <c r="F751">
        <f t="shared" ca="1" si="97"/>
        <v>3</v>
      </c>
      <c r="G751" t="str">
        <f t="shared" si="98"/>
        <v>9-478 feedback1</v>
      </c>
      <c r="H751">
        <v>1</v>
      </c>
      <c r="I751">
        <f t="shared" ca="1" si="99"/>
        <v>3</v>
      </c>
      <c r="J751" t="str">
        <f t="shared" si="100"/>
        <v>9-478 arg2</v>
      </c>
      <c r="K751" t="str">
        <f t="shared" si="101"/>
        <v>9-478 feedback2</v>
      </c>
      <c r="L751">
        <v>1</v>
      </c>
      <c r="M751" t="s">
        <v>1285</v>
      </c>
      <c r="N751">
        <v>750</v>
      </c>
    </row>
    <row r="752" spans="1:14">
      <c r="A752">
        <v>8</v>
      </c>
      <c r="B752">
        <f t="shared" si="94"/>
        <v>9</v>
      </c>
      <c r="C752">
        <v>479</v>
      </c>
      <c r="D752">
        <f t="shared" ca="1" si="95"/>
        <v>4</v>
      </c>
      <c r="E752" t="str">
        <f t="shared" si="96"/>
        <v>9-479 arg1</v>
      </c>
      <c r="F752">
        <f t="shared" ca="1" si="97"/>
        <v>2</v>
      </c>
      <c r="G752" t="str">
        <f t="shared" si="98"/>
        <v>9-479 feedback1</v>
      </c>
      <c r="H752">
        <v>1</v>
      </c>
      <c r="I752">
        <f t="shared" ca="1" si="99"/>
        <v>3</v>
      </c>
      <c r="J752" t="str">
        <f t="shared" si="100"/>
        <v>9-479 arg2</v>
      </c>
      <c r="K752" t="str">
        <f t="shared" si="101"/>
        <v>9-479 feedback2</v>
      </c>
      <c r="L752">
        <v>1</v>
      </c>
      <c r="M752" t="s">
        <v>1285</v>
      </c>
      <c r="N752">
        <v>751</v>
      </c>
    </row>
    <row r="753" spans="1:14">
      <c r="A753">
        <v>8</v>
      </c>
      <c r="B753">
        <f t="shared" si="94"/>
        <v>9</v>
      </c>
      <c r="C753">
        <v>480</v>
      </c>
      <c r="D753">
        <f t="shared" ca="1" si="95"/>
        <v>5</v>
      </c>
      <c r="E753" t="str">
        <f t="shared" si="96"/>
        <v>9-480 arg1</v>
      </c>
      <c r="F753">
        <f t="shared" ca="1" si="97"/>
        <v>3</v>
      </c>
      <c r="G753" t="str">
        <f t="shared" si="98"/>
        <v>9-480 feedback1</v>
      </c>
      <c r="H753">
        <v>1</v>
      </c>
      <c r="I753">
        <f t="shared" ca="1" si="99"/>
        <v>3</v>
      </c>
      <c r="J753" t="str">
        <f t="shared" si="100"/>
        <v>9-480 arg2</v>
      </c>
      <c r="K753" t="str">
        <f t="shared" si="101"/>
        <v>9-480 feedback2</v>
      </c>
      <c r="L753">
        <v>1</v>
      </c>
      <c r="M753" t="s">
        <v>1285</v>
      </c>
      <c r="N753">
        <v>752</v>
      </c>
    </row>
    <row r="754" spans="1:14">
      <c r="A754">
        <v>8</v>
      </c>
      <c r="B754">
        <f t="shared" si="94"/>
        <v>9</v>
      </c>
      <c r="C754">
        <v>481</v>
      </c>
      <c r="D754">
        <f t="shared" ca="1" si="95"/>
        <v>4</v>
      </c>
      <c r="E754" t="str">
        <f t="shared" si="96"/>
        <v>9-481 arg1</v>
      </c>
      <c r="F754">
        <f t="shared" ca="1" si="97"/>
        <v>3</v>
      </c>
      <c r="G754" t="str">
        <f t="shared" si="98"/>
        <v>9-481 feedback1</v>
      </c>
      <c r="H754">
        <v>1</v>
      </c>
      <c r="I754">
        <f t="shared" ca="1" si="99"/>
        <v>4</v>
      </c>
      <c r="J754" t="str">
        <f t="shared" si="100"/>
        <v>9-481 arg2</v>
      </c>
      <c r="K754" t="str">
        <f t="shared" si="101"/>
        <v>9-481 feedback2</v>
      </c>
      <c r="L754">
        <v>1</v>
      </c>
      <c r="M754" t="s">
        <v>1285</v>
      </c>
      <c r="N754">
        <v>753</v>
      </c>
    </row>
    <row r="755" spans="1:14">
      <c r="A755">
        <v>8</v>
      </c>
      <c r="B755">
        <f t="shared" si="94"/>
        <v>9</v>
      </c>
      <c r="C755">
        <v>482</v>
      </c>
      <c r="D755">
        <f t="shared" ca="1" si="95"/>
        <v>3</v>
      </c>
      <c r="E755" t="str">
        <f t="shared" si="96"/>
        <v>9-482 arg1</v>
      </c>
      <c r="F755">
        <f t="shared" ca="1" si="97"/>
        <v>2</v>
      </c>
      <c r="G755" t="str">
        <f t="shared" si="98"/>
        <v>9-482 feedback1</v>
      </c>
      <c r="H755">
        <v>1</v>
      </c>
      <c r="I755">
        <f t="shared" ca="1" si="99"/>
        <v>3</v>
      </c>
      <c r="J755" t="str">
        <f t="shared" si="100"/>
        <v>9-482 arg2</v>
      </c>
      <c r="K755" t="str">
        <f t="shared" si="101"/>
        <v>9-482 feedback2</v>
      </c>
      <c r="L755">
        <v>1</v>
      </c>
      <c r="M755" t="s">
        <v>1285</v>
      </c>
      <c r="N755">
        <v>754</v>
      </c>
    </row>
    <row r="756" spans="1:14">
      <c r="A756">
        <v>8</v>
      </c>
      <c r="B756">
        <f t="shared" si="94"/>
        <v>9</v>
      </c>
      <c r="C756">
        <v>483</v>
      </c>
      <c r="D756">
        <f t="shared" ca="1" si="95"/>
        <v>4</v>
      </c>
      <c r="E756" t="str">
        <f t="shared" si="96"/>
        <v>9-483 arg1</v>
      </c>
      <c r="F756">
        <f t="shared" ca="1" si="97"/>
        <v>3</v>
      </c>
      <c r="G756" t="str">
        <f t="shared" si="98"/>
        <v>9-483 feedback1</v>
      </c>
      <c r="H756">
        <v>1</v>
      </c>
      <c r="I756">
        <f t="shared" ca="1" si="99"/>
        <v>4</v>
      </c>
      <c r="J756" t="str">
        <f t="shared" si="100"/>
        <v>9-483 arg2</v>
      </c>
      <c r="K756" t="str">
        <f t="shared" si="101"/>
        <v>9-483 feedback2</v>
      </c>
      <c r="L756">
        <v>1</v>
      </c>
      <c r="M756" t="s">
        <v>1285</v>
      </c>
      <c r="N756">
        <v>755</v>
      </c>
    </row>
    <row r="757" spans="1:14">
      <c r="A757">
        <v>8</v>
      </c>
      <c r="B757">
        <f t="shared" si="94"/>
        <v>9</v>
      </c>
      <c r="C757">
        <v>484</v>
      </c>
      <c r="D757">
        <f t="shared" ca="1" si="95"/>
        <v>4</v>
      </c>
      <c r="E757" t="str">
        <f t="shared" si="96"/>
        <v>9-484 arg1</v>
      </c>
      <c r="F757">
        <f t="shared" ca="1" si="97"/>
        <v>4</v>
      </c>
      <c r="G757" t="str">
        <f t="shared" si="98"/>
        <v>9-484 feedback1</v>
      </c>
      <c r="H757">
        <v>1</v>
      </c>
      <c r="I757">
        <f t="shared" ca="1" si="99"/>
        <v>4</v>
      </c>
      <c r="J757" t="str">
        <f t="shared" si="100"/>
        <v>9-484 arg2</v>
      </c>
      <c r="K757" t="str">
        <f t="shared" si="101"/>
        <v>9-484 feedback2</v>
      </c>
      <c r="L757">
        <v>1</v>
      </c>
      <c r="M757" t="s">
        <v>1285</v>
      </c>
      <c r="N757">
        <v>756</v>
      </c>
    </row>
    <row r="758" spans="1:14">
      <c r="A758">
        <v>8</v>
      </c>
      <c r="B758">
        <f t="shared" ref="B758:B821" si="102">B673+1</f>
        <v>9</v>
      </c>
      <c r="C758">
        <v>485</v>
      </c>
      <c r="D758">
        <f t="shared" ca="1" si="95"/>
        <v>4</v>
      </c>
      <c r="E758" t="str">
        <f t="shared" si="96"/>
        <v>9-485 arg1</v>
      </c>
      <c r="F758">
        <f t="shared" ca="1" si="97"/>
        <v>3</v>
      </c>
      <c r="G758" t="str">
        <f t="shared" si="98"/>
        <v>9-485 feedback1</v>
      </c>
      <c r="H758">
        <v>1</v>
      </c>
      <c r="I758">
        <f t="shared" ca="1" si="99"/>
        <v>4</v>
      </c>
      <c r="J758" t="str">
        <f t="shared" si="100"/>
        <v>9-485 arg2</v>
      </c>
      <c r="K758" t="str">
        <f t="shared" si="101"/>
        <v>9-485 feedback2</v>
      </c>
      <c r="L758">
        <v>1</v>
      </c>
      <c r="M758" t="s">
        <v>1285</v>
      </c>
      <c r="N758">
        <v>757</v>
      </c>
    </row>
    <row r="759" spans="1:14">
      <c r="A759">
        <v>8</v>
      </c>
      <c r="B759">
        <f t="shared" si="102"/>
        <v>9</v>
      </c>
      <c r="C759">
        <v>486</v>
      </c>
      <c r="D759">
        <f t="shared" ca="1" si="95"/>
        <v>3</v>
      </c>
      <c r="E759" t="str">
        <f t="shared" si="96"/>
        <v>9-486 arg1</v>
      </c>
      <c r="F759">
        <f t="shared" ca="1" si="97"/>
        <v>2</v>
      </c>
      <c r="G759" t="str">
        <f t="shared" si="98"/>
        <v>9-486 feedback1</v>
      </c>
      <c r="H759">
        <v>1</v>
      </c>
      <c r="I759">
        <f t="shared" ca="1" si="99"/>
        <v>3</v>
      </c>
      <c r="J759" t="str">
        <f t="shared" si="100"/>
        <v>9-486 arg2</v>
      </c>
      <c r="K759" t="str">
        <f t="shared" si="101"/>
        <v>9-486 feedback2</v>
      </c>
      <c r="L759">
        <v>1</v>
      </c>
      <c r="M759" t="s">
        <v>1285</v>
      </c>
      <c r="N759">
        <v>758</v>
      </c>
    </row>
    <row r="760" spans="1:14">
      <c r="A760">
        <v>8</v>
      </c>
      <c r="B760">
        <f t="shared" si="102"/>
        <v>9</v>
      </c>
      <c r="C760">
        <v>487</v>
      </c>
      <c r="D760">
        <f t="shared" ca="1" si="95"/>
        <v>4</v>
      </c>
      <c r="E760" t="str">
        <f t="shared" si="96"/>
        <v>9-487 arg1</v>
      </c>
      <c r="F760">
        <f t="shared" ca="1" si="97"/>
        <v>3</v>
      </c>
      <c r="G760" t="str">
        <f t="shared" si="98"/>
        <v>9-487 feedback1</v>
      </c>
      <c r="H760">
        <v>1</v>
      </c>
      <c r="I760">
        <f t="shared" ca="1" si="99"/>
        <v>3</v>
      </c>
      <c r="J760" t="str">
        <f t="shared" si="100"/>
        <v>9-487 arg2</v>
      </c>
      <c r="K760" t="str">
        <f t="shared" si="101"/>
        <v>9-487 feedback2</v>
      </c>
      <c r="L760">
        <v>1</v>
      </c>
      <c r="M760" t="s">
        <v>1285</v>
      </c>
      <c r="N760">
        <v>759</v>
      </c>
    </row>
    <row r="761" spans="1:14">
      <c r="A761">
        <v>8</v>
      </c>
      <c r="B761">
        <f t="shared" si="102"/>
        <v>9</v>
      </c>
      <c r="C761">
        <v>488</v>
      </c>
      <c r="D761">
        <f t="shared" ca="1" si="95"/>
        <v>5</v>
      </c>
      <c r="E761" t="str">
        <f t="shared" si="96"/>
        <v>9-488 arg1</v>
      </c>
      <c r="F761">
        <f t="shared" ca="1" si="97"/>
        <v>4</v>
      </c>
      <c r="G761" t="str">
        <f t="shared" si="98"/>
        <v>9-488 feedback1</v>
      </c>
      <c r="H761">
        <v>1</v>
      </c>
      <c r="I761">
        <f t="shared" ca="1" si="99"/>
        <v>5</v>
      </c>
      <c r="J761" t="str">
        <f t="shared" si="100"/>
        <v>9-488 arg2</v>
      </c>
      <c r="K761" t="str">
        <f t="shared" si="101"/>
        <v>9-488 feedback2</v>
      </c>
      <c r="L761">
        <v>1</v>
      </c>
      <c r="M761" t="s">
        <v>1285</v>
      </c>
      <c r="N761">
        <v>760</v>
      </c>
    </row>
    <row r="762" spans="1:14">
      <c r="A762">
        <v>8</v>
      </c>
      <c r="B762">
        <f t="shared" si="102"/>
        <v>9</v>
      </c>
      <c r="C762">
        <v>489</v>
      </c>
      <c r="D762">
        <f t="shared" ca="1" si="95"/>
        <v>5</v>
      </c>
      <c r="E762" t="str">
        <f t="shared" si="96"/>
        <v>9-489 arg1</v>
      </c>
      <c r="F762">
        <f t="shared" ca="1" si="97"/>
        <v>4</v>
      </c>
      <c r="G762" t="str">
        <f t="shared" si="98"/>
        <v>9-489 feedback1</v>
      </c>
      <c r="H762">
        <v>1</v>
      </c>
      <c r="I762">
        <f t="shared" ca="1" si="99"/>
        <v>4</v>
      </c>
      <c r="J762" t="str">
        <f t="shared" si="100"/>
        <v>9-489 arg2</v>
      </c>
      <c r="K762" t="str">
        <f t="shared" si="101"/>
        <v>9-489 feedback2</v>
      </c>
      <c r="L762">
        <v>1</v>
      </c>
      <c r="M762" t="s">
        <v>1285</v>
      </c>
      <c r="N762">
        <v>761</v>
      </c>
    </row>
    <row r="763" spans="1:14">
      <c r="A763">
        <v>8</v>
      </c>
      <c r="B763">
        <f t="shared" si="102"/>
        <v>9</v>
      </c>
      <c r="C763">
        <v>490</v>
      </c>
      <c r="D763">
        <f t="shared" ca="1" si="95"/>
        <v>4</v>
      </c>
      <c r="E763" t="str">
        <f t="shared" si="96"/>
        <v>9-490 arg1</v>
      </c>
      <c r="F763">
        <f t="shared" ca="1" si="97"/>
        <v>3</v>
      </c>
      <c r="G763" t="str">
        <f t="shared" si="98"/>
        <v>9-490 feedback1</v>
      </c>
      <c r="H763">
        <v>1</v>
      </c>
      <c r="I763">
        <f t="shared" ca="1" si="99"/>
        <v>3</v>
      </c>
      <c r="J763" t="str">
        <f t="shared" si="100"/>
        <v>9-490 arg2</v>
      </c>
      <c r="K763" t="str">
        <f t="shared" si="101"/>
        <v>9-490 feedback2</v>
      </c>
      <c r="L763">
        <v>1</v>
      </c>
      <c r="M763" t="s">
        <v>1285</v>
      </c>
      <c r="N763">
        <v>762</v>
      </c>
    </row>
    <row r="764" spans="1:14">
      <c r="A764">
        <v>8</v>
      </c>
      <c r="B764">
        <f t="shared" si="102"/>
        <v>9</v>
      </c>
      <c r="C764">
        <v>491</v>
      </c>
      <c r="D764">
        <f t="shared" ca="1" si="95"/>
        <v>4</v>
      </c>
      <c r="E764" t="str">
        <f t="shared" si="96"/>
        <v>9-491 arg1</v>
      </c>
      <c r="F764">
        <f t="shared" ca="1" si="97"/>
        <v>3</v>
      </c>
      <c r="G764" t="str">
        <f t="shared" si="98"/>
        <v>9-491 feedback1</v>
      </c>
      <c r="H764">
        <v>1</v>
      </c>
      <c r="I764">
        <f t="shared" ca="1" si="99"/>
        <v>4</v>
      </c>
      <c r="J764" t="str">
        <f t="shared" si="100"/>
        <v>9-491 arg2</v>
      </c>
      <c r="K764" t="str">
        <f t="shared" si="101"/>
        <v>9-491 feedback2</v>
      </c>
      <c r="L764">
        <v>1</v>
      </c>
      <c r="M764" t="s">
        <v>1285</v>
      </c>
      <c r="N764">
        <v>763</v>
      </c>
    </row>
    <row r="765" spans="1:14">
      <c r="A765">
        <v>8</v>
      </c>
      <c r="B765">
        <f t="shared" si="102"/>
        <v>9</v>
      </c>
      <c r="C765">
        <v>492</v>
      </c>
      <c r="D765">
        <f t="shared" ca="1" si="95"/>
        <v>4</v>
      </c>
      <c r="E765" t="str">
        <f t="shared" si="96"/>
        <v>9-492 arg1</v>
      </c>
      <c r="F765">
        <f t="shared" ca="1" si="97"/>
        <v>4</v>
      </c>
      <c r="G765" t="str">
        <f t="shared" si="98"/>
        <v>9-492 feedback1</v>
      </c>
      <c r="H765">
        <v>1</v>
      </c>
      <c r="I765">
        <f t="shared" ca="1" si="99"/>
        <v>5</v>
      </c>
      <c r="J765" t="str">
        <f t="shared" si="100"/>
        <v>9-492 arg2</v>
      </c>
      <c r="K765" t="str">
        <f t="shared" si="101"/>
        <v>9-492 feedback2</v>
      </c>
      <c r="L765">
        <v>1</v>
      </c>
      <c r="M765" t="s">
        <v>1285</v>
      </c>
      <c r="N765">
        <v>764</v>
      </c>
    </row>
    <row r="766" spans="1:14">
      <c r="A766">
        <v>8</v>
      </c>
      <c r="B766">
        <f t="shared" si="102"/>
        <v>9</v>
      </c>
      <c r="C766">
        <v>493</v>
      </c>
      <c r="D766">
        <f t="shared" ca="1" si="95"/>
        <v>4</v>
      </c>
      <c r="E766" t="str">
        <f t="shared" si="96"/>
        <v>9-493 arg1</v>
      </c>
      <c r="F766">
        <f t="shared" ca="1" si="97"/>
        <v>3</v>
      </c>
      <c r="G766" t="str">
        <f t="shared" si="98"/>
        <v>9-493 feedback1</v>
      </c>
      <c r="H766">
        <v>1</v>
      </c>
      <c r="I766">
        <f t="shared" ca="1" si="99"/>
        <v>4</v>
      </c>
      <c r="J766" t="str">
        <f t="shared" si="100"/>
        <v>9-493 arg2</v>
      </c>
      <c r="K766" t="str">
        <f t="shared" si="101"/>
        <v>9-493 feedback2</v>
      </c>
      <c r="L766">
        <v>1</v>
      </c>
      <c r="M766" t="s">
        <v>1285</v>
      </c>
      <c r="N766">
        <v>765</v>
      </c>
    </row>
    <row r="767" spans="1:14">
      <c r="A767">
        <v>8</v>
      </c>
      <c r="B767">
        <f t="shared" si="102"/>
        <v>10</v>
      </c>
      <c r="C767">
        <v>409</v>
      </c>
      <c r="D767">
        <f t="shared" ca="1" si="95"/>
        <v>5</v>
      </c>
      <c r="E767" t="str">
        <f t="shared" si="96"/>
        <v>10-409 arg1</v>
      </c>
      <c r="F767">
        <f t="shared" ca="1" si="97"/>
        <v>3</v>
      </c>
      <c r="G767" t="str">
        <f t="shared" si="98"/>
        <v>10-409 feedback1</v>
      </c>
      <c r="H767">
        <v>1</v>
      </c>
      <c r="I767">
        <f t="shared" ca="1" si="99"/>
        <v>4</v>
      </c>
      <c r="J767" t="str">
        <f t="shared" si="100"/>
        <v>10-409 arg2</v>
      </c>
      <c r="K767" t="str">
        <f t="shared" si="101"/>
        <v>10-409 feedback2</v>
      </c>
      <c r="L767">
        <v>1</v>
      </c>
      <c r="M767" t="s">
        <v>1285</v>
      </c>
      <c r="N767">
        <v>766</v>
      </c>
    </row>
    <row r="768" spans="1:14">
      <c r="A768">
        <v>8</v>
      </c>
      <c r="B768">
        <f t="shared" si="102"/>
        <v>10</v>
      </c>
      <c r="C768">
        <v>410</v>
      </c>
      <c r="D768">
        <f t="shared" ca="1" si="95"/>
        <v>5</v>
      </c>
      <c r="E768" t="str">
        <f t="shared" si="96"/>
        <v>10-410 arg1</v>
      </c>
      <c r="F768">
        <f t="shared" ca="1" si="97"/>
        <v>4</v>
      </c>
      <c r="G768" t="str">
        <f t="shared" si="98"/>
        <v>10-410 feedback1</v>
      </c>
      <c r="H768">
        <v>1</v>
      </c>
      <c r="I768">
        <f t="shared" ca="1" si="99"/>
        <v>4</v>
      </c>
      <c r="J768" t="str">
        <f t="shared" si="100"/>
        <v>10-410 arg2</v>
      </c>
      <c r="K768" t="str">
        <f t="shared" si="101"/>
        <v>10-410 feedback2</v>
      </c>
      <c r="L768">
        <v>1</v>
      </c>
      <c r="M768" t="s">
        <v>1285</v>
      </c>
      <c r="N768">
        <v>767</v>
      </c>
    </row>
    <row r="769" spans="1:14">
      <c r="A769">
        <v>8</v>
      </c>
      <c r="B769">
        <f t="shared" si="102"/>
        <v>10</v>
      </c>
      <c r="C769">
        <v>411</v>
      </c>
      <c r="D769">
        <f t="shared" ca="1" si="95"/>
        <v>4</v>
      </c>
      <c r="E769" t="str">
        <f t="shared" si="96"/>
        <v>10-411 arg1</v>
      </c>
      <c r="F769">
        <f t="shared" ca="1" si="97"/>
        <v>4</v>
      </c>
      <c r="G769" t="str">
        <f t="shared" si="98"/>
        <v>10-411 feedback1</v>
      </c>
      <c r="H769">
        <v>1</v>
      </c>
      <c r="I769">
        <f t="shared" ca="1" si="99"/>
        <v>5</v>
      </c>
      <c r="J769" t="str">
        <f t="shared" si="100"/>
        <v>10-411 arg2</v>
      </c>
      <c r="K769" t="str">
        <f t="shared" si="101"/>
        <v>10-411 feedback2</v>
      </c>
      <c r="L769">
        <v>1</v>
      </c>
      <c r="M769" t="s">
        <v>1285</v>
      </c>
      <c r="N769">
        <v>768</v>
      </c>
    </row>
    <row r="770" spans="1:14">
      <c r="A770">
        <v>8</v>
      </c>
      <c r="B770">
        <f t="shared" si="102"/>
        <v>10</v>
      </c>
      <c r="C770">
        <v>412</v>
      </c>
      <c r="D770">
        <f t="shared" ca="1" si="95"/>
        <v>5</v>
      </c>
      <c r="E770" t="str">
        <f t="shared" si="96"/>
        <v>10-412 arg1</v>
      </c>
      <c r="F770">
        <f t="shared" ca="1" si="97"/>
        <v>5</v>
      </c>
      <c r="G770" t="str">
        <f t="shared" si="98"/>
        <v>10-412 feedback1</v>
      </c>
      <c r="H770">
        <v>1</v>
      </c>
      <c r="I770">
        <f t="shared" ca="1" si="99"/>
        <v>5</v>
      </c>
      <c r="J770" t="str">
        <f t="shared" si="100"/>
        <v>10-412 arg2</v>
      </c>
      <c r="K770" t="str">
        <f t="shared" si="101"/>
        <v>10-412 feedback2</v>
      </c>
      <c r="L770">
        <v>1</v>
      </c>
      <c r="M770" t="s">
        <v>1285</v>
      </c>
      <c r="N770">
        <v>769</v>
      </c>
    </row>
    <row r="771" spans="1:14">
      <c r="A771">
        <v>8</v>
      </c>
      <c r="B771">
        <f t="shared" si="102"/>
        <v>10</v>
      </c>
      <c r="C771">
        <v>413</v>
      </c>
      <c r="D771">
        <f t="shared" ref="D771:D834" ca="1" si="103">ROUND(3+2*RAND(),0)</f>
        <v>4</v>
      </c>
      <c r="E771" t="str">
        <f t="shared" si="96"/>
        <v>10-413 arg1</v>
      </c>
      <c r="F771">
        <f t="shared" ca="1" si="97"/>
        <v>3</v>
      </c>
      <c r="G771" t="str">
        <f t="shared" si="98"/>
        <v>10-413 feedback1</v>
      </c>
      <c r="H771">
        <v>1</v>
      </c>
      <c r="I771">
        <f t="shared" ca="1" si="99"/>
        <v>3</v>
      </c>
      <c r="J771" t="str">
        <f t="shared" si="100"/>
        <v>10-413 arg2</v>
      </c>
      <c r="K771" t="str">
        <f t="shared" si="101"/>
        <v>10-413 feedback2</v>
      </c>
      <c r="L771">
        <v>1</v>
      </c>
      <c r="M771" t="s">
        <v>1285</v>
      </c>
      <c r="N771">
        <v>770</v>
      </c>
    </row>
    <row r="772" spans="1:14">
      <c r="A772">
        <v>8</v>
      </c>
      <c r="B772">
        <f t="shared" si="102"/>
        <v>10</v>
      </c>
      <c r="C772">
        <v>414</v>
      </c>
      <c r="D772">
        <f t="shared" ca="1" si="103"/>
        <v>4</v>
      </c>
      <c r="E772" t="str">
        <f t="shared" si="96"/>
        <v>10-414 arg1</v>
      </c>
      <c r="F772">
        <f t="shared" ca="1" si="97"/>
        <v>3</v>
      </c>
      <c r="G772" t="str">
        <f t="shared" si="98"/>
        <v>10-414 feedback1</v>
      </c>
      <c r="H772">
        <v>1</v>
      </c>
      <c r="I772">
        <f t="shared" ca="1" si="99"/>
        <v>4</v>
      </c>
      <c r="J772" t="str">
        <f t="shared" si="100"/>
        <v>10-414 arg2</v>
      </c>
      <c r="K772" t="str">
        <f t="shared" si="101"/>
        <v>10-414 feedback2</v>
      </c>
      <c r="L772">
        <v>1</v>
      </c>
      <c r="M772" t="s">
        <v>1285</v>
      </c>
      <c r="N772">
        <v>771</v>
      </c>
    </row>
    <row r="773" spans="1:14">
      <c r="A773">
        <v>8</v>
      </c>
      <c r="B773">
        <f t="shared" si="102"/>
        <v>10</v>
      </c>
      <c r="C773">
        <v>415</v>
      </c>
      <c r="D773">
        <f t="shared" ca="1" si="103"/>
        <v>3</v>
      </c>
      <c r="E773" t="str">
        <f t="shared" si="96"/>
        <v>10-415 arg1</v>
      </c>
      <c r="F773">
        <f t="shared" ca="1" si="97"/>
        <v>1</v>
      </c>
      <c r="G773" t="str">
        <f t="shared" si="98"/>
        <v>10-415 feedback1</v>
      </c>
      <c r="H773">
        <v>1</v>
      </c>
      <c r="I773">
        <f t="shared" ca="1" si="99"/>
        <v>1</v>
      </c>
      <c r="J773" t="str">
        <f t="shared" si="100"/>
        <v>10-415 arg2</v>
      </c>
      <c r="K773" t="str">
        <f t="shared" si="101"/>
        <v>10-415 feedback2</v>
      </c>
      <c r="L773">
        <v>1</v>
      </c>
      <c r="M773" t="s">
        <v>1285</v>
      </c>
      <c r="N773">
        <v>772</v>
      </c>
    </row>
    <row r="774" spans="1:14">
      <c r="A774">
        <v>8</v>
      </c>
      <c r="B774">
        <f t="shared" si="102"/>
        <v>10</v>
      </c>
      <c r="C774">
        <v>416</v>
      </c>
      <c r="D774">
        <f t="shared" ca="1" si="103"/>
        <v>4</v>
      </c>
      <c r="E774" t="str">
        <f t="shared" si="96"/>
        <v>10-416 arg1</v>
      </c>
      <c r="F774">
        <f t="shared" ca="1" si="97"/>
        <v>3</v>
      </c>
      <c r="G774" t="str">
        <f t="shared" si="98"/>
        <v>10-416 feedback1</v>
      </c>
      <c r="H774">
        <v>1</v>
      </c>
      <c r="I774">
        <f t="shared" ca="1" si="99"/>
        <v>4</v>
      </c>
      <c r="J774" t="str">
        <f t="shared" si="100"/>
        <v>10-416 arg2</v>
      </c>
      <c r="K774" t="str">
        <f t="shared" si="101"/>
        <v>10-416 feedback2</v>
      </c>
      <c r="L774">
        <v>1</v>
      </c>
      <c r="M774" t="s">
        <v>1285</v>
      </c>
      <c r="N774">
        <v>773</v>
      </c>
    </row>
    <row r="775" spans="1:14">
      <c r="A775">
        <v>8</v>
      </c>
      <c r="B775">
        <f t="shared" si="102"/>
        <v>10</v>
      </c>
      <c r="C775">
        <v>417</v>
      </c>
      <c r="D775">
        <f t="shared" ca="1" si="103"/>
        <v>3</v>
      </c>
      <c r="E775" t="str">
        <f t="shared" si="96"/>
        <v>10-417 arg1</v>
      </c>
      <c r="F775">
        <f t="shared" ca="1" si="97"/>
        <v>3</v>
      </c>
      <c r="G775" t="str">
        <f t="shared" si="98"/>
        <v>10-417 feedback1</v>
      </c>
      <c r="H775">
        <v>1</v>
      </c>
      <c r="I775">
        <f t="shared" ca="1" si="99"/>
        <v>3</v>
      </c>
      <c r="J775" t="str">
        <f t="shared" si="100"/>
        <v>10-417 arg2</v>
      </c>
      <c r="K775" t="str">
        <f t="shared" si="101"/>
        <v>10-417 feedback2</v>
      </c>
      <c r="L775">
        <v>1</v>
      </c>
      <c r="M775" t="s">
        <v>1285</v>
      </c>
      <c r="N775">
        <v>774</v>
      </c>
    </row>
    <row r="776" spans="1:14">
      <c r="A776">
        <v>8</v>
      </c>
      <c r="B776">
        <f t="shared" si="102"/>
        <v>10</v>
      </c>
      <c r="C776">
        <v>418</v>
      </c>
      <c r="D776">
        <f t="shared" ca="1" si="103"/>
        <v>5</v>
      </c>
      <c r="E776" t="str">
        <f t="shared" si="96"/>
        <v>10-418 arg1</v>
      </c>
      <c r="F776">
        <f t="shared" ca="1" si="97"/>
        <v>4</v>
      </c>
      <c r="G776" t="str">
        <f t="shared" si="98"/>
        <v>10-418 feedback1</v>
      </c>
      <c r="H776">
        <v>1</v>
      </c>
      <c r="I776">
        <f t="shared" ca="1" si="99"/>
        <v>5</v>
      </c>
      <c r="J776" t="str">
        <f t="shared" si="100"/>
        <v>10-418 arg2</v>
      </c>
      <c r="K776" t="str">
        <f t="shared" si="101"/>
        <v>10-418 feedback2</v>
      </c>
      <c r="L776">
        <v>1</v>
      </c>
      <c r="M776" t="s">
        <v>1285</v>
      </c>
      <c r="N776">
        <v>775</v>
      </c>
    </row>
    <row r="777" spans="1:14">
      <c r="A777">
        <v>8</v>
      </c>
      <c r="B777">
        <f t="shared" si="102"/>
        <v>10</v>
      </c>
      <c r="C777">
        <v>419</v>
      </c>
      <c r="D777">
        <f t="shared" ca="1" si="103"/>
        <v>4</v>
      </c>
      <c r="E777" t="str">
        <f t="shared" si="96"/>
        <v>10-419 arg1</v>
      </c>
      <c r="F777">
        <f t="shared" ca="1" si="97"/>
        <v>4</v>
      </c>
      <c r="G777" t="str">
        <f t="shared" si="98"/>
        <v>10-419 feedback1</v>
      </c>
      <c r="H777">
        <v>1</v>
      </c>
      <c r="I777">
        <f t="shared" ca="1" si="99"/>
        <v>4</v>
      </c>
      <c r="J777" t="str">
        <f t="shared" si="100"/>
        <v>10-419 arg2</v>
      </c>
      <c r="K777" t="str">
        <f t="shared" si="101"/>
        <v>10-419 feedback2</v>
      </c>
      <c r="L777">
        <v>1</v>
      </c>
      <c r="M777" t="s">
        <v>1285</v>
      </c>
      <c r="N777">
        <v>776</v>
      </c>
    </row>
    <row r="778" spans="1:14">
      <c r="A778">
        <v>8</v>
      </c>
      <c r="B778">
        <f t="shared" si="102"/>
        <v>10</v>
      </c>
      <c r="C778">
        <v>420</v>
      </c>
      <c r="D778">
        <f t="shared" ca="1" si="103"/>
        <v>4</v>
      </c>
      <c r="E778" t="str">
        <f t="shared" si="96"/>
        <v>10-420 arg1</v>
      </c>
      <c r="F778">
        <f t="shared" ca="1" si="97"/>
        <v>4</v>
      </c>
      <c r="G778" t="str">
        <f t="shared" si="98"/>
        <v>10-420 feedback1</v>
      </c>
      <c r="H778">
        <v>1</v>
      </c>
      <c r="I778">
        <f t="shared" ca="1" si="99"/>
        <v>4</v>
      </c>
      <c r="J778" t="str">
        <f t="shared" si="100"/>
        <v>10-420 arg2</v>
      </c>
      <c r="K778" t="str">
        <f t="shared" si="101"/>
        <v>10-420 feedback2</v>
      </c>
      <c r="L778">
        <v>1</v>
      </c>
      <c r="M778" t="s">
        <v>1285</v>
      </c>
      <c r="N778">
        <v>777</v>
      </c>
    </row>
    <row r="779" spans="1:14">
      <c r="A779">
        <v>8</v>
      </c>
      <c r="B779">
        <f t="shared" si="102"/>
        <v>10</v>
      </c>
      <c r="C779">
        <v>421</v>
      </c>
      <c r="D779">
        <f t="shared" ca="1" si="103"/>
        <v>4</v>
      </c>
      <c r="E779" t="str">
        <f t="shared" si="96"/>
        <v>10-421 arg1</v>
      </c>
      <c r="F779">
        <f t="shared" ca="1" si="97"/>
        <v>3</v>
      </c>
      <c r="G779" t="str">
        <f t="shared" si="98"/>
        <v>10-421 feedback1</v>
      </c>
      <c r="H779">
        <v>1</v>
      </c>
      <c r="I779">
        <f t="shared" ca="1" si="99"/>
        <v>4</v>
      </c>
      <c r="J779" t="str">
        <f t="shared" si="100"/>
        <v>10-421 arg2</v>
      </c>
      <c r="K779" t="str">
        <f t="shared" si="101"/>
        <v>10-421 feedback2</v>
      </c>
      <c r="L779">
        <v>1</v>
      </c>
      <c r="M779" t="s">
        <v>1285</v>
      </c>
      <c r="N779">
        <v>778</v>
      </c>
    </row>
    <row r="780" spans="1:14">
      <c r="A780">
        <v>8</v>
      </c>
      <c r="B780">
        <f t="shared" si="102"/>
        <v>10</v>
      </c>
      <c r="C780">
        <v>422</v>
      </c>
      <c r="D780">
        <f t="shared" ca="1" si="103"/>
        <v>4</v>
      </c>
      <c r="E780" t="str">
        <f t="shared" si="96"/>
        <v>10-422 arg1</v>
      </c>
      <c r="F780">
        <f t="shared" ca="1" si="97"/>
        <v>2</v>
      </c>
      <c r="G780" t="str">
        <f t="shared" si="98"/>
        <v>10-422 feedback1</v>
      </c>
      <c r="H780">
        <v>1</v>
      </c>
      <c r="I780">
        <f t="shared" ca="1" si="99"/>
        <v>2</v>
      </c>
      <c r="J780" t="str">
        <f t="shared" si="100"/>
        <v>10-422 arg2</v>
      </c>
      <c r="K780" t="str">
        <f t="shared" si="101"/>
        <v>10-422 feedback2</v>
      </c>
      <c r="L780">
        <v>1</v>
      </c>
      <c r="M780" t="s">
        <v>1285</v>
      </c>
      <c r="N780">
        <v>779</v>
      </c>
    </row>
    <row r="781" spans="1:14">
      <c r="A781">
        <v>8</v>
      </c>
      <c r="B781">
        <f t="shared" si="102"/>
        <v>10</v>
      </c>
      <c r="C781">
        <v>423</v>
      </c>
      <c r="D781">
        <f t="shared" ca="1" si="103"/>
        <v>5</v>
      </c>
      <c r="E781" t="str">
        <f t="shared" si="96"/>
        <v>10-423 arg1</v>
      </c>
      <c r="F781">
        <f t="shared" ca="1" si="97"/>
        <v>4</v>
      </c>
      <c r="G781" t="str">
        <f t="shared" si="98"/>
        <v>10-423 feedback1</v>
      </c>
      <c r="H781">
        <v>1</v>
      </c>
      <c r="I781">
        <f t="shared" ca="1" si="99"/>
        <v>4</v>
      </c>
      <c r="J781" t="str">
        <f t="shared" si="100"/>
        <v>10-423 arg2</v>
      </c>
      <c r="K781" t="str">
        <f t="shared" si="101"/>
        <v>10-423 feedback2</v>
      </c>
      <c r="L781">
        <v>1</v>
      </c>
      <c r="M781" t="s">
        <v>1285</v>
      </c>
      <c r="N781">
        <v>780</v>
      </c>
    </row>
    <row r="782" spans="1:14">
      <c r="A782">
        <v>8</v>
      </c>
      <c r="B782">
        <f t="shared" si="102"/>
        <v>10</v>
      </c>
      <c r="C782">
        <v>424</v>
      </c>
      <c r="D782">
        <f t="shared" ca="1" si="103"/>
        <v>4</v>
      </c>
      <c r="E782" t="str">
        <f t="shared" si="96"/>
        <v>10-424 arg1</v>
      </c>
      <c r="F782">
        <f t="shared" ca="1" si="97"/>
        <v>3</v>
      </c>
      <c r="G782" t="str">
        <f t="shared" si="98"/>
        <v>10-424 feedback1</v>
      </c>
      <c r="H782">
        <v>1</v>
      </c>
      <c r="I782">
        <f t="shared" ca="1" si="99"/>
        <v>4</v>
      </c>
      <c r="J782" t="str">
        <f t="shared" si="100"/>
        <v>10-424 arg2</v>
      </c>
      <c r="K782" t="str">
        <f t="shared" si="101"/>
        <v>10-424 feedback2</v>
      </c>
      <c r="L782">
        <v>1</v>
      </c>
      <c r="M782" t="s">
        <v>1285</v>
      </c>
      <c r="N782">
        <v>781</v>
      </c>
    </row>
    <row r="783" spans="1:14">
      <c r="A783">
        <v>8</v>
      </c>
      <c r="B783">
        <f t="shared" si="102"/>
        <v>10</v>
      </c>
      <c r="C783">
        <v>425</v>
      </c>
      <c r="D783">
        <f t="shared" ca="1" si="103"/>
        <v>5</v>
      </c>
      <c r="E783" t="str">
        <f t="shared" si="96"/>
        <v>10-425 arg1</v>
      </c>
      <c r="F783">
        <f t="shared" ca="1" si="97"/>
        <v>4</v>
      </c>
      <c r="G783" t="str">
        <f t="shared" si="98"/>
        <v>10-425 feedback1</v>
      </c>
      <c r="H783">
        <v>1</v>
      </c>
      <c r="I783">
        <f t="shared" ca="1" si="99"/>
        <v>4</v>
      </c>
      <c r="J783" t="str">
        <f t="shared" si="100"/>
        <v>10-425 arg2</v>
      </c>
      <c r="K783" t="str">
        <f t="shared" si="101"/>
        <v>10-425 feedback2</v>
      </c>
      <c r="L783">
        <v>1</v>
      </c>
      <c r="M783" t="s">
        <v>1285</v>
      </c>
      <c r="N783">
        <v>782</v>
      </c>
    </row>
    <row r="784" spans="1:14">
      <c r="A784">
        <v>8</v>
      </c>
      <c r="B784">
        <f t="shared" si="102"/>
        <v>10</v>
      </c>
      <c r="C784">
        <v>426</v>
      </c>
      <c r="D784">
        <f t="shared" ca="1" si="103"/>
        <v>4</v>
      </c>
      <c r="E784" t="str">
        <f t="shared" si="96"/>
        <v>10-426 arg1</v>
      </c>
      <c r="F784">
        <f t="shared" ca="1" si="97"/>
        <v>2</v>
      </c>
      <c r="G784" t="str">
        <f t="shared" si="98"/>
        <v>10-426 feedback1</v>
      </c>
      <c r="H784">
        <v>1</v>
      </c>
      <c r="I784">
        <f t="shared" ca="1" si="99"/>
        <v>3</v>
      </c>
      <c r="J784" t="str">
        <f t="shared" si="100"/>
        <v>10-426 arg2</v>
      </c>
      <c r="K784" t="str">
        <f t="shared" si="101"/>
        <v>10-426 feedback2</v>
      </c>
      <c r="L784">
        <v>1</v>
      </c>
      <c r="M784" t="s">
        <v>1285</v>
      </c>
      <c r="N784">
        <v>783</v>
      </c>
    </row>
    <row r="785" spans="1:14">
      <c r="A785">
        <v>8</v>
      </c>
      <c r="B785">
        <f t="shared" si="102"/>
        <v>10</v>
      </c>
      <c r="C785">
        <v>427</v>
      </c>
      <c r="D785">
        <f t="shared" ca="1" si="103"/>
        <v>4</v>
      </c>
      <c r="E785" t="str">
        <f t="shared" si="96"/>
        <v>10-427 arg1</v>
      </c>
      <c r="F785">
        <f t="shared" ca="1" si="97"/>
        <v>3</v>
      </c>
      <c r="G785" t="str">
        <f t="shared" si="98"/>
        <v>10-427 feedback1</v>
      </c>
      <c r="H785">
        <v>1</v>
      </c>
      <c r="I785">
        <f t="shared" ca="1" si="99"/>
        <v>4</v>
      </c>
      <c r="J785" t="str">
        <f t="shared" si="100"/>
        <v>10-427 arg2</v>
      </c>
      <c r="K785" t="str">
        <f t="shared" si="101"/>
        <v>10-427 feedback2</v>
      </c>
      <c r="L785">
        <v>1</v>
      </c>
      <c r="M785" t="s">
        <v>1285</v>
      </c>
      <c r="N785">
        <v>784</v>
      </c>
    </row>
    <row r="786" spans="1:14">
      <c r="A786">
        <v>8</v>
      </c>
      <c r="B786">
        <f t="shared" si="102"/>
        <v>10</v>
      </c>
      <c r="C786">
        <v>428</v>
      </c>
      <c r="D786">
        <f t="shared" ca="1" si="103"/>
        <v>3</v>
      </c>
      <c r="E786" t="str">
        <f t="shared" si="96"/>
        <v>10-428 arg1</v>
      </c>
      <c r="F786">
        <f t="shared" ca="1" si="97"/>
        <v>2</v>
      </c>
      <c r="G786" t="str">
        <f t="shared" si="98"/>
        <v>10-428 feedback1</v>
      </c>
      <c r="H786">
        <v>1</v>
      </c>
      <c r="I786">
        <f t="shared" ca="1" si="99"/>
        <v>2</v>
      </c>
      <c r="J786" t="str">
        <f t="shared" si="100"/>
        <v>10-428 arg2</v>
      </c>
      <c r="K786" t="str">
        <f t="shared" si="101"/>
        <v>10-428 feedback2</v>
      </c>
      <c r="L786">
        <v>1</v>
      </c>
      <c r="M786" t="s">
        <v>1285</v>
      </c>
      <c r="N786">
        <v>785</v>
      </c>
    </row>
    <row r="787" spans="1:14">
      <c r="A787">
        <v>8</v>
      </c>
      <c r="B787">
        <f t="shared" si="102"/>
        <v>10</v>
      </c>
      <c r="C787">
        <v>429</v>
      </c>
      <c r="D787">
        <f t="shared" ca="1" si="103"/>
        <v>5</v>
      </c>
      <c r="E787" t="str">
        <f t="shared" si="96"/>
        <v>10-429 arg1</v>
      </c>
      <c r="F787">
        <f t="shared" ca="1" si="97"/>
        <v>3</v>
      </c>
      <c r="G787" t="str">
        <f t="shared" si="98"/>
        <v>10-429 feedback1</v>
      </c>
      <c r="H787">
        <v>1</v>
      </c>
      <c r="I787">
        <f t="shared" ca="1" si="99"/>
        <v>3</v>
      </c>
      <c r="J787" t="str">
        <f t="shared" si="100"/>
        <v>10-429 arg2</v>
      </c>
      <c r="K787" t="str">
        <f t="shared" si="101"/>
        <v>10-429 feedback2</v>
      </c>
      <c r="L787">
        <v>1</v>
      </c>
      <c r="M787" t="s">
        <v>1285</v>
      </c>
      <c r="N787">
        <v>786</v>
      </c>
    </row>
    <row r="788" spans="1:14">
      <c r="A788">
        <v>8</v>
      </c>
      <c r="B788">
        <f t="shared" si="102"/>
        <v>10</v>
      </c>
      <c r="C788">
        <v>430</v>
      </c>
      <c r="D788">
        <f t="shared" ca="1" si="103"/>
        <v>4</v>
      </c>
      <c r="E788" t="str">
        <f t="shared" si="96"/>
        <v>10-430 arg1</v>
      </c>
      <c r="F788">
        <f t="shared" ca="1" si="97"/>
        <v>4</v>
      </c>
      <c r="G788" t="str">
        <f t="shared" si="98"/>
        <v>10-430 feedback1</v>
      </c>
      <c r="H788">
        <v>1</v>
      </c>
      <c r="I788">
        <f t="shared" ca="1" si="99"/>
        <v>5</v>
      </c>
      <c r="J788" t="str">
        <f t="shared" si="100"/>
        <v>10-430 arg2</v>
      </c>
      <c r="K788" t="str">
        <f t="shared" si="101"/>
        <v>10-430 feedback2</v>
      </c>
      <c r="L788">
        <v>1</v>
      </c>
      <c r="M788" t="s">
        <v>1285</v>
      </c>
      <c r="N788">
        <v>787</v>
      </c>
    </row>
    <row r="789" spans="1:14">
      <c r="A789">
        <v>8</v>
      </c>
      <c r="B789">
        <f t="shared" si="102"/>
        <v>10</v>
      </c>
      <c r="C789">
        <v>431</v>
      </c>
      <c r="D789">
        <f t="shared" ca="1" si="103"/>
        <v>4</v>
      </c>
      <c r="E789" t="str">
        <f t="shared" ref="E789:E852" si="104">_xlfn.CONCAT(B789,"-",C789," arg1")</f>
        <v>10-431 arg1</v>
      </c>
      <c r="F789">
        <f t="shared" ref="F789:F852" ca="1" si="105">D789-ROUND(2*RAND(),0)</f>
        <v>3</v>
      </c>
      <c r="G789" t="str">
        <f t="shared" ref="G789:G852" si="106">_xlfn.CONCAT(B789,"-",C789," feedback1")</f>
        <v>10-431 feedback1</v>
      </c>
      <c r="H789">
        <v>1</v>
      </c>
      <c r="I789">
        <f t="shared" ref="I789:I852" ca="1" si="107">MIN(5,F789+ROUND(RAND(),0))</f>
        <v>3</v>
      </c>
      <c r="J789" t="str">
        <f t="shared" ref="J789:J852" si="108">_xlfn.CONCAT(B789,"-",C789," arg2")</f>
        <v>10-431 arg2</v>
      </c>
      <c r="K789" t="str">
        <f t="shared" ref="K789:K852" si="109">_xlfn.CONCAT(B789,"-",C789," feedback2")</f>
        <v>10-431 feedback2</v>
      </c>
      <c r="L789">
        <v>1</v>
      </c>
      <c r="M789" t="s">
        <v>1285</v>
      </c>
      <c r="N789">
        <v>788</v>
      </c>
    </row>
    <row r="790" spans="1:14">
      <c r="A790">
        <v>8</v>
      </c>
      <c r="B790">
        <f t="shared" si="102"/>
        <v>10</v>
      </c>
      <c r="C790">
        <v>432</v>
      </c>
      <c r="D790">
        <f t="shared" ca="1" si="103"/>
        <v>4</v>
      </c>
      <c r="E790" t="str">
        <f t="shared" si="104"/>
        <v>10-432 arg1</v>
      </c>
      <c r="F790">
        <f t="shared" ca="1" si="105"/>
        <v>4</v>
      </c>
      <c r="G790" t="str">
        <f t="shared" si="106"/>
        <v>10-432 feedback1</v>
      </c>
      <c r="H790">
        <v>1</v>
      </c>
      <c r="I790">
        <f t="shared" ca="1" si="107"/>
        <v>5</v>
      </c>
      <c r="J790" t="str">
        <f t="shared" si="108"/>
        <v>10-432 arg2</v>
      </c>
      <c r="K790" t="str">
        <f t="shared" si="109"/>
        <v>10-432 feedback2</v>
      </c>
      <c r="L790">
        <v>1</v>
      </c>
      <c r="M790" t="s">
        <v>1285</v>
      </c>
      <c r="N790">
        <v>789</v>
      </c>
    </row>
    <row r="791" spans="1:14">
      <c r="A791">
        <v>8</v>
      </c>
      <c r="B791">
        <f t="shared" si="102"/>
        <v>10</v>
      </c>
      <c r="C791">
        <v>433</v>
      </c>
      <c r="D791">
        <f t="shared" ca="1" si="103"/>
        <v>4</v>
      </c>
      <c r="E791" t="str">
        <f t="shared" si="104"/>
        <v>10-433 arg1</v>
      </c>
      <c r="F791">
        <f t="shared" ca="1" si="105"/>
        <v>2</v>
      </c>
      <c r="G791" t="str">
        <f t="shared" si="106"/>
        <v>10-433 feedback1</v>
      </c>
      <c r="H791">
        <v>1</v>
      </c>
      <c r="I791">
        <f t="shared" ca="1" si="107"/>
        <v>3</v>
      </c>
      <c r="J791" t="str">
        <f t="shared" si="108"/>
        <v>10-433 arg2</v>
      </c>
      <c r="K791" t="str">
        <f t="shared" si="109"/>
        <v>10-433 feedback2</v>
      </c>
      <c r="L791">
        <v>1</v>
      </c>
      <c r="M791" t="s">
        <v>1285</v>
      </c>
      <c r="N791">
        <v>790</v>
      </c>
    </row>
    <row r="792" spans="1:14">
      <c r="A792">
        <v>8</v>
      </c>
      <c r="B792">
        <f t="shared" si="102"/>
        <v>10</v>
      </c>
      <c r="C792">
        <v>434</v>
      </c>
      <c r="D792">
        <f t="shared" ca="1" si="103"/>
        <v>4</v>
      </c>
      <c r="E792" t="str">
        <f t="shared" si="104"/>
        <v>10-434 arg1</v>
      </c>
      <c r="F792">
        <f t="shared" ca="1" si="105"/>
        <v>4</v>
      </c>
      <c r="G792" t="str">
        <f t="shared" si="106"/>
        <v>10-434 feedback1</v>
      </c>
      <c r="H792">
        <v>1</v>
      </c>
      <c r="I792">
        <f t="shared" ca="1" si="107"/>
        <v>5</v>
      </c>
      <c r="J792" t="str">
        <f t="shared" si="108"/>
        <v>10-434 arg2</v>
      </c>
      <c r="K792" t="str">
        <f t="shared" si="109"/>
        <v>10-434 feedback2</v>
      </c>
      <c r="L792">
        <v>1</v>
      </c>
      <c r="M792" t="s">
        <v>1285</v>
      </c>
      <c r="N792">
        <v>791</v>
      </c>
    </row>
    <row r="793" spans="1:14">
      <c r="A793">
        <v>8</v>
      </c>
      <c r="B793">
        <f t="shared" si="102"/>
        <v>10</v>
      </c>
      <c r="C793">
        <v>435</v>
      </c>
      <c r="D793">
        <f t="shared" ca="1" si="103"/>
        <v>5</v>
      </c>
      <c r="E793" t="str">
        <f t="shared" si="104"/>
        <v>10-435 arg1</v>
      </c>
      <c r="F793">
        <f t="shared" ca="1" si="105"/>
        <v>4</v>
      </c>
      <c r="G793" t="str">
        <f t="shared" si="106"/>
        <v>10-435 feedback1</v>
      </c>
      <c r="H793">
        <v>1</v>
      </c>
      <c r="I793">
        <f t="shared" ca="1" si="107"/>
        <v>5</v>
      </c>
      <c r="J793" t="str">
        <f t="shared" si="108"/>
        <v>10-435 arg2</v>
      </c>
      <c r="K793" t="str">
        <f t="shared" si="109"/>
        <v>10-435 feedback2</v>
      </c>
      <c r="L793">
        <v>1</v>
      </c>
      <c r="M793" t="s">
        <v>1285</v>
      </c>
      <c r="N793">
        <v>792</v>
      </c>
    </row>
    <row r="794" spans="1:14">
      <c r="A794">
        <v>8</v>
      </c>
      <c r="B794">
        <f t="shared" si="102"/>
        <v>10</v>
      </c>
      <c r="C794">
        <v>436</v>
      </c>
      <c r="D794">
        <f t="shared" ca="1" si="103"/>
        <v>4</v>
      </c>
      <c r="E794" t="str">
        <f t="shared" si="104"/>
        <v>10-436 arg1</v>
      </c>
      <c r="F794">
        <f t="shared" ca="1" si="105"/>
        <v>2</v>
      </c>
      <c r="G794" t="str">
        <f t="shared" si="106"/>
        <v>10-436 feedback1</v>
      </c>
      <c r="H794">
        <v>1</v>
      </c>
      <c r="I794">
        <f t="shared" ca="1" si="107"/>
        <v>2</v>
      </c>
      <c r="J794" t="str">
        <f t="shared" si="108"/>
        <v>10-436 arg2</v>
      </c>
      <c r="K794" t="str">
        <f t="shared" si="109"/>
        <v>10-436 feedback2</v>
      </c>
      <c r="L794">
        <v>1</v>
      </c>
      <c r="M794" t="s">
        <v>1285</v>
      </c>
      <c r="N794">
        <v>793</v>
      </c>
    </row>
    <row r="795" spans="1:14">
      <c r="A795">
        <v>8</v>
      </c>
      <c r="B795">
        <f t="shared" si="102"/>
        <v>10</v>
      </c>
      <c r="C795">
        <v>437</v>
      </c>
      <c r="D795">
        <f t="shared" ca="1" si="103"/>
        <v>4</v>
      </c>
      <c r="E795" t="str">
        <f t="shared" si="104"/>
        <v>10-437 arg1</v>
      </c>
      <c r="F795">
        <f t="shared" ca="1" si="105"/>
        <v>4</v>
      </c>
      <c r="G795" t="str">
        <f t="shared" si="106"/>
        <v>10-437 feedback1</v>
      </c>
      <c r="H795">
        <v>1</v>
      </c>
      <c r="I795">
        <f t="shared" ca="1" si="107"/>
        <v>5</v>
      </c>
      <c r="J795" t="str">
        <f t="shared" si="108"/>
        <v>10-437 arg2</v>
      </c>
      <c r="K795" t="str">
        <f t="shared" si="109"/>
        <v>10-437 feedback2</v>
      </c>
      <c r="L795">
        <v>1</v>
      </c>
      <c r="M795" t="s">
        <v>1285</v>
      </c>
      <c r="N795">
        <v>794</v>
      </c>
    </row>
    <row r="796" spans="1:14">
      <c r="A796">
        <v>8</v>
      </c>
      <c r="B796">
        <f t="shared" si="102"/>
        <v>10</v>
      </c>
      <c r="C796">
        <v>438</v>
      </c>
      <c r="D796">
        <f t="shared" ca="1" si="103"/>
        <v>4</v>
      </c>
      <c r="E796" t="str">
        <f t="shared" si="104"/>
        <v>10-438 arg1</v>
      </c>
      <c r="F796">
        <f t="shared" ca="1" si="105"/>
        <v>3</v>
      </c>
      <c r="G796" t="str">
        <f t="shared" si="106"/>
        <v>10-438 feedback1</v>
      </c>
      <c r="H796">
        <v>1</v>
      </c>
      <c r="I796">
        <f t="shared" ca="1" si="107"/>
        <v>3</v>
      </c>
      <c r="J796" t="str">
        <f t="shared" si="108"/>
        <v>10-438 arg2</v>
      </c>
      <c r="K796" t="str">
        <f t="shared" si="109"/>
        <v>10-438 feedback2</v>
      </c>
      <c r="L796">
        <v>1</v>
      </c>
      <c r="M796" t="s">
        <v>1285</v>
      </c>
      <c r="N796">
        <v>795</v>
      </c>
    </row>
    <row r="797" spans="1:14">
      <c r="A797">
        <v>8</v>
      </c>
      <c r="B797">
        <f t="shared" si="102"/>
        <v>10</v>
      </c>
      <c r="C797">
        <v>439</v>
      </c>
      <c r="D797">
        <f t="shared" ca="1" si="103"/>
        <v>5</v>
      </c>
      <c r="E797" t="str">
        <f t="shared" si="104"/>
        <v>10-439 arg1</v>
      </c>
      <c r="F797">
        <f t="shared" ca="1" si="105"/>
        <v>3</v>
      </c>
      <c r="G797" t="str">
        <f t="shared" si="106"/>
        <v>10-439 feedback1</v>
      </c>
      <c r="H797">
        <v>1</v>
      </c>
      <c r="I797">
        <f t="shared" ca="1" si="107"/>
        <v>4</v>
      </c>
      <c r="J797" t="str">
        <f t="shared" si="108"/>
        <v>10-439 arg2</v>
      </c>
      <c r="K797" t="str">
        <f t="shared" si="109"/>
        <v>10-439 feedback2</v>
      </c>
      <c r="L797">
        <v>1</v>
      </c>
      <c r="M797" t="s">
        <v>1285</v>
      </c>
      <c r="N797">
        <v>796</v>
      </c>
    </row>
    <row r="798" spans="1:14">
      <c r="A798">
        <v>8</v>
      </c>
      <c r="B798">
        <f t="shared" si="102"/>
        <v>10</v>
      </c>
      <c r="C798">
        <v>440</v>
      </c>
      <c r="D798">
        <f t="shared" ca="1" si="103"/>
        <v>4</v>
      </c>
      <c r="E798" t="str">
        <f t="shared" si="104"/>
        <v>10-440 arg1</v>
      </c>
      <c r="F798">
        <f t="shared" ca="1" si="105"/>
        <v>2</v>
      </c>
      <c r="G798" t="str">
        <f t="shared" si="106"/>
        <v>10-440 feedback1</v>
      </c>
      <c r="H798">
        <v>1</v>
      </c>
      <c r="I798">
        <f t="shared" ca="1" si="107"/>
        <v>2</v>
      </c>
      <c r="J798" t="str">
        <f t="shared" si="108"/>
        <v>10-440 arg2</v>
      </c>
      <c r="K798" t="str">
        <f t="shared" si="109"/>
        <v>10-440 feedback2</v>
      </c>
      <c r="L798">
        <v>1</v>
      </c>
      <c r="M798" t="s">
        <v>1285</v>
      </c>
      <c r="N798">
        <v>797</v>
      </c>
    </row>
    <row r="799" spans="1:14">
      <c r="A799">
        <v>8</v>
      </c>
      <c r="B799">
        <f t="shared" si="102"/>
        <v>10</v>
      </c>
      <c r="C799">
        <v>441</v>
      </c>
      <c r="D799">
        <f t="shared" ca="1" si="103"/>
        <v>4</v>
      </c>
      <c r="E799" t="str">
        <f t="shared" si="104"/>
        <v>10-441 arg1</v>
      </c>
      <c r="F799">
        <f t="shared" ca="1" si="105"/>
        <v>4</v>
      </c>
      <c r="G799" t="str">
        <f t="shared" si="106"/>
        <v>10-441 feedback1</v>
      </c>
      <c r="H799">
        <v>1</v>
      </c>
      <c r="I799">
        <f t="shared" ca="1" si="107"/>
        <v>4</v>
      </c>
      <c r="J799" t="str">
        <f t="shared" si="108"/>
        <v>10-441 arg2</v>
      </c>
      <c r="K799" t="str">
        <f t="shared" si="109"/>
        <v>10-441 feedback2</v>
      </c>
      <c r="L799">
        <v>1</v>
      </c>
      <c r="M799" t="s">
        <v>1285</v>
      </c>
      <c r="N799">
        <v>798</v>
      </c>
    </row>
    <row r="800" spans="1:14">
      <c r="A800">
        <v>8</v>
      </c>
      <c r="B800">
        <f t="shared" si="102"/>
        <v>10</v>
      </c>
      <c r="C800">
        <v>442</v>
      </c>
      <c r="D800">
        <f t="shared" ca="1" si="103"/>
        <v>5</v>
      </c>
      <c r="E800" t="str">
        <f t="shared" si="104"/>
        <v>10-442 arg1</v>
      </c>
      <c r="F800">
        <f t="shared" ca="1" si="105"/>
        <v>4</v>
      </c>
      <c r="G800" t="str">
        <f t="shared" si="106"/>
        <v>10-442 feedback1</v>
      </c>
      <c r="H800">
        <v>1</v>
      </c>
      <c r="I800">
        <f t="shared" ca="1" si="107"/>
        <v>5</v>
      </c>
      <c r="J800" t="str">
        <f t="shared" si="108"/>
        <v>10-442 arg2</v>
      </c>
      <c r="K800" t="str">
        <f t="shared" si="109"/>
        <v>10-442 feedback2</v>
      </c>
      <c r="L800">
        <v>1</v>
      </c>
      <c r="M800" t="s">
        <v>1285</v>
      </c>
      <c r="N800">
        <v>799</v>
      </c>
    </row>
    <row r="801" spans="1:14">
      <c r="A801">
        <v>8</v>
      </c>
      <c r="B801">
        <f t="shared" si="102"/>
        <v>10</v>
      </c>
      <c r="C801">
        <v>443</v>
      </c>
      <c r="D801">
        <f t="shared" ca="1" si="103"/>
        <v>3</v>
      </c>
      <c r="E801" t="str">
        <f t="shared" si="104"/>
        <v>10-443 arg1</v>
      </c>
      <c r="F801">
        <f t="shared" ca="1" si="105"/>
        <v>2</v>
      </c>
      <c r="G801" t="str">
        <f t="shared" si="106"/>
        <v>10-443 feedback1</v>
      </c>
      <c r="H801">
        <v>1</v>
      </c>
      <c r="I801">
        <f t="shared" ca="1" si="107"/>
        <v>2</v>
      </c>
      <c r="J801" t="str">
        <f t="shared" si="108"/>
        <v>10-443 arg2</v>
      </c>
      <c r="K801" t="str">
        <f t="shared" si="109"/>
        <v>10-443 feedback2</v>
      </c>
      <c r="L801">
        <v>1</v>
      </c>
      <c r="M801" t="s">
        <v>1285</v>
      </c>
      <c r="N801">
        <v>800</v>
      </c>
    </row>
    <row r="802" spans="1:14">
      <c r="A802">
        <v>8</v>
      </c>
      <c r="B802">
        <f t="shared" si="102"/>
        <v>10</v>
      </c>
      <c r="C802">
        <v>444</v>
      </c>
      <c r="D802">
        <f t="shared" ca="1" si="103"/>
        <v>4</v>
      </c>
      <c r="E802" t="str">
        <f t="shared" si="104"/>
        <v>10-444 arg1</v>
      </c>
      <c r="F802">
        <f t="shared" ca="1" si="105"/>
        <v>3</v>
      </c>
      <c r="G802" t="str">
        <f t="shared" si="106"/>
        <v>10-444 feedback1</v>
      </c>
      <c r="H802">
        <v>1</v>
      </c>
      <c r="I802">
        <f t="shared" ca="1" si="107"/>
        <v>4</v>
      </c>
      <c r="J802" t="str">
        <f t="shared" si="108"/>
        <v>10-444 arg2</v>
      </c>
      <c r="K802" t="str">
        <f t="shared" si="109"/>
        <v>10-444 feedback2</v>
      </c>
      <c r="L802">
        <v>1</v>
      </c>
      <c r="M802" t="s">
        <v>1285</v>
      </c>
      <c r="N802">
        <v>801</v>
      </c>
    </row>
    <row r="803" spans="1:14">
      <c r="A803">
        <v>8</v>
      </c>
      <c r="B803">
        <f t="shared" si="102"/>
        <v>10</v>
      </c>
      <c r="C803">
        <v>445</v>
      </c>
      <c r="D803">
        <f t="shared" ca="1" si="103"/>
        <v>4</v>
      </c>
      <c r="E803" t="str">
        <f t="shared" si="104"/>
        <v>10-445 arg1</v>
      </c>
      <c r="F803">
        <f t="shared" ca="1" si="105"/>
        <v>2</v>
      </c>
      <c r="G803" t="str">
        <f t="shared" si="106"/>
        <v>10-445 feedback1</v>
      </c>
      <c r="H803">
        <v>1</v>
      </c>
      <c r="I803">
        <f t="shared" ca="1" si="107"/>
        <v>3</v>
      </c>
      <c r="J803" t="str">
        <f t="shared" si="108"/>
        <v>10-445 arg2</v>
      </c>
      <c r="K803" t="str">
        <f t="shared" si="109"/>
        <v>10-445 feedback2</v>
      </c>
      <c r="L803">
        <v>1</v>
      </c>
      <c r="M803" t="s">
        <v>1285</v>
      </c>
      <c r="N803">
        <v>802</v>
      </c>
    </row>
    <row r="804" spans="1:14">
      <c r="A804">
        <v>8</v>
      </c>
      <c r="B804">
        <f t="shared" si="102"/>
        <v>10</v>
      </c>
      <c r="C804">
        <v>446</v>
      </c>
      <c r="D804">
        <f t="shared" ca="1" si="103"/>
        <v>4</v>
      </c>
      <c r="E804" t="str">
        <f t="shared" si="104"/>
        <v>10-446 arg1</v>
      </c>
      <c r="F804">
        <f t="shared" ca="1" si="105"/>
        <v>2</v>
      </c>
      <c r="G804" t="str">
        <f t="shared" si="106"/>
        <v>10-446 feedback1</v>
      </c>
      <c r="H804">
        <v>1</v>
      </c>
      <c r="I804">
        <f t="shared" ca="1" si="107"/>
        <v>2</v>
      </c>
      <c r="J804" t="str">
        <f t="shared" si="108"/>
        <v>10-446 arg2</v>
      </c>
      <c r="K804" t="str">
        <f t="shared" si="109"/>
        <v>10-446 feedback2</v>
      </c>
      <c r="L804">
        <v>1</v>
      </c>
      <c r="M804" t="s">
        <v>1285</v>
      </c>
      <c r="N804">
        <v>803</v>
      </c>
    </row>
    <row r="805" spans="1:14">
      <c r="A805">
        <v>8</v>
      </c>
      <c r="B805">
        <f t="shared" si="102"/>
        <v>10</v>
      </c>
      <c r="C805">
        <v>447</v>
      </c>
      <c r="D805">
        <f t="shared" ca="1" si="103"/>
        <v>4</v>
      </c>
      <c r="E805" t="str">
        <f t="shared" si="104"/>
        <v>10-447 arg1</v>
      </c>
      <c r="F805">
        <f t="shared" ca="1" si="105"/>
        <v>3</v>
      </c>
      <c r="G805" t="str">
        <f t="shared" si="106"/>
        <v>10-447 feedback1</v>
      </c>
      <c r="H805">
        <v>1</v>
      </c>
      <c r="I805">
        <f t="shared" ca="1" si="107"/>
        <v>3</v>
      </c>
      <c r="J805" t="str">
        <f t="shared" si="108"/>
        <v>10-447 arg2</v>
      </c>
      <c r="K805" t="str">
        <f t="shared" si="109"/>
        <v>10-447 feedback2</v>
      </c>
      <c r="L805">
        <v>1</v>
      </c>
      <c r="M805" t="s">
        <v>1285</v>
      </c>
      <c r="N805">
        <v>804</v>
      </c>
    </row>
    <row r="806" spans="1:14">
      <c r="A806">
        <v>8</v>
      </c>
      <c r="B806">
        <f t="shared" si="102"/>
        <v>10</v>
      </c>
      <c r="C806">
        <v>448</v>
      </c>
      <c r="D806">
        <f t="shared" ca="1" si="103"/>
        <v>3</v>
      </c>
      <c r="E806" t="str">
        <f t="shared" si="104"/>
        <v>10-448 arg1</v>
      </c>
      <c r="F806">
        <f t="shared" ca="1" si="105"/>
        <v>2</v>
      </c>
      <c r="G806" t="str">
        <f t="shared" si="106"/>
        <v>10-448 feedback1</v>
      </c>
      <c r="H806">
        <v>1</v>
      </c>
      <c r="I806">
        <f t="shared" ca="1" si="107"/>
        <v>2</v>
      </c>
      <c r="J806" t="str">
        <f t="shared" si="108"/>
        <v>10-448 arg2</v>
      </c>
      <c r="K806" t="str">
        <f t="shared" si="109"/>
        <v>10-448 feedback2</v>
      </c>
      <c r="L806">
        <v>1</v>
      </c>
      <c r="M806" t="s">
        <v>1285</v>
      </c>
      <c r="N806">
        <v>805</v>
      </c>
    </row>
    <row r="807" spans="1:14">
      <c r="A807">
        <v>8</v>
      </c>
      <c r="B807">
        <f t="shared" si="102"/>
        <v>10</v>
      </c>
      <c r="C807">
        <v>449</v>
      </c>
      <c r="D807">
        <f t="shared" ca="1" si="103"/>
        <v>4</v>
      </c>
      <c r="E807" t="str">
        <f t="shared" si="104"/>
        <v>10-449 arg1</v>
      </c>
      <c r="F807">
        <f t="shared" ca="1" si="105"/>
        <v>2</v>
      </c>
      <c r="G807" t="str">
        <f t="shared" si="106"/>
        <v>10-449 feedback1</v>
      </c>
      <c r="H807">
        <v>1</v>
      </c>
      <c r="I807">
        <f t="shared" ca="1" si="107"/>
        <v>2</v>
      </c>
      <c r="J807" t="str">
        <f t="shared" si="108"/>
        <v>10-449 arg2</v>
      </c>
      <c r="K807" t="str">
        <f t="shared" si="109"/>
        <v>10-449 feedback2</v>
      </c>
      <c r="L807">
        <v>1</v>
      </c>
      <c r="M807" t="s">
        <v>1285</v>
      </c>
      <c r="N807">
        <v>806</v>
      </c>
    </row>
    <row r="808" spans="1:14">
      <c r="A808">
        <v>8</v>
      </c>
      <c r="B808">
        <f t="shared" si="102"/>
        <v>10</v>
      </c>
      <c r="C808">
        <v>450</v>
      </c>
      <c r="D808">
        <f t="shared" ca="1" si="103"/>
        <v>4</v>
      </c>
      <c r="E808" t="str">
        <f t="shared" si="104"/>
        <v>10-450 arg1</v>
      </c>
      <c r="F808">
        <f t="shared" ca="1" si="105"/>
        <v>2</v>
      </c>
      <c r="G808" t="str">
        <f t="shared" si="106"/>
        <v>10-450 feedback1</v>
      </c>
      <c r="H808">
        <v>1</v>
      </c>
      <c r="I808">
        <f t="shared" ca="1" si="107"/>
        <v>2</v>
      </c>
      <c r="J808" t="str">
        <f t="shared" si="108"/>
        <v>10-450 arg2</v>
      </c>
      <c r="K808" t="str">
        <f t="shared" si="109"/>
        <v>10-450 feedback2</v>
      </c>
      <c r="L808">
        <v>1</v>
      </c>
      <c r="M808" t="s">
        <v>1285</v>
      </c>
      <c r="N808">
        <v>807</v>
      </c>
    </row>
    <row r="809" spans="1:14">
      <c r="A809">
        <v>8</v>
      </c>
      <c r="B809">
        <f t="shared" si="102"/>
        <v>10</v>
      </c>
      <c r="C809">
        <v>451</v>
      </c>
      <c r="D809">
        <f t="shared" ca="1" si="103"/>
        <v>4</v>
      </c>
      <c r="E809" t="str">
        <f t="shared" si="104"/>
        <v>10-451 arg1</v>
      </c>
      <c r="F809">
        <f t="shared" ca="1" si="105"/>
        <v>2</v>
      </c>
      <c r="G809" t="str">
        <f t="shared" si="106"/>
        <v>10-451 feedback1</v>
      </c>
      <c r="H809">
        <v>1</v>
      </c>
      <c r="I809">
        <f t="shared" ca="1" si="107"/>
        <v>3</v>
      </c>
      <c r="J809" t="str">
        <f t="shared" si="108"/>
        <v>10-451 arg2</v>
      </c>
      <c r="K809" t="str">
        <f t="shared" si="109"/>
        <v>10-451 feedback2</v>
      </c>
      <c r="L809">
        <v>1</v>
      </c>
      <c r="M809" t="s">
        <v>1285</v>
      </c>
      <c r="N809">
        <v>808</v>
      </c>
    </row>
    <row r="810" spans="1:14">
      <c r="A810">
        <v>8</v>
      </c>
      <c r="B810">
        <f t="shared" si="102"/>
        <v>10</v>
      </c>
      <c r="C810">
        <v>452</v>
      </c>
      <c r="D810">
        <f t="shared" ca="1" si="103"/>
        <v>4</v>
      </c>
      <c r="E810" t="str">
        <f t="shared" si="104"/>
        <v>10-452 arg1</v>
      </c>
      <c r="F810">
        <f t="shared" ca="1" si="105"/>
        <v>2</v>
      </c>
      <c r="G810" t="str">
        <f t="shared" si="106"/>
        <v>10-452 feedback1</v>
      </c>
      <c r="H810">
        <v>1</v>
      </c>
      <c r="I810">
        <f t="shared" ca="1" si="107"/>
        <v>3</v>
      </c>
      <c r="J810" t="str">
        <f t="shared" si="108"/>
        <v>10-452 arg2</v>
      </c>
      <c r="K810" t="str">
        <f t="shared" si="109"/>
        <v>10-452 feedback2</v>
      </c>
      <c r="L810">
        <v>1</v>
      </c>
      <c r="M810" t="s">
        <v>1285</v>
      </c>
      <c r="N810">
        <v>809</v>
      </c>
    </row>
    <row r="811" spans="1:14">
      <c r="A811">
        <v>8</v>
      </c>
      <c r="B811">
        <f t="shared" si="102"/>
        <v>10</v>
      </c>
      <c r="C811">
        <v>453</v>
      </c>
      <c r="D811">
        <f t="shared" ca="1" si="103"/>
        <v>4</v>
      </c>
      <c r="E811" t="str">
        <f t="shared" si="104"/>
        <v>10-453 arg1</v>
      </c>
      <c r="F811">
        <f t="shared" ca="1" si="105"/>
        <v>4</v>
      </c>
      <c r="G811" t="str">
        <f t="shared" si="106"/>
        <v>10-453 feedback1</v>
      </c>
      <c r="H811">
        <v>1</v>
      </c>
      <c r="I811">
        <f t="shared" ca="1" si="107"/>
        <v>5</v>
      </c>
      <c r="J811" t="str">
        <f t="shared" si="108"/>
        <v>10-453 arg2</v>
      </c>
      <c r="K811" t="str">
        <f t="shared" si="109"/>
        <v>10-453 feedback2</v>
      </c>
      <c r="L811">
        <v>1</v>
      </c>
      <c r="M811" t="s">
        <v>1285</v>
      </c>
      <c r="N811">
        <v>810</v>
      </c>
    </row>
    <row r="812" spans="1:14">
      <c r="A812">
        <v>8</v>
      </c>
      <c r="B812">
        <f t="shared" si="102"/>
        <v>10</v>
      </c>
      <c r="C812">
        <v>454</v>
      </c>
      <c r="D812">
        <f t="shared" ca="1" si="103"/>
        <v>4</v>
      </c>
      <c r="E812" t="str">
        <f t="shared" si="104"/>
        <v>10-454 arg1</v>
      </c>
      <c r="F812">
        <f t="shared" ca="1" si="105"/>
        <v>3</v>
      </c>
      <c r="G812" t="str">
        <f t="shared" si="106"/>
        <v>10-454 feedback1</v>
      </c>
      <c r="H812">
        <v>1</v>
      </c>
      <c r="I812">
        <f t="shared" ca="1" si="107"/>
        <v>4</v>
      </c>
      <c r="J812" t="str">
        <f t="shared" si="108"/>
        <v>10-454 arg2</v>
      </c>
      <c r="K812" t="str">
        <f t="shared" si="109"/>
        <v>10-454 feedback2</v>
      </c>
      <c r="L812">
        <v>1</v>
      </c>
      <c r="M812" t="s">
        <v>1285</v>
      </c>
      <c r="N812">
        <v>811</v>
      </c>
    </row>
    <row r="813" spans="1:14">
      <c r="A813">
        <v>8</v>
      </c>
      <c r="B813">
        <f t="shared" si="102"/>
        <v>10</v>
      </c>
      <c r="C813">
        <v>455</v>
      </c>
      <c r="D813">
        <f t="shared" ca="1" si="103"/>
        <v>4</v>
      </c>
      <c r="E813" t="str">
        <f t="shared" si="104"/>
        <v>10-455 arg1</v>
      </c>
      <c r="F813">
        <f t="shared" ca="1" si="105"/>
        <v>4</v>
      </c>
      <c r="G813" t="str">
        <f t="shared" si="106"/>
        <v>10-455 feedback1</v>
      </c>
      <c r="H813">
        <v>1</v>
      </c>
      <c r="I813">
        <f t="shared" ca="1" si="107"/>
        <v>4</v>
      </c>
      <c r="J813" t="str">
        <f t="shared" si="108"/>
        <v>10-455 arg2</v>
      </c>
      <c r="K813" t="str">
        <f t="shared" si="109"/>
        <v>10-455 feedback2</v>
      </c>
      <c r="L813">
        <v>1</v>
      </c>
      <c r="M813" t="s">
        <v>1285</v>
      </c>
      <c r="N813">
        <v>812</v>
      </c>
    </row>
    <row r="814" spans="1:14">
      <c r="A814">
        <v>8</v>
      </c>
      <c r="B814">
        <f t="shared" si="102"/>
        <v>10</v>
      </c>
      <c r="C814">
        <v>456</v>
      </c>
      <c r="D814">
        <f t="shared" ca="1" si="103"/>
        <v>3</v>
      </c>
      <c r="E814" t="str">
        <f t="shared" si="104"/>
        <v>10-456 arg1</v>
      </c>
      <c r="F814">
        <f t="shared" ca="1" si="105"/>
        <v>1</v>
      </c>
      <c r="G814" t="str">
        <f t="shared" si="106"/>
        <v>10-456 feedback1</v>
      </c>
      <c r="H814">
        <v>1</v>
      </c>
      <c r="I814">
        <f t="shared" ca="1" si="107"/>
        <v>2</v>
      </c>
      <c r="J814" t="str">
        <f t="shared" si="108"/>
        <v>10-456 arg2</v>
      </c>
      <c r="K814" t="str">
        <f t="shared" si="109"/>
        <v>10-456 feedback2</v>
      </c>
      <c r="L814">
        <v>1</v>
      </c>
      <c r="M814" t="s">
        <v>1285</v>
      </c>
      <c r="N814">
        <v>813</v>
      </c>
    </row>
    <row r="815" spans="1:14">
      <c r="A815">
        <v>8</v>
      </c>
      <c r="B815">
        <f t="shared" si="102"/>
        <v>10</v>
      </c>
      <c r="C815">
        <v>457</v>
      </c>
      <c r="D815">
        <f t="shared" ca="1" si="103"/>
        <v>4</v>
      </c>
      <c r="E815" t="str">
        <f t="shared" si="104"/>
        <v>10-457 arg1</v>
      </c>
      <c r="F815">
        <f t="shared" ca="1" si="105"/>
        <v>4</v>
      </c>
      <c r="G815" t="str">
        <f t="shared" si="106"/>
        <v>10-457 feedback1</v>
      </c>
      <c r="H815">
        <v>1</v>
      </c>
      <c r="I815">
        <f t="shared" ca="1" si="107"/>
        <v>5</v>
      </c>
      <c r="J815" t="str">
        <f t="shared" si="108"/>
        <v>10-457 arg2</v>
      </c>
      <c r="K815" t="str">
        <f t="shared" si="109"/>
        <v>10-457 feedback2</v>
      </c>
      <c r="L815">
        <v>1</v>
      </c>
      <c r="M815" t="s">
        <v>1285</v>
      </c>
      <c r="N815">
        <v>814</v>
      </c>
    </row>
    <row r="816" spans="1:14">
      <c r="A816">
        <v>8</v>
      </c>
      <c r="B816">
        <f t="shared" si="102"/>
        <v>10</v>
      </c>
      <c r="C816">
        <v>458</v>
      </c>
      <c r="D816">
        <f t="shared" ca="1" si="103"/>
        <v>4</v>
      </c>
      <c r="E816" t="str">
        <f t="shared" si="104"/>
        <v>10-458 arg1</v>
      </c>
      <c r="F816">
        <f t="shared" ca="1" si="105"/>
        <v>3</v>
      </c>
      <c r="G816" t="str">
        <f t="shared" si="106"/>
        <v>10-458 feedback1</v>
      </c>
      <c r="H816">
        <v>1</v>
      </c>
      <c r="I816">
        <f t="shared" ca="1" si="107"/>
        <v>3</v>
      </c>
      <c r="J816" t="str">
        <f t="shared" si="108"/>
        <v>10-458 arg2</v>
      </c>
      <c r="K816" t="str">
        <f t="shared" si="109"/>
        <v>10-458 feedback2</v>
      </c>
      <c r="L816">
        <v>1</v>
      </c>
      <c r="M816" t="s">
        <v>1285</v>
      </c>
      <c r="N816">
        <v>815</v>
      </c>
    </row>
    <row r="817" spans="1:14">
      <c r="A817">
        <v>8</v>
      </c>
      <c r="B817">
        <f t="shared" si="102"/>
        <v>10</v>
      </c>
      <c r="C817">
        <v>459</v>
      </c>
      <c r="D817">
        <f t="shared" ca="1" si="103"/>
        <v>4</v>
      </c>
      <c r="E817" t="str">
        <f t="shared" si="104"/>
        <v>10-459 arg1</v>
      </c>
      <c r="F817">
        <f t="shared" ca="1" si="105"/>
        <v>2</v>
      </c>
      <c r="G817" t="str">
        <f t="shared" si="106"/>
        <v>10-459 feedback1</v>
      </c>
      <c r="H817">
        <v>1</v>
      </c>
      <c r="I817">
        <f t="shared" ca="1" si="107"/>
        <v>3</v>
      </c>
      <c r="J817" t="str">
        <f t="shared" si="108"/>
        <v>10-459 arg2</v>
      </c>
      <c r="K817" t="str">
        <f t="shared" si="109"/>
        <v>10-459 feedback2</v>
      </c>
      <c r="L817">
        <v>1</v>
      </c>
      <c r="M817" t="s">
        <v>1285</v>
      </c>
      <c r="N817">
        <v>816</v>
      </c>
    </row>
    <row r="818" spans="1:14">
      <c r="A818">
        <v>8</v>
      </c>
      <c r="B818">
        <f t="shared" si="102"/>
        <v>10</v>
      </c>
      <c r="C818">
        <v>460</v>
      </c>
      <c r="D818">
        <f t="shared" ca="1" si="103"/>
        <v>3</v>
      </c>
      <c r="E818" t="str">
        <f t="shared" si="104"/>
        <v>10-460 arg1</v>
      </c>
      <c r="F818">
        <f t="shared" ca="1" si="105"/>
        <v>3</v>
      </c>
      <c r="G818" t="str">
        <f t="shared" si="106"/>
        <v>10-460 feedback1</v>
      </c>
      <c r="H818">
        <v>1</v>
      </c>
      <c r="I818">
        <f t="shared" ca="1" si="107"/>
        <v>3</v>
      </c>
      <c r="J818" t="str">
        <f t="shared" si="108"/>
        <v>10-460 arg2</v>
      </c>
      <c r="K818" t="str">
        <f t="shared" si="109"/>
        <v>10-460 feedback2</v>
      </c>
      <c r="L818">
        <v>1</v>
      </c>
      <c r="M818" t="s">
        <v>1285</v>
      </c>
      <c r="N818">
        <v>817</v>
      </c>
    </row>
    <row r="819" spans="1:14">
      <c r="A819">
        <v>8</v>
      </c>
      <c r="B819">
        <f t="shared" si="102"/>
        <v>10</v>
      </c>
      <c r="C819">
        <v>461</v>
      </c>
      <c r="D819">
        <f t="shared" ca="1" si="103"/>
        <v>5</v>
      </c>
      <c r="E819" t="str">
        <f t="shared" si="104"/>
        <v>10-461 arg1</v>
      </c>
      <c r="F819">
        <f t="shared" ca="1" si="105"/>
        <v>5</v>
      </c>
      <c r="G819" t="str">
        <f t="shared" si="106"/>
        <v>10-461 feedback1</v>
      </c>
      <c r="H819">
        <v>1</v>
      </c>
      <c r="I819">
        <f t="shared" ca="1" si="107"/>
        <v>5</v>
      </c>
      <c r="J819" t="str">
        <f t="shared" si="108"/>
        <v>10-461 arg2</v>
      </c>
      <c r="K819" t="str">
        <f t="shared" si="109"/>
        <v>10-461 feedback2</v>
      </c>
      <c r="L819">
        <v>1</v>
      </c>
      <c r="M819" t="s">
        <v>1285</v>
      </c>
      <c r="N819">
        <v>818</v>
      </c>
    </row>
    <row r="820" spans="1:14">
      <c r="A820">
        <v>8</v>
      </c>
      <c r="B820">
        <f t="shared" si="102"/>
        <v>10</v>
      </c>
      <c r="C820">
        <v>462</v>
      </c>
      <c r="D820">
        <f t="shared" ca="1" si="103"/>
        <v>3</v>
      </c>
      <c r="E820" t="str">
        <f t="shared" si="104"/>
        <v>10-462 arg1</v>
      </c>
      <c r="F820">
        <f t="shared" ca="1" si="105"/>
        <v>2</v>
      </c>
      <c r="G820" t="str">
        <f t="shared" si="106"/>
        <v>10-462 feedback1</v>
      </c>
      <c r="H820">
        <v>1</v>
      </c>
      <c r="I820">
        <f t="shared" ca="1" si="107"/>
        <v>3</v>
      </c>
      <c r="J820" t="str">
        <f t="shared" si="108"/>
        <v>10-462 arg2</v>
      </c>
      <c r="K820" t="str">
        <f t="shared" si="109"/>
        <v>10-462 feedback2</v>
      </c>
      <c r="L820">
        <v>1</v>
      </c>
      <c r="M820" t="s">
        <v>1285</v>
      </c>
      <c r="N820">
        <v>819</v>
      </c>
    </row>
    <row r="821" spans="1:14">
      <c r="A821">
        <v>8</v>
      </c>
      <c r="B821">
        <f t="shared" si="102"/>
        <v>10</v>
      </c>
      <c r="C821">
        <v>463</v>
      </c>
      <c r="D821">
        <f t="shared" ca="1" si="103"/>
        <v>3</v>
      </c>
      <c r="E821" t="str">
        <f t="shared" si="104"/>
        <v>10-463 arg1</v>
      </c>
      <c r="F821">
        <f t="shared" ca="1" si="105"/>
        <v>3</v>
      </c>
      <c r="G821" t="str">
        <f t="shared" si="106"/>
        <v>10-463 feedback1</v>
      </c>
      <c r="H821">
        <v>1</v>
      </c>
      <c r="I821">
        <f t="shared" ca="1" si="107"/>
        <v>4</v>
      </c>
      <c r="J821" t="str">
        <f t="shared" si="108"/>
        <v>10-463 arg2</v>
      </c>
      <c r="K821" t="str">
        <f t="shared" si="109"/>
        <v>10-463 feedback2</v>
      </c>
      <c r="L821">
        <v>1</v>
      </c>
      <c r="M821" t="s">
        <v>1285</v>
      </c>
      <c r="N821">
        <v>820</v>
      </c>
    </row>
    <row r="822" spans="1:14">
      <c r="A822">
        <v>8</v>
      </c>
      <c r="B822">
        <f t="shared" ref="B822:B885" si="110">B737+1</f>
        <v>10</v>
      </c>
      <c r="C822">
        <v>464</v>
      </c>
      <c r="D822">
        <f t="shared" ca="1" si="103"/>
        <v>4</v>
      </c>
      <c r="E822" t="str">
        <f t="shared" si="104"/>
        <v>10-464 arg1</v>
      </c>
      <c r="F822">
        <f t="shared" ca="1" si="105"/>
        <v>3</v>
      </c>
      <c r="G822" t="str">
        <f t="shared" si="106"/>
        <v>10-464 feedback1</v>
      </c>
      <c r="H822">
        <v>1</v>
      </c>
      <c r="I822">
        <f t="shared" ca="1" si="107"/>
        <v>4</v>
      </c>
      <c r="J822" t="str">
        <f t="shared" si="108"/>
        <v>10-464 arg2</v>
      </c>
      <c r="K822" t="str">
        <f t="shared" si="109"/>
        <v>10-464 feedback2</v>
      </c>
      <c r="L822">
        <v>1</v>
      </c>
      <c r="M822" t="s">
        <v>1285</v>
      </c>
      <c r="N822">
        <v>821</v>
      </c>
    </row>
    <row r="823" spans="1:14">
      <c r="A823">
        <v>8</v>
      </c>
      <c r="B823">
        <f t="shared" si="110"/>
        <v>10</v>
      </c>
      <c r="C823">
        <v>465</v>
      </c>
      <c r="D823">
        <f t="shared" ca="1" si="103"/>
        <v>5</v>
      </c>
      <c r="E823" t="str">
        <f t="shared" si="104"/>
        <v>10-465 arg1</v>
      </c>
      <c r="F823">
        <f t="shared" ca="1" si="105"/>
        <v>3</v>
      </c>
      <c r="G823" t="str">
        <f t="shared" si="106"/>
        <v>10-465 feedback1</v>
      </c>
      <c r="H823">
        <v>1</v>
      </c>
      <c r="I823">
        <f t="shared" ca="1" si="107"/>
        <v>4</v>
      </c>
      <c r="J823" t="str">
        <f t="shared" si="108"/>
        <v>10-465 arg2</v>
      </c>
      <c r="K823" t="str">
        <f t="shared" si="109"/>
        <v>10-465 feedback2</v>
      </c>
      <c r="L823">
        <v>1</v>
      </c>
      <c r="M823" t="s">
        <v>1285</v>
      </c>
      <c r="N823">
        <v>822</v>
      </c>
    </row>
    <row r="824" spans="1:14">
      <c r="A824">
        <v>8</v>
      </c>
      <c r="B824">
        <f t="shared" si="110"/>
        <v>10</v>
      </c>
      <c r="C824">
        <v>466</v>
      </c>
      <c r="D824">
        <f t="shared" ca="1" si="103"/>
        <v>3</v>
      </c>
      <c r="E824" t="str">
        <f t="shared" si="104"/>
        <v>10-466 arg1</v>
      </c>
      <c r="F824">
        <f t="shared" ca="1" si="105"/>
        <v>2</v>
      </c>
      <c r="G824" t="str">
        <f t="shared" si="106"/>
        <v>10-466 feedback1</v>
      </c>
      <c r="H824">
        <v>1</v>
      </c>
      <c r="I824">
        <f t="shared" ca="1" si="107"/>
        <v>3</v>
      </c>
      <c r="J824" t="str">
        <f t="shared" si="108"/>
        <v>10-466 arg2</v>
      </c>
      <c r="K824" t="str">
        <f t="shared" si="109"/>
        <v>10-466 feedback2</v>
      </c>
      <c r="L824">
        <v>1</v>
      </c>
      <c r="M824" t="s">
        <v>1285</v>
      </c>
      <c r="N824">
        <v>823</v>
      </c>
    </row>
    <row r="825" spans="1:14">
      <c r="A825">
        <v>8</v>
      </c>
      <c r="B825">
        <f t="shared" si="110"/>
        <v>10</v>
      </c>
      <c r="C825">
        <v>467</v>
      </c>
      <c r="D825">
        <f t="shared" ca="1" si="103"/>
        <v>4</v>
      </c>
      <c r="E825" t="str">
        <f t="shared" si="104"/>
        <v>10-467 arg1</v>
      </c>
      <c r="F825">
        <f t="shared" ca="1" si="105"/>
        <v>3</v>
      </c>
      <c r="G825" t="str">
        <f t="shared" si="106"/>
        <v>10-467 feedback1</v>
      </c>
      <c r="H825">
        <v>1</v>
      </c>
      <c r="I825">
        <f t="shared" ca="1" si="107"/>
        <v>4</v>
      </c>
      <c r="J825" t="str">
        <f t="shared" si="108"/>
        <v>10-467 arg2</v>
      </c>
      <c r="K825" t="str">
        <f t="shared" si="109"/>
        <v>10-467 feedback2</v>
      </c>
      <c r="L825">
        <v>1</v>
      </c>
      <c r="M825" t="s">
        <v>1285</v>
      </c>
      <c r="N825">
        <v>824</v>
      </c>
    </row>
    <row r="826" spans="1:14">
      <c r="A826">
        <v>8</v>
      </c>
      <c r="B826">
        <f t="shared" si="110"/>
        <v>10</v>
      </c>
      <c r="C826">
        <v>468</v>
      </c>
      <c r="D826">
        <f t="shared" ca="1" si="103"/>
        <v>5</v>
      </c>
      <c r="E826" t="str">
        <f t="shared" si="104"/>
        <v>10-468 arg1</v>
      </c>
      <c r="F826">
        <f t="shared" ca="1" si="105"/>
        <v>4</v>
      </c>
      <c r="G826" t="str">
        <f t="shared" si="106"/>
        <v>10-468 feedback1</v>
      </c>
      <c r="H826">
        <v>1</v>
      </c>
      <c r="I826">
        <f t="shared" ca="1" si="107"/>
        <v>4</v>
      </c>
      <c r="J826" t="str">
        <f t="shared" si="108"/>
        <v>10-468 arg2</v>
      </c>
      <c r="K826" t="str">
        <f t="shared" si="109"/>
        <v>10-468 feedback2</v>
      </c>
      <c r="L826">
        <v>1</v>
      </c>
      <c r="M826" t="s">
        <v>1285</v>
      </c>
      <c r="N826">
        <v>825</v>
      </c>
    </row>
    <row r="827" spans="1:14">
      <c r="A827">
        <v>8</v>
      </c>
      <c r="B827">
        <f t="shared" si="110"/>
        <v>10</v>
      </c>
      <c r="C827">
        <v>469</v>
      </c>
      <c r="D827">
        <f t="shared" ca="1" si="103"/>
        <v>5</v>
      </c>
      <c r="E827" t="str">
        <f t="shared" si="104"/>
        <v>10-469 arg1</v>
      </c>
      <c r="F827">
        <f t="shared" ca="1" si="105"/>
        <v>3</v>
      </c>
      <c r="G827" t="str">
        <f t="shared" si="106"/>
        <v>10-469 feedback1</v>
      </c>
      <c r="H827">
        <v>1</v>
      </c>
      <c r="I827">
        <f t="shared" ca="1" si="107"/>
        <v>4</v>
      </c>
      <c r="J827" t="str">
        <f t="shared" si="108"/>
        <v>10-469 arg2</v>
      </c>
      <c r="K827" t="str">
        <f t="shared" si="109"/>
        <v>10-469 feedback2</v>
      </c>
      <c r="L827">
        <v>1</v>
      </c>
      <c r="M827" t="s">
        <v>1285</v>
      </c>
      <c r="N827">
        <v>826</v>
      </c>
    </row>
    <row r="828" spans="1:14">
      <c r="A828">
        <v>8</v>
      </c>
      <c r="B828">
        <f t="shared" si="110"/>
        <v>10</v>
      </c>
      <c r="C828">
        <v>470</v>
      </c>
      <c r="D828">
        <f t="shared" ca="1" si="103"/>
        <v>3</v>
      </c>
      <c r="E828" t="str">
        <f t="shared" si="104"/>
        <v>10-470 arg1</v>
      </c>
      <c r="F828">
        <f t="shared" ca="1" si="105"/>
        <v>3</v>
      </c>
      <c r="G828" t="str">
        <f t="shared" si="106"/>
        <v>10-470 feedback1</v>
      </c>
      <c r="H828">
        <v>1</v>
      </c>
      <c r="I828">
        <f t="shared" ca="1" si="107"/>
        <v>4</v>
      </c>
      <c r="J828" t="str">
        <f t="shared" si="108"/>
        <v>10-470 arg2</v>
      </c>
      <c r="K828" t="str">
        <f t="shared" si="109"/>
        <v>10-470 feedback2</v>
      </c>
      <c r="L828">
        <v>1</v>
      </c>
      <c r="M828" t="s">
        <v>1285</v>
      </c>
      <c r="N828">
        <v>827</v>
      </c>
    </row>
    <row r="829" spans="1:14">
      <c r="A829">
        <v>8</v>
      </c>
      <c r="B829">
        <f t="shared" si="110"/>
        <v>10</v>
      </c>
      <c r="C829">
        <v>471</v>
      </c>
      <c r="D829">
        <f t="shared" ca="1" si="103"/>
        <v>4</v>
      </c>
      <c r="E829" t="str">
        <f t="shared" si="104"/>
        <v>10-471 arg1</v>
      </c>
      <c r="F829">
        <f t="shared" ca="1" si="105"/>
        <v>4</v>
      </c>
      <c r="G829" t="str">
        <f t="shared" si="106"/>
        <v>10-471 feedback1</v>
      </c>
      <c r="H829">
        <v>1</v>
      </c>
      <c r="I829">
        <f t="shared" ca="1" si="107"/>
        <v>4</v>
      </c>
      <c r="J829" t="str">
        <f t="shared" si="108"/>
        <v>10-471 arg2</v>
      </c>
      <c r="K829" t="str">
        <f t="shared" si="109"/>
        <v>10-471 feedback2</v>
      </c>
      <c r="L829">
        <v>1</v>
      </c>
      <c r="M829" t="s">
        <v>1285</v>
      </c>
      <c r="N829">
        <v>828</v>
      </c>
    </row>
    <row r="830" spans="1:14">
      <c r="A830">
        <v>8</v>
      </c>
      <c r="B830">
        <f t="shared" si="110"/>
        <v>10</v>
      </c>
      <c r="C830">
        <v>472</v>
      </c>
      <c r="D830">
        <f t="shared" ca="1" si="103"/>
        <v>3</v>
      </c>
      <c r="E830" t="str">
        <f t="shared" si="104"/>
        <v>10-472 arg1</v>
      </c>
      <c r="F830">
        <f t="shared" ca="1" si="105"/>
        <v>2</v>
      </c>
      <c r="G830" t="str">
        <f t="shared" si="106"/>
        <v>10-472 feedback1</v>
      </c>
      <c r="H830">
        <v>1</v>
      </c>
      <c r="I830">
        <f t="shared" ca="1" si="107"/>
        <v>3</v>
      </c>
      <c r="J830" t="str">
        <f t="shared" si="108"/>
        <v>10-472 arg2</v>
      </c>
      <c r="K830" t="str">
        <f t="shared" si="109"/>
        <v>10-472 feedback2</v>
      </c>
      <c r="L830">
        <v>1</v>
      </c>
      <c r="M830" t="s">
        <v>1285</v>
      </c>
      <c r="N830">
        <v>829</v>
      </c>
    </row>
    <row r="831" spans="1:14">
      <c r="A831">
        <v>8</v>
      </c>
      <c r="B831">
        <f t="shared" si="110"/>
        <v>10</v>
      </c>
      <c r="C831">
        <v>473</v>
      </c>
      <c r="D831">
        <f t="shared" ca="1" si="103"/>
        <v>4</v>
      </c>
      <c r="E831" t="str">
        <f t="shared" si="104"/>
        <v>10-473 arg1</v>
      </c>
      <c r="F831">
        <f t="shared" ca="1" si="105"/>
        <v>3</v>
      </c>
      <c r="G831" t="str">
        <f t="shared" si="106"/>
        <v>10-473 feedback1</v>
      </c>
      <c r="H831">
        <v>1</v>
      </c>
      <c r="I831">
        <f t="shared" ca="1" si="107"/>
        <v>3</v>
      </c>
      <c r="J831" t="str">
        <f t="shared" si="108"/>
        <v>10-473 arg2</v>
      </c>
      <c r="K831" t="str">
        <f t="shared" si="109"/>
        <v>10-473 feedback2</v>
      </c>
      <c r="L831">
        <v>1</v>
      </c>
      <c r="M831" t="s">
        <v>1285</v>
      </c>
      <c r="N831">
        <v>830</v>
      </c>
    </row>
    <row r="832" spans="1:14">
      <c r="A832">
        <v>8</v>
      </c>
      <c r="B832">
        <f t="shared" si="110"/>
        <v>10</v>
      </c>
      <c r="C832">
        <v>474</v>
      </c>
      <c r="D832">
        <f t="shared" ca="1" si="103"/>
        <v>4</v>
      </c>
      <c r="E832" t="str">
        <f t="shared" si="104"/>
        <v>10-474 arg1</v>
      </c>
      <c r="F832">
        <f t="shared" ca="1" si="105"/>
        <v>4</v>
      </c>
      <c r="G832" t="str">
        <f t="shared" si="106"/>
        <v>10-474 feedback1</v>
      </c>
      <c r="H832">
        <v>1</v>
      </c>
      <c r="I832">
        <f t="shared" ca="1" si="107"/>
        <v>4</v>
      </c>
      <c r="J832" t="str">
        <f t="shared" si="108"/>
        <v>10-474 arg2</v>
      </c>
      <c r="K832" t="str">
        <f t="shared" si="109"/>
        <v>10-474 feedback2</v>
      </c>
      <c r="L832">
        <v>1</v>
      </c>
      <c r="M832" t="s">
        <v>1285</v>
      </c>
      <c r="N832">
        <v>831</v>
      </c>
    </row>
    <row r="833" spans="1:14">
      <c r="A833">
        <v>8</v>
      </c>
      <c r="B833">
        <f t="shared" si="110"/>
        <v>10</v>
      </c>
      <c r="C833">
        <v>475</v>
      </c>
      <c r="D833">
        <f t="shared" ca="1" si="103"/>
        <v>3</v>
      </c>
      <c r="E833" t="str">
        <f t="shared" si="104"/>
        <v>10-475 arg1</v>
      </c>
      <c r="F833">
        <f t="shared" ca="1" si="105"/>
        <v>3</v>
      </c>
      <c r="G833" t="str">
        <f t="shared" si="106"/>
        <v>10-475 feedback1</v>
      </c>
      <c r="H833">
        <v>1</v>
      </c>
      <c r="I833">
        <f t="shared" ca="1" si="107"/>
        <v>3</v>
      </c>
      <c r="J833" t="str">
        <f t="shared" si="108"/>
        <v>10-475 arg2</v>
      </c>
      <c r="K833" t="str">
        <f t="shared" si="109"/>
        <v>10-475 feedback2</v>
      </c>
      <c r="L833">
        <v>1</v>
      </c>
      <c r="M833" t="s">
        <v>1285</v>
      </c>
      <c r="N833">
        <v>832</v>
      </c>
    </row>
    <row r="834" spans="1:14">
      <c r="A834">
        <v>8</v>
      </c>
      <c r="B834">
        <f t="shared" si="110"/>
        <v>10</v>
      </c>
      <c r="C834">
        <v>476</v>
      </c>
      <c r="D834">
        <f t="shared" ca="1" si="103"/>
        <v>5</v>
      </c>
      <c r="E834" t="str">
        <f t="shared" si="104"/>
        <v>10-476 arg1</v>
      </c>
      <c r="F834">
        <f t="shared" ca="1" si="105"/>
        <v>5</v>
      </c>
      <c r="G834" t="str">
        <f t="shared" si="106"/>
        <v>10-476 feedback1</v>
      </c>
      <c r="H834">
        <v>1</v>
      </c>
      <c r="I834">
        <f t="shared" ca="1" si="107"/>
        <v>5</v>
      </c>
      <c r="J834" t="str">
        <f t="shared" si="108"/>
        <v>10-476 arg2</v>
      </c>
      <c r="K834" t="str">
        <f t="shared" si="109"/>
        <v>10-476 feedback2</v>
      </c>
      <c r="L834">
        <v>1</v>
      </c>
      <c r="M834" t="s">
        <v>1285</v>
      </c>
      <c r="N834">
        <v>833</v>
      </c>
    </row>
    <row r="835" spans="1:14">
      <c r="A835">
        <v>8</v>
      </c>
      <c r="B835">
        <f t="shared" si="110"/>
        <v>10</v>
      </c>
      <c r="C835">
        <v>477</v>
      </c>
      <c r="D835">
        <f t="shared" ref="D835:D898" ca="1" si="111">ROUND(3+2*RAND(),0)</f>
        <v>5</v>
      </c>
      <c r="E835" t="str">
        <f t="shared" si="104"/>
        <v>10-477 arg1</v>
      </c>
      <c r="F835">
        <f t="shared" ca="1" si="105"/>
        <v>4</v>
      </c>
      <c r="G835" t="str">
        <f t="shared" si="106"/>
        <v>10-477 feedback1</v>
      </c>
      <c r="H835">
        <v>1</v>
      </c>
      <c r="I835">
        <f t="shared" ca="1" si="107"/>
        <v>5</v>
      </c>
      <c r="J835" t="str">
        <f t="shared" si="108"/>
        <v>10-477 arg2</v>
      </c>
      <c r="K835" t="str">
        <f t="shared" si="109"/>
        <v>10-477 feedback2</v>
      </c>
      <c r="L835">
        <v>1</v>
      </c>
      <c r="M835" t="s">
        <v>1285</v>
      </c>
      <c r="N835">
        <v>834</v>
      </c>
    </row>
    <row r="836" spans="1:14">
      <c r="A836">
        <v>8</v>
      </c>
      <c r="B836">
        <f t="shared" si="110"/>
        <v>10</v>
      </c>
      <c r="C836">
        <v>478</v>
      </c>
      <c r="D836">
        <f t="shared" ca="1" si="111"/>
        <v>4</v>
      </c>
      <c r="E836" t="str">
        <f t="shared" si="104"/>
        <v>10-478 arg1</v>
      </c>
      <c r="F836">
        <f t="shared" ca="1" si="105"/>
        <v>4</v>
      </c>
      <c r="G836" t="str">
        <f t="shared" si="106"/>
        <v>10-478 feedback1</v>
      </c>
      <c r="H836">
        <v>1</v>
      </c>
      <c r="I836">
        <f t="shared" ca="1" si="107"/>
        <v>5</v>
      </c>
      <c r="J836" t="str">
        <f t="shared" si="108"/>
        <v>10-478 arg2</v>
      </c>
      <c r="K836" t="str">
        <f t="shared" si="109"/>
        <v>10-478 feedback2</v>
      </c>
      <c r="L836">
        <v>1</v>
      </c>
      <c r="M836" t="s">
        <v>1285</v>
      </c>
      <c r="N836">
        <v>835</v>
      </c>
    </row>
    <row r="837" spans="1:14">
      <c r="A837">
        <v>8</v>
      </c>
      <c r="B837">
        <f t="shared" si="110"/>
        <v>10</v>
      </c>
      <c r="C837">
        <v>479</v>
      </c>
      <c r="D837">
        <f t="shared" ca="1" si="111"/>
        <v>4</v>
      </c>
      <c r="E837" t="str">
        <f t="shared" si="104"/>
        <v>10-479 arg1</v>
      </c>
      <c r="F837">
        <f t="shared" ca="1" si="105"/>
        <v>4</v>
      </c>
      <c r="G837" t="str">
        <f t="shared" si="106"/>
        <v>10-479 feedback1</v>
      </c>
      <c r="H837">
        <v>1</v>
      </c>
      <c r="I837">
        <f t="shared" ca="1" si="107"/>
        <v>4</v>
      </c>
      <c r="J837" t="str">
        <f t="shared" si="108"/>
        <v>10-479 arg2</v>
      </c>
      <c r="K837" t="str">
        <f t="shared" si="109"/>
        <v>10-479 feedback2</v>
      </c>
      <c r="L837">
        <v>1</v>
      </c>
      <c r="M837" t="s">
        <v>1285</v>
      </c>
      <c r="N837">
        <v>836</v>
      </c>
    </row>
    <row r="838" spans="1:14">
      <c r="A838">
        <v>8</v>
      </c>
      <c r="B838">
        <f t="shared" si="110"/>
        <v>10</v>
      </c>
      <c r="C838">
        <v>480</v>
      </c>
      <c r="D838">
        <f t="shared" ca="1" si="111"/>
        <v>5</v>
      </c>
      <c r="E838" t="str">
        <f t="shared" si="104"/>
        <v>10-480 arg1</v>
      </c>
      <c r="F838">
        <f t="shared" ca="1" si="105"/>
        <v>4</v>
      </c>
      <c r="G838" t="str">
        <f t="shared" si="106"/>
        <v>10-480 feedback1</v>
      </c>
      <c r="H838">
        <v>1</v>
      </c>
      <c r="I838">
        <f t="shared" ca="1" si="107"/>
        <v>5</v>
      </c>
      <c r="J838" t="str">
        <f t="shared" si="108"/>
        <v>10-480 arg2</v>
      </c>
      <c r="K838" t="str">
        <f t="shared" si="109"/>
        <v>10-480 feedback2</v>
      </c>
      <c r="L838">
        <v>1</v>
      </c>
      <c r="M838" t="s">
        <v>1285</v>
      </c>
      <c r="N838">
        <v>837</v>
      </c>
    </row>
    <row r="839" spans="1:14">
      <c r="A839">
        <v>8</v>
      </c>
      <c r="B839">
        <f t="shared" si="110"/>
        <v>10</v>
      </c>
      <c r="C839">
        <v>481</v>
      </c>
      <c r="D839">
        <f t="shared" ca="1" si="111"/>
        <v>5</v>
      </c>
      <c r="E839" t="str">
        <f t="shared" si="104"/>
        <v>10-481 arg1</v>
      </c>
      <c r="F839">
        <f t="shared" ca="1" si="105"/>
        <v>4</v>
      </c>
      <c r="G839" t="str">
        <f t="shared" si="106"/>
        <v>10-481 feedback1</v>
      </c>
      <c r="H839">
        <v>1</v>
      </c>
      <c r="I839">
        <f t="shared" ca="1" si="107"/>
        <v>4</v>
      </c>
      <c r="J839" t="str">
        <f t="shared" si="108"/>
        <v>10-481 arg2</v>
      </c>
      <c r="K839" t="str">
        <f t="shared" si="109"/>
        <v>10-481 feedback2</v>
      </c>
      <c r="L839">
        <v>1</v>
      </c>
      <c r="M839" t="s">
        <v>1285</v>
      </c>
      <c r="N839">
        <v>838</v>
      </c>
    </row>
    <row r="840" spans="1:14">
      <c r="A840">
        <v>8</v>
      </c>
      <c r="B840">
        <f t="shared" si="110"/>
        <v>10</v>
      </c>
      <c r="C840">
        <v>482</v>
      </c>
      <c r="D840">
        <f t="shared" ca="1" si="111"/>
        <v>4</v>
      </c>
      <c r="E840" t="str">
        <f t="shared" si="104"/>
        <v>10-482 arg1</v>
      </c>
      <c r="F840">
        <f t="shared" ca="1" si="105"/>
        <v>4</v>
      </c>
      <c r="G840" t="str">
        <f t="shared" si="106"/>
        <v>10-482 feedback1</v>
      </c>
      <c r="H840">
        <v>1</v>
      </c>
      <c r="I840">
        <f t="shared" ca="1" si="107"/>
        <v>5</v>
      </c>
      <c r="J840" t="str">
        <f t="shared" si="108"/>
        <v>10-482 arg2</v>
      </c>
      <c r="K840" t="str">
        <f t="shared" si="109"/>
        <v>10-482 feedback2</v>
      </c>
      <c r="L840">
        <v>1</v>
      </c>
      <c r="M840" t="s">
        <v>1285</v>
      </c>
      <c r="N840">
        <v>839</v>
      </c>
    </row>
    <row r="841" spans="1:14">
      <c r="A841">
        <v>8</v>
      </c>
      <c r="B841">
        <f t="shared" si="110"/>
        <v>10</v>
      </c>
      <c r="C841">
        <v>483</v>
      </c>
      <c r="D841">
        <f t="shared" ca="1" si="111"/>
        <v>5</v>
      </c>
      <c r="E841" t="str">
        <f t="shared" si="104"/>
        <v>10-483 arg1</v>
      </c>
      <c r="F841">
        <f t="shared" ca="1" si="105"/>
        <v>5</v>
      </c>
      <c r="G841" t="str">
        <f t="shared" si="106"/>
        <v>10-483 feedback1</v>
      </c>
      <c r="H841">
        <v>1</v>
      </c>
      <c r="I841">
        <f t="shared" ca="1" si="107"/>
        <v>5</v>
      </c>
      <c r="J841" t="str">
        <f t="shared" si="108"/>
        <v>10-483 arg2</v>
      </c>
      <c r="K841" t="str">
        <f t="shared" si="109"/>
        <v>10-483 feedback2</v>
      </c>
      <c r="L841">
        <v>1</v>
      </c>
      <c r="M841" t="s">
        <v>1285</v>
      </c>
      <c r="N841">
        <v>840</v>
      </c>
    </row>
    <row r="842" spans="1:14">
      <c r="A842">
        <v>8</v>
      </c>
      <c r="B842">
        <f t="shared" si="110"/>
        <v>10</v>
      </c>
      <c r="C842">
        <v>484</v>
      </c>
      <c r="D842">
        <f t="shared" ca="1" si="111"/>
        <v>5</v>
      </c>
      <c r="E842" t="str">
        <f t="shared" si="104"/>
        <v>10-484 arg1</v>
      </c>
      <c r="F842">
        <f t="shared" ca="1" si="105"/>
        <v>5</v>
      </c>
      <c r="G842" t="str">
        <f t="shared" si="106"/>
        <v>10-484 feedback1</v>
      </c>
      <c r="H842">
        <v>1</v>
      </c>
      <c r="I842">
        <f t="shared" ca="1" si="107"/>
        <v>5</v>
      </c>
      <c r="J842" t="str">
        <f t="shared" si="108"/>
        <v>10-484 arg2</v>
      </c>
      <c r="K842" t="str">
        <f t="shared" si="109"/>
        <v>10-484 feedback2</v>
      </c>
      <c r="L842">
        <v>1</v>
      </c>
      <c r="M842" t="s">
        <v>1285</v>
      </c>
      <c r="N842">
        <v>841</v>
      </c>
    </row>
    <row r="843" spans="1:14">
      <c r="A843">
        <v>8</v>
      </c>
      <c r="B843">
        <f t="shared" si="110"/>
        <v>10</v>
      </c>
      <c r="C843">
        <v>485</v>
      </c>
      <c r="D843">
        <f t="shared" ca="1" si="111"/>
        <v>4</v>
      </c>
      <c r="E843" t="str">
        <f t="shared" si="104"/>
        <v>10-485 arg1</v>
      </c>
      <c r="F843">
        <f t="shared" ca="1" si="105"/>
        <v>2</v>
      </c>
      <c r="G843" t="str">
        <f t="shared" si="106"/>
        <v>10-485 feedback1</v>
      </c>
      <c r="H843">
        <v>1</v>
      </c>
      <c r="I843">
        <f t="shared" ca="1" si="107"/>
        <v>3</v>
      </c>
      <c r="J843" t="str">
        <f t="shared" si="108"/>
        <v>10-485 arg2</v>
      </c>
      <c r="K843" t="str">
        <f t="shared" si="109"/>
        <v>10-485 feedback2</v>
      </c>
      <c r="L843">
        <v>1</v>
      </c>
      <c r="M843" t="s">
        <v>1285</v>
      </c>
      <c r="N843">
        <v>842</v>
      </c>
    </row>
    <row r="844" spans="1:14">
      <c r="A844">
        <v>8</v>
      </c>
      <c r="B844">
        <f t="shared" si="110"/>
        <v>10</v>
      </c>
      <c r="C844">
        <v>486</v>
      </c>
      <c r="D844">
        <f t="shared" ca="1" si="111"/>
        <v>4</v>
      </c>
      <c r="E844" t="str">
        <f t="shared" si="104"/>
        <v>10-486 arg1</v>
      </c>
      <c r="F844">
        <f t="shared" ca="1" si="105"/>
        <v>4</v>
      </c>
      <c r="G844" t="str">
        <f t="shared" si="106"/>
        <v>10-486 feedback1</v>
      </c>
      <c r="H844">
        <v>1</v>
      </c>
      <c r="I844">
        <f t="shared" ca="1" si="107"/>
        <v>4</v>
      </c>
      <c r="J844" t="str">
        <f t="shared" si="108"/>
        <v>10-486 arg2</v>
      </c>
      <c r="K844" t="str">
        <f t="shared" si="109"/>
        <v>10-486 feedback2</v>
      </c>
      <c r="L844">
        <v>1</v>
      </c>
      <c r="M844" t="s">
        <v>1285</v>
      </c>
      <c r="N844">
        <v>843</v>
      </c>
    </row>
    <row r="845" spans="1:14">
      <c r="A845">
        <v>8</v>
      </c>
      <c r="B845">
        <f t="shared" si="110"/>
        <v>10</v>
      </c>
      <c r="C845">
        <v>487</v>
      </c>
      <c r="D845">
        <f t="shared" ca="1" si="111"/>
        <v>4</v>
      </c>
      <c r="E845" t="str">
        <f t="shared" si="104"/>
        <v>10-487 arg1</v>
      </c>
      <c r="F845">
        <f t="shared" ca="1" si="105"/>
        <v>3</v>
      </c>
      <c r="G845" t="str">
        <f t="shared" si="106"/>
        <v>10-487 feedback1</v>
      </c>
      <c r="H845">
        <v>1</v>
      </c>
      <c r="I845">
        <f t="shared" ca="1" si="107"/>
        <v>3</v>
      </c>
      <c r="J845" t="str">
        <f t="shared" si="108"/>
        <v>10-487 arg2</v>
      </c>
      <c r="K845" t="str">
        <f t="shared" si="109"/>
        <v>10-487 feedback2</v>
      </c>
      <c r="L845">
        <v>1</v>
      </c>
      <c r="M845" t="s">
        <v>1285</v>
      </c>
      <c r="N845">
        <v>844</v>
      </c>
    </row>
    <row r="846" spans="1:14">
      <c r="A846">
        <v>8</v>
      </c>
      <c r="B846">
        <f t="shared" si="110"/>
        <v>10</v>
      </c>
      <c r="C846">
        <v>488</v>
      </c>
      <c r="D846">
        <f t="shared" ca="1" si="111"/>
        <v>5</v>
      </c>
      <c r="E846" t="str">
        <f t="shared" si="104"/>
        <v>10-488 arg1</v>
      </c>
      <c r="F846">
        <f t="shared" ca="1" si="105"/>
        <v>4</v>
      </c>
      <c r="G846" t="str">
        <f t="shared" si="106"/>
        <v>10-488 feedback1</v>
      </c>
      <c r="H846">
        <v>1</v>
      </c>
      <c r="I846">
        <f t="shared" ca="1" si="107"/>
        <v>4</v>
      </c>
      <c r="J846" t="str">
        <f t="shared" si="108"/>
        <v>10-488 arg2</v>
      </c>
      <c r="K846" t="str">
        <f t="shared" si="109"/>
        <v>10-488 feedback2</v>
      </c>
      <c r="L846">
        <v>1</v>
      </c>
      <c r="M846" t="s">
        <v>1285</v>
      </c>
      <c r="N846">
        <v>845</v>
      </c>
    </row>
    <row r="847" spans="1:14">
      <c r="A847">
        <v>8</v>
      </c>
      <c r="B847">
        <f t="shared" si="110"/>
        <v>10</v>
      </c>
      <c r="C847">
        <v>489</v>
      </c>
      <c r="D847">
        <f t="shared" ca="1" si="111"/>
        <v>4</v>
      </c>
      <c r="E847" t="str">
        <f t="shared" si="104"/>
        <v>10-489 arg1</v>
      </c>
      <c r="F847">
        <f t="shared" ca="1" si="105"/>
        <v>2</v>
      </c>
      <c r="G847" t="str">
        <f t="shared" si="106"/>
        <v>10-489 feedback1</v>
      </c>
      <c r="H847">
        <v>1</v>
      </c>
      <c r="I847">
        <f t="shared" ca="1" si="107"/>
        <v>3</v>
      </c>
      <c r="J847" t="str">
        <f t="shared" si="108"/>
        <v>10-489 arg2</v>
      </c>
      <c r="K847" t="str">
        <f t="shared" si="109"/>
        <v>10-489 feedback2</v>
      </c>
      <c r="L847">
        <v>1</v>
      </c>
      <c r="M847" t="s">
        <v>1285</v>
      </c>
      <c r="N847">
        <v>846</v>
      </c>
    </row>
    <row r="848" spans="1:14">
      <c r="A848">
        <v>8</v>
      </c>
      <c r="B848">
        <f t="shared" si="110"/>
        <v>10</v>
      </c>
      <c r="C848">
        <v>490</v>
      </c>
      <c r="D848">
        <f t="shared" ca="1" si="111"/>
        <v>4</v>
      </c>
      <c r="E848" t="str">
        <f t="shared" si="104"/>
        <v>10-490 arg1</v>
      </c>
      <c r="F848">
        <f t="shared" ca="1" si="105"/>
        <v>4</v>
      </c>
      <c r="G848" t="str">
        <f t="shared" si="106"/>
        <v>10-490 feedback1</v>
      </c>
      <c r="H848">
        <v>1</v>
      </c>
      <c r="I848">
        <f t="shared" ca="1" si="107"/>
        <v>4</v>
      </c>
      <c r="J848" t="str">
        <f t="shared" si="108"/>
        <v>10-490 arg2</v>
      </c>
      <c r="K848" t="str">
        <f t="shared" si="109"/>
        <v>10-490 feedback2</v>
      </c>
      <c r="L848">
        <v>1</v>
      </c>
      <c r="M848" t="s">
        <v>1285</v>
      </c>
      <c r="N848">
        <v>847</v>
      </c>
    </row>
    <row r="849" spans="1:14">
      <c r="A849">
        <v>8</v>
      </c>
      <c r="B849">
        <f t="shared" si="110"/>
        <v>10</v>
      </c>
      <c r="C849">
        <v>491</v>
      </c>
      <c r="D849">
        <f t="shared" ca="1" si="111"/>
        <v>4</v>
      </c>
      <c r="E849" t="str">
        <f t="shared" si="104"/>
        <v>10-491 arg1</v>
      </c>
      <c r="F849">
        <f t="shared" ca="1" si="105"/>
        <v>3</v>
      </c>
      <c r="G849" t="str">
        <f t="shared" si="106"/>
        <v>10-491 feedback1</v>
      </c>
      <c r="H849">
        <v>1</v>
      </c>
      <c r="I849">
        <f t="shared" ca="1" si="107"/>
        <v>4</v>
      </c>
      <c r="J849" t="str">
        <f t="shared" si="108"/>
        <v>10-491 arg2</v>
      </c>
      <c r="K849" t="str">
        <f t="shared" si="109"/>
        <v>10-491 feedback2</v>
      </c>
      <c r="L849">
        <v>1</v>
      </c>
      <c r="M849" t="s">
        <v>1285</v>
      </c>
      <c r="N849">
        <v>848</v>
      </c>
    </row>
    <row r="850" spans="1:14">
      <c r="A850">
        <v>8</v>
      </c>
      <c r="B850">
        <f t="shared" si="110"/>
        <v>10</v>
      </c>
      <c r="C850">
        <v>492</v>
      </c>
      <c r="D850">
        <f t="shared" ca="1" si="111"/>
        <v>4</v>
      </c>
      <c r="E850" t="str">
        <f t="shared" si="104"/>
        <v>10-492 arg1</v>
      </c>
      <c r="F850">
        <f t="shared" ca="1" si="105"/>
        <v>3</v>
      </c>
      <c r="G850" t="str">
        <f t="shared" si="106"/>
        <v>10-492 feedback1</v>
      </c>
      <c r="H850">
        <v>1</v>
      </c>
      <c r="I850">
        <f t="shared" ca="1" si="107"/>
        <v>4</v>
      </c>
      <c r="J850" t="str">
        <f t="shared" si="108"/>
        <v>10-492 arg2</v>
      </c>
      <c r="K850" t="str">
        <f t="shared" si="109"/>
        <v>10-492 feedback2</v>
      </c>
      <c r="L850">
        <v>1</v>
      </c>
      <c r="M850" t="s">
        <v>1285</v>
      </c>
      <c r="N850">
        <v>849</v>
      </c>
    </row>
    <row r="851" spans="1:14">
      <c r="A851">
        <v>8</v>
      </c>
      <c r="B851">
        <f t="shared" si="110"/>
        <v>10</v>
      </c>
      <c r="C851">
        <v>493</v>
      </c>
      <c r="D851">
        <f t="shared" ca="1" si="111"/>
        <v>3</v>
      </c>
      <c r="E851" t="str">
        <f t="shared" si="104"/>
        <v>10-493 arg1</v>
      </c>
      <c r="F851">
        <f t="shared" ca="1" si="105"/>
        <v>2</v>
      </c>
      <c r="G851" t="str">
        <f t="shared" si="106"/>
        <v>10-493 feedback1</v>
      </c>
      <c r="H851">
        <v>1</v>
      </c>
      <c r="I851">
        <f t="shared" ca="1" si="107"/>
        <v>3</v>
      </c>
      <c r="J851" t="str">
        <f t="shared" si="108"/>
        <v>10-493 arg2</v>
      </c>
      <c r="K851" t="str">
        <f t="shared" si="109"/>
        <v>10-493 feedback2</v>
      </c>
      <c r="L851">
        <v>1</v>
      </c>
      <c r="M851" t="s">
        <v>1285</v>
      </c>
      <c r="N851">
        <v>850</v>
      </c>
    </row>
    <row r="852" spans="1:14">
      <c r="A852">
        <v>8</v>
      </c>
      <c r="B852">
        <f t="shared" si="110"/>
        <v>11</v>
      </c>
      <c r="C852">
        <v>409</v>
      </c>
      <c r="D852">
        <f t="shared" ca="1" si="111"/>
        <v>4</v>
      </c>
      <c r="E852" t="str">
        <f t="shared" si="104"/>
        <v>11-409 arg1</v>
      </c>
      <c r="F852">
        <f t="shared" ca="1" si="105"/>
        <v>2</v>
      </c>
      <c r="G852" t="str">
        <f t="shared" si="106"/>
        <v>11-409 feedback1</v>
      </c>
      <c r="H852">
        <v>1</v>
      </c>
      <c r="I852">
        <f t="shared" ca="1" si="107"/>
        <v>2</v>
      </c>
      <c r="J852" t="str">
        <f t="shared" si="108"/>
        <v>11-409 arg2</v>
      </c>
      <c r="K852" t="str">
        <f t="shared" si="109"/>
        <v>11-409 feedback2</v>
      </c>
      <c r="L852">
        <v>1</v>
      </c>
      <c r="M852" t="s">
        <v>1285</v>
      </c>
      <c r="N852">
        <v>851</v>
      </c>
    </row>
    <row r="853" spans="1:14">
      <c r="A853">
        <v>8</v>
      </c>
      <c r="B853">
        <f t="shared" si="110"/>
        <v>11</v>
      </c>
      <c r="C853">
        <v>410</v>
      </c>
      <c r="D853">
        <f t="shared" ca="1" si="111"/>
        <v>4</v>
      </c>
      <c r="E853" t="str">
        <f t="shared" ref="E853:E916" si="112">_xlfn.CONCAT(B853,"-",C853," arg1")</f>
        <v>11-410 arg1</v>
      </c>
      <c r="F853">
        <f t="shared" ref="F853:F916" ca="1" si="113">D853-ROUND(2*RAND(),0)</f>
        <v>3</v>
      </c>
      <c r="G853" t="str">
        <f t="shared" ref="G853:G916" si="114">_xlfn.CONCAT(B853,"-",C853," feedback1")</f>
        <v>11-410 feedback1</v>
      </c>
      <c r="H853">
        <v>1</v>
      </c>
      <c r="I853">
        <f t="shared" ref="I853:I916" ca="1" si="115">MIN(5,F853+ROUND(RAND(),0))</f>
        <v>4</v>
      </c>
      <c r="J853" t="str">
        <f t="shared" ref="J853:J916" si="116">_xlfn.CONCAT(B853,"-",C853," arg2")</f>
        <v>11-410 arg2</v>
      </c>
      <c r="K853" t="str">
        <f t="shared" ref="K853:K916" si="117">_xlfn.CONCAT(B853,"-",C853," feedback2")</f>
        <v>11-410 feedback2</v>
      </c>
      <c r="L853">
        <v>1</v>
      </c>
      <c r="M853" t="s">
        <v>1285</v>
      </c>
      <c r="N853">
        <v>852</v>
      </c>
    </row>
    <row r="854" spans="1:14">
      <c r="A854">
        <v>8</v>
      </c>
      <c r="B854">
        <f t="shared" si="110"/>
        <v>11</v>
      </c>
      <c r="C854">
        <v>411</v>
      </c>
      <c r="D854">
        <f t="shared" ca="1" si="111"/>
        <v>3</v>
      </c>
      <c r="E854" t="str">
        <f t="shared" si="112"/>
        <v>11-411 arg1</v>
      </c>
      <c r="F854">
        <f t="shared" ca="1" si="113"/>
        <v>2</v>
      </c>
      <c r="G854" t="str">
        <f t="shared" si="114"/>
        <v>11-411 feedback1</v>
      </c>
      <c r="H854">
        <v>1</v>
      </c>
      <c r="I854">
        <f t="shared" ca="1" si="115"/>
        <v>3</v>
      </c>
      <c r="J854" t="str">
        <f t="shared" si="116"/>
        <v>11-411 arg2</v>
      </c>
      <c r="K854" t="str">
        <f t="shared" si="117"/>
        <v>11-411 feedback2</v>
      </c>
      <c r="L854">
        <v>1</v>
      </c>
      <c r="M854" t="s">
        <v>1285</v>
      </c>
      <c r="N854">
        <v>853</v>
      </c>
    </row>
    <row r="855" spans="1:14">
      <c r="A855">
        <v>8</v>
      </c>
      <c r="B855">
        <f t="shared" si="110"/>
        <v>11</v>
      </c>
      <c r="C855">
        <v>412</v>
      </c>
      <c r="D855">
        <f t="shared" ca="1" si="111"/>
        <v>5</v>
      </c>
      <c r="E855" t="str">
        <f t="shared" si="112"/>
        <v>11-412 arg1</v>
      </c>
      <c r="F855">
        <f t="shared" ca="1" si="113"/>
        <v>5</v>
      </c>
      <c r="G855" t="str">
        <f t="shared" si="114"/>
        <v>11-412 feedback1</v>
      </c>
      <c r="H855">
        <v>1</v>
      </c>
      <c r="I855">
        <f t="shared" ca="1" si="115"/>
        <v>5</v>
      </c>
      <c r="J855" t="str">
        <f t="shared" si="116"/>
        <v>11-412 arg2</v>
      </c>
      <c r="K855" t="str">
        <f t="shared" si="117"/>
        <v>11-412 feedback2</v>
      </c>
      <c r="L855">
        <v>1</v>
      </c>
      <c r="M855" t="s">
        <v>1285</v>
      </c>
      <c r="N855">
        <v>854</v>
      </c>
    </row>
    <row r="856" spans="1:14">
      <c r="A856">
        <v>8</v>
      </c>
      <c r="B856">
        <f t="shared" si="110"/>
        <v>11</v>
      </c>
      <c r="C856">
        <v>413</v>
      </c>
      <c r="D856">
        <f t="shared" ca="1" si="111"/>
        <v>4</v>
      </c>
      <c r="E856" t="str">
        <f t="shared" si="112"/>
        <v>11-413 arg1</v>
      </c>
      <c r="F856">
        <f t="shared" ca="1" si="113"/>
        <v>3</v>
      </c>
      <c r="G856" t="str">
        <f t="shared" si="114"/>
        <v>11-413 feedback1</v>
      </c>
      <c r="H856">
        <v>1</v>
      </c>
      <c r="I856">
        <f t="shared" ca="1" si="115"/>
        <v>3</v>
      </c>
      <c r="J856" t="str">
        <f t="shared" si="116"/>
        <v>11-413 arg2</v>
      </c>
      <c r="K856" t="str">
        <f t="shared" si="117"/>
        <v>11-413 feedback2</v>
      </c>
      <c r="L856">
        <v>1</v>
      </c>
      <c r="M856" t="s">
        <v>1285</v>
      </c>
      <c r="N856">
        <v>855</v>
      </c>
    </row>
    <row r="857" spans="1:14">
      <c r="A857">
        <v>8</v>
      </c>
      <c r="B857">
        <f t="shared" si="110"/>
        <v>11</v>
      </c>
      <c r="C857">
        <v>414</v>
      </c>
      <c r="D857">
        <f t="shared" ca="1" si="111"/>
        <v>3</v>
      </c>
      <c r="E857" t="str">
        <f t="shared" si="112"/>
        <v>11-414 arg1</v>
      </c>
      <c r="F857">
        <f t="shared" ca="1" si="113"/>
        <v>1</v>
      </c>
      <c r="G857" t="str">
        <f t="shared" si="114"/>
        <v>11-414 feedback1</v>
      </c>
      <c r="H857">
        <v>1</v>
      </c>
      <c r="I857">
        <f t="shared" ca="1" si="115"/>
        <v>1</v>
      </c>
      <c r="J857" t="str">
        <f t="shared" si="116"/>
        <v>11-414 arg2</v>
      </c>
      <c r="K857" t="str">
        <f t="shared" si="117"/>
        <v>11-414 feedback2</v>
      </c>
      <c r="L857">
        <v>1</v>
      </c>
      <c r="M857" t="s">
        <v>1285</v>
      </c>
      <c r="N857">
        <v>856</v>
      </c>
    </row>
    <row r="858" spans="1:14">
      <c r="A858">
        <v>8</v>
      </c>
      <c r="B858">
        <f t="shared" si="110"/>
        <v>11</v>
      </c>
      <c r="C858">
        <v>415</v>
      </c>
      <c r="D858">
        <f t="shared" ca="1" si="111"/>
        <v>4</v>
      </c>
      <c r="E858" t="str">
        <f t="shared" si="112"/>
        <v>11-415 arg1</v>
      </c>
      <c r="F858">
        <f t="shared" ca="1" si="113"/>
        <v>2</v>
      </c>
      <c r="G858" t="str">
        <f t="shared" si="114"/>
        <v>11-415 feedback1</v>
      </c>
      <c r="H858">
        <v>1</v>
      </c>
      <c r="I858">
        <f t="shared" ca="1" si="115"/>
        <v>2</v>
      </c>
      <c r="J858" t="str">
        <f t="shared" si="116"/>
        <v>11-415 arg2</v>
      </c>
      <c r="K858" t="str">
        <f t="shared" si="117"/>
        <v>11-415 feedback2</v>
      </c>
      <c r="L858">
        <v>1</v>
      </c>
      <c r="M858" t="s">
        <v>1285</v>
      </c>
      <c r="N858">
        <v>857</v>
      </c>
    </row>
    <row r="859" spans="1:14">
      <c r="A859">
        <v>8</v>
      </c>
      <c r="B859">
        <f t="shared" si="110"/>
        <v>11</v>
      </c>
      <c r="C859">
        <v>416</v>
      </c>
      <c r="D859">
        <f t="shared" ca="1" si="111"/>
        <v>4</v>
      </c>
      <c r="E859" t="str">
        <f t="shared" si="112"/>
        <v>11-416 arg1</v>
      </c>
      <c r="F859">
        <f t="shared" ca="1" si="113"/>
        <v>3</v>
      </c>
      <c r="G859" t="str">
        <f t="shared" si="114"/>
        <v>11-416 feedback1</v>
      </c>
      <c r="H859">
        <v>1</v>
      </c>
      <c r="I859">
        <f t="shared" ca="1" si="115"/>
        <v>3</v>
      </c>
      <c r="J859" t="str">
        <f t="shared" si="116"/>
        <v>11-416 arg2</v>
      </c>
      <c r="K859" t="str">
        <f t="shared" si="117"/>
        <v>11-416 feedback2</v>
      </c>
      <c r="L859">
        <v>1</v>
      </c>
      <c r="M859" t="s">
        <v>1285</v>
      </c>
      <c r="N859">
        <v>858</v>
      </c>
    </row>
    <row r="860" spans="1:14">
      <c r="A860">
        <v>8</v>
      </c>
      <c r="B860">
        <f t="shared" si="110"/>
        <v>11</v>
      </c>
      <c r="C860">
        <v>417</v>
      </c>
      <c r="D860">
        <f t="shared" ca="1" si="111"/>
        <v>5</v>
      </c>
      <c r="E860" t="str">
        <f t="shared" si="112"/>
        <v>11-417 arg1</v>
      </c>
      <c r="F860">
        <f t="shared" ca="1" si="113"/>
        <v>3</v>
      </c>
      <c r="G860" t="str">
        <f t="shared" si="114"/>
        <v>11-417 feedback1</v>
      </c>
      <c r="H860">
        <v>1</v>
      </c>
      <c r="I860">
        <f t="shared" ca="1" si="115"/>
        <v>3</v>
      </c>
      <c r="J860" t="str">
        <f t="shared" si="116"/>
        <v>11-417 arg2</v>
      </c>
      <c r="K860" t="str">
        <f t="shared" si="117"/>
        <v>11-417 feedback2</v>
      </c>
      <c r="L860">
        <v>1</v>
      </c>
      <c r="M860" t="s">
        <v>1285</v>
      </c>
      <c r="N860">
        <v>859</v>
      </c>
    </row>
    <row r="861" spans="1:14">
      <c r="A861">
        <v>8</v>
      </c>
      <c r="B861">
        <f t="shared" si="110"/>
        <v>11</v>
      </c>
      <c r="C861">
        <v>418</v>
      </c>
      <c r="D861">
        <f t="shared" ca="1" si="111"/>
        <v>3</v>
      </c>
      <c r="E861" t="str">
        <f t="shared" si="112"/>
        <v>11-418 arg1</v>
      </c>
      <c r="F861">
        <f t="shared" ca="1" si="113"/>
        <v>2</v>
      </c>
      <c r="G861" t="str">
        <f t="shared" si="114"/>
        <v>11-418 feedback1</v>
      </c>
      <c r="H861">
        <v>1</v>
      </c>
      <c r="I861">
        <f t="shared" ca="1" si="115"/>
        <v>2</v>
      </c>
      <c r="J861" t="str">
        <f t="shared" si="116"/>
        <v>11-418 arg2</v>
      </c>
      <c r="K861" t="str">
        <f t="shared" si="117"/>
        <v>11-418 feedback2</v>
      </c>
      <c r="L861">
        <v>1</v>
      </c>
      <c r="M861" t="s">
        <v>1285</v>
      </c>
      <c r="N861">
        <v>860</v>
      </c>
    </row>
    <row r="862" spans="1:14">
      <c r="A862">
        <v>8</v>
      </c>
      <c r="B862">
        <f t="shared" si="110"/>
        <v>11</v>
      </c>
      <c r="C862">
        <v>419</v>
      </c>
      <c r="D862">
        <f t="shared" ca="1" si="111"/>
        <v>3</v>
      </c>
      <c r="E862" t="str">
        <f t="shared" si="112"/>
        <v>11-419 arg1</v>
      </c>
      <c r="F862">
        <f t="shared" ca="1" si="113"/>
        <v>2</v>
      </c>
      <c r="G862" t="str">
        <f t="shared" si="114"/>
        <v>11-419 feedback1</v>
      </c>
      <c r="H862">
        <v>1</v>
      </c>
      <c r="I862">
        <f t="shared" ca="1" si="115"/>
        <v>3</v>
      </c>
      <c r="J862" t="str">
        <f t="shared" si="116"/>
        <v>11-419 arg2</v>
      </c>
      <c r="K862" t="str">
        <f t="shared" si="117"/>
        <v>11-419 feedback2</v>
      </c>
      <c r="L862">
        <v>1</v>
      </c>
      <c r="M862" t="s">
        <v>1285</v>
      </c>
      <c r="N862">
        <v>861</v>
      </c>
    </row>
    <row r="863" spans="1:14">
      <c r="A863">
        <v>8</v>
      </c>
      <c r="B863">
        <f t="shared" si="110"/>
        <v>11</v>
      </c>
      <c r="C863">
        <v>420</v>
      </c>
      <c r="D863">
        <f t="shared" ca="1" si="111"/>
        <v>4</v>
      </c>
      <c r="E863" t="str">
        <f t="shared" si="112"/>
        <v>11-420 arg1</v>
      </c>
      <c r="F863">
        <f t="shared" ca="1" si="113"/>
        <v>3</v>
      </c>
      <c r="G863" t="str">
        <f t="shared" si="114"/>
        <v>11-420 feedback1</v>
      </c>
      <c r="H863">
        <v>1</v>
      </c>
      <c r="I863">
        <f t="shared" ca="1" si="115"/>
        <v>4</v>
      </c>
      <c r="J863" t="str">
        <f t="shared" si="116"/>
        <v>11-420 arg2</v>
      </c>
      <c r="K863" t="str">
        <f t="shared" si="117"/>
        <v>11-420 feedback2</v>
      </c>
      <c r="L863">
        <v>1</v>
      </c>
      <c r="M863" t="s">
        <v>1285</v>
      </c>
      <c r="N863">
        <v>862</v>
      </c>
    </row>
    <row r="864" spans="1:14">
      <c r="A864">
        <v>8</v>
      </c>
      <c r="B864">
        <f t="shared" si="110"/>
        <v>11</v>
      </c>
      <c r="C864">
        <v>421</v>
      </c>
      <c r="D864">
        <f t="shared" ca="1" si="111"/>
        <v>4</v>
      </c>
      <c r="E864" t="str">
        <f t="shared" si="112"/>
        <v>11-421 arg1</v>
      </c>
      <c r="F864">
        <f t="shared" ca="1" si="113"/>
        <v>3</v>
      </c>
      <c r="G864" t="str">
        <f t="shared" si="114"/>
        <v>11-421 feedback1</v>
      </c>
      <c r="H864">
        <v>1</v>
      </c>
      <c r="I864">
        <f t="shared" ca="1" si="115"/>
        <v>4</v>
      </c>
      <c r="J864" t="str">
        <f t="shared" si="116"/>
        <v>11-421 arg2</v>
      </c>
      <c r="K864" t="str">
        <f t="shared" si="117"/>
        <v>11-421 feedback2</v>
      </c>
      <c r="L864">
        <v>1</v>
      </c>
      <c r="M864" t="s">
        <v>1285</v>
      </c>
      <c r="N864">
        <v>863</v>
      </c>
    </row>
    <row r="865" spans="1:14">
      <c r="A865">
        <v>8</v>
      </c>
      <c r="B865">
        <f t="shared" si="110"/>
        <v>11</v>
      </c>
      <c r="C865">
        <v>422</v>
      </c>
      <c r="D865">
        <f t="shared" ca="1" si="111"/>
        <v>5</v>
      </c>
      <c r="E865" t="str">
        <f t="shared" si="112"/>
        <v>11-422 arg1</v>
      </c>
      <c r="F865">
        <f t="shared" ca="1" si="113"/>
        <v>3</v>
      </c>
      <c r="G865" t="str">
        <f t="shared" si="114"/>
        <v>11-422 feedback1</v>
      </c>
      <c r="H865">
        <v>1</v>
      </c>
      <c r="I865">
        <f t="shared" ca="1" si="115"/>
        <v>3</v>
      </c>
      <c r="J865" t="str">
        <f t="shared" si="116"/>
        <v>11-422 arg2</v>
      </c>
      <c r="K865" t="str">
        <f t="shared" si="117"/>
        <v>11-422 feedback2</v>
      </c>
      <c r="L865">
        <v>1</v>
      </c>
      <c r="M865" t="s">
        <v>1285</v>
      </c>
      <c r="N865">
        <v>864</v>
      </c>
    </row>
    <row r="866" spans="1:14">
      <c r="A866">
        <v>8</v>
      </c>
      <c r="B866">
        <f t="shared" si="110"/>
        <v>11</v>
      </c>
      <c r="C866">
        <v>423</v>
      </c>
      <c r="D866">
        <f t="shared" ca="1" si="111"/>
        <v>3</v>
      </c>
      <c r="E866" t="str">
        <f t="shared" si="112"/>
        <v>11-423 arg1</v>
      </c>
      <c r="F866">
        <f t="shared" ca="1" si="113"/>
        <v>3</v>
      </c>
      <c r="G866" t="str">
        <f t="shared" si="114"/>
        <v>11-423 feedback1</v>
      </c>
      <c r="H866">
        <v>1</v>
      </c>
      <c r="I866">
        <f t="shared" ca="1" si="115"/>
        <v>4</v>
      </c>
      <c r="J866" t="str">
        <f t="shared" si="116"/>
        <v>11-423 arg2</v>
      </c>
      <c r="K866" t="str">
        <f t="shared" si="117"/>
        <v>11-423 feedback2</v>
      </c>
      <c r="L866">
        <v>1</v>
      </c>
      <c r="M866" t="s">
        <v>1285</v>
      </c>
      <c r="N866">
        <v>865</v>
      </c>
    </row>
    <row r="867" spans="1:14">
      <c r="A867">
        <v>8</v>
      </c>
      <c r="B867">
        <f t="shared" si="110"/>
        <v>11</v>
      </c>
      <c r="C867">
        <v>424</v>
      </c>
      <c r="D867">
        <f t="shared" ca="1" si="111"/>
        <v>4</v>
      </c>
      <c r="E867" t="str">
        <f t="shared" si="112"/>
        <v>11-424 arg1</v>
      </c>
      <c r="F867">
        <f t="shared" ca="1" si="113"/>
        <v>4</v>
      </c>
      <c r="G867" t="str">
        <f t="shared" si="114"/>
        <v>11-424 feedback1</v>
      </c>
      <c r="H867">
        <v>1</v>
      </c>
      <c r="I867">
        <f t="shared" ca="1" si="115"/>
        <v>5</v>
      </c>
      <c r="J867" t="str">
        <f t="shared" si="116"/>
        <v>11-424 arg2</v>
      </c>
      <c r="K867" t="str">
        <f t="shared" si="117"/>
        <v>11-424 feedback2</v>
      </c>
      <c r="L867">
        <v>1</v>
      </c>
      <c r="M867" t="s">
        <v>1285</v>
      </c>
      <c r="N867">
        <v>866</v>
      </c>
    </row>
    <row r="868" spans="1:14">
      <c r="A868">
        <v>8</v>
      </c>
      <c r="B868">
        <f t="shared" si="110"/>
        <v>11</v>
      </c>
      <c r="C868">
        <v>425</v>
      </c>
      <c r="D868">
        <f t="shared" ca="1" si="111"/>
        <v>4</v>
      </c>
      <c r="E868" t="str">
        <f t="shared" si="112"/>
        <v>11-425 arg1</v>
      </c>
      <c r="F868">
        <f t="shared" ca="1" si="113"/>
        <v>2</v>
      </c>
      <c r="G868" t="str">
        <f t="shared" si="114"/>
        <v>11-425 feedback1</v>
      </c>
      <c r="H868">
        <v>1</v>
      </c>
      <c r="I868">
        <f t="shared" ca="1" si="115"/>
        <v>3</v>
      </c>
      <c r="J868" t="str">
        <f t="shared" si="116"/>
        <v>11-425 arg2</v>
      </c>
      <c r="K868" t="str">
        <f t="shared" si="117"/>
        <v>11-425 feedback2</v>
      </c>
      <c r="L868">
        <v>1</v>
      </c>
      <c r="M868" t="s">
        <v>1285</v>
      </c>
      <c r="N868">
        <v>867</v>
      </c>
    </row>
    <row r="869" spans="1:14">
      <c r="A869">
        <v>8</v>
      </c>
      <c r="B869">
        <f t="shared" si="110"/>
        <v>11</v>
      </c>
      <c r="C869">
        <v>426</v>
      </c>
      <c r="D869">
        <f t="shared" ca="1" si="111"/>
        <v>3</v>
      </c>
      <c r="E869" t="str">
        <f t="shared" si="112"/>
        <v>11-426 arg1</v>
      </c>
      <c r="F869">
        <f t="shared" ca="1" si="113"/>
        <v>2</v>
      </c>
      <c r="G869" t="str">
        <f t="shared" si="114"/>
        <v>11-426 feedback1</v>
      </c>
      <c r="H869">
        <v>1</v>
      </c>
      <c r="I869">
        <f t="shared" ca="1" si="115"/>
        <v>2</v>
      </c>
      <c r="J869" t="str">
        <f t="shared" si="116"/>
        <v>11-426 arg2</v>
      </c>
      <c r="K869" t="str">
        <f t="shared" si="117"/>
        <v>11-426 feedback2</v>
      </c>
      <c r="L869">
        <v>1</v>
      </c>
      <c r="M869" t="s">
        <v>1285</v>
      </c>
      <c r="N869">
        <v>868</v>
      </c>
    </row>
    <row r="870" spans="1:14">
      <c r="A870">
        <v>8</v>
      </c>
      <c r="B870">
        <f t="shared" si="110"/>
        <v>11</v>
      </c>
      <c r="C870">
        <v>427</v>
      </c>
      <c r="D870">
        <f t="shared" ca="1" si="111"/>
        <v>5</v>
      </c>
      <c r="E870" t="str">
        <f t="shared" si="112"/>
        <v>11-427 arg1</v>
      </c>
      <c r="F870">
        <f t="shared" ca="1" si="113"/>
        <v>4</v>
      </c>
      <c r="G870" t="str">
        <f t="shared" si="114"/>
        <v>11-427 feedback1</v>
      </c>
      <c r="H870">
        <v>1</v>
      </c>
      <c r="I870">
        <f t="shared" ca="1" si="115"/>
        <v>5</v>
      </c>
      <c r="J870" t="str">
        <f t="shared" si="116"/>
        <v>11-427 arg2</v>
      </c>
      <c r="K870" t="str">
        <f t="shared" si="117"/>
        <v>11-427 feedback2</v>
      </c>
      <c r="L870">
        <v>1</v>
      </c>
      <c r="M870" t="s">
        <v>1285</v>
      </c>
      <c r="N870">
        <v>869</v>
      </c>
    </row>
    <row r="871" spans="1:14">
      <c r="A871">
        <v>8</v>
      </c>
      <c r="B871">
        <f t="shared" si="110"/>
        <v>11</v>
      </c>
      <c r="C871">
        <v>428</v>
      </c>
      <c r="D871">
        <f t="shared" ca="1" si="111"/>
        <v>4</v>
      </c>
      <c r="E871" t="str">
        <f t="shared" si="112"/>
        <v>11-428 arg1</v>
      </c>
      <c r="F871">
        <f t="shared" ca="1" si="113"/>
        <v>3</v>
      </c>
      <c r="G871" t="str">
        <f t="shared" si="114"/>
        <v>11-428 feedback1</v>
      </c>
      <c r="H871">
        <v>1</v>
      </c>
      <c r="I871">
        <f t="shared" ca="1" si="115"/>
        <v>4</v>
      </c>
      <c r="J871" t="str">
        <f t="shared" si="116"/>
        <v>11-428 arg2</v>
      </c>
      <c r="K871" t="str">
        <f t="shared" si="117"/>
        <v>11-428 feedback2</v>
      </c>
      <c r="L871">
        <v>1</v>
      </c>
      <c r="M871" t="s">
        <v>1285</v>
      </c>
      <c r="N871">
        <v>870</v>
      </c>
    </row>
    <row r="872" spans="1:14">
      <c r="A872">
        <v>8</v>
      </c>
      <c r="B872">
        <f t="shared" si="110"/>
        <v>11</v>
      </c>
      <c r="C872">
        <v>429</v>
      </c>
      <c r="D872">
        <f t="shared" ca="1" si="111"/>
        <v>3</v>
      </c>
      <c r="E872" t="str">
        <f t="shared" si="112"/>
        <v>11-429 arg1</v>
      </c>
      <c r="F872">
        <f t="shared" ca="1" si="113"/>
        <v>3</v>
      </c>
      <c r="G872" t="str">
        <f t="shared" si="114"/>
        <v>11-429 feedback1</v>
      </c>
      <c r="H872">
        <v>1</v>
      </c>
      <c r="I872">
        <f t="shared" ca="1" si="115"/>
        <v>3</v>
      </c>
      <c r="J872" t="str">
        <f t="shared" si="116"/>
        <v>11-429 arg2</v>
      </c>
      <c r="K872" t="str">
        <f t="shared" si="117"/>
        <v>11-429 feedback2</v>
      </c>
      <c r="L872">
        <v>1</v>
      </c>
      <c r="M872" t="s">
        <v>1285</v>
      </c>
      <c r="N872">
        <v>871</v>
      </c>
    </row>
    <row r="873" spans="1:14">
      <c r="A873">
        <v>8</v>
      </c>
      <c r="B873">
        <f t="shared" si="110"/>
        <v>11</v>
      </c>
      <c r="C873">
        <v>430</v>
      </c>
      <c r="D873">
        <f t="shared" ca="1" si="111"/>
        <v>3</v>
      </c>
      <c r="E873" t="str">
        <f t="shared" si="112"/>
        <v>11-430 arg1</v>
      </c>
      <c r="F873">
        <f t="shared" ca="1" si="113"/>
        <v>3</v>
      </c>
      <c r="G873" t="str">
        <f t="shared" si="114"/>
        <v>11-430 feedback1</v>
      </c>
      <c r="H873">
        <v>1</v>
      </c>
      <c r="I873">
        <f t="shared" ca="1" si="115"/>
        <v>4</v>
      </c>
      <c r="J873" t="str">
        <f t="shared" si="116"/>
        <v>11-430 arg2</v>
      </c>
      <c r="K873" t="str">
        <f t="shared" si="117"/>
        <v>11-430 feedback2</v>
      </c>
      <c r="L873">
        <v>1</v>
      </c>
      <c r="M873" t="s">
        <v>1285</v>
      </c>
      <c r="N873">
        <v>872</v>
      </c>
    </row>
    <row r="874" spans="1:14">
      <c r="A874">
        <v>8</v>
      </c>
      <c r="B874">
        <f t="shared" si="110"/>
        <v>11</v>
      </c>
      <c r="C874">
        <v>431</v>
      </c>
      <c r="D874">
        <f t="shared" ca="1" si="111"/>
        <v>4</v>
      </c>
      <c r="E874" t="str">
        <f t="shared" si="112"/>
        <v>11-431 arg1</v>
      </c>
      <c r="F874">
        <f t="shared" ca="1" si="113"/>
        <v>2</v>
      </c>
      <c r="G874" t="str">
        <f t="shared" si="114"/>
        <v>11-431 feedback1</v>
      </c>
      <c r="H874">
        <v>1</v>
      </c>
      <c r="I874">
        <f t="shared" ca="1" si="115"/>
        <v>2</v>
      </c>
      <c r="J874" t="str">
        <f t="shared" si="116"/>
        <v>11-431 arg2</v>
      </c>
      <c r="K874" t="str">
        <f t="shared" si="117"/>
        <v>11-431 feedback2</v>
      </c>
      <c r="L874">
        <v>1</v>
      </c>
      <c r="M874" t="s">
        <v>1285</v>
      </c>
      <c r="N874">
        <v>873</v>
      </c>
    </row>
    <row r="875" spans="1:14">
      <c r="A875">
        <v>8</v>
      </c>
      <c r="B875">
        <f t="shared" si="110"/>
        <v>11</v>
      </c>
      <c r="C875">
        <v>432</v>
      </c>
      <c r="D875">
        <f t="shared" ca="1" si="111"/>
        <v>4</v>
      </c>
      <c r="E875" t="str">
        <f t="shared" si="112"/>
        <v>11-432 arg1</v>
      </c>
      <c r="F875">
        <f t="shared" ca="1" si="113"/>
        <v>4</v>
      </c>
      <c r="G875" t="str">
        <f t="shared" si="114"/>
        <v>11-432 feedback1</v>
      </c>
      <c r="H875">
        <v>1</v>
      </c>
      <c r="I875">
        <f t="shared" ca="1" si="115"/>
        <v>4</v>
      </c>
      <c r="J875" t="str">
        <f t="shared" si="116"/>
        <v>11-432 arg2</v>
      </c>
      <c r="K875" t="str">
        <f t="shared" si="117"/>
        <v>11-432 feedback2</v>
      </c>
      <c r="L875">
        <v>1</v>
      </c>
      <c r="M875" t="s">
        <v>1285</v>
      </c>
      <c r="N875">
        <v>874</v>
      </c>
    </row>
    <row r="876" spans="1:14">
      <c r="A876">
        <v>8</v>
      </c>
      <c r="B876">
        <f t="shared" si="110"/>
        <v>11</v>
      </c>
      <c r="C876">
        <v>433</v>
      </c>
      <c r="D876">
        <f t="shared" ca="1" si="111"/>
        <v>3</v>
      </c>
      <c r="E876" t="str">
        <f t="shared" si="112"/>
        <v>11-433 arg1</v>
      </c>
      <c r="F876">
        <f t="shared" ca="1" si="113"/>
        <v>3</v>
      </c>
      <c r="G876" t="str">
        <f t="shared" si="114"/>
        <v>11-433 feedback1</v>
      </c>
      <c r="H876">
        <v>1</v>
      </c>
      <c r="I876">
        <f t="shared" ca="1" si="115"/>
        <v>3</v>
      </c>
      <c r="J876" t="str">
        <f t="shared" si="116"/>
        <v>11-433 arg2</v>
      </c>
      <c r="K876" t="str">
        <f t="shared" si="117"/>
        <v>11-433 feedback2</v>
      </c>
      <c r="L876">
        <v>1</v>
      </c>
      <c r="M876" t="s">
        <v>1285</v>
      </c>
      <c r="N876">
        <v>875</v>
      </c>
    </row>
    <row r="877" spans="1:14">
      <c r="A877">
        <v>8</v>
      </c>
      <c r="B877">
        <f t="shared" si="110"/>
        <v>11</v>
      </c>
      <c r="C877">
        <v>434</v>
      </c>
      <c r="D877">
        <f t="shared" ca="1" si="111"/>
        <v>5</v>
      </c>
      <c r="E877" t="str">
        <f t="shared" si="112"/>
        <v>11-434 arg1</v>
      </c>
      <c r="F877">
        <f t="shared" ca="1" si="113"/>
        <v>4</v>
      </c>
      <c r="G877" t="str">
        <f t="shared" si="114"/>
        <v>11-434 feedback1</v>
      </c>
      <c r="H877">
        <v>1</v>
      </c>
      <c r="I877">
        <f t="shared" ca="1" si="115"/>
        <v>4</v>
      </c>
      <c r="J877" t="str">
        <f t="shared" si="116"/>
        <v>11-434 arg2</v>
      </c>
      <c r="K877" t="str">
        <f t="shared" si="117"/>
        <v>11-434 feedback2</v>
      </c>
      <c r="L877">
        <v>1</v>
      </c>
      <c r="M877" t="s">
        <v>1285</v>
      </c>
      <c r="N877">
        <v>876</v>
      </c>
    </row>
    <row r="878" spans="1:14">
      <c r="A878">
        <v>8</v>
      </c>
      <c r="B878">
        <f t="shared" si="110"/>
        <v>11</v>
      </c>
      <c r="C878">
        <v>435</v>
      </c>
      <c r="D878">
        <f t="shared" ca="1" si="111"/>
        <v>3</v>
      </c>
      <c r="E878" t="str">
        <f t="shared" si="112"/>
        <v>11-435 arg1</v>
      </c>
      <c r="F878">
        <f t="shared" ca="1" si="113"/>
        <v>2</v>
      </c>
      <c r="G878" t="str">
        <f t="shared" si="114"/>
        <v>11-435 feedback1</v>
      </c>
      <c r="H878">
        <v>1</v>
      </c>
      <c r="I878">
        <f t="shared" ca="1" si="115"/>
        <v>2</v>
      </c>
      <c r="J878" t="str">
        <f t="shared" si="116"/>
        <v>11-435 arg2</v>
      </c>
      <c r="K878" t="str">
        <f t="shared" si="117"/>
        <v>11-435 feedback2</v>
      </c>
      <c r="L878">
        <v>1</v>
      </c>
      <c r="M878" t="s">
        <v>1285</v>
      </c>
      <c r="N878">
        <v>877</v>
      </c>
    </row>
    <row r="879" spans="1:14">
      <c r="A879">
        <v>8</v>
      </c>
      <c r="B879">
        <f t="shared" si="110"/>
        <v>11</v>
      </c>
      <c r="C879">
        <v>436</v>
      </c>
      <c r="D879">
        <f t="shared" ca="1" si="111"/>
        <v>5</v>
      </c>
      <c r="E879" t="str">
        <f t="shared" si="112"/>
        <v>11-436 arg1</v>
      </c>
      <c r="F879">
        <f t="shared" ca="1" si="113"/>
        <v>4</v>
      </c>
      <c r="G879" t="str">
        <f t="shared" si="114"/>
        <v>11-436 feedback1</v>
      </c>
      <c r="H879">
        <v>1</v>
      </c>
      <c r="I879">
        <f t="shared" ca="1" si="115"/>
        <v>4</v>
      </c>
      <c r="J879" t="str">
        <f t="shared" si="116"/>
        <v>11-436 arg2</v>
      </c>
      <c r="K879" t="str">
        <f t="shared" si="117"/>
        <v>11-436 feedback2</v>
      </c>
      <c r="L879">
        <v>1</v>
      </c>
      <c r="M879" t="s">
        <v>1285</v>
      </c>
      <c r="N879">
        <v>878</v>
      </c>
    </row>
    <row r="880" spans="1:14">
      <c r="A880">
        <v>8</v>
      </c>
      <c r="B880">
        <f t="shared" si="110"/>
        <v>11</v>
      </c>
      <c r="C880">
        <v>437</v>
      </c>
      <c r="D880">
        <f t="shared" ca="1" si="111"/>
        <v>4</v>
      </c>
      <c r="E880" t="str">
        <f t="shared" si="112"/>
        <v>11-437 arg1</v>
      </c>
      <c r="F880">
        <f t="shared" ca="1" si="113"/>
        <v>4</v>
      </c>
      <c r="G880" t="str">
        <f t="shared" si="114"/>
        <v>11-437 feedback1</v>
      </c>
      <c r="H880">
        <v>1</v>
      </c>
      <c r="I880">
        <f t="shared" ca="1" si="115"/>
        <v>4</v>
      </c>
      <c r="J880" t="str">
        <f t="shared" si="116"/>
        <v>11-437 arg2</v>
      </c>
      <c r="K880" t="str">
        <f t="shared" si="117"/>
        <v>11-437 feedback2</v>
      </c>
      <c r="L880">
        <v>1</v>
      </c>
      <c r="M880" t="s">
        <v>1285</v>
      </c>
      <c r="N880">
        <v>879</v>
      </c>
    </row>
    <row r="881" spans="1:14">
      <c r="A881">
        <v>8</v>
      </c>
      <c r="B881">
        <f t="shared" si="110"/>
        <v>11</v>
      </c>
      <c r="C881">
        <v>438</v>
      </c>
      <c r="D881">
        <f t="shared" ca="1" si="111"/>
        <v>4</v>
      </c>
      <c r="E881" t="str">
        <f t="shared" si="112"/>
        <v>11-438 arg1</v>
      </c>
      <c r="F881">
        <f t="shared" ca="1" si="113"/>
        <v>3</v>
      </c>
      <c r="G881" t="str">
        <f t="shared" si="114"/>
        <v>11-438 feedback1</v>
      </c>
      <c r="H881">
        <v>1</v>
      </c>
      <c r="I881">
        <f t="shared" ca="1" si="115"/>
        <v>3</v>
      </c>
      <c r="J881" t="str">
        <f t="shared" si="116"/>
        <v>11-438 arg2</v>
      </c>
      <c r="K881" t="str">
        <f t="shared" si="117"/>
        <v>11-438 feedback2</v>
      </c>
      <c r="L881">
        <v>1</v>
      </c>
      <c r="M881" t="s">
        <v>1285</v>
      </c>
      <c r="N881">
        <v>880</v>
      </c>
    </row>
    <row r="882" spans="1:14">
      <c r="A882">
        <v>8</v>
      </c>
      <c r="B882">
        <f t="shared" si="110"/>
        <v>11</v>
      </c>
      <c r="C882">
        <v>439</v>
      </c>
      <c r="D882">
        <f t="shared" ca="1" si="111"/>
        <v>4</v>
      </c>
      <c r="E882" t="str">
        <f t="shared" si="112"/>
        <v>11-439 arg1</v>
      </c>
      <c r="F882">
        <f t="shared" ca="1" si="113"/>
        <v>2</v>
      </c>
      <c r="G882" t="str">
        <f t="shared" si="114"/>
        <v>11-439 feedback1</v>
      </c>
      <c r="H882">
        <v>1</v>
      </c>
      <c r="I882">
        <f t="shared" ca="1" si="115"/>
        <v>2</v>
      </c>
      <c r="J882" t="str">
        <f t="shared" si="116"/>
        <v>11-439 arg2</v>
      </c>
      <c r="K882" t="str">
        <f t="shared" si="117"/>
        <v>11-439 feedback2</v>
      </c>
      <c r="L882">
        <v>1</v>
      </c>
      <c r="M882" t="s">
        <v>1285</v>
      </c>
      <c r="N882">
        <v>881</v>
      </c>
    </row>
    <row r="883" spans="1:14">
      <c r="A883">
        <v>8</v>
      </c>
      <c r="B883">
        <f t="shared" si="110"/>
        <v>11</v>
      </c>
      <c r="C883">
        <v>440</v>
      </c>
      <c r="D883">
        <f t="shared" ca="1" si="111"/>
        <v>5</v>
      </c>
      <c r="E883" t="str">
        <f t="shared" si="112"/>
        <v>11-440 arg1</v>
      </c>
      <c r="F883">
        <f t="shared" ca="1" si="113"/>
        <v>5</v>
      </c>
      <c r="G883" t="str">
        <f t="shared" si="114"/>
        <v>11-440 feedback1</v>
      </c>
      <c r="H883">
        <v>1</v>
      </c>
      <c r="I883">
        <f t="shared" ca="1" si="115"/>
        <v>5</v>
      </c>
      <c r="J883" t="str">
        <f t="shared" si="116"/>
        <v>11-440 arg2</v>
      </c>
      <c r="K883" t="str">
        <f t="shared" si="117"/>
        <v>11-440 feedback2</v>
      </c>
      <c r="L883">
        <v>1</v>
      </c>
      <c r="M883" t="s">
        <v>1285</v>
      </c>
      <c r="N883">
        <v>882</v>
      </c>
    </row>
    <row r="884" spans="1:14">
      <c r="A884">
        <v>8</v>
      </c>
      <c r="B884">
        <f t="shared" si="110"/>
        <v>11</v>
      </c>
      <c r="C884">
        <v>441</v>
      </c>
      <c r="D884">
        <f t="shared" ca="1" si="111"/>
        <v>3</v>
      </c>
      <c r="E884" t="str">
        <f t="shared" si="112"/>
        <v>11-441 arg1</v>
      </c>
      <c r="F884">
        <f t="shared" ca="1" si="113"/>
        <v>3</v>
      </c>
      <c r="G884" t="str">
        <f t="shared" si="114"/>
        <v>11-441 feedback1</v>
      </c>
      <c r="H884">
        <v>1</v>
      </c>
      <c r="I884">
        <f t="shared" ca="1" si="115"/>
        <v>3</v>
      </c>
      <c r="J884" t="str">
        <f t="shared" si="116"/>
        <v>11-441 arg2</v>
      </c>
      <c r="K884" t="str">
        <f t="shared" si="117"/>
        <v>11-441 feedback2</v>
      </c>
      <c r="L884">
        <v>1</v>
      </c>
      <c r="M884" t="s">
        <v>1285</v>
      </c>
      <c r="N884">
        <v>883</v>
      </c>
    </row>
    <row r="885" spans="1:14">
      <c r="A885">
        <v>8</v>
      </c>
      <c r="B885">
        <f t="shared" si="110"/>
        <v>11</v>
      </c>
      <c r="C885">
        <v>442</v>
      </c>
      <c r="D885">
        <f t="shared" ca="1" si="111"/>
        <v>3</v>
      </c>
      <c r="E885" t="str">
        <f t="shared" si="112"/>
        <v>11-442 arg1</v>
      </c>
      <c r="F885">
        <f t="shared" ca="1" si="113"/>
        <v>3</v>
      </c>
      <c r="G885" t="str">
        <f t="shared" si="114"/>
        <v>11-442 feedback1</v>
      </c>
      <c r="H885">
        <v>1</v>
      </c>
      <c r="I885">
        <f t="shared" ca="1" si="115"/>
        <v>3</v>
      </c>
      <c r="J885" t="str">
        <f t="shared" si="116"/>
        <v>11-442 arg2</v>
      </c>
      <c r="K885" t="str">
        <f t="shared" si="117"/>
        <v>11-442 feedback2</v>
      </c>
      <c r="L885">
        <v>1</v>
      </c>
      <c r="M885" t="s">
        <v>1285</v>
      </c>
      <c r="N885">
        <v>884</v>
      </c>
    </row>
    <row r="886" spans="1:14">
      <c r="A886">
        <v>8</v>
      </c>
      <c r="B886">
        <f t="shared" ref="B886:B949" si="118">B801+1</f>
        <v>11</v>
      </c>
      <c r="C886">
        <v>443</v>
      </c>
      <c r="D886">
        <f t="shared" ca="1" si="111"/>
        <v>3</v>
      </c>
      <c r="E886" t="str">
        <f t="shared" si="112"/>
        <v>11-443 arg1</v>
      </c>
      <c r="F886">
        <f t="shared" ca="1" si="113"/>
        <v>3</v>
      </c>
      <c r="G886" t="str">
        <f t="shared" si="114"/>
        <v>11-443 feedback1</v>
      </c>
      <c r="H886">
        <v>1</v>
      </c>
      <c r="I886">
        <f t="shared" ca="1" si="115"/>
        <v>3</v>
      </c>
      <c r="J886" t="str">
        <f t="shared" si="116"/>
        <v>11-443 arg2</v>
      </c>
      <c r="K886" t="str">
        <f t="shared" si="117"/>
        <v>11-443 feedback2</v>
      </c>
      <c r="L886">
        <v>1</v>
      </c>
      <c r="M886" t="s">
        <v>1285</v>
      </c>
      <c r="N886">
        <v>885</v>
      </c>
    </row>
    <row r="887" spans="1:14">
      <c r="A887">
        <v>8</v>
      </c>
      <c r="B887">
        <f t="shared" si="118"/>
        <v>11</v>
      </c>
      <c r="C887">
        <v>444</v>
      </c>
      <c r="D887">
        <f t="shared" ca="1" si="111"/>
        <v>3</v>
      </c>
      <c r="E887" t="str">
        <f t="shared" si="112"/>
        <v>11-444 arg1</v>
      </c>
      <c r="F887">
        <f t="shared" ca="1" si="113"/>
        <v>2</v>
      </c>
      <c r="G887" t="str">
        <f t="shared" si="114"/>
        <v>11-444 feedback1</v>
      </c>
      <c r="H887">
        <v>1</v>
      </c>
      <c r="I887">
        <f t="shared" ca="1" si="115"/>
        <v>3</v>
      </c>
      <c r="J887" t="str">
        <f t="shared" si="116"/>
        <v>11-444 arg2</v>
      </c>
      <c r="K887" t="str">
        <f t="shared" si="117"/>
        <v>11-444 feedback2</v>
      </c>
      <c r="L887">
        <v>1</v>
      </c>
      <c r="M887" t="s">
        <v>1285</v>
      </c>
      <c r="N887">
        <v>886</v>
      </c>
    </row>
    <row r="888" spans="1:14">
      <c r="A888">
        <v>8</v>
      </c>
      <c r="B888">
        <f t="shared" si="118"/>
        <v>11</v>
      </c>
      <c r="C888">
        <v>445</v>
      </c>
      <c r="D888">
        <f t="shared" ca="1" si="111"/>
        <v>4</v>
      </c>
      <c r="E888" t="str">
        <f t="shared" si="112"/>
        <v>11-445 arg1</v>
      </c>
      <c r="F888">
        <f t="shared" ca="1" si="113"/>
        <v>3</v>
      </c>
      <c r="G888" t="str">
        <f t="shared" si="114"/>
        <v>11-445 feedback1</v>
      </c>
      <c r="H888">
        <v>1</v>
      </c>
      <c r="I888">
        <f t="shared" ca="1" si="115"/>
        <v>4</v>
      </c>
      <c r="J888" t="str">
        <f t="shared" si="116"/>
        <v>11-445 arg2</v>
      </c>
      <c r="K888" t="str">
        <f t="shared" si="117"/>
        <v>11-445 feedback2</v>
      </c>
      <c r="L888">
        <v>1</v>
      </c>
      <c r="M888" t="s">
        <v>1285</v>
      </c>
      <c r="N888">
        <v>887</v>
      </c>
    </row>
    <row r="889" spans="1:14">
      <c r="A889">
        <v>8</v>
      </c>
      <c r="B889">
        <f t="shared" si="118"/>
        <v>11</v>
      </c>
      <c r="C889">
        <v>446</v>
      </c>
      <c r="D889">
        <f t="shared" ca="1" si="111"/>
        <v>5</v>
      </c>
      <c r="E889" t="str">
        <f t="shared" si="112"/>
        <v>11-446 arg1</v>
      </c>
      <c r="F889">
        <f t="shared" ca="1" si="113"/>
        <v>4</v>
      </c>
      <c r="G889" t="str">
        <f t="shared" si="114"/>
        <v>11-446 feedback1</v>
      </c>
      <c r="H889">
        <v>1</v>
      </c>
      <c r="I889">
        <f t="shared" ca="1" si="115"/>
        <v>4</v>
      </c>
      <c r="J889" t="str">
        <f t="shared" si="116"/>
        <v>11-446 arg2</v>
      </c>
      <c r="K889" t="str">
        <f t="shared" si="117"/>
        <v>11-446 feedback2</v>
      </c>
      <c r="L889">
        <v>1</v>
      </c>
      <c r="M889" t="s">
        <v>1285</v>
      </c>
      <c r="N889">
        <v>888</v>
      </c>
    </row>
    <row r="890" spans="1:14">
      <c r="A890">
        <v>8</v>
      </c>
      <c r="B890">
        <f t="shared" si="118"/>
        <v>11</v>
      </c>
      <c r="C890">
        <v>447</v>
      </c>
      <c r="D890">
        <f t="shared" ca="1" si="111"/>
        <v>5</v>
      </c>
      <c r="E890" t="str">
        <f t="shared" si="112"/>
        <v>11-447 arg1</v>
      </c>
      <c r="F890">
        <f t="shared" ca="1" si="113"/>
        <v>5</v>
      </c>
      <c r="G890" t="str">
        <f t="shared" si="114"/>
        <v>11-447 feedback1</v>
      </c>
      <c r="H890">
        <v>1</v>
      </c>
      <c r="I890">
        <f t="shared" ca="1" si="115"/>
        <v>5</v>
      </c>
      <c r="J890" t="str">
        <f t="shared" si="116"/>
        <v>11-447 arg2</v>
      </c>
      <c r="K890" t="str">
        <f t="shared" si="117"/>
        <v>11-447 feedback2</v>
      </c>
      <c r="L890">
        <v>1</v>
      </c>
      <c r="M890" t="s">
        <v>1285</v>
      </c>
      <c r="N890">
        <v>889</v>
      </c>
    </row>
    <row r="891" spans="1:14">
      <c r="A891">
        <v>8</v>
      </c>
      <c r="B891">
        <f t="shared" si="118"/>
        <v>11</v>
      </c>
      <c r="C891">
        <v>448</v>
      </c>
      <c r="D891">
        <f t="shared" ca="1" si="111"/>
        <v>5</v>
      </c>
      <c r="E891" t="str">
        <f t="shared" si="112"/>
        <v>11-448 arg1</v>
      </c>
      <c r="F891">
        <f t="shared" ca="1" si="113"/>
        <v>4</v>
      </c>
      <c r="G891" t="str">
        <f t="shared" si="114"/>
        <v>11-448 feedback1</v>
      </c>
      <c r="H891">
        <v>1</v>
      </c>
      <c r="I891">
        <f t="shared" ca="1" si="115"/>
        <v>5</v>
      </c>
      <c r="J891" t="str">
        <f t="shared" si="116"/>
        <v>11-448 arg2</v>
      </c>
      <c r="K891" t="str">
        <f t="shared" si="117"/>
        <v>11-448 feedback2</v>
      </c>
      <c r="L891">
        <v>1</v>
      </c>
      <c r="M891" t="s">
        <v>1285</v>
      </c>
      <c r="N891">
        <v>890</v>
      </c>
    </row>
    <row r="892" spans="1:14">
      <c r="A892">
        <v>8</v>
      </c>
      <c r="B892">
        <f t="shared" si="118"/>
        <v>11</v>
      </c>
      <c r="C892">
        <v>449</v>
      </c>
      <c r="D892">
        <f t="shared" ca="1" si="111"/>
        <v>4</v>
      </c>
      <c r="E892" t="str">
        <f t="shared" si="112"/>
        <v>11-449 arg1</v>
      </c>
      <c r="F892">
        <f t="shared" ca="1" si="113"/>
        <v>3</v>
      </c>
      <c r="G892" t="str">
        <f t="shared" si="114"/>
        <v>11-449 feedback1</v>
      </c>
      <c r="H892">
        <v>1</v>
      </c>
      <c r="I892">
        <f t="shared" ca="1" si="115"/>
        <v>3</v>
      </c>
      <c r="J892" t="str">
        <f t="shared" si="116"/>
        <v>11-449 arg2</v>
      </c>
      <c r="K892" t="str">
        <f t="shared" si="117"/>
        <v>11-449 feedback2</v>
      </c>
      <c r="L892">
        <v>1</v>
      </c>
      <c r="M892" t="s">
        <v>1285</v>
      </c>
      <c r="N892">
        <v>891</v>
      </c>
    </row>
    <row r="893" spans="1:14">
      <c r="A893">
        <v>8</v>
      </c>
      <c r="B893">
        <f t="shared" si="118"/>
        <v>11</v>
      </c>
      <c r="C893">
        <v>450</v>
      </c>
      <c r="D893">
        <f t="shared" ca="1" si="111"/>
        <v>5</v>
      </c>
      <c r="E893" t="str">
        <f t="shared" si="112"/>
        <v>11-450 arg1</v>
      </c>
      <c r="F893">
        <f t="shared" ca="1" si="113"/>
        <v>3</v>
      </c>
      <c r="G893" t="str">
        <f t="shared" si="114"/>
        <v>11-450 feedback1</v>
      </c>
      <c r="H893">
        <v>1</v>
      </c>
      <c r="I893">
        <f t="shared" ca="1" si="115"/>
        <v>4</v>
      </c>
      <c r="J893" t="str">
        <f t="shared" si="116"/>
        <v>11-450 arg2</v>
      </c>
      <c r="K893" t="str">
        <f t="shared" si="117"/>
        <v>11-450 feedback2</v>
      </c>
      <c r="L893">
        <v>1</v>
      </c>
      <c r="M893" t="s">
        <v>1285</v>
      </c>
      <c r="N893">
        <v>892</v>
      </c>
    </row>
    <row r="894" spans="1:14">
      <c r="A894">
        <v>8</v>
      </c>
      <c r="B894">
        <f t="shared" si="118"/>
        <v>11</v>
      </c>
      <c r="C894">
        <v>451</v>
      </c>
      <c r="D894">
        <f t="shared" ca="1" si="111"/>
        <v>3</v>
      </c>
      <c r="E894" t="str">
        <f t="shared" si="112"/>
        <v>11-451 arg1</v>
      </c>
      <c r="F894">
        <f t="shared" ca="1" si="113"/>
        <v>3</v>
      </c>
      <c r="G894" t="str">
        <f t="shared" si="114"/>
        <v>11-451 feedback1</v>
      </c>
      <c r="H894">
        <v>1</v>
      </c>
      <c r="I894">
        <f t="shared" ca="1" si="115"/>
        <v>4</v>
      </c>
      <c r="J894" t="str">
        <f t="shared" si="116"/>
        <v>11-451 arg2</v>
      </c>
      <c r="K894" t="str">
        <f t="shared" si="117"/>
        <v>11-451 feedback2</v>
      </c>
      <c r="L894">
        <v>1</v>
      </c>
      <c r="M894" t="s">
        <v>1285</v>
      </c>
      <c r="N894">
        <v>893</v>
      </c>
    </row>
    <row r="895" spans="1:14">
      <c r="A895">
        <v>8</v>
      </c>
      <c r="B895">
        <f t="shared" si="118"/>
        <v>11</v>
      </c>
      <c r="C895">
        <v>452</v>
      </c>
      <c r="D895">
        <f t="shared" ca="1" si="111"/>
        <v>4</v>
      </c>
      <c r="E895" t="str">
        <f t="shared" si="112"/>
        <v>11-452 arg1</v>
      </c>
      <c r="F895">
        <f t="shared" ca="1" si="113"/>
        <v>2</v>
      </c>
      <c r="G895" t="str">
        <f t="shared" si="114"/>
        <v>11-452 feedback1</v>
      </c>
      <c r="H895">
        <v>1</v>
      </c>
      <c r="I895">
        <f t="shared" ca="1" si="115"/>
        <v>3</v>
      </c>
      <c r="J895" t="str">
        <f t="shared" si="116"/>
        <v>11-452 arg2</v>
      </c>
      <c r="K895" t="str">
        <f t="shared" si="117"/>
        <v>11-452 feedback2</v>
      </c>
      <c r="L895">
        <v>1</v>
      </c>
      <c r="M895" t="s">
        <v>1285</v>
      </c>
      <c r="N895">
        <v>894</v>
      </c>
    </row>
    <row r="896" spans="1:14">
      <c r="A896">
        <v>8</v>
      </c>
      <c r="B896">
        <f t="shared" si="118"/>
        <v>11</v>
      </c>
      <c r="C896">
        <v>453</v>
      </c>
      <c r="D896">
        <f t="shared" ca="1" si="111"/>
        <v>3</v>
      </c>
      <c r="E896" t="str">
        <f t="shared" si="112"/>
        <v>11-453 arg1</v>
      </c>
      <c r="F896">
        <f t="shared" ca="1" si="113"/>
        <v>1</v>
      </c>
      <c r="G896" t="str">
        <f t="shared" si="114"/>
        <v>11-453 feedback1</v>
      </c>
      <c r="H896">
        <v>1</v>
      </c>
      <c r="I896">
        <f t="shared" ca="1" si="115"/>
        <v>1</v>
      </c>
      <c r="J896" t="str">
        <f t="shared" si="116"/>
        <v>11-453 arg2</v>
      </c>
      <c r="K896" t="str">
        <f t="shared" si="117"/>
        <v>11-453 feedback2</v>
      </c>
      <c r="L896">
        <v>1</v>
      </c>
      <c r="M896" t="s">
        <v>1285</v>
      </c>
      <c r="N896">
        <v>895</v>
      </c>
    </row>
    <row r="897" spans="1:14">
      <c r="A897">
        <v>8</v>
      </c>
      <c r="B897">
        <f t="shared" si="118"/>
        <v>11</v>
      </c>
      <c r="C897">
        <v>454</v>
      </c>
      <c r="D897">
        <f t="shared" ca="1" si="111"/>
        <v>5</v>
      </c>
      <c r="E897" t="str">
        <f t="shared" si="112"/>
        <v>11-454 arg1</v>
      </c>
      <c r="F897">
        <f t="shared" ca="1" si="113"/>
        <v>4</v>
      </c>
      <c r="G897" t="str">
        <f t="shared" si="114"/>
        <v>11-454 feedback1</v>
      </c>
      <c r="H897">
        <v>1</v>
      </c>
      <c r="I897">
        <f t="shared" ca="1" si="115"/>
        <v>4</v>
      </c>
      <c r="J897" t="str">
        <f t="shared" si="116"/>
        <v>11-454 arg2</v>
      </c>
      <c r="K897" t="str">
        <f t="shared" si="117"/>
        <v>11-454 feedback2</v>
      </c>
      <c r="L897">
        <v>1</v>
      </c>
      <c r="M897" t="s">
        <v>1285</v>
      </c>
      <c r="N897">
        <v>896</v>
      </c>
    </row>
    <row r="898" spans="1:14">
      <c r="A898">
        <v>8</v>
      </c>
      <c r="B898">
        <f t="shared" si="118"/>
        <v>11</v>
      </c>
      <c r="C898">
        <v>455</v>
      </c>
      <c r="D898">
        <f t="shared" ca="1" si="111"/>
        <v>4</v>
      </c>
      <c r="E898" t="str">
        <f t="shared" si="112"/>
        <v>11-455 arg1</v>
      </c>
      <c r="F898">
        <f t="shared" ca="1" si="113"/>
        <v>3</v>
      </c>
      <c r="G898" t="str">
        <f t="shared" si="114"/>
        <v>11-455 feedback1</v>
      </c>
      <c r="H898">
        <v>1</v>
      </c>
      <c r="I898">
        <f t="shared" ca="1" si="115"/>
        <v>3</v>
      </c>
      <c r="J898" t="str">
        <f t="shared" si="116"/>
        <v>11-455 arg2</v>
      </c>
      <c r="K898" t="str">
        <f t="shared" si="117"/>
        <v>11-455 feedback2</v>
      </c>
      <c r="L898">
        <v>1</v>
      </c>
      <c r="M898" t="s">
        <v>1285</v>
      </c>
      <c r="N898">
        <v>897</v>
      </c>
    </row>
    <row r="899" spans="1:14">
      <c r="A899">
        <v>8</v>
      </c>
      <c r="B899">
        <f t="shared" si="118"/>
        <v>11</v>
      </c>
      <c r="C899">
        <v>456</v>
      </c>
      <c r="D899">
        <f t="shared" ref="D899:D962" ca="1" si="119">ROUND(3+2*RAND(),0)</f>
        <v>4</v>
      </c>
      <c r="E899" t="str">
        <f t="shared" si="112"/>
        <v>11-456 arg1</v>
      </c>
      <c r="F899">
        <f t="shared" ca="1" si="113"/>
        <v>4</v>
      </c>
      <c r="G899" t="str">
        <f t="shared" si="114"/>
        <v>11-456 feedback1</v>
      </c>
      <c r="H899">
        <v>1</v>
      </c>
      <c r="I899">
        <f t="shared" ca="1" si="115"/>
        <v>4</v>
      </c>
      <c r="J899" t="str">
        <f t="shared" si="116"/>
        <v>11-456 arg2</v>
      </c>
      <c r="K899" t="str">
        <f t="shared" si="117"/>
        <v>11-456 feedback2</v>
      </c>
      <c r="L899">
        <v>1</v>
      </c>
      <c r="M899" t="s">
        <v>1285</v>
      </c>
      <c r="N899">
        <v>898</v>
      </c>
    </row>
    <row r="900" spans="1:14">
      <c r="A900">
        <v>8</v>
      </c>
      <c r="B900">
        <f t="shared" si="118"/>
        <v>11</v>
      </c>
      <c r="C900">
        <v>457</v>
      </c>
      <c r="D900">
        <f t="shared" ca="1" si="119"/>
        <v>3</v>
      </c>
      <c r="E900" t="str">
        <f t="shared" si="112"/>
        <v>11-457 arg1</v>
      </c>
      <c r="F900">
        <f t="shared" ca="1" si="113"/>
        <v>3</v>
      </c>
      <c r="G900" t="str">
        <f t="shared" si="114"/>
        <v>11-457 feedback1</v>
      </c>
      <c r="H900">
        <v>1</v>
      </c>
      <c r="I900">
        <f t="shared" ca="1" si="115"/>
        <v>4</v>
      </c>
      <c r="J900" t="str">
        <f t="shared" si="116"/>
        <v>11-457 arg2</v>
      </c>
      <c r="K900" t="str">
        <f t="shared" si="117"/>
        <v>11-457 feedback2</v>
      </c>
      <c r="L900">
        <v>1</v>
      </c>
      <c r="M900" t="s">
        <v>1285</v>
      </c>
      <c r="N900">
        <v>899</v>
      </c>
    </row>
    <row r="901" spans="1:14">
      <c r="A901">
        <v>8</v>
      </c>
      <c r="B901">
        <f t="shared" si="118"/>
        <v>11</v>
      </c>
      <c r="C901">
        <v>458</v>
      </c>
      <c r="D901">
        <f t="shared" ca="1" si="119"/>
        <v>4</v>
      </c>
      <c r="E901" t="str">
        <f t="shared" si="112"/>
        <v>11-458 arg1</v>
      </c>
      <c r="F901">
        <f t="shared" ca="1" si="113"/>
        <v>3</v>
      </c>
      <c r="G901" t="str">
        <f t="shared" si="114"/>
        <v>11-458 feedback1</v>
      </c>
      <c r="H901">
        <v>1</v>
      </c>
      <c r="I901">
        <f t="shared" ca="1" si="115"/>
        <v>3</v>
      </c>
      <c r="J901" t="str">
        <f t="shared" si="116"/>
        <v>11-458 arg2</v>
      </c>
      <c r="K901" t="str">
        <f t="shared" si="117"/>
        <v>11-458 feedback2</v>
      </c>
      <c r="L901">
        <v>1</v>
      </c>
      <c r="M901" t="s">
        <v>1285</v>
      </c>
      <c r="N901">
        <v>900</v>
      </c>
    </row>
    <row r="902" spans="1:14">
      <c r="A902">
        <v>8</v>
      </c>
      <c r="B902">
        <f t="shared" si="118"/>
        <v>11</v>
      </c>
      <c r="C902">
        <v>459</v>
      </c>
      <c r="D902">
        <f t="shared" ca="1" si="119"/>
        <v>3</v>
      </c>
      <c r="E902" t="str">
        <f t="shared" si="112"/>
        <v>11-459 arg1</v>
      </c>
      <c r="F902">
        <f t="shared" ca="1" si="113"/>
        <v>3</v>
      </c>
      <c r="G902" t="str">
        <f t="shared" si="114"/>
        <v>11-459 feedback1</v>
      </c>
      <c r="H902">
        <v>1</v>
      </c>
      <c r="I902">
        <f t="shared" ca="1" si="115"/>
        <v>3</v>
      </c>
      <c r="J902" t="str">
        <f t="shared" si="116"/>
        <v>11-459 arg2</v>
      </c>
      <c r="K902" t="str">
        <f t="shared" si="117"/>
        <v>11-459 feedback2</v>
      </c>
      <c r="L902">
        <v>1</v>
      </c>
      <c r="M902" t="s">
        <v>1285</v>
      </c>
      <c r="N902">
        <v>901</v>
      </c>
    </row>
    <row r="903" spans="1:14">
      <c r="A903">
        <v>8</v>
      </c>
      <c r="B903">
        <f t="shared" si="118"/>
        <v>11</v>
      </c>
      <c r="C903">
        <v>460</v>
      </c>
      <c r="D903">
        <f t="shared" ca="1" si="119"/>
        <v>4</v>
      </c>
      <c r="E903" t="str">
        <f t="shared" si="112"/>
        <v>11-460 arg1</v>
      </c>
      <c r="F903">
        <f t="shared" ca="1" si="113"/>
        <v>2</v>
      </c>
      <c r="G903" t="str">
        <f t="shared" si="114"/>
        <v>11-460 feedback1</v>
      </c>
      <c r="H903">
        <v>1</v>
      </c>
      <c r="I903">
        <f t="shared" ca="1" si="115"/>
        <v>3</v>
      </c>
      <c r="J903" t="str">
        <f t="shared" si="116"/>
        <v>11-460 arg2</v>
      </c>
      <c r="K903" t="str">
        <f t="shared" si="117"/>
        <v>11-460 feedback2</v>
      </c>
      <c r="L903">
        <v>1</v>
      </c>
      <c r="M903" t="s">
        <v>1285</v>
      </c>
      <c r="N903">
        <v>902</v>
      </c>
    </row>
    <row r="904" spans="1:14">
      <c r="A904">
        <v>8</v>
      </c>
      <c r="B904">
        <f t="shared" si="118"/>
        <v>11</v>
      </c>
      <c r="C904">
        <v>461</v>
      </c>
      <c r="D904">
        <f t="shared" ca="1" si="119"/>
        <v>4</v>
      </c>
      <c r="E904" t="str">
        <f t="shared" si="112"/>
        <v>11-461 arg1</v>
      </c>
      <c r="F904">
        <f t="shared" ca="1" si="113"/>
        <v>3</v>
      </c>
      <c r="G904" t="str">
        <f t="shared" si="114"/>
        <v>11-461 feedback1</v>
      </c>
      <c r="H904">
        <v>1</v>
      </c>
      <c r="I904">
        <f t="shared" ca="1" si="115"/>
        <v>4</v>
      </c>
      <c r="J904" t="str">
        <f t="shared" si="116"/>
        <v>11-461 arg2</v>
      </c>
      <c r="K904" t="str">
        <f t="shared" si="117"/>
        <v>11-461 feedback2</v>
      </c>
      <c r="L904">
        <v>1</v>
      </c>
      <c r="M904" t="s">
        <v>1285</v>
      </c>
      <c r="N904">
        <v>903</v>
      </c>
    </row>
    <row r="905" spans="1:14">
      <c r="A905">
        <v>8</v>
      </c>
      <c r="B905">
        <f t="shared" si="118"/>
        <v>11</v>
      </c>
      <c r="C905">
        <v>462</v>
      </c>
      <c r="D905">
        <f t="shared" ca="1" si="119"/>
        <v>4</v>
      </c>
      <c r="E905" t="str">
        <f t="shared" si="112"/>
        <v>11-462 arg1</v>
      </c>
      <c r="F905">
        <f t="shared" ca="1" si="113"/>
        <v>3</v>
      </c>
      <c r="G905" t="str">
        <f t="shared" si="114"/>
        <v>11-462 feedback1</v>
      </c>
      <c r="H905">
        <v>1</v>
      </c>
      <c r="I905">
        <f t="shared" ca="1" si="115"/>
        <v>4</v>
      </c>
      <c r="J905" t="str">
        <f t="shared" si="116"/>
        <v>11-462 arg2</v>
      </c>
      <c r="K905" t="str">
        <f t="shared" si="117"/>
        <v>11-462 feedback2</v>
      </c>
      <c r="L905">
        <v>1</v>
      </c>
      <c r="M905" t="s">
        <v>1285</v>
      </c>
      <c r="N905">
        <v>904</v>
      </c>
    </row>
    <row r="906" spans="1:14">
      <c r="A906">
        <v>8</v>
      </c>
      <c r="B906">
        <f t="shared" si="118"/>
        <v>11</v>
      </c>
      <c r="C906">
        <v>463</v>
      </c>
      <c r="D906">
        <f t="shared" ca="1" si="119"/>
        <v>5</v>
      </c>
      <c r="E906" t="str">
        <f t="shared" si="112"/>
        <v>11-463 arg1</v>
      </c>
      <c r="F906">
        <f t="shared" ca="1" si="113"/>
        <v>4</v>
      </c>
      <c r="G906" t="str">
        <f t="shared" si="114"/>
        <v>11-463 feedback1</v>
      </c>
      <c r="H906">
        <v>1</v>
      </c>
      <c r="I906">
        <f t="shared" ca="1" si="115"/>
        <v>4</v>
      </c>
      <c r="J906" t="str">
        <f t="shared" si="116"/>
        <v>11-463 arg2</v>
      </c>
      <c r="K906" t="str">
        <f t="shared" si="117"/>
        <v>11-463 feedback2</v>
      </c>
      <c r="L906">
        <v>1</v>
      </c>
      <c r="M906" t="s">
        <v>1285</v>
      </c>
      <c r="N906">
        <v>905</v>
      </c>
    </row>
    <row r="907" spans="1:14">
      <c r="A907">
        <v>8</v>
      </c>
      <c r="B907">
        <f t="shared" si="118"/>
        <v>11</v>
      </c>
      <c r="C907">
        <v>464</v>
      </c>
      <c r="D907">
        <f t="shared" ca="1" si="119"/>
        <v>5</v>
      </c>
      <c r="E907" t="str">
        <f t="shared" si="112"/>
        <v>11-464 arg1</v>
      </c>
      <c r="F907">
        <f t="shared" ca="1" si="113"/>
        <v>4</v>
      </c>
      <c r="G907" t="str">
        <f t="shared" si="114"/>
        <v>11-464 feedback1</v>
      </c>
      <c r="H907">
        <v>1</v>
      </c>
      <c r="I907">
        <f t="shared" ca="1" si="115"/>
        <v>4</v>
      </c>
      <c r="J907" t="str">
        <f t="shared" si="116"/>
        <v>11-464 arg2</v>
      </c>
      <c r="K907" t="str">
        <f t="shared" si="117"/>
        <v>11-464 feedback2</v>
      </c>
      <c r="L907">
        <v>1</v>
      </c>
      <c r="M907" t="s">
        <v>1285</v>
      </c>
      <c r="N907">
        <v>906</v>
      </c>
    </row>
    <row r="908" spans="1:14">
      <c r="A908">
        <v>8</v>
      </c>
      <c r="B908">
        <f t="shared" si="118"/>
        <v>11</v>
      </c>
      <c r="C908">
        <v>465</v>
      </c>
      <c r="D908">
        <f t="shared" ca="1" si="119"/>
        <v>3</v>
      </c>
      <c r="E908" t="str">
        <f t="shared" si="112"/>
        <v>11-465 arg1</v>
      </c>
      <c r="F908">
        <f t="shared" ca="1" si="113"/>
        <v>2</v>
      </c>
      <c r="G908" t="str">
        <f t="shared" si="114"/>
        <v>11-465 feedback1</v>
      </c>
      <c r="H908">
        <v>1</v>
      </c>
      <c r="I908">
        <f t="shared" ca="1" si="115"/>
        <v>2</v>
      </c>
      <c r="J908" t="str">
        <f t="shared" si="116"/>
        <v>11-465 arg2</v>
      </c>
      <c r="K908" t="str">
        <f t="shared" si="117"/>
        <v>11-465 feedback2</v>
      </c>
      <c r="L908">
        <v>1</v>
      </c>
      <c r="M908" t="s">
        <v>1285</v>
      </c>
      <c r="N908">
        <v>907</v>
      </c>
    </row>
    <row r="909" spans="1:14">
      <c r="A909">
        <v>8</v>
      </c>
      <c r="B909">
        <f t="shared" si="118"/>
        <v>11</v>
      </c>
      <c r="C909">
        <v>466</v>
      </c>
      <c r="D909">
        <f t="shared" ca="1" si="119"/>
        <v>3</v>
      </c>
      <c r="E909" t="str">
        <f t="shared" si="112"/>
        <v>11-466 arg1</v>
      </c>
      <c r="F909">
        <f t="shared" ca="1" si="113"/>
        <v>3</v>
      </c>
      <c r="G909" t="str">
        <f t="shared" si="114"/>
        <v>11-466 feedback1</v>
      </c>
      <c r="H909">
        <v>1</v>
      </c>
      <c r="I909">
        <f t="shared" ca="1" si="115"/>
        <v>3</v>
      </c>
      <c r="J909" t="str">
        <f t="shared" si="116"/>
        <v>11-466 arg2</v>
      </c>
      <c r="K909" t="str">
        <f t="shared" si="117"/>
        <v>11-466 feedback2</v>
      </c>
      <c r="L909">
        <v>1</v>
      </c>
      <c r="M909" t="s">
        <v>1285</v>
      </c>
      <c r="N909">
        <v>908</v>
      </c>
    </row>
    <row r="910" spans="1:14">
      <c r="A910">
        <v>8</v>
      </c>
      <c r="B910">
        <f t="shared" si="118"/>
        <v>11</v>
      </c>
      <c r="C910">
        <v>467</v>
      </c>
      <c r="D910">
        <f t="shared" ca="1" si="119"/>
        <v>4</v>
      </c>
      <c r="E910" t="str">
        <f t="shared" si="112"/>
        <v>11-467 arg1</v>
      </c>
      <c r="F910">
        <f t="shared" ca="1" si="113"/>
        <v>3</v>
      </c>
      <c r="G910" t="str">
        <f t="shared" si="114"/>
        <v>11-467 feedback1</v>
      </c>
      <c r="H910">
        <v>1</v>
      </c>
      <c r="I910">
        <f t="shared" ca="1" si="115"/>
        <v>4</v>
      </c>
      <c r="J910" t="str">
        <f t="shared" si="116"/>
        <v>11-467 arg2</v>
      </c>
      <c r="K910" t="str">
        <f t="shared" si="117"/>
        <v>11-467 feedback2</v>
      </c>
      <c r="L910">
        <v>1</v>
      </c>
      <c r="M910" t="s">
        <v>1285</v>
      </c>
      <c r="N910">
        <v>909</v>
      </c>
    </row>
    <row r="911" spans="1:14">
      <c r="A911">
        <v>8</v>
      </c>
      <c r="B911">
        <f t="shared" si="118"/>
        <v>11</v>
      </c>
      <c r="C911">
        <v>468</v>
      </c>
      <c r="D911">
        <f t="shared" ca="1" si="119"/>
        <v>3</v>
      </c>
      <c r="E911" t="str">
        <f t="shared" si="112"/>
        <v>11-468 arg1</v>
      </c>
      <c r="F911">
        <f t="shared" ca="1" si="113"/>
        <v>2</v>
      </c>
      <c r="G911" t="str">
        <f t="shared" si="114"/>
        <v>11-468 feedback1</v>
      </c>
      <c r="H911">
        <v>1</v>
      </c>
      <c r="I911">
        <f t="shared" ca="1" si="115"/>
        <v>2</v>
      </c>
      <c r="J911" t="str">
        <f t="shared" si="116"/>
        <v>11-468 arg2</v>
      </c>
      <c r="K911" t="str">
        <f t="shared" si="117"/>
        <v>11-468 feedback2</v>
      </c>
      <c r="L911">
        <v>1</v>
      </c>
      <c r="M911" t="s">
        <v>1285</v>
      </c>
      <c r="N911">
        <v>910</v>
      </c>
    </row>
    <row r="912" spans="1:14">
      <c r="A912">
        <v>8</v>
      </c>
      <c r="B912">
        <f t="shared" si="118"/>
        <v>11</v>
      </c>
      <c r="C912">
        <v>469</v>
      </c>
      <c r="D912">
        <f t="shared" ca="1" si="119"/>
        <v>4</v>
      </c>
      <c r="E912" t="str">
        <f t="shared" si="112"/>
        <v>11-469 arg1</v>
      </c>
      <c r="F912">
        <f t="shared" ca="1" si="113"/>
        <v>2</v>
      </c>
      <c r="G912" t="str">
        <f t="shared" si="114"/>
        <v>11-469 feedback1</v>
      </c>
      <c r="H912">
        <v>1</v>
      </c>
      <c r="I912">
        <f t="shared" ca="1" si="115"/>
        <v>2</v>
      </c>
      <c r="J912" t="str">
        <f t="shared" si="116"/>
        <v>11-469 arg2</v>
      </c>
      <c r="K912" t="str">
        <f t="shared" si="117"/>
        <v>11-469 feedback2</v>
      </c>
      <c r="L912">
        <v>1</v>
      </c>
      <c r="M912" t="s">
        <v>1285</v>
      </c>
      <c r="N912">
        <v>911</v>
      </c>
    </row>
    <row r="913" spans="1:14">
      <c r="A913">
        <v>8</v>
      </c>
      <c r="B913">
        <f t="shared" si="118"/>
        <v>11</v>
      </c>
      <c r="C913">
        <v>470</v>
      </c>
      <c r="D913">
        <f t="shared" ca="1" si="119"/>
        <v>4</v>
      </c>
      <c r="E913" t="str">
        <f t="shared" si="112"/>
        <v>11-470 arg1</v>
      </c>
      <c r="F913">
        <f t="shared" ca="1" si="113"/>
        <v>2</v>
      </c>
      <c r="G913" t="str">
        <f t="shared" si="114"/>
        <v>11-470 feedback1</v>
      </c>
      <c r="H913">
        <v>1</v>
      </c>
      <c r="I913">
        <f t="shared" ca="1" si="115"/>
        <v>3</v>
      </c>
      <c r="J913" t="str">
        <f t="shared" si="116"/>
        <v>11-470 arg2</v>
      </c>
      <c r="K913" t="str">
        <f t="shared" si="117"/>
        <v>11-470 feedback2</v>
      </c>
      <c r="L913">
        <v>1</v>
      </c>
      <c r="M913" t="s">
        <v>1285</v>
      </c>
      <c r="N913">
        <v>912</v>
      </c>
    </row>
    <row r="914" spans="1:14">
      <c r="A914">
        <v>8</v>
      </c>
      <c r="B914">
        <f t="shared" si="118"/>
        <v>11</v>
      </c>
      <c r="C914">
        <v>471</v>
      </c>
      <c r="D914">
        <f t="shared" ca="1" si="119"/>
        <v>3</v>
      </c>
      <c r="E914" t="str">
        <f t="shared" si="112"/>
        <v>11-471 arg1</v>
      </c>
      <c r="F914">
        <f t="shared" ca="1" si="113"/>
        <v>2</v>
      </c>
      <c r="G914" t="str">
        <f t="shared" si="114"/>
        <v>11-471 feedback1</v>
      </c>
      <c r="H914">
        <v>1</v>
      </c>
      <c r="I914">
        <f t="shared" ca="1" si="115"/>
        <v>3</v>
      </c>
      <c r="J914" t="str">
        <f t="shared" si="116"/>
        <v>11-471 arg2</v>
      </c>
      <c r="K914" t="str">
        <f t="shared" si="117"/>
        <v>11-471 feedback2</v>
      </c>
      <c r="L914">
        <v>1</v>
      </c>
      <c r="M914" t="s">
        <v>1285</v>
      </c>
      <c r="N914">
        <v>913</v>
      </c>
    </row>
    <row r="915" spans="1:14">
      <c r="A915">
        <v>8</v>
      </c>
      <c r="B915">
        <f t="shared" si="118"/>
        <v>11</v>
      </c>
      <c r="C915">
        <v>472</v>
      </c>
      <c r="D915">
        <f t="shared" ca="1" si="119"/>
        <v>4</v>
      </c>
      <c r="E915" t="str">
        <f t="shared" si="112"/>
        <v>11-472 arg1</v>
      </c>
      <c r="F915">
        <f t="shared" ca="1" si="113"/>
        <v>2</v>
      </c>
      <c r="G915" t="str">
        <f t="shared" si="114"/>
        <v>11-472 feedback1</v>
      </c>
      <c r="H915">
        <v>1</v>
      </c>
      <c r="I915">
        <f t="shared" ca="1" si="115"/>
        <v>2</v>
      </c>
      <c r="J915" t="str">
        <f t="shared" si="116"/>
        <v>11-472 arg2</v>
      </c>
      <c r="K915" t="str">
        <f t="shared" si="117"/>
        <v>11-472 feedback2</v>
      </c>
      <c r="L915">
        <v>1</v>
      </c>
      <c r="M915" t="s">
        <v>1285</v>
      </c>
      <c r="N915">
        <v>914</v>
      </c>
    </row>
    <row r="916" spans="1:14">
      <c r="A916">
        <v>8</v>
      </c>
      <c r="B916">
        <f t="shared" si="118"/>
        <v>11</v>
      </c>
      <c r="C916">
        <v>473</v>
      </c>
      <c r="D916">
        <f t="shared" ca="1" si="119"/>
        <v>4</v>
      </c>
      <c r="E916" t="str">
        <f t="shared" si="112"/>
        <v>11-473 arg1</v>
      </c>
      <c r="F916">
        <f t="shared" ca="1" si="113"/>
        <v>3</v>
      </c>
      <c r="G916" t="str">
        <f t="shared" si="114"/>
        <v>11-473 feedback1</v>
      </c>
      <c r="H916">
        <v>1</v>
      </c>
      <c r="I916">
        <f t="shared" ca="1" si="115"/>
        <v>3</v>
      </c>
      <c r="J916" t="str">
        <f t="shared" si="116"/>
        <v>11-473 arg2</v>
      </c>
      <c r="K916" t="str">
        <f t="shared" si="117"/>
        <v>11-473 feedback2</v>
      </c>
      <c r="L916">
        <v>1</v>
      </c>
      <c r="M916" t="s">
        <v>1285</v>
      </c>
      <c r="N916">
        <v>915</v>
      </c>
    </row>
    <row r="917" spans="1:14">
      <c r="A917">
        <v>8</v>
      </c>
      <c r="B917">
        <f t="shared" si="118"/>
        <v>11</v>
      </c>
      <c r="C917">
        <v>474</v>
      </c>
      <c r="D917">
        <f t="shared" ca="1" si="119"/>
        <v>4</v>
      </c>
      <c r="E917" t="str">
        <f t="shared" ref="E917:E980" si="120">_xlfn.CONCAT(B917,"-",C917," arg1")</f>
        <v>11-474 arg1</v>
      </c>
      <c r="F917">
        <f t="shared" ref="F917:F980" ca="1" si="121">D917-ROUND(2*RAND(),0)</f>
        <v>2</v>
      </c>
      <c r="G917" t="str">
        <f t="shared" ref="G917:G980" si="122">_xlfn.CONCAT(B917,"-",C917," feedback1")</f>
        <v>11-474 feedback1</v>
      </c>
      <c r="H917">
        <v>1</v>
      </c>
      <c r="I917">
        <f t="shared" ref="I917:I980" ca="1" si="123">MIN(5,F917+ROUND(RAND(),0))</f>
        <v>2</v>
      </c>
      <c r="J917" t="str">
        <f t="shared" ref="J917:J980" si="124">_xlfn.CONCAT(B917,"-",C917," arg2")</f>
        <v>11-474 arg2</v>
      </c>
      <c r="K917" t="str">
        <f t="shared" ref="K917:K980" si="125">_xlfn.CONCAT(B917,"-",C917," feedback2")</f>
        <v>11-474 feedback2</v>
      </c>
      <c r="L917">
        <v>1</v>
      </c>
      <c r="M917" t="s">
        <v>1285</v>
      </c>
      <c r="N917">
        <v>916</v>
      </c>
    </row>
    <row r="918" spans="1:14">
      <c r="A918">
        <v>8</v>
      </c>
      <c r="B918">
        <f t="shared" si="118"/>
        <v>11</v>
      </c>
      <c r="C918">
        <v>475</v>
      </c>
      <c r="D918">
        <f t="shared" ca="1" si="119"/>
        <v>3</v>
      </c>
      <c r="E918" t="str">
        <f t="shared" si="120"/>
        <v>11-475 arg1</v>
      </c>
      <c r="F918">
        <f t="shared" ca="1" si="121"/>
        <v>2</v>
      </c>
      <c r="G918" t="str">
        <f t="shared" si="122"/>
        <v>11-475 feedback1</v>
      </c>
      <c r="H918">
        <v>1</v>
      </c>
      <c r="I918">
        <f t="shared" ca="1" si="123"/>
        <v>2</v>
      </c>
      <c r="J918" t="str">
        <f t="shared" si="124"/>
        <v>11-475 arg2</v>
      </c>
      <c r="K918" t="str">
        <f t="shared" si="125"/>
        <v>11-475 feedback2</v>
      </c>
      <c r="L918">
        <v>1</v>
      </c>
      <c r="M918" t="s">
        <v>1285</v>
      </c>
      <c r="N918">
        <v>917</v>
      </c>
    </row>
    <row r="919" spans="1:14">
      <c r="A919">
        <v>8</v>
      </c>
      <c r="B919">
        <f t="shared" si="118"/>
        <v>11</v>
      </c>
      <c r="C919">
        <v>476</v>
      </c>
      <c r="D919">
        <f t="shared" ca="1" si="119"/>
        <v>3</v>
      </c>
      <c r="E919" t="str">
        <f t="shared" si="120"/>
        <v>11-476 arg1</v>
      </c>
      <c r="F919">
        <f t="shared" ca="1" si="121"/>
        <v>2</v>
      </c>
      <c r="G919" t="str">
        <f t="shared" si="122"/>
        <v>11-476 feedback1</v>
      </c>
      <c r="H919">
        <v>1</v>
      </c>
      <c r="I919">
        <f t="shared" ca="1" si="123"/>
        <v>2</v>
      </c>
      <c r="J919" t="str">
        <f t="shared" si="124"/>
        <v>11-476 arg2</v>
      </c>
      <c r="K919" t="str">
        <f t="shared" si="125"/>
        <v>11-476 feedback2</v>
      </c>
      <c r="L919">
        <v>1</v>
      </c>
      <c r="M919" t="s">
        <v>1285</v>
      </c>
      <c r="N919">
        <v>918</v>
      </c>
    </row>
    <row r="920" spans="1:14">
      <c r="A920">
        <v>8</v>
      </c>
      <c r="B920">
        <f t="shared" si="118"/>
        <v>11</v>
      </c>
      <c r="C920">
        <v>477</v>
      </c>
      <c r="D920">
        <f t="shared" ca="1" si="119"/>
        <v>4</v>
      </c>
      <c r="E920" t="str">
        <f t="shared" si="120"/>
        <v>11-477 arg1</v>
      </c>
      <c r="F920">
        <f t="shared" ca="1" si="121"/>
        <v>3</v>
      </c>
      <c r="G920" t="str">
        <f t="shared" si="122"/>
        <v>11-477 feedback1</v>
      </c>
      <c r="H920">
        <v>1</v>
      </c>
      <c r="I920">
        <f t="shared" ca="1" si="123"/>
        <v>3</v>
      </c>
      <c r="J920" t="str">
        <f t="shared" si="124"/>
        <v>11-477 arg2</v>
      </c>
      <c r="K920" t="str">
        <f t="shared" si="125"/>
        <v>11-477 feedback2</v>
      </c>
      <c r="L920">
        <v>1</v>
      </c>
      <c r="M920" t="s">
        <v>1285</v>
      </c>
      <c r="N920">
        <v>919</v>
      </c>
    </row>
    <row r="921" spans="1:14">
      <c r="A921">
        <v>8</v>
      </c>
      <c r="B921">
        <f t="shared" si="118"/>
        <v>11</v>
      </c>
      <c r="C921">
        <v>478</v>
      </c>
      <c r="D921">
        <f t="shared" ca="1" si="119"/>
        <v>4</v>
      </c>
      <c r="E921" t="str">
        <f t="shared" si="120"/>
        <v>11-478 arg1</v>
      </c>
      <c r="F921">
        <f t="shared" ca="1" si="121"/>
        <v>2</v>
      </c>
      <c r="G921" t="str">
        <f t="shared" si="122"/>
        <v>11-478 feedback1</v>
      </c>
      <c r="H921">
        <v>1</v>
      </c>
      <c r="I921">
        <f t="shared" ca="1" si="123"/>
        <v>2</v>
      </c>
      <c r="J921" t="str">
        <f t="shared" si="124"/>
        <v>11-478 arg2</v>
      </c>
      <c r="K921" t="str">
        <f t="shared" si="125"/>
        <v>11-478 feedback2</v>
      </c>
      <c r="L921">
        <v>1</v>
      </c>
      <c r="M921" t="s">
        <v>1285</v>
      </c>
      <c r="N921">
        <v>920</v>
      </c>
    </row>
    <row r="922" spans="1:14">
      <c r="A922">
        <v>8</v>
      </c>
      <c r="B922">
        <f t="shared" si="118"/>
        <v>11</v>
      </c>
      <c r="C922">
        <v>479</v>
      </c>
      <c r="D922">
        <f t="shared" ca="1" si="119"/>
        <v>4</v>
      </c>
      <c r="E922" t="str">
        <f t="shared" si="120"/>
        <v>11-479 arg1</v>
      </c>
      <c r="F922">
        <f t="shared" ca="1" si="121"/>
        <v>2</v>
      </c>
      <c r="G922" t="str">
        <f t="shared" si="122"/>
        <v>11-479 feedback1</v>
      </c>
      <c r="H922">
        <v>1</v>
      </c>
      <c r="I922">
        <f t="shared" ca="1" si="123"/>
        <v>3</v>
      </c>
      <c r="J922" t="str">
        <f t="shared" si="124"/>
        <v>11-479 arg2</v>
      </c>
      <c r="K922" t="str">
        <f t="shared" si="125"/>
        <v>11-479 feedback2</v>
      </c>
      <c r="L922">
        <v>1</v>
      </c>
      <c r="M922" t="s">
        <v>1285</v>
      </c>
      <c r="N922">
        <v>921</v>
      </c>
    </row>
    <row r="923" spans="1:14">
      <c r="A923">
        <v>8</v>
      </c>
      <c r="B923">
        <f t="shared" si="118"/>
        <v>11</v>
      </c>
      <c r="C923">
        <v>480</v>
      </c>
      <c r="D923">
        <f t="shared" ca="1" si="119"/>
        <v>4</v>
      </c>
      <c r="E923" t="str">
        <f t="shared" si="120"/>
        <v>11-480 arg1</v>
      </c>
      <c r="F923">
        <f t="shared" ca="1" si="121"/>
        <v>2</v>
      </c>
      <c r="G923" t="str">
        <f t="shared" si="122"/>
        <v>11-480 feedback1</v>
      </c>
      <c r="H923">
        <v>1</v>
      </c>
      <c r="I923">
        <f t="shared" ca="1" si="123"/>
        <v>3</v>
      </c>
      <c r="J923" t="str">
        <f t="shared" si="124"/>
        <v>11-480 arg2</v>
      </c>
      <c r="K923" t="str">
        <f t="shared" si="125"/>
        <v>11-480 feedback2</v>
      </c>
      <c r="L923">
        <v>1</v>
      </c>
      <c r="M923" t="s">
        <v>1285</v>
      </c>
      <c r="N923">
        <v>922</v>
      </c>
    </row>
    <row r="924" spans="1:14">
      <c r="A924">
        <v>8</v>
      </c>
      <c r="B924">
        <f t="shared" si="118"/>
        <v>11</v>
      </c>
      <c r="C924">
        <v>481</v>
      </c>
      <c r="D924">
        <f t="shared" ca="1" si="119"/>
        <v>3</v>
      </c>
      <c r="E924" t="str">
        <f t="shared" si="120"/>
        <v>11-481 arg1</v>
      </c>
      <c r="F924">
        <f t="shared" ca="1" si="121"/>
        <v>1</v>
      </c>
      <c r="G924" t="str">
        <f t="shared" si="122"/>
        <v>11-481 feedback1</v>
      </c>
      <c r="H924">
        <v>1</v>
      </c>
      <c r="I924">
        <f t="shared" ca="1" si="123"/>
        <v>1</v>
      </c>
      <c r="J924" t="str">
        <f t="shared" si="124"/>
        <v>11-481 arg2</v>
      </c>
      <c r="K924" t="str">
        <f t="shared" si="125"/>
        <v>11-481 feedback2</v>
      </c>
      <c r="L924">
        <v>1</v>
      </c>
      <c r="M924" t="s">
        <v>1285</v>
      </c>
      <c r="N924">
        <v>923</v>
      </c>
    </row>
    <row r="925" spans="1:14">
      <c r="A925">
        <v>8</v>
      </c>
      <c r="B925">
        <f t="shared" si="118"/>
        <v>11</v>
      </c>
      <c r="C925">
        <v>482</v>
      </c>
      <c r="D925">
        <f t="shared" ca="1" si="119"/>
        <v>3</v>
      </c>
      <c r="E925" t="str">
        <f t="shared" si="120"/>
        <v>11-482 arg1</v>
      </c>
      <c r="F925">
        <f t="shared" ca="1" si="121"/>
        <v>3</v>
      </c>
      <c r="G925" t="str">
        <f t="shared" si="122"/>
        <v>11-482 feedback1</v>
      </c>
      <c r="H925">
        <v>1</v>
      </c>
      <c r="I925">
        <f t="shared" ca="1" si="123"/>
        <v>3</v>
      </c>
      <c r="J925" t="str">
        <f t="shared" si="124"/>
        <v>11-482 arg2</v>
      </c>
      <c r="K925" t="str">
        <f t="shared" si="125"/>
        <v>11-482 feedback2</v>
      </c>
      <c r="L925">
        <v>1</v>
      </c>
      <c r="M925" t="s">
        <v>1285</v>
      </c>
      <c r="N925">
        <v>924</v>
      </c>
    </row>
    <row r="926" spans="1:14">
      <c r="A926">
        <v>8</v>
      </c>
      <c r="B926">
        <f t="shared" si="118"/>
        <v>11</v>
      </c>
      <c r="C926">
        <v>483</v>
      </c>
      <c r="D926">
        <f t="shared" ca="1" si="119"/>
        <v>4</v>
      </c>
      <c r="E926" t="str">
        <f t="shared" si="120"/>
        <v>11-483 arg1</v>
      </c>
      <c r="F926">
        <f t="shared" ca="1" si="121"/>
        <v>2</v>
      </c>
      <c r="G926" t="str">
        <f t="shared" si="122"/>
        <v>11-483 feedback1</v>
      </c>
      <c r="H926">
        <v>1</v>
      </c>
      <c r="I926">
        <f t="shared" ca="1" si="123"/>
        <v>3</v>
      </c>
      <c r="J926" t="str">
        <f t="shared" si="124"/>
        <v>11-483 arg2</v>
      </c>
      <c r="K926" t="str">
        <f t="shared" si="125"/>
        <v>11-483 feedback2</v>
      </c>
      <c r="L926">
        <v>1</v>
      </c>
      <c r="M926" t="s">
        <v>1285</v>
      </c>
      <c r="N926">
        <v>925</v>
      </c>
    </row>
    <row r="927" spans="1:14">
      <c r="A927">
        <v>8</v>
      </c>
      <c r="B927">
        <f t="shared" si="118"/>
        <v>11</v>
      </c>
      <c r="C927">
        <v>484</v>
      </c>
      <c r="D927">
        <f t="shared" ca="1" si="119"/>
        <v>4</v>
      </c>
      <c r="E927" t="str">
        <f t="shared" si="120"/>
        <v>11-484 arg1</v>
      </c>
      <c r="F927">
        <f t="shared" ca="1" si="121"/>
        <v>3</v>
      </c>
      <c r="G927" t="str">
        <f t="shared" si="122"/>
        <v>11-484 feedback1</v>
      </c>
      <c r="H927">
        <v>1</v>
      </c>
      <c r="I927">
        <f t="shared" ca="1" si="123"/>
        <v>3</v>
      </c>
      <c r="J927" t="str">
        <f t="shared" si="124"/>
        <v>11-484 arg2</v>
      </c>
      <c r="K927" t="str">
        <f t="shared" si="125"/>
        <v>11-484 feedback2</v>
      </c>
      <c r="L927">
        <v>1</v>
      </c>
      <c r="M927" t="s">
        <v>1285</v>
      </c>
      <c r="N927">
        <v>926</v>
      </c>
    </row>
    <row r="928" spans="1:14">
      <c r="A928">
        <v>8</v>
      </c>
      <c r="B928">
        <f t="shared" si="118"/>
        <v>11</v>
      </c>
      <c r="C928">
        <v>485</v>
      </c>
      <c r="D928">
        <f t="shared" ca="1" si="119"/>
        <v>3</v>
      </c>
      <c r="E928" t="str">
        <f t="shared" si="120"/>
        <v>11-485 arg1</v>
      </c>
      <c r="F928">
        <f t="shared" ca="1" si="121"/>
        <v>2</v>
      </c>
      <c r="G928" t="str">
        <f t="shared" si="122"/>
        <v>11-485 feedback1</v>
      </c>
      <c r="H928">
        <v>1</v>
      </c>
      <c r="I928">
        <f t="shared" ca="1" si="123"/>
        <v>2</v>
      </c>
      <c r="J928" t="str">
        <f t="shared" si="124"/>
        <v>11-485 arg2</v>
      </c>
      <c r="K928" t="str">
        <f t="shared" si="125"/>
        <v>11-485 feedback2</v>
      </c>
      <c r="L928">
        <v>1</v>
      </c>
      <c r="M928" t="s">
        <v>1285</v>
      </c>
      <c r="N928">
        <v>927</v>
      </c>
    </row>
    <row r="929" spans="1:14">
      <c r="A929">
        <v>8</v>
      </c>
      <c r="B929">
        <f t="shared" si="118"/>
        <v>11</v>
      </c>
      <c r="C929">
        <v>486</v>
      </c>
      <c r="D929">
        <f t="shared" ca="1" si="119"/>
        <v>4</v>
      </c>
      <c r="E929" t="str">
        <f t="shared" si="120"/>
        <v>11-486 arg1</v>
      </c>
      <c r="F929">
        <f t="shared" ca="1" si="121"/>
        <v>2</v>
      </c>
      <c r="G929" t="str">
        <f t="shared" si="122"/>
        <v>11-486 feedback1</v>
      </c>
      <c r="H929">
        <v>1</v>
      </c>
      <c r="I929">
        <f t="shared" ca="1" si="123"/>
        <v>3</v>
      </c>
      <c r="J929" t="str">
        <f t="shared" si="124"/>
        <v>11-486 arg2</v>
      </c>
      <c r="K929" t="str">
        <f t="shared" si="125"/>
        <v>11-486 feedback2</v>
      </c>
      <c r="L929">
        <v>1</v>
      </c>
      <c r="M929" t="s">
        <v>1285</v>
      </c>
      <c r="N929">
        <v>928</v>
      </c>
    </row>
    <row r="930" spans="1:14">
      <c r="A930">
        <v>8</v>
      </c>
      <c r="B930">
        <f t="shared" si="118"/>
        <v>11</v>
      </c>
      <c r="C930">
        <v>487</v>
      </c>
      <c r="D930">
        <f t="shared" ca="1" si="119"/>
        <v>3</v>
      </c>
      <c r="E930" t="str">
        <f t="shared" si="120"/>
        <v>11-487 arg1</v>
      </c>
      <c r="F930">
        <f t="shared" ca="1" si="121"/>
        <v>2</v>
      </c>
      <c r="G930" t="str">
        <f t="shared" si="122"/>
        <v>11-487 feedback1</v>
      </c>
      <c r="H930">
        <v>1</v>
      </c>
      <c r="I930">
        <f t="shared" ca="1" si="123"/>
        <v>3</v>
      </c>
      <c r="J930" t="str">
        <f t="shared" si="124"/>
        <v>11-487 arg2</v>
      </c>
      <c r="K930" t="str">
        <f t="shared" si="125"/>
        <v>11-487 feedback2</v>
      </c>
      <c r="L930">
        <v>1</v>
      </c>
      <c r="M930" t="s">
        <v>1285</v>
      </c>
      <c r="N930">
        <v>929</v>
      </c>
    </row>
    <row r="931" spans="1:14">
      <c r="A931">
        <v>8</v>
      </c>
      <c r="B931">
        <f t="shared" si="118"/>
        <v>11</v>
      </c>
      <c r="C931">
        <v>488</v>
      </c>
      <c r="D931">
        <f t="shared" ca="1" si="119"/>
        <v>4</v>
      </c>
      <c r="E931" t="str">
        <f t="shared" si="120"/>
        <v>11-488 arg1</v>
      </c>
      <c r="F931">
        <f t="shared" ca="1" si="121"/>
        <v>4</v>
      </c>
      <c r="G931" t="str">
        <f t="shared" si="122"/>
        <v>11-488 feedback1</v>
      </c>
      <c r="H931">
        <v>1</v>
      </c>
      <c r="I931">
        <f t="shared" ca="1" si="123"/>
        <v>5</v>
      </c>
      <c r="J931" t="str">
        <f t="shared" si="124"/>
        <v>11-488 arg2</v>
      </c>
      <c r="K931" t="str">
        <f t="shared" si="125"/>
        <v>11-488 feedback2</v>
      </c>
      <c r="L931">
        <v>1</v>
      </c>
      <c r="M931" t="s">
        <v>1285</v>
      </c>
      <c r="N931">
        <v>930</v>
      </c>
    </row>
    <row r="932" spans="1:14">
      <c r="A932">
        <v>8</v>
      </c>
      <c r="B932">
        <f t="shared" si="118"/>
        <v>11</v>
      </c>
      <c r="C932">
        <v>489</v>
      </c>
      <c r="D932">
        <f t="shared" ca="1" si="119"/>
        <v>4</v>
      </c>
      <c r="E932" t="str">
        <f t="shared" si="120"/>
        <v>11-489 arg1</v>
      </c>
      <c r="F932">
        <f t="shared" ca="1" si="121"/>
        <v>3</v>
      </c>
      <c r="G932" t="str">
        <f t="shared" si="122"/>
        <v>11-489 feedback1</v>
      </c>
      <c r="H932">
        <v>1</v>
      </c>
      <c r="I932">
        <f t="shared" ca="1" si="123"/>
        <v>3</v>
      </c>
      <c r="J932" t="str">
        <f t="shared" si="124"/>
        <v>11-489 arg2</v>
      </c>
      <c r="K932" t="str">
        <f t="shared" si="125"/>
        <v>11-489 feedback2</v>
      </c>
      <c r="L932">
        <v>1</v>
      </c>
      <c r="M932" t="s">
        <v>1285</v>
      </c>
      <c r="N932">
        <v>931</v>
      </c>
    </row>
    <row r="933" spans="1:14">
      <c r="A933">
        <v>8</v>
      </c>
      <c r="B933">
        <f t="shared" si="118"/>
        <v>11</v>
      </c>
      <c r="C933">
        <v>490</v>
      </c>
      <c r="D933">
        <f t="shared" ca="1" si="119"/>
        <v>4</v>
      </c>
      <c r="E933" t="str">
        <f t="shared" si="120"/>
        <v>11-490 arg1</v>
      </c>
      <c r="F933">
        <f t="shared" ca="1" si="121"/>
        <v>3</v>
      </c>
      <c r="G933" t="str">
        <f t="shared" si="122"/>
        <v>11-490 feedback1</v>
      </c>
      <c r="H933">
        <v>1</v>
      </c>
      <c r="I933">
        <f t="shared" ca="1" si="123"/>
        <v>3</v>
      </c>
      <c r="J933" t="str">
        <f t="shared" si="124"/>
        <v>11-490 arg2</v>
      </c>
      <c r="K933" t="str">
        <f t="shared" si="125"/>
        <v>11-490 feedback2</v>
      </c>
      <c r="L933">
        <v>1</v>
      </c>
      <c r="M933" t="s">
        <v>1285</v>
      </c>
      <c r="N933">
        <v>932</v>
      </c>
    </row>
    <row r="934" spans="1:14">
      <c r="A934">
        <v>8</v>
      </c>
      <c r="B934">
        <f t="shared" si="118"/>
        <v>11</v>
      </c>
      <c r="C934">
        <v>491</v>
      </c>
      <c r="D934">
        <f t="shared" ca="1" si="119"/>
        <v>5</v>
      </c>
      <c r="E934" t="str">
        <f t="shared" si="120"/>
        <v>11-491 arg1</v>
      </c>
      <c r="F934">
        <f t="shared" ca="1" si="121"/>
        <v>5</v>
      </c>
      <c r="G934" t="str">
        <f t="shared" si="122"/>
        <v>11-491 feedback1</v>
      </c>
      <c r="H934">
        <v>1</v>
      </c>
      <c r="I934">
        <f t="shared" ca="1" si="123"/>
        <v>5</v>
      </c>
      <c r="J934" t="str">
        <f t="shared" si="124"/>
        <v>11-491 arg2</v>
      </c>
      <c r="K934" t="str">
        <f t="shared" si="125"/>
        <v>11-491 feedback2</v>
      </c>
      <c r="L934">
        <v>1</v>
      </c>
      <c r="M934" t="s">
        <v>1285</v>
      </c>
      <c r="N934">
        <v>933</v>
      </c>
    </row>
    <row r="935" spans="1:14">
      <c r="A935">
        <v>8</v>
      </c>
      <c r="B935">
        <f t="shared" si="118"/>
        <v>11</v>
      </c>
      <c r="C935">
        <v>492</v>
      </c>
      <c r="D935">
        <f t="shared" ca="1" si="119"/>
        <v>3</v>
      </c>
      <c r="E935" t="str">
        <f t="shared" si="120"/>
        <v>11-492 arg1</v>
      </c>
      <c r="F935">
        <f t="shared" ca="1" si="121"/>
        <v>3</v>
      </c>
      <c r="G935" t="str">
        <f t="shared" si="122"/>
        <v>11-492 feedback1</v>
      </c>
      <c r="H935">
        <v>1</v>
      </c>
      <c r="I935">
        <f t="shared" ca="1" si="123"/>
        <v>3</v>
      </c>
      <c r="J935" t="str">
        <f t="shared" si="124"/>
        <v>11-492 arg2</v>
      </c>
      <c r="K935" t="str">
        <f t="shared" si="125"/>
        <v>11-492 feedback2</v>
      </c>
      <c r="L935">
        <v>1</v>
      </c>
      <c r="M935" t="s">
        <v>1285</v>
      </c>
      <c r="N935">
        <v>934</v>
      </c>
    </row>
    <row r="936" spans="1:14">
      <c r="A936">
        <v>8</v>
      </c>
      <c r="B936">
        <f t="shared" si="118"/>
        <v>11</v>
      </c>
      <c r="C936">
        <v>493</v>
      </c>
      <c r="D936">
        <f t="shared" ca="1" si="119"/>
        <v>5</v>
      </c>
      <c r="E936" t="str">
        <f t="shared" si="120"/>
        <v>11-493 arg1</v>
      </c>
      <c r="F936">
        <f t="shared" ca="1" si="121"/>
        <v>3</v>
      </c>
      <c r="G936" t="str">
        <f t="shared" si="122"/>
        <v>11-493 feedback1</v>
      </c>
      <c r="H936">
        <v>1</v>
      </c>
      <c r="I936">
        <f t="shared" ca="1" si="123"/>
        <v>3</v>
      </c>
      <c r="J936" t="str">
        <f t="shared" si="124"/>
        <v>11-493 arg2</v>
      </c>
      <c r="K936" t="str">
        <f t="shared" si="125"/>
        <v>11-493 feedback2</v>
      </c>
      <c r="L936">
        <v>1</v>
      </c>
      <c r="M936" t="s">
        <v>1285</v>
      </c>
      <c r="N936">
        <v>935</v>
      </c>
    </row>
    <row r="937" spans="1:14">
      <c r="A937">
        <v>8</v>
      </c>
      <c r="B937">
        <f t="shared" si="118"/>
        <v>12</v>
      </c>
      <c r="C937">
        <v>409</v>
      </c>
      <c r="D937">
        <f t="shared" ca="1" si="119"/>
        <v>4</v>
      </c>
      <c r="E937" t="str">
        <f t="shared" si="120"/>
        <v>12-409 arg1</v>
      </c>
      <c r="F937">
        <f t="shared" ca="1" si="121"/>
        <v>3</v>
      </c>
      <c r="G937" t="str">
        <f t="shared" si="122"/>
        <v>12-409 feedback1</v>
      </c>
      <c r="H937">
        <v>1</v>
      </c>
      <c r="I937">
        <f t="shared" ca="1" si="123"/>
        <v>3</v>
      </c>
      <c r="J937" t="str">
        <f t="shared" si="124"/>
        <v>12-409 arg2</v>
      </c>
      <c r="K937" t="str">
        <f t="shared" si="125"/>
        <v>12-409 feedback2</v>
      </c>
      <c r="L937">
        <v>1</v>
      </c>
      <c r="M937" t="s">
        <v>1285</v>
      </c>
      <c r="N937">
        <v>936</v>
      </c>
    </row>
    <row r="938" spans="1:14">
      <c r="A938">
        <v>8</v>
      </c>
      <c r="B938">
        <f t="shared" si="118"/>
        <v>12</v>
      </c>
      <c r="C938">
        <v>410</v>
      </c>
      <c r="D938">
        <f t="shared" ca="1" si="119"/>
        <v>4</v>
      </c>
      <c r="E938" t="str">
        <f t="shared" si="120"/>
        <v>12-410 arg1</v>
      </c>
      <c r="F938">
        <f t="shared" ca="1" si="121"/>
        <v>2</v>
      </c>
      <c r="G938" t="str">
        <f t="shared" si="122"/>
        <v>12-410 feedback1</v>
      </c>
      <c r="H938">
        <v>1</v>
      </c>
      <c r="I938">
        <f t="shared" ca="1" si="123"/>
        <v>3</v>
      </c>
      <c r="J938" t="str">
        <f t="shared" si="124"/>
        <v>12-410 arg2</v>
      </c>
      <c r="K938" t="str">
        <f t="shared" si="125"/>
        <v>12-410 feedback2</v>
      </c>
      <c r="L938">
        <v>1</v>
      </c>
      <c r="M938" t="s">
        <v>1285</v>
      </c>
      <c r="N938">
        <v>937</v>
      </c>
    </row>
    <row r="939" spans="1:14">
      <c r="A939">
        <v>8</v>
      </c>
      <c r="B939">
        <f t="shared" si="118"/>
        <v>12</v>
      </c>
      <c r="C939">
        <v>411</v>
      </c>
      <c r="D939">
        <f t="shared" ca="1" si="119"/>
        <v>4</v>
      </c>
      <c r="E939" t="str">
        <f t="shared" si="120"/>
        <v>12-411 arg1</v>
      </c>
      <c r="F939">
        <f t="shared" ca="1" si="121"/>
        <v>2</v>
      </c>
      <c r="G939" t="str">
        <f t="shared" si="122"/>
        <v>12-411 feedback1</v>
      </c>
      <c r="H939">
        <v>1</v>
      </c>
      <c r="I939">
        <f t="shared" ca="1" si="123"/>
        <v>2</v>
      </c>
      <c r="J939" t="str">
        <f t="shared" si="124"/>
        <v>12-411 arg2</v>
      </c>
      <c r="K939" t="str">
        <f t="shared" si="125"/>
        <v>12-411 feedback2</v>
      </c>
      <c r="L939">
        <v>1</v>
      </c>
      <c r="M939" t="s">
        <v>1285</v>
      </c>
      <c r="N939">
        <v>938</v>
      </c>
    </row>
    <row r="940" spans="1:14">
      <c r="A940">
        <v>8</v>
      </c>
      <c r="B940">
        <f t="shared" si="118"/>
        <v>12</v>
      </c>
      <c r="C940">
        <v>412</v>
      </c>
      <c r="D940">
        <f t="shared" ca="1" si="119"/>
        <v>5</v>
      </c>
      <c r="E940" t="str">
        <f t="shared" si="120"/>
        <v>12-412 arg1</v>
      </c>
      <c r="F940">
        <f t="shared" ca="1" si="121"/>
        <v>4</v>
      </c>
      <c r="G940" t="str">
        <f t="shared" si="122"/>
        <v>12-412 feedback1</v>
      </c>
      <c r="H940">
        <v>1</v>
      </c>
      <c r="I940">
        <f t="shared" ca="1" si="123"/>
        <v>5</v>
      </c>
      <c r="J940" t="str">
        <f t="shared" si="124"/>
        <v>12-412 arg2</v>
      </c>
      <c r="K940" t="str">
        <f t="shared" si="125"/>
        <v>12-412 feedback2</v>
      </c>
      <c r="L940">
        <v>1</v>
      </c>
      <c r="M940" t="s">
        <v>1285</v>
      </c>
      <c r="N940">
        <v>939</v>
      </c>
    </row>
    <row r="941" spans="1:14">
      <c r="A941">
        <v>8</v>
      </c>
      <c r="B941">
        <f t="shared" si="118"/>
        <v>12</v>
      </c>
      <c r="C941">
        <v>413</v>
      </c>
      <c r="D941">
        <f t="shared" ca="1" si="119"/>
        <v>4</v>
      </c>
      <c r="E941" t="str">
        <f t="shared" si="120"/>
        <v>12-413 arg1</v>
      </c>
      <c r="F941">
        <f t="shared" ca="1" si="121"/>
        <v>4</v>
      </c>
      <c r="G941" t="str">
        <f t="shared" si="122"/>
        <v>12-413 feedback1</v>
      </c>
      <c r="H941">
        <v>1</v>
      </c>
      <c r="I941">
        <f t="shared" ca="1" si="123"/>
        <v>4</v>
      </c>
      <c r="J941" t="str">
        <f t="shared" si="124"/>
        <v>12-413 arg2</v>
      </c>
      <c r="K941" t="str">
        <f t="shared" si="125"/>
        <v>12-413 feedback2</v>
      </c>
      <c r="L941">
        <v>1</v>
      </c>
      <c r="M941" t="s">
        <v>1285</v>
      </c>
      <c r="N941">
        <v>940</v>
      </c>
    </row>
    <row r="942" spans="1:14">
      <c r="A942">
        <v>8</v>
      </c>
      <c r="B942">
        <f t="shared" si="118"/>
        <v>12</v>
      </c>
      <c r="C942">
        <v>414</v>
      </c>
      <c r="D942">
        <f t="shared" ca="1" si="119"/>
        <v>4</v>
      </c>
      <c r="E942" t="str">
        <f t="shared" si="120"/>
        <v>12-414 arg1</v>
      </c>
      <c r="F942">
        <f t="shared" ca="1" si="121"/>
        <v>2</v>
      </c>
      <c r="G942" t="str">
        <f t="shared" si="122"/>
        <v>12-414 feedback1</v>
      </c>
      <c r="H942">
        <v>1</v>
      </c>
      <c r="I942">
        <f t="shared" ca="1" si="123"/>
        <v>3</v>
      </c>
      <c r="J942" t="str">
        <f t="shared" si="124"/>
        <v>12-414 arg2</v>
      </c>
      <c r="K942" t="str">
        <f t="shared" si="125"/>
        <v>12-414 feedback2</v>
      </c>
      <c r="L942">
        <v>1</v>
      </c>
      <c r="M942" t="s">
        <v>1285</v>
      </c>
      <c r="N942">
        <v>941</v>
      </c>
    </row>
    <row r="943" spans="1:14">
      <c r="A943">
        <v>8</v>
      </c>
      <c r="B943">
        <f t="shared" si="118"/>
        <v>12</v>
      </c>
      <c r="C943">
        <v>415</v>
      </c>
      <c r="D943">
        <f t="shared" ca="1" si="119"/>
        <v>3</v>
      </c>
      <c r="E943" t="str">
        <f t="shared" si="120"/>
        <v>12-415 arg1</v>
      </c>
      <c r="F943">
        <f t="shared" ca="1" si="121"/>
        <v>1</v>
      </c>
      <c r="G943" t="str">
        <f t="shared" si="122"/>
        <v>12-415 feedback1</v>
      </c>
      <c r="H943">
        <v>1</v>
      </c>
      <c r="I943">
        <f t="shared" ca="1" si="123"/>
        <v>1</v>
      </c>
      <c r="J943" t="str">
        <f t="shared" si="124"/>
        <v>12-415 arg2</v>
      </c>
      <c r="K943" t="str">
        <f t="shared" si="125"/>
        <v>12-415 feedback2</v>
      </c>
      <c r="L943">
        <v>1</v>
      </c>
      <c r="M943" t="s">
        <v>1285</v>
      </c>
      <c r="N943">
        <v>942</v>
      </c>
    </row>
    <row r="944" spans="1:14">
      <c r="A944">
        <v>8</v>
      </c>
      <c r="B944">
        <f t="shared" si="118"/>
        <v>12</v>
      </c>
      <c r="C944">
        <v>416</v>
      </c>
      <c r="D944">
        <f t="shared" ca="1" si="119"/>
        <v>4</v>
      </c>
      <c r="E944" t="str">
        <f t="shared" si="120"/>
        <v>12-416 arg1</v>
      </c>
      <c r="F944">
        <f t="shared" ca="1" si="121"/>
        <v>3</v>
      </c>
      <c r="G944" t="str">
        <f t="shared" si="122"/>
        <v>12-416 feedback1</v>
      </c>
      <c r="H944">
        <v>1</v>
      </c>
      <c r="I944">
        <f t="shared" ca="1" si="123"/>
        <v>4</v>
      </c>
      <c r="J944" t="str">
        <f t="shared" si="124"/>
        <v>12-416 arg2</v>
      </c>
      <c r="K944" t="str">
        <f t="shared" si="125"/>
        <v>12-416 feedback2</v>
      </c>
      <c r="L944">
        <v>1</v>
      </c>
      <c r="M944" t="s">
        <v>1285</v>
      </c>
      <c r="N944">
        <v>943</v>
      </c>
    </row>
    <row r="945" spans="1:14">
      <c r="A945">
        <v>8</v>
      </c>
      <c r="B945">
        <f t="shared" si="118"/>
        <v>12</v>
      </c>
      <c r="C945">
        <v>417</v>
      </c>
      <c r="D945">
        <f t="shared" ca="1" si="119"/>
        <v>5</v>
      </c>
      <c r="E945" t="str">
        <f t="shared" si="120"/>
        <v>12-417 arg1</v>
      </c>
      <c r="F945">
        <f t="shared" ca="1" si="121"/>
        <v>4</v>
      </c>
      <c r="G945" t="str">
        <f t="shared" si="122"/>
        <v>12-417 feedback1</v>
      </c>
      <c r="H945">
        <v>1</v>
      </c>
      <c r="I945">
        <f t="shared" ca="1" si="123"/>
        <v>4</v>
      </c>
      <c r="J945" t="str">
        <f t="shared" si="124"/>
        <v>12-417 arg2</v>
      </c>
      <c r="K945" t="str">
        <f t="shared" si="125"/>
        <v>12-417 feedback2</v>
      </c>
      <c r="L945">
        <v>1</v>
      </c>
      <c r="M945" t="s">
        <v>1285</v>
      </c>
      <c r="N945">
        <v>944</v>
      </c>
    </row>
    <row r="946" spans="1:14">
      <c r="A946">
        <v>8</v>
      </c>
      <c r="B946">
        <f t="shared" si="118"/>
        <v>12</v>
      </c>
      <c r="C946">
        <v>418</v>
      </c>
      <c r="D946">
        <f t="shared" ca="1" si="119"/>
        <v>3</v>
      </c>
      <c r="E946" t="str">
        <f t="shared" si="120"/>
        <v>12-418 arg1</v>
      </c>
      <c r="F946">
        <f t="shared" ca="1" si="121"/>
        <v>2</v>
      </c>
      <c r="G946" t="str">
        <f t="shared" si="122"/>
        <v>12-418 feedback1</v>
      </c>
      <c r="H946">
        <v>1</v>
      </c>
      <c r="I946">
        <f t="shared" ca="1" si="123"/>
        <v>2</v>
      </c>
      <c r="J946" t="str">
        <f t="shared" si="124"/>
        <v>12-418 arg2</v>
      </c>
      <c r="K946" t="str">
        <f t="shared" si="125"/>
        <v>12-418 feedback2</v>
      </c>
      <c r="L946">
        <v>1</v>
      </c>
      <c r="M946" t="s">
        <v>1285</v>
      </c>
      <c r="N946">
        <v>945</v>
      </c>
    </row>
    <row r="947" spans="1:14">
      <c r="A947">
        <v>8</v>
      </c>
      <c r="B947">
        <f t="shared" si="118"/>
        <v>12</v>
      </c>
      <c r="C947">
        <v>419</v>
      </c>
      <c r="D947">
        <f t="shared" ca="1" si="119"/>
        <v>5</v>
      </c>
      <c r="E947" t="str">
        <f t="shared" si="120"/>
        <v>12-419 arg1</v>
      </c>
      <c r="F947">
        <f t="shared" ca="1" si="121"/>
        <v>4</v>
      </c>
      <c r="G947" t="str">
        <f t="shared" si="122"/>
        <v>12-419 feedback1</v>
      </c>
      <c r="H947">
        <v>1</v>
      </c>
      <c r="I947">
        <f t="shared" ca="1" si="123"/>
        <v>4</v>
      </c>
      <c r="J947" t="str">
        <f t="shared" si="124"/>
        <v>12-419 arg2</v>
      </c>
      <c r="K947" t="str">
        <f t="shared" si="125"/>
        <v>12-419 feedback2</v>
      </c>
      <c r="L947">
        <v>1</v>
      </c>
      <c r="M947" t="s">
        <v>1285</v>
      </c>
      <c r="N947">
        <v>946</v>
      </c>
    </row>
    <row r="948" spans="1:14">
      <c r="A948">
        <v>8</v>
      </c>
      <c r="B948">
        <f t="shared" si="118"/>
        <v>12</v>
      </c>
      <c r="C948">
        <v>420</v>
      </c>
      <c r="D948">
        <f t="shared" ca="1" si="119"/>
        <v>4</v>
      </c>
      <c r="E948" t="str">
        <f t="shared" si="120"/>
        <v>12-420 arg1</v>
      </c>
      <c r="F948">
        <f t="shared" ca="1" si="121"/>
        <v>3</v>
      </c>
      <c r="G948" t="str">
        <f t="shared" si="122"/>
        <v>12-420 feedback1</v>
      </c>
      <c r="H948">
        <v>1</v>
      </c>
      <c r="I948">
        <f t="shared" ca="1" si="123"/>
        <v>4</v>
      </c>
      <c r="J948" t="str">
        <f t="shared" si="124"/>
        <v>12-420 arg2</v>
      </c>
      <c r="K948" t="str">
        <f t="shared" si="125"/>
        <v>12-420 feedback2</v>
      </c>
      <c r="L948">
        <v>1</v>
      </c>
      <c r="M948" t="s">
        <v>1285</v>
      </c>
      <c r="N948">
        <v>947</v>
      </c>
    </row>
    <row r="949" spans="1:14">
      <c r="A949">
        <v>8</v>
      </c>
      <c r="B949">
        <f t="shared" si="118"/>
        <v>12</v>
      </c>
      <c r="C949">
        <v>421</v>
      </c>
      <c r="D949">
        <f t="shared" ca="1" si="119"/>
        <v>4</v>
      </c>
      <c r="E949" t="str">
        <f t="shared" si="120"/>
        <v>12-421 arg1</v>
      </c>
      <c r="F949">
        <f t="shared" ca="1" si="121"/>
        <v>4</v>
      </c>
      <c r="G949" t="str">
        <f t="shared" si="122"/>
        <v>12-421 feedback1</v>
      </c>
      <c r="H949">
        <v>1</v>
      </c>
      <c r="I949">
        <f t="shared" ca="1" si="123"/>
        <v>5</v>
      </c>
      <c r="J949" t="str">
        <f t="shared" si="124"/>
        <v>12-421 arg2</v>
      </c>
      <c r="K949" t="str">
        <f t="shared" si="125"/>
        <v>12-421 feedback2</v>
      </c>
      <c r="L949">
        <v>1</v>
      </c>
      <c r="M949" t="s">
        <v>1285</v>
      </c>
      <c r="N949">
        <v>948</v>
      </c>
    </row>
    <row r="950" spans="1:14">
      <c r="A950">
        <v>8</v>
      </c>
      <c r="B950">
        <f t="shared" ref="B950:B1013" si="126">B865+1</f>
        <v>12</v>
      </c>
      <c r="C950">
        <v>422</v>
      </c>
      <c r="D950">
        <f t="shared" ca="1" si="119"/>
        <v>5</v>
      </c>
      <c r="E950" t="str">
        <f t="shared" si="120"/>
        <v>12-422 arg1</v>
      </c>
      <c r="F950">
        <f t="shared" ca="1" si="121"/>
        <v>3</v>
      </c>
      <c r="G950" t="str">
        <f t="shared" si="122"/>
        <v>12-422 feedback1</v>
      </c>
      <c r="H950">
        <v>1</v>
      </c>
      <c r="I950">
        <f t="shared" ca="1" si="123"/>
        <v>3</v>
      </c>
      <c r="J950" t="str">
        <f t="shared" si="124"/>
        <v>12-422 arg2</v>
      </c>
      <c r="K950" t="str">
        <f t="shared" si="125"/>
        <v>12-422 feedback2</v>
      </c>
      <c r="L950">
        <v>1</v>
      </c>
      <c r="M950" t="s">
        <v>1285</v>
      </c>
      <c r="N950">
        <v>949</v>
      </c>
    </row>
    <row r="951" spans="1:14">
      <c r="A951">
        <v>8</v>
      </c>
      <c r="B951">
        <f t="shared" si="126"/>
        <v>12</v>
      </c>
      <c r="C951">
        <v>423</v>
      </c>
      <c r="D951">
        <f t="shared" ca="1" si="119"/>
        <v>4</v>
      </c>
      <c r="E951" t="str">
        <f t="shared" si="120"/>
        <v>12-423 arg1</v>
      </c>
      <c r="F951">
        <f t="shared" ca="1" si="121"/>
        <v>3</v>
      </c>
      <c r="G951" t="str">
        <f t="shared" si="122"/>
        <v>12-423 feedback1</v>
      </c>
      <c r="H951">
        <v>1</v>
      </c>
      <c r="I951">
        <f t="shared" ca="1" si="123"/>
        <v>4</v>
      </c>
      <c r="J951" t="str">
        <f t="shared" si="124"/>
        <v>12-423 arg2</v>
      </c>
      <c r="K951" t="str">
        <f t="shared" si="125"/>
        <v>12-423 feedback2</v>
      </c>
      <c r="L951">
        <v>1</v>
      </c>
      <c r="M951" t="s">
        <v>1285</v>
      </c>
      <c r="N951">
        <v>950</v>
      </c>
    </row>
    <row r="952" spans="1:14">
      <c r="A952">
        <v>8</v>
      </c>
      <c r="B952">
        <f t="shared" si="126"/>
        <v>12</v>
      </c>
      <c r="C952">
        <v>424</v>
      </c>
      <c r="D952">
        <f t="shared" ca="1" si="119"/>
        <v>4</v>
      </c>
      <c r="E952" t="str">
        <f t="shared" si="120"/>
        <v>12-424 arg1</v>
      </c>
      <c r="F952">
        <f t="shared" ca="1" si="121"/>
        <v>2</v>
      </c>
      <c r="G952" t="str">
        <f t="shared" si="122"/>
        <v>12-424 feedback1</v>
      </c>
      <c r="H952">
        <v>1</v>
      </c>
      <c r="I952">
        <f t="shared" ca="1" si="123"/>
        <v>2</v>
      </c>
      <c r="J952" t="str">
        <f t="shared" si="124"/>
        <v>12-424 arg2</v>
      </c>
      <c r="K952" t="str">
        <f t="shared" si="125"/>
        <v>12-424 feedback2</v>
      </c>
      <c r="L952">
        <v>1</v>
      </c>
      <c r="M952" t="s">
        <v>1285</v>
      </c>
      <c r="N952">
        <v>951</v>
      </c>
    </row>
    <row r="953" spans="1:14">
      <c r="A953">
        <v>8</v>
      </c>
      <c r="B953">
        <f t="shared" si="126"/>
        <v>12</v>
      </c>
      <c r="C953">
        <v>425</v>
      </c>
      <c r="D953">
        <f t="shared" ca="1" si="119"/>
        <v>4</v>
      </c>
      <c r="E953" t="str">
        <f t="shared" si="120"/>
        <v>12-425 arg1</v>
      </c>
      <c r="F953">
        <f t="shared" ca="1" si="121"/>
        <v>2</v>
      </c>
      <c r="G953" t="str">
        <f t="shared" si="122"/>
        <v>12-425 feedback1</v>
      </c>
      <c r="H953">
        <v>1</v>
      </c>
      <c r="I953">
        <f t="shared" ca="1" si="123"/>
        <v>2</v>
      </c>
      <c r="J953" t="str">
        <f t="shared" si="124"/>
        <v>12-425 arg2</v>
      </c>
      <c r="K953" t="str">
        <f t="shared" si="125"/>
        <v>12-425 feedback2</v>
      </c>
      <c r="L953">
        <v>1</v>
      </c>
      <c r="M953" t="s">
        <v>1285</v>
      </c>
      <c r="N953">
        <v>952</v>
      </c>
    </row>
    <row r="954" spans="1:14">
      <c r="A954">
        <v>8</v>
      </c>
      <c r="B954">
        <f t="shared" si="126"/>
        <v>12</v>
      </c>
      <c r="C954">
        <v>426</v>
      </c>
      <c r="D954">
        <f t="shared" ca="1" si="119"/>
        <v>3</v>
      </c>
      <c r="E954" t="str">
        <f t="shared" si="120"/>
        <v>12-426 arg1</v>
      </c>
      <c r="F954">
        <f t="shared" ca="1" si="121"/>
        <v>2</v>
      </c>
      <c r="G954" t="str">
        <f t="shared" si="122"/>
        <v>12-426 feedback1</v>
      </c>
      <c r="H954">
        <v>1</v>
      </c>
      <c r="I954">
        <f t="shared" ca="1" si="123"/>
        <v>3</v>
      </c>
      <c r="J954" t="str">
        <f t="shared" si="124"/>
        <v>12-426 arg2</v>
      </c>
      <c r="K954" t="str">
        <f t="shared" si="125"/>
        <v>12-426 feedback2</v>
      </c>
      <c r="L954">
        <v>1</v>
      </c>
      <c r="M954" t="s">
        <v>1285</v>
      </c>
      <c r="N954">
        <v>953</v>
      </c>
    </row>
    <row r="955" spans="1:14">
      <c r="A955">
        <v>8</v>
      </c>
      <c r="B955">
        <f t="shared" si="126"/>
        <v>12</v>
      </c>
      <c r="C955">
        <v>427</v>
      </c>
      <c r="D955">
        <f t="shared" ca="1" si="119"/>
        <v>4</v>
      </c>
      <c r="E955" t="str">
        <f t="shared" si="120"/>
        <v>12-427 arg1</v>
      </c>
      <c r="F955">
        <f t="shared" ca="1" si="121"/>
        <v>3</v>
      </c>
      <c r="G955" t="str">
        <f t="shared" si="122"/>
        <v>12-427 feedback1</v>
      </c>
      <c r="H955">
        <v>1</v>
      </c>
      <c r="I955">
        <f t="shared" ca="1" si="123"/>
        <v>4</v>
      </c>
      <c r="J955" t="str">
        <f t="shared" si="124"/>
        <v>12-427 arg2</v>
      </c>
      <c r="K955" t="str">
        <f t="shared" si="125"/>
        <v>12-427 feedback2</v>
      </c>
      <c r="L955">
        <v>1</v>
      </c>
      <c r="M955" t="s">
        <v>1285</v>
      </c>
      <c r="N955">
        <v>954</v>
      </c>
    </row>
    <row r="956" spans="1:14">
      <c r="A956">
        <v>8</v>
      </c>
      <c r="B956">
        <f t="shared" si="126"/>
        <v>12</v>
      </c>
      <c r="C956">
        <v>428</v>
      </c>
      <c r="D956">
        <f t="shared" ca="1" si="119"/>
        <v>4</v>
      </c>
      <c r="E956" t="str">
        <f t="shared" si="120"/>
        <v>12-428 arg1</v>
      </c>
      <c r="F956">
        <f t="shared" ca="1" si="121"/>
        <v>2</v>
      </c>
      <c r="G956" t="str">
        <f t="shared" si="122"/>
        <v>12-428 feedback1</v>
      </c>
      <c r="H956">
        <v>1</v>
      </c>
      <c r="I956">
        <f t="shared" ca="1" si="123"/>
        <v>2</v>
      </c>
      <c r="J956" t="str">
        <f t="shared" si="124"/>
        <v>12-428 arg2</v>
      </c>
      <c r="K956" t="str">
        <f t="shared" si="125"/>
        <v>12-428 feedback2</v>
      </c>
      <c r="L956">
        <v>1</v>
      </c>
      <c r="M956" t="s">
        <v>1285</v>
      </c>
      <c r="N956">
        <v>955</v>
      </c>
    </row>
    <row r="957" spans="1:14">
      <c r="A957">
        <v>8</v>
      </c>
      <c r="B957">
        <f t="shared" si="126"/>
        <v>12</v>
      </c>
      <c r="C957">
        <v>429</v>
      </c>
      <c r="D957">
        <f t="shared" ca="1" si="119"/>
        <v>4</v>
      </c>
      <c r="E957" t="str">
        <f t="shared" si="120"/>
        <v>12-429 arg1</v>
      </c>
      <c r="F957">
        <f t="shared" ca="1" si="121"/>
        <v>3</v>
      </c>
      <c r="G957" t="str">
        <f t="shared" si="122"/>
        <v>12-429 feedback1</v>
      </c>
      <c r="H957">
        <v>1</v>
      </c>
      <c r="I957">
        <f t="shared" ca="1" si="123"/>
        <v>4</v>
      </c>
      <c r="J957" t="str">
        <f t="shared" si="124"/>
        <v>12-429 arg2</v>
      </c>
      <c r="K957" t="str">
        <f t="shared" si="125"/>
        <v>12-429 feedback2</v>
      </c>
      <c r="L957">
        <v>1</v>
      </c>
      <c r="M957" t="s">
        <v>1285</v>
      </c>
      <c r="N957">
        <v>956</v>
      </c>
    </row>
    <row r="958" spans="1:14">
      <c r="A958">
        <v>8</v>
      </c>
      <c r="B958">
        <f t="shared" si="126"/>
        <v>12</v>
      </c>
      <c r="C958">
        <v>430</v>
      </c>
      <c r="D958">
        <f t="shared" ca="1" si="119"/>
        <v>3</v>
      </c>
      <c r="E958" t="str">
        <f t="shared" si="120"/>
        <v>12-430 arg1</v>
      </c>
      <c r="F958">
        <f t="shared" ca="1" si="121"/>
        <v>2</v>
      </c>
      <c r="G958" t="str">
        <f t="shared" si="122"/>
        <v>12-430 feedback1</v>
      </c>
      <c r="H958">
        <v>1</v>
      </c>
      <c r="I958">
        <f t="shared" ca="1" si="123"/>
        <v>3</v>
      </c>
      <c r="J958" t="str">
        <f t="shared" si="124"/>
        <v>12-430 arg2</v>
      </c>
      <c r="K958" t="str">
        <f t="shared" si="125"/>
        <v>12-430 feedback2</v>
      </c>
      <c r="L958">
        <v>1</v>
      </c>
      <c r="M958" t="s">
        <v>1285</v>
      </c>
      <c r="N958">
        <v>957</v>
      </c>
    </row>
    <row r="959" spans="1:14">
      <c r="A959">
        <v>8</v>
      </c>
      <c r="B959">
        <f t="shared" si="126"/>
        <v>12</v>
      </c>
      <c r="C959">
        <v>431</v>
      </c>
      <c r="D959">
        <f t="shared" ca="1" si="119"/>
        <v>4</v>
      </c>
      <c r="E959" t="str">
        <f t="shared" si="120"/>
        <v>12-431 arg1</v>
      </c>
      <c r="F959">
        <f t="shared" ca="1" si="121"/>
        <v>3</v>
      </c>
      <c r="G959" t="str">
        <f t="shared" si="122"/>
        <v>12-431 feedback1</v>
      </c>
      <c r="H959">
        <v>1</v>
      </c>
      <c r="I959">
        <f t="shared" ca="1" si="123"/>
        <v>4</v>
      </c>
      <c r="J959" t="str">
        <f t="shared" si="124"/>
        <v>12-431 arg2</v>
      </c>
      <c r="K959" t="str">
        <f t="shared" si="125"/>
        <v>12-431 feedback2</v>
      </c>
      <c r="L959">
        <v>1</v>
      </c>
      <c r="M959" t="s">
        <v>1285</v>
      </c>
      <c r="N959">
        <v>958</v>
      </c>
    </row>
    <row r="960" spans="1:14">
      <c r="A960">
        <v>8</v>
      </c>
      <c r="B960">
        <f t="shared" si="126"/>
        <v>12</v>
      </c>
      <c r="C960">
        <v>432</v>
      </c>
      <c r="D960">
        <f t="shared" ca="1" si="119"/>
        <v>4</v>
      </c>
      <c r="E960" t="str">
        <f t="shared" si="120"/>
        <v>12-432 arg1</v>
      </c>
      <c r="F960">
        <f t="shared" ca="1" si="121"/>
        <v>4</v>
      </c>
      <c r="G960" t="str">
        <f t="shared" si="122"/>
        <v>12-432 feedback1</v>
      </c>
      <c r="H960">
        <v>1</v>
      </c>
      <c r="I960">
        <f t="shared" ca="1" si="123"/>
        <v>4</v>
      </c>
      <c r="J960" t="str">
        <f t="shared" si="124"/>
        <v>12-432 arg2</v>
      </c>
      <c r="K960" t="str">
        <f t="shared" si="125"/>
        <v>12-432 feedback2</v>
      </c>
      <c r="L960">
        <v>1</v>
      </c>
      <c r="M960" t="s">
        <v>1285</v>
      </c>
      <c r="N960">
        <v>959</v>
      </c>
    </row>
    <row r="961" spans="1:14">
      <c r="A961">
        <v>8</v>
      </c>
      <c r="B961">
        <f t="shared" si="126"/>
        <v>12</v>
      </c>
      <c r="C961">
        <v>433</v>
      </c>
      <c r="D961">
        <f t="shared" ca="1" si="119"/>
        <v>5</v>
      </c>
      <c r="E961" t="str">
        <f t="shared" si="120"/>
        <v>12-433 arg1</v>
      </c>
      <c r="F961">
        <f t="shared" ca="1" si="121"/>
        <v>4</v>
      </c>
      <c r="G961" t="str">
        <f t="shared" si="122"/>
        <v>12-433 feedback1</v>
      </c>
      <c r="H961">
        <v>1</v>
      </c>
      <c r="I961">
        <f t="shared" ca="1" si="123"/>
        <v>4</v>
      </c>
      <c r="J961" t="str">
        <f t="shared" si="124"/>
        <v>12-433 arg2</v>
      </c>
      <c r="K961" t="str">
        <f t="shared" si="125"/>
        <v>12-433 feedback2</v>
      </c>
      <c r="L961">
        <v>1</v>
      </c>
      <c r="M961" t="s">
        <v>1285</v>
      </c>
      <c r="N961">
        <v>960</v>
      </c>
    </row>
    <row r="962" spans="1:14">
      <c r="A962">
        <v>8</v>
      </c>
      <c r="B962">
        <f t="shared" si="126"/>
        <v>12</v>
      </c>
      <c r="C962">
        <v>434</v>
      </c>
      <c r="D962">
        <f t="shared" ca="1" si="119"/>
        <v>4</v>
      </c>
      <c r="E962" t="str">
        <f t="shared" si="120"/>
        <v>12-434 arg1</v>
      </c>
      <c r="F962">
        <f t="shared" ca="1" si="121"/>
        <v>4</v>
      </c>
      <c r="G962" t="str">
        <f t="shared" si="122"/>
        <v>12-434 feedback1</v>
      </c>
      <c r="H962">
        <v>1</v>
      </c>
      <c r="I962">
        <f t="shared" ca="1" si="123"/>
        <v>4</v>
      </c>
      <c r="J962" t="str">
        <f t="shared" si="124"/>
        <v>12-434 arg2</v>
      </c>
      <c r="K962" t="str">
        <f t="shared" si="125"/>
        <v>12-434 feedback2</v>
      </c>
      <c r="L962">
        <v>1</v>
      </c>
      <c r="M962" t="s">
        <v>1285</v>
      </c>
      <c r="N962">
        <v>961</v>
      </c>
    </row>
    <row r="963" spans="1:14">
      <c r="A963">
        <v>8</v>
      </c>
      <c r="B963">
        <f t="shared" si="126"/>
        <v>12</v>
      </c>
      <c r="C963">
        <v>435</v>
      </c>
      <c r="D963">
        <f t="shared" ref="D963:D1026" ca="1" si="127">ROUND(3+2*RAND(),0)</f>
        <v>5</v>
      </c>
      <c r="E963" t="str">
        <f t="shared" si="120"/>
        <v>12-435 arg1</v>
      </c>
      <c r="F963">
        <f t="shared" ca="1" si="121"/>
        <v>4</v>
      </c>
      <c r="G963" t="str">
        <f t="shared" si="122"/>
        <v>12-435 feedback1</v>
      </c>
      <c r="H963">
        <v>1</v>
      </c>
      <c r="I963">
        <f t="shared" ca="1" si="123"/>
        <v>4</v>
      </c>
      <c r="J963" t="str">
        <f t="shared" si="124"/>
        <v>12-435 arg2</v>
      </c>
      <c r="K963" t="str">
        <f t="shared" si="125"/>
        <v>12-435 feedback2</v>
      </c>
      <c r="L963">
        <v>1</v>
      </c>
      <c r="M963" t="s">
        <v>1285</v>
      </c>
      <c r="N963">
        <v>962</v>
      </c>
    </row>
    <row r="964" spans="1:14">
      <c r="A964">
        <v>8</v>
      </c>
      <c r="B964">
        <f t="shared" si="126"/>
        <v>12</v>
      </c>
      <c r="C964">
        <v>436</v>
      </c>
      <c r="D964">
        <f t="shared" ca="1" si="127"/>
        <v>4</v>
      </c>
      <c r="E964" t="str">
        <f t="shared" si="120"/>
        <v>12-436 arg1</v>
      </c>
      <c r="F964">
        <f t="shared" ca="1" si="121"/>
        <v>3</v>
      </c>
      <c r="G964" t="str">
        <f t="shared" si="122"/>
        <v>12-436 feedback1</v>
      </c>
      <c r="H964">
        <v>1</v>
      </c>
      <c r="I964">
        <f t="shared" ca="1" si="123"/>
        <v>3</v>
      </c>
      <c r="J964" t="str">
        <f t="shared" si="124"/>
        <v>12-436 arg2</v>
      </c>
      <c r="K964" t="str">
        <f t="shared" si="125"/>
        <v>12-436 feedback2</v>
      </c>
      <c r="L964">
        <v>1</v>
      </c>
      <c r="M964" t="s">
        <v>1285</v>
      </c>
      <c r="N964">
        <v>963</v>
      </c>
    </row>
    <row r="965" spans="1:14">
      <c r="A965">
        <v>8</v>
      </c>
      <c r="B965">
        <f t="shared" si="126"/>
        <v>12</v>
      </c>
      <c r="C965">
        <v>437</v>
      </c>
      <c r="D965">
        <f t="shared" ca="1" si="127"/>
        <v>4</v>
      </c>
      <c r="E965" t="str">
        <f t="shared" si="120"/>
        <v>12-437 arg1</v>
      </c>
      <c r="F965">
        <f t="shared" ca="1" si="121"/>
        <v>3</v>
      </c>
      <c r="G965" t="str">
        <f t="shared" si="122"/>
        <v>12-437 feedback1</v>
      </c>
      <c r="H965">
        <v>1</v>
      </c>
      <c r="I965">
        <f t="shared" ca="1" si="123"/>
        <v>3</v>
      </c>
      <c r="J965" t="str">
        <f t="shared" si="124"/>
        <v>12-437 arg2</v>
      </c>
      <c r="K965" t="str">
        <f t="shared" si="125"/>
        <v>12-437 feedback2</v>
      </c>
      <c r="L965">
        <v>1</v>
      </c>
      <c r="M965" t="s">
        <v>1285</v>
      </c>
      <c r="N965">
        <v>964</v>
      </c>
    </row>
    <row r="966" spans="1:14">
      <c r="A966">
        <v>8</v>
      </c>
      <c r="B966">
        <f t="shared" si="126"/>
        <v>12</v>
      </c>
      <c r="C966">
        <v>438</v>
      </c>
      <c r="D966">
        <f t="shared" ca="1" si="127"/>
        <v>3</v>
      </c>
      <c r="E966" t="str">
        <f t="shared" si="120"/>
        <v>12-438 arg1</v>
      </c>
      <c r="F966">
        <f t="shared" ca="1" si="121"/>
        <v>1</v>
      </c>
      <c r="G966" t="str">
        <f t="shared" si="122"/>
        <v>12-438 feedback1</v>
      </c>
      <c r="H966">
        <v>1</v>
      </c>
      <c r="I966">
        <f t="shared" ca="1" si="123"/>
        <v>2</v>
      </c>
      <c r="J966" t="str">
        <f t="shared" si="124"/>
        <v>12-438 arg2</v>
      </c>
      <c r="K966" t="str">
        <f t="shared" si="125"/>
        <v>12-438 feedback2</v>
      </c>
      <c r="L966">
        <v>1</v>
      </c>
      <c r="M966" t="s">
        <v>1285</v>
      </c>
      <c r="N966">
        <v>965</v>
      </c>
    </row>
    <row r="967" spans="1:14">
      <c r="A967">
        <v>8</v>
      </c>
      <c r="B967">
        <f t="shared" si="126"/>
        <v>12</v>
      </c>
      <c r="C967">
        <v>439</v>
      </c>
      <c r="D967">
        <f t="shared" ca="1" si="127"/>
        <v>3</v>
      </c>
      <c r="E967" t="str">
        <f t="shared" si="120"/>
        <v>12-439 arg1</v>
      </c>
      <c r="F967">
        <f t="shared" ca="1" si="121"/>
        <v>1</v>
      </c>
      <c r="G967" t="str">
        <f t="shared" si="122"/>
        <v>12-439 feedback1</v>
      </c>
      <c r="H967">
        <v>1</v>
      </c>
      <c r="I967">
        <f t="shared" ca="1" si="123"/>
        <v>2</v>
      </c>
      <c r="J967" t="str">
        <f t="shared" si="124"/>
        <v>12-439 arg2</v>
      </c>
      <c r="K967" t="str">
        <f t="shared" si="125"/>
        <v>12-439 feedback2</v>
      </c>
      <c r="L967">
        <v>1</v>
      </c>
      <c r="M967" t="s">
        <v>1285</v>
      </c>
      <c r="N967">
        <v>966</v>
      </c>
    </row>
    <row r="968" spans="1:14">
      <c r="A968">
        <v>8</v>
      </c>
      <c r="B968">
        <f t="shared" si="126"/>
        <v>12</v>
      </c>
      <c r="C968">
        <v>440</v>
      </c>
      <c r="D968">
        <f t="shared" ca="1" si="127"/>
        <v>4</v>
      </c>
      <c r="E968" t="str">
        <f t="shared" si="120"/>
        <v>12-440 arg1</v>
      </c>
      <c r="F968">
        <f t="shared" ca="1" si="121"/>
        <v>3</v>
      </c>
      <c r="G968" t="str">
        <f t="shared" si="122"/>
        <v>12-440 feedback1</v>
      </c>
      <c r="H968">
        <v>1</v>
      </c>
      <c r="I968">
        <f t="shared" ca="1" si="123"/>
        <v>4</v>
      </c>
      <c r="J968" t="str">
        <f t="shared" si="124"/>
        <v>12-440 arg2</v>
      </c>
      <c r="K968" t="str">
        <f t="shared" si="125"/>
        <v>12-440 feedback2</v>
      </c>
      <c r="L968">
        <v>1</v>
      </c>
      <c r="M968" t="s">
        <v>1285</v>
      </c>
      <c r="N968">
        <v>967</v>
      </c>
    </row>
    <row r="969" spans="1:14">
      <c r="A969">
        <v>8</v>
      </c>
      <c r="B969">
        <f t="shared" si="126"/>
        <v>12</v>
      </c>
      <c r="C969">
        <v>441</v>
      </c>
      <c r="D969">
        <f t="shared" ca="1" si="127"/>
        <v>4</v>
      </c>
      <c r="E969" t="str">
        <f t="shared" si="120"/>
        <v>12-441 arg1</v>
      </c>
      <c r="F969">
        <f t="shared" ca="1" si="121"/>
        <v>3</v>
      </c>
      <c r="G969" t="str">
        <f t="shared" si="122"/>
        <v>12-441 feedback1</v>
      </c>
      <c r="H969">
        <v>1</v>
      </c>
      <c r="I969">
        <f t="shared" ca="1" si="123"/>
        <v>4</v>
      </c>
      <c r="J969" t="str">
        <f t="shared" si="124"/>
        <v>12-441 arg2</v>
      </c>
      <c r="K969" t="str">
        <f t="shared" si="125"/>
        <v>12-441 feedback2</v>
      </c>
      <c r="L969">
        <v>1</v>
      </c>
      <c r="M969" t="s">
        <v>1285</v>
      </c>
      <c r="N969">
        <v>968</v>
      </c>
    </row>
    <row r="970" spans="1:14">
      <c r="A970">
        <v>8</v>
      </c>
      <c r="B970">
        <f t="shared" si="126"/>
        <v>12</v>
      </c>
      <c r="C970">
        <v>442</v>
      </c>
      <c r="D970">
        <f t="shared" ca="1" si="127"/>
        <v>4</v>
      </c>
      <c r="E970" t="str">
        <f t="shared" si="120"/>
        <v>12-442 arg1</v>
      </c>
      <c r="F970">
        <f t="shared" ca="1" si="121"/>
        <v>4</v>
      </c>
      <c r="G970" t="str">
        <f t="shared" si="122"/>
        <v>12-442 feedback1</v>
      </c>
      <c r="H970">
        <v>1</v>
      </c>
      <c r="I970">
        <f t="shared" ca="1" si="123"/>
        <v>4</v>
      </c>
      <c r="J970" t="str">
        <f t="shared" si="124"/>
        <v>12-442 arg2</v>
      </c>
      <c r="K970" t="str">
        <f t="shared" si="125"/>
        <v>12-442 feedback2</v>
      </c>
      <c r="L970">
        <v>1</v>
      </c>
      <c r="M970" t="s">
        <v>1285</v>
      </c>
      <c r="N970">
        <v>969</v>
      </c>
    </row>
    <row r="971" spans="1:14">
      <c r="A971">
        <v>8</v>
      </c>
      <c r="B971">
        <f t="shared" si="126"/>
        <v>12</v>
      </c>
      <c r="C971">
        <v>443</v>
      </c>
      <c r="D971">
        <f t="shared" ca="1" si="127"/>
        <v>5</v>
      </c>
      <c r="E971" t="str">
        <f t="shared" si="120"/>
        <v>12-443 arg1</v>
      </c>
      <c r="F971">
        <f t="shared" ca="1" si="121"/>
        <v>5</v>
      </c>
      <c r="G971" t="str">
        <f t="shared" si="122"/>
        <v>12-443 feedback1</v>
      </c>
      <c r="H971">
        <v>1</v>
      </c>
      <c r="I971">
        <f t="shared" ca="1" si="123"/>
        <v>5</v>
      </c>
      <c r="J971" t="str">
        <f t="shared" si="124"/>
        <v>12-443 arg2</v>
      </c>
      <c r="K971" t="str">
        <f t="shared" si="125"/>
        <v>12-443 feedback2</v>
      </c>
      <c r="L971">
        <v>1</v>
      </c>
      <c r="M971" t="s">
        <v>1285</v>
      </c>
      <c r="N971">
        <v>970</v>
      </c>
    </row>
    <row r="972" spans="1:14">
      <c r="A972">
        <v>8</v>
      </c>
      <c r="B972">
        <f t="shared" si="126"/>
        <v>12</v>
      </c>
      <c r="C972">
        <v>444</v>
      </c>
      <c r="D972">
        <f t="shared" ca="1" si="127"/>
        <v>4</v>
      </c>
      <c r="E972" t="str">
        <f t="shared" si="120"/>
        <v>12-444 arg1</v>
      </c>
      <c r="F972">
        <f t="shared" ca="1" si="121"/>
        <v>3</v>
      </c>
      <c r="G972" t="str">
        <f t="shared" si="122"/>
        <v>12-444 feedback1</v>
      </c>
      <c r="H972">
        <v>1</v>
      </c>
      <c r="I972">
        <f t="shared" ca="1" si="123"/>
        <v>3</v>
      </c>
      <c r="J972" t="str">
        <f t="shared" si="124"/>
        <v>12-444 arg2</v>
      </c>
      <c r="K972" t="str">
        <f t="shared" si="125"/>
        <v>12-444 feedback2</v>
      </c>
      <c r="L972">
        <v>1</v>
      </c>
      <c r="M972" t="s">
        <v>1285</v>
      </c>
      <c r="N972">
        <v>971</v>
      </c>
    </row>
    <row r="973" spans="1:14">
      <c r="A973">
        <v>8</v>
      </c>
      <c r="B973">
        <f t="shared" si="126"/>
        <v>12</v>
      </c>
      <c r="C973">
        <v>445</v>
      </c>
      <c r="D973">
        <f t="shared" ca="1" si="127"/>
        <v>4</v>
      </c>
      <c r="E973" t="str">
        <f t="shared" si="120"/>
        <v>12-445 arg1</v>
      </c>
      <c r="F973">
        <f t="shared" ca="1" si="121"/>
        <v>3</v>
      </c>
      <c r="G973" t="str">
        <f t="shared" si="122"/>
        <v>12-445 feedback1</v>
      </c>
      <c r="H973">
        <v>1</v>
      </c>
      <c r="I973">
        <f t="shared" ca="1" si="123"/>
        <v>3</v>
      </c>
      <c r="J973" t="str">
        <f t="shared" si="124"/>
        <v>12-445 arg2</v>
      </c>
      <c r="K973" t="str">
        <f t="shared" si="125"/>
        <v>12-445 feedback2</v>
      </c>
      <c r="L973">
        <v>1</v>
      </c>
      <c r="M973" t="s">
        <v>1285</v>
      </c>
      <c r="N973">
        <v>972</v>
      </c>
    </row>
    <row r="974" spans="1:14">
      <c r="A974">
        <v>8</v>
      </c>
      <c r="B974">
        <f t="shared" si="126"/>
        <v>12</v>
      </c>
      <c r="C974">
        <v>446</v>
      </c>
      <c r="D974">
        <f t="shared" ca="1" si="127"/>
        <v>4</v>
      </c>
      <c r="E974" t="str">
        <f t="shared" si="120"/>
        <v>12-446 arg1</v>
      </c>
      <c r="F974">
        <f t="shared" ca="1" si="121"/>
        <v>4</v>
      </c>
      <c r="G974" t="str">
        <f t="shared" si="122"/>
        <v>12-446 feedback1</v>
      </c>
      <c r="H974">
        <v>1</v>
      </c>
      <c r="I974">
        <f t="shared" ca="1" si="123"/>
        <v>4</v>
      </c>
      <c r="J974" t="str">
        <f t="shared" si="124"/>
        <v>12-446 arg2</v>
      </c>
      <c r="K974" t="str">
        <f t="shared" si="125"/>
        <v>12-446 feedback2</v>
      </c>
      <c r="L974">
        <v>1</v>
      </c>
      <c r="M974" t="s">
        <v>1285</v>
      </c>
      <c r="N974">
        <v>973</v>
      </c>
    </row>
    <row r="975" spans="1:14">
      <c r="A975">
        <v>8</v>
      </c>
      <c r="B975">
        <f t="shared" si="126"/>
        <v>12</v>
      </c>
      <c r="C975">
        <v>447</v>
      </c>
      <c r="D975">
        <f t="shared" ca="1" si="127"/>
        <v>5</v>
      </c>
      <c r="E975" t="str">
        <f t="shared" si="120"/>
        <v>12-447 arg1</v>
      </c>
      <c r="F975">
        <f t="shared" ca="1" si="121"/>
        <v>3</v>
      </c>
      <c r="G975" t="str">
        <f t="shared" si="122"/>
        <v>12-447 feedback1</v>
      </c>
      <c r="H975">
        <v>1</v>
      </c>
      <c r="I975">
        <f t="shared" ca="1" si="123"/>
        <v>4</v>
      </c>
      <c r="J975" t="str">
        <f t="shared" si="124"/>
        <v>12-447 arg2</v>
      </c>
      <c r="K975" t="str">
        <f t="shared" si="125"/>
        <v>12-447 feedback2</v>
      </c>
      <c r="L975">
        <v>1</v>
      </c>
      <c r="M975" t="s">
        <v>1285</v>
      </c>
      <c r="N975">
        <v>974</v>
      </c>
    </row>
    <row r="976" spans="1:14">
      <c r="A976">
        <v>8</v>
      </c>
      <c r="B976">
        <f t="shared" si="126"/>
        <v>12</v>
      </c>
      <c r="C976">
        <v>448</v>
      </c>
      <c r="D976">
        <f t="shared" ca="1" si="127"/>
        <v>3</v>
      </c>
      <c r="E976" t="str">
        <f t="shared" si="120"/>
        <v>12-448 arg1</v>
      </c>
      <c r="F976">
        <f t="shared" ca="1" si="121"/>
        <v>1</v>
      </c>
      <c r="G976" t="str">
        <f t="shared" si="122"/>
        <v>12-448 feedback1</v>
      </c>
      <c r="H976">
        <v>1</v>
      </c>
      <c r="I976">
        <f t="shared" ca="1" si="123"/>
        <v>1</v>
      </c>
      <c r="J976" t="str">
        <f t="shared" si="124"/>
        <v>12-448 arg2</v>
      </c>
      <c r="K976" t="str">
        <f t="shared" si="125"/>
        <v>12-448 feedback2</v>
      </c>
      <c r="L976">
        <v>1</v>
      </c>
      <c r="M976" t="s">
        <v>1285</v>
      </c>
      <c r="N976">
        <v>975</v>
      </c>
    </row>
    <row r="977" spans="1:14">
      <c r="A977">
        <v>8</v>
      </c>
      <c r="B977">
        <f t="shared" si="126"/>
        <v>12</v>
      </c>
      <c r="C977">
        <v>449</v>
      </c>
      <c r="D977">
        <f t="shared" ca="1" si="127"/>
        <v>3</v>
      </c>
      <c r="E977" t="str">
        <f t="shared" si="120"/>
        <v>12-449 arg1</v>
      </c>
      <c r="F977">
        <f t="shared" ca="1" si="121"/>
        <v>2</v>
      </c>
      <c r="G977" t="str">
        <f t="shared" si="122"/>
        <v>12-449 feedback1</v>
      </c>
      <c r="H977">
        <v>1</v>
      </c>
      <c r="I977">
        <f t="shared" ca="1" si="123"/>
        <v>3</v>
      </c>
      <c r="J977" t="str">
        <f t="shared" si="124"/>
        <v>12-449 arg2</v>
      </c>
      <c r="K977" t="str">
        <f t="shared" si="125"/>
        <v>12-449 feedback2</v>
      </c>
      <c r="L977">
        <v>1</v>
      </c>
      <c r="M977" t="s">
        <v>1285</v>
      </c>
      <c r="N977">
        <v>976</v>
      </c>
    </row>
    <row r="978" spans="1:14">
      <c r="A978">
        <v>8</v>
      </c>
      <c r="B978">
        <f t="shared" si="126"/>
        <v>12</v>
      </c>
      <c r="C978">
        <v>450</v>
      </c>
      <c r="D978">
        <f t="shared" ca="1" si="127"/>
        <v>4</v>
      </c>
      <c r="E978" t="str">
        <f t="shared" si="120"/>
        <v>12-450 arg1</v>
      </c>
      <c r="F978">
        <f t="shared" ca="1" si="121"/>
        <v>3</v>
      </c>
      <c r="G978" t="str">
        <f t="shared" si="122"/>
        <v>12-450 feedback1</v>
      </c>
      <c r="H978">
        <v>1</v>
      </c>
      <c r="I978">
        <f t="shared" ca="1" si="123"/>
        <v>3</v>
      </c>
      <c r="J978" t="str">
        <f t="shared" si="124"/>
        <v>12-450 arg2</v>
      </c>
      <c r="K978" t="str">
        <f t="shared" si="125"/>
        <v>12-450 feedback2</v>
      </c>
      <c r="L978">
        <v>1</v>
      </c>
      <c r="M978" t="s">
        <v>1285</v>
      </c>
      <c r="N978">
        <v>977</v>
      </c>
    </row>
    <row r="979" spans="1:14">
      <c r="A979">
        <v>8</v>
      </c>
      <c r="B979">
        <f t="shared" si="126"/>
        <v>12</v>
      </c>
      <c r="C979">
        <v>451</v>
      </c>
      <c r="D979">
        <f t="shared" ca="1" si="127"/>
        <v>4</v>
      </c>
      <c r="E979" t="str">
        <f t="shared" si="120"/>
        <v>12-451 arg1</v>
      </c>
      <c r="F979">
        <f t="shared" ca="1" si="121"/>
        <v>3</v>
      </c>
      <c r="G979" t="str">
        <f t="shared" si="122"/>
        <v>12-451 feedback1</v>
      </c>
      <c r="H979">
        <v>1</v>
      </c>
      <c r="I979">
        <f t="shared" ca="1" si="123"/>
        <v>4</v>
      </c>
      <c r="J979" t="str">
        <f t="shared" si="124"/>
        <v>12-451 arg2</v>
      </c>
      <c r="K979" t="str">
        <f t="shared" si="125"/>
        <v>12-451 feedback2</v>
      </c>
      <c r="L979">
        <v>1</v>
      </c>
      <c r="M979" t="s">
        <v>1285</v>
      </c>
      <c r="N979">
        <v>978</v>
      </c>
    </row>
    <row r="980" spans="1:14">
      <c r="A980">
        <v>8</v>
      </c>
      <c r="B980">
        <f t="shared" si="126"/>
        <v>12</v>
      </c>
      <c r="C980">
        <v>452</v>
      </c>
      <c r="D980">
        <f t="shared" ca="1" si="127"/>
        <v>4</v>
      </c>
      <c r="E980" t="str">
        <f t="shared" si="120"/>
        <v>12-452 arg1</v>
      </c>
      <c r="F980">
        <f t="shared" ca="1" si="121"/>
        <v>3</v>
      </c>
      <c r="G980" t="str">
        <f t="shared" si="122"/>
        <v>12-452 feedback1</v>
      </c>
      <c r="H980">
        <v>1</v>
      </c>
      <c r="I980">
        <f t="shared" ca="1" si="123"/>
        <v>4</v>
      </c>
      <c r="J980" t="str">
        <f t="shared" si="124"/>
        <v>12-452 arg2</v>
      </c>
      <c r="K980" t="str">
        <f t="shared" si="125"/>
        <v>12-452 feedback2</v>
      </c>
      <c r="L980">
        <v>1</v>
      </c>
      <c r="M980" t="s">
        <v>1285</v>
      </c>
      <c r="N980">
        <v>979</v>
      </c>
    </row>
    <row r="981" spans="1:14">
      <c r="A981">
        <v>8</v>
      </c>
      <c r="B981">
        <f t="shared" si="126"/>
        <v>12</v>
      </c>
      <c r="C981">
        <v>453</v>
      </c>
      <c r="D981">
        <f t="shared" ca="1" si="127"/>
        <v>3</v>
      </c>
      <c r="E981" t="str">
        <f t="shared" ref="E981:E1044" si="128">_xlfn.CONCAT(B981,"-",C981," arg1")</f>
        <v>12-453 arg1</v>
      </c>
      <c r="F981">
        <f t="shared" ref="F981:F1044" ca="1" si="129">D981-ROUND(2*RAND(),0)</f>
        <v>3</v>
      </c>
      <c r="G981" t="str">
        <f t="shared" ref="G981:G1044" si="130">_xlfn.CONCAT(B981,"-",C981," feedback1")</f>
        <v>12-453 feedback1</v>
      </c>
      <c r="H981">
        <v>1</v>
      </c>
      <c r="I981">
        <f t="shared" ref="I981:I1044" ca="1" si="131">MIN(5,F981+ROUND(RAND(),0))</f>
        <v>3</v>
      </c>
      <c r="J981" t="str">
        <f t="shared" ref="J981:J1044" si="132">_xlfn.CONCAT(B981,"-",C981," arg2")</f>
        <v>12-453 arg2</v>
      </c>
      <c r="K981" t="str">
        <f t="shared" ref="K981:K1044" si="133">_xlfn.CONCAT(B981,"-",C981," feedback2")</f>
        <v>12-453 feedback2</v>
      </c>
      <c r="L981">
        <v>1</v>
      </c>
      <c r="M981" t="s">
        <v>1285</v>
      </c>
      <c r="N981">
        <v>980</v>
      </c>
    </row>
    <row r="982" spans="1:14">
      <c r="A982">
        <v>8</v>
      </c>
      <c r="B982">
        <f t="shared" si="126"/>
        <v>12</v>
      </c>
      <c r="C982">
        <v>454</v>
      </c>
      <c r="D982">
        <f t="shared" ca="1" si="127"/>
        <v>4</v>
      </c>
      <c r="E982" t="str">
        <f t="shared" si="128"/>
        <v>12-454 arg1</v>
      </c>
      <c r="F982">
        <f t="shared" ca="1" si="129"/>
        <v>2</v>
      </c>
      <c r="G982" t="str">
        <f t="shared" si="130"/>
        <v>12-454 feedback1</v>
      </c>
      <c r="H982">
        <v>1</v>
      </c>
      <c r="I982">
        <f t="shared" ca="1" si="131"/>
        <v>3</v>
      </c>
      <c r="J982" t="str">
        <f t="shared" si="132"/>
        <v>12-454 arg2</v>
      </c>
      <c r="K982" t="str">
        <f t="shared" si="133"/>
        <v>12-454 feedback2</v>
      </c>
      <c r="L982">
        <v>1</v>
      </c>
      <c r="M982" t="s">
        <v>1285</v>
      </c>
      <c r="N982">
        <v>981</v>
      </c>
    </row>
    <row r="983" spans="1:14">
      <c r="A983">
        <v>8</v>
      </c>
      <c r="B983">
        <f t="shared" si="126"/>
        <v>12</v>
      </c>
      <c r="C983">
        <v>455</v>
      </c>
      <c r="D983">
        <f t="shared" ca="1" si="127"/>
        <v>4</v>
      </c>
      <c r="E983" t="str">
        <f t="shared" si="128"/>
        <v>12-455 arg1</v>
      </c>
      <c r="F983">
        <f t="shared" ca="1" si="129"/>
        <v>2</v>
      </c>
      <c r="G983" t="str">
        <f t="shared" si="130"/>
        <v>12-455 feedback1</v>
      </c>
      <c r="H983">
        <v>1</v>
      </c>
      <c r="I983">
        <f t="shared" ca="1" si="131"/>
        <v>2</v>
      </c>
      <c r="J983" t="str">
        <f t="shared" si="132"/>
        <v>12-455 arg2</v>
      </c>
      <c r="K983" t="str">
        <f t="shared" si="133"/>
        <v>12-455 feedback2</v>
      </c>
      <c r="L983">
        <v>1</v>
      </c>
      <c r="M983" t="s">
        <v>1285</v>
      </c>
      <c r="N983">
        <v>982</v>
      </c>
    </row>
    <row r="984" spans="1:14">
      <c r="A984">
        <v>8</v>
      </c>
      <c r="B984">
        <f t="shared" si="126"/>
        <v>12</v>
      </c>
      <c r="C984">
        <v>456</v>
      </c>
      <c r="D984">
        <f t="shared" ca="1" si="127"/>
        <v>4</v>
      </c>
      <c r="E984" t="str">
        <f t="shared" si="128"/>
        <v>12-456 arg1</v>
      </c>
      <c r="F984">
        <f t="shared" ca="1" si="129"/>
        <v>3</v>
      </c>
      <c r="G984" t="str">
        <f t="shared" si="130"/>
        <v>12-456 feedback1</v>
      </c>
      <c r="H984">
        <v>1</v>
      </c>
      <c r="I984">
        <f t="shared" ca="1" si="131"/>
        <v>3</v>
      </c>
      <c r="J984" t="str">
        <f t="shared" si="132"/>
        <v>12-456 arg2</v>
      </c>
      <c r="K984" t="str">
        <f t="shared" si="133"/>
        <v>12-456 feedback2</v>
      </c>
      <c r="L984">
        <v>1</v>
      </c>
      <c r="M984" t="s">
        <v>1285</v>
      </c>
      <c r="N984">
        <v>983</v>
      </c>
    </row>
    <row r="985" spans="1:14">
      <c r="A985">
        <v>8</v>
      </c>
      <c r="B985">
        <f t="shared" si="126"/>
        <v>12</v>
      </c>
      <c r="C985">
        <v>457</v>
      </c>
      <c r="D985">
        <f t="shared" ca="1" si="127"/>
        <v>4</v>
      </c>
      <c r="E985" t="str">
        <f t="shared" si="128"/>
        <v>12-457 arg1</v>
      </c>
      <c r="F985">
        <f t="shared" ca="1" si="129"/>
        <v>3</v>
      </c>
      <c r="G985" t="str">
        <f t="shared" si="130"/>
        <v>12-457 feedback1</v>
      </c>
      <c r="H985">
        <v>1</v>
      </c>
      <c r="I985">
        <f t="shared" ca="1" si="131"/>
        <v>3</v>
      </c>
      <c r="J985" t="str">
        <f t="shared" si="132"/>
        <v>12-457 arg2</v>
      </c>
      <c r="K985" t="str">
        <f t="shared" si="133"/>
        <v>12-457 feedback2</v>
      </c>
      <c r="L985">
        <v>1</v>
      </c>
      <c r="M985" t="s">
        <v>1285</v>
      </c>
      <c r="N985">
        <v>984</v>
      </c>
    </row>
    <row r="986" spans="1:14">
      <c r="A986">
        <v>8</v>
      </c>
      <c r="B986">
        <f t="shared" si="126"/>
        <v>12</v>
      </c>
      <c r="C986">
        <v>458</v>
      </c>
      <c r="D986">
        <f t="shared" ca="1" si="127"/>
        <v>4</v>
      </c>
      <c r="E986" t="str">
        <f t="shared" si="128"/>
        <v>12-458 arg1</v>
      </c>
      <c r="F986">
        <f t="shared" ca="1" si="129"/>
        <v>4</v>
      </c>
      <c r="G986" t="str">
        <f t="shared" si="130"/>
        <v>12-458 feedback1</v>
      </c>
      <c r="H986">
        <v>1</v>
      </c>
      <c r="I986">
        <f t="shared" ca="1" si="131"/>
        <v>4</v>
      </c>
      <c r="J986" t="str">
        <f t="shared" si="132"/>
        <v>12-458 arg2</v>
      </c>
      <c r="K986" t="str">
        <f t="shared" si="133"/>
        <v>12-458 feedback2</v>
      </c>
      <c r="L986">
        <v>1</v>
      </c>
      <c r="M986" t="s">
        <v>1285</v>
      </c>
      <c r="N986">
        <v>985</v>
      </c>
    </row>
    <row r="987" spans="1:14">
      <c r="A987">
        <v>8</v>
      </c>
      <c r="B987">
        <f t="shared" si="126"/>
        <v>12</v>
      </c>
      <c r="C987">
        <v>459</v>
      </c>
      <c r="D987">
        <f t="shared" ca="1" si="127"/>
        <v>4</v>
      </c>
      <c r="E987" t="str">
        <f t="shared" si="128"/>
        <v>12-459 arg1</v>
      </c>
      <c r="F987">
        <f t="shared" ca="1" si="129"/>
        <v>2</v>
      </c>
      <c r="G987" t="str">
        <f t="shared" si="130"/>
        <v>12-459 feedback1</v>
      </c>
      <c r="H987">
        <v>1</v>
      </c>
      <c r="I987">
        <f t="shared" ca="1" si="131"/>
        <v>2</v>
      </c>
      <c r="J987" t="str">
        <f t="shared" si="132"/>
        <v>12-459 arg2</v>
      </c>
      <c r="K987" t="str">
        <f t="shared" si="133"/>
        <v>12-459 feedback2</v>
      </c>
      <c r="L987">
        <v>1</v>
      </c>
      <c r="M987" t="s">
        <v>1285</v>
      </c>
      <c r="N987">
        <v>986</v>
      </c>
    </row>
    <row r="988" spans="1:14">
      <c r="A988">
        <v>8</v>
      </c>
      <c r="B988">
        <f t="shared" si="126"/>
        <v>12</v>
      </c>
      <c r="C988">
        <v>460</v>
      </c>
      <c r="D988">
        <f t="shared" ca="1" si="127"/>
        <v>3</v>
      </c>
      <c r="E988" t="str">
        <f t="shared" si="128"/>
        <v>12-460 arg1</v>
      </c>
      <c r="F988">
        <f t="shared" ca="1" si="129"/>
        <v>2</v>
      </c>
      <c r="G988" t="str">
        <f t="shared" si="130"/>
        <v>12-460 feedback1</v>
      </c>
      <c r="H988">
        <v>1</v>
      </c>
      <c r="I988">
        <f t="shared" ca="1" si="131"/>
        <v>2</v>
      </c>
      <c r="J988" t="str">
        <f t="shared" si="132"/>
        <v>12-460 arg2</v>
      </c>
      <c r="K988" t="str">
        <f t="shared" si="133"/>
        <v>12-460 feedback2</v>
      </c>
      <c r="L988">
        <v>1</v>
      </c>
      <c r="M988" t="s">
        <v>1285</v>
      </c>
      <c r="N988">
        <v>987</v>
      </c>
    </row>
    <row r="989" spans="1:14">
      <c r="A989">
        <v>8</v>
      </c>
      <c r="B989">
        <f t="shared" si="126"/>
        <v>12</v>
      </c>
      <c r="C989">
        <v>461</v>
      </c>
      <c r="D989">
        <f t="shared" ca="1" si="127"/>
        <v>5</v>
      </c>
      <c r="E989" t="str">
        <f t="shared" si="128"/>
        <v>12-461 arg1</v>
      </c>
      <c r="F989">
        <f t="shared" ca="1" si="129"/>
        <v>4</v>
      </c>
      <c r="G989" t="str">
        <f t="shared" si="130"/>
        <v>12-461 feedback1</v>
      </c>
      <c r="H989">
        <v>1</v>
      </c>
      <c r="I989">
        <f t="shared" ca="1" si="131"/>
        <v>4</v>
      </c>
      <c r="J989" t="str">
        <f t="shared" si="132"/>
        <v>12-461 arg2</v>
      </c>
      <c r="K989" t="str">
        <f t="shared" si="133"/>
        <v>12-461 feedback2</v>
      </c>
      <c r="L989">
        <v>1</v>
      </c>
      <c r="M989" t="s">
        <v>1285</v>
      </c>
      <c r="N989">
        <v>988</v>
      </c>
    </row>
    <row r="990" spans="1:14">
      <c r="A990">
        <v>8</v>
      </c>
      <c r="B990">
        <f t="shared" si="126"/>
        <v>12</v>
      </c>
      <c r="C990">
        <v>462</v>
      </c>
      <c r="D990">
        <f t="shared" ca="1" si="127"/>
        <v>4</v>
      </c>
      <c r="E990" t="str">
        <f t="shared" si="128"/>
        <v>12-462 arg1</v>
      </c>
      <c r="F990">
        <f t="shared" ca="1" si="129"/>
        <v>3</v>
      </c>
      <c r="G990" t="str">
        <f t="shared" si="130"/>
        <v>12-462 feedback1</v>
      </c>
      <c r="H990">
        <v>1</v>
      </c>
      <c r="I990">
        <f t="shared" ca="1" si="131"/>
        <v>3</v>
      </c>
      <c r="J990" t="str">
        <f t="shared" si="132"/>
        <v>12-462 arg2</v>
      </c>
      <c r="K990" t="str">
        <f t="shared" si="133"/>
        <v>12-462 feedback2</v>
      </c>
      <c r="L990">
        <v>1</v>
      </c>
      <c r="M990" t="s">
        <v>1285</v>
      </c>
      <c r="N990">
        <v>989</v>
      </c>
    </row>
    <row r="991" spans="1:14">
      <c r="A991">
        <v>8</v>
      </c>
      <c r="B991">
        <f t="shared" si="126"/>
        <v>12</v>
      </c>
      <c r="C991">
        <v>463</v>
      </c>
      <c r="D991">
        <f t="shared" ca="1" si="127"/>
        <v>4</v>
      </c>
      <c r="E991" t="str">
        <f t="shared" si="128"/>
        <v>12-463 arg1</v>
      </c>
      <c r="F991">
        <f t="shared" ca="1" si="129"/>
        <v>4</v>
      </c>
      <c r="G991" t="str">
        <f t="shared" si="130"/>
        <v>12-463 feedback1</v>
      </c>
      <c r="H991">
        <v>1</v>
      </c>
      <c r="I991">
        <f t="shared" ca="1" si="131"/>
        <v>4</v>
      </c>
      <c r="J991" t="str">
        <f t="shared" si="132"/>
        <v>12-463 arg2</v>
      </c>
      <c r="K991" t="str">
        <f t="shared" si="133"/>
        <v>12-463 feedback2</v>
      </c>
      <c r="L991">
        <v>1</v>
      </c>
      <c r="M991" t="s">
        <v>1285</v>
      </c>
      <c r="N991">
        <v>990</v>
      </c>
    </row>
    <row r="992" spans="1:14">
      <c r="A992">
        <v>8</v>
      </c>
      <c r="B992">
        <f t="shared" si="126"/>
        <v>12</v>
      </c>
      <c r="C992">
        <v>464</v>
      </c>
      <c r="D992">
        <f t="shared" ca="1" si="127"/>
        <v>3</v>
      </c>
      <c r="E992" t="str">
        <f t="shared" si="128"/>
        <v>12-464 arg1</v>
      </c>
      <c r="F992">
        <f t="shared" ca="1" si="129"/>
        <v>3</v>
      </c>
      <c r="G992" t="str">
        <f t="shared" si="130"/>
        <v>12-464 feedback1</v>
      </c>
      <c r="H992">
        <v>1</v>
      </c>
      <c r="I992">
        <f t="shared" ca="1" si="131"/>
        <v>4</v>
      </c>
      <c r="J992" t="str">
        <f t="shared" si="132"/>
        <v>12-464 arg2</v>
      </c>
      <c r="K992" t="str">
        <f t="shared" si="133"/>
        <v>12-464 feedback2</v>
      </c>
      <c r="L992">
        <v>1</v>
      </c>
      <c r="M992" t="s">
        <v>1285</v>
      </c>
      <c r="N992">
        <v>991</v>
      </c>
    </row>
    <row r="993" spans="1:14">
      <c r="A993">
        <v>8</v>
      </c>
      <c r="B993">
        <f t="shared" si="126"/>
        <v>12</v>
      </c>
      <c r="C993">
        <v>465</v>
      </c>
      <c r="D993">
        <f t="shared" ca="1" si="127"/>
        <v>5</v>
      </c>
      <c r="E993" t="str">
        <f t="shared" si="128"/>
        <v>12-465 arg1</v>
      </c>
      <c r="F993">
        <f t="shared" ca="1" si="129"/>
        <v>5</v>
      </c>
      <c r="G993" t="str">
        <f t="shared" si="130"/>
        <v>12-465 feedback1</v>
      </c>
      <c r="H993">
        <v>1</v>
      </c>
      <c r="I993">
        <f t="shared" ca="1" si="131"/>
        <v>5</v>
      </c>
      <c r="J993" t="str">
        <f t="shared" si="132"/>
        <v>12-465 arg2</v>
      </c>
      <c r="K993" t="str">
        <f t="shared" si="133"/>
        <v>12-465 feedback2</v>
      </c>
      <c r="L993">
        <v>1</v>
      </c>
      <c r="M993" t="s">
        <v>1285</v>
      </c>
      <c r="N993">
        <v>992</v>
      </c>
    </row>
    <row r="994" spans="1:14">
      <c r="A994">
        <v>8</v>
      </c>
      <c r="B994">
        <f t="shared" si="126"/>
        <v>12</v>
      </c>
      <c r="C994">
        <v>466</v>
      </c>
      <c r="D994">
        <f t="shared" ca="1" si="127"/>
        <v>4</v>
      </c>
      <c r="E994" t="str">
        <f t="shared" si="128"/>
        <v>12-466 arg1</v>
      </c>
      <c r="F994">
        <f t="shared" ca="1" si="129"/>
        <v>3</v>
      </c>
      <c r="G994" t="str">
        <f t="shared" si="130"/>
        <v>12-466 feedback1</v>
      </c>
      <c r="H994">
        <v>1</v>
      </c>
      <c r="I994">
        <f t="shared" ca="1" si="131"/>
        <v>4</v>
      </c>
      <c r="J994" t="str">
        <f t="shared" si="132"/>
        <v>12-466 arg2</v>
      </c>
      <c r="K994" t="str">
        <f t="shared" si="133"/>
        <v>12-466 feedback2</v>
      </c>
      <c r="L994">
        <v>1</v>
      </c>
      <c r="M994" t="s">
        <v>1285</v>
      </c>
      <c r="N994">
        <v>993</v>
      </c>
    </row>
    <row r="995" spans="1:14">
      <c r="A995">
        <v>8</v>
      </c>
      <c r="B995">
        <f t="shared" si="126"/>
        <v>12</v>
      </c>
      <c r="C995">
        <v>467</v>
      </c>
      <c r="D995">
        <f t="shared" ca="1" si="127"/>
        <v>5</v>
      </c>
      <c r="E995" t="str">
        <f t="shared" si="128"/>
        <v>12-467 arg1</v>
      </c>
      <c r="F995">
        <f t="shared" ca="1" si="129"/>
        <v>5</v>
      </c>
      <c r="G995" t="str">
        <f t="shared" si="130"/>
        <v>12-467 feedback1</v>
      </c>
      <c r="H995">
        <v>1</v>
      </c>
      <c r="I995">
        <f t="shared" ca="1" si="131"/>
        <v>5</v>
      </c>
      <c r="J995" t="str">
        <f t="shared" si="132"/>
        <v>12-467 arg2</v>
      </c>
      <c r="K995" t="str">
        <f t="shared" si="133"/>
        <v>12-467 feedback2</v>
      </c>
      <c r="L995">
        <v>1</v>
      </c>
      <c r="M995" t="s">
        <v>1285</v>
      </c>
      <c r="N995">
        <v>994</v>
      </c>
    </row>
    <row r="996" spans="1:14">
      <c r="A996">
        <v>8</v>
      </c>
      <c r="B996">
        <f t="shared" si="126"/>
        <v>12</v>
      </c>
      <c r="C996">
        <v>468</v>
      </c>
      <c r="D996">
        <f t="shared" ca="1" si="127"/>
        <v>4</v>
      </c>
      <c r="E996" t="str">
        <f t="shared" si="128"/>
        <v>12-468 arg1</v>
      </c>
      <c r="F996">
        <f t="shared" ca="1" si="129"/>
        <v>2</v>
      </c>
      <c r="G996" t="str">
        <f t="shared" si="130"/>
        <v>12-468 feedback1</v>
      </c>
      <c r="H996">
        <v>1</v>
      </c>
      <c r="I996">
        <f t="shared" ca="1" si="131"/>
        <v>3</v>
      </c>
      <c r="J996" t="str">
        <f t="shared" si="132"/>
        <v>12-468 arg2</v>
      </c>
      <c r="K996" t="str">
        <f t="shared" si="133"/>
        <v>12-468 feedback2</v>
      </c>
      <c r="L996">
        <v>1</v>
      </c>
      <c r="M996" t="s">
        <v>1285</v>
      </c>
      <c r="N996">
        <v>995</v>
      </c>
    </row>
    <row r="997" spans="1:14">
      <c r="A997">
        <v>8</v>
      </c>
      <c r="B997">
        <f t="shared" si="126"/>
        <v>12</v>
      </c>
      <c r="C997">
        <v>469</v>
      </c>
      <c r="D997">
        <f t="shared" ca="1" si="127"/>
        <v>5</v>
      </c>
      <c r="E997" t="str">
        <f t="shared" si="128"/>
        <v>12-469 arg1</v>
      </c>
      <c r="F997">
        <f t="shared" ca="1" si="129"/>
        <v>3</v>
      </c>
      <c r="G997" t="str">
        <f t="shared" si="130"/>
        <v>12-469 feedback1</v>
      </c>
      <c r="H997">
        <v>1</v>
      </c>
      <c r="I997">
        <f t="shared" ca="1" si="131"/>
        <v>3</v>
      </c>
      <c r="J997" t="str">
        <f t="shared" si="132"/>
        <v>12-469 arg2</v>
      </c>
      <c r="K997" t="str">
        <f t="shared" si="133"/>
        <v>12-469 feedback2</v>
      </c>
      <c r="L997">
        <v>1</v>
      </c>
      <c r="M997" t="s">
        <v>1285</v>
      </c>
      <c r="N997">
        <v>996</v>
      </c>
    </row>
    <row r="998" spans="1:14">
      <c r="A998">
        <v>8</v>
      </c>
      <c r="B998">
        <f t="shared" si="126"/>
        <v>12</v>
      </c>
      <c r="C998">
        <v>470</v>
      </c>
      <c r="D998">
        <f t="shared" ca="1" si="127"/>
        <v>3</v>
      </c>
      <c r="E998" t="str">
        <f t="shared" si="128"/>
        <v>12-470 arg1</v>
      </c>
      <c r="F998">
        <f t="shared" ca="1" si="129"/>
        <v>1</v>
      </c>
      <c r="G998" t="str">
        <f t="shared" si="130"/>
        <v>12-470 feedback1</v>
      </c>
      <c r="H998">
        <v>1</v>
      </c>
      <c r="I998">
        <f t="shared" ca="1" si="131"/>
        <v>1</v>
      </c>
      <c r="J998" t="str">
        <f t="shared" si="132"/>
        <v>12-470 arg2</v>
      </c>
      <c r="K998" t="str">
        <f t="shared" si="133"/>
        <v>12-470 feedback2</v>
      </c>
      <c r="L998">
        <v>1</v>
      </c>
      <c r="M998" t="s">
        <v>1285</v>
      </c>
      <c r="N998">
        <v>997</v>
      </c>
    </row>
    <row r="999" spans="1:14">
      <c r="A999">
        <v>8</v>
      </c>
      <c r="B999">
        <f t="shared" si="126"/>
        <v>12</v>
      </c>
      <c r="C999">
        <v>471</v>
      </c>
      <c r="D999">
        <f t="shared" ca="1" si="127"/>
        <v>4</v>
      </c>
      <c r="E999" t="str">
        <f t="shared" si="128"/>
        <v>12-471 arg1</v>
      </c>
      <c r="F999">
        <f t="shared" ca="1" si="129"/>
        <v>3</v>
      </c>
      <c r="G999" t="str">
        <f t="shared" si="130"/>
        <v>12-471 feedback1</v>
      </c>
      <c r="H999">
        <v>1</v>
      </c>
      <c r="I999">
        <f t="shared" ca="1" si="131"/>
        <v>4</v>
      </c>
      <c r="J999" t="str">
        <f t="shared" si="132"/>
        <v>12-471 arg2</v>
      </c>
      <c r="K999" t="str">
        <f t="shared" si="133"/>
        <v>12-471 feedback2</v>
      </c>
      <c r="L999">
        <v>1</v>
      </c>
      <c r="M999" t="s">
        <v>1285</v>
      </c>
      <c r="N999">
        <v>998</v>
      </c>
    </row>
    <row r="1000" spans="1:14">
      <c r="A1000">
        <v>8</v>
      </c>
      <c r="B1000">
        <f t="shared" si="126"/>
        <v>12</v>
      </c>
      <c r="C1000">
        <v>472</v>
      </c>
      <c r="D1000">
        <f t="shared" ca="1" si="127"/>
        <v>4</v>
      </c>
      <c r="E1000" t="str">
        <f t="shared" si="128"/>
        <v>12-472 arg1</v>
      </c>
      <c r="F1000">
        <f t="shared" ca="1" si="129"/>
        <v>4</v>
      </c>
      <c r="G1000" t="str">
        <f t="shared" si="130"/>
        <v>12-472 feedback1</v>
      </c>
      <c r="H1000">
        <v>1</v>
      </c>
      <c r="I1000">
        <f t="shared" ca="1" si="131"/>
        <v>4</v>
      </c>
      <c r="J1000" t="str">
        <f t="shared" si="132"/>
        <v>12-472 arg2</v>
      </c>
      <c r="K1000" t="str">
        <f t="shared" si="133"/>
        <v>12-472 feedback2</v>
      </c>
      <c r="L1000">
        <v>1</v>
      </c>
      <c r="M1000" t="s">
        <v>1285</v>
      </c>
      <c r="N1000">
        <v>999</v>
      </c>
    </row>
    <row r="1001" spans="1:14">
      <c r="A1001">
        <v>8</v>
      </c>
      <c r="B1001">
        <f t="shared" si="126"/>
        <v>12</v>
      </c>
      <c r="C1001">
        <v>473</v>
      </c>
      <c r="D1001">
        <f t="shared" ca="1" si="127"/>
        <v>5</v>
      </c>
      <c r="E1001" t="str">
        <f t="shared" si="128"/>
        <v>12-473 arg1</v>
      </c>
      <c r="F1001">
        <f t="shared" ca="1" si="129"/>
        <v>5</v>
      </c>
      <c r="G1001" t="str">
        <f t="shared" si="130"/>
        <v>12-473 feedback1</v>
      </c>
      <c r="H1001">
        <v>1</v>
      </c>
      <c r="I1001">
        <f t="shared" ca="1" si="131"/>
        <v>5</v>
      </c>
      <c r="J1001" t="str">
        <f t="shared" si="132"/>
        <v>12-473 arg2</v>
      </c>
      <c r="K1001" t="str">
        <f t="shared" si="133"/>
        <v>12-473 feedback2</v>
      </c>
      <c r="L1001">
        <v>1</v>
      </c>
      <c r="M1001" t="s">
        <v>1285</v>
      </c>
      <c r="N1001">
        <v>1000</v>
      </c>
    </row>
    <row r="1002" spans="1:14">
      <c r="A1002">
        <v>8</v>
      </c>
      <c r="B1002">
        <f t="shared" si="126"/>
        <v>12</v>
      </c>
      <c r="C1002">
        <v>474</v>
      </c>
      <c r="D1002">
        <f t="shared" ca="1" si="127"/>
        <v>3</v>
      </c>
      <c r="E1002" t="str">
        <f t="shared" si="128"/>
        <v>12-474 arg1</v>
      </c>
      <c r="F1002">
        <f t="shared" ca="1" si="129"/>
        <v>2</v>
      </c>
      <c r="G1002" t="str">
        <f t="shared" si="130"/>
        <v>12-474 feedback1</v>
      </c>
      <c r="H1002">
        <v>1</v>
      </c>
      <c r="I1002">
        <f t="shared" ca="1" si="131"/>
        <v>3</v>
      </c>
      <c r="J1002" t="str">
        <f t="shared" si="132"/>
        <v>12-474 arg2</v>
      </c>
      <c r="K1002" t="str">
        <f t="shared" si="133"/>
        <v>12-474 feedback2</v>
      </c>
      <c r="L1002">
        <v>1</v>
      </c>
      <c r="M1002" t="s">
        <v>1285</v>
      </c>
      <c r="N1002">
        <v>1001</v>
      </c>
    </row>
    <row r="1003" spans="1:14">
      <c r="A1003">
        <v>8</v>
      </c>
      <c r="B1003">
        <f t="shared" si="126"/>
        <v>12</v>
      </c>
      <c r="C1003">
        <v>475</v>
      </c>
      <c r="D1003">
        <f t="shared" ca="1" si="127"/>
        <v>4</v>
      </c>
      <c r="E1003" t="str">
        <f t="shared" si="128"/>
        <v>12-475 arg1</v>
      </c>
      <c r="F1003">
        <f t="shared" ca="1" si="129"/>
        <v>2</v>
      </c>
      <c r="G1003" t="str">
        <f t="shared" si="130"/>
        <v>12-475 feedback1</v>
      </c>
      <c r="H1003">
        <v>1</v>
      </c>
      <c r="I1003">
        <f t="shared" ca="1" si="131"/>
        <v>3</v>
      </c>
      <c r="J1003" t="str">
        <f t="shared" si="132"/>
        <v>12-475 arg2</v>
      </c>
      <c r="K1003" t="str">
        <f t="shared" si="133"/>
        <v>12-475 feedback2</v>
      </c>
      <c r="L1003">
        <v>1</v>
      </c>
      <c r="M1003" t="s">
        <v>1285</v>
      </c>
      <c r="N1003">
        <v>1002</v>
      </c>
    </row>
    <row r="1004" spans="1:14">
      <c r="A1004">
        <v>8</v>
      </c>
      <c r="B1004">
        <f t="shared" si="126"/>
        <v>12</v>
      </c>
      <c r="C1004">
        <v>476</v>
      </c>
      <c r="D1004">
        <f t="shared" ca="1" si="127"/>
        <v>3</v>
      </c>
      <c r="E1004" t="str">
        <f t="shared" si="128"/>
        <v>12-476 arg1</v>
      </c>
      <c r="F1004">
        <f t="shared" ca="1" si="129"/>
        <v>3</v>
      </c>
      <c r="G1004" t="str">
        <f t="shared" si="130"/>
        <v>12-476 feedback1</v>
      </c>
      <c r="H1004">
        <v>1</v>
      </c>
      <c r="I1004">
        <f t="shared" ca="1" si="131"/>
        <v>3</v>
      </c>
      <c r="J1004" t="str">
        <f t="shared" si="132"/>
        <v>12-476 arg2</v>
      </c>
      <c r="K1004" t="str">
        <f t="shared" si="133"/>
        <v>12-476 feedback2</v>
      </c>
      <c r="L1004">
        <v>1</v>
      </c>
      <c r="M1004" t="s">
        <v>1285</v>
      </c>
      <c r="N1004">
        <v>1003</v>
      </c>
    </row>
    <row r="1005" spans="1:14">
      <c r="A1005">
        <v>8</v>
      </c>
      <c r="B1005">
        <f t="shared" si="126"/>
        <v>12</v>
      </c>
      <c r="C1005">
        <v>477</v>
      </c>
      <c r="D1005">
        <f t="shared" ca="1" si="127"/>
        <v>4</v>
      </c>
      <c r="E1005" t="str">
        <f t="shared" si="128"/>
        <v>12-477 arg1</v>
      </c>
      <c r="F1005">
        <f t="shared" ca="1" si="129"/>
        <v>3</v>
      </c>
      <c r="G1005" t="str">
        <f t="shared" si="130"/>
        <v>12-477 feedback1</v>
      </c>
      <c r="H1005">
        <v>1</v>
      </c>
      <c r="I1005">
        <f t="shared" ca="1" si="131"/>
        <v>3</v>
      </c>
      <c r="J1005" t="str">
        <f t="shared" si="132"/>
        <v>12-477 arg2</v>
      </c>
      <c r="K1005" t="str">
        <f t="shared" si="133"/>
        <v>12-477 feedback2</v>
      </c>
      <c r="L1005">
        <v>1</v>
      </c>
      <c r="M1005" t="s">
        <v>1285</v>
      </c>
      <c r="N1005">
        <v>1004</v>
      </c>
    </row>
    <row r="1006" spans="1:14">
      <c r="A1006">
        <v>8</v>
      </c>
      <c r="B1006">
        <f t="shared" si="126"/>
        <v>12</v>
      </c>
      <c r="C1006">
        <v>478</v>
      </c>
      <c r="D1006">
        <f t="shared" ca="1" si="127"/>
        <v>4</v>
      </c>
      <c r="E1006" t="str">
        <f t="shared" si="128"/>
        <v>12-478 arg1</v>
      </c>
      <c r="F1006">
        <f t="shared" ca="1" si="129"/>
        <v>2</v>
      </c>
      <c r="G1006" t="str">
        <f t="shared" si="130"/>
        <v>12-478 feedback1</v>
      </c>
      <c r="H1006">
        <v>1</v>
      </c>
      <c r="I1006">
        <f t="shared" ca="1" si="131"/>
        <v>2</v>
      </c>
      <c r="J1006" t="str">
        <f t="shared" si="132"/>
        <v>12-478 arg2</v>
      </c>
      <c r="K1006" t="str">
        <f t="shared" si="133"/>
        <v>12-478 feedback2</v>
      </c>
      <c r="L1006">
        <v>1</v>
      </c>
      <c r="M1006" t="s">
        <v>1285</v>
      </c>
      <c r="N1006">
        <v>1005</v>
      </c>
    </row>
    <row r="1007" spans="1:14">
      <c r="A1007">
        <v>8</v>
      </c>
      <c r="B1007">
        <f t="shared" si="126"/>
        <v>12</v>
      </c>
      <c r="C1007">
        <v>479</v>
      </c>
      <c r="D1007">
        <f t="shared" ca="1" si="127"/>
        <v>3</v>
      </c>
      <c r="E1007" t="str">
        <f t="shared" si="128"/>
        <v>12-479 arg1</v>
      </c>
      <c r="F1007">
        <f t="shared" ca="1" si="129"/>
        <v>2</v>
      </c>
      <c r="G1007" t="str">
        <f t="shared" si="130"/>
        <v>12-479 feedback1</v>
      </c>
      <c r="H1007">
        <v>1</v>
      </c>
      <c r="I1007">
        <f t="shared" ca="1" si="131"/>
        <v>3</v>
      </c>
      <c r="J1007" t="str">
        <f t="shared" si="132"/>
        <v>12-479 arg2</v>
      </c>
      <c r="K1007" t="str">
        <f t="shared" si="133"/>
        <v>12-479 feedback2</v>
      </c>
      <c r="L1007">
        <v>1</v>
      </c>
      <c r="M1007" t="s">
        <v>1285</v>
      </c>
      <c r="N1007">
        <v>1006</v>
      </c>
    </row>
    <row r="1008" spans="1:14">
      <c r="A1008">
        <v>8</v>
      </c>
      <c r="B1008">
        <f t="shared" si="126"/>
        <v>12</v>
      </c>
      <c r="C1008">
        <v>480</v>
      </c>
      <c r="D1008">
        <f t="shared" ca="1" si="127"/>
        <v>5</v>
      </c>
      <c r="E1008" t="str">
        <f t="shared" si="128"/>
        <v>12-480 arg1</v>
      </c>
      <c r="F1008">
        <f t="shared" ca="1" si="129"/>
        <v>4</v>
      </c>
      <c r="G1008" t="str">
        <f t="shared" si="130"/>
        <v>12-480 feedback1</v>
      </c>
      <c r="H1008">
        <v>1</v>
      </c>
      <c r="I1008">
        <f t="shared" ca="1" si="131"/>
        <v>4</v>
      </c>
      <c r="J1008" t="str">
        <f t="shared" si="132"/>
        <v>12-480 arg2</v>
      </c>
      <c r="K1008" t="str">
        <f t="shared" si="133"/>
        <v>12-480 feedback2</v>
      </c>
      <c r="L1008">
        <v>1</v>
      </c>
      <c r="M1008" t="s">
        <v>1285</v>
      </c>
      <c r="N1008">
        <v>1007</v>
      </c>
    </row>
    <row r="1009" spans="1:14">
      <c r="A1009">
        <v>8</v>
      </c>
      <c r="B1009">
        <f t="shared" si="126"/>
        <v>12</v>
      </c>
      <c r="C1009">
        <v>481</v>
      </c>
      <c r="D1009">
        <f t="shared" ca="1" si="127"/>
        <v>4</v>
      </c>
      <c r="E1009" t="str">
        <f t="shared" si="128"/>
        <v>12-481 arg1</v>
      </c>
      <c r="F1009">
        <f t="shared" ca="1" si="129"/>
        <v>4</v>
      </c>
      <c r="G1009" t="str">
        <f t="shared" si="130"/>
        <v>12-481 feedback1</v>
      </c>
      <c r="H1009">
        <v>1</v>
      </c>
      <c r="I1009">
        <f t="shared" ca="1" si="131"/>
        <v>4</v>
      </c>
      <c r="J1009" t="str">
        <f t="shared" si="132"/>
        <v>12-481 arg2</v>
      </c>
      <c r="K1009" t="str">
        <f t="shared" si="133"/>
        <v>12-481 feedback2</v>
      </c>
      <c r="L1009">
        <v>1</v>
      </c>
      <c r="M1009" t="s">
        <v>1285</v>
      </c>
      <c r="N1009">
        <v>1008</v>
      </c>
    </row>
    <row r="1010" spans="1:14">
      <c r="A1010">
        <v>8</v>
      </c>
      <c r="B1010">
        <f t="shared" si="126"/>
        <v>12</v>
      </c>
      <c r="C1010">
        <v>482</v>
      </c>
      <c r="D1010">
        <f t="shared" ca="1" si="127"/>
        <v>4</v>
      </c>
      <c r="E1010" t="str">
        <f t="shared" si="128"/>
        <v>12-482 arg1</v>
      </c>
      <c r="F1010">
        <f t="shared" ca="1" si="129"/>
        <v>3</v>
      </c>
      <c r="G1010" t="str">
        <f t="shared" si="130"/>
        <v>12-482 feedback1</v>
      </c>
      <c r="H1010">
        <v>1</v>
      </c>
      <c r="I1010">
        <f t="shared" ca="1" si="131"/>
        <v>3</v>
      </c>
      <c r="J1010" t="str">
        <f t="shared" si="132"/>
        <v>12-482 arg2</v>
      </c>
      <c r="K1010" t="str">
        <f t="shared" si="133"/>
        <v>12-482 feedback2</v>
      </c>
      <c r="L1010">
        <v>1</v>
      </c>
      <c r="M1010" t="s">
        <v>1285</v>
      </c>
      <c r="N1010">
        <v>1009</v>
      </c>
    </row>
    <row r="1011" spans="1:14">
      <c r="A1011">
        <v>8</v>
      </c>
      <c r="B1011">
        <f t="shared" si="126"/>
        <v>12</v>
      </c>
      <c r="C1011">
        <v>483</v>
      </c>
      <c r="D1011">
        <f t="shared" ca="1" si="127"/>
        <v>4</v>
      </c>
      <c r="E1011" t="str">
        <f t="shared" si="128"/>
        <v>12-483 arg1</v>
      </c>
      <c r="F1011">
        <f t="shared" ca="1" si="129"/>
        <v>4</v>
      </c>
      <c r="G1011" t="str">
        <f t="shared" si="130"/>
        <v>12-483 feedback1</v>
      </c>
      <c r="H1011">
        <v>1</v>
      </c>
      <c r="I1011">
        <f t="shared" ca="1" si="131"/>
        <v>5</v>
      </c>
      <c r="J1011" t="str">
        <f t="shared" si="132"/>
        <v>12-483 arg2</v>
      </c>
      <c r="K1011" t="str">
        <f t="shared" si="133"/>
        <v>12-483 feedback2</v>
      </c>
      <c r="L1011">
        <v>1</v>
      </c>
      <c r="M1011" t="s">
        <v>1285</v>
      </c>
      <c r="N1011">
        <v>1010</v>
      </c>
    </row>
    <row r="1012" spans="1:14">
      <c r="A1012">
        <v>8</v>
      </c>
      <c r="B1012">
        <f t="shared" si="126"/>
        <v>12</v>
      </c>
      <c r="C1012">
        <v>484</v>
      </c>
      <c r="D1012">
        <f t="shared" ca="1" si="127"/>
        <v>3</v>
      </c>
      <c r="E1012" t="str">
        <f t="shared" si="128"/>
        <v>12-484 arg1</v>
      </c>
      <c r="F1012">
        <f t="shared" ca="1" si="129"/>
        <v>1</v>
      </c>
      <c r="G1012" t="str">
        <f t="shared" si="130"/>
        <v>12-484 feedback1</v>
      </c>
      <c r="H1012">
        <v>1</v>
      </c>
      <c r="I1012">
        <f t="shared" ca="1" si="131"/>
        <v>2</v>
      </c>
      <c r="J1012" t="str">
        <f t="shared" si="132"/>
        <v>12-484 arg2</v>
      </c>
      <c r="K1012" t="str">
        <f t="shared" si="133"/>
        <v>12-484 feedback2</v>
      </c>
      <c r="L1012">
        <v>1</v>
      </c>
      <c r="M1012" t="s">
        <v>1285</v>
      </c>
      <c r="N1012">
        <v>1011</v>
      </c>
    </row>
    <row r="1013" spans="1:14">
      <c r="A1013">
        <v>8</v>
      </c>
      <c r="B1013">
        <f t="shared" si="126"/>
        <v>12</v>
      </c>
      <c r="C1013">
        <v>485</v>
      </c>
      <c r="D1013">
        <f t="shared" ca="1" si="127"/>
        <v>4</v>
      </c>
      <c r="E1013" t="str">
        <f t="shared" si="128"/>
        <v>12-485 arg1</v>
      </c>
      <c r="F1013">
        <f t="shared" ca="1" si="129"/>
        <v>3</v>
      </c>
      <c r="G1013" t="str">
        <f t="shared" si="130"/>
        <v>12-485 feedback1</v>
      </c>
      <c r="H1013">
        <v>1</v>
      </c>
      <c r="I1013">
        <f t="shared" ca="1" si="131"/>
        <v>3</v>
      </c>
      <c r="J1013" t="str">
        <f t="shared" si="132"/>
        <v>12-485 arg2</v>
      </c>
      <c r="K1013" t="str">
        <f t="shared" si="133"/>
        <v>12-485 feedback2</v>
      </c>
      <c r="L1013">
        <v>1</v>
      </c>
      <c r="M1013" t="s">
        <v>1285</v>
      </c>
      <c r="N1013">
        <v>1012</v>
      </c>
    </row>
    <row r="1014" spans="1:14">
      <c r="A1014">
        <v>8</v>
      </c>
      <c r="B1014">
        <f t="shared" ref="B1014:B1077" si="134">B929+1</f>
        <v>12</v>
      </c>
      <c r="C1014">
        <v>486</v>
      </c>
      <c r="D1014">
        <f t="shared" ca="1" si="127"/>
        <v>4</v>
      </c>
      <c r="E1014" t="str">
        <f t="shared" si="128"/>
        <v>12-486 arg1</v>
      </c>
      <c r="F1014">
        <f t="shared" ca="1" si="129"/>
        <v>2</v>
      </c>
      <c r="G1014" t="str">
        <f t="shared" si="130"/>
        <v>12-486 feedback1</v>
      </c>
      <c r="H1014">
        <v>1</v>
      </c>
      <c r="I1014">
        <f t="shared" ca="1" si="131"/>
        <v>2</v>
      </c>
      <c r="J1014" t="str">
        <f t="shared" si="132"/>
        <v>12-486 arg2</v>
      </c>
      <c r="K1014" t="str">
        <f t="shared" si="133"/>
        <v>12-486 feedback2</v>
      </c>
      <c r="L1014">
        <v>1</v>
      </c>
      <c r="M1014" t="s">
        <v>1285</v>
      </c>
      <c r="N1014">
        <v>1013</v>
      </c>
    </row>
    <row r="1015" spans="1:14">
      <c r="A1015">
        <v>8</v>
      </c>
      <c r="B1015">
        <f t="shared" si="134"/>
        <v>12</v>
      </c>
      <c r="C1015">
        <v>487</v>
      </c>
      <c r="D1015">
        <f t="shared" ca="1" si="127"/>
        <v>5</v>
      </c>
      <c r="E1015" t="str">
        <f t="shared" si="128"/>
        <v>12-487 arg1</v>
      </c>
      <c r="F1015">
        <f t="shared" ca="1" si="129"/>
        <v>5</v>
      </c>
      <c r="G1015" t="str">
        <f t="shared" si="130"/>
        <v>12-487 feedback1</v>
      </c>
      <c r="H1015">
        <v>1</v>
      </c>
      <c r="I1015">
        <f t="shared" ca="1" si="131"/>
        <v>5</v>
      </c>
      <c r="J1015" t="str">
        <f t="shared" si="132"/>
        <v>12-487 arg2</v>
      </c>
      <c r="K1015" t="str">
        <f t="shared" si="133"/>
        <v>12-487 feedback2</v>
      </c>
      <c r="L1015">
        <v>1</v>
      </c>
      <c r="M1015" t="s">
        <v>1285</v>
      </c>
      <c r="N1015">
        <v>1014</v>
      </c>
    </row>
    <row r="1016" spans="1:14">
      <c r="A1016">
        <v>8</v>
      </c>
      <c r="B1016">
        <f t="shared" si="134"/>
        <v>12</v>
      </c>
      <c r="C1016">
        <v>488</v>
      </c>
      <c r="D1016">
        <f t="shared" ca="1" si="127"/>
        <v>3</v>
      </c>
      <c r="E1016" t="str">
        <f t="shared" si="128"/>
        <v>12-488 arg1</v>
      </c>
      <c r="F1016">
        <f t="shared" ca="1" si="129"/>
        <v>2</v>
      </c>
      <c r="G1016" t="str">
        <f t="shared" si="130"/>
        <v>12-488 feedback1</v>
      </c>
      <c r="H1016">
        <v>1</v>
      </c>
      <c r="I1016">
        <f t="shared" ca="1" si="131"/>
        <v>2</v>
      </c>
      <c r="J1016" t="str">
        <f t="shared" si="132"/>
        <v>12-488 arg2</v>
      </c>
      <c r="K1016" t="str">
        <f t="shared" si="133"/>
        <v>12-488 feedback2</v>
      </c>
      <c r="L1016">
        <v>1</v>
      </c>
      <c r="M1016" t="s">
        <v>1285</v>
      </c>
      <c r="N1016">
        <v>1015</v>
      </c>
    </row>
    <row r="1017" spans="1:14">
      <c r="A1017">
        <v>8</v>
      </c>
      <c r="B1017">
        <f t="shared" si="134"/>
        <v>12</v>
      </c>
      <c r="C1017">
        <v>489</v>
      </c>
      <c r="D1017">
        <f t="shared" ca="1" si="127"/>
        <v>4</v>
      </c>
      <c r="E1017" t="str">
        <f t="shared" si="128"/>
        <v>12-489 arg1</v>
      </c>
      <c r="F1017">
        <f t="shared" ca="1" si="129"/>
        <v>3</v>
      </c>
      <c r="G1017" t="str">
        <f t="shared" si="130"/>
        <v>12-489 feedback1</v>
      </c>
      <c r="H1017">
        <v>1</v>
      </c>
      <c r="I1017">
        <f t="shared" ca="1" si="131"/>
        <v>3</v>
      </c>
      <c r="J1017" t="str">
        <f t="shared" si="132"/>
        <v>12-489 arg2</v>
      </c>
      <c r="K1017" t="str">
        <f t="shared" si="133"/>
        <v>12-489 feedback2</v>
      </c>
      <c r="L1017">
        <v>1</v>
      </c>
      <c r="M1017" t="s">
        <v>1285</v>
      </c>
      <c r="N1017">
        <v>1016</v>
      </c>
    </row>
    <row r="1018" spans="1:14">
      <c r="A1018">
        <v>8</v>
      </c>
      <c r="B1018">
        <f t="shared" si="134"/>
        <v>12</v>
      </c>
      <c r="C1018">
        <v>490</v>
      </c>
      <c r="D1018">
        <f t="shared" ca="1" si="127"/>
        <v>3</v>
      </c>
      <c r="E1018" t="str">
        <f t="shared" si="128"/>
        <v>12-490 arg1</v>
      </c>
      <c r="F1018">
        <f t="shared" ca="1" si="129"/>
        <v>2</v>
      </c>
      <c r="G1018" t="str">
        <f t="shared" si="130"/>
        <v>12-490 feedback1</v>
      </c>
      <c r="H1018">
        <v>1</v>
      </c>
      <c r="I1018">
        <f t="shared" ca="1" si="131"/>
        <v>3</v>
      </c>
      <c r="J1018" t="str">
        <f t="shared" si="132"/>
        <v>12-490 arg2</v>
      </c>
      <c r="K1018" t="str">
        <f t="shared" si="133"/>
        <v>12-490 feedback2</v>
      </c>
      <c r="L1018">
        <v>1</v>
      </c>
      <c r="M1018" t="s">
        <v>1285</v>
      </c>
      <c r="N1018">
        <v>1017</v>
      </c>
    </row>
    <row r="1019" spans="1:14">
      <c r="A1019">
        <v>8</v>
      </c>
      <c r="B1019">
        <f t="shared" si="134"/>
        <v>12</v>
      </c>
      <c r="C1019">
        <v>491</v>
      </c>
      <c r="D1019">
        <f t="shared" ca="1" si="127"/>
        <v>3</v>
      </c>
      <c r="E1019" t="str">
        <f t="shared" si="128"/>
        <v>12-491 arg1</v>
      </c>
      <c r="F1019">
        <f t="shared" ca="1" si="129"/>
        <v>1</v>
      </c>
      <c r="G1019" t="str">
        <f t="shared" si="130"/>
        <v>12-491 feedback1</v>
      </c>
      <c r="H1019">
        <v>1</v>
      </c>
      <c r="I1019">
        <f t="shared" ca="1" si="131"/>
        <v>2</v>
      </c>
      <c r="J1019" t="str">
        <f t="shared" si="132"/>
        <v>12-491 arg2</v>
      </c>
      <c r="K1019" t="str">
        <f t="shared" si="133"/>
        <v>12-491 feedback2</v>
      </c>
      <c r="L1019">
        <v>1</v>
      </c>
      <c r="M1019" t="s">
        <v>1285</v>
      </c>
      <c r="N1019">
        <v>1018</v>
      </c>
    </row>
    <row r="1020" spans="1:14">
      <c r="A1020">
        <v>8</v>
      </c>
      <c r="B1020">
        <f t="shared" si="134"/>
        <v>12</v>
      </c>
      <c r="C1020">
        <v>492</v>
      </c>
      <c r="D1020">
        <f t="shared" ca="1" si="127"/>
        <v>3</v>
      </c>
      <c r="E1020" t="str">
        <f t="shared" si="128"/>
        <v>12-492 arg1</v>
      </c>
      <c r="F1020">
        <f t="shared" ca="1" si="129"/>
        <v>1</v>
      </c>
      <c r="G1020" t="str">
        <f t="shared" si="130"/>
        <v>12-492 feedback1</v>
      </c>
      <c r="H1020">
        <v>1</v>
      </c>
      <c r="I1020">
        <f t="shared" ca="1" si="131"/>
        <v>2</v>
      </c>
      <c r="J1020" t="str">
        <f t="shared" si="132"/>
        <v>12-492 arg2</v>
      </c>
      <c r="K1020" t="str">
        <f t="shared" si="133"/>
        <v>12-492 feedback2</v>
      </c>
      <c r="L1020">
        <v>1</v>
      </c>
      <c r="M1020" t="s">
        <v>1285</v>
      </c>
      <c r="N1020">
        <v>1019</v>
      </c>
    </row>
    <row r="1021" spans="1:14">
      <c r="A1021">
        <v>8</v>
      </c>
      <c r="B1021">
        <f t="shared" si="134"/>
        <v>12</v>
      </c>
      <c r="C1021">
        <v>493</v>
      </c>
      <c r="D1021">
        <f t="shared" ca="1" si="127"/>
        <v>4</v>
      </c>
      <c r="E1021" t="str">
        <f t="shared" si="128"/>
        <v>12-493 arg1</v>
      </c>
      <c r="F1021">
        <f t="shared" ca="1" si="129"/>
        <v>3</v>
      </c>
      <c r="G1021" t="str">
        <f t="shared" si="130"/>
        <v>12-493 feedback1</v>
      </c>
      <c r="H1021">
        <v>1</v>
      </c>
      <c r="I1021">
        <f t="shared" ca="1" si="131"/>
        <v>4</v>
      </c>
      <c r="J1021" t="str">
        <f t="shared" si="132"/>
        <v>12-493 arg2</v>
      </c>
      <c r="K1021" t="str">
        <f t="shared" si="133"/>
        <v>12-493 feedback2</v>
      </c>
      <c r="L1021">
        <v>1</v>
      </c>
      <c r="M1021" t="s">
        <v>1285</v>
      </c>
      <c r="N1021">
        <v>1020</v>
      </c>
    </row>
    <row r="1022" spans="1:14">
      <c r="A1022">
        <v>8</v>
      </c>
      <c r="B1022">
        <f t="shared" si="134"/>
        <v>13</v>
      </c>
      <c r="C1022">
        <v>409</v>
      </c>
      <c r="D1022">
        <f t="shared" ca="1" si="127"/>
        <v>4</v>
      </c>
      <c r="E1022" t="str">
        <f t="shared" si="128"/>
        <v>13-409 arg1</v>
      </c>
      <c r="F1022">
        <f t="shared" ca="1" si="129"/>
        <v>4</v>
      </c>
      <c r="G1022" t="str">
        <f t="shared" si="130"/>
        <v>13-409 feedback1</v>
      </c>
      <c r="H1022">
        <v>1</v>
      </c>
      <c r="I1022">
        <f t="shared" ca="1" si="131"/>
        <v>5</v>
      </c>
      <c r="J1022" t="str">
        <f t="shared" si="132"/>
        <v>13-409 arg2</v>
      </c>
      <c r="K1022" t="str">
        <f t="shared" si="133"/>
        <v>13-409 feedback2</v>
      </c>
      <c r="L1022">
        <v>1</v>
      </c>
      <c r="M1022" t="s">
        <v>1285</v>
      </c>
      <c r="N1022">
        <v>1021</v>
      </c>
    </row>
    <row r="1023" spans="1:14">
      <c r="A1023">
        <v>8</v>
      </c>
      <c r="B1023">
        <f t="shared" si="134"/>
        <v>13</v>
      </c>
      <c r="C1023">
        <v>410</v>
      </c>
      <c r="D1023">
        <f t="shared" ca="1" si="127"/>
        <v>4</v>
      </c>
      <c r="E1023" t="str">
        <f t="shared" si="128"/>
        <v>13-410 arg1</v>
      </c>
      <c r="F1023">
        <f t="shared" ca="1" si="129"/>
        <v>2</v>
      </c>
      <c r="G1023" t="str">
        <f t="shared" si="130"/>
        <v>13-410 feedback1</v>
      </c>
      <c r="H1023">
        <v>1</v>
      </c>
      <c r="I1023">
        <f t="shared" ca="1" si="131"/>
        <v>2</v>
      </c>
      <c r="J1023" t="str">
        <f t="shared" si="132"/>
        <v>13-410 arg2</v>
      </c>
      <c r="K1023" t="str">
        <f t="shared" si="133"/>
        <v>13-410 feedback2</v>
      </c>
      <c r="L1023">
        <v>1</v>
      </c>
      <c r="M1023" t="s">
        <v>1285</v>
      </c>
      <c r="N1023">
        <v>1022</v>
      </c>
    </row>
    <row r="1024" spans="1:14">
      <c r="A1024">
        <v>8</v>
      </c>
      <c r="B1024">
        <f t="shared" si="134"/>
        <v>13</v>
      </c>
      <c r="C1024">
        <v>411</v>
      </c>
      <c r="D1024">
        <f t="shared" ca="1" si="127"/>
        <v>3</v>
      </c>
      <c r="E1024" t="str">
        <f t="shared" si="128"/>
        <v>13-411 arg1</v>
      </c>
      <c r="F1024">
        <f t="shared" ca="1" si="129"/>
        <v>2</v>
      </c>
      <c r="G1024" t="str">
        <f t="shared" si="130"/>
        <v>13-411 feedback1</v>
      </c>
      <c r="H1024">
        <v>1</v>
      </c>
      <c r="I1024">
        <f t="shared" ca="1" si="131"/>
        <v>3</v>
      </c>
      <c r="J1024" t="str">
        <f t="shared" si="132"/>
        <v>13-411 arg2</v>
      </c>
      <c r="K1024" t="str">
        <f t="shared" si="133"/>
        <v>13-411 feedback2</v>
      </c>
      <c r="L1024">
        <v>1</v>
      </c>
      <c r="M1024" t="s">
        <v>1285</v>
      </c>
      <c r="N1024">
        <v>1023</v>
      </c>
    </row>
    <row r="1025" spans="1:14">
      <c r="A1025">
        <v>8</v>
      </c>
      <c r="B1025">
        <f t="shared" si="134"/>
        <v>13</v>
      </c>
      <c r="C1025">
        <v>412</v>
      </c>
      <c r="D1025">
        <f t="shared" ca="1" si="127"/>
        <v>3</v>
      </c>
      <c r="E1025" t="str">
        <f t="shared" si="128"/>
        <v>13-412 arg1</v>
      </c>
      <c r="F1025">
        <f t="shared" ca="1" si="129"/>
        <v>3</v>
      </c>
      <c r="G1025" t="str">
        <f t="shared" si="130"/>
        <v>13-412 feedback1</v>
      </c>
      <c r="H1025">
        <v>1</v>
      </c>
      <c r="I1025">
        <f t="shared" ca="1" si="131"/>
        <v>3</v>
      </c>
      <c r="J1025" t="str">
        <f t="shared" si="132"/>
        <v>13-412 arg2</v>
      </c>
      <c r="K1025" t="str">
        <f t="shared" si="133"/>
        <v>13-412 feedback2</v>
      </c>
      <c r="L1025">
        <v>1</v>
      </c>
      <c r="M1025" t="s">
        <v>1285</v>
      </c>
      <c r="N1025">
        <v>1024</v>
      </c>
    </row>
    <row r="1026" spans="1:14">
      <c r="A1026">
        <v>8</v>
      </c>
      <c r="B1026">
        <f t="shared" si="134"/>
        <v>13</v>
      </c>
      <c r="C1026">
        <v>413</v>
      </c>
      <c r="D1026">
        <f t="shared" ca="1" si="127"/>
        <v>4</v>
      </c>
      <c r="E1026" t="str">
        <f t="shared" si="128"/>
        <v>13-413 arg1</v>
      </c>
      <c r="F1026">
        <f t="shared" ca="1" si="129"/>
        <v>2</v>
      </c>
      <c r="G1026" t="str">
        <f t="shared" si="130"/>
        <v>13-413 feedback1</v>
      </c>
      <c r="H1026">
        <v>1</v>
      </c>
      <c r="I1026">
        <f t="shared" ca="1" si="131"/>
        <v>3</v>
      </c>
      <c r="J1026" t="str">
        <f t="shared" si="132"/>
        <v>13-413 arg2</v>
      </c>
      <c r="K1026" t="str">
        <f t="shared" si="133"/>
        <v>13-413 feedback2</v>
      </c>
      <c r="L1026">
        <v>1</v>
      </c>
      <c r="M1026" t="s">
        <v>1285</v>
      </c>
      <c r="N1026">
        <v>1025</v>
      </c>
    </row>
    <row r="1027" spans="1:14">
      <c r="A1027">
        <v>8</v>
      </c>
      <c r="B1027">
        <f t="shared" si="134"/>
        <v>13</v>
      </c>
      <c r="C1027">
        <v>414</v>
      </c>
      <c r="D1027">
        <f t="shared" ref="D1027:D1090" ca="1" si="135">ROUND(3+2*RAND(),0)</f>
        <v>3</v>
      </c>
      <c r="E1027" t="str">
        <f t="shared" si="128"/>
        <v>13-414 arg1</v>
      </c>
      <c r="F1027">
        <f t="shared" ca="1" si="129"/>
        <v>2</v>
      </c>
      <c r="G1027" t="str">
        <f t="shared" si="130"/>
        <v>13-414 feedback1</v>
      </c>
      <c r="H1027">
        <v>1</v>
      </c>
      <c r="I1027">
        <f t="shared" ca="1" si="131"/>
        <v>3</v>
      </c>
      <c r="J1027" t="str">
        <f t="shared" si="132"/>
        <v>13-414 arg2</v>
      </c>
      <c r="K1027" t="str">
        <f t="shared" si="133"/>
        <v>13-414 feedback2</v>
      </c>
      <c r="L1027">
        <v>1</v>
      </c>
      <c r="M1027" t="s">
        <v>1285</v>
      </c>
      <c r="N1027">
        <v>1026</v>
      </c>
    </row>
    <row r="1028" spans="1:14">
      <c r="A1028">
        <v>8</v>
      </c>
      <c r="B1028">
        <f t="shared" si="134"/>
        <v>13</v>
      </c>
      <c r="C1028">
        <v>415</v>
      </c>
      <c r="D1028">
        <f t="shared" ca="1" si="135"/>
        <v>3</v>
      </c>
      <c r="E1028" t="str">
        <f t="shared" si="128"/>
        <v>13-415 arg1</v>
      </c>
      <c r="F1028">
        <f t="shared" ca="1" si="129"/>
        <v>2</v>
      </c>
      <c r="G1028" t="str">
        <f t="shared" si="130"/>
        <v>13-415 feedback1</v>
      </c>
      <c r="H1028">
        <v>1</v>
      </c>
      <c r="I1028">
        <f t="shared" ca="1" si="131"/>
        <v>2</v>
      </c>
      <c r="J1028" t="str">
        <f t="shared" si="132"/>
        <v>13-415 arg2</v>
      </c>
      <c r="K1028" t="str">
        <f t="shared" si="133"/>
        <v>13-415 feedback2</v>
      </c>
      <c r="L1028">
        <v>1</v>
      </c>
      <c r="M1028" t="s">
        <v>1285</v>
      </c>
      <c r="N1028">
        <v>1027</v>
      </c>
    </row>
    <row r="1029" spans="1:14">
      <c r="A1029">
        <v>8</v>
      </c>
      <c r="B1029">
        <f t="shared" si="134"/>
        <v>13</v>
      </c>
      <c r="C1029">
        <v>416</v>
      </c>
      <c r="D1029">
        <f t="shared" ca="1" si="135"/>
        <v>3</v>
      </c>
      <c r="E1029" t="str">
        <f t="shared" si="128"/>
        <v>13-416 arg1</v>
      </c>
      <c r="F1029">
        <f t="shared" ca="1" si="129"/>
        <v>1</v>
      </c>
      <c r="G1029" t="str">
        <f t="shared" si="130"/>
        <v>13-416 feedback1</v>
      </c>
      <c r="H1029">
        <v>1</v>
      </c>
      <c r="I1029">
        <f t="shared" ca="1" si="131"/>
        <v>2</v>
      </c>
      <c r="J1029" t="str">
        <f t="shared" si="132"/>
        <v>13-416 arg2</v>
      </c>
      <c r="K1029" t="str">
        <f t="shared" si="133"/>
        <v>13-416 feedback2</v>
      </c>
      <c r="L1029">
        <v>1</v>
      </c>
      <c r="M1029" t="s">
        <v>1285</v>
      </c>
      <c r="N1029">
        <v>1028</v>
      </c>
    </row>
    <row r="1030" spans="1:14">
      <c r="A1030">
        <v>8</v>
      </c>
      <c r="B1030">
        <f t="shared" si="134"/>
        <v>13</v>
      </c>
      <c r="C1030">
        <v>417</v>
      </c>
      <c r="D1030">
        <f t="shared" ca="1" si="135"/>
        <v>3</v>
      </c>
      <c r="E1030" t="str">
        <f t="shared" si="128"/>
        <v>13-417 arg1</v>
      </c>
      <c r="F1030">
        <f t="shared" ca="1" si="129"/>
        <v>2</v>
      </c>
      <c r="G1030" t="str">
        <f t="shared" si="130"/>
        <v>13-417 feedback1</v>
      </c>
      <c r="H1030">
        <v>1</v>
      </c>
      <c r="I1030">
        <f t="shared" ca="1" si="131"/>
        <v>2</v>
      </c>
      <c r="J1030" t="str">
        <f t="shared" si="132"/>
        <v>13-417 arg2</v>
      </c>
      <c r="K1030" t="str">
        <f t="shared" si="133"/>
        <v>13-417 feedback2</v>
      </c>
      <c r="L1030">
        <v>1</v>
      </c>
      <c r="M1030" t="s">
        <v>1285</v>
      </c>
      <c r="N1030">
        <v>1029</v>
      </c>
    </row>
    <row r="1031" spans="1:14">
      <c r="A1031">
        <v>8</v>
      </c>
      <c r="B1031">
        <f t="shared" si="134"/>
        <v>13</v>
      </c>
      <c r="C1031">
        <v>418</v>
      </c>
      <c r="D1031">
        <f t="shared" ca="1" si="135"/>
        <v>4</v>
      </c>
      <c r="E1031" t="str">
        <f t="shared" si="128"/>
        <v>13-418 arg1</v>
      </c>
      <c r="F1031">
        <f t="shared" ca="1" si="129"/>
        <v>3</v>
      </c>
      <c r="G1031" t="str">
        <f t="shared" si="130"/>
        <v>13-418 feedback1</v>
      </c>
      <c r="H1031">
        <v>1</v>
      </c>
      <c r="I1031">
        <f t="shared" ca="1" si="131"/>
        <v>4</v>
      </c>
      <c r="J1031" t="str">
        <f t="shared" si="132"/>
        <v>13-418 arg2</v>
      </c>
      <c r="K1031" t="str">
        <f t="shared" si="133"/>
        <v>13-418 feedback2</v>
      </c>
      <c r="L1031">
        <v>1</v>
      </c>
      <c r="M1031" t="s">
        <v>1285</v>
      </c>
      <c r="N1031">
        <v>1030</v>
      </c>
    </row>
    <row r="1032" spans="1:14">
      <c r="A1032">
        <v>8</v>
      </c>
      <c r="B1032">
        <f t="shared" si="134"/>
        <v>13</v>
      </c>
      <c r="C1032">
        <v>419</v>
      </c>
      <c r="D1032">
        <f t="shared" ca="1" si="135"/>
        <v>4</v>
      </c>
      <c r="E1032" t="str">
        <f t="shared" si="128"/>
        <v>13-419 arg1</v>
      </c>
      <c r="F1032">
        <f t="shared" ca="1" si="129"/>
        <v>3</v>
      </c>
      <c r="G1032" t="str">
        <f t="shared" si="130"/>
        <v>13-419 feedback1</v>
      </c>
      <c r="H1032">
        <v>1</v>
      </c>
      <c r="I1032">
        <f t="shared" ca="1" si="131"/>
        <v>3</v>
      </c>
      <c r="J1032" t="str">
        <f t="shared" si="132"/>
        <v>13-419 arg2</v>
      </c>
      <c r="K1032" t="str">
        <f t="shared" si="133"/>
        <v>13-419 feedback2</v>
      </c>
      <c r="L1032">
        <v>1</v>
      </c>
      <c r="M1032" t="s">
        <v>1285</v>
      </c>
      <c r="N1032">
        <v>1031</v>
      </c>
    </row>
    <row r="1033" spans="1:14">
      <c r="A1033">
        <v>8</v>
      </c>
      <c r="B1033">
        <f t="shared" si="134"/>
        <v>13</v>
      </c>
      <c r="C1033">
        <v>420</v>
      </c>
      <c r="D1033">
        <f t="shared" ca="1" si="135"/>
        <v>3</v>
      </c>
      <c r="E1033" t="str">
        <f t="shared" si="128"/>
        <v>13-420 arg1</v>
      </c>
      <c r="F1033">
        <f t="shared" ca="1" si="129"/>
        <v>3</v>
      </c>
      <c r="G1033" t="str">
        <f t="shared" si="130"/>
        <v>13-420 feedback1</v>
      </c>
      <c r="H1033">
        <v>1</v>
      </c>
      <c r="I1033">
        <f t="shared" ca="1" si="131"/>
        <v>3</v>
      </c>
      <c r="J1033" t="str">
        <f t="shared" si="132"/>
        <v>13-420 arg2</v>
      </c>
      <c r="K1033" t="str">
        <f t="shared" si="133"/>
        <v>13-420 feedback2</v>
      </c>
      <c r="L1033">
        <v>1</v>
      </c>
      <c r="M1033" t="s">
        <v>1285</v>
      </c>
      <c r="N1033">
        <v>1032</v>
      </c>
    </row>
    <row r="1034" spans="1:14">
      <c r="A1034">
        <v>8</v>
      </c>
      <c r="B1034">
        <f t="shared" si="134"/>
        <v>13</v>
      </c>
      <c r="C1034">
        <v>421</v>
      </c>
      <c r="D1034">
        <f t="shared" ca="1" si="135"/>
        <v>3</v>
      </c>
      <c r="E1034" t="str">
        <f t="shared" si="128"/>
        <v>13-421 arg1</v>
      </c>
      <c r="F1034">
        <f t="shared" ca="1" si="129"/>
        <v>2</v>
      </c>
      <c r="G1034" t="str">
        <f t="shared" si="130"/>
        <v>13-421 feedback1</v>
      </c>
      <c r="H1034">
        <v>1</v>
      </c>
      <c r="I1034">
        <f t="shared" ca="1" si="131"/>
        <v>2</v>
      </c>
      <c r="J1034" t="str">
        <f t="shared" si="132"/>
        <v>13-421 arg2</v>
      </c>
      <c r="K1034" t="str">
        <f t="shared" si="133"/>
        <v>13-421 feedback2</v>
      </c>
      <c r="L1034">
        <v>1</v>
      </c>
      <c r="M1034" t="s">
        <v>1285</v>
      </c>
      <c r="N1034">
        <v>1033</v>
      </c>
    </row>
    <row r="1035" spans="1:14">
      <c r="A1035">
        <v>8</v>
      </c>
      <c r="B1035">
        <f t="shared" si="134"/>
        <v>13</v>
      </c>
      <c r="C1035">
        <v>422</v>
      </c>
      <c r="D1035">
        <f t="shared" ca="1" si="135"/>
        <v>3</v>
      </c>
      <c r="E1035" t="str">
        <f t="shared" si="128"/>
        <v>13-422 arg1</v>
      </c>
      <c r="F1035">
        <f t="shared" ca="1" si="129"/>
        <v>2</v>
      </c>
      <c r="G1035" t="str">
        <f t="shared" si="130"/>
        <v>13-422 feedback1</v>
      </c>
      <c r="H1035">
        <v>1</v>
      </c>
      <c r="I1035">
        <f t="shared" ca="1" si="131"/>
        <v>2</v>
      </c>
      <c r="J1035" t="str">
        <f t="shared" si="132"/>
        <v>13-422 arg2</v>
      </c>
      <c r="K1035" t="str">
        <f t="shared" si="133"/>
        <v>13-422 feedback2</v>
      </c>
      <c r="L1035">
        <v>1</v>
      </c>
      <c r="M1035" t="s">
        <v>1285</v>
      </c>
      <c r="N1035">
        <v>1034</v>
      </c>
    </row>
    <row r="1036" spans="1:14">
      <c r="A1036">
        <v>8</v>
      </c>
      <c r="B1036">
        <f t="shared" si="134"/>
        <v>13</v>
      </c>
      <c r="C1036">
        <v>423</v>
      </c>
      <c r="D1036">
        <f t="shared" ca="1" si="135"/>
        <v>5</v>
      </c>
      <c r="E1036" t="str">
        <f t="shared" si="128"/>
        <v>13-423 arg1</v>
      </c>
      <c r="F1036">
        <f t="shared" ca="1" si="129"/>
        <v>4</v>
      </c>
      <c r="G1036" t="str">
        <f t="shared" si="130"/>
        <v>13-423 feedback1</v>
      </c>
      <c r="H1036">
        <v>1</v>
      </c>
      <c r="I1036">
        <f t="shared" ca="1" si="131"/>
        <v>5</v>
      </c>
      <c r="J1036" t="str">
        <f t="shared" si="132"/>
        <v>13-423 arg2</v>
      </c>
      <c r="K1036" t="str">
        <f t="shared" si="133"/>
        <v>13-423 feedback2</v>
      </c>
      <c r="L1036">
        <v>1</v>
      </c>
      <c r="M1036" t="s">
        <v>1285</v>
      </c>
      <c r="N1036">
        <v>1035</v>
      </c>
    </row>
    <row r="1037" spans="1:14">
      <c r="A1037">
        <v>8</v>
      </c>
      <c r="B1037">
        <f t="shared" si="134"/>
        <v>13</v>
      </c>
      <c r="C1037">
        <v>424</v>
      </c>
      <c r="D1037">
        <f t="shared" ca="1" si="135"/>
        <v>4</v>
      </c>
      <c r="E1037" t="str">
        <f t="shared" si="128"/>
        <v>13-424 arg1</v>
      </c>
      <c r="F1037">
        <f t="shared" ca="1" si="129"/>
        <v>3</v>
      </c>
      <c r="G1037" t="str">
        <f t="shared" si="130"/>
        <v>13-424 feedback1</v>
      </c>
      <c r="H1037">
        <v>1</v>
      </c>
      <c r="I1037">
        <f t="shared" ca="1" si="131"/>
        <v>3</v>
      </c>
      <c r="J1037" t="str">
        <f t="shared" si="132"/>
        <v>13-424 arg2</v>
      </c>
      <c r="K1037" t="str">
        <f t="shared" si="133"/>
        <v>13-424 feedback2</v>
      </c>
      <c r="L1037">
        <v>1</v>
      </c>
      <c r="M1037" t="s">
        <v>1285</v>
      </c>
      <c r="N1037">
        <v>1036</v>
      </c>
    </row>
    <row r="1038" spans="1:14">
      <c r="A1038">
        <v>8</v>
      </c>
      <c r="B1038">
        <f t="shared" si="134"/>
        <v>13</v>
      </c>
      <c r="C1038">
        <v>425</v>
      </c>
      <c r="D1038">
        <f t="shared" ca="1" si="135"/>
        <v>5</v>
      </c>
      <c r="E1038" t="str">
        <f t="shared" si="128"/>
        <v>13-425 arg1</v>
      </c>
      <c r="F1038">
        <f t="shared" ca="1" si="129"/>
        <v>3</v>
      </c>
      <c r="G1038" t="str">
        <f t="shared" si="130"/>
        <v>13-425 feedback1</v>
      </c>
      <c r="H1038">
        <v>1</v>
      </c>
      <c r="I1038">
        <f t="shared" ca="1" si="131"/>
        <v>4</v>
      </c>
      <c r="J1038" t="str">
        <f t="shared" si="132"/>
        <v>13-425 arg2</v>
      </c>
      <c r="K1038" t="str">
        <f t="shared" si="133"/>
        <v>13-425 feedback2</v>
      </c>
      <c r="L1038">
        <v>1</v>
      </c>
      <c r="M1038" t="s">
        <v>1285</v>
      </c>
      <c r="N1038">
        <v>1037</v>
      </c>
    </row>
    <row r="1039" spans="1:14">
      <c r="A1039">
        <v>8</v>
      </c>
      <c r="B1039">
        <f t="shared" si="134"/>
        <v>13</v>
      </c>
      <c r="C1039">
        <v>426</v>
      </c>
      <c r="D1039">
        <f t="shared" ca="1" si="135"/>
        <v>4</v>
      </c>
      <c r="E1039" t="str">
        <f t="shared" si="128"/>
        <v>13-426 arg1</v>
      </c>
      <c r="F1039">
        <f t="shared" ca="1" si="129"/>
        <v>3</v>
      </c>
      <c r="G1039" t="str">
        <f t="shared" si="130"/>
        <v>13-426 feedback1</v>
      </c>
      <c r="H1039">
        <v>1</v>
      </c>
      <c r="I1039">
        <f t="shared" ca="1" si="131"/>
        <v>3</v>
      </c>
      <c r="J1039" t="str">
        <f t="shared" si="132"/>
        <v>13-426 arg2</v>
      </c>
      <c r="K1039" t="str">
        <f t="shared" si="133"/>
        <v>13-426 feedback2</v>
      </c>
      <c r="L1039">
        <v>1</v>
      </c>
      <c r="M1039" t="s">
        <v>1285</v>
      </c>
      <c r="N1039">
        <v>1038</v>
      </c>
    </row>
    <row r="1040" spans="1:14">
      <c r="A1040">
        <v>8</v>
      </c>
      <c r="B1040">
        <f t="shared" si="134"/>
        <v>13</v>
      </c>
      <c r="C1040">
        <v>427</v>
      </c>
      <c r="D1040">
        <f t="shared" ca="1" si="135"/>
        <v>3</v>
      </c>
      <c r="E1040" t="str">
        <f t="shared" si="128"/>
        <v>13-427 arg1</v>
      </c>
      <c r="F1040">
        <f t="shared" ca="1" si="129"/>
        <v>2</v>
      </c>
      <c r="G1040" t="str">
        <f t="shared" si="130"/>
        <v>13-427 feedback1</v>
      </c>
      <c r="H1040">
        <v>1</v>
      </c>
      <c r="I1040">
        <f t="shared" ca="1" si="131"/>
        <v>2</v>
      </c>
      <c r="J1040" t="str">
        <f t="shared" si="132"/>
        <v>13-427 arg2</v>
      </c>
      <c r="K1040" t="str">
        <f t="shared" si="133"/>
        <v>13-427 feedback2</v>
      </c>
      <c r="L1040">
        <v>1</v>
      </c>
      <c r="M1040" t="s">
        <v>1285</v>
      </c>
      <c r="N1040">
        <v>1039</v>
      </c>
    </row>
    <row r="1041" spans="1:14">
      <c r="A1041">
        <v>8</v>
      </c>
      <c r="B1041">
        <f t="shared" si="134"/>
        <v>13</v>
      </c>
      <c r="C1041">
        <v>428</v>
      </c>
      <c r="D1041">
        <f t="shared" ca="1" si="135"/>
        <v>5</v>
      </c>
      <c r="E1041" t="str">
        <f t="shared" si="128"/>
        <v>13-428 arg1</v>
      </c>
      <c r="F1041">
        <f t="shared" ca="1" si="129"/>
        <v>4</v>
      </c>
      <c r="G1041" t="str">
        <f t="shared" si="130"/>
        <v>13-428 feedback1</v>
      </c>
      <c r="H1041">
        <v>1</v>
      </c>
      <c r="I1041">
        <f t="shared" ca="1" si="131"/>
        <v>4</v>
      </c>
      <c r="J1041" t="str">
        <f t="shared" si="132"/>
        <v>13-428 arg2</v>
      </c>
      <c r="K1041" t="str">
        <f t="shared" si="133"/>
        <v>13-428 feedback2</v>
      </c>
      <c r="L1041">
        <v>1</v>
      </c>
      <c r="M1041" t="s">
        <v>1285</v>
      </c>
      <c r="N1041">
        <v>1040</v>
      </c>
    </row>
    <row r="1042" spans="1:14">
      <c r="A1042">
        <v>8</v>
      </c>
      <c r="B1042">
        <f t="shared" si="134"/>
        <v>13</v>
      </c>
      <c r="C1042">
        <v>429</v>
      </c>
      <c r="D1042">
        <f t="shared" ca="1" si="135"/>
        <v>4</v>
      </c>
      <c r="E1042" t="str">
        <f t="shared" si="128"/>
        <v>13-429 arg1</v>
      </c>
      <c r="F1042">
        <f t="shared" ca="1" si="129"/>
        <v>3</v>
      </c>
      <c r="G1042" t="str">
        <f t="shared" si="130"/>
        <v>13-429 feedback1</v>
      </c>
      <c r="H1042">
        <v>1</v>
      </c>
      <c r="I1042">
        <f t="shared" ca="1" si="131"/>
        <v>3</v>
      </c>
      <c r="J1042" t="str">
        <f t="shared" si="132"/>
        <v>13-429 arg2</v>
      </c>
      <c r="K1042" t="str">
        <f t="shared" si="133"/>
        <v>13-429 feedback2</v>
      </c>
      <c r="L1042">
        <v>1</v>
      </c>
      <c r="M1042" t="s">
        <v>1285</v>
      </c>
      <c r="N1042">
        <v>1041</v>
      </c>
    </row>
    <row r="1043" spans="1:14">
      <c r="A1043">
        <v>8</v>
      </c>
      <c r="B1043">
        <f t="shared" si="134"/>
        <v>13</v>
      </c>
      <c r="C1043">
        <v>430</v>
      </c>
      <c r="D1043">
        <f t="shared" ca="1" si="135"/>
        <v>4</v>
      </c>
      <c r="E1043" t="str">
        <f t="shared" si="128"/>
        <v>13-430 arg1</v>
      </c>
      <c r="F1043">
        <f t="shared" ca="1" si="129"/>
        <v>3</v>
      </c>
      <c r="G1043" t="str">
        <f t="shared" si="130"/>
        <v>13-430 feedback1</v>
      </c>
      <c r="H1043">
        <v>1</v>
      </c>
      <c r="I1043">
        <f t="shared" ca="1" si="131"/>
        <v>3</v>
      </c>
      <c r="J1043" t="str">
        <f t="shared" si="132"/>
        <v>13-430 arg2</v>
      </c>
      <c r="K1043" t="str">
        <f t="shared" si="133"/>
        <v>13-430 feedback2</v>
      </c>
      <c r="L1043">
        <v>1</v>
      </c>
      <c r="M1043" t="s">
        <v>1285</v>
      </c>
      <c r="N1043">
        <v>1042</v>
      </c>
    </row>
    <row r="1044" spans="1:14">
      <c r="A1044">
        <v>8</v>
      </c>
      <c r="B1044">
        <f t="shared" si="134"/>
        <v>13</v>
      </c>
      <c r="C1044">
        <v>431</v>
      </c>
      <c r="D1044">
        <f t="shared" ca="1" si="135"/>
        <v>3</v>
      </c>
      <c r="E1044" t="str">
        <f t="shared" si="128"/>
        <v>13-431 arg1</v>
      </c>
      <c r="F1044">
        <f t="shared" ca="1" si="129"/>
        <v>2</v>
      </c>
      <c r="G1044" t="str">
        <f t="shared" si="130"/>
        <v>13-431 feedback1</v>
      </c>
      <c r="H1044">
        <v>1</v>
      </c>
      <c r="I1044">
        <f t="shared" ca="1" si="131"/>
        <v>2</v>
      </c>
      <c r="J1044" t="str">
        <f t="shared" si="132"/>
        <v>13-431 arg2</v>
      </c>
      <c r="K1044" t="str">
        <f t="shared" si="133"/>
        <v>13-431 feedback2</v>
      </c>
      <c r="L1044">
        <v>1</v>
      </c>
      <c r="M1044" t="s">
        <v>1285</v>
      </c>
      <c r="N1044">
        <v>1043</v>
      </c>
    </row>
    <row r="1045" spans="1:14">
      <c r="A1045">
        <v>8</v>
      </c>
      <c r="B1045">
        <f t="shared" si="134"/>
        <v>13</v>
      </c>
      <c r="C1045">
        <v>432</v>
      </c>
      <c r="D1045">
        <f t="shared" ca="1" si="135"/>
        <v>5</v>
      </c>
      <c r="E1045" t="str">
        <f t="shared" ref="E1045:E1108" si="136">_xlfn.CONCAT(B1045,"-",C1045," arg1")</f>
        <v>13-432 arg1</v>
      </c>
      <c r="F1045">
        <f t="shared" ref="F1045:F1108" ca="1" si="137">D1045-ROUND(2*RAND(),0)</f>
        <v>4</v>
      </c>
      <c r="G1045" t="str">
        <f t="shared" ref="G1045:G1108" si="138">_xlfn.CONCAT(B1045,"-",C1045," feedback1")</f>
        <v>13-432 feedback1</v>
      </c>
      <c r="H1045">
        <v>1</v>
      </c>
      <c r="I1045">
        <f t="shared" ref="I1045:I1108" ca="1" si="139">MIN(5,F1045+ROUND(RAND(),0))</f>
        <v>5</v>
      </c>
      <c r="J1045" t="str">
        <f t="shared" ref="J1045:J1108" si="140">_xlfn.CONCAT(B1045,"-",C1045," arg2")</f>
        <v>13-432 arg2</v>
      </c>
      <c r="K1045" t="str">
        <f t="shared" ref="K1045:K1108" si="141">_xlfn.CONCAT(B1045,"-",C1045," feedback2")</f>
        <v>13-432 feedback2</v>
      </c>
      <c r="L1045">
        <v>1</v>
      </c>
      <c r="M1045" t="s">
        <v>1285</v>
      </c>
      <c r="N1045">
        <v>1044</v>
      </c>
    </row>
    <row r="1046" spans="1:14">
      <c r="A1046">
        <v>8</v>
      </c>
      <c r="B1046">
        <f t="shared" si="134"/>
        <v>13</v>
      </c>
      <c r="C1046">
        <v>433</v>
      </c>
      <c r="D1046">
        <f t="shared" ca="1" si="135"/>
        <v>4</v>
      </c>
      <c r="E1046" t="str">
        <f t="shared" si="136"/>
        <v>13-433 arg1</v>
      </c>
      <c r="F1046">
        <f t="shared" ca="1" si="137"/>
        <v>3</v>
      </c>
      <c r="G1046" t="str">
        <f t="shared" si="138"/>
        <v>13-433 feedback1</v>
      </c>
      <c r="H1046">
        <v>1</v>
      </c>
      <c r="I1046">
        <f t="shared" ca="1" si="139"/>
        <v>3</v>
      </c>
      <c r="J1046" t="str">
        <f t="shared" si="140"/>
        <v>13-433 arg2</v>
      </c>
      <c r="K1046" t="str">
        <f t="shared" si="141"/>
        <v>13-433 feedback2</v>
      </c>
      <c r="L1046">
        <v>1</v>
      </c>
      <c r="M1046" t="s">
        <v>1285</v>
      </c>
      <c r="N1046">
        <v>1045</v>
      </c>
    </row>
    <row r="1047" spans="1:14">
      <c r="A1047">
        <v>8</v>
      </c>
      <c r="B1047">
        <f t="shared" si="134"/>
        <v>13</v>
      </c>
      <c r="C1047">
        <v>434</v>
      </c>
      <c r="D1047">
        <f t="shared" ca="1" si="135"/>
        <v>4</v>
      </c>
      <c r="E1047" t="str">
        <f t="shared" si="136"/>
        <v>13-434 arg1</v>
      </c>
      <c r="F1047">
        <f t="shared" ca="1" si="137"/>
        <v>4</v>
      </c>
      <c r="G1047" t="str">
        <f t="shared" si="138"/>
        <v>13-434 feedback1</v>
      </c>
      <c r="H1047">
        <v>1</v>
      </c>
      <c r="I1047">
        <f t="shared" ca="1" si="139"/>
        <v>4</v>
      </c>
      <c r="J1047" t="str">
        <f t="shared" si="140"/>
        <v>13-434 arg2</v>
      </c>
      <c r="K1047" t="str">
        <f t="shared" si="141"/>
        <v>13-434 feedback2</v>
      </c>
      <c r="L1047">
        <v>1</v>
      </c>
      <c r="M1047" t="s">
        <v>1285</v>
      </c>
      <c r="N1047">
        <v>1046</v>
      </c>
    </row>
    <row r="1048" spans="1:14">
      <c r="A1048">
        <v>8</v>
      </c>
      <c r="B1048">
        <f t="shared" si="134"/>
        <v>13</v>
      </c>
      <c r="C1048">
        <v>435</v>
      </c>
      <c r="D1048">
        <f t="shared" ca="1" si="135"/>
        <v>5</v>
      </c>
      <c r="E1048" t="str">
        <f t="shared" si="136"/>
        <v>13-435 arg1</v>
      </c>
      <c r="F1048">
        <f t="shared" ca="1" si="137"/>
        <v>3</v>
      </c>
      <c r="G1048" t="str">
        <f t="shared" si="138"/>
        <v>13-435 feedback1</v>
      </c>
      <c r="H1048">
        <v>1</v>
      </c>
      <c r="I1048">
        <f t="shared" ca="1" si="139"/>
        <v>3</v>
      </c>
      <c r="J1048" t="str">
        <f t="shared" si="140"/>
        <v>13-435 arg2</v>
      </c>
      <c r="K1048" t="str">
        <f t="shared" si="141"/>
        <v>13-435 feedback2</v>
      </c>
      <c r="L1048">
        <v>1</v>
      </c>
      <c r="M1048" t="s">
        <v>1285</v>
      </c>
      <c r="N1048">
        <v>1047</v>
      </c>
    </row>
    <row r="1049" spans="1:14">
      <c r="A1049">
        <v>8</v>
      </c>
      <c r="B1049">
        <f t="shared" si="134"/>
        <v>13</v>
      </c>
      <c r="C1049">
        <v>436</v>
      </c>
      <c r="D1049">
        <f t="shared" ca="1" si="135"/>
        <v>4</v>
      </c>
      <c r="E1049" t="str">
        <f t="shared" si="136"/>
        <v>13-436 arg1</v>
      </c>
      <c r="F1049">
        <f t="shared" ca="1" si="137"/>
        <v>4</v>
      </c>
      <c r="G1049" t="str">
        <f t="shared" si="138"/>
        <v>13-436 feedback1</v>
      </c>
      <c r="H1049">
        <v>1</v>
      </c>
      <c r="I1049">
        <f t="shared" ca="1" si="139"/>
        <v>4</v>
      </c>
      <c r="J1049" t="str">
        <f t="shared" si="140"/>
        <v>13-436 arg2</v>
      </c>
      <c r="K1049" t="str">
        <f t="shared" si="141"/>
        <v>13-436 feedback2</v>
      </c>
      <c r="L1049">
        <v>1</v>
      </c>
      <c r="M1049" t="s">
        <v>1285</v>
      </c>
      <c r="N1049">
        <v>1048</v>
      </c>
    </row>
    <row r="1050" spans="1:14">
      <c r="A1050">
        <v>8</v>
      </c>
      <c r="B1050">
        <f t="shared" si="134"/>
        <v>13</v>
      </c>
      <c r="C1050">
        <v>437</v>
      </c>
      <c r="D1050">
        <f t="shared" ca="1" si="135"/>
        <v>3</v>
      </c>
      <c r="E1050" t="str">
        <f t="shared" si="136"/>
        <v>13-437 arg1</v>
      </c>
      <c r="F1050">
        <f t="shared" ca="1" si="137"/>
        <v>3</v>
      </c>
      <c r="G1050" t="str">
        <f t="shared" si="138"/>
        <v>13-437 feedback1</v>
      </c>
      <c r="H1050">
        <v>1</v>
      </c>
      <c r="I1050">
        <f t="shared" ca="1" si="139"/>
        <v>4</v>
      </c>
      <c r="J1050" t="str">
        <f t="shared" si="140"/>
        <v>13-437 arg2</v>
      </c>
      <c r="K1050" t="str">
        <f t="shared" si="141"/>
        <v>13-437 feedback2</v>
      </c>
      <c r="L1050">
        <v>1</v>
      </c>
      <c r="M1050" t="s">
        <v>1285</v>
      </c>
      <c r="N1050">
        <v>1049</v>
      </c>
    </row>
    <row r="1051" spans="1:14">
      <c r="A1051">
        <v>8</v>
      </c>
      <c r="B1051">
        <f t="shared" si="134"/>
        <v>13</v>
      </c>
      <c r="C1051">
        <v>438</v>
      </c>
      <c r="D1051">
        <f t="shared" ca="1" si="135"/>
        <v>4</v>
      </c>
      <c r="E1051" t="str">
        <f t="shared" si="136"/>
        <v>13-438 arg1</v>
      </c>
      <c r="F1051">
        <f t="shared" ca="1" si="137"/>
        <v>4</v>
      </c>
      <c r="G1051" t="str">
        <f t="shared" si="138"/>
        <v>13-438 feedback1</v>
      </c>
      <c r="H1051">
        <v>1</v>
      </c>
      <c r="I1051">
        <f t="shared" ca="1" si="139"/>
        <v>5</v>
      </c>
      <c r="J1051" t="str">
        <f t="shared" si="140"/>
        <v>13-438 arg2</v>
      </c>
      <c r="K1051" t="str">
        <f t="shared" si="141"/>
        <v>13-438 feedback2</v>
      </c>
      <c r="L1051">
        <v>1</v>
      </c>
      <c r="M1051" t="s">
        <v>1285</v>
      </c>
      <c r="N1051">
        <v>1050</v>
      </c>
    </row>
    <row r="1052" spans="1:14">
      <c r="A1052">
        <v>8</v>
      </c>
      <c r="B1052">
        <f t="shared" si="134"/>
        <v>13</v>
      </c>
      <c r="C1052">
        <v>439</v>
      </c>
      <c r="D1052">
        <f t="shared" ca="1" si="135"/>
        <v>4</v>
      </c>
      <c r="E1052" t="str">
        <f t="shared" si="136"/>
        <v>13-439 arg1</v>
      </c>
      <c r="F1052">
        <f t="shared" ca="1" si="137"/>
        <v>3</v>
      </c>
      <c r="G1052" t="str">
        <f t="shared" si="138"/>
        <v>13-439 feedback1</v>
      </c>
      <c r="H1052">
        <v>1</v>
      </c>
      <c r="I1052">
        <f t="shared" ca="1" si="139"/>
        <v>3</v>
      </c>
      <c r="J1052" t="str">
        <f t="shared" si="140"/>
        <v>13-439 arg2</v>
      </c>
      <c r="K1052" t="str">
        <f t="shared" si="141"/>
        <v>13-439 feedback2</v>
      </c>
      <c r="L1052">
        <v>1</v>
      </c>
      <c r="M1052" t="s">
        <v>1285</v>
      </c>
      <c r="N1052">
        <v>1051</v>
      </c>
    </row>
    <row r="1053" spans="1:14">
      <c r="A1053">
        <v>8</v>
      </c>
      <c r="B1053">
        <f t="shared" si="134"/>
        <v>13</v>
      </c>
      <c r="C1053">
        <v>440</v>
      </c>
      <c r="D1053">
        <f t="shared" ca="1" si="135"/>
        <v>5</v>
      </c>
      <c r="E1053" t="str">
        <f t="shared" si="136"/>
        <v>13-440 arg1</v>
      </c>
      <c r="F1053">
        <f t="shared" ca="1" si="137"/>
        <v>4</v>
      </c>
      <c r="G1053" t="str">
        <f t="shared" si="138"/>
        <v>13-440 feedback1</v>
      </c>
      <c r="H1053">
        <v>1</v>
      </c>
      <c r="I1053">
        <f t="shared" ca="1" si="139"/>
        <v>4</v>
      </c>
      <c r="J1053" t="str">
        <f t="shared" si="140"/>
        <v>13-440 arg2</v>
      </c>
      <c r="K1053" t="str">
        <f t="shared" si="141"/>
        <v>13-440 feedback2</v>
      </c>
      <c r="L1053">
        <v>1</v>
      </c>
      <c r="M1053" t="s">
        <v>1285</v>
      </c>
      <c r="N1053">
        <v>1052</v>
      </c>
    </row>
    <row r="1054" spans="1:14">
      <c r="A1054">
        <v>8</v>
      </c>
      <c r="B1054">
        <f t="shared" si="134"/>
        <v>13</v>
      </c>
      <c r="C1054">
        <v>441</v>
      </c>
      <c r="D1054">
        <f t="shared" ca="1" si="135"/>
        <v>3</v>
      </c>
      <c r="E1054" t="str">
        <f t="shared" si="136"/>
        <v>13-441 arg1</v>
      </c>
      <c r="F1054">
        <f t="shared" ca="1" si="137"/>
        <v>3</v>
      </c>
      <c r="G1054" t="str">
        <f t="shared" si="138"/>
        <v>13-441 feedback1</v>
      </c>
      <c r="H1054">
        <v>1</v>
      </c>
      <c r="I1054">
        <f t="shared" ca="1" si="139"/>
        <v>3</v>
      </c>
      <c r="J1054" t="str">
        <f t="shared" si="140"/>
        <v>13-441 arg2</v>
      </c>
      <c r="K1054" t="str">
        <f t="shared" si="141"/>
        <v>13-441 feedback2</v>
      </c>
      <c r="L1054">
        <v>1</v>
      </c>
      <c r="M1054" t="s">
        <v>1285</v>
      </c>
      <c r="N1054">
        <v>1053</v>
      </c>
    </row>
    <row r="1055" spans="1:14">
      <c r="A1055">
        <v>8</v>
      </c>
      <c r="B1055">
        <f t="shared" si="134"/>
        <v>13</v>
      </c>
      <c r="C1055">
        <v>442</v>
      </c>
      <c r="D1055">
        <f t="shared" ca="1" si="135"/>
        <v>5</v>
      </c>
      <c r="E1055" t="str">
        <f t="shared" si="136"/>
        <v>13-442 arg1</v>
      </c>
      <c r="F1055">
        <f t="shared" ca="1" si="137"/>
        <v>5</v>
      </c>
      <c r="G1055" t="str">
        <f t="shared" si="138"/>
        <v>13-442 feedback1</v>
      </c>
      <c r="H1055">
        <v>1</v>
      </c>
      <c r="I1055">
        <f t="shared" ca="1" si="139"/>
        <v>5</v>
      </c>
      <c r="J1055" t="str">
        <f t="shared" si="140"/>
        <v>13-442 arg2</v>
      </c>
      <c r="K1055" t="str">
        <f t="shared" si="141"/>
        <v>13-442 feedback2</v>
      </c>
      <c r="L1055">
        <v>1</v>
      </c>
      <c r="M1055" t="s">
        <v>1285</v>
      </c>
      <c r="N1055">
        <v>1054</v>
      </c>
    </row>
    <row r="1056" spans="1:14">
      <c r="A1056">
        <v>8</v>
      </c>
      <c r="B1056">
        <f t="shared" si="134"/>
        <v>13</v>
      </c>
      <c r="C1056">
        <v>443</v>
      </c>
      <c r="D1056">
        <f t="shared" ca="1" si="135"/>
        <v>5</v>
      </c>
      <c r="E1056" t="str">
        <f t="shared" si="136"/>
        <v>13-443 arg1</v>
      </c>
      <c r="F1056">
        <f t="shared" ca="1" si="137"/>
        <v>5</v>
      </c>
      <c r="G1056" t="str">
        <f t="shared" si="138"/>
        <v>13-443 feedback1</v>
      </c>
      <c r="H1056">
        <v>1</v>
      </c>
      <c r="I1056">
        <f t="shared" ca="1" si="139"/>
        <v>5</v>
      </c>
      <c r="J1056" t="str">
        <f t="shared" si="140"/>
        <v>13-443 arg2</v>
      </c>
      <c r="K1056" t="str">
        <f t="shared" si="141"/>
        <v>13-443 feedback2</v>
      </c>
      <c r="L1056">
        <v>1</v>
      </c>
      <c r="M1056" t="s">
        <v>1285</v>
      </c>
      <c r="N1056">
        <v>1055</v>
      </c>
    </row>
    <row r="1057" spans="1:14">
      <c r="A1057">
        <v>8</v>
      </c>
      <c r="B1057">
        <f t="shared" si="134"/>
        <v>13</v>
      </c>
      <c r="C1057">
        <v>444</v>
      </c>
      <c r="D1057">
        <f t="shared" ca="1" si="135"/>
        <v>4</v>
      </c>
      <c r="E1057" t="str">
        <f t="shared" si="136"/>
        <v>13-444 arg1</v>
      </c>
      <c r="F1057">
        <f t="shared" ca="1" si="137"/>
        <v>2</v>
      </c>
      <c r="G1057" t="str">
        <f t="shared" si="138"/>
        <v>13-444 feedback1</v>
      </c>
      <c r="H1057">
        <v>1</v>
      </c>
      <c r="I1057">
        <f t="shared" ca="1" si="139"/>
        <v>3</v>
      </c>
      <c r="J1057" t="str">
        <f t="shared" si="140"/>
        <v>13-444 arg2</v>
      </c>
      <c r="K1057" t="str">
        <f t="shared" si="141"/>
        <v>13-444 feedback2</v>
      </c>
      <c r="L1057">
        <v>1</v>
      </c>
      <c r="M1057" t="s">
        <v>1285</v>
      </c>
      <c r="N1057">
        <v>1056</v>
      </c>
    </row>
    <row r="1058" spans="1:14">
      <c r="A1058">
        <v>8</v>
      </c>
      <c r="B1058">
        <f t="shared" si="134"/>
        <v>13</v>
      </c>
      <c r="C1058">
        <v>445</v>
      </c>
      <c r="D1058">
        <f t="shared" ca="1" si="135"/>
        <v>4</v>
      </c>
      <c r="E1058" t="str">
        <f t="shared" si="136"/>
        <v>13-445 arg1</v>
      </c>
      <c r="F1058">
        <f t="shared" ca="1" si="137"/>
        <v>2</v>
      </c>
      <c r="G1058" t="str">
        <f t="shared" si="138"/>
        <v>13-445 feedback1</v>
      </c>
      <c r="H1058">
        <v>1</v>
      </c>
      <c r="I1058">
        <f t="shared" ca="1" si="139"/>
        <v>2</v>
      </c>
      <c r="J1058" t="str">
        <f t="shared" si="140"/>
        <v>13-445 arg2</v>
      </c>
      <c r="K1058" t="str">
        <f t="shared" si="141"/>
        <v>13-445 feedback2</v>
      </c>
      <c r="L1058">
        <v>1</v>
      </c>
      <c r="M1058" t="s">
        <v>1285</v>
      </c>
      <c r="N1058">
        <v>1057</v>
      </c>
    </row>
    <row r="1059" spans="1:14">
      <c r="A1059">
        <v>8</v>
      </c>
      <c r="B1059">
        <f t="shared" si="134"/>
        <v>13</v>
      </c>
      <c r="C1059">
        <v>446</v>
      </c>
      <c r="D1059">
        <f t="shared" ca="1" si="135"/>
        <v>5</v>
      </c>
      <c r="E1059" t="str">
        <f t="shared" si="136"/>
        <v>13-446 arg1</v>
      </c>
      <c r="F1059">
        <f t="shared" ca="1" si="137"/>
        <v>4</v>
      </c>
      <c r="G1059" t="str">
        <f t="shared" si="138"/>
        <v>13-446 feedback1</v>
      </c>
      <c r="H1059">
        <v>1</v>
      </c>
      <c r="I1059">
        <f t="shared" ca="1" si="139"/>
        <v>4</v>
      </c>
      <c r="J1059" t="str">
        <f t="shared" si="140"/>
        <v>13-446 arg2</v>
      </c>
      <c r="K1059" t="str">
        <f t="shared" si="141"/>
        <v>13-446 feedback2</v>
      </c>
      <c r="L1059">
        <v>1</v>
      </c>
      <c r="M1059" t="s">
        <v>1285</v>
      </c>
      <c r="N1059">
        <v>1058</v>
      </c>
    </row>
    <row r="1060" spans="1:14">
      <c r="A1060">
        <v>8</v>
      </c>
      <c r="B1060">
        <f t="shared" si="134"/>
        <v>13</v>
      </c>
      <c r="C1060">
        <v>447</v>
      </c>
      <c r="D1060">
        <f t="shared" ca="1" si="135"/>
        <v>5</v>
      </c>
      <c r="E1060" t="str">
        <f t="shared" si="136"/>
        <v>13-447 arg1</v>
      </c>
      <c r="F1060">
        <f t="shared" ca="1" si="137"/>
        <v>5</v>
      </c>
      <c r="G1060" t="str">
        <f t="shared" si="138"/>
        <v>13-447 feedback1</v>
      </c>
      <c r="H1060">
        <v>1</v>
      </c>
      <c r="I1060">
        <f t="shared" ca="1" si="139"/>
        <v>5</v>
      </c>
      <c r="J1060" t="str">
        <f t="shared" si="140"/>
        <v>13-447 arg2</v>
      </c>
      <c r="K1060" t="str">
        <f t="shared" si="141"/>
        <v>13-447 feedback2</v>
      </c>
      <c r="L1060">
        <v>1</v>
      </c>
      <c r="M1060" t="s">
        <v>1285</v>
      </c>
      <c r="N1060">
        <v>1059</v>
      </c>
    </row>
    <row r="1061" spans="1:14">
      <c r="A1061">
        <v>8</v>
      </c>
      <c r="B1061">
        <f t="shared" si="134"/>
        <v>13</v>
      </c>
      <c r="C1061">
        <v>448</v>
      </c>
      <c r="D1061">
        <f t="shared" ca="1" si="135"/>
        <v>4</v>
      </c>
      <c r="E1061" t="str">
        <f t="shared" si="136"/>
        <v>13-448 arg1</v>
      </c>
      <c r="F1061">
        <f t="shared" ca="1" si="137"/>
        <v>2</v>
      </c>
      <c r="G1061" t="str">
        <f t="shared" si="138"/>
        <v>13-448 feedback1</v>
      </c>
      <c r="H1061">
        <v>1</v>
      </c>
      <c r="I1061">
        <f t="shared" ca="1" si="139"/>
        <v>2</v>
      </c>
      <c r="J1061" t="str">
        <f t="shared" si="140"/>
        <v>13-448 arg2</v>
      </c>
      <c r="K1061" t="str">
        <f t="shared" si="141"/>
        <v>13-448 feedback2</v>
      </c>
      <c r="L1061">
        <v>1</v>
      </c>
      <c r="M1061" t="s">
        <v>1285</v>
      </c>
      <c r="N1061">
        <v>1060</v>
      </c>
    </row>
    <row r="1062" spans="1:14">
      <c r="A1062">
        <v>8</v>
      </c>
      <c r="B1062">
        <f t="shared" si="134"/>
        <v>13</v>
      </c>
      <c r="C1062">
        <v>449</v>
      </c>
      <c r="D1062">
        <f t="shared" ca="1" si="135"/>
        <v>5</v>
      </c>
      <c r="E1062" t="str">
        <f t="shared" si="136"/>
        <v>13-449 arg1</v>
      </c>
      <c r="F1062">
        <f t="shared" ca="1" si="137"/>
        <v>4</v>
      </c>
      <c r="G1062" t="str">
        <f t="shared" si="138"/>
        <v>13-449 feedback1</v>
      </c>
      <c r="H1062">
        <v>1</v>
      </c>
      <c r="I1062">
        <f t="shared" ca="1" si="139"/>
        <v>5</v>
      </c>
      <c r="J1062" t="str">
        <f t="shared" si="140"/>
        <v>13-449 arg2</v>
      </c>
      <c r="K1062" t="str">
        <f t="shared" si="141"/>
        <v>13-449 feedback2</v>
      </c>
      <c r="L1062">
        <v>1</v>
      </c>
      <c r="M1062" t="s">
        <v>1285</v>
      </c>
      <c r="N1062">
        <v>1061</v>
      </c>
    </row>
    <row r="1063" spans="1:14">
      <c r="A1063">
        <v>8</v>
      </c>
      <c r="B1063">
        <f t="shared" si="134"/>
        <v>13</v>
      </c>
      <c r="C1063">
        <v>450</v>
      </c>
      <c r="D1063">
        <f t="shared" ca="1" si="135"/>
        <v>4</v>
      </c>
      <c r="E1063" t="str">
        <f t="shared" si="136"/>
        <v>13-450 arg1</v>
      </c>
      <c r="F1063">
        <f t="shared" ca="1" si="137"/>
        <v>2</v>
      </c>
      <c r="G1063" t="str">
        <f t="shared" si="138"/>
        <v>13-450 feedback1</v>
      </c>
      <c r="H1063">
        <v>1</v>
      </c>
      <c r="I1063">
        <f t="shared" ca="1" si="139"/>
        <v>2</v>
      </c>
      <c r="J1063" t="str">
        <f t="shared" si="140"/>
        <v>13-450 arg2</v>
      </c>
      <c r="K1063" t="str">
        <f t="shared" si="141"/>
        <v>13-450 feedback2</v>
      </c>
      <c r="L1063">
        <v>1</v>
      </c>
      <c r="M1063" t="s">
        <v>1285</v>
      </c>
      <c r="N1063">
        <v>1062</v>
      </c>
    </row>
    <row r="1064" spans="1:14">
      <c r="A1064">
        <v>8</v>
      </c>
      <c r="B1064">
        <f t="shared" si="134"/>
        <v>13</v>
      </c>
      <c r="C1064">
        <v>451</v>
      </c>
      <c r="D1064">
        <f t="shared" ca="1" si="135"/>
        <v>4</v>
      </c>
      <c r="E1064" t="str">
        <f t="shared" si="136"/>
        <v>13-451 arg1</v>
      </c>
      <c r="F1064">
        <f t="shared" ca="1" si="137"/>
        <v>3</v>
      </c>
      <c r="G1064" t="str">
        <f t="shared" si="138"/>
        <v>13-451 feedback1</v>
      </c>
      <c r="H1064">
        <v>1</v>
      </c>
      <c r="I1064">
        <f t="shared" ca="1" si="139"/>
        <v>4</v>
      </c>
      <c r="J1064" t="str">
        <f t="shared" si="140"/>
        <v>13-451 arg2</v>
      </c>
      <c r="K1064" t="str">
        <f t="shared" si="141"/>
        <v>13-451 feedback2</v>
      </c>
      <c r="L1064">
        <v>1</v>
      </c>
      <c r="M1064" t="s">
        <v>1285</v>
      </c>
      <c r="N1064">
        <v>1063</v>
      </c>
    </row>
    <row r="1065" spans="1:14">
      <c r="A1065">
        <v>8</v>
      </c>
      <c r="B1065">
        <f t="shared" si="134"/>
        <v>13</v>
      </c>
      <c r="C1065">
        <v>452</v>
      </c>
      <c r="D1065">
        <f t="shared" ca="1" si="135"/>
        <v>5</v>
      </c>
      <c r="E1065" t="str">
        <f t="shared" si="136"/>
        <v>13-452 arg1</v>
      </c>
      <c r="F1065">
        <f t="shared" ca="1" si="137"/>
        <v>5</v>
      </c>
      <c r="G1065" t="str">
        <f t="shared" si="138"/>
        <v>13-452 feedback1</v>
      </c>
      <c r="H1065">
        <v>1</v>
      </c>
      <c r="I1065">
        <f t="shared" ca="1" si="139"/>
        <v>5</v>
      </c>
      <c r="J1065" t="str">
        <f t="shared" si="140"/>
        <v>13-452 arg2</v>
      </c>
      <c r="K1065" t="str">
        <f t="shared" si="141"/>
        <v>13-452 feedback2</v>
      </c>
      <c r="L1065">
        <v>1</v>
      </c>
      <c r="M1065" t="s">
        <v>1285</v>
      </c>
      <c r="N1065">
        <v>1064</v>
      </c>
    </row>
    <row r="1066" spans="1:14">
      <c r="A1066">
        <v>8</v>
      </c>
      <c r="B1066">
        <f t="shared" si="134"/>
        <v>13</v>
      </c>
      <c r="C1066">
        <v>453</v>
      </c>
      <c r="D1066">
        <f t="shared" ca="1" si="135"/>
        <v>3</v>
      </c>
      <c r="E1066" t="str">
        <f t="shared" si="136"/>
        <v>13-453 arg1</v>
      </c>
      <c r="F1066">
        <f t="shared" ca="1" si="137"/>
        <v>2</v>
      </c>
      <c r="G1066" t="str">
        <f t="shared" si="138"/>
        <v>13-453 feedback1</v>
      </c>
      <c r="H1066">
        <v>1</v>
      </c>
      <c r="I1066">
        <f t="shared" ca="1" si="139"/>
        <v>3</v>
      </c>
      <c r="J1066" t="str">
        <f t="shared" si="140"/>
        <v>13-453 arg2</v>
      </c>
      <c r="K1066" t="str">
        <f t="shared" si="141"/>
        <v>13-453 feedback2</v>
      </c>
      <c r="L1066">
        <v>1</v>
      </c>
      <c r="M1066" t="s">
        <v>1285</v>
      </c>
      <c r="N1066">
        <v>1065</v>
      </c>
    </row>
    <row r="1067" spans="1:14">
      <c r="A1067">
        <v>8</v>
      </c>
      <c r="B1067">
        <f t="shared" si="134"/>
        <v>13</v>
      </c>
      <c r="C1067">
        <v>454</v>
      </c>
      <c r="D1067">
        <f t="shared" ca="1" si="135"/>
        <v>3</v>
      </c>
      <c r="E1067" t="str">
        <f t="shared" si="136"/>
        <v>13-454 arg1</v>
      </c>
      <c r="F1067">
        <f t="shared" ca="1" si="137"/>
        <v>3</v>
      </c>
      <c r="G1067" t="str">
        <f t="shared" si="138"/>
        <v>13-454 feedback1</v>
      </c>
      <c r="H1067">
        <v>1</v>
      </c>
      <c r="I1067">
        <f t="shared" ca="1" si="139"/>
        <v>3</v>
      </c>
      <c r="J1067" t="str">
        <f t="shared" si="140"/>
        <v>13-454 arg2</v>
      </c>
      <c r="K1067" t="str">
        <f t="shared" si="141"/>
        <v>13-454 feedback2</v>
      </c>
      <c r="L1067">
        <v>1</v>
      </c>
      <c r="M1067" t="s">
        <v>1285</v>
      </c>
      <c r="N1067">
        <v>1066</v>
      </c>
    </row>
    <row r="1068" spans="1:14">
      <c r="A1068">
        <v>8</v>
      </c>
      <c r="B1068">
        <f t="shared" si="134"/>
        <v>13</v>
      </c>
      <c r="C1068">
        <v>455</v>
      </c>
      <c r="D1068">
        <f t="shared" ca="1" si="135"/>
        <v>4</v>
      </c>
      <c r="E1068" t="str">
        <f t="shared" si="136"/>
        <v>13-455 arg1</v>
      </c>
      <c r="F1068">
        <f t="shared" ca="1" si="137"/>
        <v>3</v>
      </c>
      <c r="G1068" t="str">
        <f t="shared" si="138"/>
        <v>13-455 feedback1</v>
      </c>
      <c r="H1068">
        <v>1</v>
      </c>
      <c r="I1068">
        <f t="shared" ca="1" si="139"/>
        <v>3</v>
      </c>
      <c r="J1068" t="str">
        <f t="shared" si="140"/>
        <v>13-455 arg2</v>
      </c>
      <c r="K1068" t="str">
        <f t="shared" si="141"/>
        <v>13-455 feedback2</v>
      </c>
      <c r="L1068">
        <v>1</v>
      </c>
      <c r="M1068" t="s">
        <v>1285</v>
      </c>
      <c r="N1068">
        <v>1067</v>
      </c>
    </row>
    <row r="1069" spans="1:14">
      <c r="A1069">
        <v>8</v>
      </c>
      <c r="B1069">
        <f t="shared" si="134"/>
        <v>13</v>
      </c>
      <c r="C1069">
        <v>456</v>
      </c>
      <c r="D1069">
        <f t="shared" ca="1" si="135"/>
        <v>4</v>
      </c>
      <c r="E1069" t="str">
        <f t="shared" si="136"/>
        <v>13-456 arg1</v>
      </c>
      <c r="F1069">
        <f t="shared" ca="1" si="137"/>
        <v>3</v>
      </c>
      <c r="G1069" t="str">
        <f t="shared" si="138"/>
        <v>13-456 feedback1</v>
      </c>
      <c r="H1069">
        <v>1</v>
      </c>
      <c r="I1069">
        <f t="shared" ca="1" si="139"/>
        <v>4</v>
      </c>
      <c r="J1069" t="str">
        <f t="shared" si="140"/>
        <v>13-456 arg2</v>
      </c>
      <c r="K1069" t="str">
        <f t="shared" si="141"/>
        <v>13-456 feedback2</v>
      </c>
      <c r="L1069">
        <v>1</v>
      </c>
      <c r="M1069" t="s">
        <v>1285</v>
      </c>
      <c r="N1069">
        <v>1068</v>
      </c>
    </row>
    <row r="1070" spans="1:14">
      <c r="A1070">
        <v>8</v>
      </c>
      <c r="B1070">
        <f t="shared" si="134"/>
        <v>13</v>
      </c>
      <c r="C1070">
        <v>457</v>
      </c>
      <c r="D1070">
        <f t="shared" ca="1" si="135"/>
        <v>4</v>
      </c>
      <c r="E1070" t="str">
        <f t="shared" si="136"/>
        <v>13-457 arg1</v>
      </c>
      <c r="F1070">
        <f t="shared" ca="1" si="137"/>
        <v>4</v>
      </c>
      <c r="G1070" t="str">
        <f t="shared" si="138"/>
        <v>13-457 feedback1</v>
      </c>
      <c r="H1070">
        <v>1</v>
      </c>
      <c r="I1070">
        <f t="shared" ca="1" si="139"/>
        <v>5</v>
      </c>
      <c r="J1070" t="str">
        <f t="shared" si="140"/>
        <v>13-457 arg2</v>
      </c>
      <c r="K1070" t="str">
        <f t="shared" si="141"/>
        <v>13-457 feedback2</v>
      </c>
      <c r="L1070">
        <v>1</v>
      </c>
      <c r="M1070" t="s">
        <v>1285</v>
      </c>
      <c r="N1070">
        <v>1069</v>
      </c>
    </row>
    <row r="1071" spans="1:14">
      <c r="A1071">
        <v>8</v>
      </c>
      <c r="B1071">
        <f t="shared" si="134"/>
        <v>13</v>
      </c>
      <c r="C1071">
        <v>458</v>
      </c>
      <c r="D1071">
        <f t="shared" ca="1" si="135"/>
        <v>3</v>
      </c>
      <c r="E1071" t="str">
        <f t="shared" si="136"/>
        <v>13-458 arg1</v>
      </c>
      <c r="F1071">
        <f t="shared" ca="1" si="137"/>
        <v>3</v>
      </c>
      <c r="G1071" t="str">
        <f t="shared" si="138"/>
        <v>13-458 feedback1</v>
      </c>
      <c r="H1071">
        <v>1</v>
      </c>
      <c r="I1071">
        <f t="shared" ca="1" si="139"/>
        <v>3</v>
      </c>
      <c r="J1071" t="str">
        <f t="shared" si="140"/>
        <v>13-458 arg2</v>
      </c>
      <c r="K1071" t="str">
        <f t="shared" si="141"/>
        <v>13-458 feedback2</v>
      </c>
      <c r="L1071">
        <v>1</v>
      </c>
      <c r="M1071" t="s">
        <v>1285</v>
      </c>
      <c r="N1071">
        <v>1070</v>
      </c>
    </row>
    <row r="1072" spans="1:14">
      <c r="A1072">
        <v>8</v>
      </c>
      <c r="B1072">
        <f t="shared" si="134"/>
        <v>13</v>
      </c>
      <c r="C1072">
        <v>459</v>
      </c>
      <c r="D1072">
        <f t="shared" ca="1" si="135"/>
        <v>4</v>
      </c>
      <c r="E1072" t="str">
        <f t="shared" si="136"/>
        <v>13-459 arg1</v>
      </c>
      <c r="F1072">
        <f t="shared" ca="1" si="137"/>
        <v>3</v>
      </c>
      <c r="G1072" t="str">
        <f t="shared" si="138"/>
        <v>13-459 feedback1</v>
      </c>
      <c r="H1072">
        <v>1</v>
      </c>
      <c r="I1072">
        <f t="shared" ca="1" si="139"/>
        <v>3</v>
      </c>
      <c r="J1072" t="str">
        <f t="shared" si="140"/>
        <v>13-459 arg2</v>
      </c>
      <c r="K1072" t="str">
        <f t="shared" si="141"/>
        <v>13-459 feedback2</v>
      </c>
      <c r="L1072">
        <v>1</v>
      </c>
      <c r="M1072" t="s">
        <v>1285</v>
      </c>
      <c r="N1072">
        <v>1071</v>
      </c>
    </row>
    <row r="1073" spans="1:14">
      <c r="A1073">
        <v>8</v>
      </c>
      <c r="B1073">
        <f t="shared" si="134"/>
        <v>13</v>
      </c>
      <c r="C1073">
        <v>460</v>
      </c>
      <c r="D1073">
        <f t="shared" ca="1" si="135"/>
        <v>3</v>
      </c>
      <c r="E1073" t="str">
        <f t="shared" si="136"/>
        <v>13-460 arg1</v>
      </c>
      <c r="F1073">
        <f t="shared" ca="1" si="137"/>
        <v>2</v>
      </c>
      <c r="G1073" t="str">
        <f t="shared" si="138"/>
        <v>13-460 feedback1</v>
      </c>
      <c r="H1073">
        <v>1</v>
      </c>
      <c r="I1073">
        <f t="shared" ca="1" si="139"/>
        <v>2</v>
      </c>
      <c r="J1073" t="str">
        <f t="shared" si="140"/>
        <v>13-460 arg2</v>
      </c>
      <c r="K1073" t="str">
        <f t="shared" si="141"/>
        <v>13-460 feedback2</v>
      </c>
      <c r="L1073">
        <v>1</v>
      </c>
      <c r="M1073" t="s">
        <v>1285</v>
      </c>
      <c r="N1073">
        <v>1072</v>
      </c>
    </row>
    <row r="1074" spans="1:14">
      <c r="A1074">
        <v>8</v>
      </c>
      <c r="B1074">
        <f t="shared" si="134"/>
        <v>13</v>
      </c>
      <c r="C1074">
        <v>461</v>
      </c>
      <c r="D1074">
        <f t="shared" ca="1" si="135"/>
        <v>5</v>
      </c>
      <c r="E1074" t="str">
        <f t="shared" si="136"/>
        <v>13-461 arg1</v>
      </c>
      <c r="F1074">
        <f t="shared" ca="1" si="137"/>
        <v>4</v>
      </c>
      <c r="G1074" t="str">
        <f t="shared" si="138"/>
        <v>13-461 feedback1</v>
      </c>
      <c r="H1074">
        <v>1</v>
      </c>
      <c r="I1074">
        <f t="shared" ca="1" si="139"/>
        <v>4</v>
      </c>
      <c r="J1074" t="str">
        <f t="shared" si="140"/>
        <v>13-461 arg2</v>
      </c>
      <c r="K1074" t="str">
        <f t="shared" si="141"/>
        <v>13-461 feedback2</v>
      </c>
      <c r="L1074">
        <v>1</v>
      </c>
      <c r="M1074" t="s">
        <v>1285</v>
      </c>
      <c r="N1074">
        <v>1073</v>
      </c>
    </row>
    <row r="1075" spans="1:14">
      <c r="A1075">
        <v>8</v>
      </c>
      <c r="B1075">
        <f t="shared" si="134"/>
        <v>13</v>
      </c>
      <c r="C1075">
        <v>462</v>
      </c>
      <c r="D1075">
        <f t="shared" ca="1" si="135"/>
        <v>3</v>
      </c>
      <c r="E1075" t="str">
        <f t="shared" si="136"/>
        <v>13-462 arg1</v>
      </c>
      <c r="F1075">
        <f t="shared" ca="1" si="137"/>
        <v>2</v>
      </c>
      <c r="G1075" t="str">
        <f t="shared" si="138"/>
        <v>13-462 feedback1</v>
      </c>
      <c r="H1075">
        <v>1</v>
      </c>
      <c r="I1075">
        <f t="shared" ca="1" si="139"/>
        <v>2</v>
      </c>
      <c r="J1075" t="str">
        <f t="shared" si="140"/>
        <v>13-462 arg2</v>
      </c>
      <c r="K1075" t="str">
        <f t="shared" si="141"/>
        <v>13-462 feedback2</v>
      </c>
      <c r="L1075">
        <v>1</v>
      </c>
      <c r="M1075" t="s">
        <v>1285</v>
      </c>
      <c r="N1075">
        <v>1074</v>
      </c>
    </row>
    <row r="1076" spans="1:14">
      <c r="A1076">
        <v>8</v>
      </c>
      <c r="B1076">
        <f t="shared" si="134"/>
        <v>13</v>
      </c>
      <c r="C1076">
        <v>463</v>
      </c>
      <c r="D1076">
        <f t="shared" ca="1" si="135"/>
        <v>3</v>
      </c>
      <c r="E1076" t="str">
        <f t="shared" si="136"/>
        <v>13-463 arg1</v>
      </c>
      <c r="F1076">
        <f t="shared" ca="1" si="137"/>
        <v>2</v>
      </c>
      <c r="G1076" t="str">
        <f t="shared" si="138"/>
        <v>13-463 feedback1</v>
      </c>
      <c r="H1076">
        <v>1</v>
      </c>
      <c r="I1076">
        <f t="shared" ca="1" si="139"/>
        <v>2</v>
      </c>
      <c r="J1076" t="str">
        <f t="shared" si="140"/>
        <v>13-463 arg2</v>
      </c>
      <c r="K1076" t="str">
        <f t="shared" si="141"/>
        <v>13-463 feedback2</v>
      </c>
      <c r="L1076">
        <v>1</v>
      </c>
      <c r="M1076" t="s">
        <v>1285</v>
      </c>
      <c r="N1076">
        <v>1075</v>
      </c>
    </row>
    <row r="1077" spans="1:14">
      <c r="A1077">
        <v>8</v>
      </c>
      <c r="B1077">
        <f t="shared" si="134"/>
        <v>13</v>
      </c>
      <c r="C1077">
        <v>464</v>
      </c>
      <c r="D1077">
        <f t="shared" ca="1" si="135"/>
        <v>4</v>
      </c>
      <c r="E1077" t="str">
        <f t="shared" si="136"/>
        <v>13-464 arg1</v>
      </c>
      <c r="F1077">
        <f t="shared" ca="1" si="137"/>
        <v>2</v>
      </c>
      <c r="G1077" t="str">
        <f t="shared" si="138"/>
        <v>13-464 feedback1</v>
      </c>
      <c r="H1077">
        <v>1</v>
      </c>
      <c r="I1077">
        <f t="shared" ca="1" si="139"/>
        <v>2</v>
      </c>
      <c r="J1077" t="str">
        <f t="shared" si="140"/>
        <v>13-464 arg2</v>
      </c>
      <c r="K1077" t="str">
        <f t="shared" si="141"/>
        <v>13-464 feedback2</v>
      </c>
      <c r="L1077">
        <v>1</v>
      </c>
      <c r="M1077" t="s">
        <v>1285</v>
      </c>
      <c r="N1077">
        <v>1076</v>
      </c>
    </row>
    <row r="1078" spans="1:14">
      <c r="A1078">
        <v>8</v>
      </c>
      <c r="B1078">
        <f t="shared" ref="B1078:B1141" si="142">B993+1</f>
        <v>13</v>
      </c>
      <c r="C1078">
        <v>465</v>
      </c>
      <c r="D1078">
        <f t="shared" ca="1" si="135"/>
        <v>5</v>
      </c>
      <c r="E1078" t="str">
        <f t="shared" si="136"/>
        <v>13-465 arg1</v>
      </c>
      <c r="F1078">
        <f t="shared" ca="1" si="137"/>
        <v>5</v>
      </c>
      <c r="G1078" t="str">
        <f t="shared" si="138"/>
        <v>13-465 feedback1</v>
      </c>
      <c r="H1078">
        <v>1</v>
      </c>
      <c r="I1078">
        <f t="shared" ca="1" si="139"/>
        <v>5</v>
      </c>
      <c r="J1078" t="str">
        <f t="shared" si="140"/>
        <v>13-465 arg2</v>
      </c>
      <c r="K1078" t="str">
        <f t="shared" si="141"/>
        <v>13-465 feedback2</v>
      </c>
      <c r="L1078">
        <v>1</v>
      </c>
      <c r="M1078" t="s">
        <v>1285</v>
      </c>
      <c r="N1078">
        <v>1077</v>
      </c>
    </row>
    <row r="1079" spans="1:14">
      <c r="A1079">
        <v>8</v>
      </c>
      <c r="B1079">
        <f t="shared" si="142"/>
        <v>13</v>
      </c>
      <c r="C1079">
        <v>466</v>
      </c>
      <c r="D1079">
        <f t="shared" ca="1" si="135"/>
        <v>4</v>
      </c>
      <c r="E1079" t="str">
        <f t="shared" si="136"/>
        <v>13-466 arg1</v>
      </c>
      <c r="F1079">
        <f t="shared" ca="1" si="137"/>
        <v>2</v>
      </c>
      <c r="G1079" t="str">
        <f t="shared" si="138"/>
        <v>13-466 feedback1</v>
      </c>
      <c r="H1079">
        <v>1</v>
      </c>
      <c r="I1079">
        <f t="shared" ca="1" si="139"/>
        <v>3</v>
      </c>
      <c r="J1079" t="str">
        <f t="shared" si="140"/>
        <v>13-466 arg2</v>
      </c>
      <c r="K1079" t="str">
        <f t="shared" si="141"/>
        <v>13-466 feedback2</v>
      </c>
      <c r="L1079">
        <v>1</v>
      </c>
      <c r="M1079" t="s">
        <v>1285</v>
      </c>
      <c r="N1079">
        <v>1078</v>
      </c>
    </row>
    <row r="1080" spans="1:14">
      <c r="A1080">
        <v>8</v>
      </c>
      <c r="B1080">
        <f t="shared" si="142"/>
        <v>13</v>
      </c>
      <c r="C1080">
        <v>467</v>
      </c>
      <c r="D1080">
        <f t="shared" ca="1" si="135"/>
        <v>3</v>
      </c>
      <c r="E1080" t="str">
        <f t="shared" si="136"/>
        <v>13-467 arg1</v>
      </c>
      <c r="F1080">
        <f t="shared" ca="1" si="137"/>
        <v>2</v>
      </c>
      <c r="G1080" t="str">
        <f t="shared" si="138"/>
        <v>13-467 feedback1</v>
      </c>
      <c r="H1080">
        <v>1</v>
      </c>
      <c r="I1080">
        <f t="shared" ca="1" si="139"/>
        <v>2</v>
      </c>
      <c r="J1080" t="str">
        <f t="shared" si="140"/>
        <v>13-467 arg2</v>
      </c>
      <c r="K1080" t="str">
        <f t="shared" si="141"/>
        <v>13-467 feedback2</v>
      </c>
      <c r="L1080">
        <v>1</v>
      </c>
      <c r="M1080" t="s">
        <v>1285</v>
      </c>
      <c r="N1080">
        <v>1079</v>
      </c>
    </row>
    <row r="1081" spans="1:14">
      <c r="A1081">
        <v>8</v>
      </c>
      <c r="B1081">
        <f t="shared" si="142"/>
        <v>13</v>
      </c>
      <c r="C1081">
        <v>468</v>
      </c>
      <c r="D1081">
        <f t="shared" ca="1" si="135"/>
        <v>3</v>
      </c>
      <c r="E1081" t="str">
        <f t="shared" si="136"/>
        <v>13-468 arg1</v>
      </c>
      <c r="F1081">
        <f t="shared" ca="1" si="137"/>
        <v>3</v>
      </c>
      <c r="G1081" t="str">
        <f t="shared" si="138"/>
        <v>13-468 feedback1</v>
      </c>
      <c r="H1081">
        <v>1</v>
      </c>
      <c r="I1081">
        <f t="shared" ca="1" si="139"/>
        <v>4</v>
      </c>
      <c r="J1081" t="str">
        <f t="shared" si="140"/>
        <v>13-468 arg2</v>
      </c>
      <c r="K1081" t="str">
        <f t="shared" si="141"/>
        <v>13-468 feedback2</v>
      </c>
      <c r="L1081">
        <v>1</v>
      </c>
      <c r="M1081" t="s">
        <v>1285</v>
      </c>
      <c r="N1081">
        <v>1080</v>
      </c>
    </row>
    <row r="1082" spans="1:14">
      <c r="A1082">
        <v>8</v>
      </c>
      <c r="B1082">
        <f t="shared" si="142"/>
        <v>13</v>
      </c>
      <c r="C1082">
        <v>469</v>
      </c>
      <c r="D1082">
        <f t="shared" ca="1" si="135"/>
        <v>5</v>
      </c>
      <c r="E1082" t="str">
        <f t="shared" si="136"/>
        <v>13-469 arg1</v>
      </c>
      <c r="F1082">
        <f t="shared" ca="1" si="137"/>
        <v>3</v>
      </c>
      <c r="G1082" t="str">
        <f t="shared" si="138"/>
        <v>13-469 feedback1</v>
      </c>
      <c r="H1082">
        <v>1</v>
      </c>
      <c r="I1082">
        <f t="shared" ca="1" si="139"/>
        <v>4</v>
      </c>
      <c r="J1082" t="str">
        <f t="shared" si="140"/>
        <v>13-469 arg2</v>
      </c>
      <c r="K1082" t="str">
        <f t="shared" si="141"/>
        <v>13-469 feedback2</v>
      </c>
      <c r="L1082">
        <v>1</v>
      </c>
      <c r="M1082" t="s">
        <v>1285</v>
      </c>
      <c r="N1082">
        <v>1081</v>
      </c>
    </row>
    <row r="1083" spans="1:14">
      <c r="A1083">
        <v>8</v>
      </c>
      <c r="B1083">
        <f t="shared" si="142"/>
        <v>13</v>
      </c>
      <c r="C1083">
        <v>470</v>
      </c>
      <c r="D1083">
        <f t="shared" ca="1" si="135"/>
        <v>3</v>
      </c>
      <c r="E1083" t="str">
        <f t="shared" si="136"/>
        <v>13-470 arg1</v>
      </c>
      <c r="F1083">
        <f t="shared" ca="1" si="137"/>
        <v>2</v>
      </c>
      <c r="G1083" t="str">
        <f t="shared" si="138"/>
        <v>13-470 feedback1</v>
      </c>
      <c r="H1083">
        <v>1</v>
      </c>
      <c r="I1083">
        <f t="shared" ca="1" si="139"/>
        <v>3</v>
      </c>
      <c r="J1083" t="str">
        <f t="shared" si="140"/>
        <v>13-470 arg2</v>
      </c>
      <c r="K1083" t="str">
        <f t="shared" si="141"/>
        <v>13-470 feedback2</v>
      </c>
      <c r="L1083">
        <v>1</v>
      </c>
      <c r="M1083" t="s">
        <v>1285</v>
      </c>
      <c r="N1083">
        <v>1082</v>
      </c>
    </row>
    <row r="1084" spans="1:14">
      <c r="A1084">
        <v>8</v>
      </c>
      <c r="B1084">
        <f t="shared" si="142"/>
        <v>13</v>
      </c>
      <c r="C1084">
        <v>471</v>
      </c>
      <c r="D1084">
        <f t="shared" ca="1" si="135"/>
        <v>5</v>
      </c>
      <c r="E1084" t="str">
        <f t="shared" si="136"/>
        <v>13-471 arg1</v>
      </c>
      <c r="F1084">
        <f t="shared" ca="1" si="137"/>
        <v>4</v>
      </c>
      <c r="G1084" t="str">
        <f t="shared" si="138"/>
        <v>13-471 feedback1</v>
      </c>
      <c r="H1084">
        <v>1</v>
      </c>
      <c r="I1084">
        <f t="shared" ca="1" si="139"/>
        <v>5</v>
      </c>
      <c r="J1084" t="str">
        <f t="shared" si="140"/>
        <v>13-471 arg2</v>
      </c>
      <c r="K1084" t="str">
        <f t="shared" si="141"/>
        <v>13-471 feedback2</v>
      </c>
      <c r="L1084">
        <v>1</v>
      </c>
      <c r="M1084" t="s">
        <v>1285</v>
      </c>
      <c r="N1084">
        <v>1083</v>
      </c>
    </row>
    <row r="1085" spans="1:14">
      <c r="A1085">
        <v>8</v>
      </c>
      <c r="B1085">
        <f t="shared" si="142"/>
        <v>13</v>
      </c>
      <c r="C1085">
        <v>472</v>
      </c>
      <c r="D1085">
        <f t="shared" ca="1" si="135"/>
        <v>4</v>
      </c>
      <c r="E1085" t="str">
        <f t="shared" si="136"/>
        <v>13-472 arg1</v>
      </c>
      <c r="F1085">
        <f t="shared" ca="1" si="137"/>
        <v>3</v>
      </c>
      <c r="G1085" t="str">
        <f t="shared" si="138"/>
        <v>13-472 feedback1</v>
      </c>
      <c r="H1085">
        <v>1</v>
      </c>
      <c r="I1085">
        <f t="shared" ca="1" si="139"/>
        <v>3</v>
      </c>
      <c r="J1085" t="str">
        <f t="shared" si="140"/>
        <v>13-472 arg2</v>
      </c>
      <c r="K1085" t="str">
        <f t="shared" si="141"/>
        <v>13-472 feedback2</v>
      </c>
      <c r="L1085">
        <v>1</v>
      </c>
      <c r="M1085" t="s">
        <v>1285</v>
      </c>
      <c r="N1085">
        <v>1084</v>
      </c>
    </row>
    <row r="1086" spans="1:14">
      <c r="A1086">
        <v>8</v>
      </c>
      <c r="B1086">
        <f t="shared" si="142"/>
        <v>13</v>
      </c>
      <c r="C1086">
        <v>473</v>
      </c>
      <c r="D1086">
        <f t="shared" ca="1" si="135"/>
        <v>5</v>
      </c>
      <c r="E1086" t="str">
        <f t="shared" si="136"/>
        <v>13-473 arg1</v>
      </c>
      <c r="F1086">
        <f t="shared" ca="1" si="137"/>
        <v>3</v>
      </c>
      <c r="G1086" t="str">
        <f t="shared" si="138"/>
        <v>13-473 feedback1</v>
      </c>
      <c r="H1086">
        <v>1</v>
      </c>
      <c r="I1086">
        <f t="shared" ca="1" si="139"/>
        <v>3</v>
      </c>
      <c r="J1086" t="str">
        <f t="shared" si="140"/>
        <v>13-473 arg2</v>
      </c>
      <c r="K1086" t="str">
        <f t="shared" si="141"/>
        <v>13-473 feedback2</v>
      </c>
      <c r="L1086">
        <v>1</v>
      </c>
      <c r="M1086" t="s">
        <v>1285</v>
      </c>
      <c r="N1086">
        <v>1085</v>
      </c>
    </row>
    <row r="1087" spans="1:14">
      <c r="A1087">
        <v>8</v>
      </c>
      <c r="B1087">
        <f t="shared" si="142"/>
        <v>13</v>
      </c>
      <c r="C1087">
        <v>474</v>
      </c>
      <c r="D1087">
        <f t="shared" ca="1" si="135"/>
        <v>5</v>
      </c>
      <c r="E1087" t="str">
        <f t="shared" si="136"/>
        <v>13-474 arg1</v>
      </c>
      <c r="F1087">
        <f t="shared" ca="1" si="137"/>
        <v>4</v>
      </c>
      <c r="G1087" t="str">
        <f t="shared" si="138"/>
        <v>13-474 feedback1</v>
      </c>
      <c r="H1087">
        <v>1</v>
      </c>
      <c r="I1087">
        <f t="shared" ca="1" si="139"/>
        <v>5</v>
      </c>
      <c r="J1087" t="str">
        <f t="shared" si="140"/>
        <v>13-474 arg2</v>
      </c>
      <c r="K1087" t="str">
        <f t="shared" si="141"/>
        <v>13-474 feedback2</v>
      </c>
      <c r="L1087">
        <v>1</v>
      </c>
      <c r="M1087" t="s">
        <v>1285</v>
      </c>
      <c r="N1087">
        <v>1086</v>
      </c>
    </row>
    <row r="1088" spans="1:14">
      <c r="A1088">
        <v>8</v>
      </c>
      <c r="B1088">
        <f t="shared" si="142"/>
        <v>13</v>
      </c>
      <c r="C1088">
        <v>475</v>
      </c>
      <c r="D1088">
        <f t="shared" ca="1" si="135"/>
        <v>4</v>
      </c>
      <c r="E1088" t="str">
        <f t="shared" si="136"/>
        <v>13-475 arg1</v>
      </c>
      <c r="F1088">
        <f t="shared" ca="1" si="137"/>
        <v>3</v>
      </c>
      <c r="G1088" t="str">
        <f t="shared" si="138"/>
        <v>13-475 feedback1</v>
      </c>
      <c r="H1088">
        <v>1</v>
      </c>
      <c r="I1088">
        <f t="shared" ca="1" si="139"/>
        <v>3</v>
      </c>
      <c r="J1088" t="str">
        <f t="shared" si="140"/>
        <v>13-475 arg2</v>
      </c>
      <c r="K1088" t="str">
        <f t="shared" si="141"/>
        <v>13-475 feedback2</v>
      </c>
      <c r="L1088">
        <v>1</v>
      </c>
      <c r="M1088" t="s">
        <v>1285</v>
      </c>
      <c r="N1088">
        <v>1087</v>
      </c>
    </row>
    <row r="1089" spans="1:14">
      <c r="A1089">
        <v>8</v>
      </c>
      <c r="B1089">
        <f t="shared" si="142"/>
        <v>13</v>
      </c>
      <c r="C1089">
        <v>476</v>
      </c>
      <c r="D1089">
        <f t="shared" ca="1" si="135"/>
        <v>3</v>
      </c>
      <c r="E1089" t="str">
        <f t="shared" si="136"/>
        <v>13-476 arg1</v>
      </c>
      <c r="F1089">
        <f t="shared" ca="1" si="137"/>
        <v>1</v>
      </c>
      <c r="G1089" t="str">
        <f t="shared" si="138"/>
        <v>13-476 feedback1</v>
      </c>
      <c r="H1089">
        <v>1</v>
      </c>
      <c r="I1089">
        <f t="shared" ca="1" si="139"/>
        <v>1</v>
      </c>
      <c r="J1089" t="str">
        <f t="shared" si="140"/>
        <v>13-476 arg2</v>
      </c>
      <c r="K1089" t="str">
        <f t="shared" si="141"/>
        <v>13-476 feedback2</v>
      </c>
      <c r="L1089">
        <v>1</v>
      </c>
      <c r="M1089" t="s">
        <v>1285</v>
      </c>
      <c r="N1089">
        <v>1088</v>
      </c>
    </row>
    <row r="1090" spans="1:14">
      <c r="A1090">
        <v>8</v>
      </c>
      <c r="B1090">
        <f t="shared" si="142"/>
        <v>13</v>
      </c>
      <c r="C1090">
        <v>477</v>
      </c>
      <c r="D1090">
        <f t="shared" ca="1" si="135"/>
        <v>4</v>
      </c>
      <c r="E1090" t="str">
        <f t="shared" si="136"/>
        <v>13-477 arg1</v>
      </c>
      <c r="F1090">
        <f t="shared" ca="1" si="137"/>
        <v>4</v>
      </c>
      <c r="G1090" t="str">
        <f t="shared" si="138"/>
        <v>13-477 feedback1</v>
      </c>
      <c r="H1090">
        <v>1</v>
      </c>
      <c r="I1090">
        <f t="shared" ca="1" si="139"/>
        <v>5</v>
      </c>
      <c r="J1090" t="str">
        <f t="shared" si="140"/>
        <v>13-477 arg2</v>
      </c>
      <c r="K1090" t="str">
        <f t="shared" si="141"/>
        <v>13-477 feedback2</v>
      </c>
      <c r="L1090">
        <v>1</v>
      </c>
      <c r="M1090" t="s">
        <v>1285</v>
      </c>
      <c r="N1090">
        <v>1089</v>
      </c>
    </row>
    <row r="1091" spans="1:14">
      <c r="A1091">
        <v>8</v>
      </c>
      <c r="B1091">
        <f t="shared" si="142"/>
        <v>13</v>
      </c>
      <c r="C1091">
        <v>478</v>
      </c>
      <c r="D1091">
        <f t="shared" ref="D1091:D1154" ca="1" si="143">ROUND(3+2*RAND(),0)</f>
        <v>4</v>
      </c>
      <c r="E1091" t="str">
        <f t="shared" si="136"/>
        <v>13-478 arg1</v>
      </c>
      <c r="F1091">
        <f t="shared" ca="1" si="137"/>
        <v>2</v>
      </c>
      <c r="G1091" t="str">
        <f t="shared" si="138"/>
        <v>13-478 feedback1</v>
      </c>
      <c r="H1091">
        <v>1</v>
      </c>
      <c r="I1091">
        <f t="shared" ca="1" si="139"/>
        <v>3</v>
      </c>
      <c r="J1091" t="str">
        <f t="shared" si="140"/>
        <v>13-478 arg2</v>
      </c>
      <c r="K1091" t="str">
        <f t="shared" si="141"/>
        <v>13-478 feedback2</v>
      </c>
      <c r="L1091">
        <v>1</v>
      </c>
      <c r="M1091" t="s">
        <v>1285</v>
      </c>
      <c r="N1091">
        <v>1090</v>
      </c>
    </row>
    <row r="1092" spans="1:14">
      <c r="A1092">
        <v>8</v>
      </c>
      <c r="B1092">
        <f t="shared" si="142"/>
        <v>13</v>
      </c>
      <c r="C1092">
        <v>479</v>
      </c>
      <c r="D1092">
        <f t="shared" ca="1" si="143"/>
        <v>3</v>
      </c>
      <c r="E1092" t="str">
        <f t="shared" si="136"/>
        <v>13-479 arg1</v>
      </c>
      <c r="F1092">
        <f t="shared" ca="1" si="137"/>
        <v>1</v>
      </c>
      <c r="G1092" t="str">
        <f t="shared" si="138"/>
        <v>13-479 feedback1</v>
      </c>
      <c r="H1092">
        <v>1</v>
      </c>
      <c r="I1092">
        <f t="shared" ca="1" si="139"/>
        <v>1</v>
      </c>
      <c r="J1092" t="str">
        <f t="shared" si="140"/>
        <v>13-479 arg2</v>
      </c>
      <c r="K1092" t="str">
        <f t="shared" si="141"/>
        <v>13-479 feedback2</v>
      </c>
      <c r="L1092">
        <v>1</v>
      </c>
      <c r="M1092" t="s">
        <v>1285</v>
      </c>
      <c r="N1092">
        <v>1091</v>
      </c>
    </row>
    <row r="1093" spans="1:14">
      <c r="A1093">
        <v>8</v>
      </c>
      <c r="B1093">
        <f t="shared" si="142"/>
        <v>13</v>
      </c>
      <c r="C1093">
        <v>480</v>
      </c>
      <c r="D1093">
        <f t="shared" ca="1" si="143"/>
        <v>5</v>
      </c>
      <c r="E1093" t="str">
        <f t="shared" si="136"/>
        <v>13-480 arg1</v>
      </c>
      <c r="F1093">
        <f t="shared" ca="1" si="137"/>
        <v>4</v>
      </c>
      <c r="G1093" t="str">
        <f t="shared" si="138"/>
        <v>13-480 feedback1</v>
      </c>
      <c r="H1093">
        <v>1</v>
      </c>
      <c r="I1093">
        <f t="shared" ca="1" si="139"/>
        <v>4</v>
      </c>
      <c r="J1093" t="str">
        <f t="shared" si="140"/>
        <v>13-480 arg2</v>
      </c>
      <c r="K1093" t="str">
        <f t="shared" si="141"/>
        <v>13-480 feedback2</v>
      </c>
      <c r="L1093">
        <v>1</v>
      </c>
      <c r="M1093" t="s">
        <v>1285</v>
      </c>
      <c r="N1093">
        <v>1092</v>
      </c>
    </row>
    <row r="1094" spans="1:14">
      <c r="A1094">
        <v>8</v>
      </c>
      <c r="B1094">
        <f t="shared" si="142"/>
        <v>13</v>
      </c>
      <c r="C1094">
        <v>481</v>
      </c>
      <c r="D1094">
        <f t="shared" ca="1" si="143"/>
        <v>4</v>
      </c>
      <c r="E1094" t="str">
        <f t="shared" si="136"/>
        <v>13-481 arg1</v>
      </c>
      <c r="F1094">
        <f t="shared" ca="1" si="137"/>
        <v>2</v>
      </c>
      <c r="G1094" t="str">
        <f t="shared" si="138"/>
        <v>13-481 feedback1</v>
      </c>
      <c r="H1094">
        <v>1</v>
      </c>
      <c r="I1094">
        <f t="shared" ca="1" si="139"/>
        <v>2</v>
      </c>
      <c r="J1094" t="str">
        <f t="shared" si="140"/>
        <v>13-481 arg2</v>
      </c>
      <c r="K1094" t="str">
        <f t="shared" si="141"/>
        <v>13-481 feedback2</v>
      </c>
      <c r="L1094">
        <v>1</v>
      </c>
      <c r="M1094" t="s">
        <v>1285</v>
      </c>
      <c r="N1094">
        <v>1093</v>
      </c>
    </row>
    <row r="1095" spans="1:14">
      <c r="A1095">
        <v>8</v>
      </c>
      <c r="B1095">
        <f t="shared" si="142"/>
        <v>13</v>
      </c>
      <c r="C1095">
        <v>482</v>
      </c>
      <c r="D1095">
        <f t="shared" ca="1" si="143"/>
        <v>5</v>
      </c>
      <c r="E1095" t="str">
        <f t="shared" si="136"/>
        <v>13-482 arg1</v>
      </c>
      <c r="F1095">
        <f t="shared" ca="1" si="137"/>
        <v>4</v>
      </c>
      <c r="G1095" t="str">
        <f t="shared" si="138"/>
        <v>13-482 feedback1</v>
      </c>
      <c r="H1095">
        <v>1</v>
      </c>
      <c r="I1095">
        <f t="shared" ca="1" si="139"/>
        <v>5</v>
      </c>
      <c r="J1095" t="str">
        <f t="shared" si="140"/>
        <v>13-482 arg2</v>
      </c>
      <c r="K1095" t="str">
        <f t="shared" si="141"/>
        <v>13-482 feedback2</v>
      </c>
      <c r="L1095">
        <v>1</v>
      </c>
      <c r="M1095" t="s">
        <v>1285</v>
      </c>
      <c r="N1095">
        <v>1094</v>
      </c>
    </row>
    <row r="1096" spans="1:14">
      <c r="A1096">
        <v>8</v>
      </c>
      <c r="B1096">
        <f t="shared" si="142"/>
        <v>13</v>
      </c>
      <c r="C1096">
        <v>483</v>
      </c>
      <c r="D1096">
        <f t="shared" ca="1" si="143"/>
        <v>4</v>
      </c>
      <c r="E1096" t="str">
        <f t="shared" si="136"/>
        <v>13-483 arg1</v>
      </c>
      <c r="F1096">
        <f t="shared" ca="1" si="137"/>
        <v>3</v>
      </c>
      <c r="G1096" t="str">
        <f t="shared" si="138"/>
        <v>13-483 feedback1</v>
      </c>
      <c r="H1096">
        <v>1</v>
      </c>
      <c r="I1096">
        <f t="shared" ca="1" si="139"/>
        <v>3</v>
      </c>
      <c r="J1096" t="str">
        <f t="shared" si="140"/>
        <v>13-483 arg2</v>
      </c>
      <c r="K1096" t="str">
        <f t="shared" si="141"/>
        <v>13-483 feedback2</v>
      </c>
      <c r="L1096">
        <v>1</v>
      </c>
      <c r="M1096" t="s">
        <v>1285</v>
      </c>
      <c r="N1096">
        <v>1095</v>
      </c>
    </row>
    <row r="1097" spans="1:14">
      <c r="A1097">
        <v>8</v>
      </c>
      <c r="B1097">
        <f t="shared" si="142"/>
        <v>13</v>
      </c>
      <c r="C1097">
        <v>484</v>
      </c>
      <c r="D1097">
        <f t="shared" ca="1" si="143"/>
        <v>4</v>
      </c>
      <c r="E1097" t="str">
        <f t="shared" si="136"/>
        <v>13-484 arg1</v>
      </c>
      <c r="F1097">
        <f t="shared" ca="1" si="137"/>
        <v>3</v>
      </c>
      <c r="G1097" t="str">
        <f t="shared" si="138"/>
        <v>13-484 feedback1</v>
      </c>
      <c r="H1097">
        <v>1</v>
      </c>
      <c r="I1097">
        <f t="shared" ca="1" si="139"/>
        <v>3</v>
      </c>
      <c r="J1097" t="str">
        <f t="shared" si="140"/>
        <v>13-484 arg2</v>
      </c>
      <c r="K1097" t="str">
        <f t="shared" si="141"/>
        <v>13-484 feedback2</v>
      </c>
      <c r="L1097">
        <v>1</v>
      </c>
      <c r="M1097" t="s">
        <v>1285</v>
      </c>
      <c r="N1097">
        <v>1096</v>
      </c>
    </row>
    <row r="1098" spans="1:14">
      <c r="A1098">
        <v>8</v>
      </c>
      <c r="B1098">
        <f t="shared" si="142"/>
        <v>13</v>
      </c>
      <c r="C1098">
        <v>485</v>
      </c>
      <c r="D1098">
        <f t="shared" ca="1" si="143"/>
        <v>5</v>
      </c>
      <c r="E1098" t="str">
        <f t="shared" si="136"/>
        <v>13-485 arg1</v>
      </c>
      <c r="F1098">
        <f t="shared" ca="1" si="137"/>
        <v>3</v>
      </c>
      <c r="G1098" t="str">
        <f t="shared" si="138"/>
        <v>13-485 feedback1</v>
      </c>
      <c r="H1098">
        <v>1</v>
      </c>
      <c r="I1098">
        <f t="shared" ca="1" si="139"/>
        <v>4</v>
      </c>
      <c r="J1098" t="str">
        <f t="shared" si="140"/>
        <v>13-485 arg2</v>
      </c>
      <c r="K1098" t="str">
        <f t="shared" si="141"/>
        <v>13-485 feedback2</v>
      </c>
      <c r="L1098">
        <v>1</v>
      </c>
      <c r="M1098" t="s">
        <v>1285</v>
      </c>
      <c r="N1098">
        <v>1097</v>
      </c>
    </row>
    <row r="1099" spans="1:14">
      <c r="A1099">
        <v>8</v>
      </c>
      <c r="B1099">
        <f t="shared" si="142"/>
        <v>13</v>
      </c>
      <c r="C1099">
        <v>486</v>
      </c>
      <c r="D1099">
        <f t="shared" ca="1" si="143"/>
        <v>3</v>
      </c>
      <c r="E1099" t="str">
        <f t="shared" si="136"/>
        <v>13-486 arg1</v>
      </c>
      <c r="F1099">
        <f t="shared" ca="1" si="137"/>
        <v>3</v>
      </c>
      <c r="G1099" t="str">
        <f t="shared" si="138"/>
        <v>13-486 feedback1</v>
      </c>
      <c r="H1099">
        <v>1</v>
      </c>
      <c r="I1099">
        <f t="shared" ca="1" si="139"/>
        <v>4</v>
      </c>
      <c r="J1099" t="str">
        <f t="shared" si="140"/>
        <v>13-486 arg2</v>
      </c>
      <c r="K1099" t="str">
        <f t="shared" si="141"/>
        <v>13-486 feedback2</v>
      </c>
      <c r="L1099">
        <v>1</v>
      </c>
      <c r="M1099" t="s">
        <v>1285</v>
      </c>
      <c r="N1099">
        <v>1098</v>
      </c>
    </row>
    <row r="1100" spans="1:14">
      <c r="A1100">
        <v>8</v>
      </c>
      <c r="B1100">
        <f t="shared" si="142"/>
        <v>13</v>
      </c>
      <c r="C1100">
        <v>487</v>
      </c>
      <c r="D1100">
        <f t="shared" ca="1" si="143"/>
        <v>4</v>
      </c>
      <c r="E1100" t="str">
        <f t="shared" si="136"/>
        <v>13-487 arg1</v>
      </c>
      <c r="F1100">
        <f t="shared" ca="1" si="137"/>
        <v>2</v>
      </c>
      <c r="G1100" t="str">
        <f t="shared" si="138"/>
        <v>13-487 feedback1</v>
      </c>
      <c r="H1100">
        <v>1</v>
      </c>
      <c r="I1100">
        <f t="shared" ca="1" si="139"/>
        <v>2</v>
      </c>
      <c r="J1100" t="str">
        <f t="shared" si="140"/>
        <v>13-487 arg2</v>
      </c>
      <c r="K1100" t="str">
        <f t="shared" si="141"/>
        <v>13-487 feedback2</v>
      </c>
      <c r="L1100">
        <v>1</v>
      </c>
      <c r="M1100" t="s">
        <v>1285</v>
      </c>
      <c r="N1100">
        <v>1099</v>
      </c>
    </row>
    <row r="1101" spans="1:14">
      <c r="A1101">
        <v>8</v>
      </c>
      <c r="B1101">
        <f t="shared" si="142"/>
        <v>13</v>
      </c>
      <c r="C1101">
        <v>488</v>
      </c>
      <c r="D1101">
        <f t="shared" ca="1" si="143"/>
        <v>4</v>
      </c>
      <c r="E1101" t="str">
        <f t="shared" si="136"/>
        <v>13-488 arg1</v>
      </c>
      <c r="F1101">
        <f t="shared" ca="1" si="137"/>
        <v>3</v>
      </c>
      <c r="G1101" t="str">
        <f t="shared" si="138"/>
        <v>13-488 feedback1</v>
      </c>
      <c r="H1101">
        <v>1</v>
      </c>
      <c r="I1101">
        <f t="shared" ca="1" si="139"/>
        <v>3</v>
      </c>
      <c r="J1101" t="str">
        <f t="shared" si="140"/>
        <v>13-488 arg2</v>
      </c>
      <c r="K1101" t="str">
        <f t="shared" si="141"/>
        <v>13-488 feedback2</v>
      </c>
      <c r="L1101">
        <v>1</v>
      </c>
      <c r="M1101" t="s">
        <v>1285</v>
      </c>
      <c r="N1101">
        <v>1100</v>
      </c>
    </row>
    <row r="1102" spans="1:14">
      <c r="A1102">
        <v>8</v>
      </c>
      <c r="B1102">
        <f t="shared" si="142"/>
        <v>13</v>
      </c>
      <c r="C1102">
        <v>489</v>
      </c>
      <c r="D1102">
        <f t="shared" ca="1" si="143"/>
        <v>4</v>
      </c>
      <c r="E1102" t="str">
        <f t="shared" si="136"/>
        <v>13-489 arg1</v>
      </c>
      <c r="F1102">
        <f t="shared" ca="1" si="137"/>
        <v>3</v>
      </c>
      <c r="G1102" t="str">
        <f t="shared" si="138"/>
        <v>13-489 feedback1</v>
      </c>
      <c r="H1102">
        <v>1</v>
      </c>
      <c r="I1102">
        <f t="shared" ca="1" si="139"/>
        <v>3</v>
      </c>
      <c r="J1102" t="str">
        <f t="shared" si="140"/>
        <v>13-489 arg2</v>
      </c>
      <c r="K1102" t="str">
        <f t="shared" si="141"/>
        <v>13-489 feedback2</v>
      </c>
      <c r="L1102">
        <v>1</v>
      </c>
      <c r="M1102" t="s">
        <v>1285</v>
      </c>
      <c r="N1102">
        <v>1101</v>
      </c>
    </row>
    <row r="1103" spans="1:14">
      <c r="A1103">
        <v>8</v>
      </c>
      <c r="B1103">
        <f t="shared" si="142"/>
        <v>13</v>
      </c>
      <c r="C1103">
        <v>490</v>
      </c>
      <c r="D1103">
        <f t="shared" ca="1" si="143"/>
        <v>3</v>
      </c>
      <c r="E1103" t="str">
        <f t="shared" si="136"/>
        <v>13-490 arg1</v>
      </c>
      <c r="F1103">
        <f t="shared" ca="1" si="137"/>
        <v>1</v>
      </c>
      <c r="G1103" t="str">
        <f t="shared" si="138"/>
        <v>13-490 feedback1</v>
      </c>
      <c r="H1103">
        <v>1</v>
      </c>
      <c r="I1103">
        <f t="shared" ca="1" si="139"/>
        <v>2</v>
      </c>
      <c r="J1103" t="str">
        <f t="shared" si="140"/>
        <v>13-490 arg2</v>
      </c>
      <c r="K1103" t="str">
        <f t="shared" si="141"/>
        <v>13-490 feedback2</v>
      </c>
      <c r="L1103">
        <v>1</v>
      </c>
      <c r="M1103" t="s">
        <v>1285</v>
      </c>
      <c r="N1103">
        <v>1102</v>
      </c>
    </row>
    <row r="1104" spans="1:14">
      <c r="A1104">
        <v>8</v>
      </c>
      <c r="B1104">
        <f t="shared" si="142"/>
        <v>13</v>
      </c>
      <c r="C1104">
        <v>491</v>
      </c>
      <c r="D1104">
        <f t="shared" ca="1" si="143"/>
        <v>5</v>
      </c>
      <c r="E1104" t="str">
        <f t="shared" si="136"/>
        <v>13-491 arg1</v>
      </c>
      <c r="F1104">
        <f t="shared" ca="1" si="137"/>
        <v>3</v>
      </c>
      <c r="G1104" t="str">
        <f t="shared" si="138"/>
        <v>13-491 feedback1</v>
      </c>
      <c r="H1104">
        <v>1</v>
      </c>
      <c r="I1104">
        <f t="shared" ca="1" si="139"/>
        <v>4</v>
      </c>
      <c r="J1104" t="str">
        <f t="shared" si="140"/>
        <v>13-491 arg2</v>
      </c>
      <c r="K1104" t="str">
        <f t="shared" si="141"/>
        <v>13-491 feedback2</v>
      </c>
      <c r="L1104">
        <v>1</v>
      </c>
      <c r="M1104" t="s">
        <v>1285</v>
      </c>
      <c r="N1104">
        <v>1103</v>
      </c>
    </row>
    <row r="1105" spans="1:14">
      <c r="A1105">
        <v>8</v>
      </c>
      <c r="B1105">
        <f t="shared" si="142"/>
        <v>13</v>
      </c>
      <c r="C1105">
        <v>492</v>
      </c>
      <c r="D1105">
        <f t="shared" ca="1" si="143"/>
        <v>4</v>
      </c>
      <c r="E1105" t="str">
        <f t="shared" si="136"/>
        <v>13-492 arg1</v>
      </c>
      <c r="F1105">
        <f t="shared" ca="1" si="137"/>
        <v>2</v>
      </c>
      <c r="G1105" t="str">
        <f t="shared" si="138"/>
        <v>13-492 feedback1</v>
      </c>
      <c r="H1105">
        <v>1</v>
      </c>
      <c r="I1105">
        <f t="shared" ca="1" si="139"/>
        <v>3</v>
      </c>
      <c r="J1105" t="str">
        <f t="shared" si="140"/>
        <v>13-492 arg2</v>
      </c>
      <c r="K1105" t="str">
        <f t="shared" si="141"/>
        <v>13-492 feedback2</v>
      </c>
      <c r="L1105">
        <v>1</v>
      </c>
      <c r="M1105" t="s">
        <v>1285</v>
      </c>
      <c r="N1105">
        <v>1104</v>
      </c>
    </row>
    <row r="1106" spans="1:14">
      <c r="A1106">
        <v>8</v>
      </c>
      <c r="B1106">
        <f t="shared" si="142"/>
        <v>13</v>
      </c>
      <c r="C1106">
        <v>493</v>
      </c>
      <c r="D1106">
        <f t="shared" ca="1" si="143"/>
        <v>5</v>
      </c>
      <c r="E1106" t="str">
        <f t="shared" si="136"/>
        <v>13-493 arg1</v>
      </c>
      <c r="F1106">
        <f t="shared" ca="1" si="137"/>
        <v>4</v>
      </c>
      <c r="G1106" t="str">
        <f t="shared" si="138"/>
        <v>13-493 feedback1</v>
      </c>
      <c r="H1106">
        <v>1</v>
      </c>
      <c r="I1106">
        <f t="shared" ca="1" si="139"/>
        <v>4</v>
      </c>
      <c r="J1106" t="str">
        <f t="shared" si="140"/>
        <v>13-493 arg2</v>
      </c>
      <c r="K1106" t="str">
        <f t="shared" si="141"/>
        <v>13-493 feedback2</v>
      </c>
      <c r="L1106">
        <v>1</v>
      </c>
      <c r="M1106" t="s">
        <v>1285</v>
      </c>
      <c r="N1106">
        <v>1105</v>
      </c>
    </row>
    <row r="1107" spans="1:14">
      <c r="A1107">
        <v>8</v>
      </c>
      <c r="B1107">
        <f t="shared" si="142"/>
        <v>14</v>
      </c>
      <c r="C1107">
        <v>409</v>
      </c>
      <c r="D1107">
        <f t="shared" ca="1" si="143"/>
        <v>4</v>
      </c>
      <c r="E1107" t="str">
        <f t="shared" si="136"/>
        <v>14-409 arg1</v>
      </c>
      <c r="F1107">
        <f t="shared" ca="1" si="137"/>
        <v>2</v>
      </c>
      <c r="G1107" t="str">
        <f t="shared" si="138"/>
        <v>14-409 feedback1</v>
      </c>
      <c r="H1107">
        <v>1</v>
      </c>
      <c r="I1107">
        <f t="shared" ca="1" si="139"/>
        <v>2</v>
      </c>
      <c r="J1107" t="str">
        <f t="shared" si="140"/>
        <v>14-409 arg2</v>
      </c>
      <c r="K1107" t="str">
        <f t="shared" si="141"/>
        <v>14-409 feedback2</v>
      </c>
      <c r="L1107">
        <v>1</v>
      </c>
      <c r="M1107" t="s">
        <v>1285</v>
      </c>
      <c r="N1107">
        <v>1106</v>
      </c>
    </row>
    <row r="1108" spans="1:14">
      <c r="A1108">
        <v>8</v>
      </c>
      <c r="B1108">
        <f t="shared" si="142"/>
        <v>14</v>
      </c>
      <c r="C1108">
        <v>410</v>
      </c>
      <c r="D1108">
        <f t="shared" ca="1" si="143"/>
        <v>3</v>
      </c>
      <c r="E1108" t="str">
        <f t="shared" si="136"/>
        <v>14-410 arg1</v>
      </c>
      <c r="F1108">
        <f t="shared" ca="1" si="137"/>
        <v>1</v>
      </c>
      <c r="G1108" t="str">
        <f t="shared" si="138"/>
        <v>14-410 feedback1</v>
      </c>
      <c r="H1108">
        <v>1</v>
      </c>
      <c r="I1108">
        <f t="shared" ca="1" si="139"/>
        <v>1</v>
      </c>
      <c r="J1108" t="str">
        <f t="shared" si="140"/>
        <v>14-410 arg2</v>
      </c>
      <c r="K1108" t="str">
        <f t="shared" si="141"/>
        <v>14-410 feedback2</v>
      </c>
      <c r="L1108">
        <v>1</v>
      </c>
      <c r="M1108" t="s">
        <v>1285</v>
      </c>
      <c r="N1108">
        <v>1107</v>
      </c>
    </row>
    <row r="1109" spans="1:14">
      <c r="A1109">
        <v>8</v>
      </c>
      <c r="B1109">
        <f t="shared" si="142"/>
        <v>14</v>
      </c>
      <c r="C1109">
        <v>411</v>
      </c>
      <c r="D1109">
        <f t="shared" ca="1" si="143"/>
        <v>4</v>
      </c>
      <c r="E1109" t="str">
        <f t="shared" ref="E1109:E1172" si="144">_xlfn.CONCAT(B1109,"-",C1109," arg1")</f>
        <v>14-411 arg1</v>
      </c>
      <c r="F1109">
        <f t="shared" ref="F1109:F1172" ca="1" si="145">D1109-ROUND(2*RAND(),0)</f>
        <v>3</v>
      </c>
      <c r="G1109" t="str">
        <f t="shared" ref="G1109:G1172" si="146">_xlfn.CONCAT(B1109,"-",C1109," feedback1")</f>
        <v>14-411 feedback1</v>
      </c>
      <c r="H1109">
        <v>1</v>
      </c>
      <c r="I1109">
        <f t="shared" ref="I1109:I1172" ca="1" si="147">MIN(5,F1109+ROUND(RAND(),0))</f>
        <v>4</v>
      </c>
      <c r="J1109" t="str">
        <f t="shared" ref="J1109:J1172" si="148">_xlfn.CONCAT(B1109,"-",C1109," arg2")</f>
        <v>14-411 arg2</v>
      </c>
      <c r="K1109" t="str">
        <f t="shared" ref="K1109:K1172" si="149">_xlfn.CONCAT(B1109,"-",C1109," feedback2")</f>
        <v>14-411 feedback2</v>
      </c>
      <c r="L1109">
        <v>1</v>
      </c>
      <c r="M1109" t="s">
        <v>1285</v>
      </c>
      <c r="N1109">
        <v>1108</v>
      </c>
    </row>
    <row r="1110" spans="1:14">
      <c r="A1110">
        <v>8</v>
      </c>
      <c r="B1110">
        <f t="shared" si="142"/>
        <v>14</v>
      </c>
      <c r="C1110">
        <v>412</v>
      </c>
      <c r="D1110">
        <f t="shared" ca="1" si="143"/>
        <v>4</v>
      </c>
      <c r="E1110" t="str">
        <f t="shared" si="144"/>
        <v>14-412 arg1</v>
      </c>
      <c r="F1110">
        <f t="shared" ca="1" si="145"/>
        <v>4</v>
      </c>
      <c r="G1110" t="str">
        <f t="shared" si="146"/>
        <v>14-412 feedback1</v>
      </c>
      <c r="H1110">
        <v>1</v>
      </c>
      <c r="I1110">
        <f t="shared" ca="1" si="147"/>
        <v>5</v>
      </c>
      <c r="J1110" t="str">
        <f t="shared" si="148"/>
        <v>14-412 arg2</v>
      </c>
      <c r="K1110" t="str">
        <f t="shared" si="149"/>
        <v>14-412 feedback2</v>
      </c>
      <c r="L1110">
        <v>1</v>
      </c>
      <c r="M1110" t="s">
        <v>1285</v>
      </c>
      <c r="N1110">
        <v>1109</v>
      </c>
    </row>
    <row r="1111" spans="1:14">
      <c r="A1111">
        <v>8</v>
      </c>
      <c r="B1111">
        <f t="shared" si="142"/>
        <v>14</v>
      </c>
      <c r="C1111">
        <v>413</v>
      </c>
      <c r="D1111">
        <f t="shared" ca="1" si="143"/>
        <v>3</v>
      </c>
      <c r="E1111" t="str">
        <f t="shared" si="144"/>
        <v>14-413 arg1</v>
      </c>
      <c r="F1111">
        <f t="shared" ca="1" si="145"/>
        <v>3</v>
      </c>
      <c r="G1111" t="str">
        <f t="shared" si="146"/>
        <v>14-413 feedback1</v>
      </c>
      <c r="H1111">
        <v>1</v>
      </c>
      <c r="I1111">
        <f t="shared" ca="1" si="147"/>
        <v>4</v>
      </c>
      <c r="J1111" t="str">
        <f t="shared" si="148"/>
        <v>14-413 arg2</v>
      </c>
      <c r="K1111" t="str">
        <f t="shared" si="149"/>
        <v>14-413 feedback2</v>
      </c>
      <c r="L1111">
        <v>1</v>
      </c>
      <c r="M1111" t="s">
        <v>1285</v>
      </c>
      <c r="N1111">
        <v>1110</v>
      </c>
    </row>
    <row r="1112" spans="1:14">
      <c r="A1112">
        <v>8</v>
      </c>
      <c r="B1112">
        <f t="shared" si="142"/>
        <v>14</v>
      </c>
      <c r="C1112">
        <v>414</v>
      </c>
      <c r="D1112">
        <f t="shared" ca="1" si="143"/>
        <v>5</v>
      </c>
      <c r="E1112" t="str">
        <f t="shared" si="144"/>
        <v>14-414 arg1</v>
      </c>
      <c r="F1112">
        <f t="shared" ca="1" si="145"/>
        <v>4</v>
      </c>
      <c r="G1112" t="str">
        <f t="shared" si="146"/>
        <v>14-414 feedback1</v>
      </c>
      <c r="H1112">
        <v>1</v>
      </c>
      <c r="I1112">
        <f t="shared" ca="1" si="147"/>
        <v>4</v>
      </c>
      <c r="J1112" t="str">
        <f t="shared" si="148"/>
        <v>14-414 arg2</v>
      </c>
      <c r="K1112" t="str">
        <f t="shared" si="149"/>
        <v>14-414 feedback2</v>
      </c>
      <c r="L1112">
        <v>1</v>
      </c>
      <c r="M1112" t="s">
        <v>1285</v>
      </c>
      <c r="N1112">
        <v>1111</v>
      </c>
    </row>
    <row r="1113" spans="1:14">
      <c r="A1113">
        <v>8</v>
      </c>
      <c r="B1113">
        <f t="shared" si="142"/>
        <v>14</v>
      </c>
      <c r="C1113">
        <v>415</v>
      </c>
      <c r="D1113">
        <f t="shared" ca="1" si="143"/>
        <v>4</v>
      </c>
      <c r="E1113" t="str">
        <f t="shared" si="144"/>
        <v>14-415 arg1</v>
      </c>
      <c r="F1113">
        <f t="shared" ca="1" si="145"/>
        <v>3</v>
      </c>
      <c r="G1113" t="str">
        <f t="shared" si="146"/>
        <v>14-415 feedback1</v>
      </c>
      <c r="H1113">
        <v>1</v>
      </c>
      <c r="I1113">
        <f t="shared" ca="1" si="147"/>
        <v>3</v>
      </c>
      <c r="J1113" t="str">
        <f t="shared" si="148"/>
        <v>14-415 arg2</v>
      </c>
      <c r="K1113" t="str">
        <f t="shared" si="149"/>
        <v>14-415 feedback2</v>
      </c>
      <c r="L1113">
        <v>1</v>
      </c>
      <c r="M1113" t="s">
        <v>1285</v>
      </c>
      <c r="N1113">
        <v>1112</v>
      </c>
    </row>
    <row r="1114" spans="1:14">
      <c r="A1114">
        <v>8</v>
      </c>
      <c r="B1114">
        <f t="shared" si="142"/>
        <v>14</v>
      </c>
      <c r="C1114">
        <v>416</v>
      </c>
      <c r="D1114">
        <f t="shared" ca="1" si="143"/>
        <v>4</v>
      </c>
      <c r="E1114" t="str">
        <f t="shared" si="144"/>
        <v>14-416 arg1</v>
      </c>
      <c r="F1114">
        <f t="shared" ca="1" si="145"/>
        <v>3</v>
      </c>
      <c r="G1114" t="str">
        <f t="shared" si="146"/>
        <v>14-416 feedback1</v>
      </c>
      <c r="H1114">
        <v>1</v>
      </c>
      <c r="I1114">
        <f t="shared" ca="1" si="147"/>
        <v>4</v>
      </c>
      <c r="J1114" t="str">
        <f t="shared" si="148"/>
        <v>14-416 arg2</v>
      </c>
      <c r="K1114" t="str">
        <f t="shared" si="149"/>
        <v>14-416 feedback2</v>
      </c>
      <c r="L1114">
        <v>1</v>
      </c>
      <c r="M1114" t="s">
        <v>1285</v>
      </c>
      <c r="N1114">
        <v>1113</v>
      </c>
    </row>
    <row r="1115" spans="1:14">
      <c r="A1115">
        <v>8</v>
      </c>
      <c r="B1115">
        <f t="shared" si="142"/>
        <v>14</v>
      </c>
      <c r="C1115">
        <v>417</v>
      </c>
      <c r="D1115">
        <f t="shared" ca="1" si="143"/>
        <v>5</v>
      </c>
      <c r="E1115" t="str">
        <f t="shared" si="144"/>
        <v>14-417 arg1</v>
      </c>
      <c r="F1115">
        <f t="shared" ca="1" si="145"/>
        <v>3</v>
      </c>
      <c r="G1115" t="str">
        <f t="shared" si="146"/>
        <v>14-417 feedback1</v>
      </c>
      <c r="H1115">
        <v>1</v>
      </c>
      <c r="I1115">
        <f t="shared" ca="1" si="147"/>
        <v>3</v>
      </c>
      <c r="J1115" t="str">
        <f t="shared" si="148"/>
        <v>14-417 arg2</v>
      </c>
      <c r="K1115" t="str">
        <f t="shared" si="149"/>
        <v>14-417 feedback2</v>
      </c>
      <c r="L1115">
        <v>1</v>
      </c>
      <c r="M1115" t="s">
        <v>1285</v>
      </c>
      <c r="N1115">
        <v>1114</v>
      </c>
    </row>
    <row r="1116" spans="1:14">
      <c r="A1116">
        <v>8</v>
      </c>
      <c r="B1116">
        <f t="shared" si="142"/>
        <v>14</v>
      </c>
      <c r="C1116">
        <v>418</v>
      </c>
      <c r="D1116">
        <f t="shared" ca="1" si="143"/>
        <v>4</v>
      </c>
      <c r="E1116" t="str">
        <f t="shared" si="144"/>
        <v>14-418 arg1</v>
      </c>
      <c r="F1116">
        <f t="shared" ca="1" si="145"/>
        <v>3</v>
      </c>
      <c r="G1116" t="str">
        <f t="shared" si="146"/>
        <v>14-418 feedback1</v>
      </c>
      <c r="H1116">
        <v>1</v>
      </c>
      <c r="I1116">
        <f t="shared" ca="1" si="147"/>
        <v>4</v>
      </c>
      <c r="J1116" t="str">
        <f t="shared" si="148"/>
        <v>14-418 arg2</v>
      </c>
      <c r="K1116" t="str">
        <f t="shared" si="149"/>
        <v>14-418 feedback2</v>
      </c>
      <c r="L1116">
        <v>1</v>
      </c>
      <c r="M1116" t="s">
        <v>1285</v>
      </c>
      <c r="N1116">
        <v>1115</v>
      </c>
    </row>
    <row r="1117" spans="1:14">
      <c r="A1117">
        <v>8</v>
      </c>
      <c r="B1117">
        <f t="shared" si="142"/>
        <v>14</v>
      </c>
      <c r="C1117">
        <v>419</v>
      </c>
      <c r="D1117">
        <f t="shared" ca="1" si="143"/>
        <v>5</v>
      </c>
      <c r="E1117" t="str">
        <f t="shared" si="144"/>
        <v>14-419 arg1</v>
      </c>
      <c r="F1117">
        <f t="shared" ca="1" si="145"/>
        <v>4</v>
      </c>
      <c r="G1117" t="str">
        <f t="shared" si="146"/>
        <v>14-419 feedback1</v>
      </c>
      <c r="H1117">
        <v>1</v>
      </c>
      <c r="I1117">
        <f t="shared" ca="1" si="147"/>
        <v>4</v>
      </c>
      <c r="J1117" t="str">
        <f t="shared" si="148"/>
        <v>14-419 arg2</v>
      </c>
      <c r="K1117" t="str">
        <f t="shared" si="149"/>
        <v>14-419 feedback2</v>
      </c>
      <c r="L1117">
        <v>1</v>
      </c>
      <c r="M1117" t="s">
        <v>1285</v>
      </c>
      <c r="N1117">
        <v>1116</v>
      </c>
    </row>
    <row r="1118" spans="1:14">
      <c r="A1118">
        <v>8</v>
      </c>
      <c r="B1118">
        <f t="shared" si="142"/>
        <v>14</v>
      </c>
      <c r="C1118">
        <v>420</v>
      </c>
      <c r="D1118">
        <f t="shared" ca="1" si="143"/>
        <v>4</v>
      </c>
      <c r="E1118" t="str">
        <f t="shared" si="144"/>
        <v>14-420 arg1</v>
      </c>
      <c r="F1118">
        <f t="shared" ca="1" si="145"/>
        <v>3</v>
      </c>
      <c r="G1118" t="str">
        <f t="shared" si="146"/>
        <v>14-420 feedback1</v>
      </c>
      <c r="H1118">
        <v>1</v>
      </c>
      <c r="I1118">
        <f t="shared" ca="1" si="147"/>
        <v>3</v>
      </c>
      <c r="J1118" t="str">
        <f t="shared" si="148"/>
        <v>14-420 arg2</v>
      </c>
      <c r="K1118" t="str">
        <f t="shared" si="149"/>
        <v>14-420 feedback2</v>
      </c>
      <c r="L1118">
        <v>1</v>
      </c>
      <c r="M1118" t="s">
        <v>1285</v>
      </c>
      <c r="N1118">
        <v>1117</v>
      </c>
    </row>
    <row r="1119" spans="1:14">
      <c r="A1119">
        <v>8</v>
      </c>
      <c r="B1119">
        <f t="shared" si="142"/>
        <v>14</v>
      </c>
      <c r="C1119">
        <v>421</v>
      </c>
      <c r="D1119">
        <f t="shared" ca="1" si="143"/>
        <v>3</v>
      </c>
      <c r="E1119" t="str">
        <f t="shared" si="144"/>
        <v>14-421 arg1</v>
      </c>
      <c r="F1119">
        <f t="shared" ca="1" si="145"/>
        <v>2</v>
      </c>
      <c r="G1119" t="str">
        <f t="shared" si="146"/>
        <v>14-421 feedback1</v>
      </c>
      <c r="H1119">
        <v>1</v>
      </c>
      <c r="I1119">
        <f t="shared" ca="1" si="147"/>
        <v>2</v>
      </c>
      <c r="J1119" t="str">
        <f t="shared" si="148"/>
        <v>14-421 arg2</v>
      </c>
      <c r="K1119" t="str">
        <f t="shared" si="149"/>
        <v>14-421 feedback2</v>
      </c>
      <c r="L1119">
        <v>1</v>
      </c>
      <c r="M1119" t="s">
        <v>1285</v>
      </c>
      <c r="N1119">
        <v>1118</v>
      </c>
    </row>
    <row r="1120" spans="1:14">
      <c r="A1120">
        <v>8</v>
      </c>
      <c r="B1120">
        <f t="shared" si="142"/>
        <v>14</v>
      </c>
      <c r="C1120">
        <v>422</v>
      </c>
      <c r="D1120">
        <f t="shared" ca="1" si="143"/>
        <v>4</v>
      </c>
      <c r="E1120" t="str">
        <f t="shared" si="144"/>
        <v>14-422 arg1</v>
      </c>
      <c r="F1120">
        <f t="shared" ca="1" si="145"/>
        <v>3</v>
      </c>
      <c r="G1120" t="str">
        <f t="shared" si="146"/>
        <v>14-422 feedback1</v>
      </c>
      <c r="H1120">
        <v>1</v>
      </c>
      <c r="I1120">
        <f t="shared" ca="1" si="147"/>
        <v>3</v>
      </c>
      <c r="J1120" t="str">
        <f t="shared" si="148"/>
        <v>14-422 arg2</v>
      </c>
      <c r="K1120" t="str">
        <f t="shared" si="149"/>
        <v>14-422 feedback2</v>
      </c>
      <c r="L1120">
        <v>1</v>
      </c>
      <c r="M1120" t="s">
        <v>1285</v>
      </c>
      <c r="N1120">
        <v>1119</v>
      </c>
    </row>
    <row r="1121" spans="1:14">
      <c r="A1121">
        <v>8</v>
      </c>
      <c r="B1121">
        <f t="shared" si="142"/>
        <v>14</v>
      </c>
      <c r="C1121">
        <v>423</v>
      </c>
      <c r="D1121">
        <f t="shared" ca="1" si="143"/>
        <v>4</v>
      </c>
      <c r="E1121" t="str">
        <f t="shared" si="144"/>
        <v>14-423 arg1</v>
      </c>
      <c r="F1121">
        <f t="shared" ca="1" si="145"/>
        <v>2</v>
      </c>
      <c r="G1121" t="str">
        <f t="shared" si="146"/>
        <v>14-423 feedback1</v>
      </c>
      <c r="H1121">
        <v>1</v>
      </c>
      <c r="I1121">
        <f t="shared" ca="1" si="147"/>
        <v>3</v>
      </c>
      <c r="J1121" t="str">
        <f t="shared" si="148"/>
        <v>14-423 arg2</v>
      </c>
      <c r="K1121" t="str">
        <f t="shared" si="149"/>
        <v>14-423 feedback2</v>
      </c>
      <c r="L1121">
        <v>1</v>
      </c>
      <c r="M1121" t="s">
        <v>1285</v>
      </c>
      <c r="N1121">
        <v>1120</v>
      </c>
    </row>
    <row r="1122" spans="1:14">
      <c r="A1122">
        <v>8</v>
      </c>
      <c r="B1122">
        <f t="shared" si="142"/>
        <v>14</v>
      </c>
      <c r="C1122">
        <v>424</v>
      </c>
      <c r="D1122">
        <f t="shared" ca="1" si="143"/>
        <v>4</v>
      </c>
      <c r="E1122" t="str">
        <f t="shared" si="144"/>
        <v>14-424 arg1</v>
      </c>
      <c r="F1122">
        <f t="shared" ca="1" si="145"/>
        <v>2</v>
      </c>
      <c r="G1122" t="str">
        <f t="shared" si="146"/>
        <v>14-424 feedback1</v>
      </c>
      <c r="H1122">
        <v>1</v>
      </c>
      <c r="I1122">
        <f t="shared" ca="1" si="147"/>
        <v>3</v>
      </c>
      <c r="J1122" t="str">
        <f t="shared" si="148"/>
        <v>14-424 arg2</v>
      </c>
      <c r="K1122" t="str">
        <f t="shared" si="149"/>
        <v>14-424 feedback2</v>
      </c>
      <c r="L1122">
        <v>1</v>
      </c>
      <c r="M1122" t="s">
        <v>1285</v>
      </c>
      <c r="N1122">
        <v>1121</v>
      </c>
    </row>
    <row r="1123" spans="1:14">
      <c r="A1123">
        <v>8</v>
      </c>
      <c r="B1123">
        <f t="shared" si="142"/>
        <v>14</v>
      </c>
      <c r="C1123">
        <v>425</v>
      </c>
      <c r="D1123">
        <f t="shared" ca="1" si="143"/>
        <v>4</v>
      </c>
      <c r="E1123" t="str">
        <f t="shared" si="144"/>
        <v>14-425 arg1</v>
      </c>
      <c r="F1123">
        <f t="shared" ca="1" si="145"/>
        <v>4</v>
      </c>
      <c r="G1123" t="str">
        <f t="shared" si="146"/>
        <v>14-425 feedback1</v>
      </c>
      <c r="H1123">
        <v>1</v>
      </c>
      <c r="I1123">
        <f t="shared" ca="1" si="147"/>
        <v>4</v>
      </c>
      <c r="J1123" t="str">
        <f t="shared" si="148"/>
        <v>14-425 arg2</v>
      </c>
      <c r="K1123" t="str">
        <f t="shared" si="149"/>
        <v>14-425 feedback2</v>
      </c>
      <c r="L1123">
        <v>1</v>
      </c>
      <c r="M1123" t="s">
        <v>1285</v>
      </c>
      <c r="N1123">
        <v>1122</v>
      </c>
    </row>
    <row r="1124" spans="1:14">
      <c r="A1124">
        <v>8</v>
      </c>
      <c r="B1124">
        <f t="shared" si="142"/>
        <v>14</v>
      </c>
      <c r="C1124">
        <v>426</v>
      </c>
      <c r="D1124">
        <f t="shared" ca="1" si="143"/>
        <v>5</v>
      </c>
      <c r="E1124" t="str">
        <f t="shared" si="144"/>
        <v>14-426 arg1</v>
      </c>
      <c r="F1124">
        <f t="shared" ca="1" si="145"/>
        <v>3</v>
      </c>
      <c r="G1124" t="str">
        <f t="shared" si="146"/>
        <v>14-426 feedback1</v>
      </c>
      <c r="H1124">
        <v>1</v>
      </c>
      <c r="I1124">
        <f t="shared" ca="1" si="147"/>
        <v>3</v>
      </c>
      <c r="J1124" t="str">
        <f t="shared" si="148"/>
        <v>14-426 arg2</v>
      </c>
      <c r="K1124" t="str">
        <f t="shared" si="149"/>
        <v>14-426 feedback2</v>
      </c>
      <c r="L1124">
        <v>1</v>
      </c>
      <c r="M1124" t="s">
        <v>1285</v>
      </c>
      <c r="N1124">
        <v>1123</v>
      </c>
    </row>
    <row r="1125" spans="1:14">
      <c r="A1125">
        <v>8</v>
      </c>
      <c r="B1125">
        <f t="shared" si="142"/>
        <v>14</v>
      </c>
      <c r="C1125">
        <v>427</v>
      </c>
      <c r="D1125">
        <f t="shared" ca="1" si="143"/>
        <v>4</v>
      </c>
      <c r="E1125" t="str">
        <f t="shared" si="144"/>
        <v>14-427 arg1</v>
      </c>
      <c r="F1125">
        <f t="shared" ca="1" si="145"/>
        <v>2</v>
      </c>
      <c r="G1125" t="str">
        <f t="shared" si="146"/>
        <v>14-427 feedback1</v>
      </c>
      <c r="H1125">
        <v>1</v>
      </c>
      <c r="I1125">
        <f t="shared" ca="1" si="147"/>
        <v>2</v>
      </c>
      <c r="J1125" t="str">
        <f t="shared" si="148"/>
        <v>14-427 arg2</v>
      </c>
      <c r="K1125" t="str">
        <f t="shared" si="149"/>
        <v>14-427 feedback2</v>
      </c>
      <c r="L1125">
        <v>1</v>
      </c>
      <c r="M1125" t="s">
        <v>1285</v>
      </c>
      <c r="N1125">
        <v>1124</v>
      </c>
    </row>
    <row r="1126" spans="1:14">
      <c r="A1126">
        <v>8</v>
      </c>
      <c r="B1126">
        <f t="shared" si="142"/>
        <v>14</v>
      </c>
      <c r="C1126">
        <v>428</v>
      </c>
      <c r="D1126">
        <f t="shared" ca="1" si="143"/>
        <v>5</v>
      </c>
      <c r="E1126" t="str">
        <f t="shared" si="144"/>
        <v>14-428 arg1</v>
      </c>
      <c r="F1126">
        <f t="shared" ca="1" si="145"/>
        <v>5</v>
      </c>
      <c r="G1126" t="str">
        <f t="shared" si="146"/>
        <v>14-428 feedback1</v>
      </c>
      <c r="H1126">
        <v>1</v>
      </c>
      <c r="I1126">
        <f t="shared" ca="1" si="147"/>
        <v>5</v>
      </c>
      <c r="J1126" t="str">
        <f t="shared" si="148"/>
        <v>14-428 arg2</v>
      </c>
      <c r="K1126" t="str">
        <f t="shared" si="149"/>
        <v>14-428 feedback2</v>
      </c>
      <c r="L1126">
        <v>1</v>
      </c>
      <c r="M1126" t="s">
        <v>1285</v>
      </c>
      <c r="N1126">
        <v>1125</v>
      </c>
    </row>
    <row r="1127" spans="1:14">
      <c r="A1127">
        <v>8</v>
      </c>
      <c r="B1127">
        <f t="shared" si="142"/>
        <v>14</v>
      </c>
      <c r="C1127">
        <v>429</v>
      </c>
      <c r="D1127">
        <f t="shared" ca="1" si="143"/>
        <v>5</v>
      </c>
      <c r="E1127" t="str">
        <f t="shared" si="144"/>
        <v>14-429 arg1</v>
      </c>
      <c r="F1127">
        <f t="shared" ca="1" si="145"/>
        <v>4</v>
      </c>
      <c r="G1127" t="str">
        <f t="shared" si="146"/>
        <v>14-429 feedback1</v>
      </c>
      <c r="H1127">
        <v>1</v>
      </c>
      <c r="I1127">
        <f t="shared" ca="1" si="147"/>
        <v>4</v>
      </c>
      <c r="J1127" t="str">
        <f t="shared" si="148"/>
        <v>14-429 arg2</v>
      </c>
      <c r="K1127" t="str">
        <f t="shared" si="149"/>
        <v>14-429 feedback2</v>
      </c>
      <c r="L1127">
        <v>1</v>
      </c>
      <c r="M1127" t="s">
        <v>1285</v>
      </c>
      <c r="N1127">
        <v>1126</v>
      </c>
    </row>
    <row r="1128" spans="1:14">
      <c r="A1128">
        <v>8</v>
      </c>
      <c r="B1128">
        <f t="shared" si="142"/>
        <v>14</v>
      </c>
      <c r="C1128">
        <v>430</v>
      </c>
      <c r="D1128">
        <f t="shared" ca="1" si="143"/>
        <v>3</v>
      </c>
      <c r="E1128" t="str">
        <f t="shared" si="144"/>
        <v>14-430 arg1</v>
      </c>
      <c r="F1128">
        <f t="shared" ca="1" si="145"/>
        <v>1</v>
      </c>
      <c r="G1128" t="str">
        <f t="shared" si="146"/>
        <v>14-430 feedback1</v>
      </c>
      <c r="H1128">
        <v>1</v>
      </c>
      <c r="I1128">
        <f t="shared" ca="1" si="147"/>
        <v>2</v>
      </c>
      <c r="J1128" t="str">
        <f t="shared" si="148"/>
        <v>14-430 arg2</v>
      </c>
      <c r="K1128" t="str">
        <f t="shared" si="149"/>
        <v>14-430 feedback2</v>
      </c>
      <c r="L1128">
        <v>1</v>
      </c>
      <c r="M1128" t="s">
        <v>1285</v>
      </c>
      <c r="N1128">
        <v>1127</v>
      </c>
    </row>
    <row r="1129" spans="1:14">
      <c r="A1129">
        <v>8</v>
      </c>
      <c r="B1129">
        <f t="shared" si="142"/>
        <v>14</v>
      </c>
      <c r="C1129">
        <v>431</v>
      </c>
      <c r="D1129">
        <f t="shared" ca="1" si="143"/>
        <v>5</v>
      </c>
      <c r="E1129" t="str">
        <f t="shared" si="144"/>
        <v>14-431 arg1</v>
      </c>
      <c r="F1129">
        <f t="shared" ca="1" si="145"/>
        <v>4</v>
      </c>
      <c r="G1129" t="str">
        <f t="shared" si="146"/>
        <v>14-431 feedback1</v>
      </c>
      <c r="H1129">
        <v>1</v>
      </c>
      <c r="I1129">
        <f t="shared" ca="1" si="147"/>
        <v>5</v>
      </c>
      <c r="J1129" t="str">
        <f t="shared" si="148"/>
        <v>14-431 arg2</v>
      </c>
      <c r="K1129" t="str">
        <f t="shared" si="149"/>
        <v>14-431 feedback2</v>
      </c>
      <c r="L1129">
        <v>1</v>
      </c>
      <c r="M1129" t="s">
        <v>1285</v>
      </c>
      <c r="N1129">
        <v>1128</v>
      </c>
    </row>
    <row r="1130" spans="1:14">
      <c r="A1130">
        <v>8</v>
      </c>
      <c r="B1130">
        <f t="shared" si="142"/>
        <v>14</v>
      </c>
      <c r="C1130">
        <v>432</v>
      </c>
      <c r="D1130">
        <f t="shared" ca="1" si="143"/>
        <v>5</v>
      </c>
      <c r="E1130" t="str">
        <f t="shared" si="144"/>
        <v>14-432 arg1</v>
      </c>
      <c r="F1130">
        <f t="shared" ca="1" si="145"/>
        <v>3</v>
      </c>
      <c r="G1130" t="str">
        <f t="shared" si="146"/>
        <v>14-432 feedback1</v>
      </c>
      <c r="H1130">
        <v>1</v>
      </c>
      <c r="I1130">
        <f t="shared" ca="1" si="147"/>
        <v>3</v>
      </c>
      <c r="J1130" t="str">
        <f t="shared" si="148"/>
        <v>14-432 arg2</v>
      </c>
      <c r="K1130" t="str">
        <f t="shared" si="149"/>
        <v>14-432 feedback2</v>
      </c>
      <c r="L1130">
        <v>1</v>
      </c>
      <c r="M1130" t="s">
        <v>1285</v>
      </c>
      <c r="N1130">
        <v>1129</v>
      </c>
    </row>
    <row r="1131" spans="1:14">
      <c r="A1131">
        <v>8</v>
      </c>
      <c r="B1131">
        <f t="shared" si="142"/>
        <v>14</v>
      </c>
      <c r="C1131">
        <v>433</v>
      </c>
      <c r="D1131">
        <f t="shared" ca="1" si="143"/>
        <v>5</v>
      </c>
      <c r="E1131" t="str">
        <f t="shared" si="144"/>
        <v>14-433 arg1</v>
      </c>
      <c r="F1131">
        <f t="shared" ca="1" si="145"/>
        <v>5</v>
      </c>
      <c r="G1131" t="str">
        <f t="shared" si="146"/>
        <v>14-433 feedback1</v>
      </c>
      <c r="H1131">
        <v>1</v>
      </c>
      <c r="I1131">
        <f t="shared" ca="1" si="147"/>
        <v>5</v>
      </c>
      <c r="J1131" t="str">
        <f t="shared" si="148"/>
        <v>14-433 arg2</v>
      </c>
      <c r="K1131" t="str">
        <f t="shared" si="149"/>
        <v>14-433 feedback2</v>
      </c>
      <c r="L1131">
        <v>1</v>
      </c>
      <c r="M1131" t="s">
        <v>1285</v>
      </c>
      <c r="N1131">
        <v>1130</v>
      </c>
    </row>
    <row r="1132" spans="1:14">
      <c r="A1132">
        <v>8</v>
      </c>
      <c r="B1132">
        <f t="shared" si="142"/>
        <v>14</v>
      </c>
      <c r="C1132">
        <v>434</v>
      </c>
      <c r="D1132">
        <f t="shared" ca="1" si="143"/>
        <v>4</v>
      </c>
      <c r="E1132" t="str">
        <f t="shared" si="144"/>
        <v>14-434 arg1</v>
      </c>
      <c r="F1132">
        <f t="shared" ca="1" si="145"/>
        <v>3</v>
      </c>
      <c r="G1132" t="str">
        <f t="shared" si="146"/>
        <v>14-434 feedback1</v>
      </c>
      <c r="H1132">
        <v>1</v>
      </c>
      <c r="I1132">
        <f t="shared" ca="1" si="147"/>
        <v>4</v>
      </c>
      <c r="J1132" t="str">
        <f t="shared" si="148"/>
        <v>14-434 arg2</v>
      </c>
      <c r="K1132" t="str">
        <f t="shared" si="149"/>
        <v>14-434 feedback2</v>
      </c>
      <c r="L1132">
        <v>1</v>
      </c>
      <c r="M1132" t="s">
        <v>1285</v>
      </c>
      <c r="N1132">
        <v>1131</v>
      </c>
    </row>
    <row r="1133" spans="1:14">
      <c r="A1133">
        <v>8</v>
      </c>
      <c r="B1133">
        <f t="shared" si="142"/>
        <v>14</v>
      </c>
      <c r="C1133">
        <v>435</v>
      </c>
      <c r="D1133">
        <f t="shared" ca="1" si="143"/>
        <v>4</v>
      </c>
      <c r="E1133" t="str">
        <f t="shared" si="144"/>
        <v>14-435 arg1</v>
      </c>
      <c r="F1133">
        <f t="shared" ca="1" si="145"/>
        <v>3</v>
      </c>
      <c r="G1133" t="str">
        <f t="shared" si="146"/>
        <v>14-435 feedback1</v>
      </c>
      <c r="H1133">
        <v>1</v>
      </c>
      <c r="I1133">
        <f t="shared" ca="1" si="147"/>
        <v>3</v>
      </c>
      <c r="J1133" t="str">
        <f t="shared" si="148"/>
        <v>14-435 arg2</v>
      </c>
      <c r="K1133" t="str">
        <f t="shared" si="149"/>
        <v>14-435 feedback2</v>
      </c>
      <c r="L1133">
        <v>1</v>
      </c>
      <c r="M1133" t="s">
        <v>1285</v>
      </c>
      <c r="N1133">
        <v>1132</v>
      </c>
    </row>
    <row r="1134" spans="1:14">
      <c r="A1134">
        <v>8</v>
      </c>
      <c r="B1134">
        <f t="shared" si="142"/>
        <v>14</v>
      </c>
      <c r="C1134">
        <v>436</v>
      </c>
      <c r="D1134">
        <f t="shared" ca="1" si="143"/>
        <v>4</v>
      </c>
      <c r="E1134" t="str">
        <f t="shared" si="144"/>
        <v>14-436 arg1</v>
      </c>
      <c r="F1134">
        <f t="shared" ca="1" si="145"/>
        <v>2</v>
      </c>
      <c r="G1134" t="str">
        <f t="shared" si="146"/>
        <v>14-436 feedback1</v>
      </c>
      <c r="H1134">
        <v>1</v>
      </c>
      <c r="I1134">
        <f t="shared" ca="1" si="147"/>
        <v>3</v>
      </c>
      <c r="J1134" t="str">
        <f t="shared" si="148"/>
        <v>14-436 arg2</v>
      </c>
      <c r="K1134" t="str">
        <f t="shared" si="149"/>
        <v>14-436 feedback2</v>
      </c>
      <c r="L1134">
        <v>1</v>
      </c>
      <c r="M1134" t="s">
        <v>1285</v>
      </c>
      <c r="N1134">
        <v>1133</v>
      </c>
    </row>
    <row r="1135" spans="1:14">
      <c r="A1135">
        <v>8</v>
      </c>
      <c r="B1135">
        <f t="shared" si="142"/>
        <v>14</v>
      </c>
      <c r="C1135">
        <v>437</v>
      </c>
      <c r="D1135">
        <f t="shared" ca="1" si="143"/>
        <v>4</v>
      </c>
      <c r="E1135" t="str">
        <f t="shared" si="144"/>
        <v>14-437 arg1</v>
      </c>
      <c r="F1135">
        <f t="shared" ca="1" si="145"/>
        <v>2</v>
      </c>
      <c r="G1135" t="str">
        <f t="shared" si="146"/>
        <v>14-437 feedback1</v>
      </c>
      <c r="H1135">
        <v>1</v>
      </c>
      <c r="I1135">
        <f t="shared" ca="1" si="147"/>
        <v>3</v>
      </c>
      <c r="J1135" t="str">
        <f t="shared" si="148"/>
        <v>14-437 arg2</v>
      </c>
      <c r="K1135" t="str">
        <f t="shared" si="149"/>
        <v>14-437 feedback2</v>
      </c>
      <c r="L1135">
        <v>1</v>
      </c>
      <c r="M1135" t="s">
        <v>1285</v>
      </c>
      <c r="N1135">
        <v>1134</v>
      </c>
    </row>
    <row r="1136" spans="1:14">
      <c r="A1136">
        <v>8</v>
      </c>
      <c r="B1136">
        <f t="shared" si="142"/>
        <v>14</v>
      </c>
      <c r="C1136">
        <v>438</v>
      </c>
      <c r="D1136">
        <f t="shared" ca="1" si="143"/>
        <v>4</v>
      </c>
      <c r="E1136" t="str">
        <f t="shared" si="144"/>
        <v>14-438 arg1</v>
      </c>
      <c r="F1136">
        <f t="shared" ca="1" si="145"/>
        <v>3</v>
      </c>
      <c r="G1136" t="str">
        <f t="shared" si="146"/>
        <v>14-438 feedback1</v>
      </c>
      <c r="H1136">
        <v>1</v>
      </c>
      <c r="I1136">
        <f t="shared" ca="1" si="147"/>
        <v>3</v>
      </c>
      <c r="J1136" t="str">
        <f t="shared" si="148"/>
        <v>14-438 arg2</v>
      </c>
      <c r="K1136" t="str">
        <f t="shared" si="149"/>
        <v>14-438 feedback2</v>
      </c>
      <c r="L1136">
        <v>1</v>
      </c>
      <c r="M1136" t="s">
        <v>1285</v>
      </c>
      <c r="N1136">
        <v>1135</v>
      </c>
    </row>
    <row r="1137" spans="1:14">
      <c r="A1137">
        <v>8</v>
      </c>
      <c r="B1137">
        <f t="shared" si="142"/>
        <v>14</v>
      </c>
      <c r="C1137">
        <v>439</v>
      </c>
      <c r="D1137">
        <f t="shared" ca="1" si="143"/>
        <v>4</v>
      </c>
      <c r="E1137" t="str">
        <f t="shared" si="144"/>
        <v>14-439 arg1</v>
      </c>
      <c r="F1137">
        <f t="shared" ca="1" si="145"/>
        <v>3</v>
      </c>
      <c r="G1137" t="str">
        <f t="shared" si="146"/>
        <v>14-439 feedback1</v>
      </c>
      <c r="H1137">
        <v>1</v>
      </c>
      <c r="I1137">
        <f t="shared" ca="1" si="147"/>
        <v>4</v>
      </c>
      <c r="J1137" t="str">
        <f t="shared" si="148"/>
        <v>14-439 arg2</v>
      </c>
      <c r="K1137" t="str">
        <f t="shared" si="149"/>
        <v>14-439 feedback2</v>
      </c>
      <c r="L1137">
        <v>1</v>
      </c>
      <c r="M1137" t="s">
        <v>1285</v>
      </c>
      <c r="N1137">
        <v>1136</v>
      </c>
    </row>
    <row r="1138" spans="1:14">
      <c r="A1138">
        <v>8</v>
      </c>
      <c r="B1138">
        <f t="shared" si="142"/>
        <v>14</v>
      </c>
      <c r="C1138">
        <v>440</v>
      </c>
      <c r="D1138">
        <f t="shared" ca="1" si="143"/>
        <v>3</v>
      </c>
      <c r="E1138" t="str">
        <f t="shared" si="144"/>
        <v>14-440 arg1</v>
      </c>
      <c r="F1138">
        <f t="shared" ca="1" si="145"/>
        <v>2</v>
      </c>
      <c r="G1138" t="str">
        <f t="shared" si="146"/>
        <v>14-440 feedback1</v>
      </c>
      <c r="H1138">
        <v>1</v>
      </c>
      <c r="I1138">
        <f t="shared" ca="1" si="147"/>
        <v>2</v>
      </c>
      <c r="J1138" t="str">
        <f t="shared" si="148"/>
        <v>14-440 arg2</v>
      </c>
      <c r="K1138" t="str">
        <f t="shared" si="149"/>
        <v>14-440 feedback2</v>
      </c>
      <c r="L1138">
        <v>1</v>
      </c>
      <c r="M1138" t="s">
        <v>1285</v>
      </c>
      <c r="N1138">
        <v>1137</v>
      </c>
    </row>
    <row r="1139" spans="1:14">
      <c r="A1139">
        <v>8</v>
      </c>
      <c r="B1139">
        <f t="shared" si="142"/>
        <v>14</v>
      </c>
      <c r="C1139">
        <v>441</v>
      </c>
      <c r="D1139">
        <f t="shared" ca="1" si="143"/>
        <v>3</v>
      </c>
      <c r="E1139" t="str">
        <f t="shared" si="144"/>
        <v>14-441 arg1</v>
      </c>
      <c r="F1139">
        <f t="shared" ca="1" si="145"/>
        <v>2</v>
      </c>
      <c r="G1139" t="str">
        <f t="shared" si="146"/>
        <v>14-441 feedback1</v>
      </c>
      <c r="H1139">
        <v>1</v>
      </c>
      <c r="I1139">
        <f t="shared" ca="1" si="147"/>
        <v>3</v>
      </c>
      <c r="J1139" t="str">
        <f t="shared" si="148"/>
        <v>14-441 arg2</v>
      </c>
      <c r="K1139" t="str">
        <f t="shared" si="149"/>
        <v>14-441 feedback2</v>
      </c>
      <c r="L1139">
        <v>1</v>
      </c>
      <c r="M1139" t="s">
        <v>1285</v>
      </c>
      <c r="N1139">
        <v>1138</v>
      </c>
    </row>
    <row r="1140" spans="1:14">
      <c r="A1140">
        <v>8</v>
      </c>
      <c r="B1140">
        <f t="shared" si="142"/>
        <v>14</v>
      </c>
      <c r="C1140">
        <v>442</v>
      </c>
      <c r="D1140">
        <f t="shared" ca="1" si="143"/>
        <v>4</v>
      </c>
      <c r="E1140" t="str">
        <f t="shared" si="144"/>
        <v>14-442 arg1</v>
      </c>
      <c r="F1140">
        <f t="shared" ca="1" si="145"/>
        <v>2</v>
      </c>
      <c r="G1140" t="str">
        <f t="shared" si="146"/>
        <v>14-442 feedback1</v>
      </c>
      <c r="H1140">
        <v>1</v>
      </c>
      <c r="I1140">
        <f t="shared" ca="1" si="147"/>
        <v>3</v>
      </c>
      <c r="J1140" t="str">
        <f t="shared" si="148"/>
        <v>14-442 arg2</v>
      </c>
      <c r="K1140" t="str">
        <f t="shared" si="149"/>
        <v>14-442 feedback2</v>
      </c>
      <c r="L1140">
        <v>1</v>
      </c>
      <c r="M1140" t="s">
        <v>1285</v>
      </c>
      <c r="N1140">
        <v>1139</v>
      </c>
    </row>
    <row r="1141" spans="1:14">
      <c r="A1141">
        <v>8</v>
      </c>
      <c r="B1141">
        <f t="shared" si="142"/>
        <v>14</v>
      </c>
      <c r="C1141">
        <v>443</v>
      </c>
      <c r="D1141">
        <f t="shared" ca="1" si="143"/>
        <v>3</v>
      </c>
      <c r="E1141" t="str">
        <f t="shared" si="144"/>
        <v>14-443 arg1</v>
      </c>
      <c r="F1141">
        <f t="shared" ca="1" si="145"/>
        <v>3</v>
      </c>
      <c r="G1141" t="str">
        <f t="shared" si="146"/>
        <v>14-443 feedback1</v>
      </c>
      <c r="H1141">
        <v>1</v>
      </c>
      <c r="I1141">
        <f t="shared" ca="1" si="147"/>
        <v>3</v>
      </c>
      <c r="J1141" t="str">
        <f t="shared" si="148"/>
        <v>14-443 arg2</v>
      </c>
      <c r="K1141" t="str">
        <f t="shared" si="149"/>
        <v>14-443 feedback2</v>
      </c>
      <c r="L1141">
        <v>1</v>
      </c>
      <c r="M1141" t="s">
        <v>1285</v>
      </c>
      <c r="N1141">
        <v>1140</v>
      </c>
    </row>
    <row r="1142" spans="1:14">
      <c r="A1142">
        <v>8</v>
      </c>
      <c r="B1142">
        <f t="shared" ref="B1142:B1191" si="150">B1057+1</f>
        <v>14</v>
      </c>
      <c r="C1142">
        <v>444</v>
      </c>
      <c r="D1142">
        <f t="shared" ca="1" si="143"/>
        <v>5</v>
      </c>
      <c r="E1142" t="str">
        <f t="shared" si="144"/>
        <v>14-444 arg1</v>
      </c>
      <c r="F1142">
        <f t="shared" ca="1" si="145"/>
        <v>4</v>
      </c>
      <c r="G1142" t="str">
        <f t="shared" si="146"/>
        <v>14-444 feedback1</v>
      </c>
      <c r="H1142">
        <v>1</v>
      </c>
      <c r="I1142">
        <f t="shared" ca="1" si="147"/>
        <v>5</v>
      </c>
      <c r="J1142" t="str">
        <f t="shared" si="148"/>
        <v>14-444 arg2</v>
      </c>
      <c r="K1142" t="str">
        <f t="shared" si="149"/>
        <v>14-444 feedback2</v>
      </c>
      <c r="L1142">
        <v>1</v>
      </c>
      <c r="M1142" t="s">
        <v>1285</v>
      </c>
      <c r="N1142">
        <v>1141</v>
      </c>
    </row>
    <row r="1143" spans="1:14">
      <c r="A1143">
        <v>8</v>
      </c>
      <c r="B1143">
        <f t="shared" si="150"/>
        <v>14</v>
      </c>
      <c r="C1143">
        <v>445</v>
      </c>
      <c r="D1143">
        <f t="shared" ca="1" si="143"/>
        <v>3</v>
      </c>
      <c r="E1143" t="str">
        <f t="shared" si="144"/>
        <v>14-445 arg1</v>
      </c>
      <c r="F1143">
        <f t="shared" ca="1" si="145"/>
        <v>2</v>
      </c>
      <c r="G1143" t="str">
        <f t="shared" si="146"/>
        <v>14-445 feedback1</v>
      </c>
      <c r="H1143">
        <v>1</v>
      </c>
      <c r="I1143">
        <f t="shared" ca="1" si="147"/>
        <v>2</v>
      </c>
      <c r="J1143" t="str">
        <f t="shared" si="148"/>
        <v>14-445 arg2</v>
      </c>
      <c r="K1143" t="str">
        <f t="shared" si="149"/>
        <v>14-445 feedback2</v>
      </c>
      <c r="L1143">
        <v>1</v>
      </c>
      <c r="M1143" t="s">
        <v>1285</v>
      </c>
      <c r="N1143">
        <v>1142</v>
      </c>
    </row>
    <row r="1144" spans="1:14">
      <c r="A1144">
        <v>8</v>
      </c>
      <c r="B1144">
        <f t="shared" si="150"/>
        <v>14</v>
      </c>
      <c r="C1144">
        <v>446</v>
      </c>
      <c r="D1144">
        <f t="shared" ca="1" si="143"/>
        <v>4</v>
      </c>
      <c r="E1144" t="str">
        <f t="shared" si="144"/>
        <v>14-446 arg1</v>
      </c>
      <c r="F1144">
        <f t="shared" ca="1" si="145"/>
        <v>4</v>
      </c>
      <c r="G1144" t="str">
        <f t="shared" si="146"/>
        <v>14-446 feedback1</v>
      </c>
      <c r="H1144">
        <v>1</v>
      </c>
      <c r="I1144">
        <f t="shared" ca="1" si="147"/>
        <v>5</v>
      </c>
      <c r="J1144" t="str">
        <f t="shared" si="148"/>
        <v>14-446 arg2</v>
      </c>
      <c r="K1144" t="str">
        <f t="shared" si="149"/>
        <v>14-446 feedback2</v>
      </c>
      <c r="L1144">
        <v>1</v>
      </c>
      <c r="M1144" t="s">
        <v>1285</v>
      </c>
      <c r="N1144">
        <v>1143</v>
      </c>
    </row>
    <row r="1145" spans="1:14">
      <c r="A1145">
        <v>8</v>
      </c>
      <c r="B1145">
        <f t="shared" si="150"/>
        <v>14</v>
      </c>
      <c r="C1145">
        <v>447</v>
      </c>
      <c r="D1145">
        <f t="shared" ca="1" si="143"/>
        <v>4</v>
      </c>
      <c r="E1145" t="str">
        <f t="shared" si="144"/>
        <v>14-447 arg1</v>
      </c>
      <c r="F1145">
        <f t="shared" ca="1" si="145"/>
        <v>4</v>
      </c>
      <c r="G1145" t="str">
        <f t="shared" si="146"/>
        <v>14-447 feedback1</v>
      </c>
      <c r="H1145">
        <v>1</v>
      </c>
      <c r="I1145">
        <f t="shared" ca="1" si="147"/>
        <v>4</v>
      </c>
      <c r="J1145" t="str">
        <f t="shared" si="148"/>
        <v>14-447 arg2</v>
      </c>
      <c r="K1145" t="str">
        <f t="shared" si="149"/>
        <v>14-447 feedback2</v>
      </c>
      <c r="L1145">
        <v>1</v>
      </c>
      <c r="M1145" t="s">
        <v>1285</v>
      </c>
      <c r="N1145">
        <v>1144</v>
      </c>
    </row>
    <row r="1146" spans="1:14">
      <c r="A1146">
        <v>8</v>
      </c>
      <c r="B1146">
        <f t="shared" si="150"/>
        <v>14</v>
      </c>
      <c r="C1146">
        <v>448</v>
      </c>
      <c r="D1146">
        <f t="shared" ca="1" si="143"/>
        <v>3</v>
      </c>
      <c r="E1146" t="str">
        <f t="shared" si="144"/>
        <v>14-448 arg1</v>
      </c>
      <c r="F1146">
        <f t="shared" ca="1" si="145"/>
        <v>3</v>
      </c>
      <c r="G1146" t="str">
        <f t="shared" si="146"/>
        <v>14-448 feedback1</v>
      </c>
      <c r="H1146">
        <v>1</v>
      </c>
      <c r="I1146">
        <f t="shared" ca="1" si="147"/>
        <v>3</v>
      </c>
      <c r="J1146" t="str">
        <f t="shared" si="148"/>
        <v>14-448 arg2</v>
      </c>
      <c r="K1146" t="str">
        <f t="shared" si="149"/>
        <v>14-448 feedback2</v>
      </c>
      <c r="L1146">
        <v>1</v>
      </c>
      <c r="M1146" t="s">
        <v>1285</v>
      </c>
      <c r="N1146">
        <v>1145</v>
      </c>
    </row>
    <row r="1147" spans="1:14">
      <c r="A1147">
        <v>8</v>
      </c>
      <c r="B1147">
        <f t="shared" si="150"/>
        <v>14</v>
      </c>
      <c r="C1147">
        <v>449</v>
      </c>
      <c r="D1147">
        <f t="shared" ca="1" si="143"/>
        <v>5</v>
      </c>
      <c r="E1147" t="str">
        <f t="shared" si="144"/>
        <v>14-449 arg1</v>
      </c>
      <c r="F1147">
        <f t="shared" ca="1" si="145"/>
        <v>4</v>
      </c>
      <c r="G1147" t="str">
        <f t="shared" si="146"/>
        <v>14-449 feedback1</v>
      </c>
      <c r="H1147">
        <v>1</v>
      </c>
      <c r="I1147">
        <f t="shared" ca="1" si="147"/>
        <v>4</v>
      </c>
      <c r="J1147" t="str">
        <f t="shared" si="148"/>
        <v>14-449 arg2</v>
      </c>
      <c r="K1147" t="str">
        <f t="shared" si="149"/>
        <v>14-449 feedback2</v>
      </c>
      <c r="L1147">
        <v>1</v>
      </c>
      <c r="M1147" t="s">
        <v>1285</v>
      </c>
      <c r="N1147">
        <v>1146</v>
      </c>
    </row>
    <row r="1148" spans="1:14">
      <c r="A1148">
        <v>8</v>
      </c>
      <c r="B1148">
        <f t="shared" si="150"/>
        <v>14</v>
      </c>
      <c r="C1148">
        <v>450</v>
      </c>
      <c r="D1148">
        <f t="shared" ca="1" si="143"/>
        <v>3</v>
      </c>
      <c r="E1148" t="str">
        <f t="shared" si="144"/>
        <v>14-450 arg1</v>
      </c>
      <c r="F1148">
        <f t="shared" ca="1" si="145"/>
        <v>1</v>
      </c>
      <c r="G1148" t="str">
        <f t="shared" si="146"/>
        <v>14-450 feedback1</v>
      </c>
      <c r="H1148">
        <v>1</v>
      </c>
      <c r="I1148">
        <f t="shared" ca="1" si="147"/>
        <v>1</v>
      </c>
      <c r="J1148" t="str">
        <f t="shared" si="148"/>
        <v>14-450 arg2</v>
      </c>
      <c r="K1148" t="str">
        <f t="shared" si="149"/>
        <v>14-450 feedback2</v>
      </c>
      <c r="L1148">
        <v>1</v>
      </c>
      <c r="M1148" t="s">
        <v>1285</v>
      </c>
      <c r="N1148">
        <v>1147</v>
      </c>
    </row>
    <row r="1149" spans="1:14">
      <c r="A1149">
        <v>8</v>
      </c>
      <c r="B1149">
        <f t="shared" si="150"/>
        <v>14</v>
      </c>
      <c r="C1149">
        <v>451</v>
      </c>
      <c r="D1149">
        <f t="shared" ca="1" si="143"/>
        <v>4</v>
      </c>
      <c r="E1149" t="str">
        <f t="shared" si="144"/>
        <v>14-451 arg1</v>
      </c>
      <c r="F1149">
        <f t="shared" ca="1" si="145"/>
        <v>2</v>
      </c>
      <c r="G1149" t="str">
        <f t="shared" si="146"/>
        <v>14-451 feedback1</v>
      </c>
      <c r="H1149">
        <v>1</v>
      </c>
      <c r="I1149">
        <f t="shared" ca="1" si="147"/>
        <v>2</v>
      </c>
      <c r="J1149" t="str">
        <f t="shared" si="148"/>
        <v>14-451 arg2</v>
      </c>
      <c r="K1149" t="str">
        <f t="shared" si="149"/>
        <v>14-451 feedback2</v>
      </c>
      <c r="L1149">
        <v>1</v>
      </c>
      <c r="M1149" t="s">
        <v>1285</v>
      </c>
      <c r="N1149">
        <v>1148</v>
      </c>
    </row>
    <row r="1150" spans="1:14">
      <c r="A1150">
        <v>8</v>
      </c>
      <c r="B1150">
        <f t="shared" si="150"/>
        <v>14</v>
      </c>
      <c r="C1150">
        <v>452</v>
      </c>
      <c r="D1150">
        <f t="shared" ca="1" si="143"/>
        <v>4</v>
      </c>
      <c r="E1150" t="str">
        <f t="shared" si="144"/>
        <v>14-452 arg1</v>
      </c>
      <c r="F1150">
        <f t="shared" ca="1" si="145"/>
        <v>3</v>
      </c>
      <c r="G1150" t="str">
        <f t="shared" si="146"/>
        <v>14-452 feedback1</v>
      </c>
      <c r="H1150">
        <v>1</v>
      </c>
      <c r="I1150">
        <f t="shared" ca="1" si="147"/>
        <v>3</v>
      </c>
      <c r="J1150" t="str">
        <f t="shared" si="148"/>
        <v>14-452 arg2</v>
      </c>
      <c r="K1150" t="str">
        <f t="shared" si="149"/>
        <v>14-452 feedback2</v>
      </c>
      <c r="L1150">
        <v>1</v>
      </c>
      <c r="M1150" t="s">
        <v>1285</v>
      </c>
      <c r="N1150">
        <v>1149</v>
      </c>
    </row>
    <row r="1151" spans="1:14">
      <c r="A1151">
        <v>8</v>
      </c>
      <c r="B1151">
        <f t="shared" si="150"/>
        <v>14</v>
      </c>
      <c r="C1151">
        <v>453</v>
      </c>
      <c r="D1151">
        <f t="shared" ca="1" si="143"/>
        <v>4</v>
      </c>
      <c r="E1151" t="str">
        <f t="shared" si="144"/>
        <v>14-453 arg1</v>
      </c>
      <c r="F1151">
        <f t="shared" ca="1" si="145"/>
        <v>2</v>
      </c>
      <c r="G1151" t="str">
        <f t="shared" si="146"/>
        <v>14-453 feedback1</v>
      </c>
      <c r="H1151">
        <v>1</v>
      </c>
      <c r="I1151">
        <f t="shared" ca="1" si="147"/>
        <v>3</v>
      </c>
      <c r="J1151" t="str">
        <f t="shared" si="148"/>
        <v>14-453 arg2</v>
      </c>
      <c r="K1151" t="str">
        <f t="shared" si="149"/>
        <v>14-453 feedback2</v>
      </c>
      <c r="L1151">
        <v>1</v>
      </c>
      <c r="M1151" t="s">
        <v>1285</v>
      </c>
      <c r="N1151">
        <v>1150</v>
      </c>
    </row>
    <row r="1152" spans="1:14">
      <c r="A1152">
        <v>8</v>
      </c>
      <c r="B1152">
        <f t="shared" si="150"/>
        <v>14</v>
      </c>
      <c r="C1152">
        <v>454</v>
      </c>
      <c r="D1152">
        <f t="shared" ca="1" si="143"/>
        <v>3</v>
      </c>
      <c r="E1152" t="str">
        <f t="shared" si="144"/>
        <v>14-454 arg1</v>
      </c>
      <c r="F1152">
        <f t="shared" ca="1" si="145"/>
        <v>2</v>
      </c>
      <c r="G1152" t="str">
        <f t="shared" si="146"/>
        <v>14-454 feedback1</v>
      </c>
      <c r="H1152">
        <v>1</v>
      </c>
      <c r="I1152">
        <f t="shared" ca="1" si="147"/>
        <v>2</v>
      </c>
      <c r="J1152" t="str">
        <f t="shared" si="148"/>
        <v>14-454 arg2</v>
      </c>
      <c r="K1152" t="str">
        <f t="shared" si="149"/>
        <v>14-454 feedback2</v>
      </c>
      <c r="L1152">
        <v>1</v>
      </c>
      <c r="M1152" t="s">
        <v>1285</v>
      </c>
      <c r="N1152">
        <v>1151</v>
      </c>
    </row>
    <row r="1153" spans="1:14">
      <c r="A1153">
        <v>8</v>
      </c>
      <c r="B1153">
        <f t="shared" si="150"/>
        <v>14</v>
      </c>
      <c r="C1153">
        <v>455</v>
      </c>
      <c r="D1153">
        <f t="shared" ca="1" si="143"/>
        <v>4</v>
      </c>
      <c r="E1153" t="str">
        <f t="shared" si="144"/>
        <v>14-455 arg1</v>
      </c>
      <c r="F1153">
        <f t="shared" ca="1" si="145"/>
        <v>2</v>
      </c>
      <c r="G1153" t="str">
        <f t="shared" si="146"/>
        <v>14-455 feedback1</v>
      </c>
      <c r="H1153">
        <v>1</v>
      </c>
      <c r="I1153">
        <f t="shared" ca="1" si="147"/>
        <v>3</v>
      </c>
      <c r="J1153" t="str">
        <f t="shared" si="148"/>
        <v>14-455 arg2</v>
      </c>
      <c r="K1153" t="str">
        <f t="shared" si="149"/>
        <v>14-455 feedback2</v>
      </c>
      <c r="L1153">
        <v>1</v>
      </c>
      <c r="M1153" t="s">
        <v>1285</v>
      </c>
      <c r="N1153">
        <v>1152</v>
      </c>
    </row>
    <row r="1154" spans="1:14">
      <c r="A1154">
        <v>8</v>
      </c>
      <c r="B1154">
        <f t="shared" si="150"/>
        <v>14</v>
      </c>
      <c r="C1154">
        <v>456</v>
      </c>
      <c r="D1154">
        <f t="shared" ca="1" si="143"/>
        <v>4</v>
      </c>
      <c r="E1154" t="str">
        <f t="shared" si="144"/>
        <v>14-456 arg1</v>
      </c>
      <c r="F1154">
        <f t="shared" ca="1" si="145"/>
        <v>3</v>
      </c>
      <c r="G1154" t="str">
        <f t="shared" si="146"/>
        <v>14-456 feedback1</v>
      </c>
      <c r="H1154">
        <v>1</v>
      </c>
      <c r="I1154">
        <f t="shared" ca="1" si="147"/>
        <v>4</v>
      </c>
      <c r="J1154" t="str">
        <f t="shared" si="148"/>
        <v>14-456 arg2</v>
      </c>
      <c r="K1154" t="str">
        <f t="shared" si="149"/>
        <v>14-456 feedback2</v>
      </c>
      <c r="L1154">
        <v>1</v>
      </c>
      <c r="M1154" t="s">
        <v>1285</v>
      </c>
      <c r="N1154">
        <v>1153</v>
      </c>
    </row>
    <row r="1155" spans="1:14">
      <c r="A1155">
        <v>8</v>
      </c>
      <c r="B1155">
        <f t="shared" si="150"/>
        <v>14</v>
      </c>
      <c r="C1155">
        <v>457</v>
      </c>
      <c r="D1155">
        <f t="shared" ref="D1155:D1191" ca="1" si="151">ROUND(3+2*RAND(),0)</f>
        <v>4</v>
      </c>
      <c r="E1155" t="str">
        <f t="shared" si="144"/>
        <v>14-457 arg1</v>
      </c>
      <c r="F1155">
        <f t="shared" ca="1" si="145"/>
        <v>3</v>
      </c>
      <c r="G1155" t="str">
        <f t="shared" si="146"/>
        <v>14-457 feedback1</v>
      </c>
      <c r="H1155">
        <v>1</v>
      </c>
      <c r="I1155">
        <f t="shared" ca="1" si="147"/>
        <v>4</v>
      </c>
      <c r="J1155" t="str">
        <f t="shared" si="148"/>
        <v>14-457 arg2</v>
      </c>
      <c r="K1155" t="str">
        <f t="shared" si="149"/>
        <v>14-457 feedback2</v>
      </c>
      <c r="L1155">
        <v>1</v>
      </c>
      <c r="M1155" t="s">
        <v>1285</v>
      </c>
      <c r="N1155">
        <v>1154</v>
      </c>
    </row>
    <row r="1156" spans="1:14">
      <c r="A1156">
        <v>8</v>
      </c>
      <c r="B1156">
        <f t="shared" si="150"/>
        <v>14</v>
      </c>
      <c r="C1156">
        <v>458</v>
      </c>
      <c r="D1156">
        <f t="shared" ca="1" si="151"/>
        <v>3</v>
      </c>
      <c r="E1156" t="str">
        <f t="shared" si="144"/>
        <v>14-458 arg1</v>
      </c>
      <c r="F1156">
        <f t="shared" ca="1" si="145"/>
        <v>1</v>
      </c>
      <c r="G1156" t="str">
        <f t="shared" si="146"/>
        <v>14-458 feedback1</v>
      </c>
      <c r="H1156">
        <v>1</v>
      </c>
      <c r="I1156">
        <f t="shared" ca="1" si="147"/>
        <v>2</v>
      </c>
      <c r="J1156" t="str">
        <f t="shared" si="148"/>
        <v>14-458 arg2</v>
      </c>
      <c r="K1156" t="str">
        <f t="shared" si="149"/>
        <v>14-458 feedback2</v>
      </c>
      <c r="L1156">
        <v>1</v>
      </c>
      <c r="M1156" t="s">
        <v>1285</v>
      </c>
      <c r="N1156">
        <v>1155</v>
      </c>
    </row>
    <row r="1157" spans="1:14">
      <c r="A1157">
        <v>8</v>
      </c>
      <c r="B1157">
        <f t="shared" si="150"/>
        <v>14</v>
      </c>
      <c r="C1157">
        <v>459</v>
      </c>
      <c r="D1157">
        <f t="shared" ca="1" si="151"/>
        <v>4</v>
      </c>
      <c r="E1157" t="str">
        <f t="shared" si="144"/>
        <v>14-459 arg1</v>
      </c>
      <c r="F1157">
        <f t="shared" ca="1" si="145"/>
        <v>4</v>
      </c>
      <c r="G1157" t="str">
        <f t="shared" si="146"/>
        <v>14-459 feedback1</v>
      </c>
      <c r="H1157">
        <v>1</v>
      </c>
      <c r="I1157">
        <f t="shared" ca="1" si="147"/>
        <v>5</v>
      </c>
      <c r="J1157" t="str">
        <f t="shared" si="148"/>
        <v>14-459 arg2</v>
      </c>
      <c r="K1157" t="str">
        <f t="shared" si="149"/>
        <v>14-459 feedback2</v>
      </c>
      <c r="L1157">
        <v>1</v>
      </c>
      <c r="M1157" t="s">
        <v>1285</v>
      </c>
      <c r="N1157">
        <v>1156</v>
      </c>
    </row>
    <row r="1158" spans="1:14">
      <c r="A1158">
        <v>8</v>
      </c>
      <c r="B1158">
        <f t="shared" si="150"/>
        <v>14</v>
      </c>
      <c r="C1158">
        <v>460</v>
      </c>
      <c r="D1158">
        <f t="shared" ca="1" si="151"/>
        <v>4</v>
      </c>
      <c r="E1158" t="str">
        <f t="shared" si="144"/>
        <v>14-460 arg1</v>
      </c>
      <c r="F1158">
        <f t="shared" ca="1" si="145"/>
        <v>2</v>
      </c>
      <c r="G1158" t="str">
        <f t="shared" si="146"/>
        <v>14-460 feedback1</v>
      </c>
      <c r="H1158">
        <v>1</v>
      </c>
      <c r="I1158">
        <f t="shared" ca="1" si="147"/>
        <v>3</v>
      </c>
      <c r="J1158" t="str">
        <f t="shared" si="148"/>
        <v>14-460 arg2</v>
      </c>
      <c r="K1158" t="str">
        <f t="shared" si="149"/>
        <v>14-460 feedback2</v>
      </c>
      <c r="L1158">
        <v>1</v>
      </c>
      <c r="M1158" t="s">
        <v>1285</v>
      </c>
      <c r="N1158">
        <v>1157</v>
      </c>
    </row>
    <row r="1159" spans="1:14">
      <c r="A1159">
        <v>8</v>
      </c>
      <c r="B1159">
        <f t="shared" si="150"/>
        <v>14</v>
      </c>
      <c r="C1159">
        <v>461</v>
      </c>
      <c r="D1159">
        <f t="shared" ca="1" si="151"/>
        <v>3</v>
      </c>
      <c r="E1159" t="str">
        <f t="shared" si="144"/>
        <v>14-461 arg1</v>
      </c>
      <c r="F1159">
        <f t="shared" ca="1" si="145"/>
        <v>2</v>
      </c>
      <c r="G1159" t="str">
        <f t="shared" si="146"/>
        <v>14-461 feedback1</v>
      </c>
      <c r="H1159">
        <v>1</v>
      </c>
      <c r="I1159">
        <f t="shared" ca="1" si="147"/>
        <v>3</v>
      </c>
      <c r="J1159" t="str">
        <f t="shared" si="148"/>
        <v>14-461 arg2</v>
      </c>
      <c r="K1159" t="str">
        <f t="shared" si="149"/>
        <v>14-461 feedback2</v>
      </c>
      <c r="L1159">
        <v>1</v>
      </c>
      <c r="M1159" t="s">
        <v>1285</v>
      </c>
      <c r="N1159">
        <v>1158</v>
      </c>
    </row>
    <row r="1160" spans="1:14">
      <c r="A1160">
        <v>8</v>
      </c>
      <c r="B1160">
        <f t="shared" si="150"/>
        <v>14</v>
      </c>
      <c r="C1160">
        <v>462</v>
      </c>
      <c r="D1160">
        <f t="shared" ca="1" si="151"/>
        <v>3</v>
      </c>
      <c r="E1160" t="str">
        <f t="shared" si="144"/>
        <v>14-462 arg1</v>
      </c>
      <c r="F1160">
        <f t="shared" ca="1" si="145"/>
        <v>2</v>
      </c>
      <c r="G1160" t="str">
        <f t="shared" si="146"/>
        <v>14-462 feedback1</v>
      </c>
      <c r="H1160">
        <v>1</v>
      </c>
      <c r="I1160">
        <f t="shared" ca="1" si="147"/>
        <v>3</v>
      </c>
      <c r="J1160" t="str">
        <f t="shared" si="148"/>
        <v>14-462 arg2</v>
      </c>
      <c r="K1160" t="str">
        <f t="shared" si="149"/>
        <v>14-462 feedback2</v>
      </c>
      <c r="L1160">
        <v>1</v>
      </c>
      <c r="M1160" t="s">
        <v>1285</v>
      </c>
      <c r="N1160">
        <v>1159</v>
      </c>
    </row>
    <row r="1161" spans="1:14">
      <c r="A1161">
        <v>8</v>
      </c>
      <c r="B1161">
        <f t="shared" si="150"/>
        <v>14</v>
      </c>
      <c r="C1161">
        <v>463</v>
      </c>
      <c r="D1161">
        <f t="shared" ca="1" si="151"/>
        <v>3</v>
      </c>
      <c r="E1161" t="str">
        <f t="shared" si="144"/>
        <v>14-463 arg1</v>
      </c>
      <c r="F1161">
        <f t="shared" ca="1" si="145"/>
        <v>1</v>
      </c>
      <c r="G1161" t="str">
        <f t="shared" si="146"/>
        <v>14-463 feedback1</v>
      </c>
      <c r="H1161">
        <v>1</v>
      </c>
      <c r="I1161">
        <f t="shared" ca="1" si="147"/>
        <v>1</v>
      </c>
      <c r="J1161" t="str">
        <f t="shared" si="148"/>
        <v>14-463 arg2</v>
      </c>
      <c r="K1161" t="str">
        <f t="shared" si="149"/>
        <v>14-463 feedback2</v>
      </c>
      <c r="L1161">
        <v>1</v>
      </c>
      <c r="M1161" t="s">
        <v>1285</v>
      </c>
      <c r="N1161">
        <v>1160</v>
      </c>
    </row>
    <row r="1162" spans="1:14">
      <c r="A1162">
        <v>8</v>
      </c>
      <c r="B1162">
        <f t="shared" si="150"/>
        <v>14</v>
      </c>
      <c r="C1162">
        <v>464</v>
      </c>
      <c r="D1162">
        <f t="shared" ca="1" si="151"/>
        <v>3</v>
      </c>
      <c r="E1162" t="str">
        <f t="shared" si="144"/>
        <v>14-464 arg1</v>
      </c>
      <c r="F1162">
        <f t="shared" ca="1" si="145"/>
        <v>3</v>
      </c>
      <c r="G1162" t="str">
        <f t="shared" si="146"/>
        <v>14-464 feedback1</v>
      </c>
      <c r="H1162">
        <v>1</v>
      </c>
      <c r="I1162">
        <f t="shared" ca="1" si="147"/>
        <v>4</v>
      </c>
      <c r="J1162" t="str">
        <f t="shared" si="148"/>
        <v>14-464 arg2</v>
      </c>
      <c r="K1162" t="str">
        <f t="shared" si="149"/>
        <v>14-464 feedback2</v>
      </c>
      <c r="L1162">
        <v>1</v>
      </c>
      <c r="M1162" t="s">
        <v>1285</v>
      </c>
      <c r="N1162">
        <v>1161</v>
      </c>
    </row>
    <row r="1163" spans="1:14">
      <c r="A1163">
        <v>8</v>
      </c>
      <c r="B1163">
        <f t="shared" si="150"/>
        <v>14</v>
      </c>
      <c r="C1163">
        <v>465</v>
      </c>
      <c r="D1163">
        <f t="shared" ca="1" si="151"/>
        <v>3</v>
      </c>
      <c r="E1163" t="str">
        <f t="shared" si="144"/>
        <v>14-465 arg1</v>
      </c>
      <c r="F1163">
        <f t="shared" ca="1" si="145"/>
        <v>1</v>
      </c>
      <c r="G1163" t="str">
        <f t="shared" si="146"/>
        <v>14-465 feedback1</v>
      </c>
      <c r="H1163">
        <v>1</v>
      </c>
      <c r="I1163">
        <f t="shared" ca="1" si="147"/>
        <v>2</v>
      </c>
      <c r="J1163" t="str">
        <f t="shared" si="148"/>
        <v>14-465 arg2</v>
      </c>
      <c r="K1163" t="str">
        <f t="shared" si="149"/>
        <v>14-465 feedback2</v>
      </c>
      <c r="L1163">
        <v>1</v>
      </c>
      <c r="M1163" t="s">
        <v>1285</v>
      </c>
      <c r="N1163">
        <v>1162</v>
      </c>
    </row>
    <row r="1164" spans="1:14">
      <c r="A1164">
        <v>8</v>
      </c>
      <c r="B1164">
        <f t="shared" si="150"/>
        <v>14</v>
      </c>
      <c r="C1164">
        <v>466</v>
      </c>
      <c r="D1164">
        <f t="shared" ca="1" si="151"/>
        <v>3</v>
      </c>
      <c r="E1164" t="str">
        <f t="shared" si="144"/>
        <v>14-466 arg1</v>
      </c>
      <c r="F1164">
        <f t="shared" ca="1" si="145"/>
        <v>1</v>
      </c>
      <c r="G1164" t="str">
        <f t="shared" si="146"/>
        <v>14-466 feedback1</v>
      </c>
      <c r="H1164">
        <v>1</v>
      </c>
      <c r="I1164">
        <f t="shared" ca="1" si="147"/>
        <v>1</v>
      </c>
      <c r="J1164" t="str">
        <f t="shared" si="148"/>
        <v>14-466 arg2</v>
      </c>
      <c r="K1164" t="str">
        <f t="shared" si="149"/>
        <v>14-466 feedback2</v>
      </c>
      <c r="L1164">
        <v>1</v>
      </c>
      <c r="M1164" t="s">
        <v>1285</v>
      </c>
      <c r="N1164">
        <v>1163</v>
      </c>
    </row>
    <row r="1165" spans="1:14">
      <c r="A1165">
        <v>8</v>
      </c>
      <c r="B1165">
        <f t="shared" si="150"/>
        <v>14</v>
      </c>
      <c r="C1165">
        <v>467</v>
      </c>
      <c r="D1165">
        <f t="shared" ca="1" si="151"/>
        <v>4</v>
      </c>
      <c r="E1165" t="str">
        <f t="shared" si="144"/>
        <v>14-467 arg1</v>
      </c>
      <c r="F1165">
        <f t="shared" ca="1" si="145"/>
        <v>4</v>
      </c>
      <c r="G1165" t="str">
        <f t="shared" si="146"/>
        <v>14-467 feedback1</v>
      </c>
      <c r="H1165">
        <v>1</v>
      </c>
      <c r="I1165">
        <f t="shared" ca="1" si="147"/>
        <v>5</v>
      </c>
      <c r="J1165" t="str">
        <f t="shared" si="148"/>
        <v>14-467 arg2</v>
      </c>
      <c r="K1165" t="str">
        <f t="shared" si="149"/>
        <v>14-467 feedback2</v>
      </c>
      <c r="L1165">
        <v>1</v>
      </c>
      <c r="M1165" t="s">
        <v>1285</v>
      </c>
      <c r="N1165">
        <v>1164</v>
      </c>
    </row>
    <row r="1166" spans="1:14">
      <c r="A1166">
        <v>8</v>
      </c>
      <c r="B1166">
        <f t="shared" si="150"/>
        <v>14</v>
      </c>
      <c r="C1166">
        <v>468</v>
      </c>
      <c r="D1166">
        <f t="shared" ca="1" si="151"/>
        <v>5</v>
      </c>
      <c r="E1166" t="str">
        <f t="shared" si="144"/>
        <v>14-468 arg1</v>
      </c>
      <c r="F1166">
        <f t="shared" ca="1" si="145"/>
        <v>5</v>
      </c>
      <c r="G1166" t="str">
        <f t="shared" si="146"/>
        <v>14-468 feedback1</v>
      </c>
      <c r="H1166">
        <v>1</v>
      </c>
      <c r="I1166">
        <f t="shared" ca="1" si="147"/>
        <v>5</v>
      </c>
      <c r="J1166" t="str">
        <f t="shared" si="148"/>
        <v>14-468 arg2</v>
      </c>
      <c r="K1166" t="str">
        <f t="shared" si="149"/>
        <v>14-468 feedback2</v>
      </c>
      <c r="L1166">
        <v>1</v>
      </c>
      <c r="M1166" t="s">
        <v>1285</v>
      </c>
      <c r="N1166">
        <v>1165</v>
      </c>
    </row>
    <row r="1167" spans="1:14">
      <c r="A1167">
        <v>8</v>
      </c>
      <c r="B1167">
        <f t="shared" si="150"/>
        <v>14</v>
      </c>
      <c r="C1167">
        <v>469</v>
      </c>
      <c r="D1167">
        <f t="shared" ca="1" si="151"/>
        <v>4</v>
      </c>
      <c r="E1167" t="str">
        <f t="shared" si="144"/>
        <v>14-469 arg1</v>
      </c>
      <c r="F1167">
        <f t="shared" ca="1" si="145"/>
        <v>2</v>
      </c>
      <c r="G1167" t="str">
        <f t="shared" si="146"/>
        <v>14-469 feedback1</v>
      </c>
      <c r="H1167">
        <v>1</v>
      </c>
      <c r="I1167">
        <f t="shared" ca="1" si="147"/>
        <v>2</v>
      </c>
      <c r="J1167" t="str">
        <f t="shared" si="148"/>
        <v>14-469 arg2</v>
      </c>
      <c r="K1167" t="str">
        <f t="shared" si="149"/>
        <v>14-469 feedback2</v>
      </c>
      <c r="L1167">
        <v>1</v>
      </c>
      <c r="M1167" t="s">
        <v>1285</v>
      </c>
      <c r="N1167">
        <v>1166</v>
      </c>
    </row>
    <row r="1168" spans="1:14">
      <c r="A1168">
        <v>8</v>
      </c>
      <c r="B1168">
        <f t="shared" si="150"/>
        <v>14</v>
      </c>
      <c r="C1168">
        <v>470</v>
      </c>
      <c r="D1168">
        <f t="shared" ca="1" si="151"/>
        <v>3</v>
      </c>
      <c r="E1168" t="str">
        <f t="shared" si="144"/>
        <v>14-470 arg1</v>
      </c>
      <c r="F1168">
        <f t="shared" ca="1" si="145"/>
        <v>3</v>
      </c>
      <c r="G1168" t="str">
        <f t="shared" si="146"/>
        <v>14-470 feedback1</v>
      </c>
      <c r="H1168">
        <v>1</v>
      </c>
      <c r="I1168">
        <f t="shared" ca="1" si="147"/>
        <v>4</v>
      </c>
      <c r="J1168" t="str">
        <f t="shared" si="148"/>
        <v>14-470 arg2</v>
      </c>
      <c r="K1168" t="str">
        <f t="shared" si="149"/>
        <v>14-470 feedback2</v>
      </c>
      <c r="L1168">
        <v>1</v>
      </c>
      <c r="M1168" t="s">
        <v>1285</v>
      </c>
      <c r="N1168">
        <v>1167</v>
      </c>
    </row>
    <row r="1169" spans="1:14">
      <c r="A1169">
        <v>8</v>
      </c>
      <c r="B1169">
        <f t="shared" si="150"/>
        <v>14</v>
      </c>
      <c r="C1169">
        <v>471</v>
      </c>
      <c r="D1169">
        <f t="shared" ca="1" si="151"/>
        <v>4</v>
      </c>
      <c r="E1169" t="str">
        <f t="shared" si="144"/>
        <v>14-471 arg1</v>
      </c>
      <c r="F1169">
        <f t="shared" ca="1" si="145"/>
        <v>3</v>
      </c>
      <c r="G1169" t="str">
        <f t="shared" si="146"/>
        <v>14-471 feedback1</v>
      </c>
      <c r="H1169">
        <v>1</v>
      </c>
      <c r="I1169">
        <f t="shared" ca="1" si="147"/>
        <v>4</v>
      </c>
      <c r="J1169" t="str">
        <f t="shared" si="148"/>
        <v>14-471 arg2</v>
      </c>
      <c r="K1169" t="str">
        <f t="shared" si="149"/>
        <v>14-471 feedback2</v>
      </c>
      <c r="L1169">
        <v>1</v>
      </c>
      <c r="M1169" t="s">
        <v>1285</v>
      </c>
      <c r="N1169">
        <v>1168</v>
      </c>
    </row>
    <row r="1170" spans="1:14">
      <c r="A1170">
        <v>8</v>
      </c>
      <c r="B1170">
        <f t="shared" si="150"/>
        <v>14</v>
      </c>
      <c r="C1170">
        <v>472</v>
      </c>
      <c r="D1170">
        <f t="shared" ca="1" si="151"/>
        <v>4</v>
      </c>
      <c r="E1170" t="str">
        <f t="shared" si="144"/>
        <v>14-472 arg1</v>
      </c>
      <c r="F1170">
        <f t="shared" ca="1" si="145"/>
        <v>4</v>
      </c>
      <c r="G1170" t="str">
        <f t="shared" si="146"/>
        <v>14-472 feedback1</v>
      </c>
      <c r="H1170">
        <v>1</v>
      </c>
      <c r="I1170">
        <f t="shared" ca="1" si="147"/>
        <v>5</v>
      </c>
      <c r="J1170" t="str">
        <f t="shared" si="148"/>
        <v>14-472 arg2</v>
      </c>
      <c r="K1170" t="str">
        <f t="shared" si="149"/>
        <v>14-472 feedback2</v>
      </c>
      <c r="L1170">
        <v>1</v>
      </c>
      <c r="M1170" t="s">
        <v>1285</v>
      </c>
      <c r="N1170">
        <v>1169</v>
      </c>
    </row>
    <row r="1171" spans="1:14">
      <c r="A1171">
        <v>8</v>
      </c>
      <c r="B1171">
        <f t="shared" si="150"/>
        <v>14</v>
      </c>
      <c r="C1171">
        <v>473</v>
      </c>
      <c r="D1171">
        <f t="shared" ca="1" si="151"/>
        <v>3</v>
      </c>
      <c r="E1171" t="str">
        <f t="shared" si="144"/>
        <v>14-473 arg1</v>
      </c>
      <c r="F1171">
        <f t="shared" ca="1" si="145"/>
        <v>2</v>
      </c>
      <c r="G1171" t="str">
        <f t="shared" si="146"/>
        <v>14-473 feedback1</v>
      </c>
      <c r="H1171">
        <v>1</v>
      </c>
      <c r="I1171">
        <f t="shared" ca="1" si="147"/>
        <v>2</v>
      </c>
      <c r="J1171" t="str">
        <f t="shared" si="148"/>
        <v>14-473 arg2</v>
      </c>
      <c r="K1171" t="str">
        <f t="shared" si="149"/>
        <v>14-473 feedback2</v>
      </c>
      <c r="L1171">
        <v>1</v>
      </c>
      <c r="M1171" t="s">
        <v>1285</v>
      </c>
      <c r="N1171">
        <v>1170</v>
      </c>
    </row>
    <row r="1172" spans="1:14">
      <c r="A1172">
        <v>8</v>
      </c>
      <c r="B1172">
        <f t="shared" si="150"/>
        <v>14</v>
      </c>
      <c r="C1172">
        <v>474</v>
      </c>
      <c r="D1172">
        <f t="shared" ca="1" si="151"/>
        <v>4</v>
      </c>
      <c r="E1172" t="str">
        <f t="shared" si="144"/>
        <v>14-474 arg1</v>
      </c>
      <c r="F1172">
        <f t="shared" ca="1" si="145"/>
        <v>4</v>
      </c>
      <c r="G1172" t="str">
        <f t="shared" si="146"/>
        <v>14-474 feedback1</v>
      </c>
      <c r="H1172">
        <v>1</v>
      </c>
      <c r="I1172">
        <f t="shared" ca="1" si="147"/>
        <v>4</v>
      </c>
      <c r="J1172" t="str">
        <f t="shared" si="148"/>
        <v>14-474 arg2</v>
      </c>
      <c r="K1172" t="str">
        <f t="shared" si="149"/>
        <v>14-474 feedback2</v>
      </c>
      <c r="L1172">
        <v>1</v>
      </c>
      <c r="M1172" t="s">
        <v>1285</v>
      </c>
      <c r="N1172">
        <v>1171</v>
      </c>
    </row>
    <row r="1173" spans="1:14">
      <c r="A1173">
        <v>8</v>
      </c>
      <c r="B1173">
        <f t="shared" si="150"/>
        <v>14</v>
      </c>
      <c r="C1173">
        <v>475</v>
      </c>
      <c r="D1173">
        <f t="shared" ca="1" si="151"/>
        <v>4</v>
      </c>
      <c r="E1173" t="str">
        <f t="shared" ref="E1173:E1191" si="152">_xlfn.CONCAT(B1173,"-",C1173," arg1")</f>
        <v>14-475 arg1</v>
      </c>
      <c r="F1173">
        <f t="shared" ref="F1173:F1191" ca="1" si="153">D1173-ROUND(2*RAND(),0)</f>
        <v>2</v>
      </c>
      <c r="G1173" t="str">
        <f t="shared" ref="G1173:G1191" si="154">_xlfn.CONCAT(B1173,"-",C1173," feedback1")</f>
        <v>14-475 feedback1</v>
      </c>
      <c r="H1173">
        <v>1</v>
      </c>
      <c r="I1173">
        <f t="shared" ref="I1173:I1191" ca="1" si="155">MIN(5,F1173+ROUND(RAND(),0))</f>
        <v>3</v>
      </c>
      <c r="J1173" t="str">
        <f t="shared" ref="J1173:J1191" si="156">_xlfn.CONCAT(B1173,"-",C1173," arg2")</f>
        <v>14-475 arg2</v>
      </c>
      <c r="K1173" t="str">
        <f t="shared" ref="K1173:K1191" si="157">_xlfn.CONCAT(B1173,"-",C1173," feedback2")</f>
        <v>14-475 feedback2</v>
      </c>
      <c r="L1173">
        <v>1</v>
      </c>
      <c r="M1173" t="s">
        <v>1285</v>
      </c>
      <c r="N1173">
        <v>1172</v>
      </c>
    </row>
    <row r="1174" spans="1:14">
      <c r="A1174">
        <v>8</v>
      </c>
      <c r="B1174">
        <f t="shared" si="150"/>
        <v>14</v>
      </c>
      <c r="C1174">
        <v>476</v>
      </c>
      <c r="D1174">
        <f t="shared" ca="1" si="151"/>
        <v>3</v>
      </c>
      <c r="E1174" t="str">
        <f t="shared" si="152"/>
        <v>14-476 arg1</v>
      </c>
      <c r="F1174">
        <f t="shared" ca="1" si="153"/>
        <v>2</v>
      </c>
      <c r="G1174" t="str">
        <f t="shared" si="154"/>
        <v>14-476 feedback1</v>
      </c>
      <c r="H1174">
        <v>1</v>
      </c>
      <c r="I1174">
        <f t="shared" ca="1" si="155"/>
        <v>2</v>
      </c>
      <c r="J1174" t="str">
        <f t="shared" si="156"/>
        <v>14-476 arg2</v>
      </c>
      <c r="K1174" t="str">
        <f t="shared" si="157"/>
        <v>14-476 feedback2</v>
      </c>
      <c r="L1174">
        <v>1</v>
      </c>
      <c r="M1174" t="s">
        <v>1285</v>
      </c>
      <c r="N1174">
        <v>1173</v>
      </c>
    </row>
    <row r="1175" spans="1:14">
      <c r="A1175">
        <v>8</v>
      </c>
      <c r="B1175">
        <f t="shared" si="150"/>
        <v>14</v>
      </c>
      <c r="C1175">
        <v>477</v>
      </c>
      <c r="D1175">
        <f t="shared" ca="1" si="151"/>
        <v>4</v>
      </c>
      <c r="E1175" t="str">
        <f t="shared" si="152"/>
        <v>14-477 arg1</v>
      </c>
      <c r="F1175">
        <f t="shared" ca="1" si="153"/>
        <v>3</v>
      </c>
      <c r="G1175" t="str">
        <f t="shared" si="154"/>
        <v>14-477 feedback1</v>
      </c>
      <c r="H1175">
        <v>1</v>
      </c>
      <c r="I1175">
        <f t="shared" ca="1" si="155"/>
        <v>3</v>
      </c>
      <c r="J1175" t="str">
        <f t="shared" si="156"/>
        <v>14-477 arg2</v>
      </c>
      <c r="K1175" t="str">
        <f t="shared" si="157"/>
        <v>14-477 feedback2</v>
      </c>
      <c r="L1175">
        <v>1</v>
      </c>
      <c r="M1175" t="s">
        <v>1285</v>
      </c>
      <c r="N1175">
        <v>1174</v>
      </c>
    </row>
    <row r="1176" spans="1:14">
      <c r="A1176">
        <v>8</v>
      </c>
      <c r="B1176">
        <f t="shared" si="150"/>
        <v>14</v>
      </c>
      <c r="C1176">
        <v>478</v>
      </c>
      <c r="D1176">
        <f t="shared" ca="1" si="151"/>
        <v>4</v>
      </c>
      <c r="E1176" t="str">
        <f t="shared" si="152"/>
        <v>14-478 arg1</v>
      </c>
      <c r="F1176">
        <f t="shared" ca="1" si="153"/>
        <v>3</v>
      </c>
      <c r="G1176" t="str">
        <f t="shared" si="154"/>
        <v>14-478 feedback1</v>
      </c>
      <c r="H1176">
        <v>1</v>
      </c>
      <c r="I1176">
        <f t="shared" ca="1" si="155"/>
        <v>3</v>
      </c>
      <c r="J1176" t="str">
        <f t="shared" si="156"/>
        <v>14-478 arg2</v>
      </c>
      <c r="K1176" t="str">
        <f t="shared" si="157"/>
        <v>14-478 feedback2</v>
      </c>
      <c r="L1176">
        <v>1</v>
      </c>
      <c r="M1176" t="s">
        <v>1285</v>
      </c>
      <c r="N1176">
        <v>1175</v>
      </c>
    </row>
    <row r="1177" spans="1:14">
      <c r="A1177">
        <v>8</v>
      </c>
      <c r="B1177">
        <f t="shared" si="150"/>
        <v>14</v>
      </c>
      <c r="C1177">
        <v>479</v>
      </c>
      <c r="D1177">
        <f t="shared" ca="1" si="151"/>
        <v>3</v>
      </c>
      <c r="E1177" t="str">
        <f t="shared" si="152"/>
        <v>14-479 arg1</v>
      </c>
      <c r="F1177">
        <f t="shared" ca="1" si="153"/>
        <v>2</v>
      </c>
      <c r="G1177" t="str">
        <f t="shared" si="154"/>
        <v>14-479 feedback1</v>
      </c>
      <c r="H1177">
        <v>1</v>
      </c>
      <c r="I1177">
        <f t="shared" ca="1" si="155"/>
        <v>2</v>
      </c>
      <c r="J1177" t="str">
        <f t="shared" si="156"/>
        <v>14-479 arg2</v>
      </c>
      <c r="K1177" t="str">
        <f t="shared" si="157"/>
        <v>14-479 feedback2</v>
      </c>
      <c r="L1177">
        <v>1</v>
      </c>
      <c r="M1177" t="s">
        <v>1285</v>
      </c>
      <c r="N1177">
        <v>1176</v>
      </c>
    </row>
    <row r="1178" spans="1:14">
      <c r="A1178">
        <v>8</v>
      </c>
      <c r="B1178">
        <f t="shared" si="150"/>
        <v>14</v>
      </c>
      <c r="C1178">
        <v>480</v>
      </c>
      <c r="D1178">
        <f t="shared" ca="1" si="151"/>
        <v>3</v>
      </c>
      <c r="E1178" t="str">
        <f t="shared" si="152"/>
        <v>14-480 arg1</v>
      </c>
      <c r="F1178">
        <f t="shared" ca="1" si="153"/>
        <v>1</v>
      </c>
      <c r="G1178" t="str">
        <f t="shared" si="154"/>
        <v>14-480 feedback1</v>
      </c>
      <c r="H1178">
        <v>1</v>
      </c>
      <c r="I1178">
        <f t="shared" ca="1" si="155"/>
        <v>2</v>
      </c>
      <c r="J1178" t="str">
        <f t="shared" si="156"/>
        <v>14-480 arg2</v>
      </c>
      <c r="K1178" t="str">
        <f t="shared" si="157"/>
        <v>14-480 feedback2</v>
      </c>
      <c r="L1178">
        <v>1</v>
      </c>
      <c r="M1178" t="s">
        <v>1285</v>
      </c>
      <c r="N1178">
        <v>1177</v>
      </c>
    </row>
    <row r="1179" spans="1:14">
      <c r="A1179">
        <v>8</v>
      </c>
      <c r="B1179">
        <f t="shared" si="150"/>
        <v>14</v>
      </c>
      <c r="C1179">
        <v>481</v>
      </c>
      <c r="D1179">
        <f t="shared" ca="1" si="151"/>
        <v>5</v>
      </c>
      <c r="E1179" t="str">
        <f t="shared" si="152"/>
        <v>14-481 arg1</v>
      </c>
      <c r="F1179">
        <f t="shared" ca="1" si="153"/>
        <v>4</v>
      </c>
      <c r="G1179" t="str">
        <f t="shared" si="154"/>
        <v>14-481 feedback1</v>
      </c>
      <c r="H1179">
        <v>1</v>
      </c>
      <c r="I1179">
        <f t="shared" ca="1" si="155"/>
        <v>4</v>
      </c>
      <c r="J1179" t="str">
        <f t="shared" si="156"/>
        <v>14-481 arg2</v>
      </c>
      <c r="K1179" t="str">
        <f t="shared" si="157"/>
        <v>14-481 feedback2</v>
      </c>
      <c r="L1179">
        <v>1</v>
      </c>
      <c r="M1179" t="s">
        <v>1285</v>
      </c>
      <c r="N1179">
        <v>1178</v>
      </c>
    </row>
    <row r="1180" spans="1:14">
      <c r="A1180">
        <v>8</v>
      </c>
      <c r="B1180">
        <f t="shared" si="150"/>
        <v>14</v>
      </c>
      <c r="C1180">
        <v>482</v>
      </c>
      <c r="D1180">
        <f t="shared" ca="1" si="151"/>
        <v>3</v>
      </c>
      <c r="E1180" t="str">
        <f t="shared" si="152"/>
        <v>14-482 arg1</v>
      </c>
      <c r="F1180">
        <f t="shared" ca="1" si="153"/>
        <v>2</v>
      </c>
      <c r="G1180" t="str">
        <f t="shared" si="154"/>
        <v>14-482 feedback1</v>
      </c>
      <c r="H1180">
        <v>1</v>
      </c>
      <c r="I1180">
        <f t="shared" ca="1" si="155"/>
        <v>3</v>
      </c>
      <c r="J1180" t="str">
        <f t="shared" si="156"/>
        <v>14-482 arg2</v>
      </c>
      <c r="K1180" t="str">
        <f t="shared" si="157"/>
        <v>14-482 feedback2</v>
      </c>
      <c r="L1180">
        <v>1</v>
      </c>
      <c r="M1180" t="s">
        <v>1285</v>
      </c>
      <c r="N1180">
        <v>1179</v>
      </c>
    </row>
    <row r="1181" spans="1:14">
      <c r="A1181">
        <v>8</v>
      </c>
      <c r="B1181">
        <f t="shared" si="150"/>
        <v>14</v>
      </c>
      <c r="C1181">
        <v>483</v>
      </c>
      <c r="D1181">
        <f t="shared" ca="1" si="151"/>
        <v>3</v>
      </c>
      <c r="E1181" t="str">
        <f t="shared" si="152"/>
        <v>14-483 arg1</v>
      </c>
      <c r="F1181">
        <f t="shared" ca="1" si="153"/>
        <v>1</v>
      </c>
      <c r="G1181" t="str">
        <f t="shared" si="154"/>
        <v>14-483 feedback1</v>
      </c>
      <c r="H1181">
        <v>1</v>
      </c>
      <c r="I1181">
        <f t="shared" ca="1" si="155"/>
        <v>2</v>
      </c>
      <c r="J1181" t="str">
        <f t="shared" si="156"/>
        <v>14-483 arg2</v>
      </c>
      <c r="K1181" t="str">
        <f t="shared" si="157"/>
        <v>14-483 feedback2</v>
      </c>
      <c r="L1181">
        <v>1</v>
      </c>
      <c r="M1181" t="s">
        <v>1285</v>
      </c>
      <c r="N1181">
        <v>1180</v>
      </c>
    </row>
    <row r="1182" spans="1:14">
      <c r="A1182">
        <v>8</v>
      </c>
      <c r="B1182">
        <f t="shared" si="150"/>
        <v>14</v>
      </c>
      <c r="C1182">
        <v>484</v>
      </c>
      <c r="D1182">
        <f t="shared" ca="1" si="151"/>
        <v>3</v>
      </c>
      <c r="E1182" t="str">
        <f t="shared" si="152"/>
        <v>14-484 arg1</v>
      </c>
      <c r="F1182">
        <f t="shared" ca="1" si="153"/>
        <v>2</v>
      </c>
      <c r="G1182" t="str">
        <f t="shared" si="154"/>
        <v>14-484 feedback1</v>
      </c>
      <c r="H1182">
        <v>1</v>
      </c>
      <c r="I1182">
        <f t="shared" ca="1" si="155"/>
        <v>3</v>
      </c>
      <c r="J1182" t="str">
        <f t="shared" si="156"/>
        <v>14-484 arg2</v>
      </c>
      <c r="K1182" t="str">
        <f t="shared" si="157"/>
        <v>14-484 feedback2</v>
      </c>
      <c r="L1182">
        <v>1</v>
      </c>
      <c r="M1182" t="s">
        <v>1285</v>
      </c>
      <c r="N1182">
        <v>1181</v>
      </c>
    </row>
    <row r="1183" spans="1:14">
      <c r="A1183">
        <v>8</v>
      </c>
      <c r="B1183">
        <f t="shared" si="150"/>
        <v>14</v>
      </c>
      <c r="C1183">
        <v>485</v>
      </c>
      <c r="D1183">
        <f t="shared" ca="1" si="151"/>
        <v>4</v>
      </c>
      <c r="E1183" t="str">
        <f t="shared" si="152"/>
        <v>14-485 arg1</v>
      </c>
      <c r="F1183">
        <f t="shared" ca="1" si="153"/>
        <v>4</v>
      </c>
      <c r="G1183" t="str">
        <f t="shared" si="154"/>
        <v>14-485 feedback1</v>
      </c>
      <c r="H1183">
        <v>1</v>
      </c>
      <c r="I1183">
        <f t="shared" ca="1" si="155"/>
        <v>5</v>
      </c>
      <c r="J1183" t="str">
        <f t="shared" si="156"/>
        <v>14-485 arg2</v>
      </c>
      <c r="K1183" t="str">
        <f t="shared" si="157"/>
        <v>14-485 feedback2</v>
      </c>
      <c r="L1183">
        <v>1</v>
      </c>
      <c r="M1183" t="s">
        <v>1285</v>
      </c>
      <c r="N1183">
        <v>1182</v>
      </c>
    </row>
    <row r="1184" spans="1:14">
      <c r="A1184">
        <v>8</v>
      </c>
      <c r="B1184">
        <f t="shared" si="150"/>
        <v>14</v>
      </c>
      <c r="C1184">
        <v>486</v>
      </c>
      <c r="D1184">
        <f t="shared" ca="1" si="151"/>
        <v>5</v>
      </c>
      <c r="E1184" t="str">
        <f t="shared" si="152"/>
        <v>14-486 arg1</v>
      </c>
      <c r="F1184">
        <f t="shared" ca="1" si="153"/>
        <v>5</v>
      </c>
      <c r="G1184" t="str">
        <f t="shared" si="154"/>
        <v>14-486 feedback1</v>
      </c>
      <c r="H1184">
        <v>1</v>
      </c>
      <c r="I1184">
        <f t="shared" ca="1" si="155"/>
        <v>5</v>
      </c>
      <c r="J1184" t="str">
        <f t="shared" si="156"/>
        <v>14-486 arg2</v>
      </c>
      <c r="K1184" t="str">
        <f t="shared" si="157"/>
        <v>14-486 feedback2</v>
      </c>
      <c r="L1184">
        <v>1</v>
      </c>
      <c r="M1184" t="s">
        <v>1285</v>
      </c>
      <c r="N1184">
        <v>1183</v>
      </c>
    </row>
    <row r="1185" spans="1:14">
      <c r="A1185">
        <v>8</v>
      </c>
      <c r="B1185">
        <f t="shared" si="150"/>
        <v>14</v>
      </c>
      <c r="C1185">
        <v>487</v>
      </c>
      <c r="D1185">
        <f t="shared" ca="1" si="151"/>
        <v>3</v>
      </c>
      <c r="E1185" t="str">
        <f t="shared" si="152"/>
        <v>14-487 arg1</v>
      </c>
      <c r="F1185">
        <f t="shared" ca="1" si="153"/>
        <v>1</v>
      </c>
      <c r="G1185" t="str">
        <f t="shared" si="154"/>
        <v>14-487 feedback1</v>
      </c>
      <c r="H1185">
        <v>1</v>
      </c>
      <c r="I1185">
        <f t="shared" ca="1" si="155"/>
        <v>1</v>
      </c>
      <c r="J1185" t="str">
        <f t="shared" si="156"/>
        <v>14-487 arg2</v>
      </c>
      <c r="K1185" t="str">
        <f t="shared" si="157"/>
        <v>14-487 feedback2</v>
      </c>
      <c r="L1185">
        <v>1</v>
      </c>
      <c r="M1185" t="s">
        <v>1285</v>
      </c>
      <c r="N1185">
        <v>1184</v>
      </c>
    </row>
    <row r="1186" spans="1:14">
      <c r="A1186">
        <v>8</v>
      </c>
      <c r="B1186">
        <f t="shared" si="150"/>
        <v>14</v>
      </c>
      <c r="C1186">
        <v>488</v>
      </c>
      <c r="D1186">
        <f t="shared" ca="1" si="151"/>
        <v>3</v>
      </c>
      <c r="E1186" t="str">
        <f t="shared" si="152"/>
        <v>14-488 arg1</v>
      </c>
      <c r="F1186">
        <f t="shared" ca="1" si="153"/>
        <v>3</v>
      </c>
      <c r="G1186" t="str">
        <f t="shared" si="154"/>
        <v>14-488 feedback1</v>
      </c>
      <c r="H1186">
        <v>1</v>
      </c>
      <c r="I1186">
        <f t="shared" ca="1" si="155"/>
        <v>3</v>
      </c>
      <c r="J1186" t="str">
        <f t="shared" si="156"/>
        <v>14-488 arg2</v>
      </c>
      <c r="K1186" t="str">
        <f t="shared" si="157"/>
        <v>14-488 feedback2</v>
      </c>
      <c r="L1186">
        <v>1</v>
      </c>
      <c r="M1186" t="s">
        <v>1285</v>
      </c>
      <c r="N1186">
        <v>1185</v>
      </c>
    </row>
    <row r="1187" spans="1:14">
      <c r="A1187">
        <v>8</v>
      </c>
      <c r="B1187">
        <f t="shared" si="150"/>
        <v>14</v>
      </c>
      <c r="C1187">
        <v>489</v>
      </c>
      <c r="D1187">
        <f t="shared" ca="1" si="151"/>
        <v>4</v>
      </c>
      <c r="E1187" t="str">
        <f t="shared" si="152"/>
        <v>14-489 arg1</v>
      </c>
      <c r="F1187">
        <f t="shared" ca="1" si="153"/>
        <v>3</v>
      </c>
      <c r="G1187" t="str">
        <f t="shared" si="154"/>
        <v>14-489 feedback1</v>
      </c>
      <c r="H1187">
        <v>1</v>
      </c>
      <c r="I1187">
        <f t="shared" ca="1" si="155"/>
        <v>4</v>
      </c>
      <c r="J1187" t="str">
        <f t="shared" si="156"/>
        <v>14-489 arg2</v>
      </c>
      <c r="K1187" t="str">
        <f t="shared" si="157"/>
        <v>14-489 feedback2</v>
      </c>
      <c r="L1187">
        <v>1</v>
      </c>
      <c r="M1187" t="s">
        <v>1285</v>
      </c>
      <c r="N1187">
        <v>1186</v>
      </c>
    </row>
    <row r="1188" spans="1:14">
      <c r="A1188">
        <v>8</v>
      </c>
      <c r="B1188">
        <f t="shared" si="150"/>
        <v>14</v>
      </c>
      <c r="C1188">
        <v>490</v>
      </c>
      <c r="D1188">
        <f t="shared" ca="1" si="151"/>
        <v>4</v>
      </c>
      <c r="E1188" t="str">
        <f t="shared" si="152"/>
        <v>14-490 arg1</v>
      </c>
      <c r="F1188">
        <f t="shared" ca="1" si="153"/>
        <v>2</v>
      </c>
      <c r="G1188" t="str">
        <f t="shared" si="154"/>
        <v>14-490 feedback1</v>
      </c>
      <c r="H1188">
        <v>1</v>
      </c>
      <c r="I1188">
        <f t="shared" ca="1" si="155"/>
        <v>3</v>
      </c>
      <c r="J1188" t="str">
        <f t="shared" si="156"/>
        <v>14-490 arg2</v>
      </c>
      <c r="K1188" t="str">
        <f t="shared" si="157"/>
        <v>14-490 feedback2</v>
      </c>
      <c r="L1188">
        <v>1</v>
      </c>
      <c r="M1188" t="s">
        <v>1285</v>
      </c>
      <c r="N1188">
        <v>1187</v>
      </c>
    </row>
    <row r="1189" spans="1:14">
      <c r="A1189">
        <v>8</v>
      </c>
      <c r="B1189">
        <f t="shared" si="150"/>
        <v>14</v>
      </c>
      <c r="C1189">
        <v>491</v>
      </c>
      <c r="D1189">
        <f t="shared" ca="1" si="151"/>
        <v>5</v>
      </c>
      <c r="E1189" t="str">
        <f t="shared" si="152"/>
        <v>14-491 arg1</v>
      </c>
      <c r="F1189">
        <f t="shared" ca="1" si="153"/>
        <v>4</v>
      </c>
      <c r="G1189" t="str">
        <f t="shared" si="154"/>
        <v>14-491 feedback1</v>
      </c>
      <c r="H1189">
        <v>1</v>
      </c>
      <c r="I1189">
        <f t="shared" ca="1" si="155"/>
        <v>5</v>
      </c>
      <c r="J1189" t="str">
        <f t="shared" si="156"/>
        <v>14-491 arg2</v>
      </c>
      <c r="K1189" t="str">
        <f t="shared" si="157"/>
        <v>14-491 feedback2</v>
      </c>
      <c r="L1189">
        <v>1</v>
      </c>
      <c r="M1189" t="s">
        <v>1285</v>
      </c>
      <c r="N1189">
        <v>1188</v>
      </c>
    </row>
    <row r="1190" spans="1:14">
      <c r="A1190">
        <v>8</v>
      </c>
      <c r="B1190">
        <f t="shared" si="150"/>
        <v>14</v>
      </c>
      <c r="C1190">
        <v>492</v>
      </c>
      <c r="D1190">
        <f t="shared" ca="1" si="151"/>
        <v>5</v>
      </c>
      <c r="E1190" t="str">
        <f t="shared" si="152"/>
        <v>14-492 arg1</v>
      </c>
      <c r="F1190">
        <f t="shared" ca="1" si="153"/>
        <v>4</v>
      </c>
      <c r="G1190" t="str">
        <f t="shared" si="154"/>
        <v>14-492 feedback1</v>
      </c>
      <c r="H1190">
        <v>1</v>
      </c>
      <c r="I1190">
        <f t="shared" ca="1" si="155"/>
        <v>5</v>
      </c>
      <c r="J1190" t="str">
        <f t="shared" si="156"/>
        <v>14-492 arg2</v>
      </c>
      <c r="K1190" t="str">
        <f t="shared" si="157"/>
        <v>14-492 feedback2</v>
      </c>
      <c r="L1190">
        <v>1</v>
      </c>
      <c r="M1190" t="s">
        <v>1285</v>
      </c>
      <c r="N1190">
        <v>1189</v>
      </c>
    </row>
    <row r="1191" spans="1:14">
      <c r="A1191">
        <v>8</v>
      </c>
      <c r="B1191">
        <f t="shared" si="150"/>
        <v>14</v>
      </c>
      <c r="C1191">
        <v>493</v>
      </c>
      <c r="D1191">
        <f t="shared" ca="1" si="151"/>
        <v>4</v>
      </c>
      <c r="E1191" t="str">
        <f t="shared" si="152"/>
        <v>14-493 arg1</v>
      </c>
      <c r="F1191">
        <f t="shared" ca="1" si="153"/>
        <v>4</v>
      </c>
      <c r="G1191" t="str">
        <f t="shared" si="154"/>
        <v>14-493 feedback1</v>
      </c>
      <c r="H1191">
        <v>1</v>
      </c>
      <c r="I1191">
        <f t="shared" ca="1" si="155"/>
        <v>5</v>
      </c>
      <c r="J1191" t="str">
        <f t="shared" si="156"/>
        <v>14-493 arg2</v>
      </c>
      <c r="K1191" t="str">
        <f t="shared" si="157"/>
        <v>14-493 feedback2</v>
      </c>
      <c r="L1191">
        <v>1</v>
      </c>
      <c r="M1191" t="s">
        <v>1285</v>
      </c>
      <c r="N1191">
        <v>1190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E99D4-381B-DE45-8CC0-D262143EF9B8}">
  <dimension ref="A1:G3"/>
  <sheetViews>
    <sheetView workbookViewId="0"/>
  </sheetViews>
  <sheetFormatPr baseColWidth="10" defaultRowHeight="16"/>
  <cols>
    <col min="6" max="6" width="18.1640625" bestFit="1" customWidth="1"/>
  </cols>
  <sheetData>
    <row r="1" spans="1:7">
      <c r="A1" t="s">
        <v>1377</v>
      </c>
      <c r="B1" t="s">
        <v>1378</v>
      </c>
      <c r="C1" t="s">
        <v>1379</v>
      </c>
      <c r="D1" t="s">
        <v>1380</v>
      </c>
      <c r="E1" t="s">
        <v>535</v>
      </c>
      <c r="F1" t="s">
        <v>536</v>
      </c>
      <c r="G1" t="s">
        <v>537</v>
      </c>
    </row>
    <row r="2" spans="1:7">
      <c r="A2">
        <v>1</v>
      </c>
      <c r="B2" s="129" t="s">
        <v>1381</v>
      </c>
      <c r="C2">
        <v>1</v>
      </c>
      <c r="D2" t="s">
        <v>1382</v>
      </c>
      <c r="E2">
        <v>1</v>
      </c>
      <c r="F2" s="128">
        <v>43101</v>
      </c>
      <c r="G2">
        <v>1</v>
      </c>
    </row>
    <row r="3" spans="1:7">
      <c r="A3">
        <v>2</v>
      </c>
      <c r="B3" s="129" t="s">
        <v>1386</v>
      </c>
      <c r="C3">
        <v>1</v>
      </c>
      <c r="D3" t="s">
        <v>1382</v>
      </c>
      <c r="E3">
        <v>1</v>
      </c>
      <c r="F3" s="128">
        <v>43101</v>
      </c>
      <c r="G3">
        <v>1</v>
      </c>
    </row>
  </sheetData>
  <hyperlinks>
    <hyperlink ref="B2" r:id="rId1" xr:uid="{3B327A18-7B49-A847-BBE8-2A941D97DB27}"/>
    <hyperlink ref="B3" r:id="rId2" xr:uid="{AD3ED3D6-D060-1849-A663-389DAD6C5DD6}"/>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70A8-25EF-1044-AFF3-333ACD9F4780}">
  <dimension ref="A1:D3"/>
  <sheetViews>
    <sheetView workbookViewId="0"/>
  </sheetViews>
  <sheetFormatPr baseColWidth="10" defaultRowHeight="16"/>
  <sheetData>
    <row r="1" spans="1:4">
      <c r="A1" t="s">
        <v>1379</v>
      </c>
      <c r="B1" t="s">
        <v>1383</v>
      </c>
      <c r="C1" t="s">
        <v>1384</v>
      </c>
      <c r="D1" t="s">
        <v>1385</v>
      </c>
    </row>
    <row r="2" spans="1:4">
      <c r="A2">
        <v>1</v>
      </c>
      <c r="B2" t="s">
        <v>1388</v>
      </c>
      <c r="C2" t="s">
        <v>1389</v>
      </c>
    </row>
    <row r="3" spans="1:4">
      <c r="A3">
        <v>2</v>
      </c>
      <c r="B3" t="s">
        <v>1387</v>
      </c>
      <c r="C3" t="s">
        <v>1390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C34C4-6422-0C43-92DB-5ECD40C3529A}">
  <sheetPr codeName="Sheet22"/>
  <dimension ref="A1:I1188"/>
  <sheetViews>
    <sheetView workbookViewId="0"/>
  </sheetViews>
  <sheetFormatPr baseColWidth="10" defaultRowHeight="16"/>
  <cols>
    <col min="4" max="4" width="18.1640625" bestFit="1" customWidth="1"/>
    <col min="6" max="6" width="11" customWidth="1"/>
    <col min="9" max="9" width="45.83203125" bestFit="1" customWidth="1"/>
  </cols>
  <sheetData>
    <row r="1" spans="1:9">
      <c r="A1" t="s">
        <v>1227</v>
      </c>
      <c r="B1" t="s">
        <v>531</v>
      </c>
      <c r="C1" t="s">
        <v>1276</v>
      </c>
      <c r="D1" t="s">
        <v>536</v>
      </c>
      <c r="E1" t="s">
        <v>1277</v>
      </c>
      <c r="F1" t="s">
        <v>535</v>
      </c>
      <c r="G1" t="s">
        <v>1278</v>
      </c>
    </row>
    <row r="2" spans="1:9">
      <c r="A2">
        <f>RFI_Elements!B2</f>
        <v>1</v>
      </c>
      <c r="B2">
        <f>RFI_Elements!C2</f>
        <v>409</v>
      </c>
      <c r="C2">
        <v>1</v>
      </c>
      <c r="D2" s="128">
        <v>43101.003472222219</v>
      </c>
      <c r="E2" t="e">
        <f>VLOOKUP(VLOOKUP(B2,SuiteCatSubElem!$G$2:$G$667,2,0),'SA Q4 18 VR'!$A$33:$O$193,1+MATCH(VLOOKUP(A2,Vendors!$A$2:$B$15,2,0),'SA Q4 18 VR'!$B$24:$O$24,0),0)</f>
        <v>#REF!</v>
      </c>
      <c r="F2" s="27">
        <v>1</v>
      </c>
      <c r="G2">
        <f>RFI_Elements!N2</f>
        <v>1</v>
      </c>
      <c r="I2" t="e">
        <f>VLOOKUP(B2,SuiteCatSubElem!$G$2:$G$667,2,0)</f>
        <v>#REF!</v>
      </c>
    </row>
    <row r="3" spans="1:9">
      <c r="A3">
        <f>RFI_Elements!B3</f>
        <v>1</v>
      </c>
      <c r="B3">
        <f>RFI_Elements!C3</f>
        <v>410</v>
      </c>
      <c r="C3">
        <v>2</v>
      </c>
      <c r="D3" s="128">
        <v>43101.003472222219</v>
      </c>
      <c r="E3" t="e">
        <f>VLOOKUP(VLOOKUP(B3,SuiteCatSubElem!$G$2:$G$667,2,0),'SA Q4 18 VR'!$A$33:$O$193,1+MATCH(VLOOKUP(A3,Vendors!$A$2:$B$15,2,0),'SA Q4 18 VR'!$B$24:$O$24,0),0)</f>
        <v>#REF!</v>
      </c>
      <c r="F3" s="27">
        <v>1</v>
      </c>
      <c r="G3">
        <f>RFI_Elements!N3</f>
        <v>2</v>
      </c>
      <c r="I3" t="e">
        <f>VLOOKUP(B3,SuiteCatSubElem!$G$2:$G$667,2,0)</f>
        <v>#REF!</v>
      </c>
    </row>
    <row r="4" spans="1:9">
      <c r="A4">
        <f>RFI_Elements!B4</f>
        <v>1</v>
      </c>
      <c r="B4">
        <f>RFI_Elements!C4</f>
        <v>411</v>
      </c>
      <c r="C4">
        <v>3</v>
      </c>
      <c r="D4" s="128">
        <v>43101.003472222219</v>
      </c>
      <c r="E4" t="e">
        <f>VLOOKUP(VLOOKUP(B4,SuiteCatSubElem!$G$2:$G$667,2,0),'SA Q4 18 VR'!$A$33:$O$193,1+MATCH(VLOOKUP(A4,Vendors!$A$2:$B$15,2,0),'SA Q4 18 VR'!$B$24:$O$24,0),0)</f>
        <v>#REF!</v>
      </c>
      <c r="F4" s="27">
        <v>1</v>
      </c>
      <c r="G4">
        <f>RFI_Elements!N4</f>
        <v>3</v>
      </c>
      <c r="I4" t="e">
        <f>VLOOKUP(B4,SuiteCatSubElem!$G$2:$G$667,2,0)</f>
        <v>#REF!</v>
      </c>
    </row>
    <row r="5" spans="1:9">
      <c r="A5">
        <f>RFI_Elements!B5</f>
        <v>1</v>
      </c>
      <c r="B5">
        <f>RFI_Elements!C5</f>
        <v>412</v>
      </c>
      <c r="C5">
        <v>4</v>
      </c>
      <c r="D5" s="128">
        <v>43101.003472222219</v>
      </c>
      <c r="E5" t="e">
        <f>VLOOKUP(VLOOKUP(B5,SuiteCatSubElem!$G$2:$G$667,2,0),'SA Q4 18 VR'!$A$33:$O$193,1+MATCH(VLOOKUP(A5,Vendors!$A$2:$B$15,2,0),'SA Q4 18 VR'!$B$24:$O$24,0),0)</f>
        <v>#REF!</v>
      </c>
      <c r="F5" s="27">
        <v>1</v>
      </c>
      <c r="G5">
        <f>RFI_Elements!N5</f>
        <v>4</v>
      </c>
      <c r="I5" t="e">
        <f>VLOOKUP(B5,SuiteCatSubElem!$G$2:$G$667,2,0)</f>
        <v>#REF!</v>
      </c>
    </row>
    <row r="6" spans="1:9">
      <c r="A6">
        <f>RFI_Elements!B6</f>
        <v>1</v>
      </c>
      <c r="B6">
        <f>RFI_Elements!C6</f>
        <v>413</v>
      </c>
      <c r="C6">
        <v>5</v>
      </c>
      <c r="D6" s="128">
        <v>43101.003472222219</v>
      </c>
      <c r="E6" t="e">
        <f>VLOOKUP(VLOOKUP(B6,SuiteCatSubElem!$G$2:$G$667,2,0),'SA Q4 18 VR'!$A$33:$O$193,1+MATCH(VLOOKUP(A6,Vendors!$A$2:$B$15,2,0),'SA Q4 18 VR'!$B$24:$O$24,0),0)</f>
        <v>#REF!</v>
      </c>
      <c r="F6" s="27">
        <v>1</v>
      </c>
      <c r="G6">
        <f>RFI_Elements!N6</f>
        <v>5</v>
      </c>
      <c r="I6" t="e">
        <f>VLOOKUP(B6,SuiteCatSubElem!$G$2:$G$667,2,0)</f>
        <v>#REF!</v>
      </c>
    </row>
    <row r="7" spans="1:9">
      <c r="A7">
        <f>RFI_Elements!B7</f>
        <v>1</v>
      </c>
      <c r="B7">
        <f>RFI_Elements!C7</f>
        <v>414</v>
      </c>
      <c r="C7">
        <v>6</v>
      </c>
      <c r="D7" s="128">
        <v>43101.003472222219</v>
      </c>
      <c r="E7" t="e">
        <f>VLOOKUP(VLOOKUP(B7,SuiteCatSubElem!$G$2:$G$667,2,0),'SA Q4 18 VR'!$A$33:$O$193,1+MATCH(VLOOKUP(A7,Vendors!$A$2:$B$15,2,0),'SA Q4 18 VR'!$B$24:$O$24,0),0)</f>
        <v>#REF!</v>
      </c>
      <c r="F7" s="27">
        <v>1</v>
      </c>
      <c r="G7">
        <f>RFI_Elements!N7</f>
        <v>6</v>
      </c>
      <c r="I7" t="e">
        <f>VLOOKUP(B7,SuiteCatSubElem!$G$2:$G$667,2,0)</f>
        <v>#REF!</v>
      </c>
    </row>
    <row r="8" spans="1:9">
      <c r="A8">
        <f>RFI_Elements!B8</f>
        <v>1</v>
      </c>
      <c r="B8">
        <f>RFI_Elements!C8</f>
        <v>415</v>
      </c>
      <c r="C8">
        <v>7</v>
      </c>
      <c r="D8" s="128">
        <v>43101.003472222219</v>
      </c>
      <c r="E8" t="e">
        <f>VLOOKUP(VLOOKUP(B8,SuiteCatSubElem!$G$2:$G$667,2,0),'SA Q4 18 VR'!$A$33:$O$193,1+MATCH(VLOOKUP(A8,Vendors!$A$2:$B$15,2,0),'SA Q4 18 VR'!$B$24:$O$24,0),0)</f>
        <v>#REF!</v>
      </c>
      <c r="F8" s="27">
        <v>1</v>
      </c>
      <c r="G8">
        <f>RFI_Elements!N8</f>
        <v>7</v>
      </c>
      <c r="I8" t="e">
        <f>VLOOKUP(B8,SuiteCatSubElem!$G$2:$G$667,2,0)</f>
        <v>#REF!</v>
      </c>
    </row>
    <row r="9" spans="1:9">
      <c r="A9">
        <f>RFI_Elements!B9</f>
        <v>1</v>
      </c>
      <c r="B9">
        <f>RFI_Elements!C9</f>
        <v>416</v>
      </c>
      <c r="C9">
        <v>8</v>
      </c>
      <c r="D9" s="128">
        <v>43101.003472222219</v>
      </c>
      <c r="E9" t="e">
        <f>VLOOKUP(VLOOKUP(B9,SuiteCatSubElem!$G$2:$G$667,2,0),'SA Q4 18 VR'!$A$33:$O$193,1+MATCH(VLOOKUP(A9,Vendors!$A$2:$B$15,2,0),'SA Q4 18 VR'!$B$24:$O$24,0),0)</f>
        <v>#REF!</v>
      </c>
      <c r="F9" s="27">
        <v>1</v>
      </c>
      <c r="G9">
        <f>RFI_Elements!N9</f>
        <v>8</v>
      </c>
      <c r="I9" t="e">
        <f>VLOOKUP(B9,SuiteCatSubElem!$G$2:$G$667,2,0)</f>
        <v>#REF!</v>
      </c>
    </row>
    <row r="10" spans="1:9">
      <c r="A10">
        <f>RFI_Elements!B10</f>
        <v>1</v>
      </c>
      <c r="B10">
        <f>RFI_Elements!C10</f>
        <v>417</v>
      </c>
      <c r="C10">
        <v>9</v>
      </c>
      <c r="D10" s="128">
        <v>43101.003472222219</v>
      </c>
      <c r="E10" t="e">
        <f>VLOOKUP(VLOOKUP(B10,SuiteCatSubElem!$G$2:$G$667,2,0),'SA Q4 18 VR'!$A$33:$O$193,1+MATCH(VLOOKUP(A10,Vendors!$A$2:$B$15,2,0),'SA Q4 18 VR'!$B$24:$O$24,0),0)</f>
        <v>#REF!</v>
      </c>
      <c r="F10" s="27">
        <v>1</v>
      </c>
      <c r="G10">
        <f>RFI_Elements!N10</f>
        <v>9</v>
      </c>
      <c r="I10" t="e">
        <f>VLOOKUP(B10,SuiteCatSubElem!$G$2:$G$667,2,0)</f>
        <v>#REF!</v>
      </c>
    </row>
    <row r="11" spans="1:9">
      <c r="A11">
        <f>RFI_Elements!B11</f>
        <v>1</v>
      </c>
      <c r="B11">
        <f>RFI_Elements!C11</f>
        <v>418</v>
      </c>
      <c r="C11">
        <v>10</v>
      </c>
      <c r="D11" s="128">
        <v>43101.003472222219</v>
      </c>
      <c r="E11" t="e">
        <f>VLOOKUP(VLOOKUP(B11,SuiteCatSubElem!$G$2:$G$667,2,0),'SA Q4 18 VR'!$A$33:$O$193,1+MATCH(VLOOKUP(A11,Vendors!$A$2:$B$15,2,0),'SA Q4 18 VR'!$B$24:$O$24,0),0)</f>
        <v>#REF!</v>
      </c>
      <c r="F11" s="27">
        <v>1</v>
      </c>
      <c r="G11">
        <f>RFI_Elements!N11</f>
        <v>10</v>
      </c>
      <c r="I11" t="e">
        <f>VLOOKUP(B11,SuiteCatSubElem!$G$2:$G$667,2,0)</f>
        <v>#REF!</v>
      </c>
    </row>
    <row r="12" spans="1:9">
      <c r="A12">
        <f>RFI_Elements!B12</f>
        <v>1</v>
      </c>
      <c r="B12">
        <f>RFI_Elements!C12</f>
        <v>419</v>
      </c>
      <c r="C12">
        <v>11</v>
      </c>
      <c r="D12" s="128">
        <v>43101.003472222219</v>
      </c>
      <c r="E12" t="e">
        <f>VLOOKUP(VLOOKUP(B12,SuiteCatSubElem!$G$2:$G$667,2,0),'SA Q4 18 VR'!$A$33:$O$193,1+MATCH(VLOOKUP(A12,Vendors!$A$2:$B$15,2,0),'SA Q4 18 VR'!$B$24:$O$24,0),0)</f>
        <v>#REF!</v>
      </c>
      <c r="F12" s="27">
        <v>1</v>
      </c>
      <c r="G12">
        <f>RFI_Elements!N12</f>
        <v>11</v>
      </c>
      <c r="I12" t="e">
        <f>VLOOKUP(B12,SuiteCatSubElem!$G$2:$G$667,2,0)</f>
        <v>#REF!</v>
      </c>
    </row>
    <row r="13" spans="1:9">
      <c r="A13">
        <f>RFI_Elements!B13</f>
        <v>1</v>
      </c>
      <c r="B13">
        <f>RFI_Elements!C13</f>
        <v>420</v>
      </c>
      <c r="C13">
        <v>12</v>
      </c>
      <c r="D13" s="128">
        <v>43101.003472222219</v>
      </c>
      <c r="E13" t="e">
        <f>VLOOKUP(VLOOKUP(B13,SuiteCatSubElem!$G$2:$G$667,2,0),'SA Q4 18 VR'!$A$33:$O$193,1+MATCH(VLOOKUP(A13,Vendors!$A$2:$B$15,2,0),'SA Q4 18 VR'!$B$24:$O$24,0),0)</f>
        <v>#REF!</v>
      </c>
      <c r="F13" s="27">
        <v>1</v>
      </c>
      <c r="G13">
        <f>RFI_Elements!N13</f>
        <v>12</v>
      </c>
      <c r="I13" t="e">
        <f>VLOOKUP(B13,SuiteCatSubElem!$G$2:$G$667,2,0)</f>
        <v>#REF!</v>
      </c>
    </row>
    <row r="14" spans="1:9">
      <c r="A14">
        <f>RFI_Elements!B14</f>
        <v>1</v>
      </c>
      <c r="B14">
        <f>RFI_Elements!C14</f>
        <v>421</v>
      </c>
      <c r="C14">
        <v>13</v>
      </c>
      <c r="D14" s="128">
        <v>43101.003472222219</v>
      </c>
      <c r="E14" t="e">
        <f>VLOOKUP(VLOOKUP(B14,SuiteCatSubElem!$G$2:$G$667,2,0),'SA Q4 18 VR'!$A$33:$O$193,1+MATCH(VLOOKUP(A14,Vendors!$A$2:$B$15,2,0),'SA Q4 18 VR'!$B$24:$O$24,0),0)</f>
        <v>#REF!</v>
      </c>
      <c r="F14" s="27">
        <v>1</v>
      </c>
      <c r="G14">
        <f>RFI_Elements!N14</f>
        <v>13</v>
      </c>
      <c r="I14" t="e">
        <f>VLOOKUP(B14,SuiteCatSubElem!$G$2:$G$667,2,0)</f>
        <v>#REF!</v>
      </c>
    </row>
    <row r="15" spans="1:9">
      <c r="A15">
        <f>RFI_Elements!B15</f>
        <v>1</v>
      </c>
      <c r="B15">
        <f>RFI_Elements!C15</f>
        <v>422</v>
      </c>
      <c r="C15">
        <v>14</v>
      </c>
      <c r="D15" s="128">
        <v>43101.003472222219</v>
      </c>
      <c r="E15" t="e">
        <f>VLOOKUP(VLOOKUP(B15,SuiteCatSubElem!$G$2:$G$667,2,0),'SA Q4 18 VR'!$A$33:$O$193,1+MATCH(VLOOKUP(A15,Vendors!$A$2:$B$15,2,0),'SA Q4 18 VR'!$B$24:$O$24,0),0)</f>
        <v>#REF!</v>
      </c>
      <c r="F15" s="27">
        <v>1</v>
      </c>
      <c r="G15">
        <f>RFI_Elements!N15</f>
        <v>14</v>
      </c>
      <c r="I15" t="e">
        <f>VLOOKUP(B15,SuiteCatSubElem!$G$2:$G$667,2,0)</f>
        <v>#REF!</v>
      </c>
    </row>
    <row r="16" spans="1:9">
      <c r="A16">
        <f>RFI_Elements!B16</f>
        <v>1</v>
      </c>
      <c r="B16">
        <f>RFI_Elements!C16</f>
        <v>423</v>
      </c>
      <c r="C16">
        <v>15</v>
      </c>
      <c r="D16" s="128">
        <v>43101.003472222219</v>
      </c>
      <c r="E16" t="e">
        <f>VLOOKUP(VLOOKUP(B16,SuiteCatSubElem!$G$2:$G$667,2,0),'SA Q4 18 VR'!$A$33:$O$193,1+MATCH(VLOOKUP(A16,Vendors!$A$2:$B$15,2,0),'SA Q4 18 VR'!$B$24:$O$24,0),0)</f>
        <v>#REF!</v>
      </c>
      <c r="F16" s="27">
        <v>1</v>
      </c>
      <c r="G16">
        <f>RFI_Elements!N16</f>
        <v>15</v>
      </c>
      <c r="I16" t="e">
        <f>VLOOKUP(B16,SuiteCatSubElem!$G$2:$G$667,2,0)</f>
        <v>#REF!</v>
      </c>
    </row>
    <row r="17" spans="1:9">
      <c r="A17">
        <f>RFI_Elements!B17</f>
        <v>1</v>
      </c>
      <c r="B17">
        <f>RFI_Elements!C17</f>
        <v>424</v>
      </c>
      <c r="C17">
        <v>16</v>
      </c>
      <c r="D17" s="128">
        <v>43101.003472222219</v>
      </c>
      <c r="E17" t="e">
        <f>VLOOKUP(VLOOKUP(B17,SuiteCatSubElem!$G$2:$G$667,2,0),'SA Q4 18 VR'!$A$33:$O$193,1+MATCH(VLOOKUP(A17,Vendors!$A$2:$B$15,2,0),'SA Q4 18 VR'!$B$24:$O$24,0),0)</f>
        <v>#REF!</v>
      </c>
      <c r="F17" s="27">
        <v>1</v>
      </c>
      <c r="G17">
        <f>RFI_Elements!N17</f>
        <v>16</v>
      </c>
      <c r="I17" t="e">
        <f>VLOOKUP(B17,SuiteCatSubElem!$G$2:$G$667,2,0)</f>
        <v>#REF!</v>
      </c>
    </row>
    <row r="18" spans="1:9">
      <c r="A18">
        <f>RFI_Elements!B18</f>
        <v>1</v>
      </c>
      <c r="B18">
        <f>RFI_Elements!C18</f>
        <v>425</v>
      </c>
      <c r="C18">
        <v>17</v>
      </c>
      <c r="D18" s="128">
        <v>43101.003472222219</v>
      </c>
      <c r="E18" t="e">
        <f>VLOOKUP(VLOOKUP(B18,SuiteCatSubElem!$G$2:$G$667,2,0),'SA Q4 18 VR'!$A$33:$O$193,1+MATCH(VLOOKUP(A18,Vendors!$A$2:$B$15,2,0),'SA Q4 18 VR'!$B$24:$O$24,0),0)</f>
        <v>#REF!</v>
      </c>
      <c r="F18" s="27">
        <v>1</v>
      </c>
      <c r="G18">
        <f>RFI_Elements!N18</f>
        <v>17</v>
      </c>
      <c r="I18" t="e">
        <f>VLOOKUP(B18,SuiteCatSubElem!$G$2:$G$667,2,0)</f>
        <v>#REF!</v>
      </c>
    </row>
    <row r="19" spans="1:9">
      <c r="A19">
        <f>RFI_Elements!B19</f>
        <v>1</v>
      </c>
      <c r="B19">
        <f>RFI_Elements!C19</f>
        <v>426</v>
      </c>
      <c r="C19">
        <v>18</v>
      </c>
      <c r="D19" s="128">
        <v>43101.003472222219</v>
      </c>
      <c r="E19" t="e">
        <f>VLOOKUP(VLOOKUP(B19,SuiteCatSubElem!$G$2:$G$667,2,0),'SA Q4 18 VR'!$A$33:$O$193,1+MATCH(VLOOKUP(A19,Vendors!$A$2:$B$15,2,0),'SA Q4 18 VR'!$B$24:$O$24,0),0)</f>
        <v>#REF!</v>
      </c>
      <c r="F19" s="27">
        <v>1</v>
      </c>
      <c r="G19">
        <f>RFI_Elements!N19</f>
        <v>18</v>
      </c>
      <c r="I19" t="e">
        <f>VLOOKUP(B19,SuiteCatSubElem!$G$2:$G$667,2,0)</f>
        <v>#REF!</v>
      </c>
    </row>
    <row r="20" spans="1:9">
      <c r="A20">
        <f>RFI_Elements!B20</f>
        <v>1</v>
      </c>
      <c r="B20">
        <f>RFI_Elements!C20</f>
        <v>427</v>
      </c>
      <c r="C20">
        <v>19</v>
      </c>
      <c r="D20" s="128">
        <v>43101.003472222219</v>
      </c>
      <c r="E20" t="e">
        <f>VLOOKUP(VLOOKUP(B20,SuiteCatSubElem!$G$2:$G$667,2,0),'SA Q4 18 VR'!$A$33:$O$193,1+MATCH(VLOOKUP(A20,Vendors!$A$2:$B$15,2,0),'SA Q4 18 VR'!$B$24:$O$24,0),0)</f>
        <v>#REF!</v>
      </c>
      <c r="F20" s="27">
        <v>1</v>
      </c>
      <c r="G20">
        <f>RFI_Elements!N20</f>
        <v>19</v>
      </c>
      <c r="I20" t="e">
        <f>VLOOKUP(B20,SuiteCatSubElem!$G$2:$G$667,2,0)</f>
        <v>#REF!</v>
      </c>
    </row>
    <row r="21" spans="1:9">
      <c r="A21">
        <f>RFI_Elements!B21</f>
        <v>1</v>
      </c>
      <c r="B21">
        <f>RFI_Elements!C21</f>
        <v>428</v>
      </c>
      <c r="C21">
        <v>20</v>
      </c>
      <c r="D21" s="128">
        <v>43101.003472222219</v>
      </c>
      <c r="E21" t="e">
        <f>VLOOKUP(VLOOKUP(B21,SuiteCatSubElem!$G$2:$G$667,2,0),'SA Q4 18 VR'!$A$33:$O$193,1+MATCH(VLOOKUP(A21,Vendors!$A$2:$B$15,2,0),'SA Q4 18 VR'!$B$24:$O$24,0),0)</f>
        <v>#REF!</v>
      </c>
      <c r="F21" s="27">
        <v>1</v>
      </c>
      <c r="G21">
        <f>RFI_Elements!N21</f>
        <v>20</v>
      </c>
      <c r="I21" t="e">
        <f>VLOOKUP(B21,SuiteCatSubElem!$G$2:$G$667,2,0)</f>
        <v>#REF!</v>
      </c>
    </row>
    <row r="22" spans="1:9">
      <c r="A22">
        <f>RFI_Elements!B22</f>
        <v>1</v>
      </c>
      <c r="B22">
        <f>RFI_Elements!C22</f>
        <v>429</v>
      </c>
      <c r="C22">
        <v>21</v>
      </c>
      <c r="D22" s="128">
        <v>43101.003472222219</v>
      </c>
      <c r="E22" t="e">
        <f>VLOOKUP(VLOOKUP(B22,SuiteCatSubElem!$G$2:$G$667,2,0),'SA Q4 18 VR'!$A$33:$O$193,1+MATCH(VLOOKUP(A22,Vendors!$A$2:$B$15,2,0),'SA Q4 18 VR'!$B$24:$O$24,0),0)</f>
        <v>#REF!</v>
      </c>
      <c r="F22" s="27">
        <v>1</v>
      </c>
      <c r="G22">
        <f>RFI_Elements!N22</f>
        <v>21</v>
      </c>
      <c r="I22" t="e">
        <f>VLOOKUP(B22,SuiteCatSubElem!$G$2:$G$667,2,0)</f>
        <v>#REF!</v>
      </c>
    </row>
    <row r="23" spans="1:9">
      <c r="A23">
        <f>RFI_Elements!B23</f>
        <v>1</v>
      </c>
      <c r="B23">
        <f>RFI_Elements!C23</f>
        <v>430</v>
      </c>
      <c r="C23">
        <v>22</v>
      </c>
      <c r="D23" s="128">
        <v>43101.003472222219</v>
      </c>
      <c r="E23" t="e">
        <f>VLOOKUP(VLOOKUP(B23,SuiteCatSubElem!$G$2:$G$667,2,0),'SA Q4 18 VR'!$A$33:$O$193,1+MATCH(VLOOKUP(A23,Vendors!$A$2:$B$15,2,0),'SA Q4 18 VR'!$B$24:$O$24,0),0)</f>
        <v>#REF!</v>
      </c>
      <c r="F23" s="27">
        <v>1</v>
      </c>
      <c r="G23">
        <f>RFI_Elements!N23</f>
        <v>22</v>
      </c>
      <c r="I23" t="e">
        <f>VLOOKUP(B23,SuiteCatSubElem!$G$2:$G$667,2,0)</f>
        <v>#REF!</v>
      </c>
    </row>
    <row r="24" spans="1:9">
      <c r="A24">
        <f>RFI_Elements!B24</f>
        <v>1</v>
      </c>
      <c r="B24">
        <f>RFI_Elements!C24</f>
        <v>431</v>
      </c>
      <c r="C24">
        <v>23</v>
      </c>
      <c r="D24" s="128">
        <v>43101.003472222219</v>
      </c>
      <c r="E24" t="e">
        <f>VLOOKUP(VLOOKUP(B24,SuiteCatSubElem!$G$2:$G$667,2,0),'SA Q4 18 VR'!$A$33:$O$193,1+MATCH(VLOOKUP(A24,Vendors!$A$2:$B$15,2,0),'SA Q4 18 VR'!$B$24:$O$24,0),0)</f>
        <v>#REF!</v>
      </c>
      <c r="F24" s="27">
        <v>1</v>
      </c>
      <c r="G24">
        <f>RFI_Elements!N24</f>
        <v>23</v>
      </c>
      <c r="I24" t="e">
        <f>VLOOKUP(B24,SuiteCatSubElem!$G$2:$G$667,2,0)</f>
        <v>#REF!</v>
      </c>
    </row>
    <row r="25" spans="1:9">
      <c r="A25">
        <f>RFI_Elements!B25</f>
        <v>1</v>
      </c>
      <c r="B25">
        <f>RFI_Elements!C25</f>
        <v>432</v>
      </c>
      <c r="C25">
        <v>24</v>
      </c>
      <c r="D25" s="128">
        <v>43101.003472222219</v>
      </c>
      <c r="E25" t="e">
        <f>VLOOKUP(VLOOKUP(B25,SuiteCatSubElem!$G$2:$G$667,2,0),'SA Q4 18 VR'!$A$33:$O$193,1+MATCH(VLOOKUP(A25,Vendors!$A$2:$B$15,2,0),'SA Q4 18 VR'!$B$24:$O$24,0),0)</f>
        <v>#REF!</v>
      </c>
      <c r="F25" s="27">
        <v>1</v>
      </c>
      <c r="G25">
        <f>RFI_Elements!N25</f>
        <v>24</v>
      </c>
      <c r="I25" t="e">
        <f>VLOOKUP(B25,SuiteCatSubElem!$G$2:$G$667,2,0)</f>
        <v>#REF!</v>
      </c>
    </row>
    <row r="26" spans="1:9">
      <c r="A26">
        <f>RFI_Elements!B26</f>
        <v>1</v>
      </c>
      <c r="B26">
        <f>RFI_Elements!C26</f>
        <v>433</v>
      </c>
      <c r="C26">
        <v>25</v>
      </c>
      <c r="D26" s="128">
        <v>43101.003472222219</v>
      </c>
      <c r="E26" t="e">
        <f>VLOOKUP(VLOOKUP(B26,SuiteCatSubElem!$G$2:$G$667,2,0),'SA Q4 18 VR'!$A$33:$O$193,1+MATCH(VLOOKUP(A26,Vendors!$A$2:$B$15,2,0),'SA Q4 18 VR'!$B$24:$O$24,0),0)</f>
        <v>#REF!</v>
      </c>
      <c r="F26" s="27">
        <v>1</v>
      </c>
      <c r="G26">
        <f>RFI_Elements!N26</f>
        <v>25</v>
      </c>
      <c r="I26" t="e">
        <f>VLOOKUP(B26,SuiteCatSubElem!$G$2:$G$667,2,0)</f>
        <v>#REF!</v>
      </c>
    </row>
    <row r="27" spans="1:9">
      <c r="A27">
        <f>RFI_Elements!B27</f>
        <v>1</v>
      </c>
      <c r="B27">
        <f>RFI_Elements!C27</f>
        <v>434</v>
      </c>
      <c r="C27">
        <v>26</v>
      </c>
      <c r="D27" s="128">
        <v>43101.003472222219</v>
      </c>
      <c r="E27" t="e">
        <f>VLOOKUP(VLOOKUP(B27,SuiteCatSubElem!$G$2:$G$667,2,0),'SA Q4 18 VR'!$A$33:$O$193,1+MATCH(VLOOKUP(A27,Vendors!$A$2:$B$15,2,0),'SA Q4 18 VR'!$B$24:$O$24,0),0)</f>
        <v>#REF!</v>
      </c>
      <c r="F27" s="27">
        <v>1</v>
      </c>
      <c r="G27">
        <f>RFI_Elements!N27</f>
        <v>26</v>
      </c>
      <c r="I27" t="e">
        <f>VLOOKUP(B27,SuiteCatSubElem!$G$2:$G$667,2,0)</f>
        <v>#REF!</v>
      </c>
    </row>
    <row r="28" spans="1:9">
      <c r="A28">
        <f>RFI_Elements!B28</f>
        <v>1</v>
      </c>
      <c r="B28">
        <f>RFI_Elements!C28</f>
        <v>435</v>
      </c>
      <c r="C28">
        <v>27</v>
      </c>
      <c r="D28" s="128">
        <v>43101.003472222219</v>
      </c>
      <c r="E28" t="e">
        <f>VLOOKUP(VLOOKUP(B28,SuiteCatSubElem!$G$2:$G$667,2,0),'SA Q4 18 VR'!$A$33:$O$193,1+MATCH(VLOOKUP(A28,Vendors!$A$2:$B$15,2,0),'SA Q4 18 VR'!$B$24:$O$24,0),0)</f>
        <v>#REF!</v>
      </c>
      <c r="F28" s="27">
        <v>1</v>
      </c>
      <c r="G28">
        <f>RFI_Elements!N28</f>
        <v>27</v>
      </c>
      <c r="I28" t="e">
        <f>VLOOKUP(B28,SuiteCatSubElem!$G$2:$G$667,2,0)</f>
        <v>#REF!</v>
      </c>
    </row>
    <row r="29" spans="1:9">
      <c r="A29">
        <f>RFI_Elements!B29</f>
        <v>1</v>
      </c>
      <c r="B29">
        <f>RFI_Elements!C29</f>
        <v>436</v>
      </c>
      <c r="C29">
        <v>28</v>
      </c>
      <c r="D29" s="128">
        <v>43101.003472222219</v>
      </c>
      <c r="E29" t="e">
        <f>VLOOKUP(VLOOKUP(B29,SuiteCatSubElem!$G$2:$G$667,2,0),'SA Q4 18 VR'!$A$33:$O$193,1+MATCH(VLOOKUP(A29,Vendors!$A$2:$B$15,2,0),'SA Q4 18 VR'!$B$24:$O$24,0),0)</f>
        <v>#REF!</v>
      </c>
      <c r="F29" s="27">
        <v>1</v>
      </c>
      <c r="G29">
        <f>RFI_Elements!N29</f>
        <v>28</v>
      </c>
      <c r="I29" t="e">
        <f>VLOOKUP(B29,SuiteCatSubElem!$G$2:$G$667,2,0)</f>
        <v>#REF!</v>
      </c>
    </row>
    <row r="30" spans="1:9">
      <c r="A30">
        <f>RFI_Elements!B30</f>
        <v>1</v>
      </c>
      <c r="B30">
        <f>RFI_Elements!C30</f>
        <v>437</v>
      </c>
      <c r="C30">
        <v>29</v>
      </c>
      <c r="D30" s="128">
        <v>43101.003472222219</v>
      </c>
      <c r="E30" t="e">
        <f>VLOOKUP(VLOOKUP(B30,SuiteCatSubElem!$G$2:$G$667,2,0),'SA Q4 18 VR'!$A$33:$O$193,1+MATCH(VLOOKUP(A30,Vendors!$A$2:$B$15,2,0),'SA Q4 18 VR'!$B$24:$O$24,0),0)</f>
        <v>#REF!</v>
      </c>
      <c r="F30" s="27">
        <v>1</v>
      </c>
      <c r="G30">
        <f>RFI_Elements!N30</f>
        <v>29</v>
      </c>
      <c r="I30" t="e">
        <f>VLOOKUP(B30,SuiteCatSubElem!$G$2:$G$667,2,0)</f>
        <v>#REF!</v>
      </c>
    </row>
    <row r="31" spans="1:9">
      <c r="A31">
        <f>RFI_Elements!B31</f>
        <v>1</v>
      </c>
      <c r="B31">
        <f>RFI_Elements!C31</f>
        <v>438</v>
      </c>
      <c r="C31">
        <v>30</v>
      </c>
      <c r="D31" s="128">
        <v>43101.003472222219</v>
      </c>
      <c r="E31" t="e">
        <f>VLOOKUP(VLOOKUP(B31,SuiteCatSubElem!$G$2:$G$667,2,0),'SA Q4 18 VR'!$A$33:$O$193,1+MATCH(VLOOKUP(A31,Vendors!$A$2:$B$15,2,0),'SA Q4 18 VR'!$B$24:$O$24,0),0)</f>
        <v>#REF!</v>
      </c>
      <c r="F31" s="27">
        <v>1</v>
      </c>
      <c r="G31">
        <f>RFI_Elements!N31</f>
        <v>30</v>
      </c>
      <c r="I31" t="e">
        <f>VLOOKUP(B31,SuiteCatSubElem!$G$2:$G$667,2,0)</f>
        <v>#REF!</v>
      </c>
    </row>
    <row r="32" spans="1:9">
      <c r="A32">
        <f>RFI_Elements!B32</f>
        <v>1</v>
      </c>
      <c r="B32">
        <f>RFI_Elements!C32</f>
        <v>439</v>
      </c>
      <c r="C32">
        <v>31</v>
      </c>
      <c r="D32" s="128">
        <v>43101.003472222219</v>
      </c>
      <c r="E32" t="e">
        <f>VLOOKUP(VLOOKUP(B32,SuiteCatSubElem!$G$2:$G$667,2,0),'SA Q4 18 VR'!$A$33:$O$193,1+MATCH(VLOOKUP(A32,Vendors!$A$2:$B$15,2,0),'SA Q4 18 VR'!$B$24:$O$24,0),0)</f>
        <v>#REF!</v>
      </c>
      <c r="F32" s="27">
        <v>1</v>
      </c>
      <c r="G32">
        <f>RFI_Elements!N32</f>
        <v>31</v>
      </c>
      <c r="I32" t="e">
        <f>VLOOKUP(B32,SuiteCatSubElem!$G$2:$G$667,2,0)</f>
        <v>#REF!</v>
      </c>
    </row>
    <row r="33" spans="1:9">
      <c r="A33">
        <f>RFI_Elements!B33</f>
        <v>1</v>
      </c>
      <c r="B33">
        <f>RFI_Elements!C33</f>
        <v>440</v>
      </c>
      <c r="C33">
        <v>32</v>
      </c>
      <c r="D33" s="128">
        <v>43101.003472222219</v>
      </c>
      <c r="E33" t="e">
        <f>VLOOKUP(VLOOKUP(B33,SuiteCatSubElem!$G$2:$G$667,2,0),'SA Q4 18 VR'!$A$33:$O$193,1+MATCH(VLOOKUP(A33,Vendors!$A$2:$B$15,2,0),'SA Q4 18 VR'!$B$24:$O$24,0),0)</f>
        <v>#REF!</v>
      </c>
      <c r="F33" s="27">
        <v>1</v>
      </c>
      <c r="G33">
        <f>RFI_Elements!N33</f>
        <v>32</v>
      </c>
      <c r="I33" t="e">
        <f>VLOOKUP(B33,SuiteCatSubElem!$G$2:$G$667,2,0)</f>
        <v>#REF!</v>
      </c>
    </row>
    <row r="34" spans="1:9">
      <c r="A34">
        <f>RFI_Elements!B34</f>
        <v>1</v>
      </c>
      <c r="B34">
        <f>RFI_Elements!C34</f>
        <v>441</v>
      </c>
      <c r="C34">
        <v>33</v>
      </c>
      <c r="D34" s="128">
        <v>43101.003472222219</v>
      </c>
      <c r="E34" t="e">
        <f>VLOOKUP(VLOOKUP(B34,SuiteCatSubElem!$G$2:$G$667,2,0),'SA Q4 18 VR'!$A$33:$O$193,1+MATCH(VLOOKUP(A34,Vendors!$A$2:$B$15,2,0),'SA Q4 18 VR'!$B$24:$O$24,0),0)</f>
        <v>#REF!</v>
      </c>
      <c r="F34" s="27">
        <v>1</v>
      </c>
      <c r="G34">
        <f>RFI_Elements!N34</f>
        <v>33</v>
      </c>
      <c r="I34" t="e">
        <f>VLOOKUP(B34,SuiteCatSubElem!$G$2:$G$667,2,0)</f>
        <v>#REF!</v>
      </c>
    </row>
    <row r="35" spans="1:9">
      <c r="A35">
        <f>RFI_Elements!B35</f>
        <v>1</v>
      </c>
      <c r="B35">
        <f>RFI_Elements!C35</f>
        <v>442</v>
      </c>
      <c r="C35">
        <v>34</v>
      </c>
      <c r="D35" s="128">
        <v>43101.003472222219</v>
      </c>
      <c r="E35" t="e">
        <f>VLOOKUP(VLOOKUP(B35,SuiteCatSubElem!$G$2:$G$667,2,0),'SA Q4 18 VR'!$A$33:$O$193,1+MATCH(VLOOKUP(A35,Vendors!$A$2:$B$15,2,0),'SA Q4 18 VR'!$B$24:$O$24,0),0)</f>
        <v>#REF!</v>
      </c>
      <c r="F35" s="27">
        <v>1</v>
      </c>
      <c r="G35">
        <f>RFI_Elements!N35</f>
        <v>34</v>
      </c>
      <c r="I35" t="e">
        <f>VLOOKUP(B35,SuiteCatSubElem!$G$2:$G$667,2,0)</f>
        <v>#REF!</v>
      </c>
    </row>
    <row r="36" spans="1:9">
      <c r="A36">
        <f>RFI_Elements!B36</f>
        <v>1</v>
      </c>
      <c r="B36">
        <f>RFI_Elements!C36</f>
        <v>443</v>
      </c>
      <c r="C36">
        <v>35</v>
      </c>
      <c r="D36" s="128">
        <v>43101.003472222219</v>
      </c>
      <c r="E36" t="e">
        <f>VLOOKUP(VLOOKUP(B36,SuiteCatSubElem!$G$2:$G$667,2,0),'SA Q4 18 VR'!$A$33:$O$193,1+MATCH(VLOOKUP(A36,Vendors!$A$2:$B$15,2,0),'SA Q4 18 VR'!$B$24:$O$24,0),0)</f>
        <v>#REF!</v>
      </c>
      <c r="F36" s="27">
        <v>1</v>
      </c>
      <c r="G36">
        <f>RFI_Elements!N36</f>
        <v>35</v>
      </c>
      <c r="I36" t="e">
        <f>VLOOKUP(B36,SuiteCatSubElem!$G$2:$G$667,2,0)</f>
        <v>#REF!</v>
      </c>
    </row>
    <row r="37" spans="1:9">
      <c r="A37">
        <f>RFI_Elements!B38</f>
        <v>1</v>
      </c>
      <c r="B37">
        <f>RFI_Elements!C38</f>
        <v>445</v>
      </c>
      <c r="C37">
        <v>37</v>
      </c>
      <c r="D37" s="128">
        <v>43101.003472222219</v>
      </c>
      <c r="E37" t="e">
        <f>VLOOKUP(VLOOKUP(B37,SuiteCatSubElem!$G$2:$G$667,2,0),'SA Q4 18 VR'!$A$33:$O$193,1+MATCH(VLOOKUP(A37,Vendors!$A$2:$B$15,2,0),'SA Q4 18 VR'!$B$24:$O$24,0),0)</f>
        <v>#REF!</v>
      </c>
      <c r="F37" s="27">
        <v>1</v>
      </c>
      <c r="G37">
        <f>RFI_Elements!N38</f>
        <v>37</v>
      </c>
      <c r="I37" t="e">
        <f>VLOOKUP(B37,SuiteCatSubElem!$G$2:$G$667,2,0)</f>
        <v>#REF!</v>
      </c>
    </row>
    <row r="38" spans="1:9">
      <c r="A38">
        <f>RFI_Elements!B39</f>
        <v>1</v>
      </c>
      <c r="B38">
        <f>RFI_Elements!C39</f>
        <v>446</v>
      </c>
      <c r="C38">
        <v>38</v>
      </c>
      <c r="D38" s="128">
        <v>43101.003472222219</v>
      </c>
      <c r="E38" t="e">
        <f>VLOOKUP(VLOOKUP(B38,SuiteCatSubElem!$G$2:$G$667,2,0),'SA Q4 18 VR'!$A$33:$O$193,1+MATCH(VLOOKUP(A38,Vendors!$A$2:$B$15,2,0),'SA Q4 18 VR'!$B$24:$O$24,0),0)</f>
        <v>#REF!</v>
      </c>
      <c r="F38" s="27">
        <v>1</v>
      </c>
      <c r="G38">
        <f>RFI_Elements!N39</f>
        <v>38</v>
      </c>
      <c r="I38" t="e">
        <f>VLOOKUP(B38,SuiteCatSubElem!$G$2:$G$667,2,0)</f>
        <v>#REF!</v>
      </c>
    </row>
    <row r="39" spans="1:9">
      <c r="A39">
        <f>RFI_Elements!B40</f>
        <v>1</v>
      </c>
      <c r="B39">
        <f>RFI_Elements!C40</f>
        <v>447</v>
      </c>
      <c r="C39">
        <v>39</v>
      </c>
      <c r="D39" s="128">
        <v>43101.003472222219</v>
      </c>
      <c r="E39" t="e">
        <f>VLOOKUP(VLOOKUP(B39,SuiteCatSubElem!$G$2:$G$667,2,0),'SA Q4 18 VR'!$A$33:$O$193,1+MATCH(VLOOKUP(A39,Vendors!$A$2:$B$15,2,0),'SA Q4 18 VR'!$B$24:$O$24,0),0)</f>
        <v>#REF!</v>
      </c>
      <c r="F39" s="27">
        <v>1</v>
      </c>
      <c r="G39">
        <f>RFI_Elements!N40</f>
        <v>39</v>
      </c>
      <c r="I39" t="e">
        <f>VLOOKUP(B39,SuiteCatSubElem!$G$2:$G$667,2,0)</f>
        <v>#REF!</v>
      </c>
    </row>
    <row r="40" spans="1:9">
      <c r="A40">
        <f>RFI_Elements!B41</f>
        <v>1</v>
      </c>
      <c r="B40">
        <f>RFI_Elements!C41</f>
        <v>448</v>
      </c>
      <c r="C40">
        <v>40</v>
      </c>
      <c r="D40" s="128">
        <v>43101.003472222219</v>
      </c>
      <c r="E40" t="e">
        <f>VLOOKUP(VLOOKUP(B40,SuiteCatSubElem!$G$2:$G$667,2,0),'SA Q4 18 VR'!$A$33:$O$193,1+MATCH(VLOOKUP(A40,Vendors!$A$2:$B$15,2,0),'SA Q4 18 VR'!$B$24:$O$24,0),0)</f>
        <v>#REF!</v>
      </c>
      <c r="F40" s="27">
        <v>1</v>
      </c>
      <c r="G40">
        <f>RFI_Elements!N41</f>
        <v>40</v>
      </c>
      <c r="I40" t="e">
        <f>VLOOKUP(B40,SuiteCatSubElem!$G$2:$G$667,2,0)</f>
        <v>#REF!</v>
      </c>
    </row>
    <row r="41" spans="1:9">
      <c r="A41">
        <f>RFI_Elements!B42</f>
        <v>1</v>
      </c>
      <c r="B41">
        <f>RFI_Elements!C42</f>
        <v>449</v>
      </c>
      <c r="C41">
        <v>41</v>
      </c>
      <c r="D41" s="128">
        <v>43101.003472222219</v>
      </c>
      <c r="E41" t="e">
        <f>VLOOKUP(VLOOKUP(B41,SuiteCatSubElem!$G$2:$G$667,2,0),'SA Q4 18 VR'!$A$33:$O$193,1+MATCH(VLOOKUP(A41,Vendors!$A$2:$B$15,2,0),'SA Q4 18 VR'!$B$24:$O$24,0),0)</f>
        <v>#REF!</v>
      </c>
      <c r="F41" s="27">
        <v>1</v>
      </c>
      <c r="G41">
        <f>RFI_Elements!N42</f>
        <v>41</v>
      </c>
      <c r="I41" t="e">
        <f>VLOOKUP(B41,SuiteCatSubElem!$G$2:$G$667,2,0)</f>
        <v>#REF!</v>
      </c>
    </row>
    <row r="42" spans="1:9">
      <c r="A42">
        <f>RFI_Elements!B43</f>
        <v>1</v>
      </c>
      <c r="B42">
        <f>RFI_Elements!C43</f>
        <v>450</v>
      </c>
      <c r="C42">
        <v>42</v>
      </c>
      <c r="D42" s="128">
        <v>43101.003472222219</v>
      </c>
      <c r="E42" t="e">
        <f>VLOOKUP(VLOOKUP(B42,SuiteCatSubElem!$G$2:$G$667,2,0),'SA Q4 18 VR'!$A$33:$O$193,1+MATCH(VLOOKUP(A42,Vendors!$A$2:$B$15,2,0),'SA Q4 18 VR'!$B$24:$O$24,0),0)</f>
        <v>#REF!</v>
      </c>
      <c r="F42" s="27">
        <v>1</v>
      </c>
      <c r="G42">
        <f>RFI_Elements!N43</f>
        <v>42</v>
      </c>
      <c r="I42" t="e">
        <f>VLOOKUP(B42,SuiteCatSubElem!$G$2:$G$667,2,0)</f>
        <v>#REF!</v>
      </c>
    </row>
    <row r="43" spans="1:9">
      <c r="A43">
        <f>RFI_Elements!B44</f>
        <v>1</v>
      </c>
      <c r="B43">
        <f>RFI_Elements!C44</f>
        <v>451</v>
      </c>
      <c r="C43">
        <v>43</v>
      </c>
      <c r="D43" s="128">
        <v>43101.003472222219</v>
      </c>
      <c r="E43" t="e">
        <f>VLOOKUP(VLOOKUP(B43,SuiteCatSubElem!$G$2:$G$667,2,0),'SA Q4 18 VR'!$A$33:$O$193,1+MATCH(VLOOKUP(A43,Vendors!$A$2:$B$15,2,0),'SA Q4 18 VR'!$B$24:$O$24,0),0)</f>
        <v>#REF!</v>
      </c>
      <c r="F43" s="27">
        <v>1</v>
      </c>
      <c r="G43">
        <f>RFI_Elements!N44</f>
        <v>43</v>
      </c>
      <c r="I43" t="e">
        <f>VLOOKUP(B43,SuiteCatSubElem!$G$2:$G$667,2,0)</f>
        <v>#REF!</v>
      </c>
    </row>
    <row r="44" spans="1:9">
      <c r="A44">
        <f>RFI_Elements!B45</f>
        <v>1</v>
      </c>
      <c r="B44">
        <f>RFI_Elements!C45</f>
        <v>452</v>
      </c>
      <c r="C44">
        <v>44</v>
      </c>
      <c r="D44" s="128">
        <v>43101.003472222219</v>
      </c>
      <c r="E44" t="e">
        <f>VLOOKUP(VLOOKUP(B44,SuiteCatSubElem!$G$2:$G$667,2,0),'SA Q4 18 VR'!$A$33:$O$193,1+MATCH(VLOOKUP(A44,Vendors!$A$2:$B$15,2,0),'SA Q4 18 VR'!$B$24:$O$24,0),0)</f>
        <v>#REF!</v>
      </c>
      <c r="F44" s="27">
        <v>1</v>
      </c>
      <c r="G44">
        <f>RFI_Elements!N45</f>
        <v>44</v>
      </c>
      <c r="I44" t="e">
        <f>VLOOKUP(B44,SuiteCatSubElem!$G$2:$G$667,2,0)</f>
        <v>#REF!</v>
      </c>
    </row>
    <row r="45" spans="1:9">
      <c r="A45">
        <f>RFI_Elements!B46</f>
        <v>1</v>
      </c>
      <c r="B45">
        <f>RFI_Elements!C46</f>
        <v>453</v>
      </c>
      <c r="C45">
        <v>45</v>
      </c>
      <c r="D45" s="128">
        <v>43101.003472222219</v>
      </c>
      <c r="E45" t="e">
        <f>VLOOKUP(VLOOKUP(B45,SuiteCatSubElem!$G$2:$G$667,2,0),'SA Q4 18 VR'!$A$33:$O$193,1+MATCH(VLOOKUP(A45,Vendors!$A$2:$B$15,2,0),'SA Q4 18 VR'!$B$24:$O$24,0),0)</f>
        <v>#REF!</v>
      </c>
      <c r="F45" s="27">
        <v>1</v>
      </c>
      <c r="G45">
        <f>RFI_Elements!N46</f>
        <v>45</v>
      </c>
      <c r="I45" t="e">
        <f>VLOOKUP(B45,SuiteCatSubElem!$G$2:$G$667,2,0)</f>
        <v>#REF!</v>
      </c>
    </row>
    <row r="46" spans="1:9">
      <c r="A46">
        <f>RFI_Elements!B47</f>
        <v>1</v>
      </c>
      <c r="B46">
        <f>RFI_Elements!C47</f>
        <v>454</v>
      </c>
      <c r="C46">
        <v>46</v>
      </c>
      <c r="D46" s="128">
        <v>43101.003472222219</v>
      </c>
      <c r="E46" t="e">
        <f>VLOOKUP(VLOOKUP(B46,SuiteCatSubElem!$G$2:$G$667,2,0),'SA Q4 18 VR'!$A$33:$O$193,1+MATCH(VLOOKUP(A46,Vendors!$A$2:$B$15,2,0),'SA Q4 18 VR'!$B$24:$O$24,0),0)</f>
        <v>#REF!</v>
      </c>
      <c r="F46" s="27">
        <v>1</v>
      </c>
      <c r="G46">
        <f>RFI_Elements!N47</f>
        <v>46</v>
      </c>
      <c r="I46" t="e">
        <f>VLOOKUP(B46,SuiteCatSubElem!$G$2:$G$667,2,0)</f>
        <v>#REF!</v>
      </c>
    </row>
    <row r="47" spans="1:9">
      <c r="A47">
        <f>RFI_Elements!B48</f>
        <v>1</v>
      </c>
      <c r="B47">
        <f>RFI_Elements!C48</f>
        <v>455</v>
      </c>
      <c r="C47">
        <v>47</v>
      </c>
      <c r="D47" s="128">
        <v>43101.003472222219</v>
      </c>
      <c r="E47" t="e">
        <f>VLOOKUP(VLOOKUP(B47,SuiteCatSubElem!$G$2:$G$667,2,0),'SA Q4 18 VR'!$A$33:$O$193,1+MATCH(VLOOKUP(A47,Vendors!$A$2:$B$15,2,0),'SA Q4 18 VR'!$B$24:$O$24,0),0)</f>
        <v>#REF!</v>
      </c>
      <c r="F47" s="27">
        <v>1</v>
      </c>
      <c r="G47">
        <f>RFI_Elements!N48</f>
        <v>47</v>
      </c>
      <c r="I47" t="e">
        <f>VLOOKUP(B47,SuiteCatSubElem!$G$2:$G$667,2,0)</f>
        <v>#REF!</v>
      </c>
    </row>
    <row r="48" spans="1:9">
      <c r="A48">
        <f>RFI_Elements!B49</f>
        <v>1</v>
      </c>
      <c r="B48">
        <f>RFI_Elements!C49</f>
        <v>456</v>
      </c>
      <c r="C48">
        <v>48</v>
      </c>
      <c r="D48" s="128">
        <v>43101.003472222219</v>
      </c>
      <c r="E48" t="e">
        <f>VLOOKUP(VLOOKUP(B48,SuiteCatSubElem!$G$2:$G$667,2,0),'SA Q4 18 VR'!$A$33:$O$193,1+MATCH(VLOOKUP(A48,Vendors!$A$2:$B$15,2,0),'SA Q4 18 VR'!$B$24:$O$24,0),0)</f>
        <v>#REF!</v>
      </c>
      <c r="F48" s="27">
        <v>1</v>
      </c>
      <c r="G48">
        <f>RFI_Elements!N49</f>
        <v>48</v>
      </c>
      <c r="I48" t="e">
        <f>VLOOKUP(B48,SuiteCatSubElem!$G$2:$G$667,2,0)</f>
        <v>#REF!</v>
      </c>
    </row>
    <row r="49" spans="1:9">
      <c r="A49">
        <f>RFI_Elements!B50</f>
        <v>1</v>
      </c>
      <c r="B49">
        <f>RFI_Elements!C50</f>
        <v>457</v>
      </c>
      <c r="C49">
        <v>49</v>
      </c>
      <c r="D49" s="128">
        <v>43101.003472222219</v>
      </c>
      <c r="E49" t="e">
        <f>VLOOKUP(VLOOKUP(B49,SuiteCatSubElem!$G$2:$G$667,2,0),'SA Q4 18 VR'!$A$33:$O$193,1+MATCH(VLOOKUP(A49,Vendors!$A$2:$B$15,2,0),'SA Q4 18 VR'!$B$24:$O$24,0),0)</f>
        <v>#REF!</v>
      </c>
      <c r="F49" s="27">
        <v>1</v>
      </c>
      <c r="G49">
        <f>RFI_Elements!N50</f>
        <v>49</v>
      </c>
      <c r="I49" t="e">
        <f>VLOOKUP(B49,SuiteCatSubElem!$G$2:$G$667,2,0)</f>
        <v>#REF!</v>
      </c>
    </row>
    <row r="50" spans="1:9">
      <c r="A50">
        <f>RFI_Elements!B51</f>
        <v>1</v>
      </c>
      <c r="B50">
        <f>RFI_Elements!C51</f>
        <v>458</v>
      </c>
      <c r="C50">
        <v>50</v>
      </c>
      <c r="D50" s="128">
        <v>43101.003472222219</v>
      </c>
      <c r="E50" t="e">
        <f>VLOOKUP(VLOOKUP(B50,SuiteCatSubElem!$G$2:$G$667,2,0),'SA Q4 18 VR'!$A$33:$O$193,1+MATCH(VLOOKUP(A50,Vendors!$A$2:$B$15,2,0),'SA Q4 18 VR'!$B$24:$O$24,0),0)</f>
        <v>#REF!</v>
      </c>
      <c r="F50" s="27">
        <v>1</v>
      </c>
      <c r="G50">
        <f>RFI_Elements!N51</f>
        <v>50</v>
      </c>
      <c r="I50" t="e">
        <f>VLOOKUP(B50,SuiteCatSubElem!$G$2:$G$667,2,0)</f>
        <v>#REF!</v>
      </c>
    </row>
    <row r="51" spans="1:9">
      <c r="A51">
        <f>RFI_Elements!B52</f>
        <v>1</v>
      </c>
      <c r="B51">
        <f>RFI_Elements!C52</f>
        <v>459</v>
      </c>
      <c r="C51">
        <v>51</v>
      </c>
      <c r="D51" s="128">
        <v>43101.003472222219</v>
      </c>
      <c r="E51" t="e">
        <f>VLOOKUP(VLOOKUP(B51,SuiteCatSubElem!$G$2:$G$667,2,0),'SA Q4 18 VR'!$A$33:$O$193,1+MATCH(VLOOKUP(A51,Vendors!$A$2:$B$15,2,0),'SA Q4 18 VR'!$B$24:$O$24,0),0)</f>
        <v>#REF!</v>
      </c>
      <c r="F51" s="27">
        <v>1</v>
      </c>
      <c r="G51">
        <f>RFI_Elements!N52</f>
        <v>51</v>
      </c>
      <c r="I51" t="e">
        <f>VLOOKUP(B51,SuiteCatSubElem!$G$2:$G$667,2,0)</f>
        <v>#REF!</v>
      </c>
    </row>
    <row r="52" spans="1:9">
      <c r="A52">
        <f>RFI_Elements!B53</f>
        <v>1</v>
      </c>
      <c r="B52">
        <f>RFI_Elements!C53</f>
        <v>460</v>
      </c>
      <c r="C52">
        <v>52</v>
      </c>
      <c r="D52" s="128">
        <v>43101.003472222219</v>
      </c>
      <c r="E52" t="e">
        <f>VLOOKUP(VLOOKUP(B52,SuiteCatSubElem!$G$2:$G$667,2,0),'SA Q4 18 VR'!$A$33:$O$193,1+MATCH(VLOOKUP(A52,Vendors!$A$2:$B$15,2,0),'SA Q4 18 VR'!$B$24:$O$24,0),0)</f>
        <v>#REF!</v>
      </c>
      <c r="F52" s="27">
        <v>1</v>
      </c>
      <c r="G52">
        <f>RFI_Elements!N53</f>
        <v>52</v>
      </c>
      <c r="I52" t="e">
        <f>VLOOKUP(B52,SuiteCatSubElem!$G$2:$G$667,2,0)</f>
        <v>#REF!</v>
      </c>
    </row>
    <row r="53" spans="1:9">
      <c r="A53">
        <f>RFI_Elements!B54</f>
        <v>1</v>
      </c>
      <c r="B53">
        <f>RFI_Elements!C54</f>
        <v>461</v>
      </c>
      <c r="C53">
        <v>53</v>
      </c>
      <c r="D53" s="128">
        <v>43101.003472222219</v>
      </c>
      <c r="E53" t="e">
        <f>VLOOKUP(VLOOKUP(B53,SuiteCatSubElem!$G$2:$G$667,2,0),'SA Q4 18 VR'!$A$33:$O$193,1+MATCH(VLOOKUP(A53,Vendors!$A$2:$B$15,2,0),'SA Q4 18 VR'!$B$24:$O$24,0),0)</f>
        <v>#REF!</v>
      </c>
      <c r="F53" s="27">
        <v>1</v>
      </c>
      <c r="G53">
        <f>RFI_Elements!N54</f>
        <v>53</v>
      </c>
      <c r="I53" t="e">
        <f>VLOOKUP(B53,SuiteCatSubElem!$G$2:$G$667,2,0)</f>
        <v>#REF!</v>
      </c>
    </row>
    <row r="54" spans="1:9">
      <c r="A54">
        <f>RFI_Elements!B55</f>
        <v>1</v>
      </c>
      <c r="B54">
        <f>RFI_Elements!C55</f>
        <v>462</v>
      </c>
      <c r="C54">
        <v>54</v>
      </c>
      <c r="D54" s="128">
        <v>43101.003472222219</v>
      </c>
      <c r="E54" t="e">
        <f>VLOOKUP(VLOOKUP(B54,SuiteCatSubElem!$G$2:$G$667,2,0),'SA Q4 18 VR'!$A$33:$O$193,1+MATCH(VLOOKUP(A54,Vendors!$A$2:$B$15,2,0),'SA Q4 18 VR'!$B$24:$O$24,0),0)</f>
        <v>#REF!</v>
      </c>
      <c r="F54" s="27">
        <v>1</v>
      </c>
      <c r="G54">
        <f>RFI_Elements!N55</f>
        <v>54</v>
      </c>
      <c r="I54" t="e">
        <f>VLOOKUP(B54,SuiteCatSubElem!$G$2:$G$667,2,0)</f>
        <v>#REF!</v>
      </c>
    </row>
    <row r="55" spans="1:9">
      <c r="A55">
        <f>RFI_Elements!B56</f>
        <v>1</v>
      </c>
      <c r="B55">
        <f>RFI_Elements!C56</f>
        <v>463</v>
      </c>
      <c r="C55">
        <v>55</v>
      </c>
      <c r="D55" s="128">
        <v>43101.003472222219</v>
      </c>
      <c r="E55" t="e">
        <f>VLOOKUP(VLOOKUP(B55,SuiteCatSubElem!$G$2:$G$667,2,0),'SA Q4 18 VR'!$A$33:$O$193,1+MATCH(VLOOKUP(A55,Vendors!$A$2:$B$15,2,0),'SA Q4 18 VR'!$B$24:$O$24,0),0)</f>
        <v>#REF!</v>
      </c>
      <c r="F55" s="27">
        <v>1</v>
      </c>
      <c r="G55">
        <f>RFI_Elements!N56</f>
        <v>55</v>
      </c>
      <c r="I55" t="e">
        <f>VLOOKUP(B55,SuiteCatSubElem!$G$2:$G$667,2,0)</f>
        <v>#REF!</v>
      </c>
    </row>
    <row r="56" spans="1:9">
      <c r="A56">
        <f>RFI_Elements!B57</f>
        <v>1</v>
      </c>
      <c r="B56">
        <f>RFI_Elements!C57</f>
        <v>464</v>
      </c>
      <c r="C56">
        <v>56</v>
      </c>
      <c r="D56" s="128">
        <v>43101.003472222219</v>
      </c>
      <c r="E56" t="e">
        <f>VLOOKUP(VLOOKUP(B56,SuiteCatSubElem!$G$2:$G$667,2,0),'SA Q4 18 VR'!$A$33:$O$193,1+MATCH(VLOOKUP(A56,Vendors!$A$2:$B$15,2,0),'SA Q4 18 VR'!$B$24:$O$24,0),0)</f>
        <v>#REF!</v>
      </c>
      <c r="F56" s="27">
        <v>1</v>
      </c>
      <c r="G56">
        <f>RFI_Elements!N57</f>
        <v>56</v>
      </c>
      <c r="I56" t="e">
        <f>VLOOKUP(B56,SuiteCatSubElem!$G$2:$G$667,2,0)</f>
        <v>#REF!</v>
      </c>
    </row>
    <row r="57" spans="1:9">
      <c r="A57">
        <f>RFI_Elements!B58</f>
        <v>1</v>
      </c>
      <c r="B57">
        <f>RFI_Elements!C58</f>
        <v>465</v>
      </c>
      <c r="C57">
        <v>57</v>
      </c>
      <c r="D57" s="128">
        <v>43101.003472222219</v>
      </c>
      <c r="E57" t="e">
        <f>VLOOKUP(VLOOKUP(B57,SuiteCatSubElem!$G$2:$G$667,2,0),'SA Q4 18 VR'!$A$33:$O$193,1+MATCH(VLOOKUP(A57,Vendors!$A$2:$B$15,2,0),'SA Q4 18 VR'!$B$24:$O$24,0),0)</f>
        <v>#REF!</v>
      </c>
      <c r="F57" s="27">
        <v>1</v>
      </c>
      <c r="G57">
        <f>RFI_Elements!N58</f>
        <v>57</v>
      </c>
      <c r="I57" t="e">
        <f>VLOOKUP(B57,SuiteCatSubElem!$G$2:$G$667,2,0)</f>
        <v>#REF!</v>
      </c>
    </row>
    <row r="58" spans="1:9">
      <c r="A58">
        <f>RFI_Elements!B59</f>
        <v>1</v>
      </c>
      <c r="B58">
        <f>RFI_Elements!C59</f>
        <v>466</v>
      </c>
      <c r="C58">
        <v>58</v>
      </c>
      <c r="D58" s="128">
        <v>43101.003472222219</v>
      </c>
      <c r="E58" t="e">
        <f>VLOOKUP(VLOOKUP(B58,SuiteCatSubElem!$G$2:$G$667,2,0),'SA Q4 18 VR'!$A$33:$O$193,1+MATCH(VLOOKUP(A58,Vendors!$A$2:$B$15,2,0),'SA Q4 18 VR'!$B$24:$O$24,0),0)</f>
        <v>#REF!</v>
      </c>
      <c r="F58" s="27">
        <v>1</v>
      </c>
      <c r="G58">
        <f>RFI_Elements!N59</f>
        <v>58</v>
      </c>
      <c r="I58" t="e">
        <f>VLOOKUP(B58,SuiteCatSubElem!$G$2:$G$667,2,0)</f>
        <v>#REF!</v>
      </c>
    </row>
    <row r="59" spans="1:9">
      <c r="A59">
        <f>RFI_Elements!B60</f>
        <v>1</v>
      </c>
      <c r="B59">
        <f>RFI_Elements!C60</f>
        <v>467</v>
      </c>
      <c r="C59">
        <v>59</v>
      </c>
      <c r="D59" s="128">
        <v>43101.003472222219</v>
      </c>
      <c r="E59" t="e">
        <f>VLOOKUP(VLOOKUP(B59,SuiteCatSubElem!$G$2:$G$667,2,0),'SA Q4 18 VR'!$A$33:$O$193,1+MATCH(VLOOKUP(A59,Vendors!$A$2:$B$15,2,0),'SA Q4 18 VR'!$B$24:$O$24,0),0)</f>
        <v>#REF!</v>
      </c>
      <c r="F59" s="27">
        <v>1</v>
      </c>
      <c r="G59">
        <f>RFI_Elements!N60</f>
        <v>59</v>
      </c>
      <c r="I59" t="e">
        <f>VLOOKUP(B59,SuiteCatSubElem!$G$2:$G$667,2,0)</f>
        <v>#REF!</v>
      </c>
    </row>
    <row r="60" spans="1:9">
      <c r="A60">
        <f>RFI_Elements!B61</f>
        <v>1</v>
      </c>
      <c r="B60">
        <f>RFI_Elements!C61</f>
        <v>468</v>
      </c>
      <c r="C60">
        <v>60</v>
      </c>
      <c r="D60" s="128">
        <v>43101.003472222219</v>
      </c>
      <c r="E60" t="e">
        <f>VLOOKUP(VLOOKUP(B60,SuiteCatSubElem!$G$2:$G$667,2,0),'SA Q4 18 VR'!$A$33:$O$193,1+MATCH(VLOOKUP(A60,Vendors!$A$2:$B$15,2,0),'SA Q4 18 VR'!$B$24:$O$24,0),0)</f>
        <v>#REF!</v>
      </c>
      <c r="F60" s="27">
        <v>1</v>
      </c>
      <c r="G60">
        <f>RFI_Elements!N61</f>
        <v>60</v>
      </c>
      <c r="I60" t="e">
        <f>VLOOKUP(B60,SuiteCatSubElem!$G$2:$G$667,2,0)</f>
        <v>#REF!</v>
      </c>
    </row>
    <row r="61" spans="1:9">
      <c r="A61">
        <f>RFI_Elements!B62</f>
        <v>1</v>
      </c>
      <c r="B61">
        <f>RFI_Elements!C62</f>
        <v>469</v>
      </c>
      <c r="C61">
        <v>61</v>
      </c>
      <c r="D61" s="128">
        <v>43101.003472222219</v>
      </c>
      <c r="E61" t="e">
        <f>VLOOKUP(VLOOKUP(B61,SuiteCatSubElem!$G$2:$G$667,2,0),'SA Q4 18 VR'!$A$33:$O$193,1+MATCH(VLOOKUP(A61,Vendors!$A$2:$B$15,2,0),'SA Q4 18 VR'!$B$24:$O$24,0),0)</f>
        <v>#REF!</v>
      </c>
      <c r="F61" s="27">
        <v>1</v>
      </c>
      <c r="G61">
        <f>RFI_Elements!N62</f>
        <v>61</v>
      </c>
      <c r="I61" t="e">
        <f>VLOOKUP(B61,SuiteCatSubElem!$G$2:$G$667,2,0)</f>
        <v>#REF!</v>
      </c>
    </row>
    <row r="62" spans="1:9">
      <c r="A62">
        <f>RFI_Elements!B63</f>
        <v>1</v>
      </c>
      <c r="B62">
        <f>RFI_Elements!C63</f>
        <v>470</v>
      </c>
      <c r="C62">
        <v>62</v>
      </c>
      <c r="D62" s="128">
        <v>43101.003472222219</v>
      </c>
      <c r="E62" t="e">
        <f>VLOOKUP(VLOOKUP(B62,SuiteCatSubElem!$G$2:$G$667,2,0),'SA Q4 18 VR'!$A$33:$O$193,1+MATCH(VLOOKUP(A62,Vendors!$A$2:$B$15,2,0),'SA Q4 18 VR'!$B$24:$O$24,0),0)</f>
        <v>#REF!</v>
      </c>
      <c r="F62" s="27">
        <v>1</v>
      </c>
      <c r="G62">
        <f>RFI_Elements!N63</f>
        <v>62</v>
      </c>
      <c r="I62" t="e">
        <f>VLOOKUP(B62,SuiteCatSubElem!$G$2:$G$667,2,0)</f>
        <v>#REF!</v>
      </c>
    </row>
    <row r="63" spans="1:9">
      <c r="A63">
        <f>RFI_Elements!B64</f>
        <v>1</v>
      </c>
      <c r="B63">
        <f>RFI_Elements!C64</f>
        <v>471</v>
      </c>
      <c r="C63">
        <v>63</v>
      </c>
      <c r="D63" s="128">
        <v>43101.003472222219</v>
      </c>
      <c r="E63" t="e">
        <f>VLOOKUP(VLOOKUP(B63,SuiteCatSubElem!$G$2:$G$667,2,0),'SA Q4 18 VR'!$A$33:$O$193,1+MATCH(VLOOKUP(A63,Vendors!$A$2:$B$15,2,0),'SA Q4 18 VR'!$B$24:$O$24,0),0)</f>
        <v>#REF!</v>
      </c>
      <c r="F63" s="27">
        <v>1</v>
      </c>
      <c r="G63">
        <f>RFI_Elements!N64</f>
        <v>63</v>
      </c>
      <c r="I63" t="e">
        <f>VLOOKUP(B63,SuiteCatSubElem!$G$2:$G$667,2,0)</f>
        <v>#REF!</v>
      </c>
    </row>
    <row r="64" spans="1:9">
      <c r="A64">
        <f>RFI_Elements!B65</f>
        <v>1</v>
      </c>
      <c r="B64">
        <f>RFI_Elements!C65</f>
        <v>472</v>
      </c>
      <c r="C64">
        <v>64</v>
      </c>
      <c r="D64" s="128">
        <v>43101.003472222219</v>
      </c>
      <c r="E64" t="e">
        <f>VLOOKUP(VLOOKUP(B64,SuiteCatSubElem!$G$2:$G$667,2,0),'SA Q4 18 VR'!$A$33:$O$193,1+MATCH(VLOOKUP(A64,Vendors!$A$2:$B$15,2,0),'SA Q4 18 VR'!$B$24:$O$24,0),0)</f>
        <v>#REF!</v>
      </c>
      <c r="F64" s="27">
        <v>1</v>
      </c>
      <c r="G64">
        <f>RFI_Elements!N65</f>
        <v>64</v>
      </c>
      <c r="I64" t="e">
        <f>VLOOKUP(B64,SuiteCatSubElem!$G$2:$G$667,2,0)</f>
        <v>#REF!</v>
      </c>
    </row>
    <row r="65" spans="1:9">
      <c r="A65">
        <f>RFI_Elements!B66</f>
        <v>1</v>
      </c>
      <c r="B65">
        <f>RFI_Elements!C66</f>
        <v>473</v>
      </c>
      <c r="C65">
        <v>65</v>
      </c>
      <c r="D65" s="128">
        <v>43101.003472222219</v>
      </c>
      <c r="E65" t="e">
        <f>VLOOKUP(VLOOKUP(B65,SuiteCatSubElem!$G$2:$G$667,2,0),'SA Q4 18 VR'!$A$33:$O$193,1+MATCH(VLOOKUP(A65,Vendors!$A$2:$B$15,2,0),'SA Q4 18 VR'!$B$24:$O$24,0),0)</f>
        <v>#REF!</v>
      </c>
      <c r="F65" s="27">
        <v>1</v>
      </c>
      <c r="G65">
        <f>RFI_Elements!N66</f>
        <v>65</v>
      </c>
      <c r="I65" t="e">
        <f>VLOOKUP(B65,SuiteCatSubElem!$G$2:$G$667,2,0)</f>
        <v>#REF!</v>
      </c>
    </row>
    <row r="66" spans="1:9">
      <c r="A66">
        <f>RFI_Elements!B67</f>
        <v>1</v>
      </c>
      <c r="B66">
        <f>RFI_Elements!C67</f>
        <v>474</v>
      </c>
      <c r="C66">
        <v>66</v>
      </c>
      <c r="D66" s="128">
        <v>43101.003472222219</v>
      </c>
      <c r="E66" t="e">
        <f>VLOOKUP(VLOOKUP(B66,SuiteCatSubElem!$G$2:$G$667,2,0),'SA Q4 18 VR'!$A$33:$O$193,1+MATCH(VLOOKUP(A66,Vendors!$A$2:$B$15,2,0),'SA Q4 18 VR'!$B$24:$O$24,0),0)</f>
        <v>#REF!</v>
      </c>
      <c r="F66" s="27">
        <v>1</v>
      </c>
      <c r="G66">
        <f>RFI_Elements!N67</f>
        <v>66</v>
      </c>
      <c r="I66" t="e">
        <f>VLOOKUP(B66,SuiteCatSubElem!$G$2:$G$667,2,0)</f>
        <v>#REF!</v>
      </c>
    </row>
    <row r="67" spans="1:9">
      <c r="A67">
        <f>RFI_Elements!B68</f>
        <v>1</v>
      </c>
      <c r="B67">
        <f>RFI_Elements!C68</f>
        <v>475</v>
      </c>
      <c r="C67">
        <v>67</v>
      </c>
      <c r="D67" s="128">
        <v>43101.003472222219</v>
      </c>
      <c r="E67" t="e">
        <f>VLOOKUP(VLOOKUP(B67,SuiteCatSubElem!$G$2:$G$667,2,0),'SA Q4 18 VR'!$A$33:$O$193,1+MATCH(VLOOKUP(A67,Vendors!$A$2:$B$15,2,0),'SA Q4 18 VR'!$B$24:$O$24,0),0)</f>
        <v>#REF!</v>
      </c>
      <c r="F67" s="27">
        <v>1</v>
      </c>
      <c r="G67">
        <f>RFI_Elements!N68</f>
        <v>67</v>
      </c>
      <c r="I67" t="e">
        <f>VLOOKUP(B67,SuiteCatSubElem!$G$2:$G$667,2,0)</f>
        <v>#REF!</v>
      </c>
    </row>
    <row r="68" spans="1:9">
      <c r="A68">
        <f>RFI_Elements!B69</f>
        <v>1</v>
      </c>
      <c r="B68">
        <f>RFI_Elements!C69</f>
        <v>476</v>
      </c>
      <c r="C68">
        <v>68</v>
      </c>
      <c r="D68" s="128">
        <v>43101.003472222219</v>
      </c>
      <c r="E68" t="e">
        <f>VLOOKUP(VLOOKUP(B68,SuiteCatSubElem!$G$2:$G$667,2,0),'SA Q4 18 VR'!$A$33:$O$193,1+MATCH(VLOOKUP(A68,Vendors!$A$2:$B$15,2,0),'SA Q4 18 VR'!$B$24:$O$24,0),0)</f>
        <v>#REF!</v>
      </c>
      <c r="F68" s="27">
        <v>1</v>
      </c>
      <c r="G68">
        <f>RFI_Elements!N69</f>
        <v>68</v>
      </c>
      <c r="I68" t="e">
        <f>VLOOKUP(B68,SuiteCatSubElem!$G$2:$G$667,2,0)</f>
        <v>#REF!</v>
      </c>
    </row>
    <row r="69" spans="1:9">
      <c r="A69">
        <f>RFI_Elements!B70</f>
        <v>1</v>
      </c>
      <c r="B69">
        <f>RFI_Elements!C70</f>
        <v>477</v>
      </c>
      <c r="C69">
        <v>69</v>
      </c>
      <c r="D69" s="128">
        <v>43101.003472222219</v>
      </c>
      <c r="E69" t="e">
        <f>VLOOKUP(VLOOKUP(B69,SuiteCatSubElem!$G$2:$G$667,2,0),'SA Q4 18 VR'!$A$33:$O$193,1+MATCH(VLOOKUP(A69,Vendors!$A$2:$B$15,2,0),'SA Q4 18 VR'!$B$24:$O$24,0),0)</f>
        <v>#REF!</v>
      </c>
      <c r="F69" s="27">
        <v>1</v>
      </c>
      <c r="G69">
        <f>RFI_Elements!N70</f>
        <v>69</v>
      </c>
      <c r="I69" t="e">
        <f>VLOOKUP(B69,SuiteCatSubElem!$G$2:$G$667,2,0)</f>
        <v>#REF!</v>
      </c>
    </row>
    <row r="70" spans="1:9">
      <c r="A70">
        <f>RFI_Elements!B71</f>
        <v>1</v>
      </c>
      <c r="B70">
        <f>RFI_Elements!C71</f>
        <v>478</v>
      </c>
      <c r="C70">
        <v>70</v>
      </c>
      <c r="D70" s="128">
        <v>43101.003472222219</v>
      </c>
      <c r="E70" t="e">
        <f>VLOOKUP(VLOOKUP(B70,SuiteCatSubElem!$G$2:$G$667,2,0),'SA Q4 18 VR'!$A$33:$O$193,1+MATCH(VLOOKUP(A70,Vendors!$A$2:$B$15,2,0),'SA Q4 18 VR'!$B$24:$O$24,0),0)</f>
        <v>#REF!</v>
      </c>
      <c r="F70" s="27">
        <v>1</v>
      </c>
      <c r="G70">
        <f>RFI_Elements!N71</f>
        <v>70</v>
      </c>
      <c r="I70" t="e">
        <f>VLOOKUP(B70,SuiteCatSubElem!$G$2:$G$667,2,0)</f>
        <v>#REF!</v>
      </c>
    </row>
    <row r="71" spans="1:9">
      <c r="A71">
        <f>RFI_Elements!B72</f>
        <v>1</v>
      </c>
      <c r="B71">
        <f>RFI_Elements!C72</f>
        <v>479</v>
      </c>
      <c r="C71">
        <v>71</v>
      </c>
      <c r="D71" s="128">
        <v>43101.003472222219</v>
      </c>
      <c r="E71" t="e">
        <f>VLOOKUP(VLOOKUP(B71,SuiteCatSubElem!$G$2:$G$667,2,0),'SA Q4 18 VR'!$A$33:$O$193,1+MATCH(VLOOKUP(A71,Vendors!$A$2:$B$15,2,0),'SA Q4 18 VR'!$B$24:$O$24,0),0)</f>
        <v>#REF!</v>
      </c>
      <c r="F71" s="27">
        <v>1</v>
      </c>
      <c r="G71">
        <f>RFI_Elements!N72</f>
        <v>71</v>
      </c>
      <c r="I71" t="e">
        <f>VLOOKUP(B71,SuiteCatSubElem!$G$2:$G$667,2,0)</f>
        <v>#REF!</v>
      </c>
    </row>
    <row r="72" spans="1:9">
      <c r="A72">
        <f>RFI_Elements!B73</f>
        <v>1</v>
      </c>
      <c r="B72">
        <f>RFI_Elements!C73</f>
        <v>480</v>
      </c>
      <c r="C72">
        <v>72</v>
      </c>
      <c r="D72" s="128">
        <v>43101.003472222219</v>
      </c>
      <c r="E72" t="e">
        <f>VLOOKUP(VLOOKUP(B72,SuiteCatSubElem!$G$2:$G$667,2,0),'SA Q4 18 VR'!$A$33:$O$193,1+MATCH(VLOOKUP(A72,Vendors!$A$2:$B$15,2,0),'SA Q4 18 VR'!$B$24:$O$24,0),0)</f>
        <v>#REF!</v>
      </c>
      <c r="F72" s="27">
        <v>1</v>
      </c>
      <c r="G72">
        <f>RFI_Elements!N73</f>
        <v>72</v>
      </c>
      <c r="I72" t="e">
        <f>VLOOKUP(B72,SuiteCatSubElem!$G$2:$G$667,2,0)</f>
        <v>#REF!</v>
      </c>
    </row>
    <row r="73" spans="1:9">
      <c r="A73">
        <f>RFI_Elements!B74</f>
        <v>1</v>
      </c>
      <c r="B73">
        <f>RFI_Elements!C74</f>
        <v>481</v>
      </c>
      <c r="C73">
        <v>73</v>
      </c>
      <c r="D73" s="128">
        <v>43101.003472222219</v>
      </c>
      <c r="E73" t="e">
        <f>VLOOKUP(VLOOKUP(B73,SuiteCatSubElem!$G$2:$G$667,2,0),'SA Q4 18 VR'!$A$33:$O$193,1+MATCH(VLOOKUP(A73,Vendors!$A$2:$B$15,2,0),'SA Q4 18 VR'!$B$24:$O$24,0),0)</f>
        <v>#REF!</v>
      </c>
      <c r="F73" s="27">
        <v>1</v>
      </c>
      <c r="G73">
        <f>RFI_Elements!N74</f>
        <v>73</v>
      </c>
      <c r="I73" t="e">
        <f>VLOOKUP(B73,SuiteCatSubElem!$G$2:$G$667,2,0)</f>
        <v>#REF!</v>
      </c>
    </row>
    <row r="74" spans="1:9">
      <c r="A74">
        <f>RFI_Elements!B75</f>
        <v>1</v>
      </c>
      <c r="B74">
        <f>RFI_Elements!C75</f>
        <v>482</v>
      </c>
      <c r="C74">
        <v>74</v>
      </c>
      <c r="D74" s="128">
        <v>43101.003472222219</v>
      </c>
      <c r="E74" t="e">
        <f>VLOOKUP(VLOOKUP(B74,SuiteCatSubElem!$G$2:$G$667,2,0),'SA Q4 18 VR'!$A$33:$O$193,1+MATCH(VLOOKUP(A74,Vendors!$A$2:$B$15,2,0),'SA Q4 18 VR'!$B$24:$O$24,0),0)</f>
        <v>#REF!</v>
      </c>
      <c r="F74" s="27">
        <v>1</v>
      </c>
      <c r="G74">
        <f>RFI_Elements!N75</f>
        <v>74</v>
      </c>
      <c r="I74" t="e">
        <f>VLOOKUP(B74,SuiteCatSubElem!$G$2:$G$667,2,0)</f>
        <v>#REF!</v>
      </c>
    </row>
    <row r="75" spans="1:9">
      <c r="A75">
        <f>RFI_Elements!B76</f>
        <v>1</v>
      </c>
      <c r="B75">
        <f>RFI_Elements!C76</f>
        <v>483</v>
      </c>
      <c r="C75">
        <v>75</v>
      </c>
      <c r="D75" s="128">
        <v>43101.003472222219</v>
      </c>
      <c r="E75" t="e">
        <f>VLOOKUP(VLOOKUP(B75,SuiteCatSubElem!$G$2:$G$667,2,0),'SA Q4 18 VR'!$A$33:$O$193,1+MATCH(VLOOKUP(A75,Vendors!$A$2:$B$15,2,0),'SA Q4 18 VR'!$B$24:$O$24,0),0)</f>
        <v>#REF!</v>
      </c>
      <c r="F75" s="27">
        <v>1</v>
      </c>
      <c r="G75">
        <f>RFI_Elements!N76</f>
        <v>75</v>
      </c>
      <c r="I75" t="e">
        <f>VLOOKUP(B75,SuiteCatSubElem!$G$2:$G$667,2,0)</f>
        <v>#REF!</v>
      </c>
    </row>
    <row r="76" spans="1:9">
      <c r="A76">
        <f>RFI_Elements!B77</f>
        <v>1</v>
      </c>
      <c r="B76">
        <f>RFI_Elements!C77</f>
        <v>484</v>
      </c>
      <c r="C76">
        <v>76</v>
      </c>
      <c r="D76" s="128">
        <v>43101.003472222219</v>
      </c>
      <c r="E76" t="e">
        <f>VLOOKUP(VLOOKUP(B76,SuiteCatSubElem!$G$2:$G$667,2,0),'SA Q4 18 VR'!$A$33:$O$193,1+MATCH(VLOOKUP(A76,Vendors!$A$2:$B$15,2,0),'SA Q4 18 VR'!$B$24:$O$24,0),0)</f>
        <v>#REF!</v>
      </c>
      <c r="F76" s="27">
        <v>1</v>
      </c>
      <c r="G76">
        <f>RFI_Elements!N77</f>
        <v>76</v>
      </c>
      <c r="I76" t="e">
        <f>VLOOKUP(B76,SuiteCatSubElem!$G$2:$G$667,2,0)</f>
        <v>#REF!</v>
      </c>
    </row>
    <row r="77" spans="1:9">
      <c r="A77">
        <f>RFI_Elements!B78</f>
        <v>1</v>
      </c>
      <c r="B77">
        <f>RFI_Elements!C78</f>
        <v>485</v>
      </c>
      <c r="C77">
        <v>77</v>
      </c>
      <c r="D77" s="128">
        <v>43101.003472222219</v>
      </c>
      <c r="E77" t="e">
        <f>VLOOKUP(VLOOKUP(B77,SuiteCatSubElem!$G$2:$G$667,2,0),'SA Q4 18 VR'!$A$33:$O$193,1+MATCH(VLOOKUP(A77,Vendors!$A$2:$B$15,2,0),'SA Q4 18 VR'!$B$24:$O$24,0),0)</f>
        <v>#REF!</v>
      </c>
      <c r="F77" s="27">
        <v>1</v>
      </c>
      <c r="G77">
        <f>RFI_Elements!N78</f>
        <v>77</v>
      </c>
      <c r="I77" t="e">
        <f>VLOOKUP(B77,SuiteCatSubElem!$G$2:$G$667,2,0)</f>
        <v>#REF!</v>
      </c>
    </row>
    <row r="78" spans="1:9">
      <c r="A78">
        <f>RFI_Elements!B79</f>
        <v>1</v>
      </c>
      <c r="B78">
        <f>RFI_Elements!C79</f>
        <v>486</v>
      </c>
      <c r="C78">
        <v>78</v>
      </c>
      <c r="D78" s="128">
        <v>43101.003472222219</v>
      </c>
      <c r="E78" t="e">
        <f>VLOOKUP(VLOOKUP(B78,SuiteCatSubElem!$G$2:$G$667,2,0),'SA Q4 18 VR'!$A$33:$O$193,1+MATCH(VLOOKUP(A78,Vendors!$A$2:$B$15,2,0),'SA Q4 18 VR'!$B$24:$O$24,0),0)</f>
        <v>#REF!</v>
      </c>
      <c r="F78" s="27">
        <v>1</v>
      </c>
      <c r="G78">
        <f>RFI_Elements!N79</f>
        <v>78</v>
      </c>
      <c r="I78" t="e">
        <f>VLOOKUP(B78,SuiteCatSubElem!$G$2:$G$667,2,0)</f>
        <v>#REF!</v>
      </c>
    </row>
    <row r="79" spans="1:9">
      <c r="A79">
        <f>RFI_Elements!B80</f>
        <v>1</v>
      </c>
      <c r="B79">
        <f>RFI_Elements!C80</f>
        <v>487</v>
      </c>
      <c r="C79">
        <v>79</v>
      </c>
      <c r="D79" s="128">
        <v>43101.003472222219</v>
      </c>
      <c r="E79" t="e">
        <f>VLOOKUP(VLOOKUP(B79,SuiteCatSubElem!$G$2:$G$667,2,0),'SA Q4 18 VR'!$A$33:$O$193,1+MATCH(VLOOKUP(A79,Vendors!$A$2:$B$15,2,0),'SA Q4 18 VR'!$B$24:$O$24,0),0)</f>
        <v>#REF!</v>
      </c>
      <c r="F79" s="27">
        <v>1</v>
      </c>
      <c r="G79">
        <f>RFI_Elements!N80</f>
        <v>79</v>
      </c>
      <c r="I79" t="e">
        <f>VLOOKUP(B79,SuiteCatSubElem!$G$2:$G$667,2,0)</f>
        <v>#REF!</v>
      </c>
    </row>
    <row r="80" spans="1:9">
      <c r="A80">
        <f>RFI_Elements!B81</f>
        <v>1</v>
      </c>
      <c r="B80">
        <f>RFI_Elements!C81</f>
        <v>488</v>
      </c>
      <c r="C80">
        <v>80</v>
      </c>
      <c r="D80" s="128">
        <v>43101.003472222219</v>
      </c>
      <c r="E80" t="e">
        <f>VLOOKUP(VLOOKUP(B80,SuiteCatSubElem!$G$2:$G$667,2,0),'SA Q4 18 VR'!$A$33:$O$193,1+MATCH(VLOOKUP(A80,Vendors!$A$2:$B$15,2,0),'SA Q4 18 VR'!$B$24:$O$24,0),0)</f>
        <v>#REF!</v>
      </c>
      <c r="F80" s="27">
        <v>1</v>
      </c>
      <c r="G80">
        <f>RFI_Elements!N81</f>
        <v>80</v>
      </c>
      <c r="I80" t="e">
        <f>VLOOKUP(B80,SuiteCatSubElem!$G$2:$G$667,2,0)</f>
        <v>#REF!</v>
      </c>
    </row>
    <row r="81" spans="1:9">
      <c r="A81">
        <f>RFI_Elements!B82</f>
        <v>1</v>
      </c>
      <c r="B81">
        <f>RFI_Elements!C82</f>
        <v>489</v>
      </c>
      <c r="C81">
        <v>81</v>
      </c>
      <c r="D81" s="128">
        <v>43101.003472222219</v>
      </c>
      <c r="E81" t="e">
        <f>VLOOKUP(VLOOKUP(B81,SuiteCatSubElem!$G$2:$G$667,2,0),'SA Q4 18 VR'!$A$33:$O$193,1+MATCH(VLOOKUP(A81,Vendors!$A$2:$B$15,2,0),'SA Q4 18 VR'!$B$24:$O$24,0),0)</f>
        <v>#REF!</v>
      </c>
      <c r="F81" s="27">
        <v>1</v>
      </c>
      <c r="G81">
        <f>RFI_Elements!N82</f>
        <v>81</v>
      </c>
      <c r="I81" t="e">
        <f>VLOOKUP(B81,SuiteCatSubElem!$G$2:$G$667,2,0)</f>
        <v>#REF!</v>
      </c>
    </row>
    <row r="82" spans="1:9">
      <c r="A82">
        <f>RFI_Elements!B83</f>
        <v>1</v>
      </c>
      <c r="B82">
        <f>RFI_Elements!C83</f>
        <v>490</v>
      </c>
      <c r="C82">
        <v>82</v>
      </c>
      <c r="D82" s="128">
        <v>43101.003472222219</v>
      </c>
      <c r="E82" t="e">
        <f>VLOOKUP(VLOOKUP(B82,SuiteCatSubElem!$G$2:$G$667,2,0),'SA Q4 18 VR'!$A$33:$O$193,1+MATCH(VLOOKUP(A82,Vendors!$A$2:$B$15,2,0),'SA Q4 18 VR'!$B$24:$O$24,0),0)</f>
        <v>#REF!</v>
      </c>
      <c r="F82" s="27">
        <v>1</v>
      </c>
      <c r="G82">
        <f>RFI_Elements!N83</f>
        <v>82</v>
      </c>
      <c r="I82" t="e">
        <f>VLOOKUP(B82,SuiteCatSubElem!$G$2:$G$667,2,0)</f>
        <v>#REF!</v>
      </c>
    </row>
    <row r="83" spans="1:9">
      <c r="A83">
        <f>RFI_Elements!B84</f>
        <v>1</v>
      </c>
      <c r="B83">
        <f>RFI_Elements!C84</f>
        <v>491</v>
      </c>
      <c r="C83">
        <v>83</v>
      </c>
      <c r="D83" s="128">
        <v>43101.003472222219</v>
      </c>
      <c r="E83" t="e">
        <f>VLOOKUP(VLOOKUP(B83,SuiteCatSubElem!$G$2:$G$667,2,0),'SA Q4 18 VR'!$A$33:$O$193,1+MATCH(VLOOKUP(A83,Vendors!$A$2:$B$15,2,0),'SA Q4 18 VR'!$B$24:$O$24,0),0)</f>
        <v>#REF!</v>
      </c>
      <c r="F83" s="27">
        <v>1</v>
      </c>
      <c r="G83">
        <f>RFI_Elements!N84</f>
        <v>83</v>
      </c>
      <c r="I83" t="e">
        <f>VLOOKUP(B83,SuiteCatSubElem!$G$2:$G$667,2,0)</f>
        <v>#REF!</v>
      </c>
    </row>
    <row r="84" spans="1:9">
      <c r="A84">
        <f>RFI_Elements!B85</f>
        <v>1</v>
      </c>
      <c r="B84">
        <f>RFI_Elements!C85</f>
        <v>492</v>
      </c>
      <c r="C84">
        <v>84</v>
      </c>
      <c r="D84" s="128">
        <v>43101.003472222219</v>
      </c>
      <c r="E84" t="e">
        <f>VLOOKUP(VLOOKUP(B84,SuiteCatSubElem!$G$2:$G$667,2,0),'SA Q4 18 VR'!$A$33:$O$193,1+MATCH(VLOOKUP(A84,Vendors!$A$2:$B$15,2,0),'SA Q4 18 VR'!$B$24:$O$24,0),0)</f>
        <v>#REF!</v>
      </c>
      <c r="F84" s="27">
        <v>1</v>
      </c>
      <c r="G84">
        <f>RFI_Elements!N85</f>
        <v>84</v>
      </c>
      <c r="I84" t="e">
        <f>VLOOKUP(B84,SuiteCatSubElem!$G$2:$G$667,2,0)</f>
        <v>#REF!</v>
      </c>
    </row>
    <row r="85" spans="1:9">
      <c r="A85">
        <f>RFI_Elements!B86</f>
        <v>1</v>
      </c>
      <c r="B85">
        <f>RFI_Elements!C86</f>
        <v>493</v>
      </c>
      <c r="C85">
        <v>85</v>
      </c>
      <c r="D85" s="128">
        <v>43101.003472222219</v>
      </c>
      <c r="E85" t="e">
        <f>VLOOKUP(VLOOKUP(B85,SuiteCatSubElem!$G$2:$G$667,2,0),'SA Q4 18 VR'!$A$33:$O$193,1+MATCH(VLOOKUP(A85,Vendors!$A$2:$B$15,2,0),'SA Q4 18 VR'!$B$24:$O$24,0),0)</f>
        <v>#REF!</v>
      </c>
      <c r="F85" s="27">
        <v>1</v>
      </c>
      <c r="G85">
        <f>RFI_Elements!N86</f>
        <v>85</v>
      </c>
      <c r="I85" t="e">
        <f>VLOOKUP(B85,SuiteCatSubElem!$G$2:$G$667,2,0)</f>
        <v>#REF!</v>
      </c>
    </row>
    <row r="86" spans="1:9">
      <c r="A86">
        <f>RFI_Elements!B87</f>
        <v>2</v>
      </c>
      <c r="B86">
        <f>RFI_Elements!C87</f>
        <v>409</v>
      </c>
      <c r="C86">
        <v>86</v>
      </c>
      <c r="D86" s="128">
        <v>43101.003472222219</v>
      </c>
      <c r="E86" t="e">
        <f>VLOOKUP(VLOOKUP(B86,SuiteCatSubElem!$G$2:$G$667,2,0),'SA Q4 18 VR'!$A$33:$O$193,1+MATCH(VLOOKUP(A86,Vendors!$A$2:$B$15,2,0),'SA Q4 18 VR'!$B$24:$O$24,0),0)</f>
        <v>#REF!</v>
      </c>
      <c r="F86" s="27">
        <v>1</v>
      </c>
      <c r="G86">
        <f>RFI_Elements!N87</f>
        <v>86</v>
      </c>
      <c r="I86" t="e">
        <f>VLOOKUP(B86,SuiteCatSubElem!$G$2:$G$667,2,0)</f>
        <v>#REF!</v>
      </c>
    </row>
    <row r="87" spans="1:9">
      <c r="A87">
        <f>RFI_Elements!B88</f>
        <v>2</v>
      </c>
      <c r="B87">
        <f>RFI_Elements!C88</f>
        <v>410</v>
      </c>
      <c r="C87">
        <v>87</v>
      </c>
      <c r="D87" s="128">
        <v>43101.003472222219</v>
      </c>
      <c r="E87" t="e">
        <f>VLOOKUP(VLOOKUP(B87,SuiteCatSubElem!$G$2:$G$667,2,0),'SA Q4 18 VR'!$A$33:$O$193,1+MATCH(VLOOKUP(A87,Vendors!$A$2:$B$15,2,0),'SA Q4 18 VR'!$B$24:$O$24,0),0)</f>
        <v>#REF!</v>
      </c>
      <c r="F87" s="27">
        <v>1</v>
      </c>
      <c r="G87">
        <f>RFI_Elements!N88</f>
        <v>87</v>
      </c>
      <c r="I87" t="e">
        <f>VLOOKUP(B87,SuiteCatSubElem!$G$2:$G$667,2,0)</f>
        <v>#REF!</v>
      </c>
    </row>
    <row r="88" spans="1:9">
      <c r="A88">
        <f>RFI_Elements!B89</f>
        <v>2</v>
      </c>
      <c r="B88">
        <f>RFI_Elements!C89</f>
        <v>411</v>
      </c>
      <c r="C88">
        <v>88</v>
      </c>
      <c r="D88" s="128">
        <v>43101.003472222219</v>
      </c>
      <c r="E88" t="e">
        <f>VLOOKUP(VLOOKUP(B88,SuiteCatSubElem!$G$2:$G$667,2,0),'SA Q4 18 VR'!$A$33:$O$193,1+MATCH(VLOOKUP(A88,Vendors!$A$2:$B$15,2,0),'SA Q4 18 VR'!$B$24:$O$24,0),0)</f>
        <v>#REF!</v>
      </c>
      <c r="F88" s="27">
        <v>1</v>
      </c>
      <c r="G88">
        <f>RFI_Elements!N89</f>
        <v>88</v>
      </c>
      <c r="I88" t="e">
        <f>VLOOKUP(B88,SuiteCatSubElem!$G$2:$G$667,2,0)</f>
        <v>#REF!</v>
      </c>
    </row>
    <row r="89" spans="1:9">
      <c r="A89">
        <f>RFI_Elements!B90</f>
        <v>2</v>
      </c>
      <c r="B89">
        <f>RFI_Elements!C90</f>
        <v>412</v>
      </c>
      <c r="C89">
        <v>89</v>
      </c>
      <c r="D89" s="128">
        <v>43101.003472222219</v>
      </c>
      <c r="E89" t="e">
        <f>VLOOKUP(VLOOKUP(B89,SuiteCatSubElem!$G$2:$G$667,2,0),'SA Q4 18 VR'!$A$33:$O$193,1+MATCH(VLOOKUP(A89,Vendors!$A$2:$B$15,2,0),'SA Q4 18 VR'!$B$24:$O$24,0),0)</f>
        <v>#REF!</v>
      </c>
      <c r="F89" s="27">
        <v>1</v>
      </c>
      <c r="G89">
        <f>RFI_Elements!N90</f>
        <v>89</v>
      </c>
      <c r="I89" t="e">
        <f>VLOOKUP(B89,SuiteCatSubElem!$G$2:$G$667,2,0)</f>
        <v>#REF!</v>
      </c>
    </row>
    <row r="90" spans="1:9">
      <c r="A90">
        <f>RFI_Elements!B91</f>
        <v>2</v>
      </c>
      <c r="B90">
        <f>RFI_Elements!C91</f>
        <v>413</v>
      </c>
      <c r="C90">
        <v>90</v>
      </c>
      <c r="D90" s="128">
        <v>43101.003472222219</v>
      </c>
      <c r="E90" t="e">
        <f>VLOOKUP(VLOOKUP(B90,SuiteCatSubElem!$G$2:$G$667,2,0),'SA Q4 18 VR'!$A$33:$O$193,1+MATCH(VLOOKUP(A90,Vendors!$A$2:$B$15,2,0),'SA Q4 18 VR'!$B$24:$O$24,0),0)</f>
        <v>#REF!</v>
      </c>
      <c r="F90" s="27">
        <v>1</v>
      </c>
      <c r="G90">
        <f>RFI_Elements!N91</f>
        <v>90</v>
      </c>
      <c r="I90" t="e">
        <f>VLOOKUP(B90,SuiteCatSubElem!$G$2:$G$667,2,0)</f>
        <v>#REF!</v>
      </c>
    </row>
    <row r="91" spans="1:9">
      <c r="A91">
        <f>RFI_Elements!B92</f>
        <v>2</v>
      </c>
      <c r="B91">
        <f>RFI_Elements!C92</f>
        <v>414</v>
      </c>
      <c r="C91">
        <v>91</v>
      </c>
      <c r="D91" s="128">
        <v>43101.003472222219</v>
      </c>
      <c r="E91" t="e">
        <f>VLOOKUP(VLOOKUP(B91,SuiteCatSubElem!$G$2:$G$667,2,0),'SA Q4 18 VR'!$A$33:$O$193,1+MATCH(VLOOKUP(A91,Vendors!$A$2:$B$15,2,0),'SA Q4 18 VR'!$B$24:$O$24,0),0)</f>
        <v>#REF!</v>
      </c>
      <c r="F91" s="27">
        <v>1</v>
      </c>
      <c r="G91">
        <f>RFI_Elements!N92</f>
        <v>91</v>
      </c>
      <c r="I91" t="e">
        <f>VLOOKUP(B91,SuiteCatSubElem!$G$2:$G$667,2,0)</f>
        <v>#REF!</v>
      </c>
    </row>
    <row r="92" spans="1:9">
      <c r="A92">
        <f>RFI_Elements!B93</f>
        <v>2</v>
      </c>
      <c r="B92">
        <f>RFI_Elements!C93</f>
        <v>415</v>
      </c>
      <c r="C92">
        <v>92</v>
      </c>
      <c r="D92" s="128">
        <v>43101.003472222219</v>
      </c>
      <c r="E92" t="e">
        <f>VLOOKUP(VLOOKUP(B92,SuiteCatSubElem!$G$2:$G$667,2,0),'SA Q4 18 VR'!$A$33:$O$193,1+MATCH(VLOOKUP(A92,Vendors!$A$2:$B$15,2,0),'SA Q4 18 VR'!$B$24:$O$24,0),0)</f>
        <v>#REF!</v>
      </c>
      <c r="F92" s="27">
        <v>1</v>
      </c>
      <c r="G92">
        <f>RFI_Elements!N93</f>
        <v>92</v>
      </c>
      <c r="I92" t="e">
        <f>VLOOKUP(B92,SuiteCatSubElem!$G$2:$G$667,2,0)</f>
        <v>#REF!</v>
      </c>
    </row>
    <row r="93" spans="1:9">
      <c r="A93">
        <f>RFI_Elements!B94</f>
        <v>2</v>
      </c>
      <c r="B93">
        <f>RFI_Elements!C94</f>
        <v>416</v>
      </c>
      <c r="C93">
        <v>93</v>
      </c>
      <c r="D93" s="128">
        <v>43101.003472222219</v>
      </c>
      <c r="E93" t="e">
        <f>VLOOKUP(VLOOKUP(B93,SuiteCatSubElem!$G$2:$G$667,2,0),'SA Q4 18 VR'!$A$33:$O$193,1+MATCH(VLOOKUP(A93,Vendors!$A$2:$B$15,2,0),'SA Q4 18 VR'!$B$24:$O$24,0),0)</f>
        <v>#REF!</v>
      </c>
      <c r="F93" s="27">
        <v>1</v>
      </c>
      <c r="G93">
        <f>RFI_Elements!N94</f>
        <v>93</v>
      </c>
      <c r="I93" t="e">
        <f>VLOOKUP(B93,SuiteCatSubElem!$G$2:$G$667,2,0)</f>
        <v>#REF!</v>
      </c>
    </row>
    <row r="94" spans="1:9">
      <c r="A94">
        <f>RFI_Elements!B95</f>
        <v>2</v>
      </c>
      <c r="B94">
        <f>RFI_Elements!C95</f>
        <v>417</v>
      </c>
      <c r="C94">
        <v>94</v>
      </c>
      <c r="D94" s="128">
        <v>43101.003472222219</v>
      </c>
      <c r="E94" t="e">
        <f>VLOOKUP(VLOOKUP(B94,SuiteCatSubElem!$G$2:$G$667,2,0),'SA Q4 18 VR'!$A$33:$O$193,1+MATCH(VLOOKUP(A94,Vendors!$A$2:$B$15,2,0),'SA Q4 18 VR'!$B$24:$O$24,0),0)</f>
        <v>#REF!</v>
      </c>
      <c r="F94" s="27">
        <v>1</v>
      </c>
      <c r="G94">
        <f>RFI_Elements!N95</f>
        <v>94</v>
      </c>
      <c r="I94" t="e">
        <f>VLOOKUP(B94,SuiteCatSubElem!$G$2:$G$667,2,0)</f>
        <v>#REF!</v>
      </c>
    </row>
    <row r="95" spans="1:9">
      <c r="A95">
        <f>RFI_Elements!B96</f>
        <v>2</v>
      </c>
      <c r="B95">
        <f>RFI_Elements!C96</f>
        <v>418</v>
      </c>
      <c r="C95">
        <v>95</v>
      </c>
      <c r="D95" s="128">
        <v>43101.003472222219</v>
      </c>
      <c r="E95" t="e">
        <f>VLOOKUP(VLOOKUP(B95,SuiteCatSubElem!$G$2:$G$667,2,0),'SA Q4 18 VR'!$A$33:$O$193,1+MATCH(VLOOKUP(A95,Vendors!$A$2:$B$15,2,0),'SA Q4 18 VR'!$B$24:$O$24,0),0)</f>
        <v>#REF!</v>
      </c>
      <c r="F95" s="27">
        <v>1</v>
      </c>
      <c r="G95">
        <f>RFI_Elements!N96</f>
        <v>95</v>
      </c>
      <c r="I95" t="e">
        <f>VLOOKUP(B95,SuiteCatSubElem!$G$2:$G$667,2,0)</f>
        <v>#REF!</v>
      </c>
    </row>
    <row r="96" spans="1:9">
      <c r="A96">
        <f>RFI_Elements!B97</f>
        <v>2</v>
      </c>
      <c r="B96">
        <f>RFI_Elements!C97</f>
        <v>419</v>
      </c>
      <c r="C96">
        <v>96</v>
      </c>
      <c r="D96" s="128">
        <v>43101.003472222219</v>
      </c>
      <c r="E96" t="e">
        <f>VLOOKUP(VLOOKUP(B96,SuiteCatSubElem!$G$2:$G$667,2,0),'SA Q4 18 VR'!$A$33:$O$193,1+MATCH(VLOOKUP(A96,Vendors!$A$2:$B$15,2,0),'SA Q4 18 VR'!$B$24:$O$24,0),0)</f>
        <v>#REF!</v>
      </c>
      <c r="F96" s="27">
        <v>1</v>
      </c>
      <c r="G96">
        <f>RFI_Elements!N97</f>
        <v>96</v>
      </c>
      <c r="I96" t="e">
        <f>VLOOKUP(B96,SuiteCatSubElem!$G$2:$G$667,2,0)</f>
        <v>#REF!</v>
      </c>
    </row>
    <row r="97" spans="1:9">
      <c r="A97">
        <f>RFI_Elements!B98</f>
        <v>2</v>
      </c>
      <c r="B97">
        <f>RFI_Elements!C98</f>
        <v>420</v>
      </c>
      <c r="C97">
        <v>97</v>
      </c>
      <c r="D97" s="128">
        <v>43101.003472222219</v>
      </c>
      <c r="E97" t="e">
        <f>VLOOKUP(VLOOKUP(B97,SuiteCatSubElem!$G$2:$G$667,2,0),'SA Q4 18 VR'!$A$33:$O$193,1+MATCH(VLOOKUP(A97,Vendors!$A$2:$B$15,2,0),'SA Q4 18 VR'!$B$24:$O$24,0),0)</f>
        <v>#REF!</v>
      </c>
      <c r="F97" s="27">
        <v>1</v>
      </c>
      <c r="G97">
        <f>RFI_Elements!N98</f>
        <v>97</v>
      </c>
      <c r="I97" t="e">
        <f>VLOOKUP(B97,SuiteCatSubElem!$G$2:$G$667,2,0)</f>
        <v>#REF!</v>
      </c>
    </row>
    <row r="98" spans="1:9">
      <c r="A98">
        <f>RFI_Elements!B99</f>
        <v>2</v>
      </c>
      <c r="B98">
        <f>RFI_Elements!C99</f>
        <v>421</v>
      </c>
      <c r="C98">
        <v>98</v>
      </c>
      <c r="D98" s="128">
        <v>43101.003472222219</v>
      </c>
      <c r="E98" t="e">
        <f>VLOOKUP(VLOOKUP(B98,SuiteCatSubElem!$G$2:$G$667,2,0),'SA Q4 18 VR'!$A$33:$O$193,1+MATCH(VLOOKUP(A98,Vendors!$A$2:$B$15,2,0),'SA Q4 18 VR'!$B$24:$O$24,0),0)</f>
        <v>#REF!</v>
      </c>
      <c r="F98" s="27">
        <v>1</v>
      </c>
      <c r="G98">
        <f>RFI_Elements!N99</f>
        <v>98</v>
      </c>
      <c r="I98" t="e">
        <f>VLOOKUP(B98,SuiteCatSubElem!$G$2:$G$667,2,0)</f>
        <v>#REF!</v>
      </c>
    </row>
    <row r="99" spans="1:9">
      <c r="A99">
        <f>RFI_Elements!B100</f>
        <v>2</v>
      </c>
      <c r="B99">
        <f>RFI_Elements!C100</f>
        <v>422</v>
      </c>
      <c r="C99">
        <v>99</v>
      </c>
      <c r="D99" s="128">
        <v>43101.003472222219</v>
      </c>
      <c r="E99" t="e">
        <f>VLOOKUP(VLOOKUP(B99,SuiteCatSubElem!$G$2:$G$667,2,0),'SA Q4 18 VR'!$A$33:$O$193,1+MATCH(VLOOKUP(A99,Vendors!$A$2:$B$15,2,0),'SA Q4 18 VR'!$B$24:$O$24,0),0)</f>
        <v>#REF!</v>
      </c>
      <c r="F99" s="27">
        <v>1</v>
      </c>
      <c r="G99">
        <f>RFI_Elements!N100</f>
        <v>99</v>
      </c>
      <c r="I99" t="e">
        <f>VLOOKUP(B99,SuiteCatSubElem!$G$2:$G$667,2,0)</f>
        <v>#REF!</v>
      </c>
    </row>
    <row r="100" spans="1:9">
      <c r="A100">
        <f>RFI_Elements!B101</f>
        <v>2</v>
      </c>
      <c r="B100">
        <f>RFI_Elements!C101</f>
        <v>423</v>
      </c>
      <c r="C100">
        <v>100</v>
      </c>
      <c r="D100" s="128">
        <v>43101.003472222219</v>
      </c>
      <c r="E100" t="e">
        <f>VLOOKUP(VLOOKUP(B100,SuiteCatSubElem!$G$2:$G$667,2,0),'SA Q4 18 VR'!$A$33:$O$193,1+MATCH(VLOOKUP(A100,Vendors!$A$2:$B$15,2,0),'SA Q4 18 VR'!$B$24:$O$24,0),0)</f>
        <v>#REF!</v>
      </c>
      <c r="F100" s="27">
        <v>1</v>
      </c>
      <c r="G100">
        <f>RFI_Elements!N101</f>
        <v>100</v>
      </c>
      <c r="I100" t="e">
        <f>VLOOKUP(B100,SuiteCatSubElem!$G$2:$G$667,2,0)</f>
        <v>#REF!</v>
      </c>
    </row>
    <row r="101" spans="1:9">
      <c r="A101">
        <f>RFI_Elements!B102</f>
        <v>2</v>
      </c>
      <c r="B101">
        <f>RFI_Elements!C102</f>
        <v>424</v>
      </c>
      <c r="C101">
        <v>101</v>
      </c>
      <c r="D101" s="128">
        <v>43101.003472222219</v>
      </c>
      <c r="E101" t="e">
        <f>VLOOKUP(VLOOKUP(B101,SuiteCatSubElem!$G$2:$G$667,2,0),'SA Q4 18 VR'!$A$33:$O$193,1+MATCH(VLOOKUP(A101,Vendors!$A$2:$B$15,2,0),'SA Q4 18 VR'!$B$24:$O$24,0),0)</f>
        <v>#REF!</v>
      </c>
      <c r="F101" s="27">
        <v>1</v>
      </c>
      <c r="G101">
        <f>RFI_Elements!N102</f>
        <v>101</v>
      </c>
      <c r="I101" t="e">
        <f>VLOOKUP(B101,SuiteCatSubElem!$G$2:$G$667,2,0)</f>
        <v>#REF!</v>
      </c>
    </row>
    <row r="102" spans="1:9">
      <c r="A102">
        <f>RFI_Elements!B103</f>
        <v>2</v>
      </c>
      <c r="B102">
        <f>RFI_Elements!C103</f>
        <v>425</v>
      </c>
      <c r="C102">
        <v>102</v>
      </c>
      <c r="D102" s="128">
        <v>43101.003472222219</v>
      </c>
      <c r="E102" t="e">
        <f>VLOOKUP(VLOOKUP(B102,SuiteCatSubElem!$G$2:$G$667,2,0),'SA Q4 18 VR'!$A$33:$O$193,1+MATCH(VLOOKUP(A102,Vendors!$A$2:$B$15,2,0),'SA Q4 18 VR'!$B$24:$O$24,0),0)</f>
        <v>#REF!</v>
      </c>
      <c r="F102" s="27">
        <v>1</v>
      </c>
      <c r="G102">
        <f>RFI_Elements!N103</f>
        <v>102</v>
      </c>
      <c r="I102" t="e">
        <f>VLOOKUP(B102,SuiteCatSubElem!$G$2:$G$667,2,0)</f>
        <v>#REF!</v>
      </c>
    </row>
    <row r="103" spans="1:9">
      <c r="A103">
        <f>RFI_Elements!B104</f>
        <v>2</v>
      </c>
      <c r="B103">
        <f>RFI_Elements!C104</f>
        <v>426</v>
      </c>
      <c r="C103">
        <v>103</v>
      </c>
      <c r="D103" s="128">
        <v>43101.003472222219</v>
      </c>
      <c r="E103" t="e">
        <f>VLOOKUP(VLOOKUP(B103,SuiteCatSubElem!$G$2:$G$667,2,0),'SA Q4 18 VR'!$A$33:$O$193,1+MATCH(VLOOKUP(A103,Vendors!$A$2:$B$15,2,0),'SA Q4 18 VR'!$B$24:$O$24,0),0)</f>
        <v>#REF!</v>
      </c>
      <c r="F103" s="27">
        <v>1</v>
      </c>
      <c r="G103">
        <f>RFI_Elements!N104</f>
        <v>103</v>
      </c>
      <c r="I103" t="e">
        <f>VLOOKUP(B103,SuiteCatSubElem!$G$2:$G$667,2,0)</f>
        <v>#REF!</v>
      </c>
    </row>
    <row r="104" spans="1:9">
      <c r="A104">
        <f>RFI_Elements!B105</f>
        <v>2</v>
      </c>
      <c r="B104">
        <f>RFI_Elements!C105</f>
        <v>427</v>
      </c>
      <c r="C104">
        <v>104</v>
      </c>
      <c r="D104" s="128">
        <v>43101.003472222219</v>
      </c>
      <c r="E104" t="e">
        <f>VLOOKUP(VLOOKUP(B104,SuiteCatSubElem!$G$2:$G$667,2,0),'SA Q4 18 VR'!$A$33:$O$193,1+MATCH(VLOOKUP(A104,Vendors!$A$2:$B$15,2,0),'SA Q4 18 VR'!$B$24:$O$24,0),0)</f>
        <v>#REF!</v>
      </c>
      <c r="F104" s="27">
        <v>1</v>
      </c>
      <c r="G104">
        <f>RFI_Elements!N105</f>
        <v>104</v>
      </c>
      <c r="I104" t="e">
        <f>VLOOKUP(B104,SuiteCatSubElem!$G$2:$G$667,2,0)</f>
        <v>#REF!</v>
      </c>
    </row>
    <row r="105" spans="1:9">
      <c r="A105">
        <f>RFI_Elements!B106</f>
        <v>2</v>
      </c>
      <c r="B105">
        <f>RFI_Elements!C106</f>
        <v>428</v>
      </c>
      <c r="C105">
        <v>105</v>
      </c>
      <c r="D105" s="128">
        <v>43101.003472222219</v>
      </c>
      <c r="E105" t="e">
        <f>VLOOKUP(VLOOKUP(B105,SuiteCatSubElem!$G$2:$G$667,2,0),'SA Q4 18 VR'!$A$33:$O$193,1+MATCH(VLOOKUP(A105,Vendors!$A$2:$B$15,2,0),'SA Q4 18 VR'!$B$24:$O$24,0),0)</f>
        <v>#REF!</v>
      </c>
      <c r="F105" s="27">
        <v>1</v>
      </c>
      <c r="G105">
        <f>RFI_Elements!N106</f>
        <v>105</v>
      </c>
      <c r="I105" t="e">
        <f>VLOOKUP(B105,SuiteCatSubElem!$G$2:$G$667,2,0)</f>
        <v>#REF!</v>
      </c>
    </row>
    <row r="106" spans="1:9">
      <c r="A106">
        <f>RFI_Elements!B107</f>
        <v>2</v>
      </c>
      <c r="B106">
        <f>RFI_Elements!C107</f>
        <v>429</v>
      </c>
      <c r="C106">
        <v>106</v>
      </c>
      <c r="D106" s="128">
        <v>43101.003472222219</v>
      </c>
      <c r="E106" t="e">
        <f>VLOOKUP(VLOOKUP(B106,SuiteCatSubElem!$G$2:$G$667,2,0),'SA Q4 18 VR'!$A$33:$O$193,1+MATCH(VLOOKUP(A106,Vendors!$A$2:$B$15,2,0),'SA Q4 18 VR'!$B$24:$O$24,0),0)</f>
        <v>#REF!</v>
      </c>
      <c r="F106" s="27">
        <v>1</v>
      </c>
      <c r="G106">
        <f>RFI_Elements!N107</f>
        <v>106</v>
      </c>
      <c r="I106" t="e">
        <f>VLOOKUP(B106,SuiteCatSubElem!$G$2:$G$667,2,0)</f>
        <v>#REF!</v>
      </c>
    </row>
    <row r="107" spans="1:9">
      <c r="A107">
        <f>RFI_Elements!B108</f>
        <v>2</v>
      </c>
      <c r="B107">
        <f>RFI_Elements!C108</f>
        <v>430</v>
      </c>
      <c r="C107">
        <v>107</v>
      </c>
      <c r="D107" s="128">
        <v>43101.003472222219</v>
      </c>
      <c r="E107" t="e">
        <f>VLOOKUP(VLOOKUP(B107,SuiteCatSubElem!$G$2:$G$667,2,0),'SA Q4 18 VR'!$A$33:$O$193,1+MATCH(VLOOKUP(A107,Vendors!$A$2:$B$15,2,0),'SA Q4 18 VR'!$B$24:$O$24,0),0)</f>
        <v>#REF!</v>
      </c>
      <c r="F107" s="27">
        <v>1</v>
      </c>
      <c r="G107">
        <f>RFI_Elements!N108</f>
        <v>107</v>
      </c>
      <c r="I107" t="e">
        <f>VLOOKUP(B107,SuiteCatSubElem!$G$2:$G$667,2,0)</f>
        <v>#REF!</v>
      </c>
    </row>
    <row r="108" spans="1:9">
      <c r="A108">
        <f>RFI_Elements!B109</f>
        <v>2</v>
      </c>
      <c r="B108">
        <f>RFI_Elements!C109</f>
        <v>431</v>
      </c>
      <c r="C108">
        <v>108</v>
      </c>
      <c r="D108" s="128">
        <v>43101.003472222219</v>
      </c>
      <c r="E108" t="e">
        <f>VLOOKUP(VLOOKUP(B108,SuiteCatSubElem!$G$2:$G$667,2,0),'SA Q4 18 VR'!$A$33:$O$193,1+MATCH(VLOOKUP(A108,Vendors!$A$2:$B$15,2,0),'SA Q4 18 VR'!$B$24:$O$24,0),0)</f>
        <v>#REF!</v>
      </c>
      <c r="F108" s="27">
        <v>1</v>
      </c>
      <c r="G108">
        <f>RFI_Elements!N109</f>
        <v>108</v>
      </c>
      <c r="I108" t="e">
        <f>VLOOKUP(B108,SuiteCatSubElem!$G$2:$G$667,2,0)</f>
        <v>#REF!</v>
      </c>
    </row>
    <row r="109" spans="1:9">
      <c r="A109">
        <f>RFI_Elements!B110</f>
        <v>2</v>
      </c>
      <c r="B109">
        <f>RFI_Elements!C110</f>
        <v>432</v>
      </c>
      <c r="C109">
        <v>109</v>
      </c>
      <c r="D109" s="128">
        <v>43101.003472222219</v>
      </c>
      <c r="E109" t="e">
        <f>VLOOKUP(VLOOKUP(B109,SuiteCatSubElem!$G$2:$G$667,2,0),'SA Q4 18 VR'!$A$33:$O$193,1+MATCH(VLOOKUP(A109,Vendors!$A$2:$B$15,2,0),'SA Q4 18 VR'!$B$24:$O$24,0),0)</f>
        <v>#REF!</v>
      </c>
      <c r="F109" s="27">
        <v>1</v>
      </c>
      <c r="G109">
        <f>RFI_Elements!N110</f>
        <v>109</v>
      </c>
      <c r="I109" t="e">
        <f>VLOOKUP(B109,SuiteCatSubElem!$G$2:$G$667,2,0)</f>
        <v>#REF!</v>
      </c>
    </row>
    <row r="110" spans="1:9">
      <c r="A110">
        <f>RFI_Elements!B111</f>
        <v>2</v>
      </c>
      <c r="B110">
        <f>RFI_Elements!C111</f>
        <v>433</v>
      </c>
      <c r="C110">
        <v>110</v>
      </c>
      <c r="D110" s="128">
        <v>43101.003472222219</v>
      </c>
      <c r="E110" t="e">
        <f>VLOOKUP(VLOOKUP(B110,SuiteCatSubElem!$G$2:$G$667,2,0),'SA Q4 18 VR'!$A$33:$O$193,1+MATCH(VLOOKUP(A110,Vendors!$A$2:$B$15,2,0),'SA Q4 18 VR'!$B$24:$O$24,0),0)</f>
        <v>#REF!</v>
      </c>
      <c r="F110" s="27">
        <v>1</v>
      </c>
      <c r="G110">
        <f>RFI_Elements!N111</f>
        <v>110</v>
      </c>
      <c r="I110" t="e">
        <f>VLOOKUP(B110,SuiteCatSubElem!$G$2:$G$667,2,0)</f>
        <v>#REF!</v>
      </c>
    </row>
    <row r="111" spans="1:9">
      <c r="A111">
        <f>RFI_Elements!B112</f>
        <v>2</v>
      </c>
      <c r="B111">
        <f>RFI_Elements!C112</f>
        <v>434</v>
      </c>
      <c r="C111">
        <v>111</v>
      </c>
      <c r="D111" s="128">
        <v>43101.003472222219</v>
      </c>
      <c r="E111" t="e">
        <f>VLOOKUP(VLOOKUP(B111,SuiteCatSubElem!$G$2:$G$667,2,0),'SA Q4 18 VR'!$A$33:$O$193,1+MATCH(VLOOKUP(A111,Vendors!$A$2:$B$15,2,0),'SA Q4 18 VR'!$B$24:$O$24,0),0)</f>
        <v>#REF!</v>
      </c>
      <c r="F111" s="27">
        <v>1</v>
      </c>
      <c r="G111">
        <f>RFI_Elements!N112</f>
        <v>111</v>
      </c>
      <c r="I111" t="e">
        <f>VLOOKUP(B111,SuiteCatSubElem!$G$2:$G$667,2,0)</f>
        <v>#REF!</v>
      </c>
    </row>
    <row r="112" spans="1:9">
      <c r="A112">
        <f>RFI_Elements!B113</f>
        <v>2</v>
      </c>
      <c r="B112">
        <f>RFI_Elements!C113</f>
        <v>435</v>
      </c>
      <c r="C112">
        <v>112</v>
      </c>
      <c r="D112" s="128">
        <v>43101.003472222219</v>
      </c>
      <c r="E112" t="e">
        <f>VLOOKUP(VLOOKUP(B112,SuiteCatSubElem!$G$2:$G$667,2,0),'SA Q4 18 VR'!$A$33:$O$193,1+MATCH(VLOOKUP(A112,Vendors!$A$2:$B$15,2,0),'SA Q4 18 VR'!$B$24:$O$24,0),0)</f>
        <v>#REF!</v>
      </c>
      <c r="F112" s="27">
        <v>1</v>
      </c>
      <c r="G112">
        <f>RFI_Elements!N113</f>
        <v>112</v>
      </c>
      <c r="I112" t="e">
        <f>VLOOKUP(B112,SuiteCatSubElem!$G$2:$G$667,2,0)</f>
        <v>#REF!</v>
      </c>
    </row>
    <row r="113" spans="1:9">
      <c r="A113">
        <f>RFI_Elements!B114</f>
        <v>2</v>
      </c>
      <c r="B113">
        <f>RFI_Elements!C114</f>
        <v>436</v>
      </c>
      <c r="C113">
        <v>113</v>
      </c>
      <c r="D113" s="128">
        <v>43101.003472222219</v>
      </c>
      <c r="E113" t="e">
        <f>VLOOKUP(VLOOKUP(B113,SuiteCatSubElem!$G$2:$G$667,2,0),'SA Q4 18 VR'!$A$33:$O$193,1+MATCH(VLOOKUP(A113,Vendors!$A$2:$B$15,2,0),'SA Q4 18 VR'!$B$24:$O$24,0),0)</f>
        <v>#REF!</v>
      </c>
      <c r="F113" s="27">
        <v>1</v>
      </c>
      <c r="G113">
        <f>RFI_Elements!N114</f>
        <v>113</v>
      </c>
      <c r="I113" t="e">
        <f>VLOOKUP(B113,SuiteCatSubElem!$G$2:$G$667,2,0)</f>
        <v>#REF!</v>
      </c>
    </row>
    <row r="114" spans="1:9">
      <c r="A114">
        <f>RFI_Elements!B115</f>
        <v>2</v>
      </c>
      <c r="B114">
        <f>RFI_Elements!C115</f>
        <v>437</v>
      </c>
      <c r="C114">
        <v>114</v>
      </c>
      <c r="D114" s="128">
        <v>43101.003472222219</v>
      </c>
      <c r="E114" t="e">
        <f>VLOOKUP(VLOOKUP(B114,SuiteCatSubElem!$G$2:$G$667,2,0),'SA Q4 18 VR'!$A$33:$O$193,1+MATCH(VLOOKUP(A114,Vendors!$A$2:$B$15,2,0),'SA Q4 18 VR'!$B$24:$O$24,0),0)</f>
        <v>#REF!</v>
      </c>
      <c r="F114" s="27">
        <v>1</v>
      </c>
      <c r="G114">
        <f>RFI_Elements!N115</f>
        <v>114</v>
      </c>
      <c r="I114" t="e">
        <f>VLOOKUP(B114,SuiteCatSubElem!$G$2:$G$667,2,0)</f>
        <v>#REF!</v>
      </c>
    </row>
    <row r="115" spans="1:9">
      <c r="A115">
        <f>RFI_Elements!B116</f>
        <v>2</v>
      </c>
      <c r="B115">
        <f>RFI_Elements!C116</f>
        <v>438</v>
      </c>
      <c r="C115">
        <v>115</v>
      </c>
      <c r="D115" s="128">
        <v>43101.003472222219</v>
      </c>
      <c r="E115" t="e">
        <f>VLOOKUP(VLOOKUP(B115,SuiteCatSubElem!$G$2:$G$667,2,0),'SA Q4 18 VR'!$A$33:$O$193,1+MATCH(VLOOKUP(A115,Vendors!$A$2:$B$15,2,0),'SA Q4 18 VR'!$B$24:$O$24,0),0)</f>
        <v>#REF!</v>
      </c>
      <c r="F115" s="27">
        <v>1</v>
      </c>
      <c r="G115">
        <f>RFI_Elements!N116</f>
        <v>115</v>
      </c>
      <c r="I115" t="e">
        <f>VLOOKUP(B115,SuiteCatSubElem!$G$2:$G$667,2,0)</f>
        <v>#REF!</v>
      </c>
    </row>
    <row r="116" spans="1:9">
      <c r="A116">
        <f>RFI_Elements!B117</f>
        <v>2</v>
      </c>
      <c r="B116">
        <f>RFI_Elements!C117</f>
        <v>439</v>
      </c>
      <c r="C116">
        <v>116</v>
      </c>
      <c r="D116" s="128">
        <v>43101.003472222219</v>
      </c>
      <c r="E116" t="e">
        <f>VLOOKUP(VLOOKUP(B116,SuiteCatSubElem!$G$2:$G$667,2,0),'SA Q4 18 VR'!$A$33:$O$193,1+MATCH(VLOOKUP(A116,Vendors!$A$2:$B$15,2,0),'SA Q4 18 VR'!$B$24:$O$24,0),0)</f>
        <v>#REF!</v>
      </c>
      <c r="F116" s="27">
        <v>1</v>
      </c>
      <c r="G116">
        <f>RFI_Elements!N117</f>
        <v>116</v>
      </c>
      <c r="I116" t="e">
        <f>VLOOKUP(B116,SuiteCatSubElem!$G$2:$G$667,2,0)</f>
        <v>#REF!</v>
      </c>
    </row>
    <row r="117" spans="1:9">
      <c r="A117">
        <f>RFI_Elements!B118</f>
        <v>2</v>
      </c>
      <c r="B117">
        <f>RFI_Elements!C118</f>
        <v>440</v>
      </c>
      <c r="C117">
        <v>117</v>
      </c>
      <c r="D117" s="128">
        <v>43101.003472222219</v>
      </c>
      <c r="E117" t="e">
        <f>VLOOKUP(VLOOKUP(B117,SuiteCatSubElem!$G$2:$G$667,2,0),'SA Q4 18 VR'!$A$33:$O$193,1+MATCH(VLOOKUP(A117,Vendors!$A$2:$B$15,2,0),'SA Q4 18 VR'!$B$24:$O$24,0),0)</f>
        <v>#REF!</v>
      </c>
      <c r="F117" s="27">
        <v>1</v>
      </c>
      <c r="G117">
        <f>RFI_Elements!N118</f>
        <v>117</v>
      </c>
      <c r="I117" t="e">
        <f>VLOOKUP(B117,SuiteCatSubElem!$G$2:$G$667,2,0)</f>
        <v>#REF!</v>
      </c>
    </row>
    <row r="118" spans="1:9">
      <c r="A118">
        <f>RFI_Elements!B119</f>
        <v>2</v>
      </c>
      <c r="B118">
        <f>RFI_Elements!C119</f>
        <v>441</v>
      </c>
      <c r="C118">
        <v>118</v>
      </c>
      <c r="D118" s="128">
        <v>43101.003472222219</v>
      </c>
      <c r="E118" t="e">
        <f>VLOOKUP(VLOOKUP(B118,SuiteCatSubElem!$G$2:$G$667,2,0),'SA Q4 18 VR'!$A$33:$O$193,1+MATCH(VLOOKUP(A118,Vendors!$A$2:$B$15,2,0),'SA Q4 18 VR'!$B$24:$O$24,0),0)</f>
        <v>#REF!</v>
      </c>
      <c r="F118" s="27">
        <v>1</v>
      </c>
      <c r="G118">
        <f>RFI_Elements!N119</f>
        <v>118</v>
      </c>
      <c r="I118" t="e">
        <f>VLOOKUP(B118,SuiteCatSubElem!$G$2:$G$667,2,0)</f>
        <v>#REF!</v>
      </c>
    </row>
    <row r="119" spans="1:9">
      <c r="A119">
        <f>RFI_Elements!B120</f>
        <v>2</v>
      </c>
      <c r="B119">
        <f>RFI_Elements!C120</f>
        <v>442</v>
      </c>
      <c r="C119">
        <v>119</v>
      </c>
      <c r="D119" s="128">
        <v>43101.003472222219</v>
      </c>
      <c r="E119" t="e">
        <f>VLOOKUP(VLOOKUP(B119,SuiteCatSubElem!$G$2:$G$667,2,0),'SA Q4 18 VR'!$A$33:$O$193,1+MATCH(VLOOKUP(A119,Vendors!$A$2:$B$15,2,0),'SA Q4 18 VR'!$B$24:$O$24,0),0)</f>
        <v>#REF!</v>
      </c>
      <c r="F119" s="27">
        <v>1</v>
      </c>
      <c r="G119">
        <f>RFI_Elements!N120</f>
        <v>119</v>
      </c>
      <c r="I119" t="e">
        <f>VLOOKUP(B119,SuiteCatSubElem!$G$2:$G$667,2,0)</f>
        <v>#REF!</v>
      </c>
    </row>
    <row r="120" spans="1:9">
      <c r="A120">
        <f>RFI_Elements!B121</f>
        <v>2</v>
      </c>
      <c r="B120">
        <f>RFI_Elements!C121</f>
        <v>443</v>
      </c>
      <c r="C120">
        <v>120</v>
      </c>
      <c r="D120" s="128">
        <v>43101.003472222219</v>
      </c>
      <c r="E120" t="e">
        <f>VLOOKUP(VLOOKUP(B120,SuiteCatSubElem!$G$2:$G$667,2,0),'SA Q4 18 VR'!$A$33:$O$193,1+MATCH(VLOOKUP(A120,Vendors!$A$2:$B$15,2,0),'SA Q4 18 VR'!$B$24:$O$24,0),0)</f>
        <v>#REF!</v>
      </c>
      <c r="F120" s="27">
        <v>1</v>
      </c>
      <c r="G120">
        <f>RFI_Elements!N121</f>
        <v>120</v>
      </c>
      <c r="I120" t="e">
        <f>VLOOKUP(B120,SuiteCatSubElem!$G$2:$G$667,2,0)</f>
        <v>#REF!</v>
      </c>
    </row>
    <row r="121" spans="1:9">
      <c r="A121">
        <f>RFI_Elements!B123</f>
        <v>2</v>
      </c>
      <c r="B121">
        <f>RFI_Elements!C123</f>
        <v>445</v>
      </c>
      <c r="C121">
        <v>122</v>
      </c>
      <c r="D121" s="128">
        <v>43101.003472222219</v>
      </c>
      <c r="E121" t="e">
        <f>VLOOKUP(VLOOKUP(B121,SuiteCatSubElem!$G$2:$G$667,2,0),'SA Q4 18 VR'!$A$33:$O$193,1+MATCH(VLOOKUP(A121,Vendors!$A$2:$B$15,2,0),'SA Q4 18 VR'!$B$24:$O$24,0),0)</f>
        <v>#REF!</v>
      </c>
      <c r="F121" s="27">
        <v>1</v>
      </c>
      <c r="G121">
        <f>RFI_Elements!N123</f>
        <v>122</v>
      </c>
      <c r="I121" t="e">
        <f>VLOOKUP(B121,SuiteCatSubElem!$G$2:$G$667,2,0)</f>
        <v>#REF!</v>
      </c>
    </row>
    <row r="122" spans="1:9">
      <c r="A122">
        <f>RFI_Elements!B124</f>
        <v>2</v>
      </c>
      <c r="B122">
        <f>RFI_Elements!C124</f>
        <v>446</v>
      </c>
      <c r="C122">
        <v>123</v>
      </c>
      <c r="D122" s="128">
        <v>43101.003472222219</v>
      </c>
      <c r="E122" t="e">
        <f>VLOOKUP(VLOOKUP(B122,SuiteCatSubElem!$G$2:$G$667,2,0),'SA Q4 18 VR'!$A$33:$O$193,1+MATCH(VLOOKUP(A122,Vendors!$A$2:$B$15,2,0),'SA Q4 18 VR'!$B$24:$O$24,0),0)</f>
        <v>#REF!</v>
      </c>
      <c r="F122" s="27">
        <v>1</v>
      </c>
      <c r="G122">
        <f>RFI_Elements!N124</f>
        <v>123</v>
      </c>
      <c r="I122" t="e">
        <f>VLOOKUP(B122,SuiteCatSubElem!$G$2:$G$667,2,0)</f>
        <v>#REF!</v>
      </c>
    </row>
    <row r="123" spans="1:9">
      <c r="A123">
        <f>RFI_Elements!B125</f>
        <v>2</v>
      </c>
      <c r="B123">
        <f>RFI_Elements!C125</f>
        <v>447</v>
      </c>
      <c r="C123">
        <v>124</v>
      </c>
      <c r="D123" s="128">
        <v>43101.003472222219</v>
      </c>
      <c r="E123" t="e">
        <f>VLOOKUP(VLOOKUP(B123,SuiteCatSubElem!$G$2:$G$667,2,0),'SA Q4 18 VR'!$A$33:$O$193,1+MATCH(VLOOKUP(A123,Vendors!$A$2:$B$15,2,0),'SA Q4 18 VR'!$B$24:$O$24,0),0)</f>
        <v>#REF!</v>
      </c>
      <c r="F123" s="27">
        <v>1</v>
      </c>
      <c r="G123">
        <f>RFI_Elements!N125</f>
        <v>124</v>
      </c>
      <c r="I123" t="e">
        <f>VLOOKUP(B123,SuiteCatSubElem!$G$2:$G$667,2,0)</f>
        <v>#REF!</v>
      </c>
    </row>
    <row r="124" spans="1:9">
      <c r="A124">
        <f>RFI_Elements!B126</f>
        <v>2</v>
      </c>
      <c r="B124">
        <f>RFI_Elements!C126</f>
        <v>448</v>
      </c>
      <c r="C124">
        <v>125</v>
      </c>
      <c r="D124" s="128">
        <v>43101.003472222219</v>
      </c>
      <c r="E124" t="e">
        <f>VLOOKUP(VLOOKUP(B124,SuiteCatSubElem!$G$2:$G$667,2,0),'SA Q4 18 VR'!$A$33:$O$193,1+MATCH(VLOOKUP(A124,Vendors!$A$2:$B$15,2,0),'SA Q4 18 VR'!$B$24:$O$24,0),0)</f>
        <v>#REF!</v>
      </c>
      <c r="F124" s="27">
        <v>1</v>
      </c>
      <c r="G124">
        <f>RFI_Elements!N126</f>
        <v>125</v>
      </c>
      <c r="I124" t="e">
        <f>VLOOKUP(B124,SuiteCatSubElem!$G$2:$G$667,2,0)</f>
        <v>#REF!</v>
      </c>
    </row>
    <row r="125" spans="1:9">
      <c r="A125">
        <f>RFI_Elements!B127</f>
        <v>2</v>
      </c>
      <c r="B125">
        <f>RFI_Elements!C127</f>
        <v>449</v>
      </c>
      <c r="C125">
        <v>126</v>
      </c>
      <c r="D125" s="128">
        <v>43101.003472222219</v>
      </c>
      <c r="E125" t="e">
        <f>VLOOKUP(VLOOKUP(B125,SuiteCatSubElem!$G$2:$G$667,2,0),'SA Q4 18 VR'!$A$33:$O$193,1+MATCH(VLOOKUP(A125,Vendors!$A$2:$B$15,2,0),'SA Q4 18 VR'!$B$24:$O$24,0),0)</f>
        <v>#REF!</v>
      </c>
      <c r="F125" s="27">
        <v>1</v>
      </c>
      <c r="G125">
        <f>RFI_Elements!N127</f>
        <v>126</v>
      </c>
      <c r="I125" t="e">
        <f>VLOOKUP(B125,SuiteCatSubElem!$G$2:$G$667,2,0)</f>
        <v>#REF!</v>
      </c>
    </row>
    <row r="126" spans="1:9">
      <c r="A126">
        <f>RFI_Elements!B128</f>
        <v>2</v>
      </c>
      <c r="B126">
        <f>RFI_Elements!C128</f>
        <v>450</v>
      </c>
      <c r="C126">
        <v>127</v>
      </c>
      <c r="D126" s="128">
        <v>43101.003472222219</v>
      </c>
      <c r="E126" t="e">
        <f>VLOOKUP(VLOOKUP(B126,SuiteCatSubElem!$G$2:$G$667,2,0),'SA Q4 18 VR'!$A$33:$O$193,1+MATCH(VLOOKUP(A126,Vendors!$A$2:$B$15,2,0),'SA Q4 18 VR'!$B$24:$O$24,0),0)</f>
        <v>#REF!</v>
      </c>
      <c r="F126" s="27">
        <v>1</v>
      </c>
      <c r="G126">
        <f>RFI_Elements!N128</f>
        <v>127</v>
      </c>
      <c r="I126" t="e">
        <f>VLOOKUP(B126,SuiteCatSubElem!$G$2:$G$667,2,0)</f>
        <v>#REF!</v>
      </c>
    </row>
    <row r="127" spans="1:9">
      <c r="A127">
        <f>RFI_Elements!B129</f>
        <v>2</v>
      </c>
      <c r="B127">
        <f>RFI_Elements!C129</f>
        <v>451</v>
      </c>
      <c r="C127">
        <v>128</v>
      </c>
      <c r="D127" s="128">
        <v>43101.003472222219</v>
      </c>
      <c r="E127" t="e">
        <f>VLOOKUP(VLOOKUP(B127,SuiteCatSubElem!$G$2:$G$667,2,0),'SA Q4 18 VR'!$A$33:$O$193,1+MATCH(VLOOKUP(A127,Vendors!$A$2:$B$15,2,0),'SA Q4 18 VR'!$B$24:$O$24,0),0)</f>
        <v>#REF!</v>
      </c>
      <c r="F127" s="27">
        <v>1</v>
      </c>
      <c r="G127">
        <f>RFI_Elements!N129</f>
        <v>128</v>
      </c>
      <c r="I127" t="e">
        <f>VLOOKUP(B127,SuiteCatSubElem!$G$2:$G$667,2,0)</f>
        <v>#REF!</v>
      </c>
    </row>
    <row r="128" spans="1:9">
      <c r="A128">
        <f>RFI_Elements!B130</f>
        <v>2</v>
      </c>
      <c r="B128">
        <f>RFI_Elements!C130</f>
        <v>452</v>
      </c>
      <c r="C128">
        <v>129</v>
      </c>
      <c r="D128" s="128">
        <v>43101.003472222219</v>
      </c>
      <c r="E128" t="e">
        <f>VLOOKUP(VLOOKUP(B128,SuiteCatSubElem!$G$2:$G$667,2,0),'SA Q4 18 VR'!$A$33:$O$193,1+MATCH(VLOOKUP(A128,Vendors!$A$2:$B$15,2,0),'SA Q4 18 VR'!$B$24:$O$24,0),0)</f>
        <v>#REF!</v>
      </c>
      <c r="F128" s="27">
        <v>1</v>
      </c>
      <c r="G128">
        <f>RFI_Elements!N130</f>
        <v>129</v>
      </c>
      <c r="I128" t="e">
        <f>VLOOKUP(B128,SuiteCatSubElem!$G$2:$G$667,2,0)</f>
        <v>#REF!</v>
      </c>
    </row>
    <row r="129" spans="1:9">
      <c r="A129">
        <f>RFI_Elements!B131</f>
        <v>2</v>
      </c>
      <c r="B129">
        <f>RFI_Elements!C131</f>
        <v>453</v>
      </c>
      <c r="C129">
        <v>130</v>
      </c>
      <c r="D129" s="128">
        <v>43101.003472222219</v>
      </c>
      <c r="E129" t="e">
        <f>VLOOKUP(VLOOKUP(B129,SuiteCatSubElem!$G$2:$G$667,2,0),'SA Q4 18 VR'!$A$33:$O$193,1+MATCH(VLOOKUP(A129,Vendors!$A$2:$B$15,2,0),'SA Q4 18 VR'!$B$24:$O$24,0),0)</f>
        <v>#REF!</v>
      </c>
      <c r="F129" s="27">
        <v>1</v>
      </c>
      <c r="G129">
        <f>RFI_Elements!N131</f>
        <v>130</v>
      </c>
      <c r="I129" t="e">
        <f>VLOOKUP(B129,SuiteCatSubElem!$G$2:$G$667,2,0)</f>
        <v>#REF!</v>
      </c>
    </row>
    <row r="130" spans="1:9">
      <c r="A130">
        <f>RFI_Elements!B132</f>
        <v>2</v>
      </c>
      <c r="B130">
        <f>RFI_Elements!C132</f>
        <v>454</v>
      </c>
      <c r="C130">
        <v>131</v>
      </c>
      <c r="D130" s="128">
        <v>43101.003472222219</v>
      </c>
      <c r="E130" t="e">
        <f>VLOOKUP(VLOOKUP(B130,SuiteCatSubElem!$G$2:$G$667,2,0),'SA Q4 18 VR'!$A$33:$O$193,1+MATCH(VLOOKUP(A130,Vendors!$A$2:$B$15,2,0),'SA Q4 18 VR'!$B$24:$O$24,0),0)</f>
        <v>#REF!</v>
      </c>
      <c r="F130" s="27">
        <v>1</v>
      </c>
      <c r="G130">
        <f>RFI_Elements!N132</f>
        <v>131</v>
      </c>
      <c r="I130" t="e">
        <f>VLOOKUP(B130,SuiteCatSubElem!$G$2:$G$667,2,0)</f>
        <v>#REF!</v>
      </c>
    </row>
    <row r="131" spans="1:9">
      <c r="A131">
        <f>RFI_Elements!B133</f>
        <v>2</v>
      </c>
      <c r="B131">
        <f>RFI_Elements!C133</f>
        <v>455</v>
      </c>
      <c r="C131">
        <v>132</v>
      </c>
      <c r="D131" s="128">
        <v>43101.003472222219</v>
      </c>
      <c r="E131" t="e">
        <f>VLOOKUP(VLOOKUP(B131,SuiteCatSubElem!$G$2:$G$667,2,0),'SA Q4 18 VR'!$A$33:$O$193,1+MATCH(VLOOKUP(A131,Vendors!$A$2:$B$15,2,0),'SA Q4 18 VR'!$B$24:$O$24,0),0)</f>
        <v>#REF!</v>
      </c>
      <c r="F131" s="27">
        <v>1</v>
      </c>
      <c r="G131">
        <f>RFI_Elements!N133</f>
        <v>132</v>
      </c>
      <c r="I131" t="e">
        <f>VLOOKUP(B131,SuiteCatSubElem!$G$2:$G$667,2,0)</f>
        <v>#REF!</v>
      </c>
    </row>
    <row r="132" spans="1:9">
      <c r="A132">
        <f>RFI_Elements!B134</f>
        <v>2</v>
      </c>
      <c r="B132">
        <f>RFI_Elements!C134</f>
        <v>456</v>
      </c>
      <c r="C132">
        <v>133</v>
      </c>
      <c r="D132" s="128">
        <v>43101.003472222219</v>
      </c>
      <c r="E132" t="e">
        <f>VLOOKUP(VLOOKUP(B132,SuiteCatSubElem!$G$2:$G$667,2,0),'SA Q4 18 VR'!$A$33:$O$193,1+MATCH(VLOOKUP(A132,Vendors!$A$2:$B$15,2,0),'SA Q4 18 VR'!$B$24:$O$24,0),0)</f>
        <v>#REF!</v>
      </c>
      <c r="F132" s="27">
        <v>1</v>
      </c>
      <c r="G132">
        <f>RFI_Elements!N134</f>
        <v>133</v>
      </c>
      <c r="I132" t="e">
        <f>VLOOKUP(B132,SuiteCatSubElem!$G$2:$G$667,2,0)</f>
        <v>#REF!</v>
      </c>
    </row>
    <row r="133" spans="1:9">
      <c r="A133">
        <f>RFI_Elements!B135</f>
        <v>2</v>
      </c>
      <c r="B133">
        <f>RFI_Elements!C135</f>
        <v>457</v>
      </c>
      <c r="C133">
        <v>134</v>
      </c>
      <c r="D133" s="128">
        <v>43101.003472222219</v>
      </c>
      <c r="E133" t="e">
        <f>VLOOKUP(VLOOKUP(B133,SuiteCatSubElem!$G$2:$G$667,2,0),'SA Q4 18 VR'!$A$33:$O$193,1+MATCH(VLOOKUP(A133,Vendors!$A$2:$B$15,2,0),'SA Q4 18 VR'!$B$24:$O$24,0),0)</f>
        <v>#REF!</v>
      </c>
      <c r="F133" s="27">
        <v>1</v>
      </c>
      <c r="G133">
        <f>RFI_Elements!N135</f>
        <v>134</v>
      </c>
      <c r="I133" t="e">
        <f>VLOOKUP(B133,SuiteCatSubElem!$G$2:$G$667,2,0)</f>
        <v>#REF!</v>
      </c>
    </row>
    <row r="134" spans="1:9">
      <c r="A134">
        <f>RFI_Elements!B136</f>
        <v>2</v>
      </c>
      <c r="B134">
        <f>RFI_Elements!C136</f>
        <v>458</v>
      </c>
      <c r="C134">
        <v>135</v>
      </c>
      <c r="D134" s="128">
        <v>43101.003472222219</v>
      </c>
      <c r="E134" t="e">
        <f>VLOOKUP(VLOOKUP(B134,SuiteCatSubElem!$G$2:$G$667,2,0),'SA Q4 18 VR'!$A$33:$O$193,1+MATCH(VLOOKUP(A134,Vendors!$A$2:$B$15,2,0),'SA Q4 18 VR'!$B$24:$O$24,0),0)</f>
        <v>#REF!</v>
      </c>
      <c r="F134" s="27">
        <v>1</v>
      </c>
      <c r="G134">
        <f>RFI_Elements!N136</f>
        <v>135</v>
      </c>
      <c r="I134" t="e">
        <f>VLOOKUP(B134,SuiteCatSubElem!$G$2:$G$667,2,0)</f>
        <v>#REF!</v>
      </c>
    </row>
    <row r="135" spans="1:9">
      <c r="A135">
        <f>RFI_Elements!B137</f>
        <v>2</v>
      </c>
      <c r="B135">
        <f>RFI_Elements!C137</f>
        <v>459</v>
      </c>
      <c r="C135">
        <v>136</v>
      </c>
      <c r="D135" s="128">
        <v>43101.003472222219</v>
      </c>
      <c r="E135" t="e">
        <f>VLOOKUP(VLOOKUP(B135,SuiteCatSubElem!$G$2:$G$667,2,0),'SA Q4 18 VR'!$A$33:$O$193,1+MATCH(VLOOKUP(A135,Vendors!$A$2:$B$15,2,0),'SA Q4 18 VR'!$B$24:$O$24,0),0)</f>
        <v>#REF!</v>
      </c>
      <c r="F135" s="27">
        <v>1</v>
      </c>
      <c r="G135">
        <f>RFI_Elements!N137</f>
        <v>136</v>
      </c>
      <c r="I135" t="e">
        <f>VLOOKUP(B135,SuiteCatSubElem!$G$2:$G$667,2,0)</f>
        <v>#REF!</v>
      </c>
    </row>
    <row r="136" spans="1:9">
      <c r="A136">
        <f>RFI_Elements!B138</f>
        <v>2</v>
      </c>
      <c r="B136">
        <f>RFI_Elements!C138</f>
        <v>460</v>
      </c>
      <c r="C136">
        <v>137</v>
      </c>
      <c r="D136" s="128">
        <v>43101.003472222219</v>
      </c>
      <c r="E136" t="e">
        <f>VLOOKUP(VLOOKUP(B136,SuiteCatSubElem!$G$2:$G$667,2,0),'SA Q4 18 VR'!$A$33:$O$193,1+MATCH(VLOOKUP(A136,Vendors!$A$2:$B$15,2,0),'SA Q4 18 VR'!$B$24:$O$24,0),0)</f>
        <v>#REF!</v>
      </c>
      <c r="F136" s="27">
        <v>1</v>
      </c>
      <c r="G136">
        <f>RFI_Elements!N138</f>
        <v>137</v>
      </c>
      <c r="I136" t="e">
        <f>VLOOKUP(B136,SuiteCatSubElem!$G$2:$G$667,2,0)</f>
        <v>#REF!</v>
      </c>
    </row>
    <row r="137" spans="1:9">
      <c r="A137">
        <f>RFI_Elements!B139</f>
        <v>2</v>
      </c>
      <c r="B137">
        <f>RFI_Elements!C139</f>
        <v>461</v>
      </c>
      <c r="C137">
        <v>138</v>
      </c>
      <c r="D137" s="128">
        <v>43101.003472222219</v>
      </c>
      <c r="E137" t="e">
        <f>VLOOKUP(VLOOKUP(B137,SuiteCatSubElem!$G$2:$G$667,2,0),'SA Q4 18 VR'!$A$33:$O$193,1+MATCH(VLOOKUP(A137,Vendors!$A$2:$B$15,2,0),'SA Q4 18 VR'!$B$24:$O$24,0),0)</f>
        <v>#REF!</v>
      </c>
      <c r="F137" s="27">
        <v>1</v>
      </c>
      <c r="G137">
        <f>RFI_Elements!N139</f>
        <v>138</v>
      </c>
      <c r="I137" t="e">
        <f>VLOOKUP(B137,SuiteCatSubElem!$G$2:$G$667,2,0)</f>
        <v>#REF!</v>
      </c>
    </row>
    <row r="138" spans="1:9">
      <c r="A138">
        <f>RFI_Elements!B140</f>
        <v>2</v>
      </c>
      <c r="B138">
        <f>RFI_Elements!C140</f>
        <v>462</v>
      </c>
      <c r="C138">
        <v>139</v>
      </c>
      <c r="D138" s="128">
        <v>43101.003472222219</v>
      </c>
      <c r="E138" t="e">
        <f>VLOOKUP(VLOOKUP(B138,SuiteCatSubElem!$G$2:$G$667,2,0),'SA Q4 18 VR'!$A$33:$O$193,1+MATCH(VLOOKUP(A138,Vendors!$A$2:$B$15,2,0),'SA Q4 18 VR'!$B$24:$O$24,0),0)</f>
        <v>#REF!</v>
      </c>
      <c r="F138" s="27">
        <v>1</v>
      </c>
      <c r="G138">
        <f>RFI_Elements!N140</f>
        <v>139</v>
      </c>
      <c r="I138" t="e">
        <f>VLOOKUP(B138,SuiteCatSubElem!$G$2:$G$667,2,0)</f>
        <v>#REF!</v>
      </c>
    </row>
    <row r="139" spans="1:9">
      <c r="A139">
        <f>RFI_Elements!B141</f>
        <v>2</v>
      </c>
      <c r="B139">
        <f>RFI_Elements!C141</f>
        <v>463</v>
      </c>
      <c r="C139">
        <v>140</v>
      </c>
      <c r="D139" s="128">
        <v>43101.003472222219</v>
      </c>
      <c r="E139" t="e">
        <f>VLOOKUP(VLOOKUP(B139,SuiteCatSubElem!$G$2:$G$667,2,0),'SA Q4 18 VR'!$A$33:$O$193,1+MATCH(VLOOKUP(A139,Vendors!$A$2:$B$15,2,0),'SA Q4 18 VR'!$B$24:$O$24,0),0)</f>
        <v>#REF!</v>
      </c>
      <c r="F139" s="27">
        <v>1</v>
      </c>
      <c r="G139">
        <f>RFI_Elements!N141</f>
        <v>140</v>
      </c>
      <c r="I139" t="e">
        <f>VLOOKUP(B139,SuiteCatSubElem!$G$2:$G$667,2,0)</f>
        <v>#REF!</v>
      </c>
    </row>
    <row r="140" spans="1:9">
      <c r="A140">
        <f>RFI_Elements!B142</f>
        <v>2</v>
      </c>
      <c r="B140">
        <f>RFI_Elements!C142</f>
        <v>464</v>
      </c>
      <c r="C140">
        <v>141</v>
      </c>
      <c r="D140" s="128">
        <v>43101.003472222219</v>
      </c>
      <c r="E140" t="e">
        <f>VLOOKUP(VLOOKUP(B140,SuiteCatSubElem!$G$2:$G$667,2,0),'SA Q4 18 VR'!$A$33:$O$193,1+MATCH(VLOOKUP(A140,Vendors!$A$2:$B$15,2,0),'SA Q4 18 VR'!$B$24:$O$24,0),0)</f>
        <v>#REF!</v>
      </c>
      <c r="F140" s="27">
        <v>1</v>
      </c>
      <c r="G140">
        <f>RFI_Elements!N142</f>
        <v>141</v>
      </c>
      <c r="I140" t="e">
        <f>VLOOKUP(B140,SuiteCatSubElem!$G$2:$G$667,2,0)</f>
        <v>#REF!</v>
      </c>
    </row>
    <row r="141" spans="1:9">
      <c r="A141">
        <f>RFI_Elements!B143</f>
        <v>2</v>
      </c>
      <c r="B141">
        <f>RFI_Elements!C143</f>
        <v>465</v>
      </c>
      <c r="C141">
        <v>142</v>
      </c>
      <c r="D141" s="128">
        <v>43101.003472222219</v>
      </c>
      <c r="E141" t="e">
        <f>VLOOKUP(VLOOKUP(B141,SuiteCatSubElem!$G$2:$G$667,2,0),'SA Q4 18 VR'!$A$33:$O$193,1+MATCH(VLOOKUP(A141,Vendors!$A$2:$B$15,2,0),'SA Q4 18 VR'!$B$24:$O$24,0),0)</f>
        <v>#REF!</v>
      </c>
      <c r="F141" s="27">
        <v>1</v>
      </c>
      <c r="G141">
        <f>RFI_Elements!N143</f>
        <v>142</v>
      </c>
      <c r="I141" t="e">
        <f>VLOOKUP(B141,SuiteCatSubElem!$G$2:$G$667,2,0)</f>
        <v>#REF!</v>
      </c>
    </row>
    <row r="142" spans="1:9">
      <c r="A142">
        <f>RFI_Elements!B144</f>
        <v>2</v>
      </c>
      <c r="B142">
        <f>RFI_Elements!C144</f>
        <v>466</v>
      </c>
      <c r="C142">
        <v>143</v>
      </c>
      <c r="D142" s="128">
        <v>43101.003472222219</v>
      </c>
      <c r="E142" t="e">
        <f>VLOOKUP(VLOOKUP(B142,SuiteCatSubElem!$G$2:$G$667,2,0),'SA Q4 18 VR'!$A$33:$O$193,1+MATCH(VLOOKUP(A142,Vendors!$A$2:$B$15,2,0),'SA Q4 18 VR'!$B$24:$O$24,0),0)</f>
        <v>#REF!</v>
      </c>
      <c r="F142" s="27">
        <v>1</v>
      </c>
      <c r="G142">
        <f>RFI_Elements!N144</f>
        <v>143</v>
      </c>
      <c r="I142" t="e">
        <f>VLOOKUP(B142,SuiteCatSubElem!$G$2:$G$667,2,0)</f>
        <v>#REF!</v>
      </c>
    </row>
    <row r="143" spans="1:9">
      <c r="A143">
        <f>RFI_Elements!B145</f>
        <v>2</v>
      </c>
      <c r="B143">
        <f>RFI_Elements!C145</f>
        <v>467</v>
      </c>
      <c r="C143">
        <v>144</v>
      </c>
      <c r="D143" s="128">
        <v>43101.003472222219</v>
      </c>
      <c r="E143" t="e">
        <f>VLOOKUP(VLOOKUP(B143,SuiteCatSubElem!$G$2:$G$667,2,0),'SA Q4 18 VR'!$A$33:$O$193,1+MATCH(VLOOKUP(A143,Vendors!$A$2:$B$15,2,0),'SA Q4 18 VR'!$B$24:$O$24,0),0)</f>
        <v>#REF!</v>
      </c>
      <c r="F143" s="27">
        <v>1</v>
      </c>
      <c r="G143">
        <f>RFI_Elements!N145</f>
        <v>144</v>
      </c>
      <c r="I143" t="e">
        <f>VLOOKUP(B143,SuiteCatSubElem!$G$2:$G$667,2,0)</f>
        <v>#REF!</v>
      </c>
    </row>
    <row r="144" spans="1:9">
      <c r="A144">
        <f>RFI_Elements!B146</f>
        <v>2</v>
      </c>
      <c r="B144">
        <f>RFI_Elements!C146</f>
        <v>468</v>
      </c>
      <c r="C144">
        <v>145</v>
      </c>
      <c r="D144" s="128">
        <v>43101.003472222219</v>
      </c>
      <c r="E144" t="e">
        <f>VLOOKUP(VLOOKUP(B144,SuiteCatSubElem!$G$2:$G$667,2,0),'SA Q4 18 VR'!$A$33:$O$193,1+MATCH(VLOOKUP(A144,Vendors!$A$2:$B$15,2,0),'SA Q4 18 VR'!$B$24:$O$24,0),0)</f>
        <v>#REF!</v>
      </c>
      <c r="F144" s="27">
        <v>1</v>
      </c>
      <c r="G144">
        <f>RFI_Elements!N146</f>
        <v>145</v>
      </c>
      <c r="I144" t="e">
        <f>VLOOKUP(B144,SuiteCatSubElem!$G$2:$G$667,2,0)</f>
        <v>#REF!</v>
      </c>
    </row>
    <row r="145" spans="1:9">
      <c r="A145">
        <f>RFI_Elements!B147</f>
        <v>2</v>
      </c>
      <c r="B145">
        <f>RFI_Elements!C147</f>
        <v>469</v>
      </c>
      <c r="C145">
        <v>146</v>
      </c>
      <c r="D145" s="128">
        <v>43101.003472222219</v>
      </c>
      <c r="E145" t="e">
        <f>VLOOKUP(VLOOKUP(B145,SuiteCatSubElem!$G$2:$G$667,2,0),'SA Q4 18 VR'!$A$33:$O$193,1+MATCH(VLOOKUP(A145,Vendors!$A$2:$B$15,2,0),'SA Q4 18 VR'!$B$24:$O$24,0),0)</f>
        <v>#REF!</v>
      </c>
      <c r="F145" s="27">
        <v>1</v>
      </c>
      <c r="G145">
        <f>RFI_Elements!N147</f>
        <v>146</v>
      </c>
      <c r="I145" t="e">
        <f>VLOOKUP(B145,SuiteCatSubElem!$G$2:$G$667,2,0)</f>
        <v>#REF!</v>
      </c>
    </row>
    <row r="146" spans="1:9">
      <c r="A146">
        <f>RFI_Elements!B148</f>
        <v>2</v>
      </c>
      <c r="B146">
        <f>RFI_Elements!C148</f>
        <v>470</v>
      </c>
      <c r="C146">
        <v>147</v>
      </c>
      <c r="D146" s="128">
        <v>43101.003472222219</v>
      </c>
      <c r="E146" t="e">
        <f>VLOOKUP(VLOOKUP(B146,SuiteCatSubElem!$G$2:$G$667,2,0),'SA Q4 18 VR'!$A$33:$O$193,1+MATCH(VLOOKUP(A146,Vendors!$A$2:$B$15,2,0),'SA Q4 18 VR'!$B$24:$O$24,0),0)</f>
        <v>#REF!</v>
      </c>
      <c r="F146" s="27">
        <v>1</v>
      </c>
      <c r="G146">
        <f>RFI_Elements!N148</f>
        <v>147</v>
      </c>
      <c r="I146" t="e">
        <f>VLOOKUP(B146,SuiteCatSubElem!$G$2:$G$667,2,0)</f>
        <v>#REF!</v>
      </c>
    </row>
    <row r="147" spans="1:9">
      <c r="A147">
        <f>RFI_Elements!B149</f>
        <v>2</v>
      </c>
      <c r="B147">
        <f>RFI_Elements!C149</f>
        <v>471</v>
      </c>
      <c r="C147">
        <v>148</v>
      </c>
      <c r="D147" s="128">
        <v>43101.003472222219</v>
      </c>
      <c r="E147" t="e">
        <f>VLOOKUP(VLOOKUP(B147,SuiteCatSubElem!$G$2:$G$667,2,0),'SA Q4 18 VR'!$A$33:$O$193,1+MATCH(VLOOKUP(A147,Vendors!$A$2:$B$15,2,0),'SA Q4 18 VR'!$B$24:$O$24,0),0)</f>
        <v>#REF!</v>
      </c>
      <c r="F147" s="27">
        <v>1</v>
      </c>
      <c r="G147">
        <f>RFI_Elements!N149</f>
        <v>148</v>
      </c>
      <c r="I147" t="e">
        <f>VLOOKUP(B147,SuiteCatSubElem!$G$2:$G$667,2,0)</f>
        <v>#REF!</v>
      </c>
    </row>
    <row r="148" spans="1:9">
      <c r="A148">
        <f>RFI_Elements!B150</f>
        <v>2</v>
      </c>
      <c r="B148">
        <f>RFI_Elements!C150</f>
        <v>472</v>
      </c>
      <c r="C148">
        <v>149</v>
      </c>
      <c r="D148" s="128">
        <v>43101.003472222219</v>
      </c>
      <c r="E148" t="e">
        <f>VLOOKUP(VLOOKUP(B148,SuiteCatSubElem!$G$2:$G$667,2,0),'SA Q4 18 VR'!$A$33:$O$193,1+MATCH(VLOOKUP(A148,Vendors!$A$2:$B$15,2,0),'SA Q4 18 VR'!$B$24:$O$24,0),0)</f>
        <v>#REF!</v>
      </c>
      <c r="F148" s="27">
        <v>1</v>
      </c>
      <c r="G148">
        <f>RFI_Elements!N150</f>
        <v>149</v>
      </c>
      <c r="I148" t="e">
        <f>VLOOKUP(B148,SuiteCatSubElem!$G$2:$G$667,2,0)</f>
        <v>#REF!</v>
      </c>
    </row>
    <row r="149" spans="1:9">
      <c r="A149">
        <f>RFI_Elements!B151</f>
        <v>2</v>
      </c>
      <c r="B149">
        <f>RFI_Elements!C151</f>
        <v>473</v>
      </c>
      <c r="C149">
        <v>150</v>
      </c>
      <c r="D149" s="128">
        <v>43101.003472222219</v>
      </c>
      <c r="E149" t="e">
        <f>VLOOKUP(VLOOKUP(B149,SuiteCatSubElem!$G$2:$G$667,2,0),'SA Q4 18 VR'!$A$33:$O$193,1+MATCH(VLOOKUP(A149,Vendors!$A$2:$B$15,2,0),'SA Q4 18 VR'!$B$24:$O$24,0),0)</f>
        <v>#REF!</v>
      </c>
      <c r="F149" s="27">
        <v>1</v>
      </c>
      <c r="G149">
        <f>RFI_Elements!N151</f>
        <v>150</v>
      </c>
      <c r="I149" t="e">
        <f>VLOOKUP(B149,SuiteCatSubElem!$G$2:$G$667,2,0)</f>
        <v>#REF!</v>
      </c>
    </row>
    <row r="150" spans="1:9">
      <c r="A150">
        <f>RFI_Elements!B152</f>
        <v>2</v>
      </c>
      <c r="B150">
        <f>RFI_Elements!C152</f>
        <v>474</v>
      </c>
      <c r="C150">
        <v>151</v>
      </c>
      <c r="D150" s="128">
        <v>43101.003472222219</v>
      </c>
      <c r="E150" t="e">
        <f>VLOOKUP(VLOOKUP(B150,SuiteCatSubElem!$G$2:$G$667,2,0),'SA Q4 18 VR'!$A$33:$O$193,1+MATCH(VLOOKUP(A150,Vendors!$A$2:$B$15,2,0),'SA Q4 18 VR'!$B$24:$O$24,0),0)</f>
        <v>#REF!</v>
      </c>
      <c r="F150" s="27">
        <v>1</v>
      </c>
      <c r="G150">
        <f>RFI_Elements!N152</f>
        <v>151</v>
      </c>
      <c r="I150" t="e">
        <f>VLOOKUP(B150,SuiteCatSubElem!$G$2:$G$667,2,0)</f>
        <v>#REF!</v>
      </c>
    </row>
    <row r="151" spans="1:9">
      <c r="A151">
        <f>RFI_Elements!B153</f>
        <v>2</v>
      </c>
      <c r="B151">
        <f>RFI_Elements!C153</f>
        <v>475</v>
      </c>
      <c r="C151">
        <v>152</v>
      </c>
      <c r="D151" s="128">
        <v>43101.003472222219</v>
      </c>
      <c r="E151" t="e">
        <f>VLOOKUP(VLOOKUP(B151,SuiteCatSubElem!$G$2:$G$667,2,0),'SA Q4 18 VR'!$A$33:$O$193,1+MATCH(VLOOKUP(A151,Vendors!$A$2:$B$15,2,0),'SA Q4 18 VR'!$B$24:$O$24,0),0)</f>
        <v>#REF!</v>
      </c>
      <c r="F151" s="27">
        <v>1</v>
      </c>
      <c r="G151">
        <f>RFI_Elements!N153</f>
        <v>152</v>
      </c>
      <c r="I151" t="e">
        <f>VLOOKUP(B151,SuiteCatSubElem!$G$2:$G$667,2,0)</f>
        <v>#REF!</v>
      </c>
    </row>
    <row r="152" spans="1:9">
      <c r="A152">
        <f>RFI_Elements!B154</f>
        <v>2</v>
      </c>
      <c r="B152">
        <f>RFI_Elements!C154</f>
        <v>476</v>
      </c>
      <c r="C152">
        <v>153</v>
      </c>
      <c r="D152" s="128">
        <v>43101.003472222219</v>
      </c>
      <c r="E152" t="e">
        <f>VLOOKUP(VLOOKUP(B152,SuiteCatSubElem!$G$2:$G$667,2,0),'SA Q4 18 VR'!$A$33:$O$193,1+MATCH(VLOOKUP(A152,Vendors!$A$2:$B$15,2,0),'SA Q4 18 VR'!$B$24:$O$24,0),0)</f>
        <v>#REF!</v>
      </c>
      <c r="F152" s="27">
        <v>1</v>
      </c>
      <c r="G152">
        <f>RFI_Elements!N154</f>
        <v>153</v>
      </c>
      <c r="I152" t="e">
        <f>VLOOKUP(B152,SuiteCatSubElem!$G$2:$G$667,2,0)</f>
        <v>#REF!</v>
      </c>
    </row>
    <row r="153" spans="1:9">
      <c r="A153">
        <f>RFI_Elements!B155</f>
        <v>2</v>
      </c>
      <c r="B153">
        <f>RFI_Elements!C155</f>
        <v>477</v>
      </c>
      <c r="C153">
        <v>154</v>
      </c>
      <c r="D153" s="128">
        <v>43101.003472222219</v>
      </c>
      <c r="E153" t="e">
        <f>VLOOKUP(VLOOKUP(B153,SuiteCatSubElem!$G$2:$G$667,2,0),'SA Q4 18 VR'!$A$33:$O$193,1+MATCH(VLOOKUP(A153,Vendors!$A$2:$B$15,2,0),'SA Q4 18 VR'!$B$24:$O$24,0),0)</f>
        <v>#REF!</v>
      </c>
      <c r="F153" s="27">
        <v>1</v>
      </c>
      <c r="G153">
        <f>RFI_Elements!N155</f>
        <v>154</v>
      </c>
      <c r="I153" t="e">
        <f>VLOOKUP(B153,SuiteCatSubElem!$G$2:$G$667,2,0)</f>
        <v>#REF!</v>
      </c>
    </row>
    <row r="154" spans="1:9">
      <c r="A154">
        <f>RFI_Elements!B156</f>
        <v>2</v>
      </c>
      <c r="B154">
        <f>RFI_Elements!C156</f>
        <v>478</v>
      </c>
      <c r="C154">
        <v>155</v>
      </c>
      <c r="D154" s="128">
        <v>43101.003472222219</v>
      </c>
      <c r="E154" t="e">
        <f>VLOOKUP(VLOOKUP(B154,SuiteCatSubElem!$G$2:$G$667,2,0),'SA Q4 18 VR'!$A$33:$O$193,1+MATCH(VLOOKUP(A154,Vendors!$A$2:$B$15,2,0),'SA Q4 18 VR'!$B$24:$O$24,0),0)</f>
        <v>#REF!</v>
      </c>
      <c r="F154" s="27">
        <v>1</v>
      </c>
      <c r="G154">
        <f>RFI_Elements!N156</f>
        <v>155</v>
      </c>
      <c r="I154" t="e">
        <f>VLOOKUP(B154,SuiteCatSubElem!$G$2:$G$667,2,0)</f>
        <v>#REF!</v>
      </c>
    </row>
    <row r="155" spans="1:9">
      <c r="A155">
        <f>RFI_Elements!B157</f>
        <v>2</v>
      </c>
      <c r="B155">
        <f>RFI_Elements!C157</f>
        <v>479</v>
      </c>
      <c r="C155">
        <v>156</v>
      </c>
      <c r="D155" s="128">
        <v>43101.003472222219</v>
      </c>
      <c r="E155" t="e">
        <f>VLOOKUP(VLOOKUP(B155,SuiteCatSubElem!$G$2:$G$667,2,0),'SA Q4 18 VR'!$A$33:$O$193,1+MATCH(VLOOKUP(A155,Vendors!$A$2:$B$15,2,0),'SA Q4 18 VR'!$B$24:$O$24,0),0)</f>
        <v>#REF!</v>
      </c>
      <c r="F155" s="27">
        <v>1</v>
      </c>
      <c r="G155">
        <f>RFI_Elements!N157</f>
        <v>156</v>
      </c>
      <c r="I155" t="e">
        <f>VLOOKUP(B155,SuiteCatSubElem!$G$2:$G$667,2,0)</f>
        <v>#REF!</v>
      </c>
    </row>
    <row r="156" spans="1:9">
      <c r="A156">
        <f>RFI_Elements!B158</f>
        <v>2</v>
      </c>
      <c r="B156">
        <f>RFI_Elements!C158</f>
        <v>480</v>
      </c>
      <c r="C156">
        <v>157</v>
      </c>
      <c r="D156" s="128">
        <v>43101.003472222219</v>
      </c>
      <c r="E156" t="e">
        <f>VLOOKUP(VLOOKUP(B156,SuiteCatSubElem!$G$2:$G$667,2,0),'SA Q4 18 VR'!$A$33:$O$193,1+MATCH(VLOOKUP(A156,Vendors!$A$2:$B$15,2,0),'SA Q4 18 VR'!$B$24:$O$24,0),0)</f>
        <v>#REF!</v>
      </c>
      <c r="F156" s="27">
        <v>1</v>
      </c>
      <c r="G156">
        <f>RFI_Elements!N158</f>
        <v>157</v>
      </c>
      <c r="I156" t="e">
        <f>VLOOKUP(B156,SuiteCatSubElem!$G$2:$G$667,2,0)</f>
        <v>#REF!</v>
      </c>
    </row>
    <row r="157" spans="1:9">
      <c r="A157">
        <f>RFI_Elements!B159</f>
        <v>2</v>
      </c>
      <c r="B157">
        <f>RFI_Elements!C159</f>
        <v>481</v>
      </c>
      <c r="C157">
        <v>158</v>
      </c>
      <c r="D157" s="128">
        <v>43101.003472222219</v>
      </c>
      <c r="E157" t="e">
        <f>VLOOKUP(VLOOKUP(B157,SuiteCatSubElem!$G$2:$G$667,2,0),'SA Q4 18 VR'!$A$33:$O$193,1+MATCH(VLOOKUP(A157,Vendors!$A$2:$B$15,2,0),'SA Q4 18 VR'!$B$24:$O$24,0),0)</f>
        <v>#REF!</v>
      </c>
      <c r="F157" s="27">
        <v>1</v>
      </c>
      <c r="G157">
        <f>RFI_Elements!N159</f>
        <v>158</v>
      </c>
      <c r="I157" t="e">
        <f>VLOOKUP(B157,SuiteCatSubElem!$G$2:$G$667,2,0)</f>
        <v>#REF!</v>
      </c>
    </row>
    <row r="158" spans="1:9">
      <c r="A158">
        <f>RFI_Elements!B160</f>
        <v>2</v>
      </c>
      <c r="B158">
        <f>RFI_Elements!C160</f>
        <v>482</v>
      </c>
      <c r="C158">
        <v>159</v>
      </c>
      <c r="D158" s="128">
        <v>43101.003472222219</v>
      </c>
      <c r="E158" t="e">
        <f>VLOOKUP(VLOOKUP(B158,SuiteCatSubElem!$G$2:$G$667,2,0),'SA Q4 18 VR'!$A$33:$O$193,1+MATCH(VLOOKUP(A158,Vendors!$A$2:$B$15,2,0),'SA Q4 18 VR'!$B$24:$O$24,0),0)</f>
        <v>#REF!</v>
      </c>
      <c r="F158" s="27">
        <v>1</v>
      </c>
      <c r="G158">
        <f>RFI_Elements!N160</f>
        <v>159</v>
      </c>
      <c r="I158" t="e">
        <f>VLOOKUP(B158,SuiteCatSubElem!$G$2:$G$667,2,0)</f>
        <v>#REF!</v>
      </c>
    </row>
    <row r="159" spans="1:9">
      <c r="A159">
        <f>RFI_Elements!B161</f>
        <v>2</v>
      </c>
      <c r="B159">
        <f>RFI_Elements!C161</f>
        <v>483</v>
      </c>
      <c r="C159">
        <v>160</v>
      </c>
      <c r="D159" s="128">
        <v>43101.003472222219</v>
      </c>
      <c r="E159" t="e">
        <f>VLOOKUP(VLOOKUP(B159,SuiteCatSubElem!$G$2:$G$667,2,0),'SA Q4 18 VR'!$A$33:$O$193,1+MATCH(VLOOKUP(A159,Vendors!$A$2:$B$15,2,0),'SA Q4 18 VR'!$B$24:$O$24,0),0)</f>
        <v>#REF!</v>
      </c>
      <c r="F159" s="27">
        <v>1</v>
      </c>
      <c r="G159">
        <f>RFI_Elements!N161</f>
        <v>160</v>
      </c>
      <c r="I159" t="e">
        <f>VLOOKUP(B159,SuiteCatSubElem!$G$2:$G$667,2,0)</f>
        <v>#REF!</v>
      </c>
    </row>
    <row r="160" spans="1:9">
      <c r="A160">
        <f>RFI_Elements!B162</f>
        <v>2</v>
      </c>
      <c r="B160">
        <f>RFI_Elements!C162</f>
        <v>484</v>
      </c>
      <c r="C160">
        <v>161</v>
      </c>
      <c r="D160" s="128">
        <v>43101.003472222219</v>
      </c>
      <c r="E160" t="e">
        <f>VLOOKUP(VLOOKUP(B160,SuiteCatSubElem!$G$2:$G$667,2,0),'SA Q4 18 VR'!$A$33:$O$193,1+MATCH(VLOOKUP(A160,Vendors!$A$2:$B$15,2,0),'SA Q4 18 VR'!$B$24:$O$24,0),0)</f>
        <v>#REF!</v>
      </c>
      <c r="F160" s="27">
        <v>1</v>
      </c>
      <c r="G160">
        <f>RFI_Elements!N162</f>
        <v>161</v>
      </c>
      <c r="I160" t="e">
        <f>VLOOKUP(B160,SuiteCatSubElem!$G$2:$G$667,2,0)</f>
        <v>#REF!</v>
      </c>
    </row>
    <row r="161" spans="1:9">
      <c r="A161">
        <f>RFI_Elements!B163</f>
        <v>2</v>
      </c>
      <c r="B161">
        <f>RFI_Elements!C163</f>
        <v>485</v>
      </c>
      <c r="C161">
        <v>162</v>
      </c>
      <c r="D161" s="128">
        <v>43101.003472222219</v>
      </c>
      <c r="E161" t="e">
        <f>VLOOKUP(VLOOKUP(B161,SuiteCatSubElem!$G$2:$G$667,2,0),'SA Q4 18 VR'!$A$33:$O$193,1+MATCH(VLOOKUP(A161,Vendors!$A$2:$B$15,2,0),'SA Q4 18 VR'!$B$24:$O$24,0),0)</f>
        <v>#REF!</v>
      </c>
      <c r="F161" s="27">
        <v>1</v>
      </c>
      <c r="G161">
        <f>RFI_Elements!N163</f>
        <v>162</v>
      </c>
      <c r="I161" t="e">
        <f>VLOOKUP(B161,SuiteCatSubElem!$G$2:$G$667,2,0)</f>
        <v>#REF!</v>
      </c>
    </row>
    <row r="162" spans="1:9">
      <c r="A162">
        <f>RFI_Elements!B164</f>
        <v>2</v>
      </c>
      <c r="B162">
        <f>RFI_Elements!C164</f>
        <v>486</v>
      </c>
      <c r="C162">
        <v>163</v>
      </c>
      <c r="D162" s="128">
        <v>43101.003472222219</v>
      </c>
      <c r="E162" t="e">
        <f>VLOOKUP(VLOOKUP(B162,SuiteCatSubElem!$G$2:$G$667,2,0),'SA Q4 18 VR'!$A$33:$O$193,1+MATCH(VLOOKUP(A162,Vendors!$A$2:$B$15,2,0),'SA Q4 18 VR'!$B$24:$O$24,0),0)</f>
        <v>#REF!</v>
      </c>
      <c r="F162" s="27">
        <v>1</v>
      </c>
      <c r="G162">
        <f>RFI_Elements!N164</f>
        <v>163</v>
      </c>
      <c r="I162" t="e">
        <f>VLOOKUP(B162,SuiteCatSubElem!$G$2:$G$667,2,0)</f>
        <v>#REF!</v>
      </c>
    </row>
    <row r="163" spans="1:9">
      <c r="A163">
        <f>RFI_Elements!B165</f>
        <v>2</v>
      </c>
      <c r="B163">
        <f>RFI_Elements!C165</f>
        <v>487</v>
      </c>
      <c r="C163">
        <v>164</v>
      </c>
      <c r="D163" s="128">
        <v>43101.003472222219</v>
      </c>
      <c r="E163" t="e">
        <f>VLOOKUP(VLOOKUP(B163,SuiteCatSubElem!$G$2:$G$667,2,0),'SA Q4 18 VR'!$A$33:$O$193,1+MATCH(VLOOKUP(A163,Vendors!$A$2:$B$15,2,0),'SA Q4 18 VR'!$B$24:$O$24,0),0)</f>
        <v>#REF!</v>
      </c>
      <c r="F163" s="27">
        <v>1</v>
      </c>
      <c r="G163">
        <f>RFI_Elements!N165</f>
        <v>164</v>
      </c>
      <c r="I163" t="e">
        <f>VLOOKUP(B163,SuiteCatSubElem!$G$2:$G$667,2,0)</f>
        <v>#REF!</v>
      </c>
    </row>
    <row r="164" spans="1:9">
      <c r="A164">
        <f>RFI_Elements!B166</f>
        <v>2</v>
      </c>
      <c r="B164">
        <f>RFI_Elements!C166</f>
        <v>488</v>
      </c>
      <c r="C164">
        <v>165</v>
      </c>
      <c r="D164" s="128">
        <v>43101.003472222219</v>
      </c>
      <c r="E164" t="e">
        <f>VLOOKUP(VLOOKUP(B164,SuiteCatSubElem!$G$2:$G$667,2,0),'SA Q4 18 VR'!$A$33:$O$193,1+MATCH(VLOOKUP(A164,Vendors!$A$2:$B$15,2,0),'SA Q4 18 VR'!$B$24:$O$24,0),0)</f>
        <v>#REF!</v>
      </c>
      <c r="F164" s="27">
        <v>1</v>
      </c>
      <c r="G164">
        <f>RFI_Elements!N166</f>
        <v>165</v>
      </c>
      <c r="I164" t="e">
        <f>VLOOKUP(B164,SuiteCatSubElem!$G$2:$G$667,2,0)</f>
        <v>#REF!</v>
      </c>
    </row>
    <row r="165" spans="1:9">
      <c r="A165">
        <f>RFI_Elements!B167</f>
        <v>2</v>
      </c>
      <c r="B165">
        <f>RFI_Elements!C167</f>
        <v>489</v>
      </c>
      <c r="C165">
        <v>166</v>
      </c>
      <c r="D165" s="128">
        <v>43101.003472222219</v>
      </c>
      <c r="E165" t="e">
        <f>VLOOKUP(VLOOKUP(B165,SuiteCatSubElem!$G$2:$G$667,2,0),'SA Q4 18 VR'!$A$33:$O$193,1+MATCH(VLOOKUP(A165,Vendors!$A$2:$B$15,2,0),'SA Q4 18 VR'!$B$24:$O$24,0),0)</f>
        <v>#REF!</v>
      </c>
      <c r="F165" s="27">
        <v>1</v>
      </c>
      <c r="G165">
        <f>RFI_Elements!N167</f>
        <v>166</v>
      </c>
      <c r="I165" t="e">
        <f>VLOOKUP(B165,SuiteCatSubElem!$G$2:$G$667,2,0)</f>
        <v>#REF!</v>
      </c>
    </row>
    <row r="166" spans="1:9">
      <c r="A166">
        <f>RFI_Elements!B168</f>
        <v>2</v>
      </c>
      <c r="B166">
        <f>RFI_Elements!C168</f>
        <v>490</v>
      </c>
      <c r="C166">
        <v>167</v>
      </c>
      <c r="D166" s="128">
        <v>43101.003472222219</v>
      </c>
      <c r="E166" t="e">
        <f>VLOOKUP(VLOOKUP(B166,SuiteCatSubElem!$G$2:$G$667,2,0),'SA Q4 18 VR'!$A$33:$O$193,1+MATCH(VLOOKUP(A166,Vendors!$A$2:$B$15,2,0),'SA Q4 18 VR'!$B$24:$O$24,0),0)</f>
        <v>#REF!</v>
      </c>
      <c r="F166" s="27">
        <v>1</v>
      </c>
      <c r="G166">
        <f>RFI_Elements!N168</f>
        <v>167</v>
      </c>
      <c r="I166" t="e">
        <f>VLOOKUP(B166,SuiteCatSubElem!$G$2:$G$667,2,0)</f>
        <v>#REF!</v>
      </c>
    </row>
    <row r="167" spans="1:9">
      <c r="A167">
        <f>RFI_Elements!B169</f>
        <v>2</v>
      </c>
      <c r="B167">
        <f>RFI_Elements!C169</f>
        <v>491</v>
      </c>
      <c r="C167">
        <v>168</v>
      </c>
      <c r="D167" s="128">
        <v>43101.003472222219</v>
      </c>
      <c r="E167" t="e">
        <f>VLOOKUP(VLOOKUP(B167,SuiteCatSubElem!$G$2:$G$667,2,0),'SA Q4 18 VR'!$A$33:$O$193,1+MATCH(VLOOKUP(A167,Vendors!$A$2:$B$15,2,0),'SA Q4 18 VR'!$B$24:$O$24,0),0)</f>
        <v>#REF!</v>
      </c>
      <c r="F167" s="27">
        <v>1</v>
      </c>
      <c r="G167">
        <f>RFI_Elements!N169</f>
        <v>168</v>
      </c>
      <c r="I167" t="e">
        <f>VLOOKUP(B167,SuiteCatSubElem!$G$2:$G$667,2,0)</f>
        <v>#REF!</v>
      </c>
    </row>
    <row r="168" spans="1:9">
      <c r="A168">
        <f>RFI_Elements!B170</f>
        <v>2</v>
      </c>
      <c r="B168">
        <f>RFI_Elements!C170</f>
        <v>492</v>
      </c>
      <c r="C168">
        <v>169</v>
      </c>
      <c r="D168" s="128">
        <v>43101.003472222219</v>
      </c>
      <c r="E168" t="e">
        <f>VLOOKUP(VLOOKUP(B168,SuiteCatSubElem!$G$2:$G$667,2,0),'SA Q4 18 VR'!$A$33:$O$193,1+MATCH(VLOOKUP(A168,Vendors!$A$2:$B$15,2,0),'SA Q4 18 VR'!$B$24:$O$24,0),0)</f>
        <v>#REF!</v>
      </c>
      <c r="F168" s="27">
        <v>1</v>
      </c>
      <c r="G168">
        <f>RFI_Elements!N170</f>
        <v>169</v>
      </c>
      <c r="I168" t="e">
        <f>VLOOKUP(B168,SuiteCatSubElem!$G$2:$G$667,2,0)</f>
        <v>#REF!</v>
      </c>
    </row>
    <row r="169" spans="1:9">
      <c r="A169">
        <f>RFI_Elements!B171</f>
        <v>2</v>
      </c>
      <c r="B169">
        <f>RFI_Elements!C171</f>
        <v>493</v>
      </c>
      <c r="C169">
        <v>170</v>
      </c>
      <c r="D169" s="128">
        <v>43101.003472222219</v>
      </c>
      <c r="E169" t="e">
        <f>VLOOKUP(VLOOKUP(B169,SuiteCatSubElem!$G$2:$G$667,2,0),'SA Q4 18 VR'!$A$33:$O$193,1+MATCH(VLOOKUP(A169,Vendors!$A$2:$B$15,2,0),'SA Q4 18 VR'!$B$24:$O$24,0),0)</f>
        <v>#REF!</v>
      </c>
      <c r="F169" s="27">
        <v>1</v>
      </c>
      <c r="G169">
        <f>RFI_Elements!N171</f>
        <v>170</v>
      </c>
      <c r="I169" t="e">
        <f>VLOOKUP(B169,SuiteCatSubElem!$G$2:$G$667,2,0)</f>
        <v>#REF!</v>
      </c>
    </row>
    <row r="170" spans="1:9">
      <c r="A170">
        <f>RFI_Elements!B172</f>
        <v>3</v>
      </c>
      <c r="B170">
        <f>RFI_Elements!C172</f>
        <v>409</v>
      </c>
      <c r="C170">
        <v>171</v>
      </c>
      <c r="D170" s="128">
        <v>43101.003472222219</v>
      </c>
      <c r="E170" t="e">
        <f>VLOOKUP(VLOOKUP(B170,SuiteCatSubElem!$G$2:$G$667,2,0),'SA Q4 18 VR'!$A$33:$O$193,1+MATCH(VLOOKUP(A170,Vendors!$A$2:$B$15,2,0),'SA Q4 18 VR'!$B$24:$O$24,0),0)</f>
        <v>#REF!</v>
      </c>
      <c r="F170" s="27">
        <v>1</v>
      </c>
      <c r="G170">
        <f>RFI_Elements!N172</f>
        <v>171</v>
      </c>
      <c r="I170" t="e">
        <f>VLOOKUP(B170,SuiteCatSubElem!$G$2:$G$667,2,0)</f>
        <v>#REF!</v>
      </c>
    </row>
    <row r="171" spans="1:9">
      <c r="A171">
        <f>RFI_Elements!B173</f>
        <v>3</v>
      </c>
      <c r="B171">
        <f>RFI_Elements!C173</f>
        <v>410</v>
      </c>
      <c r="C171">
        <v>172</v>
      </c>
      <c r="D171" s="128">
        <v>43101.003472222219</v>
      </c>
      <c r="E171" t="e">
        <f>VLOOKUP(VLOOKUP(B171,SuiteCatSubElem!$G$2:$G$667,2,0),'SA Q4 18 VR'!$A$33:$O$193,1+MATCH(VLOOKUP(A171,Vendors!$A$2:$B$15,2,0),'SA Q4 18 VR'!$B$24:$O$24,0),0)</f>
        <v>#REF!</v>
      </c>
      <c r="F171" s="27">
        <v>1</v>
      </c>
      <c r="G171">
        <f>RFI_Elements!N173</f>
        <v>172</v>
      </c>
      <c r="I171" t="e">
        <f>VLOOKUP(B171,SuiteCatSubElem!$G$2:$G$667,2,0)</f>
        <v>#REF!</v>
      </c>
    </row>
    <row r="172" spans="1:9">
      <c r="A172">
        <f>RFI_Elements!B174</f>
        <v>3</v>
      </c>
      <c r="B172">
        <f>RFI_Elements!C174</f>
        <v>411</v>
      </c>
      <c r="C172">
        <v>173</v>
      </c>
      <c r="D172" s="128">
        <v>43101.003472222219</v>
      </c>
      <c r="E172" t="e">
        <f>VLOOKUP(VLOOKUP(B172,SuiteCatSubElem!$G$2:$G$667,2,0),'SA Q4 18 VR'!$A$33:$O$193,1+MATCH(VLOOKUP(A172,Vendors!$A$2:$B$15,2,0),'SA Q4 18 VR'!$B$24:$O$24,0),0)</f>
        <v>#REF!</v>
      </c>
      <c r="F172" s="27">
        <v>1</v>
      </c>
      <c r="G172">
        <f>RFI_Elements!N174</f>
        <v>173</v>
      </c>
      <c r="I172" t="e">
        <f>VLOOKUP(B172,SuiteCatSubElem!$G$2:$G$667,2,0)</f>
        <v>#REF!</v>
      </c>
    </row>
    <row r="173" spans="1:9">
      <c r="A173">
        <f>RFI_Elements!B175</f>
        <v>3</v>
      </c>
      <c r="B173">
        <f>RFI_Elements!C175</f>
        <v>412</v>
      </c>
      <c r="C173">
        <v>174</v>
      </c>
      <c r="D173" s="128">
        <v>43101.003472222219</v>
      </c>
      <c r="E173" t="e">
        <f>VLOOKUP(VLOOKUP(B173,SuiteCatSubElem!$G$2:$G$667,2,0),'SA Q4 18 VR'!$A$33:$O$193,1+MATCH(VLOOKUP(A173,Vendors!$A$2:$B$15,2,0),'SA Q4 18 VR'!$B$24:$O$24,0),0)</f>
        <v>#REF!</v>
      </c>
      <c r="F173" s="27">
        <v>1</v>
      </c>
      <c r="G173">
        <f>RFI_Elements!N175</f>
        <v>174</v>
      </c>
      <c r="I173" t="e">
        <f>VLOOKUP(B173,SuiteCatSubElem!$G$2:$G$667,2,0)</f>
        <v>#REF!</v>
      </c>
    </row>
    <row r="174" spans="1:9">
      <c r="A174">
        <f>RFI_Elements!B176</f>
        <v>3</v>
      </c>
      <c r="B174">
        <f>RFI_Elements!C176</f>
        <v>413</v>
      </c>
      <c r="C174">
        <v>175</v>
      </c>
      <c r="D174" s="128">
        <v>43101.003472222219</v>
      </c>
      <c r="E174" t="e">
        <f>VLOOKUP(VLOOKUP(B174,SuiteCatSubElem!$G$2:$G$667,2,0),'SA Q4 18 VR'!$A$33:$O$193,1+MATCH(VLOOKUP(A174,Vendors!$A$2:$B$15,2,0),'SA Q4 18 VR'!$B$24:$O$24,0),0)</f>
        <v>#REF!</v>
      </c>
      <c r="F174" s="27">
        <v>1</v>
      </c>
      <c r="G174">
        <f>RFI_Elements!N176</f>
        <v>175</v>
      </c>
      <c r="I174" t="e">
        <f>VLOOKUP(B174,SuiteCatSubElem!$G$2:$G$667,2,0)</f>
        <v>#REF!</v>
      </c>
    </row>
    <row r="175" spans="1:9">
      <c r="A175">
        <f>RFI_Elements!B177</f>
        <v>3</v>
      </c>
      <c r="B175">
        <f>RFI_Elements!C177</f>
        <v>414</v>
      </c>
      <c r="C175">
        <v>176</v>
      </c>
      <c r="D175" s="128">
        <v>43101.003472222219</v>
      </c>
      <c r="E175" t="e">
        <f>VLOOKUP(VLOOKUP(B175,SuiteCatSubElem!$G$2:$G$667,2,0),'SA Q4 18 VR'!$A$33:$O$193,1+MATCH(VLOOKUP(A175,Vendors!$A$2:$B$15,2,0),'SA Q4 18 VR'!$B$24:$O$24,0),0)</f>
        <v>#REF!</v>
      </c>
      <c r="F175" s="27">
        <v>1</v>
      </c>
      <c r="G175">
        <f>RFI_Elements!N177</f>
        <v>176</v>
      </c>
      <c r="I175" t="e">
        <f>VLOOKUP(B175,SuiteCatSubElem!$G$2:$G$667,2,0)</f>
        <v>#REF!</v>
      </c>
    </row>
    <row r="176" spans="1:9">
      <c r="A176">
        <f>RFI_Elements!B178</f>
        <v>3</v>
      </c>
      <c r="B176">
        <f>RFI_Elements!C178</f>
        <v>415</v>
      </c>
      <c r="C176">
        <v>177</v>
      </c>
      <c r="D176" s="128">
        <v>43101.003472222219</v>
      </c>
      <c r="E176" t="e">
        <f>VLOOKUP(VLOOKUP(B176,SuiteCatSubElem!$G$2:$G$667,2,0),'SA Q4 18 VR'!$A$33:$O$193,1+MATCH(VLOOKUP(A176,Vendors!$A$2:$B$15,2,0),'SA Q4 18 VR'!$B$24:$O$24,0),0)</f>
        <v>#REF!</v>
      </c>
      <c r="F176" s="27">
        <v>1</v>
      </c>
      <c r="G176">
        <f>RFI_Elements!N178</f>
        <v>177</v>
      </c>
      <c r="I176" t="e">
        <f>VLOOKUP(B176,SuiteCatSubElem!$G$2:$G$667,2,0)</f>
        <v>#REF!</v>
      </c>
    </row>
    <row r="177" spans="1:9">
      <c r="A177">
        <f>RFI_Elements!B179</f>
        <v>3</v>
      </c>
      <c r="B177">
        <f>RFI_Elements!C179</f>
        <v>416</v>
      </c>
      <c r="C177">
        <v>178</v>
      </c>
      <c r="D177" s="128">
        <v>43101.003472222219</v>
      </c>
      <c r="E177" t="e">
        <f>VLOOKUP(VLOOKUP(B177,SuiteCatSubElem!$G$2:$G$667,2,0),'SA Q4 18 VR'!$A$33:$O$193,1+MATCH(VLOOKUP(A177,Vendors!$A$2:$B$15,2,0),'SA Q4 18 VR'!$B$24:$O$24,0),0)</f>
        <v>#REF!</v>
      </c>
      <c r="F177" s="27">
        <v>1</v>
      </c>
      <c r="G177">
        <f>RFI_Elements!N179</f>
        <v>178</v>
      </c>
      <c r="I177" t="e">
        <f>VLOOKUP(B177,SuiteCatSubElem!$G$2:$G$667,2,0)</f>
        <v>#REF!</v>
      </c>
    </row>
    <row r="178" spans="1:9">
      <c r="A178">
        <f>RFI_Elements!B180</f>
        <v>3</v>
      </c>
      <c r="B178">
        <f>RFI_Elements!C180</f>
        <v>417</v>
      </c>
      <c r="C178">
        <v>179</v>
      </c>
      <c r="D178" s="128">
        <v>43101.003472222219</v>
      </c>
      <c r="E178" t="e">
        <f>VLOOKUP(VLOOKUP(B178,SuiteCatSubElem!$G$2:$G$667,2,0),'SA Q4 18 VR'!$A$33:$O$193,1+MATCH(VLOOKUP(A178,Vendors!$A$2:$B$15,2,0),'SA Q4 18 VR'!$B$24:$O$24,0),0)</f>
        <v>#REF!</v>
      </c>
      <c r="F178" s="27">
        <v>1</v>
      </c>
      <c r="G178">
        <f>RFI_Elements!N180</f>
        <v>179</v>
      </c>
      <c r="I178" t="e">
        <f>VLOOKUP(B178,SuiteCatSubElem!$G$2:$G$667,2,0)</f>
        <v>#REF!</v>
      </c>
    </row>
    <row r="179" spans="1:9">
      <c r="A179">
        <f>RFI_Elements!B181</f>
        <v>3</v>
      </c>
      <c r="B179">
        <f>RFI_Elements!C181</f>
        <v>418</v>
      </c>
      <c r="C179">
        <v>180</v>
      </c>
      <c r="D179" s="128">
        <v>43101.003472222219</v>
      </c>
      <c r="E179" t="e">
        <f>VLOOKUP(VLOOKUP(B179,SuiteCatSubElem!$G$2:$G$667,2,0),'SA Q4 18 VR'!$A$33:$O$193,1+MATCH(VLOOKUP(A179,Vendors!$A$2:$B$15,2,0),'SA Q4 18 VR'!$B$24:$O$24,0),0)</f>
        <v>#REF!</v>
      </c>
      <c r="F179" s="27">
        <v>1</v>
      </c>
      <c r="G179">
        <f>RFI_Elements!N181</f>
        <v>180</v>
      </c>
      <c r="I179" t="e">
        <f>VLOOKUP(B179,SuiteCatSubElem!$G$2:$G$667,2,0)</f>
        <v>#REF!</v>
      </c>
    </row>
    <row r="180" spans="1:9">
      <c r="A180">
        <f>RFI_Elements!B182</f>
        <v>3</v>
      </c>
      <c r="B180">
        <f>RFI_Elements!C182</f>
        <v>419</v>
      </c>
      <c r="C180">
        <v>181</v>
      </c>
      <c r="D180" s="128">
        <v>43101.003472222219</v>
      </c>
      <c r="E180" t="e">
        <f>VLOOKUP(VLOOKUP(B180,SuiteCatSubElem!$G$2:$G$667,2,0),'SA Q4 18 VR'!$A$33:$O$193,1+MATCH(VLOOKUP(A180,Vendors!$A$2:$B$15,2,0),'SA Q4 18 VR'!$B$24:$O$24,0),0)</f>
        <v>#REF!</v>
      </c>
      <c r="F180" s="27">
        <v>1</v>
      </c>
      <c r="G180">
        <f>RFI_Elements!N182</f>
        <v>181</v>
      </c>
      <c r="I180" t="e">
        <f>VLOOKUP(B180,SuiteCatSubElem!$G$2:$G$667,2,0)</f>
        <v>#REF!</v>
      </c>
    </row>
    <row r="181" spans="1:9">
      <c r="A181">
        <f>RFI_Elements!B183</f>
        <v>3</v>
      </c>
      <c r="B181">
        <f>RFI_Elements!C183</f>
        <v>420</v>
      </c>
      <c r="C181">
        <v>182</v>
      </c>
      <c r="D181" s="128">
        <v>43101.003472222219</v>
      </c>
      <c r="E181" t="e">
        <f>VLOOKUP(VLOOKUP(B181,SuiteCatSubElem!$G$2:$G$667,2,0),'SA Q4 18 VR'!$A$33:$O$193,1+MATCH(VLOOKUP(A181,Vendors!$A$2:$B$15,2,0),'SA Q4 18 VR'!$B$24:$O$24,0),0)</f>
        <v>#REF!</v>
      </c>
      <c r="F181" s="27">
        <v>1</v>
      </c>
      <c r="G181">
        <f>RFI_Elements!N183</f>
        <v>182</v>
      </c>
      <c r="I181" t="e">
        <f>VLOOKUP(B181,SuiteCatSubElem!$G$2:$G$667,2,0)</f>
        <v>#REF!</v>
      </c>
    </row>
    <row r="182" spans="1:9">
      <c r="A182">
        <f>RFI_Elements!B184</f>
        <v>3</v>
      </c>
      <c r="B182">
        <f>RFI_Elements!C184</f>
        <v>421</v>
      </c>
      <c r="C182">
        <v>183</v>
      </c>
      <c r="D182" s="128">
        <v>43101.003472222219</v>
      </c>
      <c r="E182" t="e">
        <f>VLOOKUP(VLOOKUP(B182,SuiteCatSubElem!$G$2:$G$667,2,0),'SA Q4 18 VR'!$A$33:$O$193,1+MATCH(VLOOKUP(A182,Vendors!$A$2:$B$15,2,0),'SA Q4 18 VR'!$B$24:$O$24,0),0)</f>
        <v>#REF!</v>
      </c>
      <c r="F182" s="27">
        <v>1</v>
      </c>
      <c r="G182">
        <f>RFI_Elements!N184</f>
        <v>183</v>
      </c>
      <c r="I182" t="e">
        <f>VLOOKUP(B182,SuiteCatSubElem!$G$2:$G$667,2,0)</f>
        <v>#REF!</v>
      </c>
    </row>
    <row r="183" spans="1:9">
      <c r="A183">
        <f>RFI_Elements!B185</f>
        <v>3</v>
      </c>
      <c r="B183">
        <f>RFI_Elements!C185</f>
        <v>422</v>
      </c>
      <c r="C183">
        <v>184</v>
      </c>
      <c r="D183" s="128">
        <v>43101.003472222219</v>
      </c>
      <c r="E183" t="e">
        <f>VLOOKUP(VLOOKUP(B183,SuiteCatSubElem!$G$2:$G$667,2,0),'SA Q4 18 VR'!$A$33:$O$193,1+MATCH(VLOOKUP(A183,Vendors!$A$2:$B$15,2,0),'SA Q4 18 VR'!$B$24:$O$24,0),0)</f>
        <v>#REF!</v>
      </c>
      <c r="F183" s="27">
        <v>1</v>
      </c>
      <c r="G183">
        <f>RFI_Elements!N185</f>
        <v>184</v>
      </c>
      <c r="I183" t="e">
        <f>VLOOKUP(B183,SuiteCatSubElem!$G$2:$G$667,2,0)</f>
        <v>#REF!</v>
      </c>
    </row>
    <row r="184" spans="1:9">
      <c r="A184">
        <f>RFI_Elements!B186</f>
        <v>3</v>
      </c>
      <c r="B184">
        <f>RFI_Elements!C186</f>
        <v>423</v>
      </c>
      <c r="C184">
        <v>185</v>
      </c>
      <c r="D184" s="128">
        <v>43101.003472222219</v>
      </c>
      <c r="E184" t="e">
        <f>VLOOKUP(VLOOKUP(B184,SuiteCatSubElem!$G$2:$G$667,2,0),'SA Q4 18 VR'!$A$33:$O$193,1+MATCH(VLOOKUP(A184,Vendors!$A$2:$B$15,2,0),'SA Q4 18 VR'!$B$24:$O$24,0),0)</f>
        <v>#REF!</v>
      </c>
      <c r="F184" s="27">
        <v>1</v>
      </c>
      <c r="G184">
        <f>RFI_Elements!N186</f>
        <v>185</v>
      </c>
      <c r="I184" t="e">
        <f>VLOOKUP(B184,SuiteCatSubElem!$G$2:$G$667,2,0)</f>
        <v>#REF!</v>
      </c>
    </row>
    <row r="185" spans="1:9">
      <c r="A185">
        <f>RFI_Elements!B187</f>
        <v>3</v>
      </c>
      <c r="B185">
        <f>RFI_Elements!C187</f>
        <v>424</v>
      </c>
      <c r="C185">
        <v>186</v>
      </c>
      <c r="D185" s="128">
        <v>43101.003472222219</v>
      </c>
      <c r="E185" t="e">
        <f>VLOOKUP(VLOOKUP(B185,SuiteCatSubElem!$G$2:$G$667,2,0),'SA Q4 18 VR'!$A$33:$O$193,1+MATCH(VLOOKUP(A185,Vendors!$A$2:$B$15,2,0),'SA Q4 18 VR'!$B$24:$O$24,0),0)</f>
        <v>#REF!</v>
      </c>
      <c r="F185" s="27">
        <v>1</v>
      </c>
      <c r="G185">
        <f>RFI_Elements!N187</f>
        <v>186</v>
      </c>
      <c r="I185" t="e">
        <f>VLOOKUP(B185,SuiteCatSubElem!$G$2:$G$667,2,0)</f>
        <v>#REF!</v>
      </c>
    </row>
    <row r="186" spans="1:9">
      <c r="A186">
        <f>RFI_Elements!B188</f>
        <v>3</v>
      </c>
      <c r="B186">
        <f>RFI_Elements!C188</f>
        <v>425</v>
      </c>
      <c r="C186">
        <v>187</v>
      </c>
      <c r="D186" s="128">
        <v>43101.003472222219</v>
      </c>
      <c r="E186" t="e">
        <f>VLOOKUP(VLOOKUP(B186,SuiteCatSubElem!$G$2:$G$667,2,0),'SA Q4 18 VR'!$A$33:$O$193,1+MATCH(VLOOKUP(A186,Vendors!$A$2:$B$15,2,0),'SA Q4 18 VR'!$B$24:$O$24,0),0)</f>
        <v>#REF!</v>
      </c>
      <c r="F186" s="27">
        <v>1</v>
      </c>
      <c r="G186">
        <f>RFI_Elements!N188</f>
        <v>187</v>
      </c>
      <c r="I186" t="e">
        <f>VLOOKUP(B186,SuiteCatSubElem!$G$2:$G$667,2,0)</f>
        <v>#REF!</v>
      </c>
    </row>
    <row r="187" spans="1:9">
      <c r="A187">
        <f>RFI_Elements!B189</f>
        <v>3</v>
      </c>
      <c r="B187">
        <f>RFI_Elements!C189</f>
        <v>426</v>
      </c>
      <c r="C187">
        <v>188</v>
      </c>
      <c r="D187" s="128">
        <v>43101.003472222219</v>
      </c>
      <c r="E187" t="e">
        <f>VLOOKUP(VLOOKUP(B187,SuiteCatSubElem!$G$2:$G$667,2,0),'SA Q4 18 VR'!$A$33:$O$193,1+MATCH(VLOOKUP(A187,Vendors!$A$2:$B$15,2,0),'SA Q4 18 VR'!$B$24:$O$24,0),0)</f>
        <v>#REF!</v>
      </c>
      <c r="F187" s="27">
        <v>1</v>
      </c>
      <c r="G187">
        <f>RFI_Elements!N189</f>
        <v>188</v>
      </c>
      <c r="I187" t="e">
        <f>VLOOKUP(B187,SuiteCatSubElem!$G$2:$G$667,2,0)</f>
        <v>#REF!</v>
      </c>
    </row>
    <row r="188" spans="1:9">
      <c r="A188">
        <f>RFI_Elements!B190</f>
        <v>3</v>
      </c>
      <c r="B188">
        <f>RFI_Elements!C190</f>
        <v>427</v>
      </c>
      <c r="C188">
        <v>189</v>
      </c>
      <c r="D188" s="128">
        <v>43101.003472222219</v>
      </c>
      <c r="E188" t="e">
        <f>VLOOKUP(VLOOKUP(B188,SuiteCatSubElem!$G$2:$G$667,2,0),'SA Q4 18 VR'!$A$33:$O$193,1+MATCH(VLOOKUP(A188,Vendors!$A$2:$B$15,2,0),'SA Q4 18 VR'!$B$24:$O$24,0),0)</f>
        <v>#REF!</v>
      </c>
      <c r="F188" s="27">
        <v>1</v>
      </c>
      <c r="G188">
        <f>RFI_Elements!N190</f>
        <v>189</v>
      </c>
      <c r="I188" t="e">
        <f>VLOOKUP(B188,SuiteCatSubElem!$G$2:$G$667,2,0)</f>
        <v>#REF!</v>
      </c>
    </row>
    <row r="189" spans="1:9">
      <c r="A189">
        <f>RFI_Elements!B191</f>
        <v>3</v>
      </c>
      <c r="B189">
        <f>RFI_Elements!C191</f>
        <v>428</v>
      </c>
      <c r="C189">
        <v>190</v>
      </c>
      <c r="D189" s="128">
        <v>43101.003472222219</v>
      </c>
      <c r="E189" t="e">
        <f>VLOOKUP(VLOOKUP(B189,SuiteCatSubElem!$G$2:$G$667,2,0),'SA Q4 18 VR'!$A$33:$O$193,1+MATCH(VLOOKUP(A189,Vendors!$A$2:$B$15,2,0),'SA Q4 18 VR'!$B$24:$O$24,0),0)</f>
        <v>#REF!</v>
      </c>
      <c r="F189" s="27">
        <v>1</v>
      </c>
      <c r="G189">
        <f>RFI_Elements!N191</f>
        <v>190</v>
      </c>
      <c r="I189" t="e">
        <f>VLOOKUP(B189,SuiteCatSubElem!$G$2:$G$667,2,0)</f>
        <v>#REF!</v>
      </c>
    </row>
    <row r="190" spans="1:9">
      <c r="A190">
        <f>RFI_Elements!B192</f>
        <v>3</v>
      </c>
      <c r="B190">
        <f>RFI_Elements!C192</f>
        <v>429</v>
      </c>
      <c r="C190">
        <v>191</v>
      </c>
      <c r="D190" s="128">
        <v>43101.003472222219</v>
      </c>
      <c r="E190" t="e">
        <f>VLOOKUP(VLOOKUP(B190,SuiteCatSubElem!$G$2:$G$667,2,0),'SA Q4 18 VR'!$A$33:$O$193,1+MATCH(VLOOKUP(A190,Vendors!$A$2:$B$15,2,0),'SA Q4 18 VR'!$B$24:$O$24,0),0)</f>
        <v>#REF!</v>
      </c>
      <c r="F190" s="27">
        <v>1</v>
      </c>
      <c r="G190">
        <f>RFI_Elements!N192</f>
        <v>191</v>
      </c>
      <c r="I190" t="e">
        <f>VLOOKUP(B190,SuiteCatSubElem!$G$2:$G$667,2,0)</f>
        <v>#REF!</v>
      </c>
    </row>
    <row r="191" spans="1:9">
      <c r="A191">
        <f>RFI_Elements!B193</f>
        <v>3</v>
      </c>
      <c r="B191">
        <f>RFI_Elements!C193</f>
        <v>430</v>
      </c>
      <c r="C191">
        <v>192</v>
      </c>
      <c r="D191" s="128">
        <v>43101.003472222219</v>
      </c>
      <c r="E191" t="e">
        <f>VLOOKUP(VLOOKUP(B191,SuiteCatSubElem!$G$2:$G$667,2,0),'SA Q4 18 VR'!$A$33:$O$193,1+MATCH(VLOOKUP(A191,Vendors!$A$2:$B$15,2,0),'SA Q4 18 VR'!$B$24:$O$24,0),0)</f>
        <v>#REF!</v>
      </c>
      <c r="F191" s="27">
        <v>1</v>
      </c>
      <c r="G191">
        <f>RFI_Elements!N193</f>
        <v>192</v>
      </c>
      <c r="I191" t="e">
        <f>VLOOKUP(B191,SuiteCatSubElem!$G$2:$G$667,2,0)</f>
        <v>#REF!</v>
      </c>
    </row>
    <row r="192" spans="1:9">
      <c r="A192">
        <f>RFI_Elements!B194</f>
        <v>3</v>
      </c>
      <c r="B192">
        <f>RFI_Elements!C194</f>
        <v>431</v>
      </c>
      <c r="C192">
        <v>193</v>
      </c>
      <c r="D192" s="128">
        <v>43101.003472222219</v>
      </c>
      <c r="E192" t="e">
        <f>VLOOKUP(VLOOKUP(B192,SuiteCatSubElem!$G$2:$G$667,2,0),'SA Q4 18 VR'!$A$33:$O$193,1+MATCH(VLOOKUP(A192,Vendors!$A$2:$B$15,2,0),'SA Q4 18 VR'!$B$24:$O$24,0),0)</f>
        <v>#REF!</v>
      </c>
      <c r="F192" s="27">
        <v>1</v>
      </c>
      <c r="G192">
        <f>RFI_Elements!N194</f>
        <v>193</v>
      </c>
      <c r="I192" t="e">
        <f>VLOOKUP(B192,SuiteCatSubElem!$G$2:$G$667,2,0)</f>
        <v>#REF!</v>
      </c>
    </row>
    <row r="193" spans="1:9">
      <c r="A193">
        <f>RFI_Elements!B195</f>
        <v>3</v>
      </c>
      <c r="B193">
        <f>RFI_Elements!C195</f>
        <v>432</v>
      </c>
      <c r="C193">
        <v>194</v>
      </c>
      <c r="D193" s="128">
        <v>43101.003472222219</v>
      </c>
      <c r="E193" t="e">
        <f>VLOOKUP(VLOOKUP(B193,SuiteCatSubElem!$G$2:$G$667,2,0),'SA Q4 18 VR'!$A$33:$O$193,1+MATCH(VLOOKUP(A193,Vendors!$A$2:$B$15,2,0),'SA Q4 18 VR'!$B$24:$O$24,0),0)</f>
        <v>#REF!</v>
      </c>
      <c r="F193" s="27">
        <v>1</v>
      </c>
      <c r="G193">
        <f>RFI_Elements!N195</f>
        <v>194</v>
      </c>
      <c r="I193" t="e">
        <f>VLOOKUP(B193,SuiteCatSubElem!$G$2:$G$667,2,0)</f>
        <v>#REF!</v>
      </c>
    </row>
    <row r="194" spans="1:9">
      <c r="A194">
        <f>RFI_Elements!B196</f>
        <v>3</v>
      </c>
      <c r="B194">
        <f>RFI_Elements!C196</f>
        <v>433</v>
      </c>
      <c r="C194">
        <v>195</v>
      </c>
      <c r="D194" s="128">
        <v>43101.003472222219</v>
      </c>
      <c r="E194" t="e">
        <f>VLOOKUP(VLOOKUP(B194,SuiteCatSubElem!$G$2:$G$667,2,0),'SA Q4 18 VR'!$A$33:$O$193,1+MATCH(VLOOKUP(A194,Vendors!$A$2:$B$15,2,0),'SA Q4 18 VR'!$B$24:$O$24,0),0)</f>
        <v>#REF!</v>
      </c>
      <c r="F194" s="27">
        <v>1</v>
      </c>
      <c r="G194">
        <f>RFI_Elements!N196</f>
        <v>195</v>
      </c>
      <c r="I194" t="e">
        <f>VLOOKUP(B194,SuiteCatSubElem!$G$2:$G$667,2,0)</f>
        <v>#REF!</v>
      </c>
    </row>
    <row r="195" spans="1:9">
      <c r="A195">
        <f>RFI_Elements!B197</f>
        <v>3</v>
      </c>
      <c r="B195">
        <f>RFI_Elements!C197</f>
        <v>434</v>
      </c>
      <c r="C195">
        <v>196</v>
      </c>
      <c r="D195" s="128">
        <v>43101.003472222219</v>
      </c>
      <c r="E195" t="e">
        <f>VLOOKUP(VLOOKUP(B195,SuiteCatSubElem!$G$2:$G$667,2,0),'SA Q4 18 VR'!$A$33:$O$193,1+MATCH(VLOOKUP(A195,Vendors!$A$2:$B$15,2,0),'SA Q4 18 VR'!$B$24:$O$24,0),0)</f>
        <v>#REF!</v>
      </c>
      <c r="F195" s="27">
        <v>1</v>
      </c>
      <c r="G195">
        <f>RFI_Elements!N197</f>
        <v>196</v>
      </c>
      <c r="I195" t="e">
        <f>VLOOKUP(B195,SuiteCatSubElem!$G$2:$G$667,2,0)</f>
        <v>#REF!</v>
      </c>
    </row>
    <row r="196" spans="1:9">
      <c r="A196">
        <f>RFI_Elements!B198</f>
        <v>3</v>
      </c>
      <c r="B196">
        <f>RFI_Elements!C198</f>
        <v>435</v>
      </c>
      <c r="C196">
        <v>197</v>
      </c>
      <c r="D196" s="128">
        <v>43101.003472222219</v>
      </c>
      <c r="E196" t="e">
        <f>VLOOKUP(VLOOKUP(B196,SuiteCatSubElem!$G$2:$G$667,2,0),'SA Q4 18 VR'!$A$33:$O$193,1+MATCH(VLOOKUP(A196,Vendors!$A$2:$B$15,2,0),'SA Q4 18 VR'!$B$24:$O$24,0),0)</f>
        <v>#REF!</v>
      </c>
      <c r="F196" s="27">
        <v>1</v>
      </c>
      <c r="G196">
        <f>RFI_Elements!N198</f>
        <v>197</v>
      </c>
      <c r="I196" t="e">
        <f>VLOOKUP(B196,SuiteCatSubElem!$G$2:$G$667,2,0)</f>
        <v>#REF!</v>
      </c>
    </row>
    <row r="197" spans="1:9">
      <c r="A197">
        <f>RFI_Elements!B199</f>
        <v>3</v>
      </c>
      <c r="B197">
        <f>RFI_Elements!C199</f>
        <v>436</v>
      </c>
      <c r="C197">
        <v>198</v>
      </c>
      <c r="D197" s="128">
        <v>43101.003472222219</v>
      </c>
      <c r="E197" t="e">
        <f>VLOOKUP(VLOOKUP(B197,SuiteCatSubElem!$G$2:$G$667,2,0),'SA Q4 18 VR'!$A$33:$O$193,1+MATCH(VLOOKUP(A197,Vendors!$A$2:$B$15,2,0),'SA Q4 18 VR'!$B$24:$O$24,0),0)</f>
        <v>#REF!</v>
      </c>
      <c r="F197" s="27">
        <v>1</v>
      </c>
      <c r="G197">
        <f>RFI_Elements!N199</f>
        <v>198</v>
      </c>
      <c r="I197" t="e">
        <f>VLOOKUP(B197,SuiteCatSubElem!$G$2:$G$667,2,0)</f>
        <v>#REF!</v>
      </c>
    </row>
    <row r="198" spans="1:9">
      <c r="A198">
        <f>RFI_Elements!B200</f>
        <v>3</v>
      </c>
      <c r="B198">
        <f>RFI_Elements!C200</f>
        <v>437</v>
      </c>
      <c r="C198">
        <v>199</v>
      </c>
      <c r="D198" s="128">
        <v>43101.003472222219</v>
      </c>
      <c r="E198" t="e">
        <f>VLOOKUP(VLOOKUP(B198,SuiteCatSubElem!$G$2:$G$667,2,0),'SA Q4 18 VR'!$A$33:$O$193,1+MATCH(VLOOKUP(A198,Vendors!$A$2:$B$15,2,0),'SA Q4 18 VR'!$B$24:$O$24,0),0)</f>
        <v>#REF!</v>
      </c>
      <c r="F198" s="27">
        <v>1</v>
      </c>
      <c r="G198">
        <f>RFI_Elements!N200</f>
        <v>199</v>
      </c>
      <c r="I198" t="e">
        <f>VLOOKUP(B198,SuiteCatSubElem!$G$2:$G$667,2,0)</f>
        <v>#REF!</v>
      </c>
    </row>
    <row r="199" spans="1:9">
      <c r="A199">
        <f>RFI_Elements!B201</f>
        <v>3</v>
      </c>
      <c r="B199">
        <f>RFI_Elements!C201</f>
        <v>438</v>
      </c>
      <c r="C199">
        <v>200</v>
      </c>
      <c r="D199" s="128">
        <v>43101.003472222219</v>
      </c>
      <c r="E199" t="e">
        <f>VLOOKUP(VLOOKUP(B199,SuiteCatSubElem!$G$2:$G$667,2,0),'SA Q4 18 VR'!$A$33:$O$193,1+MATCH(VLOOKUP(A199,Vendors!$A$2:$B$15,2,0),'SA Q4 18 VR'!$B$24:$O$24,0),0)</f>
        <v>#REF!</v>
      </c>
      <c r="F199" s="27">
        <v>1</v>
      </c>
      <c r="G199">
        <f>RFI_Elements!N201</f>
        <v>200</v>
      </c>
      <c r="I199" t="e">
        <f>VLOOKUP(B199,SuiteCatSubElem!$G$2:$G$667,2,0)</f>
        <v>#REF!</v>
      </c>
    </row>
    <row r="200" spans="1:9">
      <c r="A200">
        <f>RFI_Elements!B202</f>
        <v>3</v>
      </c>
      <c r="B200">
        <f>RFI_Elements!C202</f>
        <v>439</v>
      </c>
      <c r="C200">
        <v>201</v>
      </c>
      <c r="D200" s="128">
        <v>43101.003472222219</v>
      </c>
      <c r="E200" t="e">
        <f>VLOOKUP(VLOOKUP(B200,SuiteCatSubElem!$G$2:$G$667,2,0),'SA Q4 18 VR'!$A$33:$O$193,1+MATCH(VLOOKUP(A200,Vendors!$A$2:$B$15,2,0),'SA Q4 18 VR'!$B$24:$O$24,0),0)</f>
        <v>#REF!</v>
      </c>
      <c r="F200" s="27">
        <v>1</v>
      </c>
      <c r="G200">
        <f>RFI_Elements!N202</f>
        <v>201</v>
      </c>
      <c r="I200" t="e">
        <f>VLOOKUP(B200,SuiteCatSubElem!$G$2:$G$667,2,0)</f>
        <v>#REF!</v>
      </c>
    </row>
    <row r="201" spans="1:9">
      <c r="A201">
        <f>RFI_Elements!B203</f>
        <v>3</v>
      </c>
      <c r="B201">
        <f>RFI_Elements!C203</f>
        <v>440</v>
      </c>
      <c r="C201">
        <v>202</v>
      </c>
      <c r="D201" s="128">
        <v>43101.003472222219</v>
      </c>
      <c r="E201" t="e">
        <f>VLOOKUP(VLOOKUP(B201,SuiteCatSubElem!$G$2:$G$667,2,0),'SA Q4 18 VR'!$A$33:$O$193,1+MATCH(VLOOKUP(A201,Vendors!$A$2:$B$15,2,0),'SA Q4 18 VR'!$B$24:$O$24,0),0)</f>
        <v>#REF!</v>
      </c>
      <c r="F201" s="27">
        <v>1</v>
      </c>
      <c r="G201">
        <f>RFI_Elements!N203</f>
        <v>202</v>
      </c>
      <c r="I201" t="e">
        <f>VLOOKUP(B201,SuiteCatSubElem!$G$2:$G$667,2,0)</f>
        <v>#REF!</v>
      </c>
    </row>
    <row r="202" spans="1:9">
      <c r="A202">
        <f>RFI_Elements!B204</f>
        <v>3</v>
      </c>
      <c r="B202">
        <f>RFI_Elements!C204</f>
        <v>441</v>
      </c>
      <c r="C202">
        <v>203</v>
      </c>
      <c r="D202" s="128">
        <v>43101.003472222219</v>
      </c>
      <c r="E202" t="e">
        <f>VLOOKUP(VLOOKUP(B202,SuiteCatSubElem!$G$2:$G$667,2,0),'SA Q4 18 VR'!$A$33:$O$193,1+MATCH(VLOOKUP(A202,Vendors!$A$2:$B$15,2,0),'SA Q4 18 VR'!$B$24:$O$24,0),0)</f>
        <v>#REF!</v>
      </c>
      <c r="F202" s="27">
        <v>1</v>
      </c>
      <c r="G202">
        <f>RFI_Elements!N204</f>
        <v>203</v>
      </c>
      <c r="I202" t="e">
        <f>VLOOKUP(B202,SuiteCatSubElem!$G$2:$G$667,2,0)</f>
        <v>#REF!</v>
      </c>
    </row>
    <row r="203" spans="1:9">
      <c r="A203">
        <f>RFI_Elements!B205</f>
        <v>3</v>
      </c>
      <c r="B203">
        <f>RFI_Elements!C205</f>
        <v>442</v>
      </c>
      <c r="C203">
        <v>204</v>
      </c>
      <c r="D203" s="128">
        <v>43101.003472222219</v>
      </c>
      <c r="E203" t="e">
        <f>VLOOKUP(VLOOKUP(B203,SuiteCatSubElem!$G$2:$G$667,2,0),'SA Q4 18 VR'!$A$33:$O$193,1+MATCH(VLOOKUP(A203,Vendors!$A$2:$B$15,2,0),'SA Q4 18 VR'!$B$24:$O$24,0),0)</f>
        <v>#REF!</v>
      </c>
      <c r="F203" s="27">
        <v>1</v>
      </c>
      <c r="G203">
        <f>RFI_Elements!N205</f>
        <v>204</v>
      </c>
      <c r="I203" t="e">
        <f>VLOOKUP(B203,SuiteCatSubElem!$G$2:$G$667,2,0)</f>
        <v>#REF!</v>
      </c>
    </row>
    <row r="204" spans="1:9">
      <c r="A204">
        <f>RFI_Elements!B206</f>
        <v>3</v>
      </c>
      <c r="B204">
        <f>RFI_Elements!C206</f>
        <v>443</v>
      </c>
      <c r="C204">
        <v>205</v>
      </c>
      <c r="D204" s="128">
        <v>43101.003472222219</v>
      </c>
      <c r="E204" t="e">
        <f>VLOOKUP(VLOOKUP(B204,SuiteCatSubElem!$G$2:$G$667,2,0),'SA Q4 18 VR'!$A$33:$O$193,1+MATCH(VLOOKUP(A204,Vendors!$A$2:$B$15,2,0),'SA Q4 18 VR'!$B$24:$O$24,0),0)</f>
        <v>#REF!</v>
      </c>
      <c r="F204" s="27">
        <v>1</v>
      </c>
      <c r="G204">
        <f>RFI_Elements!N206</f>
        <v>205</v>
      </c>
      <c r="I204" t="e">
        <f>VLOOKUP(B204,SuiteCatSubElem!$G$2:$G$667,2,0)</f>
        <v>#REF!</v>
      </c>
    </row>
    <row r="205" spans="1:9">
      <c r="A205">
        <f>RFI_Elements!B208</f>
        <v>3</v>
      </c>
      <c r="B205">
        <f>RFI_Elements!C208</f>
        <v>445</v>
      </c>
      <c r="C205">
        <v>207</v>
      </c>
      <c r="D205" s="128">
        <v>43101.003472222219</v>
      </c>
      <c r="E205" t="e">
        <f>VLOOKUP(VLOOKUP(B205,SuiteCatSubElem!$G$2:$G$667,2,0),'SA Q4 18 VR'!$A$33:$O$193,1+MATCH(VLOOKUP(A205,Vendors!$A$2:$B$15,2,0),'SA Q4 18 VR'!$B$24:$O$24,0),0)</f>
        <v>#REF!</v>
      </c>
      <c r="F205" s="27">
        <v>1</v>
      </c>
      <c r="G205">
        <f>RFI_Elements!N208</f>
        <v>207</v>
      </c>
      <c r="I205" t="e">
        <f>VLOOKUP(B205,SuiteCatSubElem!$G$2:$G$667,2,0)</f>
        <v>#REF!</v>
      </c>
    </row>
    <row r="206" spans="1:9">
      <c r="A206">
        <f>RFI_Elements!B209</f>
        <v>3</v>
      </c>
      <c r="B206">
        <f>RFI_Elements!C209</f>
        <v>446</v>
      </c>
      <c r="C206">
        <v>208</v>
      </c>
      <c r="D206" s="128">
        <v>43101.003472222219</v>
      </c>
      <c r="E206" t="e">
        <f>VLOOKUP(VLOOKUP(B206,SuiteCatSubElem!$G$2:$G$667,2,0),'SA Q4 18 VR'!$A$33:$O$193,1+MATCH(VLOOKUP(A206,Vendors!$A$2:$B$15,2,0),'SA Q4 18 VR'!$B$24:$O$24,0),0)</f>
        <v>#REF!</v>
      </c>
      <c r="F206" s="27">
        <v>1</v>
      </c>
      <c r="G206">
        <f>RFI_Elements!N209</f>
        <v>208</v>
      </c>
      <c r="I206" t="e">
        <f>VLOOKUP(B206,SuiteCatSubElem!$G$2:$G$667,2,0)</f>
        <v>#REF!</v>
      </c>
    </row>
    <row r="207" spans="1:9">
      <c r="A207">
        <f>RFI_Elements!B210</f>
        <v>3</v>
      </c>
      <c r="B207">
        <f>RFI_Elements!C210</f>
        <v>447</v>
      </c>
      <c r="C207">
        <v>209</v>
      </c>
      <c r="D207" s="128">
        <v>43101.003472222219</v>
      </c>
      <c r="E207" t="e">
        <f>VLOOKUP(VLOOKUP(B207,SuiteCatSubElem!$G$2:$G$667,2,0),'SA Q4 18 VR'!$A$33:$O$193,1+MATCH(VLOOKUP(A207,Vendors!$A$2:$B$15,2,0),'SA Q4 18 VR'!$B$24:$O$24,0),0)</f>
        <v>#REF!</v>
      </c>
      <c r="F207" s="27">
        <v>1</v>
      </c>
      <c r="G207">
        <f>RFI_Elements!N210</f>
        <v>209</v>
      </c>
      <c r="I207" t="e">
        <f>VLOOKUP(B207,SuiteCatSubElem!$G$2:$G$667,2,0)</f>
        <v>#REF!</v>
      </c>
    </row>
    <row r="208" spans="1:9">
      <c r="A208">
        <f>RFI_Elements!B211</f>
        <v>3</v>
      </c>
      <c r="B208">
        <f>RFI_Elements!C211</f>
        <v>448</v>
      </c>
      <c r="C208">
        <v>210</v>
      </c>
      <c r="D208" s="128">
        <v>43101.003472222219</v>
      </c>
      <c r="E208" t="e">
        <f>VLOOKUP(VLOOKUP(B208,SuiteCatSubElem!$G$2:$G$667,2,0),'SA Q4 18 VR'!$A$33:$O$193,1+MATCH(VLOOKUP(A208,Vendors!$A$2:$B$15,2,0),'SA Q4 18 VR'!$B$24:$O$24,0),0)</f>
        <v>#REF!</v>
      </c>
      <c r="F208" s="27">
        <v>1</v>
      </c>
      <c r="G208">
        <f>RFI_Elements!N211</f>
        <v>210</v>
      </c>
      <c r="I208" t="e">
        <f>VLOOKUP(B208,SuiteCatSubElem!$G$2:$G$667,2,0)</f>
        <v>#REF!</v>
      </c>
    </row>
    <row r="209" spans="1:9">
      <c r="A209">
        <f>RFI_Elements!B212</f>
        <v>3</v>
      </c>
      <c r="B209">
        <f>RFI_Elements!C212</f>
        <v>449</v>
      </c>
      <c r="C209">
        <v>211</v>
      </c>
      <c r="D209" s="128">
        <v>43101.003472222219</v>
      </c>
      <c r="E209" t="e">
        <f>VLOOKUP(VLOOKUP(B209,SuiteCatSubElem!$G$2:$G$667,2,0),'SA Q4 18 VR'!$A$33:$O$193,1+MATCH(VLOOKUP(A209,Vendors!$A$2:$B$15,2,0),'SA Q4 18 VR'!$B$24:$O$24,0),0)</f>
        <v>#REF!</v>
      </c>
      <c r="F209" s="27">
        <v>1</v>
      </c>
      <c r="G209">
        <f>RFI_Elements!N212</f>
        <v>211</v>
      </c>
      <c r="I209" t="e">
        <f>VLOOKUP(B209,SuiteCatSubElem!$G$2:$G$667,2,0)</f>
        <v>#REF!</v>
      </c>
    </row>
    <row r="210" spans="1:9">
      <c r="A210">
        <f>RFI_Elements!B213</f>
        <v>3</v>
      </c>
      <c r="B210">
        <f>RFI_Elements!C213</f>
        <v>450</v>
      </c>
      <c r="C210">
        <v>212</v>
      </c>
      <c r="D210" s="128">
        <v>43101.003472222219</v>
      </c>
      <c r="E210" t="e">
        <f>VLOOKUP(VLOOKUP(B210,SuiteCatSubElem!$G$2:$G$667,2,0),'SA Q4 18 VR'!$A$33:$O$193,1+MATCH(VLOOKUP(A210,Vendors!$A$2:$B$15,2,0),'SA Q4 18 VR'!$B$24:$O$24,0),0)</f>
        <v>#REF!</v>
      </c>
      <c r="F210" s="27">
        <v>1</v>
      </c>
      <c r="G210">
        <f>RFI_Elements!N213</f>
        <v>212</v>
      </c>
      <c r="I210" t="e">
        <f>VLOOKUP(B210,SuiteCatSubElem!$G$2:$G$667,2,0)</f>
        <v>#REF!</v>
      </c>
    </row>
    <row r="211" spans="1:9">
      <c r="A211">
        <f>RFI_Elements!B214</f>
        <v>3</v>
      </c>
      <c r="B211">
        <f>RFI_Elements!C214</f>
        <v>451</v>
      </c>
      <c r="C211">
        <v>213</v>
      </c>
      <c r="D211" s="128">
        <v>43101.003472222219</v>
      </c>
      <c r="E211" t="e">
        <f>VLOOKUP(VLOOKUP(B211,SuiteCatSubElem!$G$2:$G$667,2,0),'SA Q4 18 VR'!$A$33:$O$193,1+MATCH(VLOOKUP(A211,Vendors!$A$2:$B$15,2,0),'SA Q4 18 VR'!$B$24:$O$24,0),0)</f>
        <v>#REF!</v>
      </c>
      <c r="F211" s="27">
        <v>1</v>
      </c>
      <c r="G211">
        <f>RFI_Elements!N214</f>
        <v>213</v>
      </c>
      <c r="I211" t="e">
        <f>VLOOKUP(B211,SuiteCatSubElem!$G$2:$G$667,2,0)</f>
        <v>#REF!</v>
      </c>
    </row>
    <row r="212" spans="1:9">
      <c r="A212">
        <f>RFI_Elements!B215</f>
        <v>3</v>
      </c>
      <c r="B212">
        <f>RFI_Elements!C215</f>
        <v>452</v>
      </c>
      <c r="C212">
        <v>214</v>
      </c>
      <c r="D212" s="128">
        <v>43101.003472222219</v>
      </c>
      <c r="E212" t="e">
        <f>VLOOKUP(VLOOKUP(B212,SuiteCatSubElem!$G$2:$G$667,2,0),'SA Q4 18 VR'!$A$33:$O$193,1+MATCH(VLOOKUP(A212,Vendors!$A$2:$B$15,2,0),'SA Q4 18 VR'!$B$24:$O$24,0),0)</f>
        <v>#REF!</v>
      </c>
      <c r="F212" s="27">
        <v>1</v>
      </c>
      <c r="G212">
        <f>RFI_Elements!N215</f>
        <v>214</v>
      </c>
      <c r="I212" t="e">
        <f>VLOOKUP(B212,SuiteCatSubElem!$G$2:$G$667,2,0)</f>
        <v>#REF!</v>
      </c>
    </row>
    <row r="213" spans="1:9">
      <c r="A213">
        <f>RFI_Elements!B216</f>
        <v>3</v>
      </c>
      <c r="B213">
        <f>RFI_Elements!C216</f>
        <v>453</v>
      </c>
      <c r="C213">
        <v>215</v>
      </c>
      <c r="D213" s="128">
        <v>43101.003472222219</v>
      </c>
      <c r="E213" t="e">
        <f>VLOOKUP(VLOOKUP(B213,SuiteCatSubElem!$G$2:$G$667,2,0),'SA Q4 18 VR'!$A$33:$O$193,1+MATCH(VLOOKUP(A213,Vendors!$A$2:$B$15,2,0),'SA Q4 18 VR'!$B$24:$O$24,0),0)</f>
        <v>#REF!</v>
      </c>
      <c r="F213" s="27">
        <v>1</v>
      </c>
      <c r="G213">
        <f>RFI_Elements!N216</f>
        <v>215</v>
      </c>
      <c r="I213" t="e">
        <f>VLOOKUP(B213,SuiteCatSubElem!$G$2:$G$667,2,0)</f>
        <v>#REF!</v>
      </c>
    </row>
    <row r="214" spans="1:9">
      <c r="A214">
        <f>RFI_Elements!B217</f>
        <v>3</v>
      </c>
      <c r="B214">
        <f>RFI_Elements!C217</f>
        <v>454</v>
      </c>
      <c r="C214">
        <v>216</v>
      </c>
      <c r="D214" s="128">
        <v>43101.003472222219</v>
      </c>
      <c r="E214" t="e">
        <f>VLOOKUP(VLOOKUP(B214,SuiteCatSubElem!$G$2:$G$667,2,0),'SA Q4 18 VR'!$A$33:$O$193,1+MATCH(VLOOKUP(A214,Vendors!$A$2:$B$15,2,0),'SA Q4 18 VR'!$B$24:$O$24,0),0)</f>
        <v>#REF!</v>
      </c>
      <c r="F214" s="27">
        <v>1</v>
      </c>
      <c r="G214">
        <f>RFI_Elements!N217</f>
        <v>216</v>
      </c>
      <c r="I214" t="e">
        <f>VLOOKUP(B214,SuiteCatSubElem!$G$2:$G$667,2,0)</f>
        <v>#REF!</v>
      </c>
    </row>
    <row r="215" spans="1:9">
      <c r="A215">
        <f>RFI_Elements!B218</f>
        <v>3</v>
      </c>
      <c r="B215">
        <f>RFI_Elements!C218</f>
        <v>455</v>
      </c>
      <c r="C215">
        <v>217</v>
      </c>
      <c r="D215" s="128">
        <v>43101.003472222219</v>
      </c>
      <c r="E215" t="e">
        <f>VLOOKUP(VLOOKUP(B215,SuiteCatSubElem!$G$2:$G$667,2,0),'SA Q4 18 VR'!$A$33:$O$193,1+MATCH(VLOOKUP(A215,Vendors!$A$2:$B$15,2,0),'SA Q4 18 VR'!$B$24:$O$24,0),0)</f>
        <v>#REF!</v>
      </c>
      <c r="F215" s="27">
        <v>1</v>
      </c>
      <c r="G215">
        <f>RFI_Elements!N218</f>
        <v>217</v>
      </c>
      <c r="I215" t="e">
        <f>VLOOKUP(B215,SuiteCatSubElem!$G$2:$G$667,2,0)</f>
        <v>#REF!</v>
      </c>
    </row>
    <row r="216" spans="1:9">
      <c r="A216">
        <f>RFI_Elements!B219</f>
        <v>3</v>
      </c>
      <c r="B216">
        <f>RFI_Elements!C219</f>
        <v>456</v>
      </c>
      <c r="C216">
        <v>218</v>
      </c>
      <c r="D216" s="128">
        <v>43101.003472222219</v>
      </c>
      <c r="E216" t="e">
        <f>VLOOKUP(VLOOKUP(B216,SuiteCatSubElem!$G$2:$G$667,2,0),'SA Q4 18 VR'!$A$33:$O$193,1+MATCH(VLOOKUP(A216,Vendors!$A$2:$B$15,2,0),'SA Q4 18 VR'!$B$24:$O$24,0),0)</f>
        <v>#REF!</v>
      </c>
      <c r="F216" s="27">
        <v>1</v>
      </c>
      <c r="G216">
        <f>RFI_Elements!N219</f>
        <v>218</v>
      </c>
      <c r="I216" t="e">
        <f>VLOOKUP(B216,SuiteCatSubElem!$G$2:$G$667,2,0)</f>
        <v>#REF!</v>
      </c>
    </row>
    <row r="217" spans="1:9">
      <c r="A217">
        <f>RFI_Elements!B220</f>
        <v>3</v>
      </c>
      <c r="B217">
        <f>RFI_Elements!C220</f>
        <v>457</v>
      </c>
      <c r="C217">
        <v>219</v>
      </c>
      <c r="D217" s="128">
        <v>43101.003472222219</v>
      </c>
      <c r="E217" t="e">
        <f>VLOOKUP(VLOOKUP(B217,SuiteCatSubElem!$G$2:$G$667,2,0),'SA Q4 18 VR'!$A$33:$O$193,1+MATCH(VLOOKUP(A217,Vendors!$A$2:$B$15,2,0),'SA Q4 18 VR'!$B$24:$O$24,0),0)</f>
        <v>#REF!</v>
      </c>
      <c r="F217" s="27">
        <v>1</v>
      </c>
      <c r="G217">
        <f>RFI_Elements!N220</f>
        <v>219</v>
      </c>
      <c r="I217" t="e">
        <f>VLOOKUP(B217,SuiteCatSubElem!$G$2:$G$667,2,0)</f>
        <v>#REF!</v>
      </c>
    </row>
    <row r="218" spans="1:9">
      <c r="A218">
        <f>RFI_Elements!B221</f>
        <v>3</v>
      </c>
      <c r="B218">
        <f>RFI_Elements!C221</f>
        <v>458</v>
      </c>
      <c r="C218">
        <v>220</v>
      </c>
      <c r="D218" s="128">
        <v>43101.003472222219</v>
      </c>
      <c r="E218" t="e">
        <f>VLOOKUP(VLOOKUP(B218,SuiteCatSubElem!$G$2:$G$667,2,0),'SA Q4 18 VR'!$A$33:$O$193,1+MATCH(VLOOKUP(A218,Vendors!$A$2:$B$15,2,0),'SA Q4 18 VR'!$B$24:$O$24,0),0)</f>
        <v>#REF!</v>
      </c>
      <c r="F218" s="27">
        <v>1</v>
      </c>
      <c r="G218">
        <f>RFI_Elements!N221</f>
        <v>220</v>
      </c>
      <c r="I218" t="e">
        <f>VLOOKUP(B218,SuiteCatSubElem!$G$2:$G$667,2,0)</f>
        <v>#REF!</v>
      </c>
    </row>
    <row r="219" spans="1:9">
      <c r="A219">
        <f>RFI_Elements!B222</f>
        <v>3</v>
      </c>
      <c r="B219">
        <f>RFI_Elements!C222</f>
        <v>459</v>
      </c>
      <c r="C219">
        <v>221</v>
      </c>
      <c r="D219" s="128">
        <v>43101.003472222219</v>
      </c>
      <c r="E219" t="e">
        <f>VLOOKUP(VLOOKUP(B219,SuiteCatSubElem!$G$2:$G$667,2,0),'SA Q4 18 VR'!$A$33:$O$193,1+MATCH(VLOOKUP(A219,Vendors!$A$2:$B$15,2,0),'SA Q4 18 VR'!$B$24:$O$24,0),0)</f>
        <v>#REF!</v>
      </c>
      <c r="F219" s="27">
        <v>1</v>
      </c>
      <c r="G219">
        <f>RFI_Elements!N222</f>
        <v>221</v>
      </c>
      <c r="I219" t="e">
        <f>VLOOKUP(B219,SuiteCatSubElem!$G$2:$G$667,2,0)</f>
        <v>#REF!</v>
      </c>
    </row>
    <row r="220" spans="1:9">
      <c r="A220">
        <f>RFI_Elements!B223</f>
        <v>3</v>
      </c>
      <c r="B220">
        <f>RFI_Elements!C223</f>
        <v>460</v>
      </c>
      <c r="C220">
        <v>222</v>
      </c>
      <c r="D220" s="128">
        <v>43101.003472222219</v>
      </c>
      <c r="E220" t="e">
        <f>VLOOKUP(VLOOKUP(B220,SuiteCatSubElem!$G$2:$G$667,2,0),'SA Q4 18 VR'!$A$33:$O$193,1+MATCH(VLOOKUP(A220,Vendors!$A$2:$B$15,2,0),'SA Q4 18 VR'!$B$24:$O$24,0),0)</f>
        <v>#REF!</v>
      </c>
      <c r="F220" s="27">
        <v>1</v>
      </c>
      <c r="G220">
        <f>RFI_Elements!N223</f>
        <v>222</v>
      </c>
      <c r="I220" t="e">
        <f>VLOOKUP(B220,SuiteCatSubElem!$G$2:$G$667,2,0)</f>
        <v>#REF!</v>
      </c>
    </row>
    <row r="221" spans="1:9">
      <c r="A221">
        <f>RFI_Elements!B224</f>
        <v>3</v>
      </c>
      <c r="B221">
        <f>RFI_Elements!C224</f>
        <v>461</v>
      </c>
      <c r="C221">
        <v>223</v>
      </c>
      <c r="D221" s="128">
        <v>43101.003472222219</v>
      </c>
      <c r="E221" t="e">
        <f>VLOOKUP(VLOOKUP(B221,SuiteCatSubElem!$G$2:$G$667,2,0),'SA Q4 18 VR'!$A$33:$O$193,1+MATCH(VLOOKUP(A221,Vendors!$A$2:$B$15,2,0),'SA Q4 18 VR'!$B$24:$O$24,0),0)</f>
        <v>#REF!</v>
      </c>
      <c r="F221" s="27">
        <v>1</v>
      </c>
      <c r="G221">
        <f>RFI_Elements!N224</f>
        <v>223</v>
      </c>
      <c r="I221" t="e">
        <f>VLOOKUP(B221,SuiteCatSubElem!$G$2:$G$667,2,0)</f>
        <v>#REF!</v>
      </c>
    </row>
    <row r="222" spans="1:9">
      <c r="A222">
        <f>RFI_Elements!B225</f>
        <v>3</v>
      </c>
      <c r="B222">
        <f>RFI_Elements!C225</f>
        <v>462</v>
      </c>
      <c r="C222">
        <v>224</v>
      </c>
      <c r="D222" s="128">
        <v>43101.003472222219</v>
      </c>
      <c r="E222" t="e">
        <f>VLOOKUP(VLOOKUP(B222,SuiteCatSubElem!$G$2:$G$667,2,0),'SA Q4 18 VR'!$A$33:$O$193,1+MATCH(VLOOKUP(A222,Vendors!$A$2:$B$15,2,0),'SA Q4 18 VR'!$B$24:$O$24,0),0)</f>
        <v>#REF!</v>
      </c>
      <c r="F222" s="27">
        <v>1</v>
      </c>
      <c r="G222">
        <f>RFI_Elements!N225</f>
        <v>224</v>
      </c>
      <c r="I222" t="e">
        <f>VLOOKUP(B222,SuiteCatSubElem!$G$2:$G$667,2,0)</f>
        <v>#REF!</v>
      </c>
    </row>
    <row r="223" spans="1:9">
      <c r="A223">
        <f>RFI_Elements!B226</f>
        <v>3</v>
      </c>
      <c r="B223">
        <f>RFI_Elements!C226</f>
        <v>463</v>
      </c>
      <c r="C223">
        <v>225</v>
      </c>
      <c r="D223" s="128">
        <v>43101.003472222219</v>
      </c>
      <c r="E223" t="e">
        <f>VLOOKUP(VLOOKUP(B223,SuiteCatSubElem!$G$2:$G$667,2,0),'SA Q4 18 VR'!$A$33:$O$193,1+MATCH(VLOOKUP(A223,Vendors!$A$2:$B$15,2,0),'SA Q4 18 VR'!$B$24:$O$24,0),0)</f>
        <v>#REF!</v>
      </c>
      <c r="F223" s="27">
        <v>1</v>
      </c>
      <c r="G223">
        <f>RFI_Elements!N226</f>
        <v>225</v>
      </c>
      <c r="I223" t="e">
        <f>VLOOKUP(B223,SuiteCatSubElem!$G$2:$G$667,2,0)</f>
        <v>#REF!</v>
      </c>
    </row>
    <row r="224" spans="1:9">
      <c r="A224">
        <f>RFI_Elements!B227</f>
        <v>3</v>
      </c>
      <c r="B224">
        <f>RFI_Elements!C227</f>
        <v>464</v>
      </c>
      <c r="C224">
        <v>226</v>
      </c>
      <c r="D224" s="128">
        <v>43101.003472222219</v>
      </c>
      <c r="E224" t="e">
        <f>VLOOKUP(VLOOKUP(B224,SuiteCatSubElem!$G$2:$G$667,2,0),'SA Q4 18 VR'!$A$33:$O$193,1+MATCH(VLOOKUP(A224,Vendors!$A$2:$B$15,2,0),'SA Q4 18 VR'!$B$24:$O$24,0),0)</f>
        <v>#REF!</v>
      </c>
      <c r="F224" s="27">
        <v>1</v>
      </c>
      <c r="G224">
        <f>RFI_Elements!N227</f>
        <v>226</v>
      </c>
      <c r="I224" t="e">
        <f>VLOOKUP(B224,SuiteCatSubElem!$G$2:$G$667,2,0)</f>
        <v>#REF!</v>
      </c>
    </row>
    <row r="225" spans="1:9">
      <c r="A225">
        <f>RFI_Elements!B228</f>
        <v>3</v>
      </c>
      <c r="B225">
        <f>RFI_Elements!C228</f>
        <v>465</v>
      </c>
      <c r="C225">
        <v>227</v>
      </c>
      <c r="D225" s="128">
        <v>43101.003472222219</v>
      </c>
      <c r="E225" t="e">
        <f>VLOOKUP(VLOOKUP(B225,SuiteCatSubElem!$G$2:$G$667,2,0),'SA Q4 18 VR'!$A$33:$O$193,1+MATCH(VLOOKUP(A225,Vendors!$A$2:$B$15,2,0),'SA Q4 18 VR'!$B$24:$O$24,0),0)</f>
        <v>#REF!</v>
      </c>
      <c r="F225" s="27">
        <v>1</v>
      </c>
      <c r="G225">
        <f>RFI_Elements!N228</f>
        <v>227</v>
      </c>
      <c r="I225" t="e">
        <f>VLOOKUP(B225,SuiteCatSubElem!$G$2:$G$667,2,0)</f>
        <v>#REF!</v>
      </c>
    </row>
    <row r="226" spans="1:9">
      <c r="A226">
        <f>RFI_Elements!B229</f>
        <v>3</v>
      </c>
      <c r="B226">
        <f>RFI_Elements!C229</f>
        <v>466</v>
      </c>
      <c r="C226">
        <v>228</v>
      </c>
      <c r="D226" s="128">
        <v>43101.003472222219</v>
      </c>
      <c r="E226" t="e">
        <f>VLOOKUP(VLOOKUP(B226,SuiteCatSubElem!$G$2:$G$667,2,0),'SA Q4 18 VR'!$A$33:$O$193,1+MATCH(VLOOKUP(A226,Vendors!$A$2:$B$15,2,0),'SA Q4 18 VR'!$B$24:$O$24,0),0)</f>
        <v>#REF!</v>
      </c>
      <c r="F226" s="27">
        <v>1</v>
      </c>
      <c r="G226">
        <f>RFI_Elements!N229</f>
        <v>228</v>
      </c>
      <c r="I226" t="e">
        <f>VLOOKUP(B226,SuiteCatSubElem!$G$2:$G$667,2,0)</f>
        <v>#REF!</v>
      </c>
    </row>
    <row r="227" spans="1:9">
      <c r="A227">
        <f>RFI_Elements!B230</f>
        <v>3</v>
      </c>
      <c r="B227">
        <f>RFI_Elements!C230</f>
        <v>467</v>
      </c>
      <c r="C227">
        <v>229</v>
      </c>
      <c r="D227" s="128">
        <v>43101.003472222219</v>
      </c>
      <c r="E227" t="e">
        <f>VLOOKUP(VLOOKUP(B227,SuiteCatSubElem!$G$2:$G$667,2,0),'SA Q4 18 VR'!$A$33:$O$193,1+MATCH(VLOOKUP(A227,Vendors!$A$2:$B$15,2,0),'SA Q4 18 VR'!$B$24:$O$24,0),0)</f>
        <v>#REF!</v>
      </c>
      <c r="F227" s="27">
        <v>1</v>
      </c>
      <c r="G227">
        <f>RFI_Elements!N230</f>
        <v>229</v>
      </c>
      <c r="I227" t="e">
        <f>VLOOKUP(B227,SuiteCatSubElem!$G$2:$G$667,2,0)</f>
        <v>#REF!</v>
      </c>
    </row>
    <row r="228" spans="1:9">
      <c r="A228">
        <f>RFI_Elements!B231</f>
        <v>3</v>
      </c>
      <c r="B228">
        <f>RFI_Elements!C231</f>
        <v>468</v>
      </c>
      <c r="C228">
        <v>230</v>
      </c>
      <c r="D228" s="128">
        <v>43101.003472222219</v>
      </c>
      <c r="E228" t="e">
        <f>VLOOKUP(VLOOKUP(B228,SuiteCatSubElem!$G$2:$G$667,2,0),'SA Q4 18 VR'!$A$33:$O$193,1+MATCH(VLOOKUP(A228,Vendors!$A$2:$B$15,2,0),'SA Q4 18 VR'!$B$24:$O$24,0),0)</f>
        <v>#REF!</v>
      </c>
      <c r="F228" s="27">
        <v>1</v>
      </c>
      <c r="G228">
        <f>RFI_Elements!N231</f>
        <v>230</v>
      </c>
      <c r="I228" t="e">
        <f>VLOOKUP(B228,SuiteCatSubElem!$G$2:$G$667,2,0)</f>
        <v>#REF!</v>
      </c>
    </row>
    <row r="229" spans="1:9">
      <c r="A229">
        <f>RFI_Elements!B232</f>
        <v>3</v>
      </c>
      <c r="B229">
        <f>RFI_Elements!C232</f>
        <v>469</v>
      </c>
      <c r="C229">
        <v>231</v>
      </c>
      <c r="D229" s="128">
        <v>43101.003472222219</v>
      </c>
      <c r="E229" t="e">
        <f>VLOOKUP(VLOOKUP(B229,SuiteCatSubElem!$G$2:$G$667,2,0),'SA Q4 18 VR'!$A$33:$O$193,1+MATCH(VLOOKUP(A229,Vendors!$A$2:$B$15,2,0),'SA Q4 18 VR'!$B$24:$O$24,0),0)</f>
        <v>#REF!</v>
      </c>
      <c r="F229" s="27">
        <v>1</v>
      </c>
      <c r="G229">
        <f>RFI_Elements!N232</f>
        <v>231</v>
      </c>
      <c r="I229" t="e">
        <f>VLOOKUP(B229,SuiteCatSubElem!$G$2:$G$667,2,0)</f>
        <v>#REF!</v>
      </c>
    </row>
    <row r="230" spans="1:9">
      <c r="A230">
        <f>RFI_Elements!B233</f>
        <v>3</v>
      </c>
      <c r="B230">
        <f>RFI_Elements!C233</f>
        <v>470</v>
      </c>
      <c r="C230">
        <v>232</v>
      </c>
      <c r="D230" s="128">
        <v>43101.003472222219</v>
      </c>
      <c r="E230" t="e">
        <f>VLOOKUP(VLOOKUP(B230,SuiteCatSubElem!$G$2:$G$667,2,0),'SA Q4 18 VR'!$A$33:$O$193,1+MATCH(VLOOKUP(A230,Vendors!$A$2:$B$15,2,0),'SA Q4 18 VR'!$B$24:$O$24,0),0)</f>
        <v>#REF!</v>
      </c>
      <c r="F230" s="27">
        <v>1</v>
      </c>
      <c r="G230">
        <f>RFI_Elements!N233</f>
        <v>232</v>
      </c>
      <c r="I230" t="e">
        <f>VLOOKUP(B230,SuiteCatSubElem!$G$2:$G$667,2,0)</f>
        <v>#REF!</v>
      </c>
    </row>
    <row r="231" spans="1:9">
      <c r="A231">
        <f>RFI_Elements!B234</f>
        <v>3</v>
      </c>
      <c r="B231">
        <f>RFI_Elements!C234</f>
        <v>471</v>
      </c>
      <c r="C231">
        <v>233</v>
      </c>
      <c r="D231" s="128">
        <v>43101.003472222219</v>
      </c>
      <c r="E231" t="e">
        <f>VLOOKUP(VLOOKUP(B231,SuiteCatSubElem!$G$2:$G$667,2,0),'SA Q4 18 VR'!$A$33:$O$193,1+MATCH(VLOOKUP(A231,Vendors!$A$2:$B$15,2,0),'SA Q4 18 VR'!$B$24:$O$24,0),0)</f>
        <v>#REF!</v>
      </c>
      <c r="F231" s="27">
        <v>1</v>
      </c>
      <c r="G231">
        <f>RFI_Elements!N234</f>
        <v>233</v>
      </c>
      <c r="I231" t="e">
        <f>VLOOKUP(B231,SuiteCatSubElem!$G$2:$G$667,2,0)</f>
        <v>#REF!</v>
      </c>
    </row>
    <row r="232" spans="1:9">
      <c r="A232">
        <f>RFI_Elements!B235</f>
        <v>3</v>
      </c>
      <c r="B232">
        <f>RFI_Elements!C235</f>
        <v>472</v>
      </c>
      <c r="C232">
        <v>234</v>
      </c>
      <c r="D232" s="128">
        <v>43101.003472222219</v>
      </c>
      <c r="E232" t="e">
        <f>VLOOKUP(VLOOKUP(B232,SuiteCatSubElem!$G$2:$G$667,2,0),'SA Q4 18 VR'!$A$33:$O$193,1+MATCH(VLOOKUP(A232,Vendors!$A$2:$B$15,2,0),'SA Q4 18 VR'!$B$24:$O$24,0),0)</f>
        <v>#REF!</v>
      </c>
      <c r="F232" s="27">
        <v>1</v>
      </c>
      <c r="G232">
        <f>RFI_Elements!N235</f>
        <v>234</v>
      </c>
      <c r="I232" t="e">
        <f>VLOOKUP(B232,SuiteCatSubElem!$G$2:$G$667,2,0)</f>
        <v>#REF!</v>
      </c>
    </row>
    <row r="233" spans="1:9">
      <c r="A233">
        <f>RFI_Elements!B236</f>
        <v>3</v>
      </c>
      <c r="B233">
        <f>RFI_Elements!C236</f>
        <v>473</v>
      </c>
      <c r="C233">
        <v>235</v>
      </c>
      <c r="D233" s="128">
        <v>43101.003472222219</v>
      </c>
      <c r="E233" t="e">
        <f>VLOOKUP(VLOOKUP(B233,SuiteCatSubElem!$G$2:$G$667,2,0),'SA Q4 18 VR'!$A$33:$O$193,1+MATCH(VLOOKUP(A233,Vendors!$A$2:$B$15,2,0),'SA Q4 18 VR'!$B$24:$O$24,0),0)</f>
        <v>#REF!</v>
      </c>
      <c r="F233" s="27">
        <v>1</v>
      </c>
      <c r="G233">
        <f>RFI_Elements!N236</f>
        <v>235</v>
      </c>
      <c r="I233" t="e">
        <f>VLOOKUP(B233,SuiteCatSubElem!$G$2:$G$667,2,0)</f>
        <v>#REF!</v>
      </c>
    </row>
    <row r="234" spans="1:9">
      <c r="A234">
        <f>RFI_Elements!B237</f>
        <v>3</v>
      </c>
      <c r="B234">
        <f>RFI_Elements!C237</f>
        <v>474</v>
      </c>
      <c r="C234">
        <v>236</v>
      </c>
      <c r="D234" s="128">
        <v>43101.003472222219</v>
      </c>
      <c r="E234" t="e">
        <f>VLOOKUP(VLOOKUP(B234,SuiteCatSubElem!$G$2:$G$667,2,0),'SA Q4 18 VR'!$A$33:$O$193,1+MATCH(VLOOKUP(A234,Vendors!$A$2:$B$15,2,0),'SA Q4 18 VR'!$B$24:$O$24,0),0)</f>
        <v>#REF!</v>
      </c>
      <c r="F234" s="27">
        <v>1</v>
      </c>
      <c r="G234">
        <f>RFI_Elements!N237</f>
        <v>236</v>
      </c>
      <c r="I234" t="e">
        <f>VLOOKUP(B234,SuiteCatSubElem!$G$2:$G$667,2,0)</f>
        <v>#REF!</v>
      </c>
    </row>
    <row r="235" spans="1:9">
      <c r="A235">
        <f>RFI_Elements!B238</f>
        <v>3</v>
      </c>
      <c r="B235">
        <f>RFI_Elements!C238</f>
        <v>475</v>
      </c>
      <c r="C235">
        <v>237</v>
      </c>
      <c r="D235" s="128">
        <v>43101.003472222219</v>
      </c>
      <c r="E235" t="e">
        <f>VLOOKUP(VLOOKUP(B235,SuiteCatSubElem!$G$2:$G$667,2,0),'SA Q4 18 VR'!$A$33:$O$193,1+MATCH(VLOOKUP(A235,Vendors!$A$2:$B$15,2,0),'SA Q4 18 VR'!$B$24:$O$24,0),0)</f>
        <v>#REF!</v>
      </c>
      <c r="F235" s="27">
        <v>1</v>
      </c>
      <c r="G235">
        <f>RFI_Elements!N238</f>
        <v>237</v>
      </c>
      <c r="I235" t="e">
        <f>VLOOKUP(B235,SuiteCatSubElem!$G$2:$G$667,2,0)</f>
        <v>#REF!</v>
      </c>
    </row>
    <row r="236" spans="1:9">
      <c r="A236">
        <f>RFI_Elements!B239</f>
        <v>3</v>
      </c>
      <c r="B236">
        <f>RFI_Elements!C239</f>
        <v>476</v>
      </c>
      <c r="C236">
        <v>238</v>
      </c>
      <c r="D236" s="128">
        <v>43101.003472222219</v>
      </c>
      <c r="E236" t="e">
        <f>VLOOKUP(VLOOKUP(B236,SuiteCatSubElem!$G$2:$G$667,2,0),'SA Q4 18 VR'!$A$33:$O$193,1+MATCH(VLOOKUP(A236,Vendors!$A$2:$B$15,2,0),'SA Q4 18 VR'!$B$24:$O$24,0),0)</f>
        <v>#REF!</v>
      </c>
      <c r="F236" s="27">
        <v>1</v>
      </c>
      <c r="G236">
        <f>RFI_Elements!N239</f>
        <v>238</v>
      </c>
      <c r="I236" t="e">
        <f>VLOOKUP(B236,SuiteCatSubElem!$G$2:$G$667,2,0)</f>
        <v>#REF!</v>
      </c>
    </row>
    <row r="237" spans="1:9">
      <c r="A237">
        <f>RFI_Elements!B240</f>
        <v>3</v>
      </c>
      <c r="B237">
        <f>RFI_Elements!C240</f>
        <v>477</v>
      </c>
      <c r="C237">
        <v>239</v>
      </c>
      <c r="D237" s="128">
        <v>43101.003472222219</v>
      </c>
      <c r="E237" t="e">
        <f>VLOOKUP(VLOOKUP(B237,SuiteCatSubElem!$G$2:$G$667,2,0),'SA Q4 18 VR'!$A$33:$O$193,1+MATCH(VLOOKUP(A237,Vendors!$A$2:$B$15,2,0),'SA Q4 18 VR'!$B$24:$O$24,0),0)</f>
        <v>#REF!</v>
      </c>
      <c r="F237" s="27">
        <v>1</v>
      </c>
      <c r="G237">
        <f>RFI_Elements!N240</f>
        <v>239</v>
      </c>
      <c r="I237" t="e">
        <f>VLOOKUP(B237,SuiteCatSubElem!$G$2:$G$667,2,0)</f>
        <v>#REF!</v>
      </c>
    </row>
    <row r="238" spans="1:9">
      <c r="A238">
        <f>RFI_Elements!B241</f>
        <v>3</v>
      </c>
      <c r="B238">
        <f>RFI_Elements!C241</f>
        <v>478</v>
      </c>
      <c r="C238">
        <v>240</v>
      </c>
      <c r="D238" s="128">
        <v>43101.003472222219</v>
      </c>
      <c r="E238" t="e">
        <f>VLOOKUP(VLOOKUP(B238,SuiteCatSubElem!$G$2:$G$667,2,0),'SA Q4 18 VR'!$A$33:$O$193,1+MATCH(VLOOKUP(A238,Vendors!$A$2:$B$15,2,0),'SA Q4 18 VR'!$B$24:$O$24,0),0)</f>
        <v>#REF!</v>
      </c>
      <c r="F238" s="27">
        <v>1</v>
      </c>
      <c r="G238">
        <f>RFI_Elements!N241</f>
        <v>240</v>
      </c>
      <c r="I238" t="e">
        <f>VLOOKUP(B238,SuiteCatSubElem!$G$2:$G$667,2,0)</f>
        <v>#REF!</v>
      </c>
    </row>
    <row r="239" spans="1:9">
      <c r="A239">
        <f>RFI_Elements!B242</f>
        <v>3</v>
      </c>
      <c r="B239">
        <f>RFI_Elements!C242</f>
        <v>479</v>
      </c>
      <c r="C239">
        <v>241</v>
      </c>
      <c r="D239" s="128">
        <v>43101.003472222219</v>
      </c>
      <c r="E239" t="e">
        <f>VLOOKUP(VLOOKUP(B239,SuiteCatSubElem!$G$2:$G$667,2,0),'SA Q4 18 VR'!$A$33:$O$193,1+MATCH(VLOOKUP(A239,Vendors!$A$2:$B$15,2,0),'SA Q4 18 VR'!$B$24:$O$24,0),0)</f>
        <v>#REF!</v>
      </c>
      <c r="F239" s="27">
        <v>1</v>
      </c>
      <c r="G239">
        <f>RFI_Elements!N242</f>
        <v>241</v>
      </c>
      <c r="I239" t="e">
        <f>VLOOKUP(B239,SuiteCatSubElem!$G$2:$G$667,2,0)</f>
        <v>#REF!</v>
      </c>
    </row>
    <row r="240" spans="1:9">
      <c r="A240">
        <f>RFI_Elements!B243</f>
        <v>3</v>
      </c>
      <c r="B240">
        <f>RFI_Elements!C243</f>
        <v>480</v>
      </c>
      <c r="C240">
        <v>242</v>
      </c>
      <c r="D240" s="128">
        <v>43101.003472222219</v>
      </c>
      <c r="E240" t="e">
        <f>VLOOKUP(VLOOKUP(B240,SuiteCatSubElem!$G$2:$G$667,2,0),'SA Q4 18 VR'!$A$33:$O$193,1+MATCH(VLOOKUP(A240,Vendors!$A$2:$B$15,2,0),'SA Q4 18 VR'!$B$24:$O$24,0),0)</f>
        <v>#REF!</v>
      </c>
      <c r="F240" s="27">
        <v>1</v>
      </c>
      <c r="G240">
        <f>RFI_Elements!N243</f>
        <v>242</v>
      </c>
      <c r="I240" t="e">
        <f>VLOOKUP(B240,SuiteCatSubElem!$G$2:$G$667,2,0)</f>
        <v>#REF!</v>
      </c>
    </row>
    <row r="241" spans="1:9">
      <c r="A241">
        <f>RFI_Elements!B244</f>
        <v>3</v>
      </c>
      <c r="B241">
        <f>RFI_Elements!C244</f>
        <v>481</v>
      </c>
      <c r="C241">
        <v>243</v>
      </c>
      <c r="D241" s="128">
        <v>43101.003472222219</v>
      </c>
      <c r="E241" t="e">
        <f>VLOOKUP(VLOOKUP(B241,SuiteCatSubElem!$G$2:$G$667,2,0),'SA Q4 18 VR'!$A$33:$O$193,1+MATCH(VLOOKUP(A241,Vendors!$A$2:$B$15,2,0),'SA Q4 18 VR'!$B$24:$O$24,0),0)</f>
        <v>#REF!</v>
      </c>
      <c r="F241" s="27">
        <v>1</v>
      </c>
      <c r="G241">
        <f>RFI_Elements!N244</f>
        <v>243</v>
      </c>
      <c r="I241" t="e">
        <f>VLOOKUP(B241,SuiteCatSubElem!$G$2:$G$667,2,0)</f>
        <v>#REF!</v>
      </c>
    </row>
    <row r="242" spans="1:9">
      <c r="A242">
        <f>RFI_Elements!B245</f>
        <v>3</v>
      </c>
      <c r="B242">
        <f>RFI_Elements!C245</f>
        <v>482</v>
      </c>
      <c r="C242">
        <v>244</v>
      </c>
      <c r="D242" s="128">
        <v>43101.003472222219</v>
      </c>
      <c r="E242" t="e">
        <f>VLOOKUP(VLOOKUP(B242,SuiteCatSubElem!$G$2:$G$667,2,0),'SA Q4 18 VR'!$A$33:$O$193,1+MATCH(VLOOKUP(A242,Vendors!$A$2:$B$15,2,0),'SA Q4 18 VR'!$B$24:$O$24,0),0)</f>
        <v>#REF!</v>
      </c>
      <c r="F242" s="27">
        <v>1</v>
      </c>
      <c r="G242">
        <f>RFI_Elements!N245</f>
        <v>244</v>
      </c>
      <c r="I242" t="e">
        <f>VLOOKUP(B242,SuiteCatSubElem!$G$2:$G$667,2,0)</f>
        <v>#REF!</v>
      </c>
    </row>
    <row r="243" spans="1:9">
      <c r="A243">
        <f>RFI_Elements!B246</f>
        <v>3</v>
      </c>
      <c r="B243">
        <f>RFI_Elements!C246</f>
        <v>483</v>
      </c>
      <c r="C243">
        <v>245</v>
      </c>
      <c r="D243" s="128">
        <v>43101.003472222219</v>
      </c>
      <c r="E243" t="e">
        <f>VLOOKUP(VLOOKUP(B243,SuiteCatSubElem!$G$2:$G$667,2,0),'SA Q4 18 VR'!$A$33:$O$193,1+MATCH(VLOOKUP(A243,Vendors!$A$2:$B$15,2,0),'SA Q4 18 VR'!$B$24:$O$24,0),0)</f>
        <v>#REF!</v>
      </c>
      <c r="F243" s="27">
        <v>1</v>
      </c>
      <c r="G243">
        <f>RFI_Elements!N246</f>
        <v>245</v>
      </c>
      <c r="I243" t="e">
        <f>VLOOKUP(B243,SuiteCatSubElem!$G$2:$G$667,2,0)</f>
        <v>#REF!</v>
      </c>
    </row>
    <row r="244" spans="1:9">
      <c r="A244">
        <f>RFI_Elements!B247</f>
        <v>3</v>
      </c>
      <c r="B244">
        <f>RFI_Elements!C247</f>
        <v>484</v>
      </c>
      <c r="C244">
        <v>246</v>
      </c>
      <c r="D244" s="128">
        <v>43101.003472222219</v>
      </c>
      <c r="E244" t="e">
        <f>VLOOKUP(VLOOKUP(B244,SuiteCatSubElem!$G$2:$G$667,2,0),'SA Q4 18 VR'!$A$33:$O$193,1+MATCH(VLOOKUP(A244,Vendors!$A$2:$B$15,2,0),'SA Q4 18 VR'!$B$24:$O$24,0),0)</f>
        <v>#REF!</v>
      </c>
      <c r="F244" s="27">
        <v>1</v>
      </c>
      <c r="G244">
        <f>RFI_Elements!N247</f>
        <v>246</v>
      </c>
      <c r="I244" t="e">
        <f>VLOOKUP(B244,SuiteCatSubElem!$G$2:$G$667,2,0)</f>
        <v>#REF!</v>
      </c>
    </row>
    <row r="245" spans="1:9">
      <c r="A245">
        <f>RFI_Elements!B248</f>
        <v>3</v>
      </c>
      <c r="B245">
        <f>RFI_Elements!C248</f>
        <v>485</v>
      </c>
      <c r="C245">
        <v>247</v>
      </c>
      <c r="D245" s="128">
        <v>43101.003472222219</v>
      </c>
      <c r="E245" t="e">
        <f>VLOOKUP(VLOOKUP(B245,SuiteCatSubElem!$G$2:$G$667,2,0),'SA Q4 18 VR'!$A$33:$O$193,1+MATCH(VLOOKUP(A245,Vendors!$A$2:$B$15,2,0),'SA Q4 18 VR'!$B$24:$O$24,0),0)</f>
        <v>#REF!</v>
      </c>
      <c r="F245" s="27">
        <v>1</v>
      </c>
      <c r="G245">
        <f>RFI_Elements!N248</f>
        <v>247</v>
      </c>
      <c r="I245" t="e">
        <f>VLOOKUP(B245,SuiteCatSubElem!$G$2:$G$667,2,0)</f>
        <v>#REF!</v>
      </c>
    </row>
    <row r="246" spans="1:9">
      <c r="A246">
        <f>RFI_Elements!B249</f>
        <v>3</v>
      </c>
      <c r="B246">
        <f>RFI_Elements!C249</f>
        <v>486</v>
      </c>
      <c r="C246">
        <v>248</v>
      </c>
      <c r="D246" s="128">
        <v>43101.003472222219</v>
      </c>
      <c r="E246" t="e">
        <f>VLOOKUP(VLOOKUP(B246,SuiteCatSubElem!$G$2:$G$667,2,0),'SA Q4 18 VR'!$A$33:$O$193,1+MATCH(VLOOKUP(A246,Vendors!$A$2:$B$15,2,0),'SA Q4 18 VR'!$B$24:$O$24,0),0)</f>
        <v>#REF!</v>
      </c>
      <c r="F246" s="27">
        <v>1</v>
      </c>
      <c r="G246">
        <f>RFI_Elements!N249</f>
        <v>248</v>
      </c>
      <c r="I246" t="e">
        <f>VLOOKUP(B246,SuiteCatSubElem!$G$2:$G$667,2,0)</f>
        <v>#REF!</v>
      </c>
    </row>
    <row r="247" spans="1:9">
      <c r="A247">
        <f>RFI_Elements!B250</f>
        <v>3</v>
      </c>
      <c r="B247">
        <f>RFI_Elements!C250</f>
        <v>487</v>
      </c>
      <c r="C247">
        <v>249</v>
      </c>
      <c r="D247" s="128">
        <v>43101.003472222219</v>
      </c>
      <c r="E247" t="e">
        <f>VLOOKUP(VLOOKUP(B247,SuiteCatSubElem!$G$2:$G$667,2,0),'SA Q4 18 VR'!$A$33:$O$193,1+MATCH(VLOOKUP(A247,Vendors!$A$2:$B$15,2,0),'SA Q4 18 VR'!$B$24:$O$24,0),0)</f>
        <v>#REF!</v>
      </c>
      <c r="F247" s="27">
        <v>1</v>
      </c>
      <c r="G247">
        <f>RFI_Elements!N250</f>
        <v>249</v>
      </c>
      <c r="I247" t="e">
        <f>VLOOKUP(B247,SuiteCatSubElem!$G$2:$G$667,2,0)</f>
        <v>#REF!</v>
      </c>
    </row>
    <row r="248" spans="1:9">
      <c r="A248">
        <f>RFI_Elements!B251</f>
        <v>3</v>
      </c>
      <c r="B248">
        <f>RFI_Elements!C251</f>
        <v>488</v>
      </c>
      <c r="C248">
        <v>250</v>
      </c>
      <c r="D248" s="128">
        <v>43101.003472222219</v>
      </c>
      <c r="E248" t="e">
        <f>VLOOKUP(VLOOKUP(B248,SuiteCatSubElem!$G$2:$G$667,2,0),'SA Q4 18 VR'!$A$33:$O$193,1+MATCH(VLOOKUP(A248,Vendors!$A$2:$B$15,2,0),'SA Q4 18 VR'!$B$24:$O$24,0),0)</f>
        <v>#REF!</v>
      </c>
      <c r="F248" s="27">
        <v>1</v>
      </c>
      <c r="G248">
        <f>RFI_Elements!N251</f>
        <v>250</v>
      </c>
      <c r="I248" t="e">
        <f>VLOOKUP(B248,SuiteCatSubElem!$G$2:$G$667,2,0)</f>
        <v>#REF!</v>
      </c>
    </row>
    <row r="249" spans="1:9">
      <c r="A249">
        <f>RFI_Elements!B252</f>
        <v>3</v>
      </c>
      <c r="B249">
        <f>RFI_Elements!C252</f>
        <v>489</v>
      </c>
      <c r="C249">
        <v>251</v>
      </c>
      <c r="D249" s="128">
        <v>43101.003472222219</v>
      </c>
      <c r="E249" t="e">
        <f>VLOOKUP(VLOOKUP(B249,SuiteCatSubElem!$G$2:$G$667,2,0),'SA Q4 18 VR'!$A$33:$O$193,1+MATCH(VLOOKUP(A249,Vendors!$A$2:$B$15,2,0),'SA Q4 18 VR'!$B$24:$O$24,0),0)</f>
        <v>#REF!</v>
      </c>
      <c r="F249" s="27">
        <v>1</v>
      </c>
      <c r="G249">
        <f>RFI_Elements!N252</f>
        <v>251</v>
      </c>
      <c r="I249" t="e">
        <f>VLOOKUP(B249,SuiteCatSubElem!$G$2:$G$667,2,0)</f>
        <v>#REF!</v>
      </c>
    </row>
    <row r="250" spans="1:9">
      <c r="A250">
        <f>RFI_Elements!B253</f>
        <v>3</v>
      </c>
      <c r="B250">
        <f>RFI_Elements!C253</f>
        <v>490</v>
      </c>
      <c r="C250">
        <v>252</v>
      </c>
      <c r="D250" s="128">
        <v>43101.003472222219</v>
      </c>
      <c r="E250" t="e">
        <f>VLOOKUP(VLOOKUP(B250,SuiteCatSubElem!$G$2:$G$667,2,0),'SA Q4 18 VR'!$A$33:$O$193,1+MATCH(VLOOKUP(A250,Vendors!$A$2:$B$15,2,0),'SA Q4 18 VR'!$B$24:$O$24,0),0)</f>
        <v>#REF!</v>
      </c>
      <c r="F250" s="27">
        <v>1</v>
      </c>
      <c r="G250">
        <f>RFI_Elements!N253</f>
        <v>252</v>
      </c>
      <c r="I250" t="e">
        <f>VLOOKUP(B250,SuiteCatSubElem!$G$2:$G$667,2,0)</f>
        <v>#REF!</v>
      </c>
    </row>
    <row r="251" spans="1:9">
      <c r="A251">
        <f>RFI_Elements!B254</f>
        <v>3</v>
      </c>
      <c r="B251">
        <f>RFI_Elements!C254</f>
        <v>491</v>
      </c>
      <c r="C251">
        <v>253</v>
      </c>
      <c r="D251" s="128">
        <v>43101.003472222219</v>
      </c>
      <c r="E251" t="e">
        <f>VLOOKUP(VLOOKUP(B251,SuiteCatSubElem!$G$2:$G$667,2,0),'SA Q4 18 VR'!$A$33:$O$193,1+MATCH(VLOOKUP(A251,Vendors!$A$2:$B$15,2,0),'SA Q4 18 VR'!$B$24:$O$24,0),0)</f>
        <v>#REF!</v>
      </c>
      <c r="F251" s="27">
        <v>1</v>
      </c>
      <c r="G251">
        <f>RFI_Elements!N254</f>
        <v>253</v>
      </c>
      <c r="I251" t="e">
        <f>VLOOKUP(B251,SuiteCatSubElem!$G$2:$G$667,2,0)</f>
        <v>#REF!</v>
      </c>
    </row>
    <row r="252" spans="1:9">
      <c r="A252">
        <f>RFI_Elements!B255</f>
        <v>3</v>
      </c>
      <c r="B252">
        <f>RFI_Elements!C255</f>
        <v>492</v>
      </c>
      <c r="C252">
        <v>254</v>
      </c>
      <c r="D252" s="128">
        <v>43101.003472222219</v>
      </c>
      <c r="E252" t="e">
        <f>VLOOKUP(VLOOKUP(B252,SuiteCatSubElem!$G$2:$G$667,2,0),'SA Q4 18 VR'!$A$33:$O$193,1+MATCH(VLOOKUP(A252,Vendors!$A$2:$B$15,2,0),'SA Q4 18 VR'!$B$24:$O$24,0),0)</f>
        <v>#REF!</v>
      </c>
      <c r="F252" s="27">
        <v>1</v>
      </c>
      <c r="G252">
        <f>RFI_Elements!N255</f>
        <v>254</v>
      </c>
      <c r="I252" t="e">
        <f>VLOOKUP(B252,SuiteCatSubElem!$G$2:$G$667,2,0)</f>
        <v>#REF!</v>
      </c>
    </row>
    <row r="253" spans="1:9">
      <c r="A253">
        <f>RFI_Elements!B256</f>
        <v>3</v>
      </c>
      <c r="B253">
        <f>RFI_Elements!C256</f>
        <v>493</v>
      </c>
      <c r="C253">
        <v>255</v>
      </c>
      <c r="D253" s="128">
        <v>43101.003472222219</v>
      </c>
      <c r="E253" t="e">
        <f>VLOOKUP(VLOOKUP(B253,SuiteCatSubElem!$G$2:$G$667,2,0),'SA Q4 18 VR'!$A$33:$O$193,1+MATCH(VLOOKUP(A253,Vendors!$A$2:$B$15,2,0),'SA Q4 18 VR'!$B$24:$O$24,0),0)</f>
        <v>#REF!</v>
      </c>
      <c r="F253" s="27">
        <v>1</v>
      </c>
      <c r="G253">
        <f>RFI_Elements!N256</f>
        <v>255</v>
      </c>
      <c r="I253" t="e">
        <f>VLOOKUP(B253,SuiteCatSubElem!$G$2:$G$667,2,0)</f>
        <v>#REF!</v>
      </c>
    </row>
    <row r="254" spans="1:9">
      <c r="A254">
        <f>RFI_Elements!B257</f>
        <v>4</v>
      </c>
      <c r="B254">
        <f>RFI_Elements!C257</f>
        <v>409</v>
      </c>
      <c r="C254">
        <v>256</v>
      </c>
      <c r="D254" s="128">
        <v>43101.003472164353</v>
      </c>
      <c r="E254" t="e">
        <f>VLOOKUP(VLOOKUP(B254,SuiteCatSubElem!$G$2:$G$667,2,0),'SA Q4 18 VR'!$A$33:$O$193,1+MATCH(VLOOKUP(A254,Vendors!$A$2:$B$15,2,0),'SA Q4 18 VR'!$B$24:$O$24,0),0)</f>
        <v>#REF!</v>
      </c>
      <c r="F254" s="27">
        <v>1</v>
      </c>
      <c r="G254">
        <f>RFI_Elements!N257</f>
        <v>256</v>
      </c>
      <c r="I254" t="e">
        <f>VLOOKUP(B254,SuiteCatSubElem!$G$2:$G$667,2,0)</f>
        <v>#REF!</v>
      </c>
    </row>
    <row r="255" spans="1:9">
      <c r="A255">
        <f>RFI_Elements!B258</f>
        <v>4</v>
      </c>
      <c r="B255">
        <f>RFI_Elements!C258</f>
        <v>410</v>
      </c>
      <c r="C255">
        <v>257</v>
      </c>
      <c r="D255" s="128">
        <v>43101.003472164353</v>
      </c>
      <c r="E255" t="e">
        <f>VLOOKUP(VLOOKUP(B255,SuiteCatSubElem!$G$2:$G$667,2,0),'SA Q4 18 VR'!$A$33:$O$193,1+MATCH(VLOOKUP(A255,Vendors!$A$2:$B$15,2,0),'SA Q4 18 VR'!$B$24:$O$24,0),0)</f>
        <v>#REF!</v>
      </c>
      <c r="F255" s="27">
        <v>1</v>
      </c>
      <c r="G255">
        <f>RFI_Elements!N258</f>
        <v>257</v>
      </c>
      <c r="I255" t="e">
        <f>VLOOKUP(B255,SuiteCatSubElem!$G$2:$G$667,2,0)</f>
        <v>#REF!</v>
      </c>
    </row>
    <row r="256" spans="1:9">
      <c r="A256">
        <f>RFI_Elements!B259</f>
        <v>4</v>
      </c>
      <c r="B256">
        <f>RFI_Elements!C259</f>
        <v>411</v>
      </c>
      <c r="C256">
        <v>258</v>
      </c>
      <c r="D256" s="128">
        <v>43101.003472164353</v>
      </c>
      <c r="E256" t="e">
        <f>VLOOKUP(VLOOKUP(B256,SuiteCatSubElem!$G$2:$G$667,2,0),'SA Q4 18 VR'!$A$33:$O$193,1+MATCH(VLOOKUP(A256,Vendors!$A$2:$B$15,2,0),'SA Q4 18 VR'!$B$24:$O$24,0),0)</f>
        <v>#REF!</v>
      </c>
      <c r="F256" s="27">
        <v>1</v>
      </c>
      <c r="G256">
        <f>RFI_Elements!N259</f>
        <v>258</v>
      </c>
      <c r="I256" t="e">
        <f>VLOOKUP(B256,SuiteCatSubElem!$G$2:$G$667,2,0)</f>
        <v>#REF!</v>
      </c>
    </row>
    <row r="257" spans="1:9">
      <c r="A257">
        <f>RFI_Elements!B260</f>
        <v>4</v>
      </c>
      <c r="B257">
        <f>RFI_Elements!C260</f>
        <v>412</v>
      </c>
      <c r="C257">
        <v>259</v>
      </c>
      <c r="D257" s="128">
        <v>43101.003472164353</v>
      </c>
      <c r="E257" t="e">
        <f>VLOOKUP(VLOOKUP(B257,SuiteCatSubElem!$G$2:$G$667,2,0),'SA Q4 18 VR'!$A$33:$O$193,1+MATCH(VLOOKUP(A257,Vendors!$A$2:$B$15,2,0),'SA Q4 18 VR'!$B$24:$O$24,0),0)</f>
        <v>#REF!</v>
      </c>
      <c r="F257" s="27">
        <v>1</v>
      </c>
      <c r="G257">
        <f>RFI_Elements!N260</f>
        <v>259</v>
      </c>
      <c r="I257" t="e">
        <f>VLOOKUP(B257,SuiteCatSubElem!$G$2:$G$667,2,0)</f>
        <v>#REF!</v>
      </c>
    </row>
    <row r="258" spans="1:9">
      <c r="A258">
        <f>RFI_Elements!B261</f>
        <v>4</v>
      </c>
      <c r="B258">
        <f>RFI_Elements!C261</f>
        <v>413</v>
      </c>
      <c r="C258">
        <v>260</v>
      </c>
      <c r="D258" s="128">
        <v>43101.003472164353</v>
      </c>
      <c r="E258" t="e">
        <f>VLOOKUP(VLOOKUP(B258,SuiteCatSubElem!$G$2:$G$667,2,0),'SA Q4 18 VR'!$A$33:$O$193,1+MATCH(VLOOKUP(A258,Vendors!$A$2:$B$15,2,0),'SA Q4 18 VR'!$B$24:$O$24,0),0)</f>
        <v>#REF!</v>
      </c>
      <c r="F258" s="27">
        <v>1</v>
      </c>
      <c r="G258">
        <f>RFI_Elements!N261</f>
        <v>260</v>
      </c>
      <c r="I258" t="e">
        <f>VLOOKUP(B258,SuiteCatSubElem!$G$2:$G$667,2,0)</f>
        <v>#REF!</v>
      </c>
    </row>
    <row r="259" spans="1:9">
      <c r="A259">
        <f>RFI_Elements!B262</f>
        <v>4</v>
      </c>
      <c r="B259">
        <f>RFI_Elements!C262</f>
        <v>414</v>
      </c>
      <c r="C259">
        <v>261</v>
      </c>
      <c r="D259" s="128">
        <v>43101.003472164353</v>
      </c>
      <c r="E259" t="e">
        <f>VLOOKUP(VLOOKUP(B259,SuiteCatSubElem!$G$2:$G$667,2,0),'SA Q4 18 VR'!$A$33:$O$193,1+MATCH(VLOOKUP(A259,Vendors!$A$2:$B$15,2,0),'SA Q4 18 VR'!$B$24:$O$24,0),0)</f>
        <v>#REF!</v>
      </c>
      <c r="F259" s="27">
        <v>1</v>
      </c>
      <c r="G259">
        <f>RFI_Elements!N262</f>
        <v>261</v>
      </c>
      <c r="I259" t="e">
        <f>VLOOKUP(B259,SuiteCatSubElem!$G$2:$G$667,2,0)</f>
        <v>#REF!</v>
      </c>
    </row>
    <row r="260" spans="1:9">
      <c r="A260">
        <f>RFI_Elements!B263</f>
        <v>4</v>
      </c>
      <c r="B260">
        <f>RFI_Elements!C263</f>
        <v>415</v>
      </c>
      <c r="C260">
        <v>262</v>
      </c>
      <c r="D260" s="128">
        <v>43101.003472164353</v>
      </c>
      <c r="E260" t="e">
        <f>VLOOKUP(VLOOKUP(B260,SuiteCatSubElem!$G$2:$G$667,2,0),'SA Q4 18 VR'!$A$33:$O$193,1+MATCH(VLOOKUP(A260,Vendors!$A$2:$B$15,2,0),'SA Q4 18 VR'!$B$24:$O$24,0),0)</f>
        <v>#REF!</v>
      </c>
      <c r="F260" s="27">
        <v>1</v>
      </c>
      <c r="G260">
        <f>RFI_Elements!N263</f>
        <v>262</v>
      </c>
      <c r="I260" t="e">
        <f>VLOOKUP(B260,SuiteCatSubElem!$G$2:$G$667,2,0)</f>
        <v>#REF!</v>
      </c>
    </row>
    <row r="261" spans="1:9">
      <c r="A261">
        <f>RFI_Elements!B264</f>
        <v>4</v>
      </c>
      <c r="B261">
        <f>RFI_Elements!C264</f>
        <v>416</v>
      </c>
      <c r="C261">
        <v>263</v>
      </c>
      <c r="D261" s="128">
        <v>43101.003472164353</v>
      </c>
      <c r="E261" t="e">
        <f>VLOOKUP(VLOOKUP(B261,SuiteCatSubElem!$G$2:$G$667,2,0),'SA Q4 18 VR'!$A$33:$O$193,1+MATCH(VLOOKUP(A261,Vendors!$A$2:$B$15,2,0),'SA Q4 18 VR'!$B$24:$O$24,0),0)</f>
        <v>#REF!</v>
      </c>
      <c r="F261" s="27">
        <v>1</v>
      </c>
      <c r="G261">
        <f>RFI_Elements!N264</f>
        <v>263</v>
      </c>
      <c r="I261" t="e">
        <f>VLOOKUP(B261,SuiteCatSubElem!$G$2:$G$667,2,0)</f>
        <v>#REF!</v>
      </c>
    </row>
    <row r="262" spans="1:9">
      <c r="A262">
        <f>RFI_Elements!B265</f>
        <v>4</v>
      </c>
      <c r="B262">
        <f>RFI_Elements!C265</f>
        <v>417</v>
      </c>
      <c r="C262">
        <v>264</v>
      </c>
      <c r="D262" s="128">
        <v>43101.003472164353</v>
      </c>
      <c r="E262" t="e">
        <f>VLOOKUP(VLOOKUP(B262,SuiteCatSubElem!$G$2:$G$667,2,0),'SA Q4 18 VR'!$A$33:$O$193,1+MATCH(VLOOKUP(A262,Vendors!$A$2:$B$15,2,0),'SA Q4 18 VR'!$B$24:$O$24,0),0)</f>
        <v>#REF!</v>
      </c>
      <c r="F262" s="27">
        <v>1</v>
      </c>
      <c r="G262">
        <f>RFI_Elements!N265</f>
        <v>264</v>
      </c>
      <c r="I262" t="e">
        <f>VLOOKUP(B262,SuiteCatSubElem!$G$2:$G$667,2,0)</f>
        <v>#REF!</v>
      </c>
    </row>
    <row r="263" spans="1:9">
      <c r="A263">
        <f>RFI_Elements!B266</f>
        <v>4</v>
      </c>
      <c r="B263">
        <f>RFI_Elements!C266</f>
        <v>418</v>
      </c>
      <c r="C263">
        <v>265</v>
      </c>
      <c r="D263" s="128">
        <v>43101.003472164353</v>
      </c>
      <c r="E263" t="e">
        <f>VLOOKUP(VLOOKUP(B263,SuiteCatSubElem!$G$2:$G$667,2,0),'SA Q4 18 VR'!$A$33:$O$193,1+MATCH(VLOOKUP(A263,Vendors!$A$2:$B$15,2,0),'SA Q4 18 VR'!$B$24:$O$24,0),0)</f>
        <v>#REF!</v>
      </c>
      <c r="F263" s="27">
        <v>1</v>
      </c>
      <c r="G263">
        <f>RFI_Elements!N266</f>
        <v>265</v>
      </c>
      <c r="I263" t="e">
        <f>VLOOKUP(B263,SuiteCatSubElem!$G$2:$G$667,2,0)</f>
        <v>#REF!</v>
      </c>
    </row>
    <row r="264" spans="1:9">
      <c r="A264">
        <f>RFI_Elements!B267</f>
        <v>4</v>
      </c>
      <c r="B264">
        <f>RFI_Elements!C267</f>
        <v>419</v>
      </c>
      <c r="C264">
        <v>266</v>
      </c>
      <c r="D264" s="128">
        <v>43101.003472164353</v>
      </c>
      <c r="E264" t="e">
        <f>VLOOKUP(VLOOKUP(B264,SuiteCatSubElem!$G$2:$G$667,2,0),'SA Q4 18 VR'!$A$33:$O$193,1+MATCH(VLOOKUP(A264,Vendors!$A$2:$B$15,2,0),'SA Q4 18 VR'!$B$24:$O$24,0),0)</f>
        <v>#REF!</v>
      </c>
      <c r="F264" s="27">
        <v>1</v>
      </c>
      <c r="G264">
        <f>RFI_Elements!N267</f>
        <v>266</v>
      </c>
      <c r="I264" t="e">
        <f>VLOOKUP(B264,SuiteCatSubElem!$G$2:$G$667,2,0)</f>
        <v>#REF!</v>
      </c>
    </row>
    <row r="265" spans="1:9">
      <c r="A265">
        <f>RFI_Elements!B268</f>
        <v>4</v>
      </c>
      <c r="B265">
        <f>RFI_Elements!C268</f>
        <v>420</v>
      </c>
      <c r="C265">
        <v>267</v>
      </c>
      <c r="D265" s="128">
        <v>43101.003472164353</v>
      </c>
      <c r="E265" t="e">
        <f>VLOOKUP(VLOOKUP(B265,SuiteCatSubElem!$G$2:$G$667,2,0),'SA Q4 18 VR'!$A$33:$O$193,1+MATCH(VLOOKUP(A265,Vendors!$A$2:$B$15,2,0),'SA Q4 18 VR'!$B$24:$O$24,0),0)</f>
        <v>#REF!</v>
      </c>
      <c r="F265" s="27">
        <v>1</v>
      </c>
      <c r="G265">
        <f>RFI_Elements!N268</f>
        <v>267</v>
      </c>
      <c r="I265" t="e">
        <f>VLOOKUP(B265,SuiteCatSubElem!$G$2:$G$667,2,0)</f>
        <v>#REF!</v>
      </c>
    </row>
    <row r="266" spans="1:9">
      <c r="A266">
        <f>RFI_Elements!B269</f>
        <v>4</v>
      </c>
      <c r="B266">
        <f>RFI_Elements!C269</f>
        <v>421</v>
      </c>
      <c r="C266">
        <v>268</v>
      </c>
      <c r="D266" s="128">
        <v>43101.003472164353</v>
      </c>
      <c r="E266" t="e">
        <f>VLOOKUP(VLOOKUP(B266,SuiteCatSubElem!$G$2:$G$667,2,0),'SA Q4 18 VR'!$A$33:$O$193,1+MATCH(VLOOKUP(A266,Vendors!$A$2:$B$15,2,0),'SA Q4 18 VR'!$B$24:$O$24,0),0)</f>
        <v>#REF!</v>
      </c>
      <c r="F266" s="27">
        <v>1</v>
      </c>
      <c r="G266">
        <f>RFI_Elements!N269</f>
        <v>268</v>
      </c>
      <c r="I266" t="e">
        <f>VLOOKUP(B266,SuiteCatSubElem!$G$2:$G$667,2,0)</f>
        <v>#REF!</v>
      </c>
    </row>
    <row r="267" spans="1:9">
      <c r="A267">
        <f>RFI_Elements!B270</f>
        <v>4</v>
      </c>
      <c r="B267">
        <f>RFI_Elements!C270</f>
        <v>422</v>
      </c>
      <c r="C267">
        <v>269</v>
      </c>
      <c r="D267" s="128">
        <v>43101.003472164353</v>
      </c>
      <c r="E267" t="e">
        <f>VLOOKUP(VLOOKUP(B267,SuiteCatSubElem!$G$2:$G$667,2,0),'SA Q4 18 VR'!$A$33:$O$193,1+MATCH(VLOOKUP(A267,Vendors!$A$2:$B$15,2,0),'SA Q4 18 VR'!$B$24:$O$24,0),0)</f>
        <v>#REF!</v>
      </c>
      <c r="F267" s="27">
        <v>1</v>
      </c>
      <c r="G267">
        <f>RFI_Elements!N270</f>
        <v>269</v>
      </c>
      <c r="I267" t="e">
        <f>VLOOKUP(B267,SuiteCatSubElem!$G$2:$G$667,2,0)</f>
        <v>#REF!</v>
      </c>
    </row>
    <row r="268" spans="1:9">
      <c r="A268">
        <f>RFI_Elements!B271</f>
        <v>4</v>
      </c>
      <c r="B268">
        <f>RFI_Elements!C271</f>
        <v>423</v>
      </c>
      <c r="C268">
        <v>270</v>
      </c>
      <c r="D268" s="128">
        <v>43101.003472164353</v>
      </c>
      <c r="E268" t="e">
        <f>VLOOKUP(VLOOKUP(B268,SuiteCatSubElem!$G$2:$G$667,2,0),'SA Q4 18 VR'!$A$33:$O$193,1+MATCH(VLOOKUP(A268,Vendors!$A$2:$B$15,2,0),'SA Q4 18 VR'!$B$24:$O$24,0),0)</f>
        <v>#REF!</v>
      </c>
      <c r="F268" s="27">
        <v>1</v>
      </c>
      <c r="G268">
        <f>RFI_Elements!N271</f>
        <v>270</v>
      </c>
      <c r="I268" t="e">
        <f>VLOOKUP(B268,SuiteCatSubElem!$G$2:$G$667,2,0)</f>
        <v>#REF!</v>
      </c>
    </row>
    <row r="269" spans="1:9">
      <c r="A269">
        <f>RFI_Elements!B272</f>
        <v>4</v>
      </c>
      <c r="B269">
        <f>RFI_Elements!C272</f>
        <v>424</v>
      </c>
      <c r="C269">
        <v>271</v>
      </c>
      <c r="D269" s="128">
        <v>43101.003472164353</v>
      </c>
      <c r="E269" t="e">
        <f>VLOOKUP(VLOOKUP(B269,SuiteCatSubElem!$G$2:$G$667,2,0),'SA Q4 18 VR'!$A$33:$O$193,1+MATCH(VLOOKUP(A269,Vendors!$A$2:$B$15,2,0),'SA Q4 18 VR'!$B$24:$O$24,0),0)</f>
        <v>#REF!</v>
      </c>
      <c r="F269" s="27">
        <v>1</v>
      </c>
      <c r="G269">
        <f>RFI_Elements!N272</f>
        <v>271</v>
      </c>
      <c r="I269" t="e">
        <f>VLOOKUP(B269,SuiteCatSubElem!$G$2:$G$667,2,0)</f>
        <v>#REF!</v>
      </c>
    </row>
    <row r="270" spans="1:9">
      <c r="A270">
        <f>RFI_Elements!B273</f>
        <v>4</v>
      </c>
      <c r="B270">
        <f>RFI_Elements!C273</f>
        <v>425</v>
      </c>
      <c r="C270">
        <v>272</v>
      </c>
      <c r="D270" s="128">
        <v>43101.003472164353</v>
      </c>
      <c r="E270" t="e">
        <f>VLOOKUP(VLOOKUP(B270,SuiteCatSubElem!$G$2:$G$667,2,0),'SA Q4 18 VR'!$A$33:$O$193,1+MATCH(VLOOKUP(A270,Vendors!$A$2:$B$15,2,0),'SA Q4 18 VR'!$B$24:$O$24,0),0)</f>
        <v>#REF!</v>
      </c>
      <c r="F270" s="27">
        <v>1</v>
      </c>
      <c r="G270">
        <f>RFI_Elements!N273</f>
        <v>272</v>
      </c>
      <c r="I270" t="e">
        <f>VLOOKUP(B270,SuiteCatSubElem!$G$2:$G$667,2,0)</f>
        <v>#REF!</v>
      </c>
    </row>
    <row r="271" spans="1:9">
      <c r="A271">
        <f>RFI_Elements!B274</f>
        <v>4</v>
      </c>
      <c r="B271">
        <f>RFI_Elements!C274</f>
        <v>426</v>
      </c>
      <c r="C271">
        <v>273</v>
      </c>
      <c r="D271" s="128">
        <v>43101.003472164353</v>
      </c>
      <c r="E271" t="e">
        <f>VLOOKUP(VLOOKUP(B271,SuiteCatSubElem!$G$2:$G$667,2,0),'SA Q4 18 VR'!$A$33:$O$193,1+MATCH(VLOOKUP(A271,Vendors!$A$2:$B$15,2,0),'SA Q4 18 VR'!$B$24:$O$24,0),0)</f>
        <v>#REF!</v>
      </c>
      <c r="F271" s="27">
        <v>1</v>
      </c>
      <c r="G271">
        <f>RFI_Elements!N274</f>
        <v>273</v>
      </c>
      <c r="I271" t="e">
        <f>VLOOKUP(B271,SuiteCatSubElem!$G$2:$G$667,2,0)</f>
        <v>#REF!</v>
      </c>
    </row>
    <row r="272" spans="1:9">
      <c r="A272">
        <f>RFI_Elements!B275</f>
        <v>4</v>
      </c>
      <c r="B272">
        <f>RFI_Elements!C275</f>
        <v>427</v>
      </c>
      <c r="C272">
        <v>274</v>
      </c>
      <c r="D272" s="128">
        <v>43101.003472164353</v>
      </c>
      <c r="E272" t="e">
        <f>VLOOKUP(VLOOKUP(B272,SuiteCatSubElem!$G$2:$G$667,2,0),'SA Q4 18 VR'!$A$33:$O$193,1+MATCH(VLOOKUP(A272,Vendors!$A$2:$B$15,2,0),'SA Q4 18 VR'!$B$24:$O$24,0),0)</f>
        <v>#REF!</v>
      </c>
      <c r="F272" s="27">
        <v>1</v>
      </c>
      <c r="G272">
        <f>RFI_Elements!N275</f>
        <v>274</v>
      </c>
      <c r="I272" t="e">
        <f>VLOOKUP(B272,SuiteCatSubElem!$G$2:$G$667,2,0)</f>
        <v>#REF!</v>
      </c>
    </row>
    <row r="273" spans="1:9">
      <c r="A273">
        <f>RFI_Elements!B276</f>
        <v>4</v>
      </c>
      <c r="B273">
        <f>RFI_Elements!C276</f>
        <v>428</v>
      </c>
      <c r="C273">
        <v>275</v>
      </c>
      <c r="D273" s="128">
        <v>43101.003472164353</v>
      </c>
      <c r="E273" t="e">
        <f>VLOOKUP(VLOOKUP(B273,SuiteCatSubElem!$G$2:$G$667,2,0),'SA Q4 18 VR'!$A$33:$O$193,1+MATCH(VLOOKUP(A273,Vendors!$A$2:$B$15,2,0),'SA Q4 18 VR'!$B$24:$O$24,0),0)</f>
        <v>#REF!</v>
      </c>
      <c r="F273" s="27">
        <v>1</v>
      </c>
      <c r="G273">
        <f>RFI_Elements!N276</f>
        <v>275</v>
      </c>
      <c r="I273" t="e">
        <f>VLOOKUP(B273,SuiteCatSubElem!$G$2:$G$667,2,0)</f>
        <v>#REF!</v>
      </c>
    </row>
    <row r="274" spans="1:9">
      <c r="A274">
        <f>RFI_Elements!B277</f>
        <v>4</v>
      </c>
      <c r="B274">
        <f>RFI_Elements!C277</f>
        <v>429</v>
      </c>
      <c r="C274">
        <v>276</v>
      </c>
      <c r="D274" s="128">
        <v>43101.003472164353</v>
      </c>
      <c r="E274" t="e">
        <f>VLOOKUP(VLOOKUP(B274,SuiteCatSubElem!$G$2:$G$667,2,0),'SA Q4 18 VR'!$A$33:$O$193,1+MATCH(VLOOKUP(A274,Vendors!$A$2:$B$15,2,0),'SA Q4 18 VR'!$B$24:$O$24,0),0)</f>
        <v>#REF!</v>
      </c>
      <c r="F274" s="27">
        <v>1</v>
      </c>
      <c r="G274">
        <f>RFI_Elements!N277</f>
        <v>276</v>
      </c>
      <c r="I274" t="e">
        <f>VLOOKUP(B274,SuiteCatSubElem!$G$2:$G$667,2,0)</f>
        <v>#REF!</v>
      </c>
    </row>
    <row r="275" spans="1:9">
      <c r="A275">
        <f>RFI_Elements!B278</f>
        <v>4</v>
      </c>
      <c r="B275">
        <f>RFI_Elements!C278</f>
        <v>430</v>
      </c>
      <c r="C275">
        <v>277</v>
      </c>
      <c r="D275" s="128">
        <v>43101.003472164353</v>
      </c>
      <c r="E275" t="e">
        <f>VLOOKUP(VLOOKUP(B275,SuiteCatSubElem!$G$2:$G$667,2,0),'SA Q4 18 VR'!$A$33:$O$193,1+MATCH(VLOOKUP(A275,Vendors!$A$2:$B$15,2,0),'SA Q4 18 VR'!$B$24:$O$24,0),0)</f>
        <v>#REF!</v>
      </c>
      <c r="F275" s="27">
        <v>1</v>
      </c>
      <c r="G275">
        <f>RFI_Elements!N278</f>
        <v>277</v>
      </c>
      <c r="I275" t="e">
        <f>VLOOKUP(B275,SuiteCatSubElem!$G$2:$G$667,2,0)</f>
        <v>#REF!</v>
      </c>
    </row>
    <row r="276" spans="1:9">
      <c r="A276">
        <f>RFI_Elements!B279</f>
        <v>4</v>
      </c>
      <c r="B276">
        <f>RFI_Elements!C279</f>
        <v>431</v>
      </c>
      <c r="C276">
        <v>278</v>
      </c>
      <c r="D276" s="128">
        <v>43101.003472164353</v>
      </c>
      <c r="E276" t="e">
        <f>VLOOKUP(VLOOKUP(B276,SuiteCatSubElem!$G$2:$G$667,2,0),'SA Q4 18 VR'!$A$33:$O$193,1+MATCH(VLOOKUP(A276,Vendors!$A$2:$B$15,2,0),'SA Q4 18 VR'!$B$24:$O$24,0),0)</f>
        <v>#REF!</v>
      </c>
      <c r="F276" s="27">
        <v>1</v>
      </c>
      <c r="G276">
        <f>RFI_Elements!N279</f>
        <v>278</v>
      </c>
      <c r="I276" t="e">
        <f>VLOOKUP(B276,SuiteCatSubElem!$G$2:$G$667,2,0)</f>
        <v>#REF!</v>
      </c>
    </row>
    <row r="277" spans="1:9">
      <c r="A277">
        <f>RFI_Elements!B280</f>
        <v>4</v>
      </c>
      <c r="B277">
        <f>RFI_Elements!C280</f>
        <v>432</v>
      </c>
      <c r="C277">
        <v>279</v>
      </c>
      <c r="D277" s="128">
        <v>43101.003472164353</v>
      </c>
      <c r="E277" t="e">
        <f>VLOOKUP(VLOOKUP(B277,SuiteCatSubElem!$G$2:$G$667,2,0),'SA Q4 18 VR'!$A$33:$O$193,1+MATCH(VLOOKUP(A277,Vendors!$A$2:$B$15,2,0),'SA Q4 18 VR'!$B$24:$O$24,0),0)</f>
        <v>#REF!</v>
      </c>
      <c r="F277" s="27">
        <v>1</v>
      </c>
      <c r="G277">
        <f>RFI_Elements!N280</f>
        <v>279</v>
      </c>
      <c r="I277" t="e">
        <f>VLOOKUP(B277,SuiteCatSubElem!$G$2:$G$667,2,0)</f>
        <v>#REF!</v>
      </c>
    </row>
    <row r="278" spans="1:9">
      <c r="A278">
        <f>RFI_Elements!B281</f>
        <v>4</v>
      </c>
      <c r="B278">
        <f>RFI_Elements!C281</f>
        <v>433</v>
      </c>
      <c r="C278">
        <v>280</v>
      </c>
      <c r="D278" s="128">
        <v>43101.003472164353</v>
      </c>
      <c r="E278" t="e">
        <f>VLOOKUP(VLOOKUP(B278,SuiteCatSubElem!$G$2:$G$667,2,0),'SA Q4 18 VR'!$A$33:$O$193,1+MATCH(VLOOKUP(A278,Vendors!$A$2:$B$15,2,0),'SA Q4 18 VR'!$B$24:$O$24,0),0)</f>
        <v>#REF!</v>
      </c>
      <c r="F278" s="27">
        <v>1</v>
      </c>
      <c r="G278">
        <f>RFI_Elements!N281</f>
        <v>280</v>
      </c>
      <c r="I278" t="e">
        <f>VLOOKUP(B278,SuiteCatSubElem!$G$2:$G$667,2,0)</f>
        <v>#REF!</v>
      </c>
    </row>
    <row r="279" spans="1:9">
      <c r="A279">
        <f>RFI_Elements!B282</f>
        <v>4</v>
      </c>
      <c r="B279">
        <f>RFI_Elements!C282</f>
        <v>434</v>
      </c>
      <c r="C279">
        <v>281</v>
      </c>
      <c r="D279" s="128">
        <v>43101.003472164353</v>
      </c>
      <c r="E279" t="e">
        <f>VLOOKUP(VLOOKUP(B279,SuiteCatSubElem!$G$2:$G$667,2,0),'SA Q4 18 VR'!$A$33:$O$193,1+MATCH(VLOOKUP(A279,Vendors!$A$2:$B$15,2,0),'SA Q4 18 VR'!$B$24:$O$24,0),0)</f>
        <v>#REF!</v>
      </c>
      <c r="F279" s="27">
        <v>1</v>
      </c>
      <c r="G279">
        <f>RFI_Elements!N282</f>
        <v>281</v>
      </c>
      <c r="I279" t="e">
        <f>VLOOKUP(B279,SuiteCatSubElem!$G$2:$G$667,2,0)</f>
        <v>#REF!</v>
      </c>
    </row>
    <row r="280" spans="1:9">
      <c r="A280">
        <f>RFI_Elements!B283</f>
        <v>4</v>
      </c>
      <c r="B280">
        <f>RFI_Elements!C283</f>
        <v>435</v>
      </c>
      <c r="C280">
        <v>282</v>
      </c>
      <c r="D280" s="128">
        <v>43101.003472164353</v>
      </c>
      <c r="E280" t="e">
        <f>VLOOKUP(VLOOKUP(B280,SuiteCatSubElem!$G$2:$G$667,2,0),'SA Q4 18 VR'!$A$33:$O$193,1+MATCH(VLOOKUP(A280,Vendors!$A$2:$B$15,2,0),'SA Q4 18 VR'!$B$24:$O$24,0),0)</f>
        <v>#REF!</v>
      </c>
      <c r="F280" s="27">
        <v>1</v>
      </c>
      <c r="G280">
        <f>RFI_Elements!N283</f>
        <v>282</v>
      </c>
      <c r="I280" t="e">
        <f>VLOOKUP(B280,SuiteCatSubElem!$G$2:$G$667,2,0)</f>
        <v>#REF!</v>
      </c>
    </row>
    <row r="281" spans="1:9">
      <c r="A281">
        <f>RFI_Elements!B284</f>
        <v>4</v>
      </c>
      <c r="B281">
        <f>RFI_Elements!C284</f>
        <v>436</v>
      </c>
      <c r="C281">
        <v>283</v>
      </c>
      <c r="D281" s="128">
        <v>43101.003472164353</v>
      </c>
      <c r="E281" t="e">
        <f>VLOOKUP(VLOOKUP(B281,SuiteCatSubElem!$G$2:$G$667,2,0),'SA Q4 18 VR'!$A$33:$O$193,1+MATCH(VLOOKUP(A281,Vendors!$A$2:$B$15,2,0),'SA Q4 18 VR'!$B$24:$O$24,0),0)</f>
        <v>#REF!</v>
      </c>
      <c r="F281" s="27">
        <v>1</v>
      </c>
      <c r="G281">
        <f>RFI_Elements!N284</f>
        <v>283</v>
      </c>
      <c r="I281" t="e">
        <f>VLOOKUP(B281,SuiteCatSubElem!$G$2:$G$667,2,0)</f>
        <v>#REF!</v>
      </c>
    </row>
    <row r="282" spans="1:9">
      <c r="A282">
        <f>RFI_Elements!B285</f>
        <v>4</v>
      </c>
      <c r="B282">
        <f>RFI_Elements!C285</f>
        <v>437</v>
      </c>
      <c r="C282">
        <v>284</v>
      </c>
      <c r="D282" s="128">
        <v>43101.003472164353</v>
      </c>
      <c r="E282" t="e">
        <f>VLOOKUP(VLOOKUP(B282,SuiteCatSubElem!$G$2:$G$667,2,0),'SA Q4 18 VR'!$A$33:$O$193,1+MATCH(VLOOKUP(A282,Vendors!$A$2:$B$15,2,0),'SA Q4 18 VR'!$B$24:$O$24,0),0)</f>
        <v>#REF!</v>
      </c>
      <c r="F282" s="27">
        <v>1</v>
      </c>
      <c r="G282">
        <f>RFI_Elements!N285</f>
        <v>284</v>
      </c>
      <c r="I282" t="e">
        <f>VLOOKUP(B282,SuiteCatSubElem!$G$2:$G$667,2,0)</f>
        <v>#REF!</v>
      </c>
    </row>
    <row r="283" spans="1:9">
      <c r="A283">
        <f>RFI_Elements!B286</f>
        <v>4</v>
      </c>
      <c r="B283">
        <f>RFI_Elements!C286</f>
        <v>438</v>
      </c>
      <c r="C283">
        <v>285</v>
      </c>
      <c r="D283" s="128">
        <v>43101.003472164353</v>
      </c>
      <c r="E283" t="e">
        <f>VLOOKUP(VLOOKUP(B283,SuiteCatSubElem!$G$2:$G$667,2,0),'SA Q4 18 VR'!$A$33:$O$193,1+MATCH(VLOOKUP(A283,Vendors!$A$2:$B$15,2,0),'SA Q4 18 VR'!$B$24:$O$24,0),0)</f>
        <v>#REF!</v>
      </c>
      <c r="F283" s="27">
        <v>1</v>
      </c>
      <c r="G283">
        <f>RFI_Elements!N286</f>
        <v>285</v>
      </c>
      <c r="I283" t="e">
        <f>VLOOKUP(B283,SuiteCatSubElem!$G$2:$G$667,2,0)</f>
        <v>#REF!</v>
      </c>
    </row>
    <row r="284" spans="1:9">
      <c r="A284">
        <f>RFI_Elements!B287</f>
        <v>4</v>
      </c>
      <c r="B284">
        <f>RFI_Elements!C287</f>
        <v>439</v>
      </c>
      <c r="C284">
        <v>286</v>
      </c>
      <c r="D284" s="128">
        <v>43101.003472164353</v>
      </c>
      <c r="E284" t="e">
        <f>VLOOKUP(VLOOKUP(B284,SuiteCatSubElem!$G$2:$G$667,2,0),'SA Q4 18 VR'!$A$33:$O$193,1+MATCH(VLOOKUP(A284,Vendors!$A$2:$B$15,2,0),'SA Q4 18 VR'!$B$24:$O$24,0),0)</f>
        <v>#REF!</v>
      </c>
      <c r="F284" s="27">
        <v>1</v>
      </c>
      <c r="G284">
        <f>RFI_Elements!N287</f>
        <v>286</v>
      </c>
      <c r="I284" t="e">
        <f>VLOOKUP(B284,SuiteCatSubElem!$G$2:$G$667,2,0)</f>
        <v>#REF!</v>
      </c>
    </row>
    <row r="285" spans="1:9">
      <c r="A285">
        <f>RFI_Elements!B288</f>
        <v>4</v>
      </c>
      <c r="B285">
        <f>RFI_Elements!C288</f>
        <v>440</v>
      </c>
      <c r="C285">
        <v>287</v>
      </c>
      <c r="D285" s="128">
        <v>43101.003472164353</v>
      </c>
      <c r="E285" t="e">
        <f>VLOOKUP(VLOOKUP(B285,SuiteCatSubElem!$G$2:$G$667,2,0),'SA Q4 18 VR'!$A$33:$O$193,1+MATCH(VLOOKUP(A285,Vendors!$A$2:$B$15,2,0),'SA Q4 18 VR'!$B$24:$O$24,0),0)</f>
        <v>#REF!</v>
      </c>
      <c r="F285" s="27">
        <v>1</v>
      </c>
      <c r="G285">
        <f>RFI_Elements!N288</f>
        <v>287</v>
      </c>
      <c r="I285" t="e">
        <f>VLOOKUP(B285,SuiteCatSubElem!$G$2:$G$667,2,0)</f>
        <v>#REF!</v>
      </c>
    </row>
    <row r="286" spans="1:9">
      <c r="A286">
        <f>RFI_Elements!B289</f>
        <v>4</v>
      </c>
      <c r="B286">
        <f>RFI_Elements!C289</f>
        <v>441</v>
      </c>
      <c r="C286">
        <v>288</v>
      </c>
      <c r="D286" s="128">
        <v>43101.003472164353</v>
      </c>
      <c r="E286" t="e">
        <f>VLOOKUP(VLOOKUP(B286,SuiteCatSubElem!$G$2:$G$667,2,0),'SA Q4 18 VR'!$A$33:$O$193,1+MATCH(VLOOKUP(A286,Vendors!$A$2:$B$15,2,0),'SA Q4 18 VR'!$B$24:$O$24,0),0)</f>
        <v>#REF!</v>
      </c>
      <c r="F286" s="27">
        <v>1</v>
      </c>
      <c r="G286">
        <f>RFI_Elements!N289</f>
        <v>288</v>
      </c>
      <c r="I286" t="e">
        <f>VLOOKUP(B286,SuiteCatSubElem!$G$2:$G$667,2,0)</f>
        <v>#REF!</v>
      </c>
    </row>
    <row r="287" spans="1:9">
      <c r="A287">
        <f>RFI_Elements!B290</f>
        <v>4</v>
      </c>
      <c r="B287">
        <f>RFI_Elements!C290</f>
        <v>442</v>
      </c>
      <c r="C287">
        <v>289</v>
      </c>
      <c r="D287" s="128">
        <v>43101.003472164353</v>
      </c>
      <c r="E287" t="e">
        <f>VLOOKUP(VLOOKUP(B287,SuiteCatSubElem!$G$2:$G$667,2,0),'SA Q4 18 VR'!$A$33:$O$193,1+MATCH(VLOOKUP(A287,Vendors!$A$2:$B$15,2,0),'SA Q4 18 VR'!$B$24:$O$24,0),0)</f>
        <v>#REF!</v>
      </c>
      <c r="F287" s="27">
        <v>1</v>
      </c>
      <c r="G287">
        <f>RFI_Elements!N290</f>
        <v>289</v>
      </c>
      <c r="I287" t="e">
        <f>VLOOKUP(B287,SuiteCatSubElem!$G$2:$G$667,2,0)</f>
        <v>#REF!</v>
      </c>
    </row>
    <row r="288" spans="1:9">
      <c r="A288">
        <f>RFI_Elements!B291</f>
        <v>4</v>
      </c>
      <c r="B288">
        <f>RFI_Elements!C291</f>
        <v>443</v>
      </c>
      <c r="C288">
        <v>290</v>
      </c>
      <c r="D288" s="128">
        <v>43101.003472164353</v>
      </c>
      <c r="E288" t="e">
        <f>VLOOKUP(VLOOKUP(B288,SuiteCatSubElem!$G$2:$G$667,2,0),'SA Q4 18 VR'!$A$33:$O$193,1+MATCH(VLOOKUP(A288,Vendors!$A$2:$B$15,2,0),'SA Q4 18 VR'!$B$24:$O$24,0),0)</f>
        <v>#REF!</v>
      </c>
      <c r="F288" s="27">
        <v>1</v>
      </c>
      <c r="G288">
        <f>RFI_Elements!N291</f>
        <v>290</v>
      </c>
      <c r="I288" t="e">
        <f>VLOOKUP(B288,SuiteCatSubElem!$G$2:$G$667,2,0)</f>
        <v>#REF!</v>
      </c>
    </row>
    <row r="289" spans="1:9">
      <c r="A289">
        <f>RFI_Elements!B292</f>
        <v>4</v>
      </c>
      <c r="B289">
        <f>RFI_Elements!C292</f>
        <v>444</v>
      </c>
      <c r="C289">
        <v>291</v>
      </c>
      <c r="D289" s="128">
        <v>43101.003472164353</v>
      </c>
      <c r="E289" t="e">
        <f>VLOOKUP(VLOOKUP(B289,SuiteCatSubElem!$G$2:$G$667,2,0),'SA Q4 18 VR'!$A$33:$O$193,1+MATCH(VLOOKUP(A289,Vendors!$A$2:$B$15,2,0),'SA Q4 18 VR'!$B$24:$O$24,0),0)</f>
        <v>#REF!</v>
      </c>
      <c r="F289" s="27">
        <v>1</v>
      </c>
      <c r="G289">
        <f>RFI_Elements!N292</f>
        <v>291</v>
      </c>
      <c r="I289" t="e">
        <f>VLOOKUP(B289,SuiteCatSubElem!$G$2:$G$667,2,0)</f>
        <v>#REF!</v>
      </c>
    </row>
    <row r="290" spans="1:9">
      <c r="A290">
        <f>RFI_Elements!B293</f>
        <v>4</v>
      </c>
      <c r="B290">
        <f>RFI_Elements!C293</f>
        <v>445</v>
      </c>
      <c r="C290">
        <v>292</v>
      </c>
      <c r="D290" s="128">
        <v>43101.003472164353</v>
      </c>
      <c r="E290" t="e">
        <f>VLOOKUP(VLOOKUP(B290,SuiteCatSubElem!$G$2:$G$667,2,0),'SA Q4 18 VR'!$A$33:$O$193,1+MATCH(VLOOKUP(A290,Vendors!$A$2:$B$15,2,0),'SA Q4 18 VR'!$B$24:$O$24,0),0)</f>
        <v>#REF!</v>
      </c>
      <c r="F290" s="27">
        <v>1</v>
      </c>
      <c r="G290">
        <f>RFI_Elements!N293</f>
        <v>292</v>
      </c>
      <c r="I290" t="e">
        <f>VLOOKUP(B290,SuiteCatSubElem!$G$2:$G$667,2,0)</f>
        <v>#REF!</v>
      </c>
    </row>
    <row r="291" spans="1:9">
      <c r="A291">
        <f>RFI_Elements!B294</f>
        <v>4</v>
      </c>
      <c r="B291">
        <f>RFI_Elements!C294</f>
        <v>446</v>
      </c>
      <c r="C291">
        <v>293</v>
      </c>
      <c r="D291" s="128">
        <v>43101.003472164353</v>
      </c>
      <c r="E291" t="e">
        <f>VLOOKUP(VLOOKUP(B291,SuiteCatSubElem!$G$2:$G$667,2,0),'SA Q4 18 VR'!$A$33:$O$193,1+MATCH(VLOOKUP(A291,Vendors!$A$2:$B$15,2,0),'SA Q4 18 VR'!$B$24:$O$24,0),0)</f>
        <v>#REF!</v>
      </c>
      <c r="F291" s="27">
        <v>1</v>
      </c>
      <c r="G291">
        <f>RFI_Elements!N294</f>
        <v>293</v>
      </c>
      <c r="I291" t="e">
        <f>VLOOKUP(B291,SuiteCatSubElem!$G$2:$G$667,2,0)</f>
        <v>#REF!</v>
      </c>
    </row>
    <row r="292" spans="1:9">
      <c r="A292">
        <f>RFI_Elements!B295</f>
        <v>4</v>
      </c>
      <c r="B292">
        <f>RFI_Elements!C295</f>
        <v>447</v>
      </c>
      <c r="C292">
        <v>294</v>
      </c>
      <c r="D292" s="128">
        <v>43101.003472164353</v>
      </c>
      <c r="E292" t="e">
        <f>VLOOKUP(VLOOKUP(B292,SuiteCatSubElem!$G$2:$G$667,2,0),'SA Q4 18 VR'!$A$33:$O$193,1+MATCH(VLOOKUP(A292,Vendors!$A$2:$B$15,2,0),'SA Q4 18 VR'!$B$24:$O$24,0),0)</f>
        <v>#REF!</v>
      </c>
      <c r="F292" s="27">
        <v>1</v>
      </c>
      <c r="G292">
        <f>RFI_Elements!N295</f>
        <v>294</v>
      </c>
      <c r="I292" t="e">
        <f>VLOOKUP(B292,SuiteCatSubElem!$G$2:$G$667,2,0)</f>
        <v>#REF!</v>
      </c>
    </row>
    <row r="293" spans="1:9">
      <c r="A293">
        <f>RFI_Elements!B296</f>
        <v>4</v>
      </c>
      <c r="B293">
        <f>RFI_Elements!C296</f>
        <v>448</v>
      </c>
      <c r="C293">
        <v>295</v>
      </c>
      <c r="D293" s="128">
        <v>43101.003472164353</v>
      </c>
      <c r="E293" t="e">
        <f>VLOOKUP(VLOOKUP(B293,SuiteCatSubElem!$G$2:$G$667,2,0),'SA Q4 18 VR'!$A$33:$O$193,1+MATCH(VLOOKUP(A293,Vendors!$A$2:$B$15,2,0),'SA Q4 18 VR'!$B$24:$O$24,0),0)</f>
        <v>#REF!</v>
      </c>
      <c r="F293" s="27">
        <v>1</v>
      </c>
      <c r="G293">
        <f>RFI_Elements!N296</f>
        <v>295</v>
      </c>
      <c r="I293" t="e">
        <f>VLOOKUP(B293,SuiteCatSubElem!$G$2:$G$667,2,0)</f>
        <v>#REF!</v>
      </c>
    </row>
    <row r="294" spans="1:9">
      <c r="A294">
        <f>RFI_Elements!B297</f>
        <v>4</v>
      </c>
      <c r="B294">
        <f>RFI_Elements!C297</f>
        <v>449</v>
      </c>
      <c r="C294">
        <v>296</v>
      </c>
      <c r="D294" s="128">
        <v>43101.003472164353</v>
      </c>
      <c r="E294" t="e">
        <f>VLOOKUP(VLOOKUP(B294,SuiteCatSubElem!$G$2:$G$667,2,0),'SA Q4 18 VR'!$A$33:$O$193,1+MATCH(VLOOKUP(A294,Vendors!$A$2:$B$15,2,0),'SA Q4 18 VR'!$B$24:$O$24,0),0)</f>
        <v>#REF!</v>
      </c>
      <c r="F294" s="27">
        <v>1</v>
      </c>
      <c r="G294">
        <f>RFI_Elements!N297</f>
        <v>296</v>
      </c>
      <c r="I294" t="e">
        <f>VLOOKUP(B294,SuiteCatSubElem!$G$2:$G$667,2,0)</f>
        <v>#REF!</v>
      </c>
    </row>
    <row r="295" spans="1:9">
      <c r="A295">
        <f>RFI_Elements!B298</f>
        <v>4</v>
      </c>
      <c r="B295">
        <f>RFI_Elements!C298</f>
        <v>450</v>
      </c>
      <c r="C295">
        <v>297</v>
      </c>
      <c r="D295" s="128">
        <v>43101.003472164353</v>
      </c>
      <c r="E295" t="e">
        <f>VLOOKUP(VLOOKUP(B295,SuiteCatSubElem!$G$2:$G$667,2,0),'SA Q4 18 VR'!$A$33:$O$193,1+MATCH(VLOOKUP(A295,Vendors!$A$2:$B$15,2,0),'SA Q4 18 VR'!$B$24:$O$24,0),0)</f>
        <v>#REF!</v>
      </c>
      <c r="F295" s="27">
        <v>1</v>
      </c>
      <c r="G295">
        <f>RFI_Elements!N298</f>
        <v>297</v>
      </c>
      <c r="I295" t="e">
        <f>VLOOKUP(B295,SuiteCatSubElem!$G$2:$G$667,2,0)</f>
        <v>#REF!</v>
      </c>
    </row>
    <row r="296" spans="1:9">
      <c r="A296">
        <f>RFI_Elements!B299</f>
        <v>4</v>
      </c>
      <c r="B296">
        <f>RFI_Elements!C299</f>
        <v>451</v>
      </c>
      <c r="C296">
        <v>298</v>
      </c>
      <c r="D296" s="128">
        <v>43101.003472164353</v>
      </c>
      <c r="E296" t="e">
        <f>VLOOKUP(VLOOKUP(B296,SuiteCatSubElem!$G$2:$G$667,2,0),'SA Q4 18 VR'!$A$33:$O$193,1+MATCH(VLOOKUP(A296,Vendors!$A$2:$B$15,2,0),'SA Q4 18 VR'!$B$24:$O$24,0),0)</f>
        <v>#REF!</v>
      </c>
      <c r="F296" s="27">
        <v>1</v>
      </c>
      <c r="G296">
        <f>RFI_Elements!N299</f>
        <v>298</v>
      </c>
      <c r="I296" t="e">
        <f>VLOOKUP(B296,SuiteCatSubElem!$G$2:$G$667,2,0)</f>
        <v>#REF!</v>
      </c>
    </row>
    <row r="297" spans="1:9">
      <c r="A297">
        <f>RFI_Elements!B300</f>
        <v>4</v>
      </c>
      <c r="B297">
        <f>RFI_Elements!C300</f>
        <v>452</v>
      </c>
      <c r="C297">
        <v>299</v>
      </c>
      <c r="D297" s="128">
        <v>43101.003472164353</v>
      </c>
      <c r="E297" t="e">
        <f>VLOOKUP(VLOOKUP(B297,SuiteCatSubElem!$G$2:$G$667,2,0),'SA Q4 18 VR'!$A$33:$O$193,1+MATCH(VLOOKUP(A297,Vendors!$A$2:$B$15,2,0),'SA Q4 18 VR'!$B$24:$O$24,0),0)</f>
        <v>#REF!</v>
      </c>
      <c r="F297" s="27">
        <v>1</v>
      </c>
      <c r="G297">
        <f>RFI_Elements!N300</f>
        <v>299</v>
      </c>
      <c r="I297" t="e">
        <f>VLOOKUP(B297,SuiteCatSubElem!$G$2:$G$667,2,0)</f>
        <v>#REF!</v>
      </c>
    </row>
    <row r="298" spans="1:9">
      <c r="A298">
        <f>RFI_Elements!B301</f>
        <v>4</v>
      </c>
      <c r="B298">
        <f>RFI_Elements!C301</f>
        <v>453</v>
      </c>
      <c r="C298">
        <v>300</v>
      </c>
      <c r="D298" s="128">
        <v>43101.003472164353</v>
      </c>
      <c r="E298" t="e">
        <f>VLOOKUP(VLOOKUP(B298,SuiteCatSubElem!$G$2:$G$667,2,0),'SA Q4 18 VR'!$A$33:$O$193,1+MATCH(VLOOKUP(A298,Vendors!$A$2:$B$15,2,0),'SA Q4 18 VR'!$B$24:$O$24,0),0)</f>
        <v>#REF!</v>
      </c>
      <c r="F298" s="27">
        <v>1</v>
      </c>
      <c r="G298">
        <f>RFI_Elements!N301</f>
        <v>300</v>
      </c>
      <c r="I298" t="e">
        <f>VLOOKUP(B298,SuiteCatSubElem!$G$2:$G$667,2,0)</f>
        <v>#REF!</v>
      </c>
    </row>
    <row r="299" spans="1:9">
      <c r="A299">
        <f>RFI_Elements!B302</f>
        <v>4</v>
      </c>
      <c r="B299">
        <f>RFI_Elements!C302</f>
        <v>454</v>
      </c>
      <c r="C299">
        <v>301</v>
      </c>
      <c r="D299" s="128">
        <v>43101.003472164353</v>
      </c>
      <c r="E299" t="e">
        <f>VLOOKUP(VLOOKUP(B299,SuiteCatSubElem!$G$2:$G$667,2,0),'SA Q4 18 VR'!$A$33:$O$193,1+MATCH(VLOOKUP(A299,Vendors!$A$2:$B$15,2,0),'SA Q4 18 VR'!$B$24:$O$24,0),0)</f>
        <v>#REF!</v>
      </c>
      <c r="F299" s="27">
        <v>1</v>
      </c>
      <c r="G299">
        <f>RFI_Elements!N302</f>
        <v>301</v>
      </c>
      <c r="I299" t="e">
        <f>VLOOKUP(B299,SuiteCatSubElem!$G$2:$G$667,2,0)</f>
        <v>#REF!</v>
      </c>
    </row>
    <row r="300" spans="1:9">
      <c r="A300">
        <f>RFI_Elements!B303</f>
        <v>4</v>
      </c>
      <c r="B300">
        <f>RFI_Elements!C303</f>
        <v>455</v>
      </c>
      <c r="C300">
        <v>302</v>
      </c>
      <c r="D300" s="128">
        <v>43101.003472164353</v>
      </c>
      <c r="E300" t="e">
        <f>VLOOKUP(VLOOKUP(B300,SuiteCatSubElem!$G$2:$G$667,2,0),'SA Q4 18 VR'!$A$33:$O$193,1+MATCH(VLOOKUP(A300,Vendors!$A$2:$B$15,2,0),'SA Q4 18 VR'!$B$24:$O$24,0),0)</f>
        <v>#REF!</v>
      </c>
      <c r="F300" s="27">
        <v>1</v>
      </c>
      <c r="G300">
        <f>RFI_Elements!N303</f>
        <v>302</v>
      </c>
      <c r="I300" t="e">
        <f>VLOOKUP(B300,SuiteCatSubElem!$G$2:$G$667,2,0)</f>
        <v>#REF!</v>
      </c>
    </row>
    <row r="301" spans="1:9">
      <c r="A301">
        <f>RFI_Elements!B304</f>
        <v>4</v>
      </c>
      <c r="B301">
        <f>RFI_Elements!C304</f>
        <v>456</v>
      </c>
      <c r="C301">
        <v>303</v>
      </c>
      <c r="D301" s="128">
        <v>43101.003472164353</v>
      </c>
      <c r="E301" t="e">
        <f>VLOOKUP(VLOOKUP(B301,SuiteCatSubElem!$G$2:$G$667,2,0),'SA Q4 18 VR'!$A$33:$O$193,1+MATCH(VLOOKUP(A301,Vendors!$A$2:$B$15,2,0),'SA Q4 18 VR'!$B$24:$O$24,0),0)</f>
        <v>#REF!</v>
      </c>
      <c r="F301" s="27">
        <v>1</v>
      </c>
      <c r="G301">
        <f>RFI_Elements!N304</f>
        <v>303</v>
      </c>
      <c r="I301" t="e">
        <f>VLOOKUP(B301,SuiteCatSubElem!$G$2:$G$667,2,0)</f>
        <v>#REF!</v>
      </c>
    </row>
    <row r="302" spans="1:9">
      <c r="A302">
        <f>RFI_Elements!B305</f>
        <v>4</v>
      </c>
      <c r="B302">
        <f>RFI_Elements!C305</f>
        <v>457</v>
      </c>
      <c r="C302">
        <v>304</v>
      </c>
      <c r="D302" s="128">
        <v>43101.003472164353</v>
      </c>
      <c r="E302" t="e">
        <f>VLOOKUP(VLOOKUP(B302,SuiteCatSubElem!$G$2:$G$667,2,0),'SA Q4 18 VR'!$A$33:$O$193,1+MATCH(VLOOKUP(A302,Vendors!$A$2:$B$15,2,0),'SA Q4 18 VR'!$B$24:$O$24,0),0)</f>
        <v>#REF!</v>
      </c>
      <c r="F302" s="27">
        <v>1</v>
      </c>
      <c r="G302">
        <f>RFI_Elements!N305</f>
        <v>304</v>
      </c>
      <c r="I302" t="e">
        <f>VLOOKUP(B302,SuiteCatSubElem!$G$2:$G$667,2,0)</f>
        <v>#REF!</v>
      </c>
    </row>
    <row r="303" spans="1:9">
      <c r="A303">
        <f>RFI_Elements!B306</f>
        <v>4</v>
      </c>
      <c r="B303">
        <f>RFI_Elements!C306</f>
        <v>458</v>
      </c>
      <c r="C303">
        <v>305</v>
      </c>
      <c r="D303" s="128">
        <v>43101.003472164353</v>
      </c>
      <c r="E303" t="e">
        <f>VLOOKUP(VLOOKUP(B303,SuiteCatSubElem!$G$2:$G$667,2,0),'SA Q4 18 VR'!$A$33:$O$193,1+MATCH(VLOOKUP(A303,Vendors!$A$2:$B$15,2,0),'SA Q4 18 VR'!$B$24:$O$24,0),0)</f>
        <v>#REF!</v>
      </c>
      <c r="F303" s="27">
        <v>1</v>
      </c>
      <c r="G303">
        <f>RFI_Elements!N306</f>
        <v>305</v>
      </c>
      <c r="I303" t="e">
        <f>VLOOKUP(B303,SuiteCatSubElem!$G$2:$G$667,2,0)</f>
        <v>#REF!</v>
      </c>
    </row>
    <row r="304" spans="1:9">
      <c r="A304">
        <f>RFI_Elements!B307</f>
        <v>4</v>
      </c>
      <c r="B304">
        <f>RFI_Elements!C307</f>
        <v>459</v>
      </c>
      <c r="C304">
        <v>306</v>
      </c>
      <c r="D304" s="128">
        <v>43101.003472164353</v>
      </c>
      <c r="E304" t="e">
        <f>VLOOKUP(VLOOKUP(B304,SuiteCatSubElem!$G$2:$G$667,2,0),'SA Q4 18 VR'!$A$33:$O$193,1+MATCH(VLOOKUP(A304,Vendors!$A$2:$B$15,2,0),'SA Q4 18 VR'!$B$24:$O$24,0),0)</f>
        <v>#REF!</v>
      </c>
      <c r="F304" s="27">
        <v>1</v>
      </c>
      <c r="G304">
        <f>RFI_Elements!N307</f>
        <v>306</v>
      </c>
      <c r="I304" t="e">
        <f>VLOOKUP(B304,SuiteCatSubElem!$G$2:$G$667,2,0)</f>
        <v>#REF!</v>
      </c>
    </row>
    <row r="305" spans="1:9">
      <c r="A305">
        <f>RFI_Elements!B308</f>
        <v>4</v>
      </c>
      <c r="B305">
        <f>RFI_Elements!C308</f>
        <v>460</v>
      </c>
      <c r="C305">
        <v>307</v>
      </c>
      <c r="D305" s="128">
        <v>43101.003472164353</v>
      </c>
      <c r="E305" t="e">
        <f>VLOOKUP(VLOOKUP(B305,SuiteCatSubElem!$G$2:$G$667,2,0),'SA Q4 18 VR'!$A$33:$O$193,1+MATCH(VLOOKUP(A305,Vendors!$A$2:$B$15,2,0),'SA Q4 18 VR'!$B$24:$O$24,0),0)</f>
        <v>#REF!</v>
      </c>
      <c r="F305" s="27">
        <v>1</v>
      </c>
      <c r="G305">
        <f>RFI_Elements!N308</f>
        <v>307</v>
      </c>
      <c r="I305" t="e">
        <f>VLOOKUP(B305,SuiteCatSubElem!$G$2:$G$667,2,0)</f>
        <v>#REF!</v>
      </c>
    </row>
    <row r="306" spans="1:9">
      <c r="A306">
        <f>RFI_Elements!B309</f>
        <v>4</v>
      </c>
      <c r="B306">
        <f>RFI_Elements!C309</f>
        <v>461</v>
      </c>
      <c r="C306">
        <v>308</v>
      </c>
      <c r="D306" s="128">
        <v>43101.003472164353</v>
      </c>
      <c r="E306" t="e">
        <f>VLOOKUP(VLOOKUP(B306,SuiteCatSubElem!$G$2:$G$667,2,0),'SA Q4 18 VR'!$A$33:$O$193,1+MATCH(VLOOKUP(A306,Vendors!$A$2:$B$15,2,0),'SA Q4 18 VR'!$B$24:$O$24,0),0)</f>
        <v>#REF!</v>
      </c>
      <c r="F306" s="27">
        <v>1</v>
      </c>
      <c r="G306">
        <f>RFI_Elements!N309</f>
        <v>308</v>
      </c>
      <c r="I306" t="e">
        <f>VLOOKUP(B306,SuiteCatSubElem!$G$2:$G$667,2,0)</f>
        <v>#REF!</v>
      </c>
    </row>
    <row r="307" spans="1:9">
      <c r="A307">
        <f>RFI_Elements!B310</f>
        <v>4</v>
      </c>
      <c r="B307">
        <f>RFI_Elements!C310</f>
        <v>462</v>
      </c>
      <c r="C307">
        <v>309</v>
      </c>
      <c r="D307" s="128">
        <v>43101.003472164353</v>
      </c>
      <c r="E307" t="e">
        <f>VLOOKUP(VLOOKUP(B307,SuiteCatSubElem!$G$2:$G$667,2,0),'SA Q4 18 VR'!$A$33:$O$193,1+MATCH(VLOOKUP(A307,Vendors!$A$2:$B$15,2,0),'SA Q4 18 VR'!$B$24:$O$24,0),0)</f>
        <v>#REF!</v>
      </c>
      <c r="F307" s="27">
        <v>1</v>
      </c>
      <c r="G307">
        <f>RFI_Elements!N310</f>
        <v>309</v>
      </c>
      <c r="I307" t="e">
        <f>VLOOKUP(B307,SuiteCatSubElem!$G$2:$G$667,2,0)</f>
        <v>#REF!</v>
      </c>
    </row>
    <row r="308" spans="1:9">
      <c r="A308">
        <f>RFI_Elements!B311</f>
        <v>4</v>
      </c>
      <c r="B308">
        <f>RFI_Elements!C311</f>
        <v>463</v>
      </c>
      <c r="C308">
        <v>310</v>
      </c>
      <c r="D308" s="128">
        <v>43101.003472164353</v>
      </c>
      <c r="E308" t="e">
        <f>VLOOKUP(VLOOKUP(B308,SuiteCatSubElem!$G$2:$G$667,2,0),'SA Q4 18 VR'!$A$33:$O$193,1+MATCH(VLOOKUP(A308,Vendors!$A$2:$B$15,2,0),'SA Q4 18 VR'!$B$24:$O$24,0),0)</f>
        <v>#REF!</v>
      </c>
      <c r="F308" s="27">
        <v>1</v>
      </c>
      <c r="G308">
        <f>RFI_Elements!N311</f>
        <v>310</v>
      </c>
      <c r="I308" t="e">
        <f>VLOOKUP(B308,SuiteCatSubElem!$G$2:$G$667,2,0)</f>
        <v>#REF!</v>
      </c>
    </row>
    <row r="309" spans="1:9">
      <c r="A309">
        <f>RFI_Elements!B312</f>
        <v>4</v>
      </c>
      <c r="B309">
        <f>RFI_Elements!C312</f>
        <v>464</v>
      </c>
      <c r="C309">
        <v>311</v>
      </c>
      <c r="D309" s="128">
        <v>43101.003472164353</v>
      </c>
      <c r="E309" t="e">
        <f>VLOOKUP(VLOOKUP(B309,SuiteCatSubElem!$G$2:$G$667,2,0),'SA Q4 18 VR'!$A$33:$O$193,1+MATCH(VLOOKUP(A309,Vendors!$A$2:$B$15,2,0),'SA Q4 18 VR'!$B$24:$O$24,0),0)</f>
        <v>#REF!</v>
      </c>
      <c r="F309" s="27">
        <v>1</v>
      </c>
      <c r="G309">
        <f>RFI_Elements!N312</f>
        <v>311</v>
      </c>
      <c r="I309" t="e">
        <f>VLOOKUP(B309,SuiteCatSubElem!$G$2:$G$667,2,0)</f>
        <v>#REF!</v>
      </c>
    </row>
    <row r="310" spans="1:9">
      <c r="A310">
        <f>RFI_Elements!B313</f>
        <v>4</v>
      </c>
      <c r="B310">
        <f>RFI_Elements!C313</f>
        <v>465</v>
      </c>
      <c r="C310">
        <v>312</v>
      </c>
      <c r="D310" s="128">
        <v>43101.003472164353</v>
      </c>
      <c r="E310" t="e">
        <f>VLOOKUP(VLOOKUP(B310,SuiteCatSubElem!$G$2:$G$667,2,0),'SA Q4 18 VR'!$A$33:$O$193,1+MATCH(VLOOKUP(A310,Vendors!$A$2:$B$15,2,0),'SA Q4 18 VR'!$B$24:$O$24,0),0)</f>
        <v>#REF!</v>
      </c>
      <c r="F310" s="27">
        <v>1</v>
      </c>
      <c r="G310">
        <f>RFI_Elements!N313</f>
        <v>312</v>
      </c>
      <c r="I310" t="e">
        <f>VLOOKUP(B310,SuiteCatSubElem!$G$2:$G$667,2,0)</f>
        <v>#REF!</v>
      </c>
    </row>
    <row r="311" spans="1:9">
      <c r="A311">
        <f>RFI_Elements!B314</f>
        <v>4</v>
      </c>
      <c r="B311">
        <f>RFI_Elements!C314</f>
        <v>466</v>
      </c>
      <c r="C311">
        <v>313</v>
      </c>
      <c r="D311" s="128">
        <v>43101.003472164353</v>
      </c>
      <c r="E311" t="e">
        <f>VLOOKUP(VLOOKUP(B311,SuiteCatSubElem!$G$2:$G$667,2,0),'SA Q4 18 VR'!$A$33:$O$193,1+MATCH(VLOOKUP(A311,Vendors!$A$2:$B$15,2,0),'SA Q4 18 VR'!$B$24:$O$24,0),0)</f>
        <v>#REF!</v>
      </c>
      <c r="F311" s="27">
        <v>1</v>
      </c>
      <c r="G311">
        <f>RFI_Elements!N314</f>
        <v>313</v>
      </c>
      <c r="I311" t="e">
        <f>VLOOKUP(B311,SuiteCatSubElem!$G$2:$G$667,2,0)</f>
        <v>#REF!</v>
      </c>
    </row>
    <row r="312" spans="1:9">
      <c r="A312">
        <f>RFI_Elements!B315</f>
        <v>4</v>
      </c>
      <c r="B312">
        <f>RFI_Elements!C315</f>
        <v>467</v>
      </c>
      <c r="C312">
        <v>314</v>
      </c>
      <c r="D312" s="128">
        <v>43101.003472164353</v>
      </c>
      <c r="E312" t="e">
        <f>VLOOKUP(VLOOKUP(B312,SuiteCatSubElem!$G$2:$G$667,2,0),'SA Q4 18 VR'!$A$33:$O$193,1+MATCH(VLOOKUP(A312,Vendors!$A$2:$B$15,2,0),'SA Q4 18 VR'!$B$24:$O$24,0),0)</f>
        <v>#REF!</v>
      </c>
      <c r="F312" s="27">
        <v>1</v>
      </c>
      <c r="G312">
        <f>RFI_Elements!N315</f>
        <v>314</v>
      </c>
      <c r="I312" t="e">
        <f>VLOOKUP(B312,SuiteCatSubElem!$G$2:$G$667,2,0)</f>
        <v>#REF!</v>
      </c>
    </row>
    <row r="313" spans="1:9">
      <c r="A313">
        <f>RFI_Elements!B316</f>
        <v>4</v>
      </c>
      <c r="B313">
        <f>RFI_Elements!C316</f>
        <v>468</v>
      </c>
      <c r="C313">
        <v>315</v>
      </c>
      <c r="D313" s="128">
        <v>43101.003472164353</v>
      </c>
      <c r="E313" t="e">
        <f>VLOOKUP(VLOOKUP(B313,SuiteCatSubElem!$G$2:$G$667,2,0),'SA Q4 18 VR'!$A$33:$O$193,1+MATCH(VLOOKUP(A313,Vendors!$A$2:$B$15,2,0),'SA Q4 18 VR'!$B$24:$O$24,0),0)</f>
        <v>#REF!</v>
      </c>
      <c r="F313" s="27">
        <v>1</v>
      </c>
      <c r="G313">
        <f>RFI_Elements!N316</f>
        <v>315</v>
      </c>
      <c r="I313" t="e">
        <f>VLOOKUP(B313,SuiteCatSubElem!$G$2:$G$667,2,0)</f>
        <v>#REF!</v>
      </c>
    </row>
    <row r="314" spans="1:9">
      <c r="A314">
        <f>RFI_Elements!B317</f>
        <v>4</v>
      </c>
      <c r="B314">
        <f>RFI_Elements!C317</f>
        <v>469</v>
      </c>
      <c r="C314">
        <v>316</v>
      </c>
      <c r="D314" s="128">
        <v>43101.003472164353</v>
      </c>
      <c r="E314" t="e">
        <f>VLOOKUP(VLOOKUP(B314,SuiteCatSubElem!$G$2:$G$667,2,0),'SA Q4 18 VR'!$A$33:$O$193,1+MATCH(VLOOKUP(A314,Vendors!$A$2:$B$15,2,0),'SA Q4 18 VR'!$B$24:$O$24,0),0)</f>
        <v>#REF!</v>
      </c>
      <c r="F314" s="27">
        <v>1</v>
      </c>
      <c r="G314">
        <f>RFI_Elements!N317</f>
        <v>316</v>
      </c>
      <c r="I314" t="e">
        <f>VLOOKUP(B314,SuiteCatSubElem!$G$2:$G$667,2,0)</f>
        <v>#REF!</v>
      </c>
    </row>
    <row r="315" spans="1:9">
      <c r="A315">
        <f>RFI_Elements!B318</f>
        <v>4</v>
      </c>
      <c r="B315">
        <f>RFI_Elements!C318</f>
        <v>470</v>
      </c>
      <c r="C315">
        <v>317</v>
      </c>
      <c r="D315" s="128">
        <v>43101.003472164353</v>
      </c>
      <c r="E315" t="e">
        <f>VLOOKUP(VLOOKUP(B315,SuiteCatSubElem!$G$2:$G$667,2,0),'SA Q4 18 VR'!$A$33:$O$193,1+MATCH(VLOOKUP(A315,Vendors!$A$2:$B$15,2,0),'SA Q4 18 VR'!$B$24:$O$24,0),0)</f>
        <v>#REF!</v>
      </c>
      <c r="F315" s="27">
        <v>1</v>
      </c>
      <c r="G315">
        <f>RFI_Elements!N318</f>
        <v>317</v>
      </c>
      <c r="I315" t="e">
        <f>VLOOKUP(B315,SuiteCatSubElem!$G$2:$G$667,2,0)</f>
        <v>#REF!</v>
      </c>
    </row>
    <row r="316" spans="1:9">
      <c r="A316">
        <f>RFI_Elements!B319</f>
        <v>4</v>
      </c>
      <c r="B316">
        <f>RFI_Elements!C319</f>
        <v>471</v>
      </c>
      <c r="C316">
        <v>318</v>
      </c>
      <c r="D316" s="128">
        <v>43101.003472164353</v>
      </c>
      <c r="E316" t="e">
        <f>VLOOKUP(VLOOKUP(B316,SuiteCatSubElem!$G$2:$G$667,2,0),'SA Q4 18 VR'!$A$33:$O$193,1+MATCH(VLOOKUP(A316,Vendors!$A$2:$B$15,2,0),'SA Q4 18 VR'!$B$24:$O$24,0),0)</f>
        <v>#REF!</v>
      </c>
      <c r="F316" s="27">
        <v>1</v>
      </c>
      <c r="G316">
        <f>RFI_Elements!N319</f>
        <v>318</v>
      </c>
      <c r="I316" t="e">
        <f>VLOOKUP(B316,SuiteCatSubElem!$G$2:$G$667,2,0)</f>
        <v>#REF!</v>
      </c>
    </row>
    <row r="317" spans="1:9">
      <c r="A317">
        <f>RFI_Elements!B320</f>
        <v>4</v>
      </c>
      <c r="B317">
        <f>RFI_Elements!C320</f>
        <v>472</v>
      </c>
      <c r="C317">
        <v>319</v>
      </c>
      <c r="D317" s="128">
        <v>43101.003472164353</v>
      </c>
      <c r="E317" t="e">
        <f>VLOOKUP(VLOOKUP(B317,SuiteCatSubElem!$G$2:$G$667,2,0),'SA Q4 18 VR'!$A$33:$O$193,1+MATCH(VLOOKUP(A317,Vendors!$A$2:$B$15,2,0),'SA Q4 18 VR'!$B$24:$O$24,0),0)</f>
        <v>#REF!</v>
      </c>
      <c r="F317" s="27">
        <v>1</v>
      </c>
      <c r="G317">
        <f>RFI_Elements!N320</f>
        <v>319</v>
      </c>
      <c r="I317" t="e">
        <f>VLOOKUP(B317,SuiteCatSubElem!$G$2:$G$667,2,0)</f>
        <v>#REF!</v>
      </c>
    </row>
    <row r="318" spans="1:9">
      <c r="A318">
        <f>RFI_Elements!B321</f>
        <v>4</v>
      </c>
      <c r="B318">
        <f>RFI_Elements!C321</f>
        <v>473</v>
      </c>
      <c r="C318">
        <v>320</v>
      </c>
      <c r="D318" s="128">
        <v>43101.003472164353</v>
      </c>
      <c r="E318" t="e">
        <f>VLOOKUP(VLOOKUP(B318,SuiteCatSubElem!$G$2:$G$667,2,0),'SA Q4 18 VR'!$A$33:$O$193,1+MATCH(VLOOKUP(A318,Vendors!$A$2:$B$15,2,0),'SA Q4 18 VR'!$B$24:$O$24,0),0)</f>
        <v>#REF!</v>
      </c>
      <c r="F318" s="27">
        <v>1</v>
      </c>
      <c r="G318">
        <f>RFI_Elements!N321</f>
        <v>320</v>
      </c>
      <c r="I318" t="e">
        <f>VLOOKUP(B318,SuiteCatSubElem!$G$2:$G$667,2,0)</f>
        <v>#REF!</v>
      </c>
    </row>
    <row r="319" spans="1:9">
      <c r="A319">
        <f>RFI_Elements!B322</f>
        <v>4</v>
      </c>
      <c r="B319">
        <f>RFI_Elements!C322</f>
        <v>474</v>
      </c>
      <c r="C319">
        <v>321</v>
      </c>
      <c r="D319" s="128">
        <v>43101.003472164353</v>
      </c>
      <c r="E319" t="e">
        <f>VLOOKUP(VLOOKUP(B319,SuiteCatSubElem!$G$2:$G$667,2,0),'SA Q4 18 VR'!$A$33:$O$193,1+MATCH(VLOOKUP(A319,Vendors!$A$2:$B$15,2,0),'SA Q4 18 VR'!$B$24:$O$24,0),0)</f>
        <v>#REF!</v>
      </c>
      <c r="F319" s="27">
        <v>1</v>
      </c>
      <c r="G319">
        <f>RFI_Elements!N322</f>
        <v>321</v>
      </c>
      <c r="I319" t="e">
        <f>VLOOKUP(B319,SuiteCatSubElem!$G$2:$G$667,2,0)</f>
        <v>#REF!</v>
      </c>
    </row>
    <row r="320" spans="1:9">
      <c r="A320">
        <f>RFI_Elements!B323</f>
        <v>4</v>
      </c>
      <c r="B320">
        <f>RFI_Elements!C323</f>
        <v>475</v>
      </c>
      <c r="C320">
        <v>322</v>
      </c>
      <c r="D320" s="128">
        <v>43101.003472164353</v>
      </c>
      <c r="E320" t="e">
        <f>VLOOKUP(VLOOKUP(B320,SuiteCatSubElem!$G$2:$G$667,2,0),'SA Q4 18 VR'!$A$33:$O$193,1+MATCH(VLOOKUP(A320,Vendors!$A$2:$B$15,2,0),'SA Q4 18 VR'!$B$24:$O$24,0),0)</f>
        <v>#REF!</v>
      </c>
      <c r="F320" s="27">
        <v>1</v>
      </c>
      <c r="G320">
        <f>RFI_Elements!N323</f>
        <v>322</v>
      </c>
      <c r="I320" t="e">
        <f>VLOOKUP(B320,SuiteCatSubElem!$G$2:$G$667,2,0)</f>
        <v>#REF!</v>
      </c>
    </row>
    <row r="321" spans="1:9">
      <c r="A321">
        <f>RFI_Elements!B324</f>
        <v>4</v>
      </c>
      <c r="B321">
        <f>RFI_Elements!C324</f>
        <v>476</v>
      </c>
      <c r="C321">
        <v>323</v>
      </c>
      <c r="D321" s="128">
        <v>43101.003472164353</v>
      </c>
      <c r="E321" t="e">
        <f>VLOOKUP(VLOOKUP(B321,SuiteCatSubElem!$G$2:$G$667,2,0),'SA Q4 18 VR'!$A$33:$O$193,1+MATCH(VLOOKUP(A321,Vendors!$A$2:$B$15,2,0),'SA Q4 18 VR'!$B$24:$O$24,0),0)</f>
        <v>#REF!</v>
      </c>
      <c r="F321" s="27">
        <v>1</v>
      </c>
      <c r="G321">
        <f>RFI_Elements!N324</f>
        <v>323</v>
      </c>
      <c r="I321" t="e">
        <f>VLOOKUP(B321,SuiteCatSubElem!$G$2:$G$667,2,0)</f>
        <v>#REF!</v>
      </c>
    </row>
    <row r="322" spans="1:9">
      <c r="A322">
        <f>RFI_Elements!B325</f>
        <v>4</v>
      </c>
      <c r="B322">
        <f>RFI_Elements!C325</f>
        <v>477</v>
      </c>
      <c r="C322">
        <v>324</v>
      </c>
      <c r="D322" s="128">
        <v>43101.003472164353</v>
      </c>
      <c r="E322" t="e">
        <f>VLOOKUP(VLOOKUP(B322,SuiteCatSubElem!$G$2:$G$667,2,0),'SA Q4 18 VR'!$A$33:$O$193,1+MATCH(VLOOKUP(A322,Vendors!$A$2:$B$15,2,0),'SA Q4 18 VR'!$B$24:$O$24,0),0)</f>
        <v>#REF!</v>
      </c>
      <c r="F322" s="27">
        <v>1</v>
      </c>
      <c r="G322">
        <f>RFI_Elements!N325</f>
        <v>324</v>
      </c>
      <c r="I322" t="e">
        <f>VLOOKUP(B322,SuiteCatSubElem!$G$2:$G$667,2,0)</f>
        <v>#REF!</v>
      </c>
    </row>
    <row r="323" spans="1:9">
      <c r="A323">
        <f>RFI_Elements!B326</f>
        <v>4</v>
      </c>
      <c r="B323">
        <f>RFI_Elements!C326</f>
        <v>478</v>
      </c>
      <c r="C323">
        <v>325</v>
      </c>
      <c r="D323" s="128">
        <v>43101.003472164353</v>
      </c>
      <c r="E323" t="e">
        <f>VLOOKUP(VLOOKUP(B323,SuiteCatSubElem!$G$2:$G$667,2,0),'SA Q4 18 VR'!$A$33:$O$193,1+MATCH(VLOOKUP(A323,Vendors!$A$2:$B$15,2,0),'SA Q4 18 VR'!$B$24:$O$24,0),0)</f>
        <v>#REF!</v>
      </c>
      <c r="F323" s="27">
        <v>1</v>
      </c>
      <c r="G323">
        <f>RFI_Elements!N326</f>
        <v>325</v>
      </c>
      <c r="I323" t="e">
        <f>VLOOKUP(B323,SuiteCatSubElem!$G$2:$G$667,2,0)</f>
        <v>#REF!</v>
      </c>
    </row>
    <row r="324" spans="1:9">
      <c r="A324">
        <f>RFI_Elements!B327</f>
        <v>4</v>
      </c>
      <c r="B324">
        <f>RFI_Elements!C327</f>
        <v>479</v>
      </c>
      <c r="C324">
        <v>326</v>
      </c>
      <c r="D324" s="128">
        <v>43101.003472164353</v>
      </c>
      <c r="E324" t="e">
        <f>VLOOKUP(VLOOKUP(B324,SuiteCatSubElem!$G$2:$G$667,2,0),'SA Q4 18 VR'!$A$33:$O$193,1+MATCH(VLOOKUP(A324,Vendors!$A$2:$B$15,2,0),'SA Q4 18 VR'!$B$24:$O$24,0),0)</f>
        <v>#REF!</v>
      </c>
      <c r="F324" s="27">
        <v>1</v>
      </c>
      <c r="G324">
        <f>RFI_Elements!N327</f>
        <v>326</v>
      </c>
      <c r="I324" t="e">
        <f>VLOOKUP(B324,SuiteCatSubElem!$G$2:$G$667,2,0)</f>
        <v>#REF!</v>
      </c>
    </row>
    <row r="325" spans="1:9">
      <c r="A325">
        <f>RFI_Elements!B328</f>
        <v>4</v>
      </c>
      <c r="B325">
        <f>RFI_Elements!C328</f>
        <v>480</v>
      </c>
      <c r="C325">
        <v>327</v>
      </c>
      <c r="D325" s="128">
        <v>43101.003472164353</v>
      </c>
      <c r="E325" t="e">
        <f>VLOOKUP(VLOOKUP(B325,SuiteCatSubElem!$G$2:$G$667,2,0),'SA Q4 18 VR'!$A$33:$O$193,1+MATCH(VLOOKUP(A325,Vendors!$A$2:$B$15,2,0),'SA Q4 18 VR'!$B$24:$O$24,0),0)</f>
        <v>#REF!</v>
      </c>
      <c r="F325" s="27">
        <v>1</v>
      </c>
      <c r="G325">
        <f>RFI_Elements!N328</f>
        <v>327</v>
      </c>
      <c r="I325" t="e">
        <f>VLOOKUP(B325,SuiteCatSubElem!$G$2:$G$667,2,0)</f>
        <v>#REF!</v>
      </c>
    </row>
    <row r="326" spans="1:9">
      <c r="A326">
        <f>RFI_Elements!B329</f>
        <v>4</v>
      </c>
      <c r="B326">
        <f>RFI_Elements!C329</f>
        <v>481</v>
      </c>
      <c r="C326">
        <v>328</v>
      </c>
      <c r="D326" s="128">
        <v>43101.003472164353</v>
      </c>
      <c r="E326" t="e">
        <f>VLOOKUP(VLOOKUP(B326,SuiteCatSubElem!$G$2:$G$667,2,0),'SA Q4 18 VR'!$A$33:$O$193,1+MATCH(VLOOKUP(A326,Vendors!$A$2:$B$15,2,0),'SA Q4 18 VR'!$B$24:$O$24,0),0)</f>
        <v>#REF!</v>
      </c>
      <c r="F326" s="27">
        <v>1</v>
      </c>
      <c r="G326">
        <f>RFI_Elements!N329</f>
        <v>328</v>
      </c>
      <c r="I326" t="e">
        <f>VLOOKUP(B326,SuiteCatSubElem!$G$2:$G$667,2,0)</f>
        <v>#REF!</v>
      </c>
    </row>
    <row r="327" spans="1:9">
      <c r="A327">
        <f>RFI_Elements!B330</f>
        <v>4</v>
      </c>
      <c r="B327">
        <f>RFI_Elements!C330</f>
        <v>482</v>
      </c>
      <c r="C327">
        <v>329</v>
      </c>
      <c r="D327" s="128">
        <v>43101.003472164353</v>
      </c>
      <c r="E327" t="e">
        <f>VLOOKUP(VLOOKUP(B327,SuiteCatSubElem!$G$2:$G$667,2,0),'SA Q4 18 VR'!$A$33:$O$193,1+MATCH(VLOOKUP(A327,Vendors!$A$2:$B$15,2,0),'SA Q4 18 VR'!$B$24:$O$24,0),0)</f>
        <v>#REF!</v>
      </c>
      <c r="F327" s="27">
        <v>1</v>
      </c>
      <c r="G327">
        <f>RFI_Elements!N330</f>
        <v>329</v>
      </c>
      <c r="I327" t="e">
        <f>VLOOKUP(B327,SuiteCatSubElem!$G$2:$G$667,2,0)</f>
        <v>#REF!</v>
      </c>
    </row>
    <row r="328" spans="1:9">
      <c r="A328">
        <f>RFI_Elements!B331</f>
        <v>4</v>
      </c>
      <c r="B328">
        <f>RFI_Elements!C331</f>
        <v>483</v>
      </c>
      <c r="C328">
        <v>330</v>
      </c>
      <c r="D328" s="128">
        <v>43101.003472164353</v>
      </c>
      <c r="E328" t="e">
        <f>VLOOKUP(VLOOKUP(B328,SuiteCatSubElem!$G$2:$G$667,2,0),'SA Q4 18 VR'!$A$33:$O$193,1+MATCH(VLOOKUP(A328,Vendors!$A$2:$B$15,2,0),'SA Q4 18 VR'!$B$24:$O$24,0),0)</f>
        <v>#REF!</v>
      </c>
      <c r="F328" s="27">
        <v>1</v>
      </c>
      <c r="G328">
        <f>RFI_Elements!N331</f>
        <v>330</v>
      </c>
      <c r="I328" t="e">
        <f>VLOOKUP(B328,SuiteCatSubElem!$G$2:$G$667,2,0)</f>
        <v>#REF!</v>
      </c>
    </row>
    <row r="329" spans="1:9">
      <c r="A329">
        <f>RFI_Elements!B332</f>
        <v>4</v>
      </c>
      <c r="B329">
        <f>RFI_Elements!C332</f>
        <v>484</v>
      </c>
      <c r="C329">
        <v>331</v>
      </c>
      <c r="D329" s="128">
        <v>43101.003472164353</v>
      </c>
      <c r="E329" t="e">
        <f>VLOOKUP(VLOOKUP(B329,SuiteCatSubElem!$G$2:$G$667,2,0),'SA Q4 18 VR'!$A$33:$O$193,1+MATCH(VLOOKUP(A329,Vendors!$A$2:$B$15,2,0),'SA Q4 18 VR'!$B$24:$O$24,0),0)</f>
        <v>#REF!</v>
      </c>
      <c r="F329" s="27">
        <v>1</v>
      </c>
      <c r="G329">
        <f>RFI_Elements!N332</f>
        <v>331</v>
      </c>
      <c r="I329" t="e">
        <f>VLOOKUP(B329,SuiteCatSubElem!$G$2:$G$667,2,0)</f>
        <v>#REF!</v>
      </c>
    </row>
    <row r="330" spans="1:9">
      <c r="A330">
        <f>RFI_Elements!B333</f>
        <v>4</v>
      </c>
      <c r="B330">
        <f>RFI_Elements!C333</f>
        <v>485</v>
      </c>
      <c r="C330">
        <v>332</v>
      </c>
      <c r="D330" s="128">
        <v>43101.003472164353</v>
      </c>
      <c r="E330" t="e">
        <f>VLOOKUP(VLOOKUP(B330,SuiteCatSubElem!$G$2:$G$667,2,0),'SA Q4 18 VR'!$A$33:$O$193,1+MATCH(VLOOKUP(A330,Vendors!$A$2:$B$15,2,0),'SA Q4 18 VR'!$B$24:$O$24,0),0)</f>
        <v>#REF!</v>
      </c>
      <c r="F330" s="27">
        <v>1</v>
      </c>
      <c r="G330">
        <f>RFI_Elements!N333</f>
        <v>332</v>
      </c>
      <c r="I330" t="e">
        <f>VLOOKUP(B330,SuiteCatSubElem!$G$2:$G$667,2,0)</f>
        <v>#REF!</v>
      </c>
    </row>
    <row r="331" spans="1:9">
      <c r="A331">
        <f>RFI_Elements!B334</f>
        <v>4</v>
      </c>
      <c r="B331">
        <f>RFI_Elements!C334</f>
        <v>486</v>
      </c>
      <c r="C331">
        <v>333</v>
      </c>
      <c r="D331" s="128">
        <v>43101.003472164353</v>
      </c>
      <c r="E331" t="e">
        <f>VLOOKUP(VLOOKUP(B331,SuiteCatSubElem!$G$2:$G$667,2,0),'SA Q4 18 VR'!$A$33:$O$193,1+MATCH(VLOOKUP(A331,Vendors!$A$2:$B$15,2,0),'SA Q4 18 VR'!$B$24:$O$24,0),0)</f>
        <v>#REF!</v>
      </c>
      <c r="F331" s="27">
        <v>1</v>
      </c>
      <c r="G331">
        <f>RFI_Elements!N334</f>
        <v>333</v>
      </c>
      <c r="I331" t="e">
        <f>VLOOKUP(B331,SuiteCatSubElem!$G$2:$G$667,2,0)</f>
        <v>#REF!</v>
      </c>
    </row>
    <row r="332" spans="1:9">
      <c r="A332">
        <f>RFI_Elements!B335</f>
        <v>4</v>
      </c>
      <c r="B332">
        <f>RFI_Elements!C335</f>
        <v>487</v>
      </c>
      <c r="C332">
        <v>334</v>
      </c>
      <c r="D332" s="128">
        <v>43101.003472164353</v>
      </c>
      <c r="E332" t="e">
        <f>VLOOKUP(VLOOKUP(B332,SuiteCatSubElem!$G$2:$G$667,2,0),'SA Q4 18 VR'!$A$33:$O$193,1+MATCH(VLOOKUP(A332,Vendors!$A$2:$B$15,2,0),'SA Q4 18 VR'!$B$24:$O$24,0),0)</f>
        <v>#REF!</v>
      </c>
      <c r="F332" s="27">
        <v>1</v>
      </c>
      <c r="G332">
        <f>RFI_Elements!N335</f>
        <v>334</v>
      </c>
      <c r="I332" t="e">
        <f>VLOOKUP(B332,SuiteCatSubElem!$G$2:$G$667,2,0)</f>
        <v>#REF!</v>
      </c>
    </row>
    <row r="333" spans="1:9">
      <c r="A333">
        <f>RFI_Elements!B336</f>
        <v>4</v>
      </c>
      <c r="B333">
        <f>RFI_Elements!C336</f>
        <v>488</v>
      </c>
      <c r="C333">
        <v>335</v>
      </c>
      <c r="D333" s="128">
        <v>43101.003472164353</v>
      </c>
      <c r="E333" t="e">
        <f>VLOOKUP(VLOOKUP(B333,SuiteCatSubElem!$G$2:$G$667,2,0),'SA Q4 18 VR'!$A$33:$O$193,1+MATCH(VLOOKUP(A333,Vendors!$A$2:$B$15,2,0),'SA Q4 18 VR'!$B$24:$O$24,0),0)</f>
        <v>#REF!</v>
      </c>
      <c r="F333" s="27">
        <v>1</v>
      </c>
      <c r="G333">
        <f>RFI_Elements!N336</f>
        <v>335</v>
      </c>
      <c r="I333" t="e">
        <f>VLOOKUP(B333,SuiteCatSubElem!$G$2:$G$667,2,0)</f>
        <v>#REF!</v>
      </c>
    </row>
    <row r="334" spans="1:9">
      <c r="A334">
        <f>RFI_Elements!B337</f>
        <v>4</v>
      </c>
      <c r="B334">
        <f>RFI_Elements!C337</f>
        <v>489</v>
      </c>
      <c r="C334">
        <v>336</v>
      </c>
      <c r="D334" s="128">
        <v>43101.003472164353</v>
      </c>
      <c r="E334" t="e">
        <f>VLOOKUP(VLOOKUP(B334,SuiteCatSubElem!$G$2:$G$667,2,0),'SA Q4 18 VR'!$A$33:$O$193,1+MATCH(VLOOKUP(A334,Vendors!$A$2:$B$15,2,0),'SA Q4 18 VR'!$B$24:$O$24,0),0)</f>
        <v>#REF!</v>
      </c>
      <c r="F334" s="27">
        <v>1</v>
      </c>
      <c r="G334">
        <f>RFI_Elements!N337</f>
        <v>336</v>
      </c>
      <c r="I334" t="e">
        <f>VLOOKUP(B334,SuiteCatSubElem!$G$2:$G$667,2,0)</f>
        <v>#REF!</v>
      </c>
    </row>
    <row r="335" spans="1:9">
      <c r="A335">
        <f>RFI_Elements!B338</f>
        <v>4</v>
      </c>
      <c r="B335">
        <f>RFI_Elements!C338</f>
        <v>490</v>
      </c>
      <c r="C335">
        <v>337</v>
      </c>
      <c r="D335" s="128">
        <v>43101.003472164353</v>
      </c>
      <c r="E335" t="e">
        <f>VLOOKUP(VLOOKUP(B335,SuiteCatSubElem!$G$2:$G$667,2,0),'SA Q4 18 VR'!$A$33:$O$193,1+MATCH(VLOOKUP(A335,Vendors!$A$2:$B$15,2,0),'SA Q4 18 VR'!$B$24:$O$24,0),0)</f>
        <v>#REF!</v>
      </c>
      <c r="F335" s="27">
        <v>1</v>
      </c>
      <c r="G335">
        <f>RFI_Elements!N338</f>
        <v>337</v>
      </c>
      <c r="I335" t="e">
        <f>VLOOKUP(B335,SuiteCatSubElem!$G$2:$G$667,2,0)</f>
        <v>#REF!</v>
      </c>
    </row>
    <row r="336" spans="1:9">
      <c r="A336">
        <f>RFI_Elements!B339</f>
        <v>4</v>
      </c>
      <c r="B336">
        <f>RFI_Elements!C339</f>
        <v>491</v>
      </c>
      <c r="C336">
        <v>338</v>
      </c>
      <c r="D336" s="128">
        <v>43101.003472164353</v>
      </c>
      <c r="E336" t="e">
        <f>VLOOKUP(VLOOKUP(B336,SuiteCatSubElem!$G$2:$G$667,2,0),'SA Q4 18 VR'!$A$33:$O$193,1+MATCH(VLOOKUP(A336,Vendors!$A$2:$B$15,2,0),'SA Q4 18 VR'!$B$24:$O$24,0),0)</f>
        <v>#REF!</v>
      </c>
      <c r="F336" s="27">
        <v>1</v>
      </c>
      <c r="G336">
        <f>RFI_Elements!N339</f>
        <v>338</v>
      </c>
      <c r="I336" t="e">
        <f>VLOOKUP(B336,SuiteCatSubElem!$G$2:$G$667,2,0)</f>
        <v>#REF!</v>
      </c>
    </row>
    <row r="337" spans="1:9">
      <c r="A337">
        <f>RFI_Elements!B340</f>
        <v>4</v>
      </c>
      <c r="B337">
        <f>RFI_Elements!C340</f>
        <v>492</v>
      </c>
      <c r="C337">
        <v>339</v>
      </c>
      <c r="D337" s="128">
        <v>43101.003472164353</v>
      </c>
      <c r="E337" t="e">
        <f>VLOOKUP(VLOOKUP(B337,SuiteCatSubElem!$G$2:$G$667,2,0),'SA Q4 18 VR'!$A$33:$O$193,1+MATCH(VLOOKUP(A337,Vendors!$A$2:$B$15,2,0),'SA Q4 18 VR'!$B$24:$O$24,0),0)</f>
        <v>#REF!</v>
      </c>
      <c r="F337" s="27">
        <v>1</v>
      </c>
      <c r="G337">
        <f>RFI_Elements!N340</f>
        <v>339</v>
      </c>
      <c r="I337" t="e">
        <f>VLOOKUP(B337,SuiteCatSubElem!$G$2:$G$667,2,0)</f>
        <v>#REF!</v>
      </c>
    </row>
    <row r="338" spans="1:9">
      <c r="A338">
        <f>RFI_Elements!B341</f>
        <v>4</v>
      </c>
      <c r="B338">
        <f>RFI_Elements!C341</f>
        <v>493</v>
      </c>
      <c r="C338">
        <v>340</v>
      </c>
      <c r="D338" s="128">
        <v>43101.003472164353</v>
      </c>
      <c r="E338" t="e">
        <f>VLOOKUP(VLOOKUP(B338,SuiteCatSubElem!$G$2:$G$667,2,0),'SA Q4 18 VR'!$A$33:$O$193,1+MATCH(VLOOKUP(A338,Vendors!$A$2:$B$15,2,0),'SA Q4 18 VR'!$B$24:$O$24,0),0)</f>
        <v>#REF!</v>
      </c>
      <c r="F338" s="27">
        <v>1</v>
      </c>
      <c r="G338">
        <f>RFI_Elements!N341</f>
        <v>340</v>
      </c>
      <c r="I338" t="e">
        <f>VLOOKUP(B338,SuiteCatSubElem!$G$2:$G$667,2,0)</f>
        <v>#REF!</v>
      </c>
    </row>
    <row r="339" spans="1:9">
      <c r="A339">
        <f>RFI_Elements!B342</f>
        <v>5</v>
      </c>
      <c r="B339">
        <f>RFI_Elements!C342</f>
        <v>409</v>
      </c>
      <c r="C339">
        <v>341</v>
      </c>
      <c r="D339" s="128">
        <v>43101.003472164353</v>
      </c>
      <c r="E339" t="e">
        <f>VLOOKUP(VLOOKUP(B339,SuiteCatSubElem!$G$2:$G$667,2,0),'SA Q4 18 VR'!$A$33:$O$193,1+MATCH(VLOOKUP(A339,Vendors!$A$2:$B$15,2,0),'SA Q4 18 VR'!$B$24:$O$24,0),0)</f>
        <v>#REF!</v>
      </c>
      <c r="F339" s="27">
        <v>1</v>
      </c>
      <c r="G339">
        <f>RFI_Elements!N342</f>
        <v>341</v>
      </c>
      <c r="I339" t="e">
        <f>VLOOKUP(B339,SuiteCatSubElem!$G$2:$G$667,2,0)</f>
        <v>#REF!</v>
      </c>
    </row>
    <row r="340" spans="1:9">
      <c r="A340">
        <f>RFI_Elements!B343</f>
        <v>5</v>
      </c>
      <c r="B340">
        <f>RFI_Elements!C343</f>
        <v>410</v>
      </c>
      <c r="C340">
        <v>342</v>
      </c>
      <c r="D340" s="128">
        <v>43101.003472164353</v>
      </c>
      <c r="E340" t="e">
        <f>VLOOKUP(VLOOKUP(B340,SuiteCatSubElem!$G$2:$G$667,2,0),'SA Q4 18 VR'!$A$33:$O$193,1+MATCH(VLOOKUP(A340,Vendors!$A$2:$B$15,2,0),'SA Q4 18 VR'!$B$24:$O$24,0),0)</f>
        <v>#REF!</v>
      </c>
      <c r="F340" s="27">
        <v>1</v>
      </c>
      <c r="G340">
        <f>RFI_Elements!N343</f>
        <v>342</v>
      </c>
      <c r="I340" t="e">
        <f>VLOOKUP(B340,SuiteCatSubElem!$G$2:$G$667,2,0)</f>
        <v>#REF!</v>
      </c>
    </row>
    <row r="341" spans="1:9">
      <c r="A341">
        <f>RFI_Elements!B344</f>
        <v>5</v>
      </c>
      <c r="B341">
        <f>RFI_Elements!C344</f>
        <v>411</v>
      </c>
      <c r="C341">
        <v>343</v>
      </c>
      <c r="D341" s="128">
        <v>43101.003472164353</v>
      </c>
      <c r="E341" t="e">
        <f>VLOOKUP(VLOOKUP(B341,SuiteCatSubElem!$G$2:$G$667,2,0),'SA Q4 18 VR'!$A$33:$O$193,1+MATCH(VLOOKUP(A341,Vendors!$A$2:$B$15,2,0),'SA Q4 18 VR'!$B$24:$O$24,0),0)</f>
        <v>#REF!</v>
      </c>
      <c r="F341" s="27">
        <v>1</v>
      </c>
      <c r="G341">
        <f>RFI_Elements!N344</f>
        <v>343</v>
      </c>
      <c r="I341" t="e">
        <f>VLOOKUP(B341,SuiteCatSubElem!$G$2:$G$667,2,0)</f>
        <v>#REF!</v>
      </c>
    </row>
    <row r="342" spans="1:9">
      <c r="A342">
        <f>RFI_Elements!B345</f>
        <v>5</v>
      </c>
      <c r="B342">
        <f>RFI_Elements!C345</f>
        <v>412</v>
      </c>
      <c r="C342">
        <v>344</v>
      </c>
      <c r="D342" s="128">
        <v>43101.003472164353</v>
      </c>
      <c r="E342" t="e">
        <f>VLOOKUP(VLOOKUP(B342,SuiteCatSubElem!$G$2:$G$667,2,0),'SA Q4 18 VR'!$A$33:$O$193,1+MATCH(VLOOKUP(A342,Vendors!$A$2:$B$15,2,0),'SA Q4 18 VR'!$B$24:$O$24,0),0)</f>
        <v>#REF!</v>
      </c>
      <c r="F342" s="27">
        <v>1</v>
      </c>
      <c r="G342">
        <f>RFI_Elements!N345</f>
        <v>344</v>
      </c>
      <c r="I342" t="e">
        <f>VLOOKUP(B342,SuiteCatSubElem!$G$2:$G$667,2,0)</f>
        <v>#REF!</v>
      </c>
    </row>
    <row r="343" spans="1:9">
      <c r="A343">
        <f>RFI_Elements!B346</f>
        <v>5</v>
      </c>
      <c r="B343">
        <f>RFI_Elements!C346</f>
        <v>413</v>
      </c>
      <c r="C343">
        <v>345</v>
      </c>
      <c r="D343" s="128">
        <v>43101.003472164353</v>
      </c>
      <c r="E343" t="e">
        <f>VLOOKUP(VLOOKUP(B343,SuiteCatSubElem!$G$2:$G$667,2,0),'SA Q4 18 VR'!$A$33:$O$193,1+MATCH(VLOOKUP(A343,Vendors!$A$2:$B$15,2,0),'SA Q4 18 VR'!$B$24:$O$24,0),0)</f>
        <v>#REF!</v>
      </c>
      <c r="F343" s="27">
        <v>1</v>
      </c>
      <c r="G343">
        <f>RFI_Elements!N346</f>
        <v>345</v>
      </c>
      <c r="I343" t="e">
        <f>VLOOKUP(B343,SuiteCatSubElem!$G$2:$G$667,2,0)</f>
        <v>#REF!</v>
      </c>
    </row>
    <row r="344" spans="1:9">
      <c r="A344">
        <f>RFI_Elements!B347</f>
        <v>5</v>
      </c>
      <c r="B344">
        <f>RFI_Elements!C347</f>
        <v>414</v>
      </c>
      <c r="C344">
        <v>346</v>
      </c>
      <c r="D344" s="128">
        <v>43101.003472164353</v>
      </c>
      <c r="E344" t="e">
        <f>VLOOKUP(VLOOKUP(B344,SuiteCatSubElem!$G$2:$G$667,2,0),'SA Q4 18 VR'!$A$33:$O$193,1+MATCH(VLOOKUP(A344,Vendors!$A$2:$B$15,2,0),'SA Q4 18 VR'!$B$24:$O$24,0),0)</f>
        <v>#REF!</v>
      </c>
      <c r="F344" s="27">
        <v>1</v>
      </c>
      <c r="G344">
        <f>RFI_Elements!N347</f>
        <v>346</v>
      </c>
      <c r="I344" t="e">
        <f>VLOOKUP(B344,SuiteCatSubElem!$G$2:$G$667,2,0)</f>
        <v>#REF!</v>
      </c>
    </row>
    <row r="345" spans="1:9">
      <c r="A345">
        <f>RFI_Elements!B348</f>
        <v>5</v>
      </c>
      <c r="B345">
        <f>RFI_Elements!C348</f>
        <v>415</v>
      </c>
      <c r="C345">
        <v>347</v>
      </c>
      <c r="D345" s="128">
        <v>43101.003472164353</v>
      </c>
      <c r="E345" t="e">
        <f>VLOOKUP(VLOOKUP(B345,SuiteCatSubElem!$G$2:$G$667,2,0),'SA Q4 18 VR'!$A$33:$O$193,1+MATCH(VLOOKUP(A345,Vendors!$A$2:$B$15,2,0),'SA Q4 18 VR'!$B$24:$O$24,0),0)</f>
        <v>#REF!</v>
      </c>
      <c r="F345" s="27">
        <v>1</v>
      </c>
      <c r="G345">
        <f>RFI_Elements!N348</f>
        <v>347</v>
      </c>
      <c r="I345" t="e">
        <f>VLOOKUP(B345,SuiteCatSubElem!$G$2:$G$667,2,0)</f>
        <v>#REF!</v>
      </c>
    </row>
    <row r="346" spans="1:9">
      <c r="A346">
        <f>RFI_Elements!B349</f>
        <v>5</v>
      </c>
      <c r="B346">
        <f>RFI_Elements!C349</f>
        <v>416</v>
      </c>
      <c r="C346">
        <v>348</v>
      </c>
      <c r="D346" s="128">
        <v>43101.003472164353</v>
      </c>
      <c r="E346" t="e">
        <f>VLOOKUP(VLOOKUP(B346,SuiteCatSubElem!$G$2:$G$667,2,0),'SA Q4 18 VR'!$A$33:$O$193,1+MATCH(VLOOKUP(A346,Vendors!$A$2:$B$15,2,0),'SA Q4 18 VR'!$B$24:$O$24,0),0)</f>
        <v>#REF!</v>
      </c>
      <c r="F346" s="27">
        <v>1</v>
      </c>
      <c r="G346">
        <f>RFI_Elements!N349</f>
        <v>348</v>
      </c>
      <c r="I346" t="e">
        <f>VLOOKUP(B346,SuiteCatSubElem!$G$2:$G$667,2,0)</f>
        <v>#REF!</v>
      </c>
    </row>
    <row r="347" spans="1:9">
      <c r="A347">
        <f>RFI_Elements!B350</f>
        <v>5</v>
      </c>
      <c r="B347">
        <f>RFI_Elements!C350</f>
        <v>417</v>
      </c>
      <c r="C347">
        <v>349</v>
      </c>
      <c r="D347" s="128">
        <v>43101.003472164353</v>
      </c>
      <c r="E347" t="e">
        <f>VLOOKUP(VLOOKUP(B347,SuiteCatSubElem!$G$2:$G$667,2,0),'SA Q4 18 VR'!$A$33:$O$193,1+MATCH(VLOOKUP(A347,Vendors!$A$2:$B$15,2,0),'SA Q4 18 VR'!$B$24:$O$24,0),0)</f>
        <v>#REF!</v>
      </c>
      <c r="F347" s="27">
        <v>1</v>
      </c>
      <c r="G347">
        <f>RFI_Elements!N350</f>
        <v>349</v>
      </c>
      <c r="I347" t="e">
        <f>VLOOKUP(B347,SuiteCatSubElem!$G$2:$G$667,2,0)</f>
        <v>#REF!</v>
      </c>
    </row>
    <row r="348" spans="1:9">
      <c r="A348">
        <f>RFI_Elements!B351</f>
        <v>5</v>
      </c>
      <c r="B348">
        <f>RFI_Elements!C351</f>
        <v>418</v>
      </c>
      <c r="C348">
        <v>350</v>
      </c>
      <c r="D348" s="128">
        <v>43101.003472164353</v>
      </c>
      <c r="E348" t="e">
        <f>VLOOKUP(VLOOKUP(B348,SuiteCatSubElem!$G$2:$G$667,2,0),'SA Q4 18 VR'!$A$33:$O$193,1+MATCH(VLOOKUP(A348,Vendors!$A$2:$B$15,2,0),'SA Q4 18 VR'!$B$24:$O$24,0),0)</f>
        <v>#REF!</v>
      </c>
      <c r="F348" s="27">
        <v>1</v>
      </c>
      <c r="G348">
        <f>RFI_Elements!N351</f>
        <v>350</v>
      </c>
      <c r="I348" t="e">
        <f>VLOOKUP(B348,SuiteCatSubElem!$G$2:$G$667,2,0)</f>
        <v>#REF!</v>
      </c>
    </row>
    <row r="349" spans="1:9">
      <c r="A349">
        <f>RFI_Elements!B352</f>
        <v>5</v>
      </c>
      <c r="B349">
        <f>RFI_Elements!C352</f>
        <v>419</v>
      </c>
      <c r="C349">
        <v>351</v>
      </c>
      <c r="D349" s="128">
        <v>43101.003472164353</v>
      </c>
      <c r="E349" t="e">
        <f>VLOOKUP(VLOOKUP(B349,SuiteCatSubElem!$G$2:$G$667,2,0),'SA Q4 18 VR'!$A$33:$O$193,1+MATCH(VLOOKUP(A349,Vendors!$A$2:$B$15,2,0),'SA Q4 18 VR'!$B$24:$O$24,0),0)</f>
        <v>#REF!</v>
      </c>
      <c r="F349" s="27">
        <v>1</v>
      </c>
      <c r="G349">
        <f>RFI_Elements!N352</f>
        <v>351</v>
      </c>
      <c r="I349" t="e">
        <f>VLOOKUP(B349,SuiteCatSubElem!$G$2:$G$667,2,0)</f>
        <v>#REF!</v>
      </c>
    </row>
    <row r="350" spans="1:9">
      <c r="A350">
        <f>RFI_Elements!B353</f>
        <v>5</v>
      </c>
      <c r="B350">
        <f>RFI_Elements!C353</f>
        <v>420</v>
      </c>
      <c r="C350">
        <v>352</v>
      </c>
      <c r="D350" s="128">
        <v>43101.003472164353</v>
      </c>
      <c r="E350" t="e">
        <f>VLOOKUP(VLOOKUP(B350,SuiteCatSubElem!$G$2:$G$667,2,0),'SA Q4 18 VR'!$A$33:$O$193,1+MATCH(VLOOKUP(A350,Vendors!$A$2:$B$15,2,0),'SA Q4 18 VR'!$B$24:$O$24,0),0)</f>
        <v>#REF!</v>
      </c>
      <c r="F350" s="27">
        <v>1</v>
      </c>
      <c r="G350">
        <f>RFI_Elements!N353</f>
        <v>352</v>
      </c>
      <c r="I350" t="e">
        <f>VLOOKUP(B350,SuiteCatSubElem!$G$2:$G$667,2,0)</f>
        <v>#REF!</v>
      </c>
    </row>
    <row r="351" spans="1:9">
      <c r="A351">
        <f>RFI_Elements!B354</f>
        <v>5</v>
      </c>
      <c r="B351">
        <f>RFI_Elements!C354</f>
        <v>421</v>
      </c>
      <c r="C351">
        <v>353</v>
      </c>
      <c r="D351" s="128">
        <v>43101.003472164353</v>
      </c>
      <c r="E351" t="e">
        <f>VLOOKUP(VLOOKUP(B351,SuiteCatSubElem!$G$2:$G$667,2,0),'SA Q4 18 VR'!$A$33:$O$193,1+MATCH(VLOOKUP(A351,Vendors!$A$2:$B$15,2,0),'SA Q4 18 VR'!$B$24:$O$24,0),0)</f>
        <v>#REF!</v>
      </c>
      <c r="F351" s="27">
        <v>1</v>
      </c>
      <c r="G351">
        <f>RFI_Elements!N354</f>
        <v>353</v>
      </c>
      <c r="I351" t="e">
        <f>VLOOKUP(B351,SuiteCatSubElem!$G$2:$G$667,2,0)</f>
        <v>#REF!</v>
      </c>
    </row>
    <row r="352" spans="1:9">
      <c r="A352">
        <f>RFI_Elements!B355</f>
        <v>5</v>
      </c>
      <c r="B352">
        <f>RFI_Elements!C355</f>
        <v>422</v>
      </c>
      <c r="C352">
        <v>354</v>
      </c>
      <c r="D352" s="128">
        <v>43101.003472164353</v>
      </c>
      <c r="E352" t="e">
        <f>VLOOKUP(VLOOKUP(B352,SuiteCatSubElem!$G$2:$G$667,2,0),'SA Q4 18 VR'!$A$33:$O$193,1+MATCH(VLOOKUP(A352,Vendors!$A$2:$B$15,2,0),'SA Q4 18 VR'!$B$24:$O$24,0),0)</f>
        <v>#REF!</v>
      </c>
      <c r="F352" s="27">
        <v>1</v>
      </c>
      <c r="G352">
        <f>RFI_Elements!N355</f>
        <v>354</v>
      </c>
      <c r="I352" t="e">
        <f>VLOOKUP(B352,SuiteCatSubElem!$G$2:$G$667,2,0)</f>
        <v>#REF!</v>
      </c>
    </row>
    <row r="353" spans="1:9">
      <c r="A353">
        <f>RFI_Elements!B356</f>
        <v>5</v>
      </c>
      <c r="B353">
        <f>RFI_Elements!C356</f>
        <v>423</v>
      </c>
      <c r="C353">
        <v>355</v>
      </c>
      <c r="D353" s="128">
        <v>43101.003472164353</v>
      </c>
      <c r="E353" t="e">
        <f>VLOOKUP(VLOOKUP(B353,SuiteCatSubElem!$G$2:$G$667,2,0),'SA Q4 18 VR'!$A$33:$O$193,1+MATCH(VLOOKUP(A353,Vendors!$A$2:$B$15,2,0),'SA Q4 18 VR'!$B$24:$O$24,0),0)</f>
        <v>#REF!</v>
      </c>
      <c r="F353" s="27">
        <v>1</v>
      </c>
      <c r="G353">
        <f>RFI_Elements!N356</f>
        <v>355</v>
      </c>
      <c r="I353" t="e">
        <f>VLOOKUP(B353,SuiteCatSubElem!$G$2:$G$667,2,0)</f>
        <v>#REF!</v>
      </c>
    </row>
    <row r="354" spans="1:9">
      <c r="A354">
        <f>RFI_Elements!B357</f>
        <v>5</v>
      </c>
      <c r="B354">
        <f>RFI_Elements!C357</f>
        <v>424</v>
      </c>
      <c r="C354">
        <v>356</v>
      </c>
      <c r="D354" s="128">
        <v>43101.003472164353</v>
      </c>
      <c r="E354" t="e">
        <f>VLOOKUP(VLOOKUP(B354,SuiteCatSubElem!$G$2:$G$667,2,0),'SA Q4 18 VR'!$A$33:$O$193,1+MATCH(VLOOKUP(A354,Vendors!$A$2:$B$15,2,0),'SA Q4 18 VR'!$B$24:$O$24,0),0)</f>
        <v>#REF!</v>
      </c>
      <c r="F354" s="27">
        <v>1</v>
      </c>
      <c r="G354">
        <f>RFI_Elements!N357</f>
        <v>356</v>
      </c>
      <c r="I354" t="e">
        <f>VLOOKUP(B354,SuiteCatSubElem!$G$2:$G$667,2,0)</f>
        <v>#REF!</v>
      </c>
    </row>
    <row r="355" spans="1:9">
      <c r="A355">
        <f>RFI_Elements!B358</f>
        <v>5</v>
      </c>
      <c r="B355">
        <f>RFI_Elements!C358</f>
        <v>425</v>
      </c>
      <c r="C355">
        <v>357</v>
      </c>
      <c r="D355" s="128">
        <v>43101.003472164353</v>
      </c>
      <c r="E355" t="e">
        <f>VLOOKUP(VLOOKUP(B355,SuiteCatSubElem!$G$2:$G$667,2,0),'SA Q4 18 VR'!$A$33:$O$193,1+MATCH(VLOOKUP(A355,Vendors!$A$2:$B$15,2,0),'SA Q4 18 VR'!$B$24:$O$24,0),0)</f>
        <v>#REF!</v>
      </c>
      <c r="F355" s="27">
        <v>1</v>
      </c>
      <c r="G355">
        <f>RFI_Elements!N358</f>
        <v>357</v>
      </c>
      <c r="I355" t="e">
        <f>VLOOKUP(B355,SuiteCatSubElem!$G$2:$G$667,2,0)</f>
        <v>#REF!</v>
      </c>
    </row>
    <row r="356" spans="1:9">
      <c r="A356">
        <f>RFI_Elements!B359</f>
        <v>5</v>
      </c>
      <c r="B356">
        <f>RFI_Elements!C359</f>
        <v>426</v>
      </c>
      <c r="C356">
        <v>358</v>
      </c>
      <c r="D356" s="128">
        <v>43101.003472164353</v>
      </c>
      <c r="E356" t="e">
        <f>VLOOKUP(VLOOKUP(B356,SuiteCatSubElem!$G$2:$G$667,2,0),'SA Q4 18 VR'!$A$33:$O$193,1+MATCH(VLOOKUP(A356,Vendors!$A$2:$B$15,2,0),'SA Q4 18 VR'!$B$24:$O$24,0),0)</f>
        <v>#REF!</v>
      </c>
      <c r="F356" s="27">
        <v>1</v>
      </c>
      <c r="G356">
        <f>RFI_Elements!N359</f>
        <v>358</v>
      </c>
      <c r="I356" t="e">
        <f>VLOOKUP(B356,SuiteCatSubElem!$G$2:$G$667,2,0)</f>
        <v>#REF!</v>
      </c>
    </row>
    <row r="357" spans="1:9">
      <c r="A357">
        <f>RFI_Elements!B360</f>
        <v>5</v>
      </c>
      <c r="B357">
        <f>RFI_Elements!C360</f>
        <v>427</v>
      </c>
      <c r="C357">
        <v>359</v>
      </c>
      <c r="D357" s="128">
        <v>43101.003472164353</v>
      </c>
      <c r="E357" t="e">
        <f>VLOOKUP(VLOOKUP(B357,SuiteCatSubElem!$G$2:$G$667,2,0),'SA Q4 18 VR'!$A$33:$O$193,1+MATCH(VLOOKUP(A357,Vendors!$A$2:$B$15,2,0),'SA Q4 18 VR'!$B$24:$O$24,0),0)</f>
        <v>#REF!</v>
      </c>
      <c r="F357" s="27">
        <v>1</v>
      </c>
      <c r="G357">
        <f>RFI_Elements!N360</f>
        <v>359</v>
      </c>
      <c r="I357" t="e">
        <f>VLOOKUP(B357,SuiteCatSubElem!$G$2:$G$667,2,0)</f>
        <v>#REF!</v>
      </c>
    </row>
    <row r="358" spans="1:9">
      <c r="A358">
        <f>RFI_Elements!B361</f>
        <v>5</v>
      </c>
      <c r="B358">
        <f>RFI_Elements!C361</f>
        <v>428</v>
      </c>
      <c r="C358">
        <v>360</v>
      </c>
      <c r="D358" s="128">
        <v>43101.003472164353</v>
      </c>
      <c r="E358" t="e">
        <f>VLOOKUP(VLOOKUP(B358,SuiteCatSubElem!$G$2:$G$667,2,0),'SA Q4 18 VR'!$A$33:$O$193,1+MATCH(VLOOKUP(A358,Vendors!$A$2:$B$15,2,0),'SA Q4 18 VR'!$B$24:$O$24,0),0)</f>
        <v>#REF!</v>
      </c>
      <c r="F358" s="27">
        <v>1</v>
      </c>
      <c r="G358">
        <f>RFI_Elements!N361</f>
        <v>360</v>
      </c>
      <c r="I358" t="e">
        <f>VLOOKUP(B358,SuiteCatSubElem!$G$2:$G$667,2,0)</f>
        <v>#REF!</v>
      </c>
    </row>
    <row r="359" spans="1:9">
      <c r="A359">
        <f>RFI_Elements!B362</f>
        <v>5</v>
      </c>
      <c r="B359">
        <f>RFI_Elements!C362</f>
        <v>429</v>
      </c>
      <c r="C359">
        <v>361</v>
      </c>
      <c r="D359" s="128">
        <v>43101.003472164353</v>
      </c>
      <c r="E359" t="e">
        <f>VLOOKUP(VLOOKUP(B359,SuiteCatSubElem!$G$2:$G$667,2,0),'SA Q4 18 VR'!$A$33:$O$193,1+MATCH(VLOOKUP(A359,Vendors!$A$2:$B$15,2,0),'SA Q4 18 VR'!$B$24:$O$24,0),0)</f>
        <v>#REF!</v>
      </c>
      <c r="F359" s="27">
        <v>1</v>
      </c>
      <c r="G359">
        <f>RFI_Elements!N362</f>
        <v>361</v>
      </c>
      <c r="I359" t="e">
        <f>VLOOKUP(B359,SuiteCatSubElem!$G$2:$G$667,2,0)</f>
        <v>#REF!</v>
      </c>
    </row>
    <row r="360" spans="1:9">
      <c r="A360">
        <f>RFI_Elements!B363</f>
        <v>5</v>
      </c>
      <c r="B360">
        <f>RFI_Elements!C363</f>
        <v>430</v>
      </c>
      <c r="C360">
        <v>362</v>
      </c>
      <c r="D360" s="128">
        <v>43101.003472164353</v>
      </c>
      <c r="E360" t="e">
        <f>VLOOKUP(VLOOKUP(B360,SuiteCatSubElem!$G$2:$G$667,2,0),'SA Q4 18 VR'!$A$33:$O$193,1+MATCH(VLOOKUP(A360,Vendors!$A$2:$B$15,2,0),'SA Q4 18 VR'!$B$24:$O$24,0),0)</f>
        <v>#REF!</v>
      </c>
      <c r="F360" s="27">
        <v>1</v>
      </c>
      <c r="G360">
        <f>RFI_Elements!N363</f>
        <v>362</v>
      </c>
      <c r="I360" t="e">
        <f>VLOOKUP(B360,SuiteCatSubElem!$G$2:$G$667,2,0)</f>
        <v>#REF!</v>
      </c>
    </row>
    <row r="361" spans="1:9">
      <c r="A361">
        <f>RFI_Elements!B364</f>
        <v>5</v>
      </c>
      <c r="B361">
        <f>RFI_Elements!C364</f>
        <v>431</v>
      </c>
      <c r="C361">
        <v>363</v>
      </c>
      <c r="D361" s="128">
        <v>43101.003472164353</v>
      </c>
      <c r="E361" t="e">
        <f>VLOOKUP(VLOOKUP(B361,SuiteCatSubElem!$G$2:$G$667,2,0),'SA Q4 18 VR'!$A$33:$O$193,1+MATCH(VLOOKUP(A361,Vendors!$A$2:$B$15,2,0),'SA Q4 18 VR'!$B$24:$O$24,0),0)</f>
        <v>#REF!</v>
      </c>
      <c r="F361" s="27">
        <v>1</v>
      </c>
      <c r="G361">
        <f>RFI_Elements!N364</f>
        <v>363</v>
      </c>
      <c r="I361" t="e">
        <f>VLOOKUP(B361,SuiteCatSubElem!$G$2:$G$667,2,0)</f>
        <v>#REF!</v>
      </c>
    </row>
    <row r="362" spans="1:9">
      <c r="A362">
        <f>RFI_Elements!B365</f>
        <v>5</v>
      </c>
      <c r="B362">
        <f>RFI_Elements!C365</f>
        <v>432</v>
      </c>
      <c r="C362">
        <v>364</v>
      </c>
      <c r="D362" s="128">
        <v>43101.003472164353</v>
      </c>
      <c r="E362" t="e">
        <f>VLOOKUP(VLOOKUP(B362,SuiteCatSubElem!$G$2:$G$667,2,0),'SA Q4 18 VR'!$A$33:$O$193,1+MATCH(VLOOKUP(A362,Vendors!$A$2:$B$15,2,0),'SA Q4 18 VR'!$B$24:$O$24,0),0)</f>
        <v>#REF!</v>
      </c>
      <c r="F362" s="27">
        <v>1</v>
      </c>
      <c r="G362">
        <f>RFI_Elements!N365</f>
        <v>364</v>
      </c>
      <c r="I362" t="e">
        <f>VLOOKUP(B362,SuiteCatSubElem!$G$2:$G$667,2,0)</f>
        <v>#REF!</v>
      </c>
    </row>
    <row r="363" spans="1:9">
      <c r="A363">
        <f>RFI_Elements!B366</f>
        <v>5</v>
      </c>
      <c r="B363">
        <f>RFI_Elements!C366</f>
        <v>433</v>
      </c>
      <c r="C363">
        <v>365</v>
      </c>
      <c r="D363" s="128">
        <v>43101.003472164353</v>
      </c>
      <c r="E363" t="e">
        <f>VLOOKUP(VLOOKUP(B363,SuiteCatSubElem!$G$2:$G$667,2,0),'SA Q4 18 VR'!$A$33:$O$193,1+MATCH(VLOOKUP(A363,Vendors!$A$2:$B$15,2,0),'SA Q4 18 VR'!$B$24:$O$24,0),0)</f>
        <v>#REF!</v>
      </c>
      <c r="F363" s="27">
        <v>1</v>
      </c>
      <c r="G363">
        <f>RFI_Elements!N366</f>
        <v>365</v>
      </c>
      <c r="I363" t="e">
        <f>VLOOKUP(B363,SuiteCatSubElem!$G$2:$G$667,2,0)</f>
        <v>#REF!</v>
      </c>
    </row>
    <row r="364" spans="1:9">
      <c r="A364">
        <f>RFI_Elements!B367</f>
        <v>5</v>
      </c>
      <c r="B364">
        <f>RFI_Elements!C367</f>
        <v>434</v>
      </c>
      <c r="C364">
        <v>366</v>
      </c>
      <c r="D364" s="128">
        <v>43101.003472164353</v>
      </c>
      <c r="E364" t="e">
        <f>VLOOKUP(VLOOKUP(B364,SuiteCatSubElem!$G$2:$G$667,2,0),'SA Q4 18 VR'!$A$33:$O$193,1+MATCH(VLOOKUP(A364,Vendors!$A$2:$B$15,2,0),'SA Q4 18 VR'!$B$24:$O$24,0),0)</f>
        <v>#REF!</v>
      </c>
      <c r="F364" s="27">
        <v>1</v>
      </c>
      <c r="G364">
        <f>RFI_Elements!N367</f>
        <v>366</v>
      </c>
      <c r="I364" t="e">
        <f>VLOOKUP(B364,SuiteCatSubElem!$G$2:$G$667,2,0)</f>
        <v>#REF!</v>
      </c>
    </row>
    <row r="365" spans="1:9">
      <c r="A365">
        <f>RFI_Elements!B368</f>
        <v>5</v>
      </c>
      <c r="B365">
        <f>RFI_Elements!C368</f>
        <v>435</v>
      </c>
      <c r="C365">
        <v>367</v>
      </c>
      <c r="D365" s="128">
        <v>43101.003472164353</v>
      </c>
      <c r="E365" t="e">
        <f>VLOOKUP(VLOOKUP(B365,SuiteCatSubElem!$G$2:$G$667,2,0),'SA Q4 18 VR'!$A$33:$O$193,1+MATCH(VLOOKUP(A365,Vendors!$A$2:$B$15,2,0),'SA Q4 18 VR'!$B$24:$O$24,0),0)</f>
        <v>#REF!</v>
      </c>
      <c r="F365" s="27">
        <v>1</v>
      </c>
      <c r="G365">
        <f>RFI_Elements!N368</f>
        <v>367</v>
      </c>
      <c r="I365" t="e">
        <f>VLOOKUP(B365,SuiteCatSubElem!$G$2:$G$667,2,0)</f>
        <v>#REF!</v>
      </c>
    </row>
    <row r="366" spans="1:9">
      <c r="A366">
        <f>RFI_Elements!B369</f>
        <v>5</v>
      </c>
      <c r="B366">
        <f>RFI_Elements!C369</f>
        <v>436</v>
      </c>
      <c r="C366">
        <v>368</v>
      </c>
      <c r="D366" s="128">
        <v>43101.003472164353</v>
      </c>
      <c r="E366" t="e">
        <f>VLOOKUP(VLOOKUP(B366,SuiteCatSubElem!$G$2:$G$667,2,0),'SA Q4 18 VR'!$A$33:$O$193,1+MATCH(VLOOKUP(A366,Vendors!$A$2:$B$15,2,0),'SA Q4 18 VR'!$B$24:$O$24,0),0)</f>
        <v>#REF!</v>
      </c>
      <c r="F366" s="27">
        <v>1</v>
      </c>
      <c r="G366">
        <f>RFI_Elements!N369</f>
        <v>368</v>
      </c>
      <c r="I366" t="e">
        <f>VLOOKUP(B366,SuiteCatSubElem!$G$2:$G$667,2,0)</f>
        <v>#REF!</v>
      </c>
    </row>
    <row r="367" spans="1:9">
      <c r="A367">
        <f>RFI_Elements!B370</f>
        <v>5</v>
      </c>
      <c r="B367">
        <f>RFI_Elements!C370</f>
        <v>437</v>
      </c>
      <c r="C367">
        <v>369</v>
      </c>
      <c r="D367" s="128">
        <v>43101.003472164353</v>
      </c>
      <c r="E367" t="e">
        <f>VLOOKUP(VLOOKUP(B367,SuiteCatSubElem!$G$2:$G$667,2,0),'SA Q4 18 VR'!$A$33:$O$193,1+MATCH(VLOOKUP(A367,Vendors!$A$2:$B$15,2,0),'SA Q4 18 VR'!$B$24:$O$24,0),0)</f>
        <v>#REF!</v>
      </c>
      <c r="F367" s="27">
        <v>1</v>
      </c>
      <c r="G367">
        <f>RFI_Elements!N370</f>
        <v>369</v>
      </c>
      <c r="I367" t="e">
        <f>VLOOKUP(B367,SuiteCatSubElem!$G$2:$G$667,2,0)</f>
        <v>#REF!</v>
      </c>
    </row>
    <row r="368" spans="1:9">
      <c r="A368">
        <f>RFI_Elements!B371</f>
        <v>5</v>
      </c>
      <c r="B368">
        <f>RFI_Elements!C371</f>
        <v>438</v>
      </c>
      <c r="C368">
        <v>370</v>
      </c>
      <c r="D368" s="128">
        <v>43101.003472164353</v>
      </c>
      <c r="E368" t="e">
        <f>VLOOKUP(VLOOKUP(B368,SuiteCatSubElem!$G$2:$G$667,2,0),'SA Q4 18 VR'!$A$33:$O$193,1+MATCH(VLOOKUP(A368,Vendors!$A$2:$B$15,2,0),'SA Q4 18 VR'!$B$24:$O$24,0),0)</f>
        <v>#REF!</v>
      </c>
      <c r="F368" s="27">
        <v>1</v>
      </c>
      <c r="G368">
        <f>RFI_Elements!N371</f>
        <v>370</v>
      </c>
      <c r="I368" t="e">
        <f>VLOOKUP(B368,SuiteCatSubElem!$G$2:$G$667,2,0)</f>
        <v>#REF!</v>
      </c>
    </row>
    <row r="369" spans="1:9">
      <c r="A369">
        <f>RFI_Elements!B372</f>
        <v>5</v>
      </c>
      <c r="B369">
        <f>RFI_Elements!C372</f>
        <v>439</v>
      </c>
      <c r="C369">
        <v>371</v>
      </c>
      <c r="D369" s="128">
        <v>43101.003472164353</v>
      </c>
      <c r="E369" t="e">
        <f>VLOOKUP(VLOOKUP(B369,SuiteCatSubElem!$G$2:$G$667,2,0),'SA Q4 18 VR'!$A$33:$O$193,1+MATCH(VLOOKUP(A369,Vendors!$A$2:$B$15,2,0),'SA Q4 18 VR'!$B$24:$O$24,0),0)</f>
        <v>#REF!</v>
      </c>
      <c r="F369" s="27">
        <v>1</v>
      </c>
      <c r="G369">
        <f>RFI_Elements!N372</f>
        <v>371</v>
      </c>
      <c r="I369" t="e">
        <f>VLOOKUP(B369,SuiteCatSubElem!$G$2:$G$667,2,0)</f>
        <v>#REF!</v>
      </c>
    </row>
    <row r="370" spans="1:9">
      <c r="A370">
        <f>RFI_Elements!B373</f>
        <v>5</v>
      </c>
      <c r="B370">
        <f>RFI_Elements!C373</f>
        <v>440</v>
      </c>
      <c r="C370">
        <v>372</v>
      </c>
      <c r="D370" s="128">
        <v>43101.003472164353</v>
      </c>
      <c r="E370" t="e">
        <f>VLOOKUP(VLOOKUP(B370,SuiteCatSubElem!$G$2:$G$667,2,0),'SA Q4 18 VR'!$A$33:$O$193,1+MATCH(VLOOKUP(A370,Vendors!$A$2:$B$15,2,0),'SA Q4 18 VR'!$B$24:$O$24,0),0)</f>
        <v>#REF!</v>
      </c>
      <c r="F370" s="27">
        <v>1</v>
      </c>
      <c r="G370">
        <f>RFI_Elements!N373</f>
        <v>372</v>
      </c>
      <c r="I370" t="e">
        <f>VLOOKUP(B370,SuiteCatSubElem!$G$2:$G$667,2,0)</f>
        <v>#REF!</v>
      </c>
    </row>
    <row r="371" spans="1:9">
      <c r="A371">
        <f>RFI_Elements!B374</f>
        <v>5</v>
      </c>
      <c r="B371">
        <f>RFI_Elements!C374</f>
        <v>441</v>
      </c>
      <c r="C371">
        <v>373</v>
      </c>
      <c r="D371" s="128">
        <v>43101.003472164353</v>
      </c>
      <c r="E371" t="e">
        <f>VLOOKUP(VLOOKUP(B371,SuiteCatSubElem!$G$2:$G$667,2,0),'SA Q4 18 VR'!$A$33:$O$193,1+MATCH(VLOOKUP(A371,Vendors!$A$2:$B$15,2,0),'SA Q4 18 VR'!$B$24:$O$24,0),0)</f>
        <v>#REF!</v>
      </c>
      <c r="F371" s="27">
        <v>1</v>
      </c>
      <c r="G371">
        <f>RFI_Elements!N374</f>
        <v>373</v>
      </c>
      <c r="I371" t="e">
        <f>VLOOKUP(B371,SuiteCatSubElem!$G$2:$G$667,2,0)</f>
        <v>#REF!</v>
      </c>
    </row>
    <row r="372" spans="1:9">
      <c r="A372">
        <f>RFI_Elements!B375</f>
        <v>5</v>
      </c>
      <c r="B372">
        <f>RFI_Elements!C375</f>
        <v>442</v>
      </c>
      <c r="C372">
        <v>374</v>
      </c>
      <c r="D372" s="128">
        <v>43101.003472164353</v>
      </c>
      <c r="E372" t="e">
        <f>VLOOKUP(VLOOKUP(B372,SuiteCatSubElem!$G$2:$G$667,2,0),'SA Q4 18 VR'!$A$33:$O$193,1+MATCH(VLOOKUP(A372,Vendors!$A$2:$B$15,2,0),'SA Q4 18 VR'!$B$24:$O$24,0),0)</f>
        <v>#REF!</v>
      </c>
      <c r="F372" s="27">
        <v>1</v>
      </c>
      <c r="G372">
        <f>RFI_Elements!N375</f>
        <v>374</v>
      </c>
      <c r="I372" t="e">
        <f>VLOOKUP(B372,SuiteCatSubElem!$G$2:$G$667,2,0)</f>
        <v>#REF!</v>
      </c>
    </row>
    <row r="373" spans="1:9">
      <c r="A373">
        <f>RFI_Elements!B376</f>
        <v>5</v>
      </c>
      <c r="B373">
        <f>RFI_Elements!C376</f>
        <v>443</v>
      </c>
      <c r="C373">
        <v>375</v>
      </c>
      <c r="D373" s="128">
        <v>43101.003472164353</v>
      </c>
      <c r="E373" t="e">
        <f>VLOOKUP(VLOOKUP(B373,SuiteCatSubElem!$G$2:$G$667,2,0),'SA Q4 18 VR'!$A$33:$O$193,1+MATCH(VLOOKUP(A373,Vendors!$A$2:$B$15,2,0),'SA Q4 18 VR'!$B$24:$O$24,0),0)</f>
        <v>#REF!</v>
      </c>
      <c r="F373" s="27">
        <v>1</v>
      </c>
      <c r="G373">
        <f>RFI_Elements!N376</f>
        <v>375</v>
      </c>
      <c r="I373" t="e">
        <f>VLOOKUP(B373,SuiteCatSubElem!$G$2:$G$667,2,0)</f>
        <v>#REF!</v>
      </c>
    </row>
    <row r="374" spans="1:9">
      <c r="A374">
        <f>RFI_Elements!B377</f>
        <v>5</v>
      </c>
      <c r="B374">
        <f>RFI_Elements!C377</f>
        <v>444</v>
      </c>
      <c r="C374">
        <v>376</v>
      </c>
      <c r="D374" s="128">
        <v>43101.003472164353</v>
      </c>
      <c r="E374" t="e">
        <f>VLOOKUP(VLOOKUP(B374,SuiteCatSubElem!$G$2:$G$667,2,0),'SA Q4 18 VR'!$A$33:$O$193,1+MATCH(VLOOKUP(A374,Vendors!$A$2:$B$15,2,0),'SA Q4 18 VR'!$B$24:$O$24,0),0)</f>
        <v>#REF!</v>
      </c>
      <c r="F374" s="27">
        <v>1</v>
      </c>
      <c r="G374">
        <f>RFI_Elements!N377</f>
        <v>376</v>
      </c>
      <c r="I374" t="e">
        <f>VLOOKUP(B374,SuiteCatSubElem!$G$2:$G$667,2,0)</f>
        <v>#REF!</v>
      </c>
    </row>
    <row r="375" spans="1:9">
      <c r="A375">
        <f>RFI_Elements!B378</f>
        <v>5</v>
      </c>
      <c r="B375">
        <f>RFI_Elements!C378</f>
        <v>445</v>
      </c>
      <c r="C375">
        <v>377</v>
      </c>
      <c r="D375" s="128">
        <v>43101.003472164353</v>
      </c>
      <c r="E375" t="e">
        <f>VLOOKUP(VLOOKUP(B375,SuiteCatSubElem!$G$2:$G$667,2,0),'SA Q4 18 VR'!$A$33:$O$193,1+MATCH(VLOOKUP(A375,Vendors!$A$2:$B$15,2,0),'SA Q4 18 VR'!$B$24:$O$24,0),0)</f>
        <v>#REF!</v>
      </c>
      <c r="F375" s="27">
        <v>1</v>
      </c>
      <c r="G375">
        <f>RFI_Elements!N378</f>
        <v>377</v>
      </c>
      <c r="I375" t="e">
        <f>VLOOKUP(B375,SuiteCatSubElem!$G$2:$G$667,2,0)</f>
        <v>#REF!</v>
      </c>
    </row>
    <row r="376" spans="1:9">
      <c r="A376">
        <f>RFI_Elements!B379</f>
        <v>5</v>
      </c>
      <c r="B376">
        <f>RFI_Elements!C379</f>
        <v>446</v>
      </c>
      <c r="C376">
        <v>378</v>
      </c>
      <c r="D376" s="128">
        <v>43101.003472164353</v>
      </c>
      <c r="E376" t="e">
        <f>VLOOKUP(VLOOKUP(B376,SuiteCatSubElem!$G$2:$G$667,2,0),'SA Q4 18 VR'!$A$33:$O$193,1+MATCH(VLOOKUP(A376,Vendors!$A$2:$B$15,2,0),'SA Q4 18 VR'!$B$24:$O$24,0),0)</f>
        <v>#REF!</v>
      </c>
      <c r="F376" s="27">
        <v>1</v>
      </c>
      <c r="G376">
        <f>RFI_Elements!N379</f>
        <v>378</v>
      </c>
      <c r="I376" t="e">
        <f>VLOOKUP(B376,SuiteCatSubElem!$G$2:$G$667,2,0)</f>
        <v>#REF!</v>
      </c>
    </row>
    <row r="377" spans="1:9">
      <c r="A377">
        <f>RFI_Elements!B380</f>
        <v>5</v>
      </c>
      <c r="B377">
        <f>RFI_Elements!C380</f>
        <v>447</v>
      </c>
      <c r="C377">
        <v>379</v>
      </c>
      <c r="D377" s="128">
        <v>43101.003472164353</v>
      </c>
      <c r="E377" t="e">
        <f>VLOOKUP(VLOOKUP(B377,SuiteCatSubElem!$G$2:$G$667,2,0),'SA Q4 18 VR'!$A$33:$O$193,1+MATCH(VLOOKUP(A377,Vendors!$A$2:$B$15,2,0),'SA Q4 18 VR'!$B$24:$O$24,0),0)</f>
        <v>#REF!</v>
      </c>
      <c r="F377" s="27">
        <v>1</v>
      </c>
      <c r="G377">
        <f>RFI_Elements!N380</f>
        <v>379</v>
      </c>
      <c r="I377" t="e">
        <f>VLOOKUP(B377,SuiteCatSubElem!$G$2:$G$667,2,0)</f>
        <v>#REF!</v>
      </c>
    </row>
    <row r="378" spans="1:9">
      <c r="A378">
        <f>RFI_Elements!B381</f>
        <v>5</v>
      </c>
      <c r="B378">
        <f>RFI_Elements!C381</f>
        <v>448</v>
      </c>
      <c r="C378">
        <v>380</v>
      </c>
      <c r="D378" s="128">
        <v>43101.003472164353</v>
      </c>
      <c r="E378" t="e">
        <f>VLOOKUP(VLOOKUP(B378,SuiteCatSubElem!$G$2:$G$667,2,0),'SA Q4 18 VR'!$A$33:$O$193,1+MATCH(VLOOKUP(A378,Vendors!$A$2:$B$15,2,0),'SA Q4 18 VR'!$B$24:$O$24,0),0)</f>
        <v>#REF!</v>
      </c>
      <c r="F378" s="27">
        <v>1</v>
      </c>
      <c r="G378">
        <f>RFI_Elements!N381</f>
        <v>380</v>
      </c>
      <c r="I378" t="e">
        <f>VLOOKUP(B378,SuiteCatSubElem!$G$2:$G$667,2,0)</f>
        <v>#REF!</v>
      </c>
    </row>
    <row r="379" spans="1:9">
      <c r="A379">
        <f>RFI_Elements!B382</f>
        <v>5</v>
      </c>
      <c r="B379">
        <f>RFI_Elements!C382</f>
        <v>449</v>
      </c>
      <c r="C379">
        <v>381</v>
      </c>
      <c r="D379" s="128">
        <v>43101.003472164353</v>
      </c>
      <c r="E379" t="e">
        <f>VLOOKUP(VLOOKUP(B379,SuiteCatSubElem!$G$2:$G$667,2,0),'SA Q4 18 VR'!$A$33:$O$193,1+MATCH(VLOOKUP(A379,Vendors!$A$2:$B$15,2,0),'SA Q4 18 VR'!$B$24:$O$24,0),0)</f>
        <v>#REF!</v>
      </c>
      <c r="F379" s="27">
        <v>1</v>
      </c>
      <c r="G379">
        <f>RFI_Elements!N382</f>
        <v>381</v>
      </c>
      <c r="I379" t="e">
        <f>VLOOKUP(B379,SuiteCatSubElem!$G$2:$G$667,2,0)</f>
        <v>#REF!</v>
      </c>
    </row>
    <row r="380" spans="1:9">
      <c r="A380">
        <f>RFI_Elements!B383</f>
        <v>5</v>
      </c>
      <c r="B380">
        <f>RFI_Elements!C383</f>
        <v>450</v>
      </c>
      <c r="C380">
        <v>382</v>
      </c>
      <c r="D380" s="128">
        <v>43101.003472164353</v>
      </c>
      <c r="E380" t="e">
        <f>VLOOKUP(VLOOKUP(B380,SuiteCatSubElem!$G$2:$G$667,2,0),'SA Q4 18 VR'!$A$33:$O$193,1+MATCH(VLOOKUP(A380,Vendors!$A$2:$B$15,2,0),'SA Q4 18 VR'!$B$24:$O$24,0),0)</f>
        <v>#REF!</v>
      </c>
      <c r="F380" s="27">
        <v>1</v>
      </c>
      <c r="G380">
        <f>RFI_Elements!N383</f>
        <v>382</v>
      </c>
      <c r="I380" t="e">
        <f>VLOOKUP(B380,SuiteCatSubElem!$G$2:$G$667,2,0)</f>
        <v>#REF!</v>
      </c>
    </row>
    <row r="381" spans="1:9">
      <c r="A381">
        <f>RFI_Elements!B384</f>
        <v>5</v>
      </c>
      <c r="B381">
        <f>RFI_Elements!C384</f>
        <v>451</v>
      </c>
      <c r="C381">
        <v>383</v>
      </c>
      <c r="D381" s="128">
        <v>43101.003472164353</v>
      </c>
      <c r="E381" t="e">
        <f>VLOOKUP(VLOOKUP(B381,SuiteCatSubElem!$G$2:$G$667,2,0),'SA Q4 18 VR'!$A$33:$O$193,1+MATCH(VLOOKUP(A381,Vendors!$A$2:$B$15,2,0),'SA Q4 18 VR'!$B$24:$O$24,0),0)</f>
        <v>#REF!</v>
      </c>
      <c r="F381" s="27">
        <v>1</v>
      </c>
      <c r="G381">
        <f>RFI_Elements!N384</f>
        <v>383</v>
      </c>
      <c r="I381" t="e">
        <f>VLOOKUP(B381,SuiteCatSubElem!$G$2:$G$667,2,0)</f>
        <v>#REF!</v>
      </c>
    </row>
    <row r="382" spans="1:9">
      <c r="A382">
        <f>RFI_Elements!B385</f>
        <v>5</v>
      </c>
      <c r="B382">
        <f>RFI_Elements!C385</f>
        <v>452</v>
      </c>
      <c r="C382">
        <v>384</v>
      </c>
      <c r="D382" s="128">
        <v>43101.003472164353</v>
      </c>
      <c r="E382" t="e">
        <f>VLOOKUP(VLOOKUP(B382,SuiteCatSubElem!$G$2:$G$667,2,0),'SA Q4 18 VR'!$A$33:$O$193,1+MATCH(VLOOKUP(A382,Vendors!$A$2:$B$15,2,0),'SA Q4 18 VR'!$B$24:$O$24,0),0)</f>
        <v>#REF!</v>
      </c>
      <c r="F382" s="27">
        <v>1</v>
      </c>
      <c r="G382">
        <f>RFI_Elements!N385</f>
        <v>384</v>
      </c>
      <c r="I382" t="e">
        <f>VLOOKUP(B382,SuiteCatSubElem!$G$2:$G$667,2,0)</f>
        <v>#REF!</v>
      </c>
    </row>
    <row r="383" spans="1:9">
      <c r="A383">
        <f>RFI_Elements!B386</f>
        <v>5</v>
      </c>
      <c r="B383">
        <f>RFI_Elements!C386</f>
        <v>453</v>
      </c>
      <c r="C383">
        <v>385</v>
      </c>
      <c r="D383" s="128">
        <v>43101.003472164353</v>
      </c>
      <c r="E383" t="e">
        <f>VLOOKUP(VLOOKUP(B383,SuiteCatSubElem!$G$2:$G$667,2,0),'SA Q4 18 VR'!$A$33:$O$193,1+MATCH(VLOOKUP(A383,Vendors!$A$2:$B$15,2,0),'SA Q4 18 VR'!$B$24:$O$24,0),0)</f>
        <v>#REF!</v>
      </c>
      <c r="F383" s="27">
        <v>1</v>
      </c>
      <c r="G383">
        <f>RFI_Elements!N386</f>
        <v>385</v>
      </c>
      <c r="I383" t="e">
        <f>VLOOKUP(B383,SuiteCatSubElem!$G$2:$G$667,2,0)</f>
        <v>#REF!</v>
      </c>
    </row>
    <row r="384" spans="1:9">
      <c r="A384">
        <f>RFI_Elements!B387</f>
        <v>5</v>
      </c>
      <c r="B384">
        <f>RFI_Elements!C387</f>
        <v>454</v>
      </c>
      <c r="C384">
        <v>386</v>
      </c>
      <c r="D384" s="128">
        <v>43101.003472164353</v>
      </c>
      <c r="E384" t="e">
        <f>VLOOKUP(VLOOKUP(B384,SuiteCatSubElem!$G$2:$G$667,2,0),'SA Q4 18 VR'!$A$33:$O$193,1+MATCH(VLOOKUP(A384,Vendors!$A$2:$B$15,2,0),'SA Q4 18 VR'!$B$24:$O$24,0),0)</f>
        <v>#REF!</v>
      </c>
      <c r="F384" s="27">
        <v>1</v>
      </c>
      <c r="G384">
        <f>RFI_Elements!N387</f>
        <v>386</v>
      </c>
      <c r="I384" t="e">
        <f>VLOOKUP(B384,SuiteCatSubElem!$G$2:$G$667,2,0)</f>
        <v>#REF!</v>
      </c>
    </row>
    <row r="385" spans="1:9">
      <c r="A385">
        <f>RFI_Elements!B388</f>
        <v>5</v>
      </c>
      <c r="B385">
        <f>RFI_Elements!C388</f>
        <v>455</v>
      </c>
      <c r="C385">
        <v>387</v>
      </c>
      <c r="D385" s="128">
        <v>43101.003472164353</v>
      </c>
      <c r="E385" t="e">
        <f>VLOOKUP(VLOOKUP(B385,SuiteCatSubElem!$G$2:$G$667,2,0),'SA Q4 18 VR'!$A$33:$O$193,1+MATCH(VLOOKUP(A385,Vendors!$A$2:$B$15,2,0),'SA Q4 18 VR'!$B$24:$O$24,0),0)</f>
        <v>#REF!</v>
      </c>
      <c r="F385" s="27">
        <v>1</v>
      </c>
      <c r="G385">
        <f>RFI_Elements!N388</f>
        <v>387</v>
      </c>
      <c r="I385" t="e">
        <f>VLOOKUP(B385,SuiteCatSubElem!$G$2:$G$667,2,0)</f>
        <v>#REF!</v>
      </c>
    </row>
    <row r="386" spans="1:9">
      <c r="A386">
        <f>RFI_Elements!B389</f>
        <v>5</v>
      </c>
      <c r="B386">
        <f>RFI_Elements!C389</f>
        <v>456</v>
      </c>
      <c r="C386">
        <v>388</v>
      </c>
      <c r="D386" s="128">
        <v>43101.003472164353</v>
      </c>
      <c r="E386" t="e">
        <f>VLOOKUP(VLOOKUP(B386,SuiteCatSubElem!$G$2:$G$667,2,0),'SA Q4 18 VR'!$A$33:$O$193,1+MATCH(VLOOKUP(A386,Vendors!$A$2:$B$15,2,0),'SA Q4 18 VR'!$B$24:$O$24,0),0)</f>
        <v>#REF!</v>
      </c>
      <c r="F386" s="27">
        <v>1</v>
      </c>
      <c r="G386">
        <f>RFI_Elements!N389</f>
        <v>388</v>
      </c>
      <c r="I386" t="e">
        <f>VLOOKUP(B386,SuiteCatSubElem!$G$2:$G$667,2,0)</f>
        <v>#REF!</v>
      </c>
    </row>
    <row r="387" spans="1:9">
      <c r="A387">
        <f>RFI_Elements!B390</f>
        <v>5</v>
      </c>
      <c r="B387">
        <f>RFI_Elements!C390</f>
        <v>457</v>
      </c>
      <c r="C387">
        <v>389</v>
      </c>
      <c r="D387" s="128">
        <v>43101.003472164353</v>
      </c>
      <c r="E387" t="e">
        <f>VLOOKUP(VLOOKUP(B387,SuiteCatSubElem!$G$2:$G$667,2,0),'SA Q4 18 VR'!$A$33:$O$193,1+MATCH(VLOOKUP(A387,Vendors!$A$2:$B$15,2,0),'SA Q4 18 VR'!$B$24:$O$24,0),0)</f>
        <v>#REF!</v>
      </c>
      <c r="F387" s="27">
        <v>1</v>
      </c>
      <c r="G387">
        <f>RFI_Elements!N390</f>
        <v>389</v>
      </c>
      <c r="I387" t="e">
        <f>VLOOKUP(B387,SuiteCatSubElem!$G$2:$G$667,2,0)</f>
        <v>#REF!</v>
      </c>
    </row>
    <row r="388" spans="1:9">
      <c r="A388">
        <f>RFI_Elements!B391</f>
        <v>5</v>
      </c>
      <c r="B388">
        <f>RFI_Elements!C391</f>
        <v>458</v>
      </c>
      <c r="C388">
        <v>390</v>
      </c>
      <c r="D388" s="128">
        <v>43101.003472164353</v>
      </c>
      <c r="E388" t="e">
        <f>VLOOKUP(VLOOKUP(B388,SuiteCatSubElem!$G$2:$G$667,2,0),'SA Q4 18 VR'!$A$33:$O$193,1+MATCH(VLOOKUP(A388,Vendors!$A$2:$B$15,2,0),'SA Q4 18 VR'!$B$24:$O$24,0),0)</f>
        <v>#REF!</v>
      </c>
      <c r="F388" s="27">
        <v>1</v>
      </c>
      <c r="G388">
        <f>RFI_Elements!N391</f>
        <v>390</v>
      </c>
      <c r="I388" t="e">
        <f>VLOOKUP(B388,SuiteCatSubElem!$G$2:$G$667,2,0)</f>
        <v>#REF!</v>
      </c>
    </row>
    <row r="389" spans="1:9">
      <c r="A389">
        <f>RFI_Elements!B392</f>
        <v>5</v>
      </c>
      <c r="B389">
        <f>RFI_Elements!C392</f>
        <v>459</v>
      </c>
      <c r="C389">
        <v>391</v>
      </c>
      <c r="D389" s="128">
        <v>43101.003472164353</v>
      </c>
      <c r="E389" t="e">
        <f>VLOOKUP(VLOOKUP(B389,SuiteCatSubElem!$G$2:$G$667,2,0),'SA Q4 18 VR'!$A$33:$O$193,1+MATCH(VLOOKUP(A389,Vendors!$A$2:$B$15,2,0),'SA Q4 18 VR'!$B$24:$O$24,0),0)</f>
        <v>#REF!</v>
      </c>
      <c r="F389" s="27">
        <v>1</v>
      </c>
      <c r="G389">
        <f>RFI_Elements!N392</f>
        <v>391</v>
      </c>
      <c r="I389" t="e">
        <f>VLOOKUP(B389,SuiteCatSubElem!$G$2:$G$667,2,0)</f>
        <v>#REF!</v>
      </c>
    </row>
    <row r="390" spans="1:9">
      <c r="A390">
        <f>RFI_Elements!B393</f>
        <v>5</v>
      </c>
      <c r="B390">
        <f>RFI_Elements!C393</f>
        <v>460</v>
      </c>
      <c r="C390">
        <v>392</v>
      </c>
      <c r="D390" s="128">
        <v>43101.003472164353</v>
      </c>
      <c r="E390" t="e">
        <f>VLOOKUP(VLOOKUP(B390,SuiteCatSubElem!$G$2:$G$667,2,0),'SA Q4 18 VR'!$A$33:$O$193,1+MATCH(VLOOKUP(A390,Vendors!$A$2:$B$15,2,0),'SA Q4 18 VR'!$B$24:$O$24,0),0)</f>
        <v>#REF!</v>
      </c>
      <c r="F390" s="27">
        <v>1</v>
      </c>
      <c r="G390">
        <f>RFI_Elements!N393</f>
        <v>392</v>
      </c>
      <c r="I390" t="e">
        <f>VLOOKUP(B390,SuiteCatSubElem!$G$2:$G$667,2,0)</f>
        <v>#REF!</v>
      </c>
    </row>
    <row r="391" spans="1:9">
      <c r="A391">
        <f>RFI_Elements!B394</f>
        <v>5</v>
      </c>
      <c r="B391">
        <f>RFI_Elements!C394</f>
        <v>461</v>
      </c>
      <c r="C391">
        <v>393</v>
      </c>
      <c r="D391" s="128">
        <v>43101.003472164353</v>
      </c>
      <c r="E391" t="e">
        <f>VLOOKUP(VLOOKUP(B391,SuiteCatSubElem!$G$2:$G$667,2,0),'SA Q4 18 VR'!$A$33:$O$193,1+MATCH(VLOOKUP(A391,Vendors!$A$2:$B$15,2,0),'SA Q4 18 VR'!$B$24:$O$24,0),0)</f>
        <v>#REF!</v>
      </c>
      <c r="F391" s="27">
        <v>1</v>
      </c>
      <c r="G391">
        <f>RFI_Elements!N394</f>
        <v>393</v>
      </c>
      <c r="I391" t="e">
        <f>VLOOKUP(B391,SuiteCatSubElem!$G$2:$G$667,2,0)</f>
        <v>#REF!</v>
      </c>
    </row>
    <row r="392" spans="1:9">
      <c r="A392">
        <f>RFI_Elements!B395</f>
        <v>5</v>
      </c>
      <c r="B392">
        <f>RFI_Elements!C395</f>
        <v>462</v>
      </c>
      <c r="C392">
        <v>394</v>
      </c>
      <c r="D392" s="128">
        <v>43101.003472164353</v>
      </c>
      <c r="E392" t="e">
        <f>VLOOKUP(VLOOKUP(B392,SuiteCatSubElem!$G$2:$G$667,2,0),'SA Q4 18 VR'!$A$33:$O$193,1+MATCH(VLOOKUP(A392,Vendors!$A$2:$B$15,2,0),'SA Q4 18 VR'!$B$24:$O$24,0),0)</f>
        <v>#REF!</v>
      </c>
      <c r="F392" s="27">
        <v>1</v>
      </c>
      <c r="G392">
        <f>RFI_Elements!N395</f>
        <v>394</v>
      </c>
      <c r="I392" t="e">
        <f>VLOOKUP(B392,SuiteCatSubElem!$G$2:$G$667,2,0)</f>
        <v>#REF!</v>
      </c>
    </row>
    <row r="393" spans="1:9">
      <c r="A393">
        <f>RFI_Elements!B396</f>
        <v>5</v>
      </c>
      <c r="B393">
        <f>RFI_Elements!C396</f>
        <v>463</v>
      </c>
      <c r="C393">
        <v>395</v>
      </c>
      <c r="D393" s="128">
        <v>43101.003472164353</v>
      </c>
      <c r="E393" t="e">
        <f>VLOOKUP(VLOOKUP(B393,SuiteCatSubElem!$G$2:$G$667,2,0),'SA Q4 18 VR'!$A$33:$O$193,1+MATCH(VLOOKUP(A393,Vendors!$A$2:$B$15,2,0),'SA Q4 18 VR'!$B$24:$O$24,0),0)</f>
        <v>#REF!</v>
      </c>
      <c r="F393" s="27">
        <v>1</v>
      </c>
      <c r="G393">
        <f>RFI_Elements!N396</f>
        <v>395</v>
      </c>
      <c r="I393" t="e">
        <f>VLOOKUP(B393,SuiteCatSubElem!$G$2:$G$667,2,0)</f>
        <v>#REF!</v>
      </c>
    </row>
    <row r="394" spans="1:9">
      <c r="A394">
        <f>RFI_Elements!B397</f>
        <v>5</v>
      </c>
      <c r="B394">
        <f>RFI_Elements!C397</f>
        <v>464</v>
      </c>
      <c r="C394">
        <v>396</v>
      </c>
      <c r="D394" s="128">
        <v>43101.003472164353</v>
      </c>
      <c r="E394" t="e">
        <f>VLOOKUP(VLOOKUP(B394,SuiteCatSubElem!$G$2:$G$667,2,0),'SA Q4 18 VR'!$A$33:$O$193,1+MATCH(VLOOKUP(A394,Vendors!$A$2:$B$15,2,0),'SA Q4 18 VR'!$B$24:$O$24,0),0)</f>
        <v>#REF!</v>
      </c>
      <c r="F394" s="27">
        <v>1</v>
      </c>
      <c r="G394">
        <f>RFI_Elements!N397</f>
        <v>396</v>
      </c>
      <c r="I394" t="e">
        <f>VLOOKUP(B394,SuiteCatSubElem!$G$2:$G$667,2,0)</f>
        <v>#REF!</v>
      </c>
    </row>
    <row r="395" spans="1:9">
      <c r="A395">
        <f>RFI_Elements!B398</f>
        <v>5</v>
      </c>
      <c r="B395">
        <f>RFI_Elements!C398</f>
        <v>465</v>
      </c>
      <c r="C395">
        <v>397</v>
      </c>
      <c r="D395" s="128">
        <v>43101.003472164353</v>
      </c>
      <c r="E395" t="e">
        <f>VLOOKUP(VLOOKUP(B395,SuiteCatSubElem!$G$2:$G$667,2,0),'SA Q4 18 VR'!$A$33:$O$193,1+MATCH(VLOOKUP(A395,Vendors!$A$2:$B$15,2,0),'SA Q4 18 VR'!$B$24:$O$24,0),0)</f>
        <v>#REF!</v>
      </c>
      <c r="F395" s="27">
        <v>1</v>
      </c>
      <c r="G395">
        <f>RFI_Elements!N398</f>
        <v>397</v>
      </c>
      <c r="I395" t="e">
        <f>VLOOKUP(B395,SuiteCatSubElem!$G$2:$G$667,2,0)</f>
        <v>#REF!</v>
      </c>
    </row>
    <row r="396" spans="1:9">
      <c r="A396">
        <f>RFI_Elements!B399</f>
        <v>5</v>
      </c>
      <c r="B396">
        <f>RFI_Elements!C399</f>
        <v>466</v>
      </c>
      <c r="C396">
        <v>398</v>
      </c>
      <c r="D396" s="128">
        <v>43101.003472164353</v>
      </c>
      <c r="E396" t="e">
        <f>VLOOKUP(VLOOKUP(B396,SuiteCatSubElem!$G$2:$G$667,2,0),'SA Q4 18 VR'!$A$33:$O$193,1+MATCH(VLOOKUP(A396,Vendors!$A$2:$B$15,2,0),'SA Q4 18 VR'!$B$24:$O$24,0),0)</f>
        <v>#REF!</v>
      </c>
      <c r="F396" s="27">
        <v>1</v>
      </c>
      <c r="G396">
        <f>RFI_Elements!N399</f>
        <v>398</v>
      </c>
      <c r="I396" t="e">
        <f>VLOOKUP(B396,SuiteCatSubElem!$G$2:$G$667,2,0)</f>
        <v>#REF!</v>
      </c>
    </row>
    <row r="397" spans="1:9">
      <c r="A397">
        <f>RFI_Elements!B400</f>
        <v>5</v>
      </c>
      <c r="B397">
        <f>RFI_Elements!C400</f>
        <v>467</v>
      </c>
      <c r="C397">
        <v>399</v>
      </c>
      <c r="D397" s="128">
        <v>43101.003472164353</v>
      </c>
      <c r="E397" t="e">
        <f>VLOOKUP(VLOOKUP(B397,SuiteCatSubElem!$G$2:$G$667,2,0),'SA Q4 18 VR'!$A$33:$O$193,1+MATCH(VLOOKUP(A397,Vendors!$A$2:$B$15,2,0),'SA Q4 18 VR'!$B$24:$O$24,0),0)</f>
        <v>#REF!</v>
      </c>
      <c r="F397" s="27">
        <v>1</v>
      </c>
      <c r="G397">
        <f>RFI_Elements!N400</f>
        <v>399</v>
      </c>
      <c r="I397" t="e">
        <f>VLOOKUP(B397,SuiteCatSubElem!$G$2:$G$667,2,0)</f>
        <v>#REF!</v>
      </c>
    </row>
    <row r="398" spans="1:9">
      <c r="A398">
        <f>RFI_Elements!B401</f>
        <v>5</v>
      </c>
      <c r="B398">
        <f>RFI_Elements!C401</f>
        <v>468</v>
      </c>
      <c r="C398">
        <v>400</v>
      </c>
      <c r="D398" s="128">
        <v>43101.003472164353</v>
      </c>
      <c r="E398" t="e">
        <f>VLOOKUP(VLOOKUP(B398,SuiteCatSubElem!$G$2:$G$667,2,0),'SA Q4 18 VR'!$A$33:$O$193,1+MATCH(VLOOKUP(A398,Vendors!$A$2:$B$15,2,0),'SA Q4 18 VR'!$B$24:$O$24,0),0)</f>
        <v>#REF!</v>
      </c>
      <c r="F398" s="27">
        <v>1</v>
      </c>
      <c r="G398">
        <f>RFI_Elements!N401</f>
        <v>400</v>
      </c>
      <c r="I398" t="e">
        <f>VLOOKUP(B398,SuiteCatSubElem!$G$2:$G$667,2,0)</f>
        <v>#REF!</v>
      </c>
    </row>
    <row r="399" spans="1:9">
      <c r="A399">
        <f>RFI_Elements!B402</f>
        <v>5</v>
      </c>
      <c r="B399">
        <f>RFI_Elements!C402</f>
        <v>469</v>
      </c>
      <c r="C399">
        <v>401</v>
      </c>
      <c r="D399" s="128">
        <v>43101.003472164353</v>
      </c>
      <c r="E399" t="e">
        <f>VLOOKUP(VLOOKUP(B399,SuiteCatSubElem!$G$2:$G$667,2,0),'SA Q4 18 VR'!$A$33:$O$193,1+MATCH(VLOOKUP(A399,Vendors!$A$2:$B$15,2,0),'SA Q4 18 VR'!$B$24:$O$24,0),0)</f>
        <v>#REF!</v>
      </c>
      <c r="F399" s="27">
        <v>1</v>
      </c>
      <c r="G399">
        <f>RFI_Elements!N402</f>
        <v>401</v>
      </c>
      <c r="I399" t="e">
        <f>VLOOKUP(B399,SuiteCatSubElem!$G$2:$G$667,2,0)</f>
        <v>#REF!</v>
      </c>
    </row>
    <row r="400" spans="1:9">
      <c r="A400">
        <f>RFI_Elements!B403</f>
        <v>5</v>
      </c>
      <c r="B400">
        <f>RFI_Elements!C403</f>
        <v>470</v>
      </c>
      <c r="C400">
        <v>402</v>
      </c>
      <c r="D400" s="128">
        <v>43101.003472164353</v>
      </c>
      <c r="E400" t="e">
        <f>VLOOKUP(VLOOKUP(B400,SuiteCatSubElem!$G$2:$G$667,2,0),'SA Q4 18 VR'!$A$33:$O$193,1+MATCH(VLOOKUP(A400,Vendors!$A$2:$B$15,2,0),'SA Q4 18 VR'!$B$24:$O$24,0),0)</f>
        <v>#REF!</v>
      </c>
      <c r="F400" s="27">
        <v>1</v>
      </c>
      <c r="G400">
        <f>RFI_Elements!N403</f>
        <v>402</v>
      </c>
      <c r="I400" t="e">
        <f>VLOOKUP(B400,SuiteCatSubElem!$G$2:$G$667,2,0)</f>
        <v>#REF!</v>
      </c>
    </row>
    <row r="401" spans="1:9">
      <c r="A401">
        <f>RFI_Elements!B404</f>
        <v>5</v>
      </c>
      <c r="B401">
        <f>RFI_Elements!C404</f>
        <v>471</v>
      </c>
      <c r="C401">
        <v>403</v>
      </c>
      <c r="D401" s="128">
        <v>43101.003472164353</v>
      </c>
      <c r="E401" t="e">
        <f>VLOOKUP(VLOOKUP(B401,SuiteCatSubElem!$G$2:$G$667,2,0),'SA Q4 18 VR'!$A$33:$O$193,1+MATCH(VLOOKUP(A401,Vendors!$A$2:$B$15,2,0),'SA Q4 18 VR'!$B$24:$O$24,0),0)</f>
        <v>#REF!</v>
      </c>
      <c r="F401" s="27">
        <v>1</v>
      </c>
      <c r="G401">
        <f>RFI_Elements!N404</f>
        <v>403</v>
      </c>
      <c r="I401" t="e">
        <f>VLOOKUP(B401,SuiteCatSubElem!$G$2:$G$667,2,0)</f>
        <v>#REF!</v>
      </c>
    </row>
    <row r="402" spans="1:9">
      <c r="A402">
        <f>RFI_Elements!B405</f>
        <v>5</v>
      </c>
      <c r="B402">
        <f>RFI_Elements!C405</f>
        <v>472</v>
      </c>
      <c r="C402">
        <v>404</v>
      </c>
      <c r="D402" s="128">
        <v>43101.003472164353</v>
      </c>
      <c r="E402" t="e">
        <f>VLOOKUP(VLOOKUP(B402,SuiteCatSubElem!$G$2:$G$667,2,0),'SA Q4 18 VR'!$A$33:$O$193,1+MATCH(VLOOKUP(A402,Vendors!$A$2:$B$15,2,0),'SA Q4 18 VR'!$B$24:$O$24,0),0)</f>
        <v>#REF!</v>
      </c>
      <c r="F402" s="27">
        <v>1</v>
      </c>
      <c r="G402">
        <f>RFI_Elements!N405</f>
        <v>404</v>
      </c>
      <c r="I402" t="e">
        <f>VLOOKUP(B402,SuiteCatSubElem!$G$2:$G$667,2,0)</f>
        <v>#REF!</v>
      </c>
    </row>
    <row r="403" spans="1:9">
      <c r="A403">
        <f>RFI_Elements!B406</f>
        <v>5</v>
      </c>
      <c r="B403">
        <f>RFI_Elements!C406</f>
        <v>473</v>
      </c>
      <c r="C403">
        <v>405</v>
      </c>
      <c r="D403" s="128">
        <v>43101.003472164353</v>
      </c>
      <c r="E403" t="e">
        <f>VLOOKUP(VLOOKUP(B403,SuiteCatSubElem!$G$2:$G$667,2,0),'SA Q4 18 VR'!$A$33:$O$193,1+MATCH(VLOOKUP(A403,Vendors!$A$2:$B$15,2,0),'SA Q4 18 VR'!$B$24:$O$24,0),0)</f>
        <v>#REF!</v>
      </c>
      <c r="F403" s="27">
        <v>1</v>
      </c>
      <c r="G403">
        <f>RFI_Elements!N406</f>
        <v>405</v>
      </c>
      <c r="I403" t="e">
        <f>VLOOKUP(B403,SuiteCatSubElem!$G$2:$G$667,2,0)</f>
        <v>#REF!</v>
      </c>
    </row>
    <row r="404" spans="1:9">
      <c r="A404">
        <f>RFI_Elements!B407</f>
        <v>5</v>
      </c>
      <c r="B404">
        <f>RFI_Elements!C407</f>
        <v>474</v>
      </c>
      <c r="C404">
        <v>406</v>
      </c>
      <c r="D404" s="128">
        <v>43101.003472164353</v>
      </c>
      <c r="E404" t="e">
        <f>VLOOKUP(VLOOKUP(B404,SuiteCatSubElem!$G$2:$G$667,2,0),'SA Q4 18 VR'!$A$33:$O$193,1+MATCH(VLOOKUP(A404,Vendors!$A$2:$B$15,2,0),'SA Q4 18 VR'!$B$24:$O$24,0),0)</f>
        <v>#REF!</v>
      </c>
      <c r="F404" s="27">
        <v>1</v>
      </c>
      <c r="G404">
        <f>RFI_Elements!N407</f>
        <v>406</v>
      </c>
      <c r="I404" t="e">
        <f>VLOOKUP(B404,SuiteCatSubElem!$G$2:$G$667,2,0)</f>
        <v>#REF!</v>
      </c>
    </row>
    <row r="405" spans="1:9">
      <c r="A405">
        <f>RFI_Elements!B408</f>
        <v>5</v>
      </c>
      <c r="B405">
        <f>RFI_Elements!C408</f>
        <v>475</v>
      </c>
      <c r="C405">
        <v>407</v>
      </c>
      <c r="D405" s="128">
        <v>43101.003472164353</v>
      </c>
      <c r="E405" t="e">
        <f>VLOOKUP(VLOOKUP(B405,SuiteCatSubElem!$G$2:$G$667,2,0),'SA Q4 18 VR'!$A$33:$O$193,1+MATCH(VLOOKUP(A405,Vendors!$A$2:$B$15,2,0),'SA Q4 18 VR'!$B$24:$O$24,0),0)</f>
        <v>#REF!</v>
      </c>
      <c r="F405" s="27">
        <v>1</v>
      </c>
      <c r="G405">
        <f>RFI_Elements!N408</f>
        <v>407</v>
      </c>
      <c r="I405" t="e">
        <f>VLOOKUP(B405,SuiteCatSubElem!$G$2:$G$667,2,0)</f>
        <v>#REF!</v>
      </c>
    </row>
    <row r="406" spans="1:9">
      <c r="A406">
        <f>RFI_Elements!B409</f>
        <v>5</v>
      </c>
      <c r="B406">
        <f>RFI_Elements!C409</f>
        <v>476</v>
      </c>
      <c r="C406">
        <v>408</v>
      </c>
      <c r="D406" s="128">
        <v>43101.003472164353</v>
      </c>
      <c r="E406" t="e">
        <f>VLOOKUP(VLOOKUP(B406,SuiteCatSubElem!$G$2:$G$667,2,0),'SA Q4 18 VR'!$A$33:$O$193,1+MATCH(VLOOKUP(A406,Vendors!$A$2:$B$15,2,0),'SA Q4 18 VR'!$B$24:$O$24,0),0)</f>
        <v>#REF!</v>
      </c>
      <c r="F406" s="27">
        <v>1</v>
      </c>
      <c r="G406">
        <f>RFI_Elements!N409</f>
        <v>408</v>
      </c>
      <c r="I406" t="e">
        <f>VLOOKUP(B406,SuiteCatSubElem!$G$2:$G$667,2,0)</f>
        <v>#REF!</v>
      </c>
    </row>
    <row r="407" spans="1:9">
      <c r="A407">
        <f>RFI_Elements!B410</f>
        <v>5</v>
      </c>
      <c r="B407">
        <f>RFI_Elements!C410</f>
        <v>477</v>
      </c>
      <c r="C407">
        <v>409</v>
      </c>
      <c r="D407" s="128">
        <v>43101.003472164353</v>
      </c>
      <c r="E407" t="e">
        <f>VLOOKUP(VLOOKUP(B407,SuiteCatSubElem!$G$2:$G$667,2,0),'SA Q4 18 VR'!$A$33:$O$193,1+MATCH(VLOOKUP(A407,Vendors!$A$2:$B$15,2,0),'SA Q4 18 VR'!$B$24:$O$24,0),0)</f>
        <v>#REF!</v>
      </c>
      <c r="F407" s="27">
        <v>1</v>
      </c>
      <c r="G407">
        <f>RFI_Elements!N410</f>
        <v>409</v>
      </c>
      <c r="I407" t="e">
        <f>VLOOKUP(B407,SuiteCatSubElem!$G$2:$G$667,2,0)</f>
        <v>#REF!</v>
      </c>
    </row>
    <row r="408" spans="1:9">
      <c r="A408">
        <f>RFI_Elements!B411</f>
        <v>5</v>
      </c>
      <c r="B408">
        <f>RFI_Elements!C411</f>
        <v>478</v>
      </c>
      <c r="C408">
        <v>410</v>
      </c>
      <c r="D408" s="128">
        <v>43101.003472164353</v>
      </c>
      <c r="E408" t="e">
        <f>VLOOKUP(VLOOKUP(B408,SuiteCatSubElem!$G$2:$G$667,2,0),'SA Q4 18 VR'!$A$33:$O$193,1+MATCH(VLOOKUP(A408,Vendors!$A$2:$B$15,2,0),'SA Q4 18 VR'!$B$24:$O$24,0),0)</f>
        <v>#REF!</v>
      </c>
      <c r="F408" s="27">
        <v>1</v>
      </c>
      <c r="G408">
        <f>RFI_Elements!N411</f>
        <v>410</v>
      </c>
      <c r="I408" t="e">
        <f>VLOOKUP(B408,SuiteCatSubElem!$G$2:$G$667,2,0)</f>
        <v>#REF!</v>
      </c>
    </row>
    <row r="409" spans="1:9">
      <c r="A409">
        <f>RFI_Elements!B412</f>
        <v>5</v>
      </c>
      <c r="B409">
        <f>RFI_Elements!C412</f>
        <v>479</v>
      </c>
      <c r="C409">
        <v>411</v>
      </c>
      <c r="D409" s="128">
        <v>43101.003472164353</v>
      </c>
      <c r="E409" t="e">
        <f>VLOOKUP(VLOOKUP(B409,SuiteCatSubElem!$G$2:$G$667,2,0),'SA Q4 18 VR'!$A$33:$O$193,1+MATCH(VLOOKUP(A409,Vendors!$A$2:$B$15,2,0),'SA Q4 18 VR'!$B$24:$O$24,0),0)</f>
        <v>#REF!</v>
      </c>
      <c r="F409" s="27">
        <v>1</v>
      </c>
      <c r="G409">
        <f>RFI_Elements!N412</f>
        <v>411</v>
      </c>
      <c r="I409" t="e">
        <f>VLOOKUP(B409,SuiteCatSubElem!$G$2:$G$667,2,0)</f>
        <v>#REF!</v>
      </c>
    </row>
    <row r="410" spans="1:9">
      <c r="A410">
        <f>RFI_Elements!B413</f>
        <v>5</v>
      </c>
      <c r="B410">
        <f>RFI_Elements!C413</f>
        <v>480</v>
      </c>
      <c r="C410">
        <v>412</v>
      </c>
      <c r="D410" s="128">
        <v>43101.003472164353</v>
      </c>
      <c r="E410" t="e">
        <f>VLOOKUP(VLOOKUP(B410,SuiteCatSubElem!$G$2:$G$667,2,0),'SA Q4 18 VR'!$A$33:$O$193,1+MATCH(VLOOKUP(A410,Vendors!$A$2:$B$15,2,0),'SA Q4 18 VR'!$B$24:$O$24,0),0)</f>
        <v>#REF!</v>
      </c>
      <c r="F410" s="27">
        <v>1</v>
      </c>
      <c r="G410">
        <f>RFI_Elements!N413</f>
        <v>412</v>
      </c>
      <c r="I410" t="e">
        <f>VLOOKUP(B410,SuiteCatSubElem!$G$2:$G$667,2,0)</f>
        <v>#REF!</v>
      </c>
    </row>
    <row r="411" spans="1:9">
      <c r="A411">
        <f>RFI_Elements!B414</f>
        <v>5</v>
      </c>
      <c r="B411">
        <f>RFI_Elements!C414</f>
        <v>481</v>
      </c>
      <c r="C411">
        <v>413</v>
      </c>
      <c r="D411" s="128">
        <v>43101.003472164353</v>
      </c>
      <c r="E411" t="e">
        <f>VLOOKUP(VLOOKUP(B411,SuiteCatSubElem!$G$2:$G$667,2,0),'SA Q4 18 VR'!$A$33:$O$193,1+MATCH(VLOOKUP(A411,Vendors!$A$2:$B$15,2,0),'SA Q4 18 VR'!$B$24:$O$24,0),0)</f>
        <v>#REF!</v>
      </c>
      <c r="F411" s="27">
        <v>1</v>
      </c>
      <c r="G411">
        <f>RFI_Elements!N414</f>
        <v>413</v>
      </c>
      <c r="I411" t="e">
        <f>VLOOKUP(B411,SuiteCatSubElem!$G$2:$G$667,2,0)</f>
        <v>#REF!</v>
      </c>
    </row>
    <row r="412" spans="1:9">
      <c r="A412">
        <f>RFI_Elements!B415</f>
        <v>5</v>
      </c>
      <c r="B412">
        <f>RFI_Elements!C415</f>
        <v>482</v>
      </c>
      <c r="C412">
        <v>414</v>
      </c>
      <c r="D412" s="128">
        <v>43101.003472164353</v>
      </c>
      <c r="E412" t="e">
        <f>VLOOKUP(VLOOKUP(B412,SuiteCatSubElem!$G$2:$G$667,2,0),'SA Q4 18 VR'!$A$33:$O$193,1+MATCH(VLOOKUP(A412,Vendors!$A$2:$B$15,2,0),'SA Q4 18 VR'!$B$24:$O$24,0),0)</f>
        <v>#REF!</v>
      </c>
      <c r="F412" s="27">
        <v>1</v>
      </c>
      <c r="G412">
        <f>RFI_Elements!N415</f>
        <v>414</v>
      </c>
      <c r="I412" t="e">
        <f>VLOOKUP(B412,SuiteCatSubElem!$G$2:$G$667,2,0)</f>
        <v>#REF!</v>
      </c>
    </row>
    <row r="413" spans="1:9">
      <c r="A413">
        <f>RFI_Elements!B416</f>
        <v>5</v>
      </c>
      <c r="B413">
        <f>RFI_Elements!C416</f>
        <v>483</v>
      </c>
      <c r="C413">
        <v>415</v>
      </c>
      <c r="D413" s="128">
        <v>43101.003472164353</v>
      </c>
      <c r="E413" t="e">
        <f>VLOOKUP(VLOOKUP(B413,SuiteCatSubElem!$G$2:$G$667,2,0),'SA Q4 18 VR'!$A$33:$O$193,1+MATCH(VLOOKUP(A413,Vendors!$A$2:$B$15,2,0),'SA Q4 18 VR'!$B$24:$O$24,0),0)</f>
        <v>#REF!</v>
      </c>
      <c r="F413" s="27">
        <v>1</v>
      </c>
      <c r="G413">
        <f>RFI_Elements!N416</f>
        <v>415</v>
      </c>
      <c r="I413" t="e">
        <f>VLOOKUP(B413,SuiteCatSubElem!$G$2:$G$667,2,0)</f>
        <v>#REF!</v>
      </c>
    </row>
    <row r="414" spans="1:9">
      <c r="A414">
        <f>RFI_Elements!B417</f>
        <v>5</v>
      </c>
      <c r="B414">
        <f>RFI_Elements!C417</f>
        <v>484</v>
      </c>
      <c r="C414">
        <v>416</v>
      </c>
      <c r="D414" s="128">
        <v>43101.003472164353</v>
      </c>
      <c r="E414" t="e">
        <f>VLOOKUP(VLOOKUP(B414,SuiteCatSubElem!$G$2:$G$667,2,0),'SA Q4 18 VR'!$A$33:$O$193,1+MATCH(VLOOKUP(A414,Vendors!$A$2:$B$15,2,0),'SA Q4 18 VR'!$B$24:$O$24,0),0)</f>
        <v>#REF!</v>
      </c>
      <c r="F414" s="27">
        <v>1</v>
      </c>
      <c r="G414">
        <f>RFI_Elements!N417</f>
        <v>416</v>
      </c>
      <c r="I414" t="e">
        <f>VLOOKUP(B414,SuiteCatSubElem!$G$2:$G$667,2,0)</f>
        <v>#REF!</v>
      </c>
    </row>
    <row r="415" spans="1:9">
      <c r="A415">
        <f>RFI_Elements!B418</f>
        <v>5</v>
      </c>
      <c r="B415">
        <f>RFI_Elements!C418</f>
        <v>485</v>
      </c>
      <c r="C415">
        <v>417</v>
      </c>
      <c r="D415" s="128">
        <v>43101.003472164353</v>
      </c>
      <c r="E415" t="e">
        <f>VLOOKUP(VLOOKUP(B415,SuiteCatSubElem!$G$2:$G$667,2,0),'SA Q4 18 VR'!$A$33:$O$193,1+MATCH(VLOOKUP(A415,Vendors!$A$2:$B$15,2,0),'SA Q4 18 VR'!$B$24:$O$24,0),0)</f>
        <v>#REF!</v>
      </c>
      <c r="F415" s="27">
        <v>1</v>
      </c>
      <c r="G415">
        <f>RFI_Elements!N418</f>
        <v>417</v>
      </c>
      <c r="I415" t="e">
        <f>VLOOKUP(B415,SuiteCatSubElem!$G$2:$G$667,2,0)</f>
        <v>#REF!</v>
      </c>
    </row>
    <row r="416" spans="1:9">
      <c r="A416">
        <f>RFI_Elements!B419</f>
        <v>5</v>
      </c>
      <c r="B416">
        <f>RFI_Elements!C419</f>
        <v>486</v>
      </c>
      <c r="C416">
        <v>418</v>
      </c>
      <c r="D416" s="128">
        <v>43101.003472164353</v>
      </c>
      <c r="E416" t="e">
        <f>VLOOKUP(VLOOKUP(B416,SuiteCatSubElem!$G$2:$G$667,2,0),'SA Q4 18 VR'!$A$33:$O$193,1+MATCH(VLOOKUP(A416,Vendors!$A$2:$B$15,2,0),'SA Q4 18 VR'!$B$24:$O$24,0),0)</f>
        <v>#REF!</v>
      </c>
      <c r="F416" s="27">
        <v>1</v>
      </c>
      <c r="G416">
        <f>RFI_Elements!N419</f>
        <v>418</v>
      </c>
      <c r="I416" t="e">
        <f>VLOOKUP(B416,SuiteCatSubElem!$G$2:$G$667,2,0)</f>
        <v>#REF!</v>
      </c>
    </row>
    <row r="417" spans="1:9">
      <c r="A417">
        <f>RFI_Elements!B420</f>
        <v>5</v>
      </c>
      <c r="B417">
        <f>RFI_Elements!C420</f>
        <v>487</v>
      </c>
      <c r="C417">
        <v>419</v>
      </c>
      <c r="D417" s="128">
        <v>43101.003472164353</v>
      </c>
      <c r="E417" t="e">
        <f>VLOOKUP(VLOOKUP(B417,SuiteCatSubElem!$G$2:$G$667,2,0),'SA Q4 18 VR'!$A$33:$O$193,1+MATCH(VLOOKUP(A417,Vendors!$A$2:$B$15,2,0),'SA Q4 18 VR'!$B$24:$O$24,0),0)</f>
        <v>#REF!</v>
      </c>
      <c r="F417" s="27">
        <v>1</v>
      </c>
      <c r="G417">
        <f>RFI_Elements!N420</f>
        <v>419</v>
      </c>
      <c r="I417" t="e">
        <f>VLOOKUP(B417,SuiteCatSubElem!$G$2:$G$667,2,0)</f>
        <v>#REF!</v>
      </c>
    </row>
    <row r="418" spans="1:9">
      <c r="A418">
        <f>RFI_Elements!B421</f>
        <v>5</v>
      </c>
      <c r="B418">
        <f>RFI_Elements!C421</f>
        <v>488</v>
      </c>
      <c r="C418">
        <v>420</v>
      </c>
      <c r="D418" s="128">
        <v>43101.003472164353</v>
      </c>
      <c r="E418" t="e">
        <f>VLOOKUP(VLOOKUP(B418,SuiteCatSubElem!$G$2:$G$667,2,0),'SA Q4 18 VR'!$A$33:$O$193,1+MATCH(VLOOKUP(A418,Vendors!$A$2:$B$15,2,0),'SA Q4 18 VR'!$B$24:$O$24,0),0)</f>
        <v>#REF!</v>
      </c>
      <c r="F418" s="27">
        <v>1</v>
      </c>
      <c r="G418">
        <f>RFI_Elements!N421</f>
        <v>420</v>
      </c>
      <c r="I418" t="e">
        <f>VLOOKUP(B418,SuiteCatSubElem!$G$2:$G$667,2,0)</f>
        <v>#REF!</v>
      </c>
    </row>
    <row r="419" spans="1:9">
      <c r="A419">
        <f>RFI_Elements!B422</f>
        <v>5</v>
      </c>
      <c r="B419">
        <f>RFI_Elements!C422</f>
        <v>489</v>
      </c>
      <c r="C419">
        <v>421</v>
      </c>
      <c r="D419" s="128">
        <v>43101.003472164353</v>
      </c>
      <c r="E419" t="e">
        <f>VLOOKUP(VLOOKUP(B419,SuiteCatSubElem!$G$2:$G$667,2,0),'SA Q4 18 VR'!$A$33:$O$193,1+MATCH(VLOOKUP(A419,Vendors!$A$2:$B$15,2,0),'SA Q4 18 VR'!$B$24:$O$24,0),0)</f>
        <v>#REF!</v>
      </c>
      <c r="F419" s="27">
        <v>1</v>
      </c>
      <c r="G419">
        <f>RFI_Elements!N422</f>
        <v>421</v>
      </c>
      <c r="I419" t="e">
        <f>VLOOKUP(B419,SuiteCatSubElem!$G$2:$G$667,2,0)</f>
        <v>#REF!</v>
      </c>
    </row>
    <row r="420" spans="1:9">
      <c r="A420">
        <f>RFI_Elements!B423</f>
        <v>5</v>
      </c>
      <c r="B420">
        <f>RFI_Elements!C423</f>
        <v>490</v>
      </c>
      <c r="C420">
        <v>422</v>
      </c>
      <c r="D420" s="128">
        <v>43101.003472164353</v>
      </c>
      <c r="E420" t="e">
        <f>VLOOKUP(VLOOKUP(B420,SuiteCatSubElem!$G$2:$G$667,2,0),'SA Q4 18 VR'!$A$33:$O$193,1+MATCH(VLOOKUP(A420,Vendors!$A$2:$B$15,2,0),'SA Q4 18 VR'!$B$24:$O$24,0),0)</f>
        <v>#REF!</v>
      </c>
      <c r="F420" s="27">
        <v>1</v>
      </c>
      <c r="G420">
        <f>RFI_Elements!N423</f>
        <v>422</v>
      </c>
      <c r="I420" t="e">
        <f>VLOOKUP(B420,SuiteCatSubElem!$G$2:$G$667,2,0)</f>
        <v>#REF!</v>
      </c>
    </row>
    <row r="421" spans="1:9">
      <c r="A421">
        <f>RFI_Elements!B424</f>
        <v>5</v>
      </c>
      <c r="B421">
        <f>RFI_Elements!C424</f>
        <v>491</v>
      </c>
      <c r="C421">
        <v>423</v>
      </c>
      <c r="D421" s="128">
        <v>43101.003472164353</v>
      </c>
      <c r="E421" t="e">
        <f>VLOOKUP(VLOOKUP(B421,SuiteCatSubElem!$G$2:$G$667,2,0),'SA Q4 18 VR'!$A$33:$O$193,1+MATCH(VLOOKUP(A421,Vendors!$A$2:$B$15,2,0),'SA Q4 18 VR'!$B$24:$O$24,0),0)</f>
        <v>#REF!</v>
      </c>
      <c r="F421" s="27">
        <v>1</v>
      </c>
      <c r="G421">
        <f>RFI_Elements!N424</f>
        <v>423</v>
      </c>
      <c r="I421" t="e">
        <f>VLOOKUP(B421,SuiteCatSubElem!$G$2:$G$667,2,0)</f>
        <v>#REF!</v>
      </c>
    </row>
    <row r="422" spans="1:9">
      <c r="A422">
        <f>RFI_Elements!B425</f>
        <v>5</v>
      </c>
      <c r="B422">
        <f>RFI_Elements!C425</f>
        <v>492</v>
      </c>
      <c r="C422">
        <v>424</v>
      </c>
      <c r="D422" s="128">
        <v>43101.003472164353</v>
      </c>
      <c r="E422" t="e">
        <f>VLOOKUP(VLOOKUP(B422,SuiteCatSubElem!$G$2:$G$667,2,0),'SA Q4 18 VR'!$A$33:$O$193,1+MATCH(VLOOKUP(A422,Vendors!$A$2:$B$15,2,0),'SA Q4 18 VR'!$B$24:$O$24,0),0)</f>
        <v>#REF!</v>
      </c>
      <c r="F422" s="27">
        <v>1</v>
      </c>
      <c r="G422">
        <f>RFI_Elements!N425</f>
        <v>424</v>
      </c>
      <c r="I422" t="e">
        <f>VLOOKUP(B422,SuiteCatSubElem!$G$2:$G$667,2,0)</f>
        <v>#REF!</v>
      </c>
    </row>
    <row r="423" spans="1:9">
      <c r="A423">
        <f>RFI_Elements!B426</f>
        <v>5</v>
      </c>
      <c r="B423">
        <f>RFI_Elements!C426</f>
        <v>493</v>
      </c>
      <c r="C423">
        <v>425</v>
      </c>
      <c r="D423" s="128">
        <v>43101.003472164353</v>
      </c>
      <c r="E423" t="e">
        <f>VLOOKUP(VLOOKUP(B423,SuiteCatSubElem!$G$2:$G$667,2,0),'SA Q4 18 VR'!$A$33:$O$193,1+MATCH(VLOOKUP(A423,Vendors!$A$2:$B$15,2,0),'SA Q4 18 VR'!$B$24:$O$24,0),0)</f>
        <v>#REF!</v>
      </c>
      <c r="F423" s="27">
        <v>1</v>
      </c>
      <c r="G423">
        <f>RFI_Elements!N426</f>
        <v>425</v>
      </c>
      <c r="I423" t="e">
        <f>VLOOKUP(B423,SuiteCatSubElem!$G$2:$G$667,2,0)</f>
        <v>#REF!</v>
      </c>
    </row>
    <row r="424" spans="1:9">
      <c r="A424">
        <f>RFI_Elements!B427</f>
        <v>6</v>
      </c>
      <c r="B424">
        <f>RFI_Elements!C427</f>
        <v>409</v>
      </c>
      <c r="C424">
        <v>426</v>
      </c>
      <c r="D424" s="128">
        <v>43101.003472164353</v>
      </c>
      <c r="E424" t="e">
        <f>VLOOKUP(VLOOKUP(B424,SuiteCatSubElem!$G$2:$G$667,2,0),'SA Q4 18 VR'!$A$33:$O$193,1+MATCH(VLOOKUP(A424,Vendors!$A$2:$B$15,2,0),'SA Q4 18 VR'!$B$24:$O$24,0),0)</f>
        <v>#REF!</v>
      </c>
      <c r="F424" s="27">
        <v>1</v>
      </c>
      <c r="G424">
        <f>RFI_Elements!N427</f>
        <v>426</v>
      </c>
      <c r="I424" t="e">
        <f>VLOOKUP(B424,SuiteCatSubElem!$G$2:$G$667,2,0)</f>
        <v>#REF!</v>
      </c>
    </row>
    <row r="425" spans="1:9">
      <c r="A425">
        <f>RFI_Elements!B428</f>
        <v>6</v>
      </c>
      <c r="B425">
        <f>RFI_Elements!C428</f>
        <v>410</v>
      </c>
      <c r="C425">
        <v>427</v>
      </c>
      <c r="D425" s="128">
        <v>43101.003472164353</v>
      </c>
      <c r="E425" t="e">
        <f>VLOOKUP(VLOOKUP(B425,SuiteCatSubElem!$G$2:$G$667,2,0),'SA Q4 18 VR'!$A$33:$O$193,1+MATCH(VLOOKUP(A425,Vendors!$A$2:$B$15,2,0),'SA Q4 18 VR'!$B$24:$O$24,0),0)</f>
        <v>#REF!</v>
      </c>
      <c r="F425" s="27">
        <v>1</v>
      </c>
      <c r="G425">
        <f>RFI_Elements!N428</f>
        <v>427</v>
      </c>
      <c r="I425" t="e">
        <f>VLOOKUP(B425,SuiteCatSubElem!$G$2:$G$667,2,0)</f>
        <v>#REF!</v>
      </c>
    </row>
    <row r="426" spans="1:9">
      <c r="A426">
        <f>RFI_Elements!B429</f>
        <v>6</v>
      </c>
      <c r="B426">
        <f>RFI_Elements!C429</f>
        <v>411</v>
      </c>
      <c r="C426">
        <v>428</v>
      </c>
      <c r="D426" s="128">
        <v>43101.003472164353</v>
      </c>
      <c r="E426" t="e">
        <f>VLOOKUP(VLOOKUP(B426,SuiteCatSubElem!$G$2:$G$667,2,0),'SA Q4 18 VR'!$A$33:$O$193,1+MATCH(VLOOKUP(A426,Vendors!$A$2:$B$15,2,0),'SA Q4 18 VR'!$B$24:$O$24,0),0)</f>
        <v>#REF!</v>
      </c>
      <c r="F426" s="27">
        <v>1</v>
      </c>
      <c r="G426">
        <f>RFI_Elements!N429</f>
        <v>428</v>
      </c>
      <c r="I426" t="e">
        <f>VLOOKUP(B426,SuiteCatSubElem!$G$2:$G$667,2,0)</f>
        <v>#REF!</v>
      </c>
    </row>
    <row r="427" spans="1:9">
      <c r="A427">
        <f>RFI_Elements!B430</f>
        <v>6</v>
      </c>
      <c r="B427">
        <f>RFI_Elements!C430</f>
        <v>412</v>
      </c>
      <c r="C427">
        <v>429</v>
      </c>
      <c r="D427" s="128">
        <v>43101.003472164353</v>
      </c>
      <c r="E427" t="e">
        <f>VLOOKUP(VLOOKUP(B427,SuiteCatSubElem!$G$2:$G$667,2,0),'SA Q4 18 VR'!$A$33:$O$193,1+MATCH(VLOOKUP(A427,Vendors!$A$2:$B$15,2,0),'SA Q4 18 VR'!$B$24:$O$24,0),0)</f>
        <v>#REF!</v>
      </c>
      <c r="F427" s="27">
        <v>1</v>
      </c>
      <c r="G427">
        <f>RFI_Elements!N430</f>
        <v>429</v>
      </c>
      <c r="I427" t="e">
        <f>VLOOKUP(B427,SuiteCatSubElem!$G$2:$G$667,2,0)</f>
        <v>#REF!</v>
      </c>
    </row>
    <row r="428" spans="1:9">
      <c r="A428">
        <f>RFI_Elements!B431</f>
        <v>6</v>
      </c>
      <c r="B428">
        <f>RFI_Elements!C431</f>
        <v>413</v>
      </c>
      <c r="C428">
        <v>430</v>
      </c>
      <c r="D428" s="128">
        <v>43101.003472164353</v>
      </c>
      <c r="E428" t="e">
        <f>VLOOKUP(VLOOKUP(B428,SuiteCatSubElem!$G$2:$G$667,2,0),'SA Q4 18 VR'!$A$33:$O$193,1+MATCH(VLOOKUP(A428,Vendors!$A$2:$B$15,2,0),'SA Q4 18 VR'!$B$24:$O$24,0),0)</f>
        <v>#REF!</v>
      </c>
      <c r="F428" s="27">
        <v>1</v>
      </c>
      <c r="G428">
        <f>RFI_Elements!N431</f>
        <v>430</v>
      </c>
      <c r="I428" t="e">
        <f>VLOOKUP(B428,SuiteCatSubElem!$G$2:$G$667,2,0)</f>
        <v>#REF!</v>
      </c>
    </row>
    <row r="429" spans="1:9">
      <c r="A429">
        <f>RFI_Elements!B432</f>
        <v>6</v>
      </c>
      <c r="B429">
        <f>RFI_Elements!C432</f>
        <v>414</v>
      </c>
      <c r="C429">
        <v>431</v>
      </c>
      <c r="D429" s="128">
        <v>43101.003472164353</v>
      </c>
      <c r="E429" t="e">
        <f>VLOOKUP(VLOOKUP(B429,SuiteCatSubElem!$G$2:$G$667,2,0),'SA Q4 18 VR'!$A$33:$O$193,1+MATCH(VLOOKUP(A429,Vendors!$A$2:$B$15,2,0),'SA Q4 18 VR'!$B$24:$O$24,0),0)</f>
        <v>#REF!</v>
      </c>
      <c r="F429" s="27">
        <v>1</v>
      </c>
      <c r="G429">
        <f>RFI_Elements!N432</f>
        <v>431</v>
      </c>
      <c r="I429" t="e">
        <f>VLOOKUP(B429,SuiteCatSubElem!$G$2:$G$667,2,0)</f>
        <v>#REF!</v>
      </c>
    </row>
    <row r="430" spans="1:9">
      <c r="A430">
        <f>RFI_Elements!B433</f>
        <v>6</v>
      </c>
      <c r="B430">
        <f>RFI_Elements!C433</f>
        <v>415</v>
      </c>
      <c r="C430">
        <v>432</v>
      </c>
      <c r="D430" s="128">
        <v>43101.003472164353</v>
      </c>
      <c r="E430" t="e">
        <f>VLOOKUP(VLOOKUP(B430,SuiteCatSubElem!$G$2:$G$667,2,0),'SA Q4 18 VR'!$A$33:$O$193,1+MATCH(VLOOKUP(A430,Vendors!$A$2:$B$15,2,0),'SA Q4 18 VR'!$B$24:$O$24,0),0)</f>
        <v>#REF!</v>
      </c>
      <c r="F430" s="27">
        <v>1</v>
      </c>
      <c r="G430">
        <f>RFI_Elements!N433</f>
        <v>432</v>
      </c>
      <c r="I430" t="e">
        <f>VLOOKUP(B430,SuiteCatSubElem!$G$2:$G$667,2,0)</f>
        <v>#REF!</v>
      </c>
    </row>
    <row r="431" spans="1:9">
      <c r="A431">
        <f>RFI_Elements!B434</f>
        <v>6</v>
      </c>
      <c r="B431">
        <f>RFI_Elements!C434</f>
        <v>416</v>
      </c>
      <c r="C431">
        <v>433</v>
      </c>
      <c r="D431" s="128">
        <v>43101.003472164353</v>
      </c>
      <c r="E431" t="e">
        <f>VLOOKUP(VLOOKUP(B431,SuiteCatSubElem!$G$2:$G$667,2,0),'SA Q4 18 VR'!$A$33:$O$193,1+MATCH(VLOOKUP(A431,Vendors!$A$2:$B$15,2,0),'SA Q4 18 VR'!$B$24:$O$24,0),0)</f>
        <v>#REF!</v>
      </c>
      <c r="F431" s="27">
        <v>1</v>
      </c>
      <c r="G431">
        <f>RFI_Elements!N434</f>
        <v>433</v>
      </c>
      <c r="I431" t="e">
        <f>VLOOKUP(B431,SuiteCatSubElem!$G$2:$G$667,2,0)</f>
        <v>#REF!</v>
      </c>
    </row>
    <row r="432" spans="1:9">
      <c r="A432">
        <f>RFI_Elements!B435</f>
        <v>6</v>
      </c>
      <c r="B432">
        <f>RFI_Elements!C435</f>
        <v>417</v>
      </c>
      <c r="C432">
        <v>434</v>
      </c>
      <c r="D432" s="128">
        <v>43101.003472164353</v>
      </c>
      <c r="E432" t="e">
        <f>VLOOKUP(VLOOKUP(B432,SuiteCatSubElem!$G$2:$G$667,2,0),'SA Q4 18 VR'!$A$33:$O$193,1+MATCH(VLOOKUP(A432,Vendors!$A$2:$B$15,2,0),'SA Q4 18 VR'!$B$24:$O$24,0),0)</f>
        <v>#REF!</v>
      </c>
      <c r="F432" s="27">
        <v>1</v>
      </c>
      <c r="G432">
        <f>RFI_Elements!N435</f>
        <v>434</v>
      </c>
      <c r="I432" t="e">
        <f>VLOOKUP(B432,SuiteCatSubElem!$G$2:$G$667,2,0)</f>
        <v>#REF!</v>
      </c>
    </row>
    <row r="433" spans="1:9">
      <c r="A433">
        <f>RFI_Elements!B436</f>
        <v>6</v>
      </c>
      <c r="B433">
        <f>RFI_Elements!C436</f>
        <v>418</v>
      </c>
      <c r="C433">
        <v>435</v>
      </c>
      <c r="D433" s="128">
        <v>43101.003472164353</v>
      </c>
      <c r="E433" t="e">
        <f>VLOOKUP(VLOOKUP(B433,SuiteCatSubElem!$G$2:$G$667,2,0),'SA Q4 18 VR'!$A$33:$O$193,1+MATCH(VLOOKUP(A433,Vendors!$A$2:$B$15,2,0),'SA Q4 18 VR'!$B$24:$O$24,0),0)</f>
        <v>#REF!</v>
      </c>
      <c r="F433" s="27">
        <v>1</v>
      </c>
      <c r="G433">
        <f>RFI_Elements!N436</f>
        <v>435</v>
      </c>
      <c r="I433" t="e">
        <f>VLOOKUP(B433,SuiteCatSubElem!$G$2:$G$667,2,0)</f>
        <v>#REF!</v>
      </c>
    </row>
    <row r="434" spans="1:9">
      <c r="A434">
        <f>RFI_Elements!B437</f>
        <v>6</v>
      </c>
      <c r="B434">
        <f>RFI_Elements!C437</f>
        <v>419</v>
      </c>
      <c r="C434">
        <v>436</v>
      </c>
      <c r="D434" s="128">
        <v>43101.003472164353</v>
      </c>
      <c r="E434" t="e">
        <f>VLOOKUP(VLOOKUP(B434,SuiteCatSubElem!$G$2:$G$667,2,0),'SA Q4 18 VR'!$A$33:$O$193,1+MATCH(VLOOKUP(A434,Vendors!$A$2:$B$15,2,0),'SA Q4 18 VR'!$B$24:$O$24,0),0)</f>
        <v>#REF!</v>
      </c>
      <c r="F434" s="27">
        <v>1</v>
      </c>
      <c r="G434">
        <f>RFI_Elements!N437</f>
        <v>436</v>
      </c>
      <c r="I434" t="e">
        <f>VLOOKUP(B434,SuiteCatSubElem!$G$2:$G$667,2,0)</f>
        <v>#REF!</v>
      </c>
    </row>
    <row r="435" spans="1:9">
      <c r="A435">
        <f>RFI_Elements!B438</f>
        <v>6</v>
      </c>
      <c r="B435">
        <f>RFI_Elements!C438</f>
        <v>420</v>
      </c>
      <c r="C435">
        <v>437</v>
      </c>
      <c r="D435" s="128">
        <v>43101.003472164353</v>
      </c>
      <c r="E435" t="e">
        <f>VLOOKUP(VLOOKUP(B435,SuiteCatSubElem!$G$2:$G$667,2,0),'SA Q4 18 VR'!$A$33:$O$193,1+MATCH(VLOOKUP(A435,Vendors!$A$2:$B$15,2,0),'SA Q4 18 VR'!$B$24:$O$24,0),0)</f>
        <v>#REF!</v>
      </c>
      <c r="F435" s="27">
        <v>1</v>
      </c>
      <c r="G435">
        <f>RFI_Elements!N438</f>
        <v>437</v>
      </c>
      <c r="I435" t="e">
        <f>VLOOKUP(B435,SuiteCatSubElem!$G$2:$G$667,2,0)</f>
        <v>#REF!</v>
      </c>
    </row>
    <row r="436" spans="1:9">
      <c r="A436">
        <f>RFI_Elements!B439</f>
        <v>6</v>
      </c>
      <c r="B436">
        <f>RFI_Elements!C439</f>
        <v>421</v>
      </c>
      <c r="C436">
        <v>438</v>
      </c>
      <c r="D436" s="128">
        <v>43101.003472164353</v>
      </c>
      <c r="E436" t="e">
        <f>VLOOKUP(VLOOKUP(B436,SuiteCatSubElem!$G$2:$G$667,2,0),'SA Q4 18 VR'!$A$33:$O$193,1+MATCH(VLOOKUP(A436,Vendors!$A$2:$B$15,2,0),'SA Q4 18 VR'!$B$24:$O$24,0),0)</f>
        <v>#REF!</v>
      </c>
      <c r="F436" s="27">
        <v>1</v>
      </c>
      <c r="G436">
        <f>RFI_Elements!N439</f>
        <v>438</v>
      </c>
      <c r="I436" t="e">
        <f>VLOOKUP(B436,SuiteCatSubElem!$G$2:$G$667,2,0)</f>
        <v>#REF!</v>
      </c>
    </row>
    <row r="437" spans="1:9">
      <c r="A437">
        <f>RFI_Elements!B440</f>
        <v>6</v>
      </c>
      <c r="B437">
        <f>RFI_Elements!C440</f>
        <v>422</v>
      </c>
      <c r="C437">
        <v>439</v>
      </c>
      <c r="D437" s="128">
        <v>43101.003472164353</v>
      </c>
      <c r="E437" t="e">
        <f>VLOOKUP(VLOOKUP(B437,SuiteCatSubElem!$G$2:$G$667,2,0),'SA Q4 18 VR'!$A$33:$O$193,1+MATCH(VLOOKUP(A437,Vendors!$A$2:$B$15,2,0),'SA Q4 18 VR'!$B$24:$O$24,0),0)</f>
        <v>#REF!</v>
      </c>
      <c r="F437" s="27">
        <v>1</v>
      </c>
      <c r="G437">
        <f>RFI_Elements!N440</f>
        <v>439</v>
      </c>
      <c r="I437" t="e">
        <f>VLOOKUP(B437,SuiteCatSubElem!$G$2:$G$667,2,0)</f>
        <v>#REF!</v>
      </c>
    </row>
    <row r="438" spans="1:9">
      <c r="A438">
        <f>RFI_Elements!B441</f>
        <v>6</v>
      </c>
      <c r="B438">
        <f>RFI_Elements!C441</f>
        <v>423</v>
      </c>
      <c r="C438">
        <v>440</v>
      </c>
      <c r="D438" s="128">
        <v>43101.003472164353</v>
      </c>
      <c r="E438" t="e">
        <f>VLOOKUP(VLOOKUP(B438,SuiteCatSubElem!$G$2:$G$667,2,0),'SA Q4 18 VR'!$A$33:$O$193,1+MATCH(VLOOKUP(A438,Vendors!$A$2:$B$15,2,0),'SA Q4 18 VR'!$B$24:$O$24,0),0)</f>
        <v>#REF!</v>
      </c>
      <c r="F438" s="27">
        <v>1</v>
      </c>
      <c r="G438">
        <f>RFI_Elements!N441</f>
        <v>440</v>
      </c>
      <c r="I438" t="e">
        <f>VLOOKUP(B438,SuiteCatSubElem!$G$2:$G$667,2,0)</f>
        <v>#REF!</v>
      </c>
    </row>
    <row r="439" spans="1:9">
      <c r="A439">
        <f>RFI_Elements!B442</f>
        <v>6</v>
      </c>
      <c r="B439">
        <f>RFI_Elements!C442</f>
        <v>424</v>
      </c>
      <c r="C439">
        <v>441</v>
      </c>
      <c r="D439" s="128">
        <v>43101.003472164353</v>
      </c>
      <c r="E439" t="e">
        <f>VLOOKUP(VLOOKUP(B439,SuiteCatSubElem!$G$2:$G$667,2,0),'SA Q4 18 VR'!$A$33:$O$193,1+MATCH(VLOOKUP(A439,Vendors!$A$2:$B$15,2,0),'SA Q4 18 VR'!$B$24:$O$24,0),0)</f>
        <v>#REF!</v>
      </c>
      <c r="F439" s="27">
        <v>1</v>
      </c>
      <c r="G439">
        <f>RFI_Elements!N442</f>
        <v>441</v>
      </c>
      <c r="I439" t="e">
        <f>VLOOKUP(B439,SuiteCatSubElem!$G$2:$G$667,2,0)</f>
        <v>#REF!</v>
      </c>
    </row>
    <row r="440" spans="1:9">
      <c r="A440">
        <f>RFI_Elements!B443</f>
        <v>6</v>
      </c>
      <c r="B440">
        <f>RFI_Elements!C443</f>
        <v>425</v>
      </c>
      <c r="C440">
        <v>442</v>
      </c>
      <c r="D440" s="128">
        <v>43101.003472164353</v>
      </c>
      <c r="E440" t="e">
        <f>VLOOKUP(VLOOKUP(B440,SuiteCatSubElem!$G$2:$G$667,2,0),'SA Q4 18 VR'!$A$33:$O$193,1+MATCH(VLOOKUP(A440,Vendors!$A$2:$B$15,2,0),'SA Q4 18 VR'!$B$24:$O$24,0),0)</f>
        <v>#REF!</v>
      </c>
      <c r="F440" s="27">
        <v>1</v>
      </c>
      <c r="G440">
        <f>RFI_Elements!N443</f>
        <v>442</v>
      </c>
      <c r="I440" t="e">
        <f>VLOOKUP(B440,SuiteCatSubElem!$G$2:$G$667,2,0)</f>
        <v>#REF!</v>
      </c>
    </row>
    <row r="441" spans="1:9">
      <c r="A441">
        <f>RFI_Elements!B444</f>
        <v>6</v>
      </c>
      <c r="B441">
        <f>RFI_Elements!C444</f>
        <v>426</v>
      </c>
      <c r="C441">
        <v>443</v>
      </c>
      <c r="D441" s="128">
        <v>43101.003472164353</v>
      </c>
      <c r="E441" t="e">
        <f>VLOOKUP(VLOOKUP(B441,SuiteCatSubElem!$G$2:$G$667,2,0),'SA Q4 18 VR'!$A$33:$O$193,1+MATCH(VLOOKUP(A441,Vendors!$A$2:$B$15,2,0),'SA Q4 18 VR'!$B$24:$O$24,0),0)</f>
        <v>#REF!</v>
      </c>
      <c r="F441" s="27">
        <v>1</v>
      </c>
      <c r="G441">
        <f>RFI_Elements!N444</f>
        <v>443</v>
      </c>
      <c r="I441" t="e">
        <f>VLOOKUP(B441,SuiteCatSubElem!$G$2:$G$667,2,0)</f>
        <v>#REF!</v>
      </c>
    </row>
    <row r="442" spans="1:9">
      <c r="A442">
        <f>RFI_Elements!B445</f>
        <v>6</v>
      </c>
      <c r="B442">
        <f>RFI_Elements!C445</f>
        <v>427</v>
      </c>
      <c r="C442">
        <v>444</v>
      </c>
      <c r="D442" s="128">
        <v>43101.003472164353</v>
      </c>
      <c r="E442" t="e">
        <f>VLOOKUP(VLOOKUP(B442,SuiteCatSubElem!$G$2:$G$667,2,0),'SA Q4 18 VR'!$A$33:$O$193,1+MATCH(VLOOKUP(A442,Vendors!$A$2:$B$15,2,0),'SA Q4 18 VR'!$B$24:$O$24,0),0)</f>
        <v>#REF!</v>
      </c>
      <c r="F442" s="27">
        <v>1</v>
      </c>
      <c r="G442">
        <f>RFI_Elements!N445</f>
        <v>444</v>
      </c>
      <c r="I442" t="e">
        <f>VLOOKUP(B442,SuiteCatSubElem!$G$2:$G$667,2,0)</f>
        <v>#REF!</v>
      </c>
    </row>
    <row r="443" spans="1:9">
      <c r="A443">
        <f>RFI_Elements!B446</f>
        <v>6</v>
      </c>
      <c r="B443">
        <f>RFI_Elements!C446</f>
        <v>428</v>
      </c>
      <c r="C443">
        <v>445</v>
      </c>
      <c r="D443" s="128">
        <v>43101.003472164353</v>
      </c>
      <c r="E443" t="e">
        <f>VLOOKUP(VLOOKUP(B443,SuiteCatSubElem!$G$2:$G$667,2,0),'SA Q4 18 VR'!$A$33:$O$193,1+MATCH(VLOOKUP(A443,Vendors!$A$2:$B$15,2,0),'SA Q4 18 VR'!$B$24:$O$24,0),0)</f>
        <v>#REF!</v>
      </c>
      <c r="F443" s="27">
        <v>1</v>
      </c>
      <c r="G443">
        <f>RFI_Elements!N446</f>
        <v>445</v>
      </c>
      <c r="I443" t="e">
        <f>VLOOKUP(B443,SuiteCatSubElem!$G$2:$G$667,2,0)</f>
        <v>#REF!</v>
      </c>
    </row>
    <row r="444" spans="1:9">
      <c r="A444">
        <f>RFI_Elements!B447</f>
        <v>6</v>
      </c>
      <c r="B444">
        <f>RFI_Elements!C447</f>
        <v>429</v>
      </c>
      <c r="C444">
        <v>446</v>
      </c>
      <c r="D444" s="128">
        <v>43101.003472164353</v>
      </c>
      <c r="E444" t="e">
        <f>VLOOKUP(VLOOKUP(B444,SuiteCatSubElem!$G$2:$G$667,2,0),'SA Q4 18 VR'!$A$33:$O$193,1+MATCH(VLOOKUP(A444,Vendors!$A$2:$B$15,2,0),'SA Q4 18 VR'!$B$24:$O$24,0),0)</f>
        <v>#REF!</v>
      </c>
      <c r="F444" s="27">
        <v>1</v>
      </c>
      <c r="G444">
        <f>RFI_Elements!N447</f>
        <v>446</v>
      </c>
      <c r="I444" t="e">
        <f>VLOOKUP(B444,SuiteCatSubElem!$G$2:$G$667,2,0)</f>
        <v>#REF!</v>
      </c>
    </row>
    <row r="445" spans="1:9">
      <c r="A445">
        <f>RFI_Elements!B448</f>
        <v>6</v>
      </c>
      <c r="B445">
        <f>RFI_Elements!C448</f>
        <v>430</v>
      </c>
      <c r="C445">
        <v>447</v>
      </c>
      <c r="D445" s="128">
        <v>43101.003472164353</v>
      </c>
      <c r="E445" t="e">
        <f>VLOOKUP(VLOOKUP(B445,SuiteCatSubElem!$G$2:$G$667,2,0),'SA Q4 18 VR'!$A$33:$O$193,1+MATCH(VLOOKUP(A445,Vendors!$A$2:$B$15,2,0),'SA Q4 18 VR'!$B$24:$O$24,0),0)</f>
        <v>#REF!</v>
      </c>
      <c r="F445" s="27">
        <v>1</v>
      </c>
      <c r="G445">
        <f>RFI_Elements!N448</f>
        <v>447</v>
      </c>
      <c r="I445" t="e">
        <f>VLOOKUP(B445,SuiteCatSubElem!$G$2:$G$667,2,0)</f>
        <v>#REF!</v>
      </c>
    </row>
    <row r="446" spans="1:9">
      <c r="A446">
        <f>RFI_Elements!B449</f>
        <v>6</v>
      </c>
      <c r="B446">
        <f>RFI_Elements!C449</f>
        <v>431</v>
      </c>
      <c r="C446">
        <v>448</v>
      </c>
      <c r="D446" s="128">
        <v>43101.003472164353</v>
      </c>
      <c r="E446" t="e">
        <f>VLOOKUP(VLOOKUP(B446,SuiteCatSubElem!$G$2:$G$667,2,0),'SA Q4 18 VR'!$A$33:$O$193,1+MATCH(VLOOKUP(A446,Vendors!$A$2:$B$15,2,0),'SA Q4 18 VR'!$B$24:$O$24,0),0)</f>
        <v>#REF!</v>
      </c>
      <c r="F446" s="27">
        <v>1</v>
      </c>
      <c r="G446">
        <f>RFI_Elements!N449</f>
        <v>448</v>
      </c>
      <c r="I446" t="e">
        <f>VLOOKUP(B446,SuiteCatSubElem!$G$2:$G$667,2,0)</f>
        <v>#REF!</v>
      </c>
    </row>
    <row r="447" spans="1:9">
      <c r="A447">
        <f>RFI_Elements!B450</f>
        <v>6</v>
      </c>
      <c r="B447">
        <f>RFI_Elements!C450</f>
        <v>432</v>
      </c>
      <c r="C447">
        <v>449</v>
      </c>
      <c r="D447" s="128">
        <v>43101.003472164353</v>
      </c>
      <c r="E447" t="e">
        <f>VLOOKUP(VLOOKUP(B447,SuiteCatSubElem!$G$2:$G$667,2,0),'SA Q4 18 VR'!$A$33:$O$193,1+MATCH(VLOOKUP(A447,Vendors!$A$2:$B$15,2,0),'SA Q4 18 VR'!$B$24:$O$24,0),0)</f>
        <v>#REF!</v>
      </c>
      <c r="F447" s="27">
        <v>1</v>
      </c>
      <c r="G447">
        <f>RFI_Elements!N450</f>
        <v>449</v>
      </c>
      <c r="I447" t="e">
        <f>VLOOKUP(B447,SuiteCatSubElem!$G$2:$G$667,2,0)</f>
        <v>#REF!</v>
      </c>
    </row>
    <row r="448" spans="1:9">
      <c r="A448">
        <f>RFI_Elements!B451</f>
        <v>6</v>
      </c>
      <c r="B448">
        <f>RFI_Elements!C451</f>
        <v>433</v>
      </c>
      <c r="C448">
        <v>450</v>
      </c>
      <c r="D448" s="128">
        <v>43101.003472164353</v>
      </c>
      <c r="E448" t="e">
        <f>VLOOKUP(VLOOKUP(B448,SuiteCatSubElem!$G$2:$G$667,2,0),'SA Q4 18 VR'!$A$33:$O$193,1+MATCH(VLOOKUP(A448,Vendors!$A$2:$B$15,2,0),'SA Q4 18 VR'!$B$24:$O$24,0),0)</f>
        <v>#REF!</v>
      </c>
      <c r="F448" s="27">
        <v>1</v>
      </c>
      <c r="G448">
        <f>RFI_Elements!N451</f>
        <v>450</v>
      </c>
      <c r="I448" t="e">
        <f>VLOOKUP(B448,SuiteCatSubElem!$G$2:$G$667,2,0)</f>
        <v>#REF!</v>
      </c>
    </row>
    <row r="449" spans="1:9">
      <c r="A449">
        <f>RFI_Elements!B452</f>
        <v>6</v>
      </c>
      <c r="B449">
        <f>RFI_Elements!C452</f>
        <v>434</v>
      </c>
      <c r="C449">
        <v>451</v>
      </c>
      <c r="D449" s="128">
        <v>43101.003472164353</v>
      </c>
      <c r="E449" t="e">
        <f>VLOOKUP(VLOOKUP(B449,SuiteCatSubElem!$G$2:$G$667,2,0),'SA Q4 18 VR'!$A$33:$O$193,1+MATCH(VLOOKUP(A449,Vendors!$A$2:$B$15,2,0),'SA Q4 18 VR'!$B$24:$O$24,0),0)</f>
        <v>#REF!</v>
      </c>
      <c r="F449" s="27">
        <v>1</v>
      </c>
      <c r="G449">
        <f>RFI_Elements!N452</f>
        <v>451</v>
      </c>
      <c r="I449" t="e">
        <f>VLOOKUP(B449,SuiteCatSubElem!$G$2:$G$667,2,0)</f>
        <v>#REF!</v>
      </c>
    </row>
    <row r="450" spans="1:9">
      <c r="A450">
        <f>RFI_Elements!B453</f>
        <v>6</v>
      </c>
      <c r="B450">
        <f>RFI_Elements!C453</f>
        <v>435</v>
      </c>
      <c r="C450">
        <v>452</v>
      </c>
      <c r="D450" s="128">
        <v>43101.003472164353</v>
      </c>
      <c r="E450" t="e">
        <f>VLOOKUP(VLOOKUP(B450,SuiteCatSubElem!$G$2:$G$667,2,0),'SA Q4 18 VR'!$A$33:$O$193,1+MATCH(VLOOKUP(A450,Vendors!$A$2:$B$15,2,0),'SA Q4 18 VR'!$B$24:$O$24,0),0)</f>
        <v>#REF!</v>
      </c>
      <c r="F450" s="27">
        <v>1</v>
      </c>
      <c r="G450">
        <f>RFI_Elements!N453</f>
        <v>452</v>
      </c>
      <c r="I450" t="e">
        <f>VLOOKUP(B450,SuiteCatSubElem!$G$2:$G$667,2,0)</f>
        <v>#REF!</v>
      </c>
    </row>
    <row r="451" spans="1:9">
      <c r="A451">
        <f>RFI_Elements!B454</f>
        <v>6</v>
      </c>
      <c r="B451">
        <f>RFI_Elements!C454</f>
        <v>436</v>
      </c>
      <c r="C451">
        <v>453</v>
      </c>
      <c r="D451" s="128">
        <v>43101.003472164353</v>
      </c>
      <c r="E451" t="e">
        <f>VLOOKUP(VLOOKUP(B451,SuiteCatSubElem!$G$2:$G$667,2,0),'SA Q4 18 VR'!$A$33:$O$193,1+MATCH(VLOOKUP(A451,Vendors!$A$2:$B$15,2,0),'SA Q4 18 VR'!$B$24:$O$24,0),0)</f>
        <v>#REF!</v>
      </c>
      <c r="F451" s="27">
        <v>1</v>
      </c>
      <c r="G451">
        <f>RFI_Elements!N454</f>
        <v>453</v>
      </c>
      <c r="I451" t="e">
        <f>VLOOKUP(B451,SuiteCatSubElem!$G$2:$G$667,2,0)</f>
        <v>#REF!</v>
      </c>
    </row>
    <row r="452" spans="1:9">
      <c r="A452">
        <f>RFI_Elements!B455</f>
        <v>6</v>
      </c>
      <c r="B452">
        <f>RFI_Elements!C455</f>
        <v>437</v>
      </c>
      <c r="C452">
        <v>454</v>
      </c>
      <c r="D452" s="128">
        <v>43101.003472164353</v>
      </c>
      <c r="E452" t="e">
        <f>VLOOKUP(VLOOKUP(B452,SuiteCatSubElem!$G$2:$G$667,2,0),'SA Q4 18 VR'!$A$33:$O$193,1+MATCH(VLOOKUP(A452,Vendors!$A$2:$B$15,2,0),'SA Q4 18 VR'!$B$24:$O$24,0),0)</f>
        <v>#REF!</v>
      </c>
      <c r="F452" s="27">
        <v>1</v>
      </c>
      <c r="G452">
        <f>RFI_Elements!N455</f>
        <v>454</v>
      </c>
      <c r="I452" t="e">
        <f>VLOOKUP(B452,SuiteCatSubElem!$G$2:$G$667,2,0)</f>
        <v>#REF!</v>
      </c>
    </row>
    <row r="453" spans="1:9">
      <c r="A453">
        <f>RFI_Elements!B456</f>
        <v>6</v>
      </c>
      <c r="B453">
        <f>RFI_Elements!C456</f>
        <v>438</v>
      </c>
      <c r="C453">
        <v>455</v>
      </c>
      <c r="D453" s="128">
        <v>43101.003472164353</v>
      </c>
      <c r="E453" t="e">
        <f>VLOOKUP(VLOOKUP(B453,SuiteCatSubElem!$G$2:$G$667,2,0),'SA Q4 18 VR'!$A$33:$O$193,1+MATCH(VLOOKUP(A453,Vendors!$A$2:$B$15,2,0),'SA Q4 18 VR'!$B$24:$O$24,0),0)</f>
        <v>#REF!</v>
      </c>
      <c r="F453" s="27">
        <v>1</v>
      </c>
      <c r="G453">
        <f>RFI_Elements!N456</f>
        <v>455</v>
      </c>
      <c r="I453" t="e">
        <f>VLOOKUP(B453,SuiteCatSubElem!$G$2:$G$667,2,0)</f>
        <v>#REF!</v>
      </c>
    </row>
    <row r="454" spans="1:9">
      <c r="A454">
        <f>RFI_Elements!B457</f>
        <v>6</v>
      </c>
      <c r="B454">
        <f>RFI_Elements!C457</f>
        <v>439</v>
      </c>
      <c r="C454">
        <v>456</v>
      </c>
      <c r="D454" s="128">
        <v>43101.003472164353</v>
      </c>
      <c r="E454" t="e">
        <f>VLOOKUP(VLOOKUP(B454,SuiteCatSubElem!$G$2:$G$667,2,0),'SA Q4 18 VR'!$A$33:$O$193,1+MATCH(VLOOKUP(A454,Vendors!$A$2:$B$15,2,0),'SA Q4 18 VR'!$B$24:$O$24,0),0)</f>
        <v>#REF!</v>
      </c>
      <c r="F454" s="27">
        <v>1</v>
      </c>
      <c r="G454">
        <f>RFI_Elements!N457</f>
        <v>456</v>
      </c>
      <c r="I454" t="e">
        <f>VLOOKUP(B454,SuiteCatSubElem!$G$2:$G$667,2,0)</f>
        <v>#REF!</v>
      </c>
    </row>
    <row r="455" spans="1:9">
      <c r="A455">
        <f>RFI_Elements!B458</f>
        <v>6</v>
      </c>
      <c r="B455">
        <f>RFI_Elements!C458</f>
        <v>440</v>
      </c>
      <c r="C455">
        <v>457</v>
      </c>
      <c r="D455" s="128">
        <v>43101.003472164353</v>
      </c>
      <c r="E455" t="e">
        <f>VLOOKUP(VLOOKUP(B455,SuiteCatSubElem!$G$2:$G$667,2,0),'SA Q4 18 VR'!$A$33:$O$193,1+MATCH(VLOOKUP(A455,Vendors!$A$2:$B$15,2,0),'SA Q4 18 VR'!$B$24:$O$24,0),0)</f>
        <v>#REF!</v>
      </c>
      <c r="F455" s="27">
        <v>1</v>
      </c>
      <c r="G455">
        <f>RFI_Elements!N458</f>
        <v>457</v>
      </c>
      <c r="I455" t="e">
        <f>VLOOKUP(B455,SuiteCatSubElem!$G$2:$G$667,2,0)</f>
        <v>#REF!</v>
      </c>
    </row>
    <row r="456" spans="1:9">
      <c r="A456">
        <f>RFI_Elements!B459</f>
        <v>6</v>
      </c>
      <c r="B456">
        <f>RFI_Elements!C459</f>
        <v>441</v>
      </c>
      <c r="C456">
        <v>458</v>
      </c>
      <c r="D456" s="128">
        <v>43101.003472164353</v>
      </c>
      <c r="E456" t="e">
        <f>VLOOKUP(VLOOKUP(B456,SuiteCatSubElem!$G$2:$G$667,2,0),'SA Q4 18 VR'!$A$33:$O$193,1+MATCH(VLOOKUP(A456,Vendors!$A$2:$B$15,2,0),'SA Q4 18 VR'!$B$24:$O$24,0),0)</f>
        <v>#REF!</v>
      </c>
      <c r="F456" s="27">
        <v>1</v>
      </c>
      <c r="G456">
        <f>RFI_Elements!N459</f>
        <v>458</v>
      </c>
      <c r="I456" t="e">
        <f>VLOOKUP(B456,SuiteCatSubElem!$G$2:$G$667,2,0)</f>
        <v>#REF!</v>
      </c>
    </row>
    <row r="457" spans="1:9">
      <c r="A457">
        <f>RFI_Elements!B460</f>
        <v>6</v>
      </c>
      <c r="B457">
        <f>RFI_Elements!C460</f>
        <v>442</v>
      </c>
      <c r="C457">
        <v>459</v>
      </c>
      <c r="D457" s="128">
        <v>43101.003472164353</v>
      </c>
      <c r="E457" t="e">
        <f>VLOOKUP(VLOOKUP(B457,SuiteCatSubElem!$G$2:$G$667,2,0),'SA Q4 18 VR'!$A$33:$O$193,1+MATCH(VLOOKUP(A457,Vendors!$A$2:$B$15,2,0),'SA Q4 18 VR'!$B$24:$O$24,0),0)</f>
        <v>#REF!</v>
      </c>
      <c r="F457" s="27">
        <v>1</v>
      </c>
      <c r="G457">
        <f>RFI_Elements!N460</f>
        <v>459</v>
      </c>
      <c r="I457" t="e">
        <f>VLOOKUP(B457,SuiteCatSubElem!$G$2:$G$667,2,0)</f>
        <v>#REF!</v>
      </c>
    </row>
    <row r="458" spans="1:9">
      <c r="A458">
        <f>RFI_Elements!B461</f>
        <v>6</v>
      </c>
      <c r="B458">
        <f>RFI_Elements!C461</f>
        <v>443</v>
      </c>
      <c r="C458">
        <v>460</v>
      </c>
      <c r="D458" s="128">
        <v>43101.003472164353</v>
      </c>
      <c r="E458" t="e">
        <f>VLOOKUP(VLOOKUP(B458,SuiteCatSubElem!$G$2:$G$667,2,0),'SA Q4 18 VR'!$A$33:$O$193,1+MATCH(VLOOKUP(A458,Vendors!$A$2:$B$15,2,0),'SA Q4 18 VR'!$B$24:$O$24,0),0)</f>
        <v>#REF!</v>
      </c>
      <c r="F458" s="27">
        <v>1</v>
      </c>
      <c r="G458">
        <f>RFI_Elements!N461</f>
        <v>460</v>
      </c>
      <c r="I458" t="e">
        <f>VLOOKUP(B458,SuiteCatSubElem!$G$2:$G$667,2,0)</f>
        <v>#REF!</v>
      </c>
    </row>
    <row r="459" spans="1:9">
      <c r="A459">
        <f>RFI_Elements!B462</f>
        <v>6</v>
      </c>
      <c r="B459">
        <f>RFI_Elements!C462</f>
        <v>444</v>
      </c>
      <c r="C459">
        <v>461</v>
      </c>
      <c r="D459" s="128">
        <v>43101.003472164353</v>
      </c>
      <c r="E459" t="e">
        <f>VLOOKUP(VLOOKUP(B459,SuiteCatSubElem!$G$2:$G$667,2,0),'SA Q4 18 VR'!$A$33:$O$193,1+MATCH(VLOOKUP(A459,Vendors!$A$2:$B$15,2,0),'SA Q4 18 VR'!$B$24:$O$24,0),0)</f>
        <v>#REF!</v>
      </c>
      <c r="F459" s="27">
        <v>1</v>
      </c>
      <c r="G459">
        <f>RFI_Elements!N462</f>
        <v>461</v>
      </c>
      <c r="I459" t="e">
        <f>VLOOKUP(B459,SuiteCatSubElem!$G$2:$G$667,2,0)</f>
        <v>#REF!</v>
      </c>
    </row>
    <row r="460" spans="1:9">
      <c r="A460">
        <f>RFI_Elements!B463</f>
        <v>6</v>
      </c>
      <c r="B460">
        <f>RFI_Elements!C463</f>
        <v>445</v>
      </c>
      <c r="C460">
        <v>462</v>
      </c>
      <c r="D460" s="128">
        <v>43101.003472164353</v>
      </c>
      <c r="E460" t="e">
        <f>VLOOKUP(VLOOKUP(B460,SuiteCatSubElem!$G$2:$G$667,2,0),'SA Q4 18 VR'!$A$33:$O$193,1+MATCH(VLOOKUP(A460,Vendors!$A$2:$B$15,2,0),'SA Q4 18 VR'!$B$24:$O$24,0),0)</f>
        <v>#REF!</v>
      </c>
      <c r="F460" s="27">
        <v>1</v>
      </c>
      <c r="G460">
        <f>RFI_Elements!N463</f>
        <v>462</v>
      </c>
      <c r="I460" t="e">
        <f>VLOOKUP(B460,SuiteCatSubElem!$G$2:$G$667,2,0)</f>
        <v>#REF!</v>
      </c>
    </row>
    <row r="461" spans="1:9">
      <c r="A461">
        <f>RFI_Elements!B464</f>
        <v>6</v>
      </c>
      <c r="B461">
        <f>RFI_Elements!C464</f>
        <v>446</v>
      </c>
      <c r="C461">
        <v>463</v>
      </c>
      <c r="D461" s="128">
        <v>43101.003472164353</v>
      </c>
      <c r="E461" t="e">
        <f>VLOOKUP(VLOOKUP(B461,SuiteCatSubElem!$G$2:$G$667,2,0),'SA Q4 18 VR'!$A$33:$O$193,1+MATCH(VLOOKUP(A461,Vendors!$A$2:$B$15,2,0),'SA Q4 18 VR'!$B$24:$O$24,0),0)</f>
        <v>#REF!</v>
      </c>
      <c r="F461" s="27">
        <v>1</v>
      </c>
      <c r="G461">
        <f>RFI_Elements!N464</f>
        <v>463</v>
      </c>
      <c r="I461" t="e">
        <f>VLOOKUP(B461,SuiteCatSubElem!$G$2:$G$667,2,0)</f>
        <v>#REF!</v>
      </c>
    </row>
    <row r="462" spans="1:9">
      <c r="A462">
        <f>RFI_Elements!B465</f>
        <v>6</v>
      </c>
      <c r="B462">
        <f>RFI_Elements!C465</f>
        <v>447</v>
      </c>
      <c r="C462">
        <v>464</v>
      </c>
      <c r="D462" s="128">
        <v>43101.003472164353</v>
      </c>
      <c r="E462" t="e">
        <f>VLOOKUP(VLOOKUP(B462,SuiteCatSubElem!$G$2:$G$667,2,0),'SA Q4 18 VR'!$A$33:$O$193,1+MATCH(VLOOKUP(A462,Vendors!$A$2:$B$15,2,0),'SA Q4 18 VR'!$B$24:$O$24,0),0)</f>
        <v>#REF!</v>
      </c>
      <c r="F462" s="27">
        <v>1</v>
      </c>
      <c r="G462">
        <f>RFI_Elements!N465</f>
        <v>464</v>
      </c>
      <c r="I462" t="e">
        <f>VLOOKUP(B462,SuiteCatSubElem!$G$2:$G$667,2,0)</f>
        <v>#REF!</v>
      </c>
    </row>
    <row r="463" spans="1:9">
      <c r="A463">
        <f>RFI_Elements!B466</f>
        <v>6</v>
      </c>
      <c r="B463">
        <f>RFI_Elements!C466</f>
        <v>448</v>
      </c>
      <c r="C463">
        <v>465</v>
      </c>
      <c r="D463" s="128">
        <v>43101.003472164353</v>
      </c>
      <c r="E463" t="e">
        <f>VLOOKUP(VLOOKUP(B463,SuiteCatSubElem!$G$2:$G$667,2,0),'SA Q4 18 VR'!$A$33:$O$193,1+MATCH(VLOOKUP(A463,Vendors!$A$2:$B$15,2,0),'SA Q4 18 VR'!$B$24:$O$24,0),0)</f>
        <v>#REF!</v>
      </c>
      <c r="F463" s="27">
        <v>1</v>
      </c>
      <c r="G463">
        <f>RFI_Elements!N466</f>
        <v>465</v>
      </c>
      <c r="I463" t="e">
        <f>VLOOKUP(B463,SuiteCatSubElem!$G$2:$G$667,2,0)</f>
        <v>#REF!</v>
      </c>
    </row>
    <row r="464" spans="1:9">
      <c r="A464">
        <f>RFI_Elements!B467</f>
        <v>6</v>
      </c>
      <c r="B464">
        <f>RFI_Elements!C467</f>
        <v>449</v>
      </c>
      <c r="C464">
        <v>466</v>
      </c>
      <c r="D464" s="128">
        <v>43101.003472164353</v>
      </c>
      <c r="E464" t="e">
        <f>VLOOKUP(VLOOKUP(B464,SuiteCatSubElem!$G$2:$G$667,2,0),'SA Q4 18 VR'!$A$33:$O$193,1+MATCH(VLOOKUP(A464,Vendors!$A$2:$B$15,2,0),'SA Q4 18 VR'!$B$24:$O$24,0),0)</f>
        <v>#REF!</v>
      </c>
      <c r="F464" s="27">
        <v>1</v>
      </c>
      <c r="G464">
        <f>RFI_Elements!N467</f>
        <v>466</v>
      </c>
      <c r="I464" t="e">
        <f>VLOOKUP(B464,SuiteCatSubElem!$G$2:$G$667,2,0)</f>
        <v>#REF!</v>
      </c>
    </row>
    <row r="465" spans="1:9">
      <c r="A465">
        <f>RFI_Elements!B468</f>
        <v>6</v>
      </c>
      <c r="B465">
        <f>RFI_Elements!C468</f>
        <v>450</v>
      </c>
      <c r="C465">
        <v>467</v>
      </c>
      <c r="D465" s="128">
        <v>43101.003472164353</v>
      </c>
      <c r="E465" t="e">
        <f>VLOOKUP(VLOOKUP(B465,SuiteCatSubElem!$G$2:$G$667,2,0),'SA Q4 18 VR'!$A$33:$O$193,1+MATCH(VLOOKUP(A465,Vendors!$A$2:$B$15,2,0),'SA Q4 18 VR'!$B$24:$O$24,0),0)</f>
        <v>#REF!</v>
      </c>
      <c r="F465" s="27">
        <v>1</v>
      </c>
      <c r="G465">
        <f>RFI_Elements!N468</f>
        <v>467</v>
      </c>
      <c r="I465" t="e">
        <f>VLOOKUP(B465,SuiteCatSubElem!$G$2:$G$667,2,0)</f>
        <v>#REF!</v>
      </c>
    </row>
    <row r="466" spans="1:9">
      <c r="A466">
        <f>RFI_Elements!B469</f>
        <v>6</v>
      </c>
      <c r="B466">
        <f>RFI_Elements!C469</f>
        <v>451</v>
      </c>
      <c r="C466">
        <v>468</v>
      </c>
      <c r="D466" s="128">
        <v>43101.003472164353</v>
      </c>
      <c r="E466" t="e">
        <f>VLOOKUP(VLOOKUP(B466,SuiteCatSubElem!$G$2:$G$667,2,0),'SA Q4 18 VR'!$A$33:$O$193,1+MATCH(VLOOKUP(A466,Vendors!$A$2:$B$15,2,0),'SA Q4 18 VR'!$B$24:$O$24,0),0)</f>
        <v>#REF!</v>
      </c>
      <c r="F466" s="27">
        <v>1</v>
      </c>
      <c r="G466">
        <f>RFI_Elements!N469</f>
        <v>468</v>
      </c>
      <c r="I466" t="e">
        <f>VLOOKUP(B466,SuiteCatSubElem!$G$2:$G$667,2,0)</f>
        <v>#REF!</v>
      </c>
    </row>
    <row r="467" spans="1:9">
      <c r="A467">
        <f>RFI_Elements!B470</f>
        <v>6</v>
      </c>
      <c r="B467">
        <f>RFI_Elements!C470</f>
        <v>452</v>
      </c>
      <c r="C467">
        <v>469</v>
      </c>
      <c r="D467" s="128">
        <v>43101.003472164353</v>
      </c>
      <c r="E467" t="e">
        <f>VLOOKUP(VLOOKUP(B467,SuiteCatSubElem!$G$2:$G$667,2,0),'SA Q4 18 VR'!$A$33:$O$193,1+MATCH(VLOOKUP(A467,Vendors!$A$2:$B$15,2,0),'SA Q4 18 VR'!$B$24:$O$24,0),0)</f>
        <v>#REF!</v>
      </c>
      <c r="F467" s="27">
        <v>1</v>
      </c>
      <c r="G467">
        <f>RFI_Elements!N470</f>
        <v>469</v>
      </c>
      <c r="I467" t="e">
        <f>VLOOKUP(B467,SuiteCatSubElem!$G$2:$G$667,2,0)</f>
        <v>#REF!</v>
      </c>
    </row>
    <row r="468" spans="1:9">
      <c r="A468">
        <f>RFI_Elements!B471</f>
        <v>6</v>
      </c>
      <c r="B468">
        <f>RFI_Elements!C471</f>
        <v>453</v>
      </c>
      <c r="C468">
        <v>470</v>
      </c>
      <c r="D468" s="128">
        <v>43101.003472164353</v>
      </c>
      <c r="E468" t="e">
        <f>VLOOKUP(VLOOKUP(B468,SuiteCatSubElem!$G$2:$G$667,2,0),'SA Q4 18 VR'!$A$33:$O$193,1+MATCH(VLOOKUP(A468,Vendors!$A$2:$B$15,2,0),'SA Q4 18 VR'!$B$24:$O$24,0),0)</f>
        <v>#REF!</v>
      </c>
      <c r="F468" s="27">
        <v>1</v>
      </c>
      <c r="G468">
        <f>RFI_Elements!N471</f>
        <v>470</v>
      </c>
      <c r="I468" t="e">
        <f>VLOOKUP(B468,SuiteCatSubElem!$G$2:$G$667,2,0)</f>
        <v>#REF!</v>
      </c>
    </row>
    <row r="469" spans="1:9">
      <c r="A469">
        <f>RFI_Elements!B472</f>
        <v>6</v>
      </c>
      <c r="B469">
        <f>RFI_Elements!C472</f>
        <v>454</v>
      </c>
      <c r="C469">
        <v>471</v>
      </c>
      <c r="D469" s="128">
        <v>43101.003472164353</v>
      </c>
      <c r="E469" t="e">
        <f>VLOOKUP(VLOOKUP(B469,SuiteCatSubElem!$G$2:$G$667,2,0),'SA Q4 18 VR'!$A$33:$O$193,1+MATCH(VLOOKUP(A469,Vendors!$A$2:$B$15,2,0),'SA Q4 18 VR'!$B$24:$O$24,0),0)</f>
        <v>#REF!</v>
      </c>
      <c r="F469" s="27">
        <v>1</v>
      </c>
      <c r="G469">
        <f>RFI_Elements!N472</f>
        <v>471</v>
      </c>
      <c r="I469" t="e">
        <f>VLOOKUP(B469,SuiteCatSubElem!$G$2:$G$667,2,0)</f>
        <v>#REF!</v>
      </c>
    </row>
    <row r="470" spans="1:9">
      <c r="A470">
        <f>RFI_Elements!B473</f>
        <v>6</v>
      </c>
      <c r="B470">
        <f>RFI_Elements!C473</f>
        <v>455</v>
      </c>
      <c r="C470">
        <v>472</v>
      </c>
      <c r="D470" s="128">
        <v>43101.003472164353</v>
      </c>
      <c r="E470" t="e">
        <f>VLOOKUP(VLOOKUP(B470,SuiteCatSubElem!$G$2:$G$667,2,0),'SA Q4 18 VR'!$A$33:$O$193,1+MATCH(VLOOKUP(A470,Vendors!$A$2:$B$15,2,0),'SA Q4 18 VR'!$B$24:$O$24,0),0)</f>
        <v>#REF!</v>
      </c>
      <c r="F470" s="27">
        <v>1</v>
      </c>
      <c r="G470">
        <f>RFI_Elements!N473</f>
        <v>472</v>
      </c>
      <c r="I470" t="e">
        <f>VLOOKUP(B470,SuiteCatSubElem!$G$2:$G$667,2,0)</f>
        <v>#REF!</v>
      </c>
    </row>
    <row r="471" spans="1:9">
      <c r="A471">
        <f>RFI_Elements!B474</f>
        <v>6</v>
      </c>
      <c r="B471">
        <f>RFI_Elements!C474</f>
        <v>456</v>
      </c>
      <c r="C471">
        <v>473</v>
      </c>
      <c r="D471" s="128">
        <v>43101.003472164353</v>
      </c>
      <c r="E471" t="e">
        <f>VLOOKUP(VLOOKUP(B471,SuiteCatSubElem!$G$2:$G$667,2,0),'SA Q4 18 VR'!$A$33:$O$193,1+MATCH(VLOOKUP(A471,Vendors!$A$2:$B$15,2,0),'SA Q4 18 VR'!$B$24:$O$24,0),0)</f>
        <v>#REF!</v>
      </c>
      <c r="F471" s="27">
        <v>1</v>
      </c>
      <c r="G471">
        <f>RFI_Elements!N474</f>
        <v>473</v>
      </c>
      <c r="I471" t="e">
        <f>VLOOKUP(B471,SuiteCatSubElem!$G$2:$G$667,2,0)</f>
        <v>#REF!</v>
      </c>
    </row>
    <row r="472" spans="1:9">
      <c r="A472">
        <f>RFI_Elements!B475</f>
        <v>6</v>
      </c>
      <c r="B472">
        <f>RFI_Elements!C475</f>
        <v>457</v>
      </c>
      <c r="C472">
        <v>474</v>
      </c>
      <c r="D472" s="128">
        <v>43101.003472164353</v>
      </c>
      <c r="E472" t="e">
        <f>VLOOKUP(VLOOKUP(B472,SuiteCatSubElem!$G$2:$G$667,2,0),'SA Q4 18 VR'!$A$33:$O$193,1+MATCH(VLOOKUP(A472,Vendors!$A$2:$B$15,2,0),'SA Q4 18 VR'!$B$24:$O$24,0),0)</f>
        <v>#REF!</v>
      </c>
      <c r="F472" s="27">
        <v>1</v>
      </c>
      <c r="G472">
        <f>RFI_Elements!N475</f>
        <v>474</v>
      </c>
      <c r="I472" t="e">
        <f>VLOOKUP(B472,SuiteCatSubElem!$G$2:$G$667,2,0)</f>
        <v>#REF!</v>
      </c>
    </row>
    <row r="473" spans="1:9">
      <c r="A473">
        <f>RFI_Elements!B476</f>
        <v>6</v>
      </c>
      <c r="B473">
        <f>RFI_Elements!C476</f>
        <v>458</v>
      </c>
      <c r="C473">
        <v>475</v>
      </c>
      <c r="D473" s="128">
        <v>43101.003472164353</v>
      </c>
      <c r="E473" t="e">
        <f>VLOOKUP(VLOOKUP(B473,SuiteCatSubElem!$G$2:$G$667,2,0),'SA Q4 18 VR'!$A$33:$O$193,1+MATCH(VLOOKUP(A473,Vendors!$A$2:$B$15,2,0),'SA Q4 18 VR'!$B$24:$O$24,0),0)</f>
        <v>#REF!</v>
      </c>
      <c r="F473" s="27">
        <v>1</v>
      </c>
      <c r="G473">
        <f>RFI_Elements!N476</f>
        <v>475</v>
      </c>
      <c r="I473" t="e">
        <f>VLOOKUP(B473,SuiteCatSubElem!$G$2:$G$667,2,0)</f>
        <v>#REF!</v>
      </c>
    </row>
    <row r="474" spans="1:9">
      <c r="A474">
        <f>RFI_Elements!B477</f>
        <v>6</v>
      </c>
      <c r="B474">
        <f>RFI_Elements!C477</f>
        <v>459</v>
      </c>
      <c r="C474">
        <v>476</v>
      </c>
      <c r="D474" s="128">
        <v>43101.003472164353</v>
      </c>
      <c r="E474" t="e">
        <f>VLOOKUP(VLOOKUP(B474,SuiteCatSubElem!$G$2:$G$667,2,0),'SA Q4 18 VR'!$A$33:$O$193,1+MATCH(VLOOKUP(A474,Vendors!$A$2:$B$15,2,0),'SA Q4 18 VR'!$B$24:$O$24,0),0)</f>
        <v>#REF!</v>
      </c>
      <c r="F474" s="27">
        <v>1</v>
      </c>
      <c r="G474">
        <f>RFI_Elements!N477</f>
        <v>476</v>
      </c>
      <c r="I474" t="e">
        <f>VLOOKUP(B474,SuiteCatSubElem!$G$2:$G$667,2,0)</f>
        <v>#REF!</v>
      </c>
    </row>
    <row r="475" spans="1:9">
      <c r="A475">
        <f>RFI_Elements!B478</f>
        <v>6</v>
      </c>
      <c r="B475">
        <f>RFI_Elements!C478</f>
        <v>460</v>
      </c>
      <c r="C475">
        <v>477</v>
      </c>
      <c r="D475" s="128">
        <v>43101.003472164353</v>
      </c>
      <c r="E475" t="e">
        <f>VLOOKUP(VLOOKUP(B475,SuiteCatSubElem!$G$2:$G$667,2,0),'SA Q4 18 VR'!$A$33:$O$193,1+MATCH(VLOOKUP(A475,Vendors!$A$2:$B$15,2,0),'SA Q4 18 VR'!$B$24:$O$24,0),0)</f>
        <v>#REF!</v>
      </c>
      <c r="F475" s="27">
        <v>1</v>
      </c>
      <c r="G475">
        <f>RFI_Elements!N478</f>
        <v>477</v>
      </c>
      <c r="I475" t="e">
        <f>VLOOKUP(B475,SuiteCatSubElem!$G$2:$G$667,2,0)</f>
        <v>#REF!</v>
      </c>
    </row>
    <row r="476" spans="1:9">
      <c r="A476">
        <f>RFI_Elements!B479</f>
        <v>6</v>
      </c>
      <c r="B476">
        <f>RFI_Elements!C479</f>
        <v>461</v>
      </c>
      <c r="C476">
        <v>478</v>
      </c>
      <c r="D476" s="128">
        <v>43101.003472164353</v>
      </c>
      <c r="E476" t="e">
        <f>VLOOKUP(VLOOKUP(B476,SuiteCatSubElem!$G$2:$G$667,2,0),'SA Q4 18 VR'!$A$33:$O$193,1+MATCH(VLOOKUP(A476,Vendors!$A$2:$B$15,2,0),'SA Q4 18 VR'!$B$24:$O$24,0),0)</f>
        <v>#REF!</v>
      </c>
      <c r="F476" s="27">
        <v>1</v>
      </c>
      <c r="G476">
        <f>RFI_Elements!N479</f>
        <v>478</v>
      </c>
      <c r="I476" t="e">
        <f>VLOOKUP(B476,SuiteCatSubElem!$G$2:$G$667,2,0)</f>
        <v>#REF!</v>
      </c>
    </row>
    <row r="477" spans="1:9">
      <c r="A477">
        <f>RFI_Elements!B480</f>
        <v>6</v>
      </c>
      <c r="B477">
        <f>RFI_Elements!C480</f>
        <v>462</v>
      </c>
      <c r="C477">
        <v>479</v>
      </c>
      <c r="D477" s="128">
        <v>43101.003472164353</v>
      </c>
      <c r="E477" t="e">
        <f>VLOOKUP(VLOOKUP(B477,SuiteCatSubElem!$G$2:$G$667,2,0),'SA Q4 18 VR'!$A$33:$O$193,1+MATCH(VLOOKUP(A477,Vendors!$A$2:$B$15,2,0),'SA Q4 18 VR'!$B$24:$O$24,0),0)</f>
        <v>#REF!</v>
      </c>
      <c r="F477" s="27">
        <v>1</v>
      </c>
      <c r="G477">
        <f>RFI_Elements!N480</f>
        <v>479</v>
      </c>
      <c r="I477" t="e">
        <f>VLOOKUP(B477,SuiteCatSubElem!$G$2:$G$667,2,0)</f>
        <v>#REF!</v>
      </c>
    </row>
    <row r="478" spans="1:9">
      <c r="A478">
        <f>RFI_Elements!B481</f>
        <v>6</v>
      </c>
      <c r="B478">
        <f>RFI_Elements!C481</f>
        <v>463</v>
      </c>
      <c r="C478">
        <v>480</v>
      </c>
      <c r="D478" s="128">
        <v>43101.003472164353</v>
      </c>
      <c r="E478" t="e">
        <f>VLOOKUP(VLOOKUP(B478,SuiteCatSubElem!$G$2:$G$667,2,0),'SA Q4 18 VR'!$A$33:$O$193,1+MATCH(VLOOKUP(A478,Vendors!$A$2:$B$15,2,0),'SA Q4 18 VR'!$B$24:$O$24,0),0)</f>
        <v>#REF!</v>
      </c>
      <c r="F478" s="27">
        <v>1</v>
      </c>
      <c r="G478">
        <f>RFI_Elements!N481</f>
        <v>480</v>
      </c>
      <c r="I478" t="e">
        <f>VLOOKUP(B478,SuiteCatSubElem!$G$2:$G$667,2,0)</f>
        <v>#REF!</v>
      </c>
    </row>
    <row r="479" spans="1:9">
      <c r="A479">
        <f>RFI_Elements!B482</f>
        <v>6</v>
      </c>
      <c r="B479">
        <f>RFI_Elements!C482</f>
        <v>464</v>
      </c>
      <c r="C479">
        <v>481</v>
      </c>
      <c r="D479" s="128">
        <v>43101.003472164353</v>
      </c>
      <c r="E479" t="e">
        <f>VLOOKUP(VLOOKUP(B479,SuiteCatSubElem!$G$2:$G$667,2,0),'SA Q4 18 VR'!$A$33:$O$193,1+MATCH(VLOOKUP(A479,Vendors!$A$2:$B$15,2,0),'SA Q4 18 VR'!$B$24:$O$24,0),0)</f>
        <v>#REF!</v>
      </c>
      <c r="F479" s="27">
        <v>1</v>
      </c>
      <c r="G479">
        <f>RFI_Elements!N482</f>
        <v>481</v>
      </c>
      <c r="I479" t="e">
        <f>VLOOKUP(B479,SuiteCatSubElem!$G$2:$G$667,2,0)</f>
        <v>#REF!</v>
      </c>
    </row>
    <row r="480" spans="1:9">
      <c r="A480">
        <f>RFI_Elements!B483</f>
        <v>6</v>
      </c>
      <c r="B480">
        <f>RFI_Elements!C483</f>
        <v>465</v>
      </c>
      <c r="C480">
        <v>482</v>
      </c>
      <c r="D480" s="128">
        <v>43101.003472164353</v>
      </c>
      <c r="E480" t="e">
        <f>VLOOKUP(VLOOKUP(B480,SuiteCatSubElem!$G$2:$G$667,2,0),'SA Q4 18 VR'!$A$33:$O$193,1+MATCH(VLOOKUP(A480,Vendors!$A$2:$B$15,2,0),'SA Q4 18 VR'!$B$24:$O$24,0),0)</f>
        <v>#REF!</v>
      </c>
      <c r="F480" s="27">
        <v>1</v>
      </c>
      <c r="G480">
        <f>RFI_Elements!N483</f>
        <v>482</v>
      </c>
      <c r="I480" t="e">
        <f>VLOOKUP(B480,SuiteCatSubElem!$G$2:$G$667,2,0)</f>
        <v>#REF!</v>
      </c>
    </row>
    <row r="481" spans="1:9">
      <c r="A481">
        <f>RFI_Elements!B484</f>
        <v>6</v>
      </c>
      <c r="B481">
        <f>RFI_Elements!C484</f>
        <v>466</v>
      </c>
      <c r="C481">
        <v>483</v>
      </c>
      <c r="D481" s="128">
        <v>43101.003472164353</v>
      </c>
      <c r="E481" t="e">
        <f>VLOOKUP(VLOOKUP(B481,SuiteCatSubElem!$G$2:$G$667,2,0),'SA Q4 18 VR'!$A$33:$O$193,1+MATCH(VLOOKUP(A481,Vendors!$A$2:$B$15,2,0),'SA Q4 18 VR'!$B$24:$O$24,0),0)</f>
        <v>#REF!</v>
      </c>
      <c r="F481" s="27">
        <v>1</v>
      </c>
      <c r="G481">
        <f>RFI_Elements!N484</f>
        <v>483</v>
      </c>
      <c r="I481" t="e">
        <f>VLOOKUP(B481,SuiteCatSubElem!$G$2:$G$667,2,0)</f>
        <v>#REF!</v>
      </c>
    </row>
    <row r="482" spans="1:9">
      <c r="A482">
        <f>RFI_Elements!B485</f>
        <v>6</v>
      </c>
      <c r="B482">
        <f>RFI_Elements!C485</f>
        <v>467</v>
      </c>
      <c r="C482">
        <v>484</v>
      </c>
      <c r="D482" s="128">
        <v>43101.003472164353</v>
      </c>
      <c r="E482" t="e">
        <f>VLOOKUP(VLOOKUP(B482,SuiteCatSubElem!$G$2:$G$667,2,0),'SA Q4 18 VR'!$A$33:$O$193,1+MATCH(VLOOKUP(A482,Vendors!$A$2:$B$15,2,0),'SA Q4 18 VR'!$B$24:$O$24,0),0)</f>
        <v>#REF!</v>
      </c>
      <c r="F482" s="27">
        <v>1</v>
      </c>
      <c r="G482">
        <f>RFI_Elements!N485</f>
        <v>484</v>
      </c>
      <c r="I482" t="e">
        <f>VLOOKUP(B482,SuiteCatSubElem!$G$2:$G$667,2,0)</f>
        <v>#REF!</v>
      </c>
    </row>
    <row r="483" spans="1:9">
      <c r="A483">
        <f>RFI_Elements!B486</f>
        <v>6</v>
      </c>
      <c r="B483">
        <f>RFI_Elements!C486</f>
        <v>468</v>
      </c>
      <c r="C483">
        <v>485</v>
      </c>
      <c r="D483" s="128">
        <v>43101.003472164353</v>
      </c>
      <c r="E483" t="e">
        <f>VLOOKUP(VLOOKUP(B483,SuiteCatSubElem!$G$2:$G$667,2,0),'SA Q4 18 VR'!$A$33:$O$193,1+MATCH(VLOOKUP(A483,Vendors!$A$2:$B$15,2,0),'SA Q4 18 VR'!$B$24:$O$24,0),0)</f>
        <v>#REF!</v>
      </c>
      <c r="F483" s="27">
        <v>1</v>
      </c>
      <c r="G483">
        <f>RFI_Elements!N486</f>
        <v>485</v>
      </c>
      <c r="I483" t="e">
        <f>VLOOKUP(B483,SuiteCatSubElem!$G$2:$G$667,2,0)</f>
        <v>#REF!</v>
      </c>
    </row>
    <row r="484" spans="1:9">
      <c r="A484">
        <f>RFI_Elements!B487</f>
        <v>6</v>
      </c>
      <c r="B484">
        <f>RFI_Elements!C487</f>
        <v>469</v>
      </c>
      <c r="C484">
        <v>486</v>
      </c>
      <c r="D484" s="128">
        <v>43101.003472164353</v>
      </c>
      <c r="E484" t="e">
        <f>VLOOKUP(VLOOKUP(B484,SuiteCatSubElem!$G$2:$G$667,2,0),'SA Q4 18 VR'!$A$33:$O$193,1+MATCH(VLOOKUP(A484,Vendors!$A$2:$B$15,2,0),'SA Q4 18 VR'!$B$24:$O$24,0),0)</f>
        <v>#REF!</v>
      </c>
      <c r="F484" s="27">
        <v>1</v>
      </c>
      <c r="G484">
        <f>RFI_Elements!N487</f>
        <v>486</v>
      </c>
      <c r="I484" t="e">
        <f>VLOOKUP(B484,SuiteCatSubElem!$G$2:$G$667,2,0)</f>
        <v>#REF!</v>
      </c>
    </row>
    <row r="485" spans="1:9">
      <c r="A485">
        <f>RFI_Elements!B488</f>
        <v>6</v>
      </c>
      <c r="B485">
        <f>RFI_Elements!C488</f>
        <v>470</v>
      </c>
      <c r="C485">
        <v>487</v>
      </c>
      <c r="D485" s="128">
        <v>43101.003472164353</v>
      </c>
      <c r="E485" t="e">
        <f>VLOOKUP(VLOOKUP(B485,SuiteCatSubElem!$G$2:$G$667,2,0),'SA Q4 18 VR'!$A$33:$O$193,1+MATCH(VLOOKUP(A485,Vendors!$A$2:$B$15,2,0),'SA Q4 18 VR'!$B$24:$O$24,0),0)</f>
        <v>#REF!</v>
      </c>
      <c r="F485" s="27">
        <v>1</v>
      </c>
      <c r="G485">
        <f>RFI_Elements!N488</f>
        <v>487</v>
      </c>
      <c r="I485" t="e">
        <f>VLOOKUP(B485,SuiteCatSubElem!$G$2:$G$667,2,0)</f>
        <v>#REF!</v>
      </c>
    </row>
    <row r="486" spans="1:9">
      <c r="A486">
        <f>RFI_Elements!B489</f>
        <v>6</v>
      </c>
      <c r="B486">
        <f>RFI_Elements!C489</f>
        <v>471</v>
      </c>
      <c r="C486">
        <v>488</v>
      </c>
      <c r="D486" s="128">
        <v>43101.003472164353</v>
      </c>
      <c r="E486" t="e">
        <f>VLOOKUP(VLOOKUP(B486,SuiteCatSubElem!$G$2:$G$667,2,0),'SA Q4 18 VR'!$A$33:$O$193,1+MATCH(VLOOKUP(A486,Vendors!$A$2:$B$15,2,0),'SA Q4 18 VR'!$B$24:$O$24,0),0)</f>
        <v>#REF!</v>
      </c>
      <c r="F486" s="27">
        <v>1</v>
      </c>
      <c r="G486">
        <f>RFI_Elements!N489</f>
        <v>488</v>
      </c>
      <c r="I486" t="e">
        <f>VLOOKUP(B486,SuiteCatSubElem!$G$2:$G$667,2,0)</f>
        <v>#REF!</v>
      </c>
    </row>
    <row r="487" spans="1:9">
      <c r="A487">
        <f>RFI_Elements!B490</f>
        <v>6</v>
      </c>
      <c r="B487">
        <f>RFI_Elements!C490</f>
        <v>472</v>
      </c>
      <c r="C487">
        <v>489</v>
      </c>
      <c r="D487" s="128">
        <v>43101.003472164353</v>
      </c>
      <c r="E487" t="e">
        <f>VLOOKUP(VLOOKUP(B487,SuiteCatSubElem!$G$2:$G$667,2,0),'SA Q4 18 VR'!$A$33:$O$193,1+MATCH(VLOOKUP(A487,Vendors!$A$2:$B$15,2,0),'SA Q4 18 VR'!$B$24:$O$24,0),0)</f>
        <v>#REF!</v>
      </c>
      <c r="F487" s="27">
        <v>1</v>
      </c>
      <c r="G487">
        <f>RFI_Elements!N490</f>
        <v>489</v>
      </c>
      <c r="I487" t="e">
        <f>VLOOKUP(B487,SuiteCatSubElem!$G$2:$G$667,2,0)</f>
        <v>#REF!</v>
      </c>
    </row>
    <row r="488" spans="1:9">
      <c r="A488">
        <f>RFI_Elements!B491</f>
        <v>6</v>
      </c>
      <c r="B488">
        <f>RFI_Elements!C491</f>
        <v>473</v>
      </c>
      <c r="C488">
        <v>490</v>
      </c>
      <c r="D488" s="128">
        <v>43101.003472164353</v>
      </c>
      <c r="E488" t="e">
        <f>VLOOKUP(VLOOKUP(B488,SuiteCatSubElem!$G$2:$G$667,2,0),'SA Q4 18 VR'!$A$33:$O$193,1+MATCH(VLOOKUP(A488,Vendors!$A$2:$B$15,2,0),'SA Q4 18 VR'!$B$24:$O$24,0),0)</f>
        <v>#REF!</v>
      </c>
      <c r="F488" s="27">
        <v>1</v>
      </c>
      <c r="G488">
        <f>RFI_Elements!N491</f>
        <v>490</v>
      </c>
      <c r="I488" t="e">
        <f>VLOOKUP(B488,SuiteCatSubElem!$G$2:$G$667,2,0)</f>
        <v>#REF!</v>
      </c>
    </row>
    <row r="489" spans="1:9">
      <c r="A489">
        <f>RFI_Elements!B492</f>
        <v>6</v>
      </c>
      <c r="B489">
        <f>RFI_Elements!C492</f>
        <v>474</v>
      </c>
      <c r="C489">
        <v>491</v>
      </c>
      <c r="D489" s="128">
        <v>43101.003472164353</v>
      </c>
      <c r="E489" t="e">
        <f>VLOOKUP(VLOOKUP(B489,SuiteCatSubElem!$G$2:$G$667,2,0),'SA Q4 18 VR'!$A$33:$O$193,1+MATCH(VLOOKUP(A489,Vendors!$A$2:$B$15,2,0),'SA Q4 18 VR'!$B$24:$O$24,0),0)</f>
        <v>#REF!</v>
      </c>
      <c r="F489" s="27">
        <v>1</v>
      </c>
      <c r="G489">
        <f>RFI_Elements!N492</f>
        <v>491</v>
      </c>
      <c r="I489" t="e">
        <f>VLOOKUP(B489,SuiteCatSubElem!$G$2:$G$667,2,0)</f>
        <v>#REF!</v>
      </c>
    </row>
    <row r="490" spans="1:9">
      <c r="A490">
        <f>RFI_Elements!B493</f>
        <v>6</v>
      </c>
      <c r="B490">
        <f>RFI_Elements!C493</f>
        <v>475</v>
      </c>
      <c r="C490">
        <v>492</v>
      </c>
      <c r="D490" s="128">
        <v>43101.003472164353</v>
      </c>
      <c r="E490" t="e">
        <f>VLOOKUP(VLOOKUP(B490,SuiteCatSubElem!$G$2:$G$667,2,0),'SA Q4 18 VR'!$A$33:$O$193,1+MATCH(VLOOKUP(A490,Vendors!$A$2:$B$15,2,0),'SA Q4 18 VR'!$B$24:$O$24,0),0)</f>
        <v>#REF!</v>
      </c>
      <c r="F490" s="27">
        <v>1</v>
      </c>
      <c r="G490">
        <f>RFI_Elements!N493</f>
        <v>492</v>
      </c>
      <c r="I490" t="e">
        <f>VLOOKUP(B490,SuiteCatSubElem!$G$2:$G$667,2,0)</f>
        <v>#REF!</v>
      </c>
    </row>
    <row r="491" spans="1:9">
      <c r="A491">
        <f>RFI_Elements!B494</f>
        <v>6</v>
      </c>
      <c r="B491">
        <f>RFI_Elements!C494</f>
        <v>476</v>
      </c>
      <c r="C491">
        <v>493</v>
      </c>
      <c r="D491" s="128">
        <v>43101.003472164353</v>
      </c>
      <c r="E491" t="e">
        <f>VLOOKUP(VLOOKUP(B491,SuiteCatSubElem!$G$2:$G$667,2,0),'SA Q4 18 VR'!$A$33:$O$193,1+MATCH(VLOOKUP(A491,Vendors!$A$2:$B$15,2,0),'SA Q4 18 VR'!$B$24:$O$24,0),0)</f>
        <v>#REF!</v>
      </c>
      <c r="F491" s="27">
        <v>1</v>
      </c>
      <c r="G491">
        <f>RFI_Elements!N494</f>
        <v>493</v>
      </c>
      <c r="I491" t="e">
        <f>VLOOKUP(B491,SuiteCatSubElem!$G$2:$G$667,2,0)</f>
        <v>#REF!</v>
      </c>
    </row>
    <row r="492" spans="1:9">
      <c r="A492">
        <f>RFI_Elements!B495</f>
        <v>6</v>
      </c>
      <c r="B492">
        <f>RFI_Elements!C495</f>
        <v>477</v>
      </c>
      <c r="C492">
        <v>494</v>
      </c>
      <c r="D492" s="128">
        <v>43101.003472164353</v>
      </c>
      <c r="E492" t="e">
        <f>VLOOKUP(VLOOKUP(B492,SuiteCatSubElem!$G$2:$G$667,2,0),'SA Q4 18 VR'!$A$33:$O$193,1+MATCH(VLOOKUP(A492,Vendors!$A$2:$B$15,2,0),'SA Q4 18 VR'!$B$24:$O$24,0),0)</f>
        <v>#REF!</v>
      </c>
      <c r="F492" s="27">
        <v>1</v>
      </c>
      <c r="G492">
        <f>RFI_Elements!N495</f>
        <v>494</v>
      </c>
      <c r="I492" t="e">
        <f>VLOOKUP(B492,SuiteCatSubElem!$G$2:$G$667,2,0)</f>
        <v>#REF!</v>
      </c>
    </row>
    <row r="493" spans="1:9">
      <c r="A493">
        <f>RFI_Elements!B496</f>
        <v>6</v>
      </c>
      <c r="B493">
        <f>RFI_Elements!C496</f>
        <v>478</v>
      </c>
      <c r="C493">
        <v>495</v>
      </c>
      <c r="D493" s="128">
        <v>43101.003472164353</v>
      </c>
      <c r="E493" t="e">
        <f>VLOOKUP(VLOOKUP(B493,SuiteCatSubElem!$G$2:$G$667,2,0),'SA Q4 18 VR'!$A$33:$O$193,1+MATCH(VLOOKUP(A493,Vendors!$A$2:$B$15,2,0),'SA Q4 18 VR'!$B$24:$O$24,0),0)</f>
        <v>#REF!</v>
      </c>
      <c r="F493" s="27">
        <v>1</v>
      </c>
      <c r="G493">
        <f>RFI_Elements!N496</f>
        <v>495</v>
      </c>
      <c r="I493" t="e">
        <f>VLOOKUP(B493,SuiteCatSubElem!$G$2:$G$667,2,0)</f>
        <v>#REF!</v>
      </c>
    </row>
    <row r="494" spans="1:9">
      <c r="A494">
        <f>RFI_Elements!B497</f>
        <v>6</v>
      </c>
      <c r="B494">
        <f>RFI_Elements!C497</f>
        <v>479</v>
      </c>
      <c r="C494">
        <v>496</v>
      </c>
      <c r="D494" s="128">
        <v>43101.003472164353</v>
      </c>
      <c r="E494" t="e">
        <f>VLOOKUP(VLOOKUP(B494,SuiteCatSubElem!$G$2:$G$667,2,0),'SA Q4 18 VR'!$A$33:$O$193,1+MATCH(VLOOKUP(A494,Vendors!$A$2:$B$15,2,0),'SA Q4 18 VR'!$B$24:$O$24,0),0)</f>
        <v>#REF!</v>
      </c>
      <c r="F494" s="27">
        <v>1</v>
      </c>
      <c r="G494">
        <f>RFI_Elements!N497</f>
        <v>496</v>
      </c>
      <c r="I494" t="e">
        <f>VLOOKUP(B494,SuiteCatSubElem!$G$2:$G$667,2,0)</f>
        <v>#REF!</v>
      </c>
    </row>
    <row r="495" spans="1:9">
      <c r="A495">
        <f>RFI_Elements!B498</f>
        <v>6</v>
      </c>
      <c r="B495">
        <f>RFI_Elements!C498</f>
        <v>480</v>
      </c>
      <c r="C495">
        <v>497</v>
      </c>
      <c r="D495" s="128">
        <v>43101.003472164353</v>
      </c>
      <c r="E495" t="e">
        <f>VLOOKUP(VLOOKUP(B495,SuiteCatSubElem!$G$2:$G$667,2,0),'SA Q4 18 VR'!$A$33:$O$193,1+MATCH(VLOOKUP(A495,Vendors!$A$2:$B$15,2,0),'SA Q4 18 VR'!$B$24:$O$24,0),0)</f>
        <v>#REF!</v>
      </c>
      <c r="F495" s="27">
        <v>1</v>
      </c>
      <c r="G495">
        <f>RFI_Elements!N498</f>
        <v>497</v>
      </c>
      <c r="I495" t="e">
        <f>VLOOKUP(B495,SuiteCatSubElem!$G$2:$G$667,2,0)</f>
        <v>#REF!</v>
      </c>
    </row>
    <row r="496" spans="1:9">
      <c r="A496">
        <f>RFI_Elements!B499</f>
        <v>6</v>
      </c>
      <c r="B496">
        <f>RFI_Elements!C499</f>
        <v>481</v>
      </c>
      <c r="C496">
        <v>498</v>
      </c>
      <c r="D496" s="128">
        <v>43101.003472164353</v>
      </c>
      <c r="E496" t="e">
        <f>VLOOKUP(VLOOKUP(B496,SuiteCatSubElem!$G$2:$G$667,2,0),'SA Q4 18 VR'!$A$33:$O$193,1+MATCH(VLOOKUP(A496,Vendors!$A$2:$B$15,2,0),'SA Q4 18 VR'!$B$24:$O$24,0),0)</f>
        <v>#REF!</v>
      </c>
      <c r="F496" s="27">
        <v>1</v>
      </c>
      <c r="G496">
        <f>RFI_Elements!N499</f>
        <v>498</v>
      </c>
      <c r="I496" t="e">
        <f>VLOOKUP(B496,SuiteCatSubElem!$G$2:$G$667,2,0)</f>
        <v>#REF!</v>
      </c>
    </row>
    <row r="497" spans="1:9">
      <c r="A497">
        <f>RFI_Elements!B500</f>
        <v>6</v>
      </c>
      <c r="B497">
        <f>RFI_Elements!C500</f>
        <v>482</v>
      </c>
      <c r="C497">
        <v>499</v>
      </c>
      <c r="D497" s="128">
        <v>43101.003472164353</v>
      </c>
      <c r="E497" t="e">
        <f>VLOOKUP(VLOOKUP(B497,SuiteCatSubElem!$G$2:$G$667,2,0),'SA Q4 18 VR'!$A$33:$O$193,1+MATCH(VLOOKUP(A497,Vendors!$A$2:$B$15,2,0),'SA Q4 18 VR'!$B$24:$O$24,0),0)</f>
        <v>#REF!</v>
      </c>
      <c r="F497" s="27">
        <v>1</v>
      </c>
      <c r="G497">
        <f>RFI_Elements!N500</f>
        <v>499</v>
      </c>
      <c r="I497" t="e">
        <f>VLOOKUP(B497,SuiteCatSubElem!$G$2:$G$667,2,0)</f>
        <v>#REF!</v>
      </c>
    </row>
    <row r="498" spans="1:9">
      <c r="A498">
        <f>RFI_Elements!B501</f>
        <v>6</v>
      </c>
      <c r="B498">
        <f>RFI_Elements!C501</f>
        <v>483</v>
      </c>
      <c r="C498">
        <v>500</v>
      </c>
      <c r="D498" s="128">
        <v>43101.003472164353</v>
      </c>
      <c r="E498" t="e">
        <f>VLOOKUP(VLOOKUP(B498,SuiteCatSubElem!$G$2:$G$667,2,0),'SA Q4 18 VR'!$A$33:$O$193,1+MATCH(VLOOKUP(A498,Vendors!$A$2:$B$15,2,0),'SA Q4 18 VR'!$B$24:$O$24,0),0)</f>
        <v>#REF!</v>
      </c>
      <c r="F498" s="27">
        <v>1</v>
      </c>
      <c r="G498">
        <f>RFI_Elements!N501</f>
        <v>500</v>
      </c>
      <c r="I498" t="e">
        <f>VLOOKUP(B498,SuiteCatSubElem!$G$2:$G$667,2,0)</f>
        <v>#REF!</v>
      </c>
    </row>
    <row r="499" spans="1:9">
      <c r="A499">
        <f>RFI_Elements!B502</f>
        <v>6</v>
      </c>
      <c r="B499">
        <f>RFI_Elements!C502</f>
        <v>484</v>
      </c>
      <c r="C499">
        <v>501</v>
      </c>
      <c r="D499" s="128">
        <v>43101.003472164353</v>
      </c>
      <c r="E499" t="e">
        <f>VLOOKUP(VLOOKUP(B499,SuiteCatSubElem!$G$2:$G$667,2,0),'SA Q4 18 VR'!$A$33:$O$193,1+MATCH(VLOOKUP(A499,Vendors!$A$2:$B$15,2,0),'SA Q4 18 VR'!$B$24:$O$24,0),0)</f>
        <v>#REF!</v>
      </c>
      <c r="F499" s="27">
        <v>1</v>
      </c>
      <c r="G499">
        <f>RFI_Elements!N502</f>
        <v>501</v>
      </c>
      <c r="I499" t="e">
        <f>VLOOKUP(B499,SuiteCatSubElem!$G$2:$G$667,2,0)</f>
        <v>#REF!</v>
      </c>
    </row>
    <row r="500" spans="1:9">
      <c r="A500">
        <f>RFI_Elements!B503</f>
        <v>6</v>
      </c>
      <c r="B500">
        <f>RFI_Elements!C503</f>
        <v>485</v>
      </c>
      <c r="C500">
        <v>502</v>
      </c>
      <c r="D500" s="128">
        <v>43101.003472164353</v>
      </c>
      <c r="E500" t="e">
        <f>VLOOKUP(VLOOKUP(B500,SuiteCatSubElem!$G$2:$G$667,2,0),'SA Q4 18 VR'!$A$33:$O$193,1+MATCH(VLOOKUP(A500,Vendors!$A$2:$B$15,2,0),'SA Q4 18 VR'!$B$24:$O$24,0),0)</f>
        <v>#REF!</v>
      </c>
      <c r="F500" s="27">
        <v>1</v>
      </c>
      <c r="G500">
        <f>RFI_Elements!N503</f>
        <v>502</v>
      </c>
      <c r="I500" t="e">
        <f>VLOOKUP(B500,SuiteCatSubElem!$G$2:$G$667,2,0)</f>
        <v>#REF!</v>
      </c>
    </row>
    <row r="501" spans="1:9">
      <c r="A501">
        <f>RFI_Elements!B504</f>
        <v>6</v>
      </c>
      <c r="B501">
        <f>RFI_Elements!C504</f>
        <v>486</v>
      </c>
      <c r="C501">
        <v>503</v>
      </c>
      <c r="D501" s="128">
        <v>43101.003472164353</v>
      </c>
      <c r="E501" t="e">
        <f>VLOOKUP(VLOOKUP(B501,SuiteCatSubElem!$G$2:$G$667,2,0),'SA Q4 18 VR'!$A$33:$O$193,1+MATCH(VLOOKUP(A501,Vendors!$A$2:$B$15,2,0),'SA Q4 18 VR'!$B$24:$O$24,0),0)</f>
        <v>#REF!</v>
      </c>
      <c r="F501" s="27">
        <v>1</v>
      </c>
      <c r="G501">
        <f>RFI_Elements!N504</f>
        <v>503</v>
      </c>
      <c r="I501" t="e">
        <f>VLOOKUP(B501,SuiteCatSubElem!$G$2:$G$667,2,0)</f>
        <v>#REF!</v>
      </c>
    </row>
    <row r="502" spans="1:9">
      <c r="A502">
        <f>RFI_Elements!B505</f>
        <v>6</v>
      </c>
      <c r="B502">
        <f>RFI_Elements!C505</f>
        <v>487</v>
      </c>
      <c r="C502">
        <v>504</v>
      </c>
      <c r="D502" s="128">
        <v>43101.003472164353</v>
      </c>
      <c r="E502" t="e">
        <f>VLOOKUP(VLOOKUP(B502,SuiteCatSubElem!$G$2:$G$667,2,0),'SA Q4 18 VR'!$A$33:$O$193,1+MATCH(VLOOKUP(A502,Vendors!$A$2:$B$15,2,0),'SA Q4 18 VR'!$B$24:$O$24,0),0)</f>
        <v>#REF!</v>
      </c>
      <c r="F502" s="27">
        <v>1</v>
      </c>
      <c r="G502">
        <f>RFI_Elements!N505</f>
        <v>504</v>
      </c>
      <c r="I502" t="e">
        <f>VLOOKUP(B502,SuiteCatSubElem!$G$2:$G$667,2,0)</f>
        <v>#REF!</v>
      </c>
    </row>
    <row r="503" spans="1:9">
      <c r="A503">
        <f>RFI_Elements!B506</f>
        <v>6</v>
      </c>
      <c r="B503">
        <f>RFI_Elements!C506</f>
        <v>488</v>
      </c>
      <c r="C503">
        <v>505</v>
      </c>
      <c r="D503" s="128">
        <v>43101.003472164353</v>
      </c>
      <c r="E503" t="e">
        <f>VLOOKUP(VLOOKUP(B503,SuiteCatSubElem!$G$2:$G$667,2,0),'SA Q4 18 VR'!$A$33:$O$193,1+MATCH(VLOOKUP(A503,Vendors!$A$2:$B$15,2,0),'SA Q4 18 VR'!$B$24:$O$24,0),0)</f>
        <v>#REF!</v>
      </c>
      <c r="F503" s="27">
        <v>1</v>
      </c>
      <c r="G503">
        <f>RFI_Elements!N506</f>
        <v>505</v>
      </c>
      <c r="I503" t="e">
        <f>VLOOKUP(B503,SuiteCatSubElem!$G$2:$G$667,2,0)</f>
        <v>#REF!</v>
      </c>
    </row>
    <row r="504" spans="1:9">
      <c r="A504">
        <f>RFI_Elements!B507</f>
        <v>6</v>
      </c>
      <c r="B504">
        <f>RFI_Elements!C507</f>
        <v>489</v>
      </c>
      <c r="C504">
        <v>506</v>
      </c>
      <c r="D504" s="128">
        <v>43101.003472164353</v>
      </c>
      <c r="E504" t="e">
        <f>VLOOKUP(VLOOKUP(B504,SuiteCatSubElem!$G$2:$G$667,2,0),'SA Q4 18 VR'!$A$33:$O$193,1+MATCH(VLOOKUP(A504,Vendors!$A$2:$B$15,2,0),'SA Q4 18 VR'!$B$24:$O$24,0),0)</f>
        <v>#REF!</v>
      </c>
      <c r="F504" s="27">
        <v>1</v>
      </c>
      <c r="G504">
        <f>RFI_Elements!N507</f>
        <v>506</v>
      </c>
      <c r="I504" t="e">
        <f>VLOOKUP(B504,SuiteCatSubElem!$G$2:$G$667,2,0)</f>
        <v>#REF!</v>
      </c>
    </row>
    <row r="505" spans="1:9">
      <c r="A505">
        <f>RFI_Elements!B508</f>
        <v>6</v>
      </c>
      <c r="B505">
        <f>RFI_Elements!C508</f>
        <v>490</v>
      </c>
      <c r="C505">
        <v>507</v>
      </c>
      <c r="D505" s="128">
        <v>43101.003472164353</v>
      </c>
      <c r="E505" t="e">
        <f>VLOOKUP(VLOOKUP(B505,SuiteCatSubElem!$G$2:$G$667,2,0),'SA Q4 18 VR'!$A$33:$O$193,1+MATCH(VLOOKUP(A505,Vendors!$A$2:$B$15,2,0),'SA Q4 18 VR'!$B$24:$O$24,0),0)</f>
        <v>#REF!</v>
      </c>
      <c r="F505" s="27">
        <v>1</v>
      </c>
      <c r="G505">
        <f>RFI_Elements!N508</f>
        <v>507</v>
      </c>
      <c r="I505" t="e">
        <f>VLOOKUP(B505,SuiteCatSubElem!$G$2:$G$667,2,0)</f>
        <v>#REF!</v>
      </c>
    </row>
    <row r="506" spans="1:9">
      <c r="A506">
        <f>RFI_Elements!B509</f>
        <v>6</v>
      </c>
      <c r="B506">
        <f>RFI_Elements!C509</f>
        <v>491</v>
      </c>
      <c r="C506">
        <v>508</v>
      </c>
      <c r="D506" s="128">
        <v>43101.003472164353</v>
      </c>
      <c r="E506" t="e">
        <f>VLOOKUP(VLOOKUP(B506,SuiteCatSubElem!$G$2:$G$667,2,0),'SA Q4 18 VR'!$A$33:$O$193,1+MATCH(VLOOKUP(A506,Vendors!$A$2:$B$15,2,0),'SA Q4 18 VR'!$B$24:$O$24,0),0)</f>
        <v>#REF!</v>
      </c>
      <c r="F506" s="27">
        <v>1</v>
      </c>
      <c r="G506">
        <f>RFI_Elements!N509</f>
        <v>508</v>
      </c>
      <c r="I506" t="e">
        <f>VLOOKUP(B506,SuiteCatSubElem!$G$2:$G$667,2,0)</f>
        <v>#REF!</v>
      </c>
    </row>
    <row r="507" spans="1:9">
      <c r="A507">
        <f>RFI_Elements!B510</f>
        <v>6</v>
      </c>
      <c r="B507">
        <f>RFI_Elements!C510</f>
        <v>492</v>
      </c>
      <c r="C507">
        <v>509</v>
      </c>
      <c r="D507" s="128">
        <v>43101.003472164353</v>
      </c>
      <c r="E507" t="e">
        <f>VLOOKUP(VLOOKUP(B507,SuiteCatSubElem!$G$2:$G$667,2,0),'SA Q4 18 VR'!$A$33:$O$193,1+MATCH(VLOOKUP(A507,Vendors!$A$2:$B$15,2,0),'SA Q4 18 VR'!$B$24:$O$24,0),0)</f>
        <v>#REF!</v>
      </c>
      <c r="F507" s="27">
        <v>1</v>
      </c>
      <c r="G507">
        <f>RFI_Elements!N510</f>
        <v>509</v>
      </c>
      <c r="I507" t="e">
        <f>VLOOKUP(B507,SuiteCatSubElem!$G$2:$G$667,2,0)</f>
        <v>#REF!</v>
      </c>
    </row>
    <row r="508" spans="1:9">
      <c r="A508">
        <f>RFI_Elements!B511</f>
        <v>6</v>
      </c>
      <c r="B508">
        <f>RFI_Elements!C511</f>
        <v>493</v>
      </c>
      <c r="C508">
        <v>510</v>
      </c>
      <c r="D508" s="128">
        <v>43101.003472164353</v>
      </c>
      <c r="E508" t="e">
        <f>VLOOKUP(VLOOKUP(B508,SuiteCatSubElem!$G$2:$G$667,2,0),'SA Q4 18 VR'!$A$33:$O$193,1+MATCH(VLOOKUP(A508,Vendors!$A$2:$B$15,2,0),'SA Q4 18 VR'!$B$24:$O$24,0),0)</f>
        <v>#REF!</v>
      </c>
      <c r="F508" s="27">
        <v>1</v>
      </c>
      <c r="G508">
        <f>RFI_Elements!N511</f>
        <v>510</v>
      </c>
      <c r="I508" t="e">
        <f>VLOOKUP(B508,SuiteCatSubElem!$G$2:$G$667,2,0)</f>
        <v>#REF!</v>
      </c>
    </row>
    <row r="509" spans="1:9">
      <c r="A509">
        <f>RFI_Elements!B512</f>
        <v>7</v>
      </c>
      <c r="B509">
        <f>RFI_Elements!C512</f>
        <v>409</v>
      </c>
      <c r="C509">
        <v>511</v>
      </c>
      <c r="D509" s="128">
        <v>43101.003472164353</v>
      </c>
      <c r="E509" t="e">
        <f>VLOOKUP(VLOOKUP(B509,SuiteCatSubElem!$G$2:$G$667,2,0),'SA Q4 18 VR'!$A$33:$O$193,1+MATCH(VLOOKUP(A509,Vendors!$A$2:$B$15,2,0),'SA Q4 18 VR'!$B$24:$O$24,0),0)</f>
        <v>#REF!</v>
      </c>
      <c r="F509" s="27">
        <v>1</v>
      </c>
      <c r="G509">
        <f>RFI_Elements!N512</f>
        <v>511</v>
      </c>
      <c r="I509" t="e">
        <f>VLOOKUP(B509,SuiteCatSubElem!$G$2:$G$667,2,0)</f>
        <v>#REF!</v>
      </c>
    </row>
    <row r="510" spans="1:9">
      <c r="A510">
        <f>RFI_Elements!B513</f>
        <v>7</v>
      </c>
      <c r="B510">
        <f>RFI_Elements!C513</f>
        <v>410</v>
      </c>
      <c r="C510">
        <v>512</v>
      </c>
      <c r="D510" s="128">
        <v>43101.003472164353</v>
      </c>
      <c r="E510" t="e">
        <f>VLOOKUP(VLOOKUP(B510,SuiteCatSubElem!$G$2:$G$667,2,0),'SA Q4 18 VR'!$A$33:$O$193,1+MATCH(VLOOKUP(A510,Vendors!$A$2:$B$15,2,0),'SA Q4 18 VR'!$B$24:$O$24,0),0)</f>
        <v>#REF!</v>
      </c>
      <c r="F510" s="27">
        <v>1</v>
      </c>
      <c r="G510">
        <f>RFI_Elements!N513</f>
        <v>512</v>
      </c>
      <c r="I510" t="e">
        <f>VLOOKUP(B510,SuiteCatSubElem!$G$2:$G$667,2,0)</f>
        <v>#REF!</v>
      </c>
    </row>
    <row r="511" spans="1:9">
      <c r="A511">
        <f>RFI_Elements!B514</f>
        <v>7</v>
      </c>
      <c r="B511">
        <f>RFI_Elements!C514</f>
        <v>411</v>
      </c>
      <c r="C511">
        <v>513</v>
      </c>
      <c r="D511" s="128">
        <v>43101.003472164353</v>
      </c>
      <c r="E511" t="e">
        <f>VLOOKUP(VLOOKUP(B511,SuiteCatSubElem!$G$2:$G$667,2,0),'SA Q4 18 VR'!$A$33:$O$193,1+MATCH(VLOOKUP(A511,Vendors!$A$2:$B$15,2,0),'SA Q4 18 VR'!$B$24:$O$24,0),0)</f>
        <v>#REF!</v>
      </c>
      <c r="F511" s="27">
        <v>1</v>
      </c>
      <c r="G511">
        <f>RFI_Elements!N514</f>
        <v>513</v>
      </c>
      <c r="I511" t="e">
        <f>VLOOKUP(B511,SuiteCatSubElem!$G$2:$G$667,2,0)</f>
        <v>#REF!</v>
      </c>
    </row>
    <row r="512" spans="1:9">
      <c r="A512">
        <f>RFI_Elements!B515</f>
        <v>7</v>
      </c>
      <c r="B512">
        <f>RFI_Elements!C515</f>
        <v>412</v>
      </c>
      <c r="C512">
        <v>514</v>
      </c>
      <c r="D512" s="128">
        <v>43101.003472164353</v>
      </c>
      <c r="E512" t="e">
        <f>VLOOKUP(VLOOKUP(B512,SuiteCatSubElem!$G$2:$G$667,2,0),'SA Q4 18 VR'!$A$33:$O$193,1+MATCH(VLOOKUP(A512,Vendors!$A$2:$B$15,2,0),'SA Q4 18 VR'!$B$24:$O$24,0),0)</f>
        <v>#REF!</v>
      </c>
      <c r="F512" s="27">
        <v>1</v>
      </c>
      <c r="G512">
        <f>RFI_Elements!N515</f>
        <v>514</v>
      </c>
      <c r="I512" t="e">
        <f>VLOOKUP(B512,SuiteCatSubElem!$G$2:$G$667,2,0)</f>
        <v>#REF!</v>
      </c>
    </row>
    <row r="513" spans="1:9">
      <c r="A513">
        <f>RFI_Elements!B516</f>
        <v>7</v>
      </c>
      <c r="B513">
        <f>RFI_Elements!C516</f>
        <v>413</v>
      </c>
      <c r="C513">
        <v>515</v>
      </c>
      <c r="D513" s="128">
        <v>43101.003472164353</v>
      </c>
      <c r="E513" t="e">
        <f>VLOOKUP(VLOOKUP(B513,SuiteCatSubElem!$G$2:$G$667,2,0),'SA Q4 18 VR'!$A$33:$O$193,1+MATCH(VLOOKUP(A513,Vendors!$A$2:$B$15,2,0),'SA Q4 18 VR'!$B$24:$O$24,0),0)</f>
        <v>#REF!</v>
      </c>
      <c r="F513" s="27">
        <v>1</v>
      </c>
      <c r="G513">
        <f>RFI_Elements!N516</f>
        <v>515</v>
      </c>
      <c r="I513" t="e">
        <f>VLOOKUP(B513,SuiteCatSubElem!$G$2:$G$667,2,0)</f>
        <v>#REF!</v>
      </c>
    </row>
    <row r="514" spans="1:9">
      <c r="A514">
        <f>RFI_Elements!B517</f>
        <v>7</v>
      </c>
      <c r="B514">
        <f>RFI_Elements!C517</f>
        <v>414</v>
      </c>
      <c r="C514">
        <v>516</v>
      </c>
      <c r="D514" s="128">
        <v>43101.003472164353</v>
      </c>
      <c r="E514" t="e">
        <f>VLOOKUP(VLOOKUP(B514,SuiteCatSubElem!$G$2:$G$667,2,0),'SA Q4 18 VR'!$A$33:$O$193,1+MATCH(VLOOKUP(A514,Vendors!$A$2:$B$15,2,0),'SA Q4 18 VR'!$B$24:$O$24,0),0)</f>
        <v>#REF!</v>
      </c>
      <c r="F514" s="27">
        <v>1</v>
      </c>
      <c r="G514">
        <f>RFI_Elements!N517</f>
        <v>516</v>
      </c>
      <c r="I514" t="e">
        <f>VLOOKUP(B514,SuiteCatSubElem!$G$2:$G$667,2,0)</f>
        <v>#REF!</v>
      </c>
    </row>
    <row r="515" spans="1:9">
      <c r="A515">
        <f>RFI_Elements!B518</f>
        <v>7</v>
      </c>
      <c r="B515">
        <f>RFI_Elements!C518</f>
        <v>415</v>
      </c>
      <c r="C515">
        <v>517</v>
      </c>
      <c r="D515" s="128">
        <v>43101.003472164353</v>
      </c>
      <c r="E515" t="e">
        <f>VLOOKUP(VLOOKUP(B515,SuiteCatSubElem!$G$2:$G$667,2,0),'SA Q4 18 VR'!$A$33:$O$193,1+MATCH(VLOOKUP(A515,Vendors!$A$2:$B$15,2,0),'SA Q4 18 VR'!$B$24:$O$24,0),0)</f>
        <v>#REF!</v>
      </c>
      <c r="F515" s="27">
        <v>1</v>
      </c>
      <c r="G515">
        <f>RFI_Elements!N518</f>
        <v>517</v>
      </c>
      <c r="I515" t="e">
        <f>VLOOKUP(B515,SuiteCatSubElem!$G$2:$G$667,2,0)</f>
        <v>#REF!</v>
      </c>
    </row>
    <row r="516" spans="1:9">
      <c r="A516">
        <f>RFI_Elements!B519</f>
        <v>7</v>
      </c>
      <c r="B516">
        <f>RFI_Elements!C519</f>
        <v>416</v>
      </c>
      <c r="C516">
        <v>518</v>
      </c>
      <c r="D516" s="128">
        <v>43101.003472164353</v>
      </c>
      <c r="E516" t="e">
        <f>VLOOKUP(VLOOKUP(B516,SuiteCatSubElem!$G$2:$G$667,2,0),'SA Q4 18 VR'!$A$33:$O$193,1+MATCH(VLOOKUP(A516,Vendors!$A$2:$B$15,2,0),'SA Q4 18 VR'!$B$24:$O$24,0),0)</f>
        <v>#REF!</v>
      </c>
      <c r="F516" s="27">
        <v>1</v>
      </c>
      <c r="G516">
        <f>RFI_Elements!N519</f>
        <v>518</v>
      </c>
      <c r="I516" t="e">
        <f>VLOOKUP(B516,SuiteCatSubElem!$G$2:$G$667,2,0)</f>
        <v>#REF!</v>
      </c>
    </row>
    <row r="517" spans="1:9">
      <c r="A517">
        <f>RFI_Elements!B520</f>
        <v>7</v>
      </c>
      <c r="B517">
        <f>RFI_Elements!C520</f>
        <v>417</v>
      </c>
      <c r="C517">
        <v>519</v>
      </c>
      <c r="D517" s="128">
        <v>43101.003472164353</v>
      </c>
      <c r="E517" t="e">
        <f>VLOOKUP(VLOOKUP(B517,SuiteCatSubElem!$G$2:$G$667,2,0),'SA Q4 18 VR'!$A$33:$O$193,1+MATCH(VLOOKUP(A517,Vendors!$A$2:$B$15,2,0),'SA Q4 18 VR'!$B$24:$O$24,0),0)</f>
        <v>#REF!</v>
      </c>
      <c r="F517" s="27">
        <v>1</v>
      </c>
      <c r="G517">
        <f>RFI_Elements!N520</f>
        <v>519</v>
      </c>
      <c r="I517" t="e">
        <f>VLOOKUP(B517,SuiteCatSubElem!$G$2:$G$667,2,0)</f>
        <v>#REF!</v>
      </c>
    </row>
    <row r="518" spans="1:9">
      <c r="A518">
        <f>RFI_Elements!B521</f>
        <v>7</v>
      </c>
      <c r="B518">
        <f>RFI_Elements!C521</f>
        <v>418</v>
      </c>
      <c r="C518">
        <v>520</v>
      </c>
      <c r="D518" s="128">
        <v>43101.003472164353</v>
      </c>
      <c r="E518" t="e">
        <f>VLOOKUP(VLOOKUP(B518,SuiteCatSubElem!$G$2:$G$667,2,0),'SA Q4 18 VR'!$A$33:$O$193,1+MATCH(VLOOKUP(A518,Vendors!$A$2:$B$15,2,0),'SA Q4 18 VR'!$B$24:$O$24,0),0)</f>
        <v>#REF!</v>
      </c>
      <c r="F518" s="27">
        <v>1</v>
      </c>
      <c r="G518">
        <f>RFI_Elements!N521</f>
        <v>520</v>
      </c>
      <c r="I518" t="e">
        <f>VLOOKUP(B518,SuiteCatSubElem!$G$2:$G$667,2,0)</f>
        <v>#REF!</v>
      </c>
    </row>
    <row r="519" spans="1:9">
      <c r="A519">
        <f>RFI_Elements!B522</f>
        <v>7</v>
      </c>
      <c r="B519">
        <f>RFI_Elements!C522</f>
        <v>419</v>
      </c>
      <c r="C519">
        <v>521</v>
      </c>
      <c r="D519" s="128">
        <v>43101.003472164353</v>
      </c>
      <c r="E519" t="e">
        <f>VLOOKUP(VLOOKUP(B519,SuiteCatSubElem!$G$2:$G$667,2,0),'SA Q4 18 VR'!$A$33:$O$193,1+MATCH(VLOOKUP(A519,Vendors!$A$2:$B$15,2,0),'SA Q4 18 VR'!$B$24:$O$24,0),0)</f>
        <v>#REF!</v>
      </c>
      <c r="F519" s="27">
        <v>1</v>
      </c>
      <c r="G519">
        <f>RFI_Elements!N522</f>
        <v>521</v>
      </c>
      <c r="I519" t="e">
        <f>VLOOKUP(B519,SuiteCatSubElem!$G$2:$G$667,2,0)</f>
        <v>#REF!</v>
      </c>
    </row>
    <row r="520" spans="1:9">
      <c r="A520">
        <f>RFI_Elements!B523</f>
        <v>7</v>
      </c>
      <c r="B520">
        <f>RFI_Elements!C523</f>
        <v>420</v>
      </c>
      <c r="C520">
        <v>522</v>
      </c>
      <c r="D520" s="128">
        <v>43101.003472164353</v>
      </c>
      <c r="E520" t="e">
        <f>VLOOKUP(VLOOKUP(B520,SuiteCatSubElem!$G$2:$G$667,2,0),'SA Q4 18 VR'!$A$33:$O$193,1+MATCH(VLOOKUP(A520,Vendors!$A$2:$B$15,2,0),'SA Q4 18 VR'!$B$24:$O$24,0),0)</f>
        <v>#REF!</v>
      </c>
      <c r="F520" s="27">
        <v>1</v>
      </c>
      <c r="G520">
        <f>RFI_Elements!N523</f>
        <v>522</v>
      </c>
      <c r="I520" t="e">
        <f>VLOOKUP(B520,SuiteCatSubElem!$G$2:$G$667,2,0)</f>
        <v>#REF!</v>
      </c>
    </row>
    <row r="521" spans="1:9">
      <c r="A521">
        <f>RFI_Elements!B524</f>
        <v>7</v>
      </c>
      <c r="B521">
        <f>RFI_Elements!C524</f>
        <v>421</v>
      </c>
      <c r="C521">
        <v>523</v>
      </c>
      <c r="D521" s="128">
        <v>43101.003472164353</v>
      </c>
      <c r="E521" t="e">
        <f>VLOOKUP(VLOOKUP(B521,SuiteCatSubElem!$G$2:$G$667,2,0),'SA Q4 18 VR'!$A$33:$O$193,1+MATCH(VLOOKUP(A521,Vendors!$A$2:$B$15,2,0),'SA Q4 18 VR'!$B$24:$O$24,0),0)</f>
        <v>#REF!</v>
      </c>
      <c r="F521" s="27">
        <v>1</v>
      </c>
      <c r="G521">
        <f>RFI_Elements!N524</f>
        <v>523</v>
      </c>
      <c r="I521" t="e">
        <f>VLOOKUP(B521,SuiteCatSubElem!$G$2:$G$667,2,0)</f>
        <v>#REF!</v>
      </c>
    </row>
    <row r="522" spans="1:9">
      <c r="A522">
        <f>RFI_Elements!B525</f>
        <v>7</v>
      </c>
      <c r="B522">
        <f>RFI_Elements!C525</f>
        <v>422</v>
      </c>
      <c r="C522">
        <v>524</v>
      </c>
      <c r="D522" s="128">
        <v>43101.003472164353</v>
      </c>
      <c r="E522" t="e">
        <f>VLOOKUP(VLOOKUP(B522,SuiteCatSubElem!$G$2:$G$667,2,0),'SA Q4 18 VR'!$A$33:$O$193,1+MATCH(VLOOKUP(A522,Vendors!$A$2:$B$15,2,0),'SA Q4 18 VR'!$B$24:$O$24,0),0)</f>
        <v>#REF!</v>
      </c>
      <c r="F522" s="27">
        <v>1</v>
      </c>
      <c r="G522">
        <f>RFI_Elements!N525</f>
        <v>524</v>
      </c>
      <c r="I522" t="e">
        <f>VLOOKUP(B522,SuiteCatSubElem!$G$2:$G$667,2,0)</f>
        <v>#REF!</v>
      </c>
    </row>
    <row r="523" spans="1:9">
      <c r="A523">
        <f>RFI_Elements!B526</f>
        <v>7</v>
      </c>
      <c r="B523">
        <f>RFI_Elements!C526</f>
        <v>423</v>
      </c>
      <c r="C523">
        <v>525</v>
      </c>
      <c r="D523" s="128">
        <v>43101.003472164353</v>
      </c>
      <c r="E523" t="e">
        <f>VLOOKUP(VLOOKUP(B523,SuiteCatSubElem!$G$2:$G$667,2,0),'SA Q4 18 VR'!$A$33:$O$193,1+MATCH(VLOOKUP(A523,Vendors!$A$2:$B$15,2,0),'SA Q4 18 VR'!$B$24:$O$24,0),0)</f>
        <v>#REF!</v>
      </c>
      <c r="F523" s="27">
        <v>1</v>
      </c>
      <c r="G523">
        <f>RFI_Elements!N526</f>
        <v>525</v>
      </c>
      <c r="I523" t="e">
        <f>VLOOKUP(B523,SuiteCatSubElem!$G$2:$G$667,2,0)</f>
        <v>#REF!</v>
      </c>
    </row>
    <row r="524" spans="1:9">
      <c r="A524">
        <f>RFI_Elements!B527</f>
        <v>7</v>
      </c>
      <c r="B524">
        <f>RFI_Elements!C527</f>
        <v>424</v>
      </c>
      <c r="C524">
        <v>526</v>
      </c>
      <c r="D524" s="128">
        <v>43101.003472164353</v>
      </c>
      <c r="E524" t="e">
        <f>VLOOKUP(VLOOKUP(B524,SuiteCatSubElem!$G$2:$G$667,2,0),'SA Q4 18 VR'!$A$33:$O$193,1+MATCH(VLOOKUP(A524,Vendors!$A$2:$B$15,2,0),'SA Q4 18 VR'!$B$24:$O$24,0),0)</f>
        <v>#REF!</v>
      </c>
      <c r="F524" s="27">
        <v>1</v>
      </c>
      <c r="G524">
        <f>RFI_Elements!N527</f>
        <v>526</v>
      </c>
      <c r="I524" t="e">
        <f>VLOOKUP(B524,SuiteCatSubElem!$G$2:$G$667,2,0)</f>
        <v>#REF!</v>
      </c>
    </row>
    <row r="525" spans="1:9">
      <c r="A525">
        <f>RFI_Elements!B528</f>
        <v>7</v>
      </c>
      <c r="B525">
        <f>RFI_Elements!C528</f>
        <v>425</v>
      </c>
      <c r="C525">
        <v>527</v>
      </c>
      <c r="D525" s="128">
        <v>43101.003472164353</v>
      </c>
      <c r="E525" t="e">
        <f>VLOOKUP(VLOOKUP(B525,SuiteCatSubElem!$G$2:$G$667,2,0),'SA Q4 18 VR'!$A$33:$O$193,1+MATCH(VLOOKUP(A525,Vendors!$A$2:$B$15,2,0),'SA Q4 18 VR'!$B$24:$O$24,0),0)</f>
        <v>#REF!</v>
      </c>
      <c r="F525" s="27">
        <v>1</v>
      </c>
      <c r="G525">
        <f>RFI_Elements!N528</f>
        <v>527</v>
      </c>
      <c r="I525" t="e">
        <f>VLOOKUP(B525,SuiteCatSubElem!$G$2:$G$667,2,0)</f>
        <v>#REF!</v>
      </c>
    </row>
    <row r="526" spans="1:9">
      <c r="A526">
        <f>RFI_Elements!B529</f>
        <v>7</v>
      </c>
      <c r="B526">
        <f>RFI_Elements!C529</f>
        <v>426</v>
      </c>
      <c r="C526">
        <v>528</v>
      </c>
      <c r="D526" s="128">
        <v>43101.003472164353</v>
      </c>
      <c r="E526" t="e">
        <f>VLOOKUP(VLOOKUP(B526,SuiteCatSubElem!$G$2:$G$667,2,0),'SA Q4 18 VR'!$A$33:$O$193,1+MATCH(VLOOKUP(A526,Vendors!$A$2:$B$15,2,0),'SA Q4 18 VR'!$B$24:$O$24,0),0)</f>
        <v>#REF!</v>
      </c>
      <c r="F526" s="27">
        <v>1</v>
      </c>
      <c r="G526">
        <f>RFI_Elements!N529</f>
        <v>528</v>
      </c>
      <c r="I526" t="e">
        <f>VLOOKUP(B526,SuiteCatSubElem!$G$2:$G$667,2,0)</f>
        <v>#REF!</v>
      </c>
    </row>
    <row r="527" spans="1:9">
      <c r="A527">
        <f>RFI_Elements!B530</f>
        <v>7</v>
      </c>
      <c r="B527">
        <f>RFI_Elements!C530</f>
        <v>427</v>
      </c>
      <c r="C527">
        <v>529</v>
      </c>
      <c r="D527" s="128">
        <v>43101.003472164353</v>
      </c>
      <c r="E527" t="e">
        <f>VLOOKUP(VLOOKUP(B527,SuiteCatSubElem!$G$2:$G$667,2,0),'SA Q4 18 VR'!$A$33:$O$193,1+MATCH(VLOOKUP(A527,Vendors!$A$2:$B$15,2,0),'SA Q4 18 VR'!$B$24:$O$24,0),0)</f>
        <v>#REF!</v>
      </c>
      <c r="F527" s="27">
        <v>1</v>
      </c>
      <c r="G527">
        <f>RFI_Elements!N530</f>
        <v>529</v>
      </c>
      <c r="I527" t="e">
        <f>VLOOKUP(B527,SuiteCatSubElem!$G$2:$G$667,2,0)</f>
        <v>#REF!</v>
      </c>
    </row>
    <row r="528" spans="1:9">
      <c r="A528">
        <f>RFI_Elements!B531</f>
        <v>7</v>
      </c>
      <c r="B528">
        <f>RFI_Elements!C531</f>
        <v>428</v>
      </c>
      <c r="C528">
        <v>530</v>
      </c>
      <c r="D528" s="128">
        <v>43101.003472164353</v>
      </c>
      <c r="E528" t="e">
        <f>VLOOKUP(VLOOKUP(B528,SuiteCatSubElem!$G$2:$G$667,2,0),'SA Q4 18 VR'!$A$33:$O$193,1+MATCH(VLOOKUP(A528,Vendors!$A$2:$B$15,2,0),'SA Q4 18 VR'!$B$24:$O$24,0),0)</f>
        <v>#REF!</v>
      </c>
      <c r="F528" s="27">
        <v>1</v>
      </c>
      <c r="G528">
        <f>RFI_Elements!N531</f>
        <v>530</v>
      </c>
      <c r="I528" t="e">
        <f>VLOOKUP(B528,SuiteCatSubElem!$G$2:$G$667,2,0)</f>
        <v>#REF!</v>
      </c>
    </row>
    <row r="529" spans="1:9">
      <c r="A529">
        <f>RFI_Elements!B532</f>
        <v>7</v>
      </c>
      <c r="B529">
        <f>RFI_Elements!C532</f>
        <v>429</v>
      </c>
      <c r="C529">
        <v>531</v>
      </c>
      <c r="D529" s="128">
        <v>43101.003472164353</v>
      </c>
      <c r="E529" t="e">
        <f>VLOOKUP(VLOOKUP(B529,SuiteCatSubElem!$G$2:$G$667,2,0),'SA Q4 18 VR'!$A$33:$O$193,1+MATCH(VLOOKUP(A529,Vendors!$A$2:$B$15,2,0),'SA Q4 18 VR'!$B$24:$O$24,0),0)</f>
        <v>#REF!</v>
      </c>
      <c r="F529" s="27">
        <v>1</v>
      </c>
      <c r="G529">
        <f>RFI_Elements!N532</f>
        <v>531</v>
      </c>
      <c r="I529" t="e">
        <f>VLOOKUP(B529,SuiteCatSubElem!$G$2:$G$667,2,0)</f>
        <v>#REF!</v>
      </c>
    </row>
    <row r="530" spans="1:9">
      <c r="A530">
        <f>RFI_Elements!B533</f>
        <v>7</v>
      </c>
      <c r="B530">
        <f>RFI_Elements!C533</f>
        <v>430</v>
      </c>
      <c r="C530">
        <v>532</v>
      </c>
      <c r="D530" s="128">
        <v>43101.003472164353</v>
      </c>
      <c r="E530" t="e">
        <f>VLOOKUP(VLOOKUP(B530,SuiteCatSubElem!$G$2:$G$667,2,0),'SA Q4 18 VR'!$A$33:$O$193,1+MATCH(VLOOKUP(A530,Vendors!$A$2:$B$15,2,0),'SA Q4 18 VR'!$B$24:$O$24,0),0)</f>
        <v>#REF!</v>
      </c>
      <c r="F530" s="27">
        <v>1</v>
      </c>
      <c r="G530">
        <f>RFI_Elements!N533</f>
        <v>532</v>
      </c>
      <c r="I530" t="e">
        <f>VLOOKUP(B530,SuiteCatSubElem!$G$2:$G$667,2,0)</f>
        <v>#REF!</v>
      </c>
    </row>
    <row r="531" spans="1:9">
      <c r="A531">
        <f>RFI_Elements!B534</f>
        <v>7</v>
      </c>
      <c r="B531">
        <f>RFI_Elements!C534</f>
        <v>431</v>
      </c>
      <c r="C531">
        <v>533</v>
      </c>
      <c r="D531" s="128">
        <v>43101.003472164353</v>
      </c>
      <c r="E531" t="e">
        <f>VLOOKUP(VLOOKUP(B531,SuiteCatSubElem!$G$2:$G$667,2,0),'SA Q4 18 VR'!$A$33:$O$193,1+MATCH(VLOOKUP(A531,Vendors!$A$2:$B$15,2,0),'SA Q4 18 VR'!$B$24:$O$24,0),0)</f>
        <v>#REF!</v>
      </c>
      <c r="F531" s="27">
        <v>1</v>
      </c>
      <c r="G531">
        <f>RFI_Elements!N534</f>
        <v>533</v>
      </c>
      <c r="I531" t="e">
        <f>VLOOKUP(B531,SuiteCatSubElem!$G$2:$G$667,2,0)</f>
        <v>#REF!</v>
      </c>
    </row>
    <row r="532" spans="1:9">
      <c r="A532">
        <f>RFI_Elements!B535</f>
        <v>7</v>
      </c>
      <c r="B532">
        <f>RFI_Elements!C535</f>
        <v>432</v>
      </c>
      <c r="C532">
        <v>534</v>
      </c>
      <c r="D532" s="128">
        <v>43101.003472164353</v>
      </c>
      <c r="E532" t="e">
        <f>VLOOKUP(VLOOKUP(B532,SuiteCatSubElem!$G$2:$G$667,2,0),'SA Q4 18 VR'!$A$33:$O$193,1+MATCH(VLOOKUP(A532,Vendors!$A$2:$B$15,2,0),'SA Q4 18 VR'!$B$24:$O$24,0),0)</f>
        <v>#REF!</v>
      </c>
      <c r="F532" s="27">
        <v>1</v>
      </c>
      <c r="G532">
        <f>RFI_Elements!N535</f>
        <v>534</v>
      </c>
      <c r="I532" t="e">
        <f>VLOOKUP(B532,SuiteCatSubElem!$G$2:$G$667,2,0)</f>
        <v>#REF!</v>
      </c>
    </row>
    <row r="533" spans="1:9">
      <c r="A533">
        <f>RFI_Elements!B536</f>
        <v>7</v>
      </c>
      <c r="B533">
        <f>RFI_Elements!C536</f>
        <v>433</v>
      </c>
      <c r="C533">
        <v>535</v>
      </c>
      <c r="D533" s="128">
        <v>43101.003472164353</v>
      </c>
      <c r="E533" t="e">
        <f>VLOOKUP(VLOOKUP(B533,SuiteCatSubElem!$G$2:$G$667,2,0),'SA Q4 18 VR'!$A$33:$O$193,1+MATCH(VLOOKUP(A533,Vendors!$A$2:$B$15,2,0),'SA Q4 18 VR'!$B$24:$O$24,0),0)</f>
        <v>#REF!</v>
      </c>
      <c r="F533" s="27">
        <v>1</v>
      </c>
      <c r="G533">
        <f>RFI_Elements!N536</f>
        <v>535</v>
      </c>
      <c r="I533" t="e">
        <f>VLOOKUP(B533,SuiteCatSubElem!$G$2:$G$667,2,0)</f>
        <v>#REF!</v>
      </c>
    </row>
    <row r="534" spans="1:9">
      <c r="A534">
        <f>RFI_Elements!B537</f>
        <v>7</v>
      </c>
      <c r="B534">
        <f>RFI_Elements!C537</f>
        <v>434</v>
      </c>
      <c r="C534">
        <v>536</v>
      </c>
      <c r="D534" s="128">
        <v>43101.003472164353</v>
      </c>
      <c r="E534" t="e">
        <f>VLOOKUP(VLOOKUP(B534,SuiteCatSubElem!$G$2:$G$667,2,0),'SA Q4 18 VR'!$A$33:$O$193,1+MATCH(VLOOKUP(A534,Vendors!$A$2:$B$15,2,0),'SA Q4 18 VR'!$B$24:$O$24,0),0)</f>
        <v>#REF!</v>
      </c>
      <c r="F534" s="27">
        <v>1</v>
      </c>
      <c r="G534">
        <f>RFI_Elements!N537</f>
        <v>536</v>
      </c>
      <c r="I534" t="e">
        <f>VLOOKUP(B534,SuiteCatSubElem!$G$2:$G$667,2,0)</f>
        <v>#REF!</v>
      </c>
    </row>
    <row r="535" spans="1:9">
      <c r="A535">
        <f>RFI_Elements!B538</f>
        <v>7</v>
      </c>
      <c r="B535">
        <f>RFI_Elements!C538</f>
        <v>435</v>
      </c>
      <c r="C535">
        <v>537</v>
      </c>
      <c r="D535" s="128">
        <v>43101.003472164353</v>
      </c>
      <c r="E535" t="e">
        <f>VLOOKUP(VLOOKUP(B535,SuiteCatSubElem!$G$2:$G$667,2,0),'SA Q4 18 VR'!$A$33:$O$193,1+MATCH(VLOOKUP(A535,Vendors!$A$2:$B$15,2,0),'SA Q4 18 VR'!$B$24:$O$24,0),0)</f>
        <v>#REF!</v>
      </c>
      <c r="F535" s="27">
        <v>1</v>
      </c>
      <c r="G535">
        <f>RFI_Elements!N538</f>
        <v>537</v>
      </c>
      <c r="I535" t="e">
        <f>VLOOKUP(B535,SuiteCatSubElem!$G$2:$G$667,2,0)</f>
        <v>#REF!</v>
      </c>
    </row>
    <row r="536" spans="1:9">
      <c r="A536">
        <f>RFI_Elements!B539</f>
        <v>7</v>
      </c>
      <c r="B536">
        <f>RFI_Elements!C539</f>
        <v>436</v>
      </c>
      <c r="C536">
        <v>538</v>
      </c>
      <c r="D536" s="128">
        <v>43101.003472164353</v>
      </c>
      <c r="E536" t="e">
        <f>VLOOKUP(VLOOKUP(B536,SuiteCatSubElem!$G$2:$G$667,2,0),'SA Q4 18 VR'!$A$33:$O$193,1+MATCH(VLOOKUP(A536,Vendors!$A$2:$B$15,2,0),'SA Q4 18 VR'!$B$24:$O$24,0),0)</f>
        <v>#REF!</v>
      </c>
      <c r="F536" s="27">
        <v>1</v>
      </c>
      <c r="G536">
        <f>RFI_Elements!N539</f>
        <v>538</v>
      </c>
      <c r="I536" t="e">
        <f>VLOOKUP(B536,SuiteCatSubElem!$G$2:$G$667,2,0)</f>
        <v>#REF!</v>
      </c>
    </row>
    <row r="537" spans="1:9">
      <c r="A537">
        <f>RFI_Elements!B540</f>
        <v>7</v>
      </c>
      <c r="B537">
        <f>RFI_Elements!C540</f>
        <v>437</v>
      </c>
      <c r="C537">
        <v>539</v>
      </c>
      <c r="D537" s="128">
        <v>43101.003472164353</v>
      </c>
      <c r="E537" t="e">
        <f>VLOOKUP(VLOOKUP(B537,SuiteCatSubElem!$G$2:$G$667,2,0),'SA Q4 18 VR'!$A$33:$O$193,1+MATCH(VLOOKUP(A537,Vendors!$A$2:$B$15,2,0),'SA Q4 18 VR'!$B$24:$O$24,0),0)</f>
        <v>#REF!</v>
      </c>
      <c r="F537" s="27">
        <v>1</v>
      </c>
      <c r="G537">
        <f>RFI_Elements!N540</f>
        <v>539</v>
      </c>
      <c r="I537" t="e">
        <f>VLOOKUP(B537,SuiteCatSubElem!$G$2:$G$667,2,0)</f>
        <v>#REF!</v>
      </c>
    </row>
    <row r="538" spans="1:9">
      <c r="A538">
        <f>RFI_Elements!B541</f>
        <v>7</v>
      </c>
      <c r="B538">
        <f>RFI_Elements!C541</f>
        <v>438</v>
      </c>
      <c r="C538">
        <v>540</v>
      </c>
      <c r="D538" s="128">
        <v>43101.003472164353</v>
      </c>
      <c r="E538" t="e">
        <f>VLOOKUP(VLOOKUP(B538,SuiteCatSubElem!$G$2:$G$667,2,0),'SA Q4 18 VR'!$A$33:$O$193,1+MATCH(VLOOKUP(A538,Vendors!$A$2:$B$15,2,0),'SA Q4 18 VR'!$B$24:$O$24,0),0)</f>
        <v>#REF!</v>
      </c>
      <c r="F538" s="27">
        <v>1</v>
      </c>
      <c r="G538">
        <f>RFI_Elements!N541</f>
        <v>540</v>
      </c>
      <c r="I538" t="e">
        <f>VLOOKUP(B538,SuiteCatSubElem!$G$2:$G$667,2,0)</f>
        <v>#REF!</v>
      </c>
    </row>
    <row r="539" spans="1:9">
      <c r="A539">
        <f>RFI_Elements!B542</f>
        <v>7</v>
      </c>
      <c r="B539">
        <f>RFI_Elements!C542</f>
        <v>439</v>
      </c>
      <c r="C539">
        <v>541</v>
      </c>
      <c r="D539" s="128">
        <v>43101.003472164353</v>
      </c>
      <c r="E539" t="e">
        <f>VLOOKUP(VLOOKUP(B539,SuiteCatSubElem!$G$2:$G$667,2,0),'SA Q4 18 VR'!$A$33:$O$193,1+MATCH(VLOOKUP(A539,Vendors!$A$2:$B$15,2,0),'SA Q4 18 VR'!$B$24:$O$24,0),0)</f>
        <v>#REF!</v>
      </c>
      <c r="F539" s="27">
        <v>1</v>
      </c>
      <c r="G539">
        <f>RFI_Elements!N542</f>
        <v>541</v>
      </c>
      <c r="I539" t="e">
        <f>VLOOKUP(B539,SuiteCatSubElem!$G$2:$G$667,2,0)</f>
        <v>#REF!</v>
      </c>
    </row>
    <row r="540" spans="1:9">
      <c r="A540">
        <f>RFI_Elements!B543</f>
        <v>7</v>
      </c>
      <c r="B540">
        <f>RFI_Elements!C543</f>
        <v>440</v>
      </c>
      <c r="C540">
        <v>542</v>
      </c>
      <c r="D540" s="128">
        <v>43101.003472164353</v>
      </c>
      <c r="E540" t="e">
        <f>VLOOKUP(VLOOKUP(B540,SuiteCatSubElem!$G$2:$G$667,2,0),'SA Q4 18 VR'!$A$33:$O$193,1+MATCH(VLOOKUP(A540,Vendors!$A$2:$B$15,2,0),'SA Q4 18 VR'!$B$24:$O$24,0),0)</f>
        <v>#REF!</v>
      </c>
      <c r="F540" s="27">
        <v>1</v>
      </c>
      <c r="G540">
        <f>RFI_Elements!N543</f>
        <v>542</v>
      </c>
      <c r="I540" t="e">
        <f>VLOOKUP(B540,SuiteCatSubElem!$G$2:$G$667,2,0)</f>
        <v>#REF!</v>
      </c>
    </row>
    <row r="541" spans="1:9">
      <c r="A541">
        <f>RFI_Elements!B544</f>
        <v>7</v>
      </c>
      <c r="B541">
        <f>RFI_Elements!C544</f>
        <v>441</v>
      </c>
      <c r="C541">
        <v>543</v>
      </c>
      <c r="D541" s="128">
        <v>43101.003472164353</v>
      </c>
      <c r="E541" t="e">
        <f>VLOOKUP(VLOOKUP(B541,SuiteCatSubElem!$G$2:$G$667,2,0),'SA Q4 18 VR'!$A$33:$O$193,1+MATCH(VLOOKUP(A541,Vendors!$A$2:$B$15,2,0),'SA Q4 18 VR'!$B$24:$O$24,0),0)</f>
        <v>#REF!</v>
      </c>
      <c r="F541" s="27">
        <v>1</v>
      </c>
      <c r="G541">
        <f>RFI_Elements!N544</f>
        <v>543</v>
      </c>
      <c r="I541" t="e">
        <f>VLOOKUP(B541,SuiteCatSubElem!$G$2:$G$667,2,0)</f>
        <v>#REF!</v>
      </c>
    </row>
    <row r="542" spans="1:9">
      <c r="A542">
        <f>RFI_Elements!B545</f>
        <v>7</v>
      </c>
      <c r="B542">
        <f>RFI_Elements!C545</f>
        <v>442</v>
      </c>
      <c r="C542">
        <v>544</v>
      </c>
      <c r="D542" s="128">
        <v>43101.003472164353</v>
      </c>
      <c r="E542" t="e">
        <f>VLOOKUP(VLOOKUP(B542,SuiteCatSubElem!$G$2:$G$667,2,0),'SA Q4 18 VR'!$A$33:$O$193,1+MATCH(VLOOKUP(A542,Vendors!$A$2:$B$15,2,0),'SA Q4 18 VR'!$B$24:$O$24,0),0)</f>
        <v>#REF!</v>
      </c>
      <c r="F542" s="27">
        <v>1</v>
      </c>
      <c r="G542">
        <f>RFI_Elements!N545</f>
        <v>544</v>
      </c>
      <c r="I542" t="e">
        <f>VLOOKUP(B542,SuiteCatSubElem!$G$2:$G$667,2,0)</f>
        <v>#REF!</v>
      </c>
    </row>
    <row r="543" spans="1:9">
      <c r="A543">
        <f>RFI_Elements!B546</f>
        <v>7</v>
      </c>
      <c r="B543">
        <f>RFI_Elements!C546</f>
        <v>443</v>
      </c>
      <c r="C543">
        <v>545</v>
      </c>
      <c r="D543" s="128">
        <v>43101.003472164353</v>
      </c>
      <c r="E543" t="e">
        <f>VLOOKUP(VLOOKUP(B543,SuiteCatSubElem!$G$2:$G$667,2,0),'SA Q4 18 VR'!$A$33:$O$193,1+MATCH(VLOOKUP(A543,Vendors!$A$2:$B$15,2,0),'SA Q4 18 VR'!$B$24:$O$24,0),0)</f>
        <v>#REF!</v>
      </c>
      <c r="F543" s="27">
        <v>1</v>
      </c>
      <c r="G543">
        <f>RFI_Elements!N546</f>
        <v>545</v>
      </c>
      <c r="I543" t="e">
        <f>VLOOKUP(B543,SuiteCatSubElem!$G$2:$G$667,2,0)</f>
        <v>#REF!</v>
      </c>
    </row>
    <row r="544" spans="1:9">
      <c r="A544">
        <f>RFI_Elements!B547</f>
        <v>7</v>
      </c>
      <c r="B544">
        <f>RFI_Elements!C547</f>
        <v>444</v>
      </c>
      <c r="C544">
        <v>546</v>
      </c>
      <c r="D544" s="128">
        <v>43101.003472164353</v>
      </c>
      <c r="E544" t="e">
        <f>VLOOKUP(VLOOKUP(B544,SuiteCatSubElem!$G$2:$G$667,2,0),'SA Q4 18 VR'!$A$33:$O$193,1+MATCH(VLOOKUP(A544,Vendors!$A$2:$B$15,2,0),'SA Q4 18 VR'!$B$24:$O$24,0),0)</f>
        <v>#REF!</v>
      </c>
      <c r="F544" s="27">
        <v>1</v>
      </c>
      <c r="G544">
        <f>RFI_Elements!N547</f>
        <v>546</v>
      </c>
      <c r="I544" t="e">
        <f>VLOOKUP(B544,SuiteCatSubElem!$G$2:$G$667,2,0)</f>
        <v>#REF!</v>
      </c>
    </row>
    <row r="545" spans="1:9">
      <c r="A545">
        <f>RFI_Elements!B548</f>
        <v>7</v>
      </c>
      <c r="B545">
        <f>RFI_Elements!C548</f>
        <v>445</v>
      </c>
      <c r="C545">
        <v>547</v>
      </c>
      <c r="D545" s="128">
        <v>43101.003472164353</v>
      </c>
      <c r="E545" t="e">
        <f>VLOOKUP(VLOOKUP(B545,SuiteCatSubElem!$G$2:$G$667,2,0),'SA Q4 18 VR'!$A$33:$O$193,1+MATCH(VLOOKUP(A545,Vendors!$A$2:$B$15,2,0),'SA Q4 18 VR'!$B$24:$O$24,0),0)</f>
        <v>#REF!</v>
      </c>
      <c r="F545" s="27">
        <v>1</v>
      </c>
      <c r="G545">
        <f>RFI_Elements!N548</f>
        <v>547</v>
      </c>
      <c r="I545" t="e">
        <f>VLOOKUP(B545,SuiteCatSubElem!$G$2:$G$667,2,0)</f>
        <v>#REF!</v>
      </c>
    </row>
    <row r="546" spans="1:9">
      <c r="A546">
        <f>RFI_Elements!B549</f>
        <v>7</v>
      </c>
      <c r="B546">
        <f>RFI_Elements!C549</f>
        <v>446</v>
      </c>
      <c r="C546">
        <v>548</v>
      </c>
      <c r="D546" s="128">
        <v>43101.003472164353</v>
      </c>
      <c r="E546" t="e">
        <f>VLOOKUP(VLOOKUP(B546,SuiteCatSubElem!$G$2:$G$667,2,0),'SA Q4 18 VR'!$A$33:$O$193,1+MATCH(VLOOKUP(A546,Vendors!$A$2:$B$15,2,0),'SA Q4 18 VR'!$B$24:$O$24,0),0)</f>
        <v>#REF!</v>
      </c>
      <c r="F546" s="27">
        <v>1</v>
      </c>
      <c r="G546">
        <f>RFI_Elements!N549</f>
        <v>548</v>
      </c>
      <c r="I546" t="e">
        <f>VLOOKUP(B546,SuiteCatSubElem!$G$2:$G$667,2,0)</f>
        <v>#REF!</v>
      </c>
    </row>
    <row r="547" spans="1:9">
      <c r="A547">
        <f>RFI_Elements!B550</f>
        <v>7</v>
      </c>
      <c r="B547">
        <f>RFI_Elements!C550</f>
        <v>447</v>
      </c>
      <c r="C547">
        <v>549</v>
      </c>
      <c r="D547" s="128">
        <v>43101.003472164353</v>
      </c>
      <c r="E547" t="e">
        <f>VLOOKUP(VLOOKUP(B547,SuiteCatSubElem!$G$2:$G$667,2,0),'SA Q4 18 VR'!$A$33:$O$193,1+MATCH(VLOOKUP(A547,Vendors!$A$2:$B$15,2,0),'SA Q4 18 VR'!$B$24:$O$24,0),0)</f>
        <v>#REF!</v>
      </c>
      <c r="F547" s="27">
        <v>1</v>
      </c>
      <c r="G547">
        <f>RFI_Elements!N550</f>
        <v>549</v>
      </c>
      <c r="I547" t="e">
        <f>VLOOKUP(B547,SuiteCatSubElem!$G$2:$G$667,2,0)</f>
        <v>#REF!</v>
      </c>
    </row>
    <row r="548" spans="1:9">
      <c r="A548">
        <f>RFI_Elements!B551</f>
        <v>7</v>
      </c>
      <c r="B548">
        <f>RFI_Elements!C551</f>
        <v>448</v>
      </c>
      <c r="C548">
        <v>550</v>
      </c>
      <c r="D548" s="128">
        <v>43101.003472164353</v>
      </c>
      <c r="E548" t="e">
        <f>VLOOKUP(VLOOKUP(B548,SuiteCatSubElem!$G$2:$G$667,2,0),'SA Q4 18 VR'!$A$33:$O$193,1+MATCH(VLOOKUP(A548,Vendors!$A$2:$B$15,2,0),'SA Q4 18 VR'!$B$24:$O$24,0),0)</f>
        <v>#REF!</v>
      </c>
      <c r="F548" s="27">
        <v>1</v>
      </c>
      <c r="G548">
        <f>RFI_Elements!N551</f>
        <v>550</v>
      </c>
      <c r="I548" t="e">
        <f>VLOOKUP(B548,SuiteCatSubElem!$G$2:$G$667,2,0)</f>
        <v>#REF!</v>
      </c>
    </row>
    <row r="549" spans="1:9">
      <c r="A549">
        <f>RFI_Elements!B552</f>
        <v>7</v>
      </c>
      <c r="B549">
        <f>RFI_Elements!C552</f>
        <v>449</v>
      </c>
      <c r="C549">
        <v>551</v>
      </c>
      <c r="D549" s="128">
        <v>43101.003472164353</v>
      </c>
      <c r="E549" t="e">
        <f>VLOOKUP(VLOOKUP(B549,SuiteCatSubElem!$G$2:$G$667,2,0),'SA Q4 18 VR'!$A$33:$O$193,1+MATCH(VLOOKUP(A549,Vendors!$A$2:$B$15,2,0),'SA Q4 18 VR'!$B$24:$O$24,0),0)</f>
        <v>#REF!</v>
      </c>
      <c r="F549" s="27">
        <v>1</v>
      </c>
      <c r="G549">
        <f>RFI_Elements!N552</f>
        <v>551</v>
      </c>
      <c r="I549" t="e">
        <f>VLOOKUP(B549,SuiteCatSubElem!$G$2:$G$667,2,0)</f>
        <v>#REF!</v>
      </c>
    </row>
    <row r="550" spans="1:9">
      <c r="A550">
        <f>RFI_Elements!B553</f>
        <v>7</v>
      </c>
      <c r="B550">
        <f>RFI_Elements!C553</f>
        <v>450</v>
      </c>
      <c r="C550">
        <v>552</v>
      </c>
      <c r="D550" s="128">
        <v>43101.003472164353</v>
      </c>
      <c r="E550" t="e">
        <f>VLOOKUP(VLOOKUP(B550,SuiteCatSubElem!$G$2:$G$667,2,0),'SA Q4 18 VR'!$A$33:$O$193,1+MATCH(VLOOKUP(A550,Vendors!$A$2:$B$15,2,0),'SA Q4 18 VR'!$B$24:$O$24,0),0)</f>
        <v>#REF!</v>
      </c>
      <c r="F550" s="27">
        <v>1</v>
      </c>
      <c r="G550">
        <f>RFI_Elements!N553</f>
        <v>552</v>
      </c>
      <c r="I550" t="e">
        <f>VLOOKUP(B550,SuiteCatSubElem!$G$2:$G$667,2,0)</f>
        <v>#REF!</v>
      </c>
    </row>
    <row r="551" spans="1:9">
      <c r="A551">
        <f>RFI_Elements!B554</f>
        <v>7</v>
      </c>
      <c r="B551">
        <f>RFI_Elements!C554</f>
        <v>451</v>
      </c>
      <c r="C551">
        <v>553</v>
      </c>
      <c r="D551" s="128">
        <v>43101.003472164353</v>
      </c>
      <c r="E551" t="e">
        <f>VLOOKUP(VLOOKUP(B551,SuiteCatSubElem!$G$2:$G$667,2,0),'SA Q4 18 VR'!$A$33:$O$193,1+MATCH(VLOOKUP(A551,Vendors!$A$2:$B$15,2,0),'SA Q4 18 VR'!$B$24:$O$24,0),0)</f>
        <v>#REF!</v>
      </c>
      <c r="F551" s="27">
        <v>1</v>
      </c>
      <c r="G551">
        <f>RFI_Elements!N554</f>
        <v>553</v>
      </c>
      <c r="I551" t="e">
        <f>VLOOKUP(B551,SuiteCatSubElem!$G$2:$G$667,2,0)</f>
        <v>#REF!</v>
      </c>
    </row>
    <row r="552" spans="1:9">
      <c r="A552">
        <f>RFI_Elements!B555</f>
        <v>7</v>
      </c>
      <c r="B552">
        <f>RFI_Elements!C555</f>
        <v>452</v>
      </c>
      <c r="C552">
        <v>554</v>
      </c>
      <c r="D552" s="128">
        <v>43101.003472164353</v>
      </c>
      <c r="E552" t="e">
        <f>VLOOKUP(VLOOKUP(B552,SuiteCatSubElem!$G$2:$G$667,2,0),'SA Q4 18 VR'!$A$33:$O$193,1+MATCH(VLOOKUP(A552,Vendors!$A$2:$B$15,2,0),'SA Q4 18 VR'!$B$24:$O$24,0),0)</f>
        <v>#REF!</v>
      </c>
      <c r="F552" s="27">
        <v>1</v>
      </c>
      <c r="G552">
        <f>RFI_Elements!N555</f>
        <v>554</v>
      </c>
      <c r="I552" t="e">
        <f>VLOOKUP(B552,SuiteCatSubElem!$G$2:$G$667,2,0)</f>
        <v>#REF!</v>
      </c>
    </row>
    <row r="553" spans="1:9">
      <c r="A553">
        <f>RFI_Elements!B556</f>
        <v>7</v>
      </c>
      <c r="B553">
        <f>RFI_Elements!C556</f>
        <v>453</v>
      </c>
      <c r="C553">
        <v>555</v>
      </c>
      <c r="D553" s="128">
        <v>43101.003472164353</v>
      </c>
      <c r="E553" t="e">
        <f>VLOOKUP(VLOOKUP(B553,SuiteCatSubElem!$G$2:$G$667,2,0),'SA Q4 18 VR'!$A$33:$O$193,1+MATCH(VLOOKUP(A553,Vendors!$A$2:$B$15,2,0),'SA Q4 18 VR'!$B$24:$O$24,0),0)</f>
        <v>#REF!</v>
      </c>
      <c r="F553" s="27">
        <v>1</v>
      </c>
      <c r="G553">
        <f>RFI_Elements!N556</f>
        <v>555</v>
      </c>
      <c r="I553" t="e">
        <f>VLOOKUP(B553,SuiteCatSubElem!$G$2:$G$667,2,0)</f>
        <v>#REF!</v>
      </c>
    </row>
    <row r="554" spans="1:9">
      <c r="A554">
        <f>RFI_Elements!B557</f>
        <v>7</v>
      </c>
      <c r="B554">
        <f>RFI_Elements!C557</f>
        <v>454</v>
      </c>
      <c r="C554">
        <v>556</v>
      </c>
      <c r="D554" s="128">
        <v>43101.003472164353</v>
      </c>
      <c r="E554" t="e">
        <f>VLOOKUP(VLOOKUP(B554,SuiteCatSubElem!$G$2:$G$667,2,0),'SA Q4 18 VR'!$A$33:$O$193,1+MATCH(VLOOKUP(A554,Vendors!$A$2:$B$15,2,0),'SA Q4 18 VR'!$B$24:$O$24,0),0)</f>
        <v>#REF!</v>
      </c>
      <c r="F554" s="27">
        <v>1</v>
      </c>
      <c r="G554">
        <f>RFI_Elements!N557</f>
        <v>556</v>
      </c>
      <c r="I554" t="e">
        <f>VLOOKUP(B554,SuiteCatSubElem!$G$2:$G$667,2,0)</f>
        <v>#REF!</v>
      </c>
    </row>
    <row r="555" spans="1:9">
      <c r="A555">
        <f>RFI_Elements!B558</f>
        <v>7</v>
      </c>
      <c r="B555">
        <f>RFI_Elements!C558</f>
        <v>455</v>
      </c>
      <c r="C555">
        <v>557</v>
      </c>
      <c r="D555" s="128">
        <v>43101.003472164353</v>
      </c>
      <c r="E555" t="e">
        <f>VLOOKUP(VLOOKUP(B555,SuiteCatSubElem!$G$2:$G$667,2,0),'SA Q4 18 VR'!$A$33:$O$193,1+MATCH(VLOOKUP(A555,Vendors!$A$2:$B$15,2,0),'SA Q4 18 VR'!$B$24:$O$24,0),0)</f>
        <v>#REF!</v>
      </c>
      <c r="F555" s="27">
        <v>1</v>
      </c>
      <c r="G555">
        <f>RFI_Elements!N558</f>
        <v>557</v>
      </c>
      <c r="I555" t="e">
        <f>VLOOKUP(B555,SuiteCatSubElem!$G$2:$G$667,2,0)</f>
        <v>#REF!</v>
      </c>
    </row>
    <row r="556" spans="1:9">
      <c r="A556">
        <f>RFI_Elements!B559</f>
        <v>7</v>
      </c>
      <c r="B556">
        <f>RFI_Elements!C559</f>
        <v>456</v>
      </c>
      <c r="C556">
        <v>558</v>
      </c>
      <c r="D556" s="128">
        <v>43101.003472164353</v>
      </c>
      <c r="E556" t="e">
        <f>VLOOKUP(VLOOKUP(B556,SuiteCatSubElem!$G$2:$G$667,2,0),'SA Q4 18 VR'!$A$33:$O$193,1+MATCH(VLOOKUP(A556,Vendors!$A$2:$B$15,2,0),'SA Q4 18 VR'!$B$24:$O$24,0),0)</f>
        <v>#REF!</v>
      </c>
      <c r="F556" s="27">
        <v>1</v>
      </c>
      <c r="G556">
        <f>RFI_Elements!N559</f>
        <v>558</v>
      </c>
      <c r="I556" t="e">
        <f>VLOOKUP(B556,SuiteCatSubElem!$G$2:$G$667,2,0)</f>
        <v>#REF!</v>
      </c>
    </row>
    <row r="557" spans="1:9">
      <c r="A557">
        <f>RFI_Elements!B560</f>
        <v>7</v>
      </c>
      <c r="B557">
        <f>RFI_Elements!C560</f>
        <v>457</v>
      </c>
      <c r="C557">
        <v>559</v>
      </c>
      <c r="D557" s="128">
        <v>43101.003472164353</v>
      </c>
      <c r="E557" t="e">
        <f>VLOOKUP(VLOOKUP(B557,SuiteCatSubElem!$G$2:$G$667,2,0),'SA Q4 18 VR'!$A$33:$O$193,1+MATCH(VLOOKUP(A557,Vendors!$A$2:$B$15,2,0),'SA Q4 18 VR'!$B$24:$O$24,0),0)</f>
        <v>#REF!</v>
      </c>
      <c r="F557" s="27">
        <v>1</v>
      </c>
      <c r="G557">
        <f>RFI_Elements!N560</f>
        <v>559</v>
      </c>
      <c r="I557" t="e">
        <f>VLOOKUP(B557,SuiteCatSubElem!$G$2:$G$667,2,0)</f>
        <v>#REF!</v>
      </c>
    </row>
    <row r="558" spans="1:9">
      <c r="A558">
        <f>RFI_Elements!B561</f>
        <v>7</v>
      </c>
      <c r="B558">
        <f>RFI_Elements!C561</f>
        <v>458</v>
      </c>
      <c r="C558">
        <v>560</v>
      </c>
      <c r="D558" s="128">
        <v>43101.003472164353</v>
      </c>
      <c r="E558" t="e">
        <f>VLOOKUP(VLOOKUP(B558,SuiteCatSubElem!$G$2:$G$667,2,0),'SA Q4 18 VR'!$A$33:$O$193,1+MATCH(VLOOKUP(A558,Vendors!$A$2:$B$15,2,0),'SA Q4 18 VR'!$B$24:$O$24,0),0)</f>
        <v>#REF!</v>
      </c>
      <c r="F558" s="27">
        <v>1</v>
      </c>
      <c r="G558">
        <f>RFI_Elements!N561</f>
        <v>560</v>
      </c>
      <c r="I558" t="e">
        <f>VLOOKUP(B558,SuiteCatSubElem!$G$2:$G$667,2,0)</f>
        <v>#REF!</v>
      </c>
    </row>
    <row r="559" spans="1:9">
      <c r="A559">
        <f>RFI_Elements!B562</f>
        <v>7</v>
      </c>
      <c r="B559">
        <f>RFI_Elements!C562</f>
        <v>459</v>
      </c>
      <c r="C559">
        <v>561</v>
      </c>
      <c r="D559" s="128">
        <v>43101.003472164353</v>
      </c>
      <c r="E559" t="e">
        <f>VLOOKUP(VLOOKUP(B559,SuiteCatSubElem!$G$2:$G$667,2,0),'SA Q4 18 VR'!$A$33:$O$193,1+MATCH(VLOOKUP(A559,Vendors!$A$2:$B$15,2,0),'SA Q4 18 VR'!$B$24:$O$24,0),0)</f>
        <v>#REF!</v>
      </c>
      <c r="F559" s="27">
        <v>1</v>
      </c>
      <c r="G559">
        <f>RFI_Elements!N562</f>
        <v>561</v>
      </c>
      <c r="I559" t="e">
        <f>VLOOKUP(B559,SuiteCatSubElem!$G$2:$G$667,2,0)</f>
        <v>#REF!</v>
      </c>
    </row>
    <row r="560" spans="1:9">
      <c r="A560">
        <f>RFI_Elements!B563</f>
        <v>7</v>
      </c>
      <c r="B560">
        <f>RFI_Elements!C563</f>
        <v>460</v>
      </c>
      <c r="C560">
        <v>562</v>
      </c>
      <c r="D560" s="128">
        <v>43101.003472164353</v>
      </c>
      <c r="E560" t="e">
        <f>VLOOKUP(VLOOKUP(B560,SuiteCatSubElem!$G$2:$G$667,2,0),'SA Q4 18 VR'!$A$33:$O$193,1+MATCH(VLOOKUP(A560,Vendors!$A$2:$B$15,2,0),'SA Q4 18 VR'!$B$24:$O$24,0),0)</f>
        <v>#REF!</v>
      </c>
      <c r="F560" s="27">
        <v>1</v>
      </c>
      <c r="G560">
        <f>RFI_Elements!N563</f>
        <v>562</v>
      </c>
      <c r="I560" t="e">
        <f>VLOOKUP(B560,SuiteCatSubElem!$G$2:$G$667,2,0)</f>
        <v>#REF!</v>
      </c>
    </row>
    <row r="561" spans="1:9">
      <c r="A561">
        <f>RFI_Elements!B564</f>
        <v>7</v>
      </c>
      <c r="B561">
        <f>RFI_Elements!C564</f>
        <v>461</v>
      </c>
      <c r="C561">
        <v>563</v>
      </c>
      <c r="D561" s="128">
        <v>43101.003472164353</v>
      </c>
      <c r="E561" t="e">
        <f>VLOOKUP(VLOOKUP(B561,SuiteCatSubElem!$G$2:$G$667,2,0),'SA Q4 18 VR'!$A$33:$O$193,1+MATCH(VLOOKUP(A561,Vendors!$A$2:$B$15,2,0),'SA Q4 18 VR'!$B$24:$O$24,0),0)</f>
        <v>#REF!</v>
      </c>
      <c r="F561" s="27">
        <v>1</v>
      </c>
      <c r="G561">
        <f>RFI_Elements!N564</f>
        <v>563</v>
      </c>
      <c r="I561" t="e">
        <f>VLOOKUP(B561,SuiteCatSubElem!$G$2:$G$667,2,0)</f>
        <v>#REF!</v>
      </c>
    </row>
    <row r="562" spans="1:9">
      <c r="A562">
        <f>RFI_Elements!B565</f>
        <v>7</v>
      </c>
      <c r="B562">
        <f>RFI_Elements!C565</f>
        <v>462</v>
      </c>
      <c r="C562">
        <v>564</v>
      </c>
      <c r="D562" s="128">
        <v>43101.003472164353</v>
      </c>
      <c r="E562" t="e">
        <f>VLOOKUP(VLOOKUP(B562,SuiteCatSubElem!$G$2:$G$667,2,0),'SA Q4 18 VR'!$A$33:$O$193,1+MATCH(VLOOKUP(A562,Vendors!$A$2:$B$15,2,0),'SA Q4 18 VR'!$B$24:$O$24,0),0)</f>
        <v>#REF!</v>
      </c>
      <c r="F562" s="27">
        <v>1</v>
      </c>
      <c r="G562">
        <f>RFI_Elements!N565</f>
        <v>564</v>
      </c>
      <c r="I562" t="e">
        <f>VLOOKUP(B562,SuiteCatSubElem!$G$2:$G$667,2,0)</f>
        <v>#REF!</v>
      </c>
    </row>
    <row r="563" spans="1:9">
      <c r="A563">
        <f>RFI_Elements!B566</f>
        <v>7</v>
      </c>
      <c r="B563">
        <f>RFI_Elements!C566</f>
        <v>463</v>
      </c>
      <c r="C563">
        <v>565</v>
      </c>
      <c r="D563" s="128">
        <v>43101.003472164353</v>
      </c>
      <c r="E563" t="e">
        <f>VLOOKUP(VLOOKUP(B563,SuiteCatSubElem!$G$2:$G$667,2,0),'SA Q4 18 VR'!$A$33:$O$193,1+MATCH(VLOOKUP(A563,Vendors!$A$2:$B$15,2,0),'SA Q4 18 VR'!$B$24:$O$24,0),0)</f>
        <v>#REF!</v>
      </c>
      <c r="F563" s="27">
        <v>1</v>
      </c>
      <c r="G563">
        <f>RFI_Elements!N566</f>
        <v>565</v>
      </c>
      <c r="I563" t="e">
        <f>VLOOKUP(B563,SuiteCatSubElem!$G$2:$G$667,2,0)</f>
        <v>#REF!</v>
      </c>
    </row>
    <row r="564" spans="1:9">
      <c r="A564">
        <f>RFI_Elements!B567</f>
        <v>7</v>
      </c>
      <c r="B564">
        <f>RFI_Elements!C567</f>
        <v>464</v>
      </c>
      <c r="C564">
        <v>566</v>
      </c>
      <c r="D564" s="128">
        <v>43101.003472164353</v>
      </c>
      <c r="E564" t="e">
        <f>VLOOKUP(VLOOKUP(B564,SuiteCatSubElem!$G$2:$G$667,2,0),'SA Q4 18 VR'!$A$33:$O$193,1+MATCH(VLOOKUP(A564,Vendors!$A$2:$B$15,2,0),'SA Q4 18 VR'!$B$24:$O$24,0),0)</f>
        <v>#REF!</v>
      </c>
      <c r="F564" s="27">
        <v>1</v>
      </c>
      <c r="G564">
        <f>RFI_Elements!N567</f>
        <v>566</v>
      </c>
      <c r="I564" t="e">
        <f>VLOOKUP(B564,SuiteCatSubElem!$G$2:$G$667,2,0)</f>
        <v>#REF!</v>
      </c>
    </row>
    <row r="565" spans="1:9">
      <c r="A565">
        <f>RFI_Elements!B568</f>
        <v>7</v>
      </c>
      <c r="B565">
        <f>RFI_Elements!C568</f>
        <v>465</v>
      </c>
      <c r="C565">
        <v>567</v>
      </c>
      <c r="D565" s="128">
        <v>43101.003472164353</v>
      </c>
      <c r="E565" t="e">
        <f>VLOOKUP(VLOOKUP(B565,SuiteCatSubElem!$G$2:$G$667,2,0),'SA Q4 18 VR'!$A$33:$O$193,1+MATCH(VLOOKUP(A565,Vendors!$A$2:$B$15,2,0),'SA Q4 18 VR'!$B$24:$O$24,0),0)</f>
        <v>#REF!</v>
      </c>
      <c r="F565" s="27">
        <v>1</v>
      </c>
      <c r="G565">
        <f>RFI_Elements!N568</f>
        <v>567</v>
      </c>
      <c r="I565" t="e">
        <f>VLOOKUP(B565,SuiteCatSubElem!$G$2:$G$667,2,0)</f>
        <v>#REF!</v>
      </c>
    </row>
    <row r="566" spans="1:9">
      <c r="A566">
        <f>RFI_Elements!B569</f>
        <v>7</v>
      </c>
      <c r="B566">
        <f>RFI_Elements!C569</f>
        <v>466</v>
      </c>
      <c r="C566">
        <v>568</v>
      </c>
      <c r="D566" s="128">
        <v>43101.003472164353</v>
      </c>
      <c r="E566" t="e">
        <f>VLOOKUP(VLOOKUP(B566,SuiteCatSubElem!$G$2:$G$667,2,0),'SA Q4 18 VR'!$A$33:$O$193,1+MATCH(VLOOKUP(A566,Vendors!$A$2:$B$15,2,0),'SA Q4 18 VR'!$B$24:$O$24,0),0)</f>
        <v>#REF!</v>
      </c>
      <c r="F566" s="27">
        <v>1</v>
      </c>
      <c r="G566">
        <f>RFI_Elements!N569</f>
        <v>568</v>
      </c>
      <c r="I566" t="e">
        <f>VLOOKUP(B566,SuiteCatSubElem!$G$2:$G$667,2,0)</f>
        <v>#REF!</v>
      </c>
    </row>
    <row r="567" spans="1:9">
      <c r="A567">
        <f>RFI_Elements!B570</f>
        <v>7</v>
      </c>
      <c r="B567">
        <f>RFI_Elements!C570</f>
        <v>467</v>
      </c>
      <c r="C567">
        <v>569</v>
      </c>
      <c r="D567" s="128">
        <v>43101.003472164353</v>
      </c>
      <c r="E567" t="e">
        <f>VLOOKUP(VLOOKUP(B567,SuiteCatSubElem!$G$2:$G$667,2,0),'SA Q4 18 VR'!$A$33:$O$193,1+MATCH(VLOOKUP(A567,Vendors!$A$2:$B$15,2,0),'SA Q4 18 VR'!$B$24:$O$24,0),0)</f>
        <v>#REF!</v>
      </c>
      <c r="F567" s="27">
        <v>1</v>
      </c>
      <c r="G567">
        <f>RFI_Elements!N570</f>
        <v>569</v>
      </c>
      <c r="I567" t="e">
        <f>VLOOKUP(B567,SuiteCatSubElem!$G$2:$G$667,2,0)</f>
        <v>#REF!</v>
      </c>
    </row>
    <row r="568" spans="1:9">
      <c r="A568">
        <f>RFI_Elements!B571</f>
        <v>7</v>
      </c>
      <c r="B568">
        <f>RFI_Elements!C571</f>
        <v>468</v>
      </c>
      <c r="C568">
        <v>570</v>
      </c>
      <c r="D568" s="128">
        <v>43101.003472164353</v>
      </c>
      <c r="E568" t="e">
        <f>VLOOKUP(VLOOKUP(B568,SuiteCatSubElem!$G$2:$G$667,2,0),'SA Q4 18 VR'!$A$33:$O$193,1+MATCH(VLOOKUP(A568,Vendors!$A$2:$B$15,2,0),'SA Q4 18 VR'!$B$24:$O$24,0),0)</f>
        <v>#REF!</v>
      </c>
      <c r="F568" s="27">
        <v>1</v>
      </c>
      <c r="G568">
        <f>RFI_Elements!N571</f>
        <v>570</v>
      </c>
      <c r="I568" t="e">
        <f>VLOOKUP(B568,SuiteCatSubElem!$G$2:$G$667,2,0)</f>
        <v>#REF!</v>
      </c>
    </row>
    <row r="569" spans="1:9">
      <c r="A569">
        <f>RFI_Elements!B572</f>
        <v>7</v>
      </c>
      <c r="B569">
        <f>RFI_Elements!C572</f>
        <v>469</v>
      </c>
      <c r="C569">
        <v>571</v>
      </c>
      <c r="D569" s="128">
        <v>43101.003472164353</v>
      </c>
      <c r="E569" t="e">
        <f>VLOOKUP(VLOOKUP(B569,SuiteCatSubElem!$G$2:$G$667,2,0),'SA Q4 18 VR'!$A$33:$O$193,1+MATCH(VLOOKUP(A569,Vendors!$A$2:$B$15,2,0),'SA Q4 18 VR'!$B$24:$O$24,0),0)</f>
        <v>#REF!</v>
      </c>
      <c r="F569" s="27">
        <v>1</v>
      </c>
      <c r="G569">
        <f>RFI_Elements!N572</f>
        <v>571</v>
      </c>
      <c r="I569" t="e">
        <f>VLOOKUP(B569,SuiteCatSubElem!$G$2:$G$667,2,0)</f>
        <v>#REF!</v>
      </c>
    </row>
    <row r="570" spans="1:9">
      <c r="A570">
        <f>RFI_Elements!B573</f>
        <v>7</v>
      </c>
      <c r="B570">
        <f>RFI_Elements!C573</f>
        <v>470</v>
      </c>
      <c r="C570">
        <v>572</v>
      </c>
      <c r="D570" s="128">
        <v>43101.003472164353</v>
      </c>
      <c r="E570" t="e">
        <f>VLOOKUP(VLOOKUP(B570,SuiteCatSubElem!$G$2:$G$667,2,0),'SA Q4 18 VR'!$A$33:$O$193,1+MATCH(VLOOKUP(A570,Vendors!$A$2:$B$15,2,0),'SA Q4 18 VR'!$B$24:$O$24,0),0)</f>
        <v>#REF!</v>
      </c>
      <c r="F570" s="27">
        <v>1</v>
      </c>
      <c r="G570">
        <f>RFI_Elements!N573</f>
        <v>572</v>
      </c>
      <c r="I570" t="e">
        <f>VLOOKUP(B570,SuiteCatSubElem!$G$2:$G$667,2,0)</f>
        <v>#REF!</v>
      </c>
    </row>
    <row r="571" spans="1:9">
      <c r="A571">
        <f>RFI_Elements!B574</f>
        <v>7</v>
      </c>
      <c r="B571">
        <f>RFI_Elements!C574</f>
        <v>471</v>
      </c>
      <c r="C571">
        <v>573</v>
      </c>
      <c r="D571" s="128">
        <v>43101.003472164353</v>
      </c>
      <c r="E571" t="e">
        <f>VLOOKUP(VLOOKUP(B571,SuiteCatSubElem!$G$2:$G$667,2,0),'SA Q4 18 VR'!$A$33:$O$193,1+MATCH(VLOOKUP(A571,Vendors!$A$2:$B$15,2,0),'SA Q4 18 VR'!$B$24:$O$24,0),0)</f>
        <v>#REF!</v>
      </c>
      <c r="F571" s="27">
        <v>1</v>
      </c>
      <c r="G571">
        <f>RFI_Elements!N574</f>
        <v>573</v>
      </c>
      <c r="I571" t="e">
        <f>VLOOKUP(B571,SuiteCatSubElem!$G$2:$G$667,2,0)</f>
        <v>#REF!</v>
      </c>
    </row>
    <row r="572" spans="1:9">
      <c r="A572">
        <f>RFI_Elements!B575</f>
        <v>7</v>
      </c>
      <c r="B572">
        <f>RFI_Elements!C575</f>
        <v>472</v>
      </c>
      <c r="C572">
        <v>574</v>
      </c>
      <c r="D572" s="128">
        <v>43101.003472164353</v>
      </c>
      <c r="E572" t="e">
        <f>VLOOKUP(VLOOKUP(B572,SuiteCatSubElem!$G$2:$G$667,2,0),'SA Q4 18 VR'!$A$33:$O$193,1+MATCH(VLOOKUP(A572,Vendors!$A$2:$B$15,2,0),'SA Q4 18 VR'!$B$24:$O$24,0),0)</f>
        <v>#REF!</v>
      </c>
      <c r="F572" s="27">
        <v>1</v>
      </c>
      <c r="G572">
        <f>RFI_Elements!N575</f>
        <v>574</v>
      </c>
      <c r="I572" t="e">
        <f>VLOOKUP(B572,SuiteCatSubElem!$G$2:$G$667,2,0)</f>
        <v>#REF!</v>
      </c>
    </row>
    <row r="573" spans="1:9">
      <c r="A573">
        <f>RFI_Elements!B576</f>
        <v>7</v>
      </c>
      <c r="B573">
        <f>RFI_Elements!C576</f>
        <v>473</v>
      </c>
      <c r="C573">
        <v>575</v>
      </c>
      <c r="D573" s="128">
        <v>43101.003472164353</v>
      </c>
      <c r="E573" t="e">
        <f>VLOOKUP(VLOOKUP(B573,SuiteCatSubElem!$G$2:$G$667,2,0),'SA Q4 18 VR'!$A$33:$O$193,1+MATCH(VLOOKUP(A573,Vendors!$A$2:$B$15,2,0),'SA Q4 18 VR'!$B$24:$O$24,0),0)</f>
        <v>#REF!</v>
      </c>
      <c r="F573" s="27">
        <v>1</v>
      </c>
      <c r="G573">
        <f>RFI_Elements!N576</f>
        <v>575</v>
      </c>
      <c r="I573" t="e">
        <f>VLOOKUP(B573,SuiteCatSubElem!$G$2:$G$667,2,0)</f>
        <v>#REF!</v>
      </c>
    </row>
    <row r="574" spans="1:9">
      <c r="A574">
        <f>RFI_Elements!B577</f>
        <v>7</v>
      </c>
      <c r="B574">
        <f>RFI_Elements!C577</f>
        <v>474</v>
      </c>
      <c r="C574">
        <v>576</v>
      </c>
      <c r="D574" s="128">
        <v>43101.003472164353</v>
      </c>
      <c r="E574" t="e">
        <f>VLOOKUP(VLOOKUP(B574,SuiteCatSubElem!$G$2:$G$667,2,0),'SA Q4 18 VR'!$A$33:$O$193,1+MATCH(VLOOKUP(A574,Vendors!$A$2:$B$15,2,0),'SA Q4 18 VR'!$B$24:$O$24,0),0)</f>
        <v>#REF!</v>
      </c>
      <c r="F574" s="27">
        <v>1</v>
      </c>
      <c r="G574">
        <f>RFI_Elements!N577</f>
        <v>576</v>
      </c>
      <c r="I574" t="e">
        <f>VLOOKUP(B574,SuiteCatSubElem!$G$2:$G$667,2,0)</f>
        <v>#REF!</v>
      </c>
    </row>
    <row r="575" spans="1:9">
      <c r="A575">
        <f>RFI_Elements!B578</f>
        <v>7</v>
      </c>
      <c r="B575">
        <f>RFI_Elements!C578</f>
        <v>475</v>
      </c>
      <c r="C575">
        <v>577</v>
      </c>
      <c r="D575" s="128">
        <v>43101.003472164353</v>
      </c>
      <c r="E575" t="e">
        <f>VLOOKUP(VLOOKUP(B575,SuiteCatSubElem!$G$2:$G$667,2,0),'SA Q4 18 VR'!$A$33:$O$193,1+MATCH(VLOOKUP(A575,Vendors!$A$2:$B$15,2,0),'SA Q4 18 VR'!$B$24:$O$24,0),0)</f>
        <v>#REF!</v>
      </c>
      <c r="F575" s="27">
        <v>1</v>
      </c>
      <c r="G575">
        <f>RFI_Elements!N578</f>
        <v>577</v>
      </c>
      <c r="I575" t="e">
        <f>VLOOKUP(B575,SuiteCatSubElem!$G$2:$G$667,2,0)</f>
        <v>#REF!</v>
      </c>
    </row>
    <row r="576" spans="1:9">
      <c r="A576">
        <f>RFI_Elements!B579</f>
        <v>7</v>
      </c>
      <c r="B576">
        <f>RFI_Elements!C579</f>
        <v>476</v>
      </c>
      <c r="C576">
        <v>578</v>
      </c>
      <c r="D576" s="128">
        <v>43101.003472164353</v>
      </c>
      <c r="E576" t="e">
        <f>VLOOKUP(VLOOKUP(B576,SuiteCatSubElem!$G$2:$G$667,2,0),'SA Q4 18 VR'!$A$33:$O$193,1+MATCH(VLOOKUP(A576,Vendors!$A$2:$B$15,2,0),'SA Q4 18 VR'!$B$24:$O$24,0),0)</f>
        <v>#REF!</v>
      </c>
      <c r="F576" s="27">
        <v>1</v>
      </c>
      <c r="G576">
        <f>RFI_Elements!N579</f>
        <v>578</v>
      </c>
      <c r="I576" t="e">
        <f>VLOOKUP(B576,SuiteCatSubElem!$G$2:$G$667,2,0)</f>
        <v>#REF!</v>
      </c>
    </row>
    <row r="577" spans="1:9">
      <c r="A577">
        <f>RFI_Elements!B580</f>
        <v>7</v>
      </c>
      <c r="B577">
        <f>RFI_Elements!C580</f>
        <v>477</v>
      </c>
      <c r="C577">
        <v>579</v>
      </c>
      <c r="D577" s="128">
        <v>43101.003472164353</v>
      </c>
      <c r="E577" t="e">
        <f>VLOOKUP(VLOOKUP(B577,SuiteCatSubElem!$G$2:$G$667,2,0),'SA Q4 18 VR'!$A$33:$O$193,1+MATCH(VLOOKUP(A577,Vendors!$A$2:$B$15,2,0),'SA Q4 18 VR'!$B$24:$O$24,0),0)</f>
        <v>#REF!</v>
      </c>
      <c r="F577" s="27">
        <v>1</v>
      </c>
      <c r="G577">
        <f>RFI_Elements!N580</f>
        <v>579</v>
      </c>
      <c r="I577" t="e">
        <f>VLOOKUP(B577,SuiteCatSubElem!$G$2:$G$667,2,0)</f>
        <v>#REF!</v>
      </c>
    </row>
    <row r="578" spans="1:9">
      <c r="A578">
        <f>RFI_Elements!B581</f>
        <v>7</v>
      </c>
      <c r="B578">
        <f>RFI_Elements!C581</f>
        <v>478</v>
      </c>
      <c r="C578">
        <v>580</v>
      </c>
      <c r="D578" s="128">
        <v>43101.003472164353</v>
      </c>
      <c r="E578" t="e">
        <f>VLOOKUP(VLOOKUP(B578,SuiteCatSubElem!$G$2:$G$667,2,0),'SA Q4 18 VR'!$A$33:$O$193,1+MATCH(VLOOKUP(A578,Vendors!$A$2:$B$15,2,0),'SA Q4 18 VR'!$B$24:$O$24,0),0)</f>
        <v>#REF!</v>
      </c>
      <c r="F578" s="27">
        <v>1</v>
      </c>
      <c r="G578">
        <f>RFI_Elements!N581</f>
        <v>580</v>
      </c>
      <c r="I578" t="e">
        <f>VLOOKUP(B578,SuiteCatSubElem!$G$2:$G$667,2,0)</f>
        <v>#REF!</v>
      </c>
    </row>
    <row r="579" spans="1:9">
      <c r="A579">
        <f>RFI_Elements!B582</f>
        <v>7</v>
      </c>
      <c r="B579">
        <f>RFI_Elements!C582</f>
        <v>479</v>
      </c>
      <c r="C579">
        <v>581</v>
      </c>
      <c r="D579" s="128">
        <v>43101.003472164353</v>
      </c>
      <c r="E579" t="e">
        <f>VLOOKUP(VLOOKUP(B579,SuiteCatSubElem!$G$2:$G$667,2,0),'SA Q4 18 VR'!$A$33:$O$193,1+MATCH(VLOOKUP(A579,Vendors!$A$2:$B$15,2,0),'SA Q4 18 VR'!$B$24:$O$24,0),0)</f>
        <v>#REF!</v>
      </c>
      <c r="F579" s="27">
        <v>1</v>
      </c>
      <c r="G579">
        <f>RFI_Elements!N582</f>
        <v>581</v>
      </c>
      <c r="I579" t="e">
        <f>VLOOKUP(B579,SuiteCatSubElem!$G$2:$G$667,2,0)</f>
        <v>#REF!</v>
      </c>
    </row>
    <row r="580" spans="1:9">
      <c r="A580">
        <f>RFI_Elements!B583</f>
        <v>7</v>
      </c>
      <c r="B580">
        <f>RFI_Elements!C583</f>
        <v>480</v>
      </c>
      <c r="C580">
        <v>582</v>
      </c>
      <c r="D580" s="128">
        <v>43101.003472164353</v>
      </c>
      <c r="E580" t="e">
        <f>VLOOKUP(VLOOKUP(B580,SuiteCatSubElem!$G$2:$G$667,2,0),'SA Q4 18 VR'!$A$33:$O$193,1+MATCH(VLOOKUP(A580,Vendors!$A$2:$B$15,2,0),'SA Q4 18 VR'!$B$24:$O$24,0),0)</f>
        <v>#REF!</v>
      </c>
      <c r="F580" s="27">
        <v>1</v>
      </c>
      <c r="G580">
        <f>RFI_Elements!N583</f>
        <v>582</v>
      </c>
      <c r="I580" t="e">
        <f>VLOOKUP(B580,SuiteCatSubElem!$G$2:$G$667,2,0)</f>
        <v>#REF!</v>
      </c>
    </row>
    <row r="581" spans="1:9">
      <c r="A581">
        <f>RFI_Elements!B584</f>
        <v>7</v>
      </c>
      <c r="B581">
        <f>RFI_Elements!C584</f>
        <v>481</v>
      </c>
      <c r="C581">
        <v>583</v>
      </c>
      <c r="D581" s="128">
        <v>43101.003472164353</v>
      </c>
      <c r="E581" t="e">
        <f>VLOOKUP(VLOOKUP(B581,SuiteCatSubElem!$G$2:$G$667,2,0),'SA Q4 18 VR'!$A$33:$O$193,1+MATCH(VLOOKUP(A581,Vendors!$A$2:$B$15,2,0),'SA Q4 18 VR'!$B$24:$O$24,0),0)</f>
        <v>#REF!</v>
      </c>
      <c r="F581" s="27">
        <v>1</v>
      </c>
      <c r="G581">
        <f>RFI_Elements!N584</f>
        <v>583</v>
      </c>
      <c r="I581" t="e">
        <f>VLOOKUP(B581,SuiteCatSubElem!$G$2:$G$667,2,0)</f>
        <v>#REF!</v>
      </c>
    </row>
    <row r="582" spans="1:9">
      <c r="A582">
        <f>RFI_Elements!B585</f>
        <v>7</v>
      </c>
      <c r="B582">
        <f>RFI_Elements!C585</f>
        <v>482</v>
      </c>
      <c r="C582">
        <v>584</v>
      </c>
      <c r="D582" s="128">
        <v>43101.003472164353</v>
      </c>
      <c r="E582" t="e">
        <f>VLOOKUP(VLOOKUP(B582,SuiteCatSubElem!$G$2:$G$667,2,0),'SA Q4 18 VR'!$A$33:$O$193,1+MATCH(VLOOKUP(A582,Vendors!$A$2:$B$15,2,0),'SA Q4 18 VR'!$B$24:$O$24,0),0)</f>
        <v>#REF!</v>
      </c>
      <c r="F582" s="27">
        <v>1</v>
      </c>
      <c r="G582">
        <f>RFI_Elements!N585</f>
        <v>584</v>
      </c>
      <c r="I582" t="e">
        <f>VLOOKUP(B582,SuiteCatSubElem!$G$2:$G$667,2,0)</f>
        <v>#REF!</v>
      </c>
    </row>
    <row r="583" spans="1:9">
      <c r="A583">
        <f>RFI_Elements!B586</f>
        <v>7</v>
      </c>
      <c r="B583">
        <f>RFI_Elements!C586</f>
        <v>483</v>
      </c>
      <c r="C583">
        <v>585</v>
      </c>
      <c r="D583" s="128">
        <v>43101.003472164353</v>
      </c>
      <c r="E583" t="e">
        <f>VLOOKUP(VLOOKUP(B583,SuiteCatSubElem!$G$2:$G$667,2,0),'SA Q4 18 VR'!$A$33:$O$193,1+MATCH(VLOOKUP(A583,Vendors!$A$2:$B$15,2,0),'SA Q4 18 VR'!$B$24:$O$24,0),0)</f>
        <v>#REF!</v>
      </c>
      <c r="F583" s="27">
        <v>1</v>
      </c>
      <c r="G583">
        <f>RFI_Elements!N586</f>
        <v>585</v>
      </c>
      <c r="I583" t="e">
        <f>VLOOKUP(B583,SuiteCatSubElem!$G$2:$G$667,2,0)</f>
        <v>#REF!</v>
      </c>
    </row>
    <row r="584" spans="1:9">
      <c r="A584">
        <f>RFI_Elements!B587</f>
        <v>7</v>
      </c>
      <c r="B584">
        <f>RFI_Elements!C587</f>
        <v>484</v>
      </c>
      <c r="C584">
        <v>586</v>
      </c>
      <c r="D584" s="128">
        <v>43101.003472164353</v>
      </c>
      <c r="E584" t="e">
        <f>VLOOKUP(VLOOKUP(B584,SuiteCatSubElem!$G$2:$G$667,2,0),'SA Q4 18 VR'!$A$33:$O$193,1+MATCH(VLOOKUP(A584,Vendors!$A$2:$B$15,2,0),'SA Q4 18 VR'!$B$24:$O$24,0),0)</f>
        <v>#REF!</v>
      </c>
      <c r="F584" s="27">
        <v>1</v>
      </c>
      <c r="G584">
        <f>RFI_Elements!N587</f>
        <v>586</v>
      </c>
      <c r="I584" t="e">
        <f>VLOOKUP(B584,SuiteCatSubElem!$G$2:$G$667,2,0)</f>
        <v>#REF!</v>
      </c>
    </row>
    <row r="585" spans="1:9">
      <c r="A585">
        <f>RFI_Elements!B588</f>
        <v>7</v>
      </c>
      <c r="B585">
        <f>RFI_Elements!C588</f>
        <v>485</v>
      </c>
      <c r="C585">
        <v>587</v>
      </c>
      <c r="D585" s="128">
        <v>43101.003472164353</v>
      </c>
      <c r="E585" t="e">
        <f>VLOOKUP(VLOOKUP(B585,SuiteCatSubElem!$G$2:$G$667,2,0),'SA Q4 18 VR'!$A$33:$O$193,1+MATCH(VLOOKUP(A585,Vendors!$A$2:$B$15,2,0),'SA Q4 18 VR'!$B$24:$O$24,0),0)</f>
        <v>#REF!</v>
      </c>
      <c r="F585" s="27">
        <v>1</v>
      </c>
      <c r="G585">
        <f>RFI_Elements!N588</f>
        <v>587</v>
      </c>
      <c r="I585" t="e">
        <f>VLOOKUP(B585,SuiteCatSubElem!$G$2:$G$667,2,0)</f>
        <v>#REF!</v>
      </c>
    </row>
    <row r="586" spans="1:9">
      <c r="A586">
        <f>RFI_Elements!B589</f>
        <v>7</v>
      </c>
      <c r="B586">
        <f>RFI_Elements!C589</f>
        <v>486</v>
      </c>
      <c r="C586">
        <v>588</v>
      </c>
      <c r="D586" s="128">
        <v>43101.003472164353</v>
      </c>
      <c r="E586" t="e">
        <f>VLOOKUP(VLOOKUP(B586,SuiteCatSubElem!$G$2:$G$667,2,0),'SA Q4 18 VR'!$A$33:$O$193,1+MATCH(VLOOKUP(A586,Vendors!$A$2:$B$15,2,0),'SA Q4 18 VR'!$B$24:$O$24,0),0)</f>
        <v>#REF!</v>
      </c>
      <c r="F586" s="27">
        <v>1</v>
      </c>
      <c r="G586">
        <f>RFI_Elements!N589</f>
        <v>588</v>
      </c>
      <c r="I586" t="e">
        <f>VLOOKUP(B586,SuiteCatSubElem!$G$2:$G$667,2,0)</f>
        <v>#REF!</v>
      </c>
    </row>
    <row r="587" spans="1:9">
      <c r="A587">
        <f>RFI_Elements!B590</f>
        <v>7</v>
      </c>
      <c r="B587">
        <f>RFI_Elements!C590</f>
        <v>487</v>
      </c>
      <c r="C587">
        <v>589</v>
      </c>
      <c r="D587" s="128">
        <v>43101.003472164353</v>
      </c>
      <c r="E587" t="e">
        <f>VLOOKUP(VLOOKUP(B587,SuiteCatSubElem!$G$2:$G$667,2,0),'SA Q4 18 VR'!$A$33:$O$193,1+MATCH(VLOOKUP(A587,Vendors!$A$2:$B$15,2,0),'SA Q4 18 VR'!$B$24:$O$24,0),0)</f>
        <v>#REF!</v>
      </c>
      <c r="F587" s="27">
        <v>1</v>
      </c>
      <c r="G587">
        <f>RFI_Elements!N590</f>
        <v>589</v>
      </c>
      <c r="I587" t="e">
        <f>VLOOKUP(B587,SuiteCatSubElem!$G$2:$G$667,2,0)</f>
        <v>#REF!</v>
      </c>
    </row>
    <row r="588" spans="1:9">
      <c r="A588">
        <f>RFI_Elements!B591</f>
        <v>7</v>
      </c>
      <c r="B588">
        <f>RFI_Elements!C591</f>
        <v>488</v>
      </c>
      <c r="C588">
        <v>590</v>
      </c>
      <c r="D588" s="128">
        <v>43101.003472164353</v>
      </c>
      <c r="E588" t="e">
        <f>VLOOKUP(VLOOKUP(B588,SuiteCatSubElem!$G$2:$G$667,2,0),'SA Q4 18 VR'!$A$33:$O$193,1+MATCH(VLOOKUP(A588,Vendors!$A$2:$B$15,2,0),'SA Q4 18 VR'!$B$24:$O$24,0),0)</f>
        <v>#REF!</v>
      </c>
      <c r="F588" s="27">
        <v>1</v>
      </c>
      <c r="G588">
        <f>RFI_Elements!N591</f>
        <v>590</v>
      </c>
      <c r="I588" t="e">
        <f>VLOOKUP(B588,SuiteCatSubElem!$G$2:$G$667,2,0)</f>
        <v>#REF!</v>
      </c>
    </row>
    <row r="589" spans="1:9">
      <c r="A589">
        <f>RFI_Elements!B592</f>
        <v>7</v>
      </c>
      <c r="B589">
        <f>RFI_Elements!C592</f>
        <v>489</v>
      </c>
      <c r="C589">
        <v>591</v>
      </c>
      <c r="D589" s="128">
        <v>43101.003472164353</v>
      </c>
      <c r="E589" t="e">
        <f>VLOOKUP(VLOOKUP(B589,SuiteCatSubElem!$G$2:$G$667,2,0),'SA Q4 18 VR'!$A$33:$O$193,1+MATCH(VLOOKUP(A589,Vendors!$A$2:$B$15,2,0),'SA Q4 18 VR'!$B$24:$O$24,0),0)</f>
        <v>#REF!</v>
      </c>
      <c r="F589" s="27">
        <v>1</v>
      </c>
      <c r="G589">
        <f>RFI_Elements!N592</f>
        <v>591</v>
      </c>
      <c r="I589" t="e">
        <f>VLOOKUP(B589,SuiteCatSubElem!$G$2:$G$667,2,0)</f>
        <v>#REF!</v>
      </c>
    </row>
    <row r="590" spans="1:9">
      <c r="A590">
        <f>RFI_Elements!B593</f>
        <v>7</v>
      </c>
      <c r="B590">
        <f>RFI_Elements!C593</f>
        <v>490</v>
      </c>
      <c r="C590">
        <v>592</v>
      </c>
      <c r="D590" s="128">
        <v>43101.003472164353</v>
      </c>
      <c r="E590" t="e">
        <f>VLOOKUP(VLOOKUP(B590,SuiteCatSubElem!$G$2:$G$667,2,0),'SA Q4 18 VR'!$A$33:$O$193,1+MATCH(VLOOKUP(A590,Vendors!$A$2:$B$15,2,0),'SA Q4 18 VR'!$B$24:$O$24,0),0)</f>
        <v>#REF!</v>
      </c>
      <c r="F590" s="27">
        <v>1</v>
      </c>
      <c r="G590">
        <f>RFI_Elements!N593</f>
        <v>592</v>
      </c>
      <c r="I590" t="e">
        <f>VLOOKUP(B590,SuiteCatSubElem!$G$2:$G$667,2,0)</f>
        <v>#REF!</v>
      </c>
    </row>
    <row r="591" spans="1:9">
      <c r="A591">
        <f>RFI_Elements!B594</f>
        <v>7</v>
      </c>
      <c r="B591">
        <f>RFI_Elements!C594</f>
        <v>491</v>
      </c>
      <c r="C591">
        <v>593</v>
      </c>
      <c r="D591" s="128">
        <v>43101.003472164353</v>
      </c>
      <c r="E591" t="e">
        <f>VLOOKUP(VLOOKUP(B591,SuiteCatSubElem!$G$2:$G$667,2,0),'SA Q4 18 VR'!$A$33:$O$193,1+MATCH(VLOOKUP(A591,Vendors!$A$2:$B$15,2,0),'SA Q4 18 VR'!$B$24:$O$24,0),0)</f>
        <v>#REF!</v>
      </c>
      <c r="F591" s="27">
        <v>1</v>
      </c>
      <c r="G591">
        <f>RFI_Elements!N594</f>
        <v>593</v>
      </c>
      <c r="I591" t="e">
        <f>VLOOKUP(B591,SuiteCatSubElem!$G$2:$G$667,2,0)</f>
        <v>#REF!</v>
      </c>
    </row>
    <row r="592" spans="1:9">
      <c r="A592">
        <f>RFI_Elements!B595</f>
        <v>7</v>
      </c>
      <c r="B592">
        <f>RFI_Elements!C595</f>
        <v>492</v>
      </c>
      <c r="C592">
        <v>594</v>
      </c>
      <c r="D592" s="128">
        <v>43101.003472164353</v>
      </c>
      <c r="E592" t="e">
        <f>VLOOKUP(VLOOKUP(B592,SuiteCatSubElem!$G$2:$G$667,2,0),'SA Q4 18 VR'!$A$33:$O$193,1+MATCH(VLOOKUP(A592,Vendors!$A$2:$B$15,2,0),'SA Q4 18 VR'!$B$24:$O$24,0),0)</f>
        <v>#REF!</v>
      </c>
      <c r="F592" s="27">
        <v>1</v>
      </c>
      <c r="G592">
        <f>RFI_Elements!N595</f>
        <v>594</v>
      </c>
      <c r="I592" t="e">
        <f>VLOOKUP(B592,SuiteCatSubElem!$G$2:$G$667,2,0)</f>
        <v>#REF!</v>
      </c>
    </row>
    <row r="593" spans="1:9">
      <c r="A593">
        <f>RFI_Elements!B596</f>
        <v>7</v>
      </c>
      <c r="B593">
        <f>RFI_Elements!C596</f>
        <v>493</v>
      </c>
      <c r="C593">
        <v>595</v>
      </c>
      <c r="D593" s="128">
        <v>43101.003472164353</v>
      </c>
      <c r="E593" t="e">
        <f>VLOOKUP(VLOOKUP(B593,SuiteCatSubElem!$G$2:$G$667,2,0),'SA Q4 18 VR'!$A$33:$O$193,1+MATCH(VLOOKUP(A593,Vendors!$A$2:$B$15,2,0),'SA Q4 18 VR'!$B$24:$O$24,0),0)</f>
        <v>#REF!</v>
      </c>
      <c r="F593" s="27">
        <v>1</v>
      </c>
      <c r="G593">
        <f>RFI_Elements!N596</f>
        <v>595</v>
      </c>
      <c r="I593" t="e">
        <f>VLOOKUP(B593,SuiteCatSubElem!$G$2:$G$667,2,0)</f>
        <v>#REF!</v>
      </c>
    </row>
    <row r="594" spans="1:9">
      <c r="A594">
        <f>RFI_Elements!B597</f>
        <v>8</v>
      </c>
      <c r="B594">
        <f>RFI_Elements!C597</f>
        <v>409</v>
      </c>
      <c r="C594">
        <v>596</v>
      </c>
      <c r="D594" s="128">
        <v>43101.003472164353</v>
      </c>
      <c r="E594" t="e">
        <f>VLOOKUP(VLOOKUP(B594,SuiteCatSubElem!$G$2:$G$667,2,0),'SA Q4 18 VR'!$A$33:$O$193,1+MATCH(VLOOKUP(A594,Vendors!$A$2:$B$15,2,0),'SA Q4 18 VR'!$B$24:$O$24,0),0)</f>
        <v>#REF!</v>
      </c>
      <c r="F594" s="27">
        <v>1</v>
      </c>
      <c r="G594">
        <f>RFI_Elements!N597</f>
        <v>596</v>
      </c>
      <c r="I594" t="e">
        <f>VLOOKUP(B594,SuiteCatSubElem!$G$2:$G$667,2,0)</f>
        <v>#REF!</v>
      </c>
    </row>
    <row r="595" spans="1:9">
      <c r="A595">
        <f>RFI_Elements!B598</f>
        <v>8</v>
      </c>
      <c r="B595">
        <f>RFI_Elements!C598</f>
        <v>410</v>
      </c>
      <c r="C595">
        <v>597</v>
      </c>
      <c r="D595" s="128">
        <v>43101.003472164353</v>
      </c>
      <c r="E595" t="e">
        <f>VLOOKUP(VLOOKUP(B595,SuiteCatSubElem!$G$2:$G$667,2,0),'SA Q4 18 VR'!$A$33:$O$193,1+MATCH(VLOOKUP(A595,Vendors!$A$2:$B$15,2,0),'SA Q4 18 VR'!$B$24:$O$24,0),0)</f>
        <v>#REF!</v>
      </c>
      <c r="F595" s="27">
        <v>1</v>
      </c>
      <c r="G595">
        <f>RFI_Elements!N598</f>
        <v>597</v>
      </c>
      <c r="I595" t="e">
        <f>VLOOKUP(B595,SuiteCatSubElem!$G$2:$G$667,2,0)</f>
        <v>#REF!</v>
      </c>
    </row>
    <row r="596" spans="1:9">
      <c r="A596">
        <f>RFI_Elements!B599</f>
        <v>8</v>
      </c>
      <c r="B596">
        <f>RFI_Elements!C599</f>
        <v>411</v>
      </c>
      <c r="C596">
        <v>598</v>
      </c>
      <c r="D596" s="128">
        <v>43101.003472164353</v>
      </c>
      <c r="E596" t="e">
        <f>VLOOKUP(VLOOKUP(B596,SuiteCatSubElem!$G$2:$G$667,2,0),'SA Q4 18 VR'!$A$33:$O$193,1+MATCH(VLOOKUP(A596,Vendors!$A$2:$B$15,2,0),'SA Q4 18 VR'!$B$24:$O$24,0),0)</f>
        <v>#REF!</v>
      </c>
      <c r="F596" s="27">
        <v>1</v>
      </c>
      <c r="G596">
        <f>RFI_Elements!N599</f>
        <v>598</v>
      </c>
      <c r="I596" t="e">
        <f>VLOOKUP(B596,SuiteCatSubElem!$G$2:$G$667,2,0)</f>
        <v>#REF!</v>
      </c>
    </row>
    <row r="597" spans="1:9">
      <c r="A597">
        <f>RFI_Elements!B600</f>
        <v>8</v>
      </c>
      <c r="B597">
        <f>RFI_Elements!C600</f>
        <v>412</v>
      </c>
      <c r="C597">
        <v>599</v>
      </c>
      <c r="D597" s="128">
        <v>43101.003472164353</v>
      </c>
      <c r="E597" t="e">
        <f>VLOOKUP(VLOOKUP(B597,SuiteCatSubElem!$G$2:$G$667,2,0),'SA Q4 18 VR'!$A$33:$O$193,1+MATCH(VLOOKUP(A597,Vendors!$A$2:$B$15,2,0),'SA Q4 18 VR'!$B$24:$O$24,0),0)</f>
        <v>#REF!</v>
      </c>
      <c r="F597" s="27">
        <v>1</v>
      </c>
      <c r="G597">
        <f>RFI_Elements!N600</f>
        <v>599</v>
      </c>
      <c r="I597" t="e">
        <f>VLOOKUP(B597,SuiteCatSubElem!$G$2:$G$667,2,0)</f>
        <v>#REF!</v>
      </c>
    </row>
    <row r="598" spans="1:9">
      <c r="A598">
        <f>RFI_Elements!B601</f>
        <v>8</v>
      </c>
      <c r="B598">
        <f>RFI_Elements!C601</f>
        <v>413</v>
      </c>
      <c r="C598">
        <v>600</v>
      </c>
      <c r="D598" s="128">
        <v>43101.003472164353</v>
      </c>
      <c r="E598" t="e">
        <f>VLOOKUP(VLOOKUP(B598,SuiteCatSubElem!$G$2:$G$667,2,0),'SA Q4 18 VR'!$A$33:$O$193,1+MATCH(VLOOKUP(A598,Vendors!$A$2:$B$15,2,0),'SA Q4 18 VR'!$B$24:$O$24,0),0)</f>
        <v>#REF!</v>
      </c>
      <c r="F598" s="27">
        <v>1</v>
      </c>
      <c r="G598">
        <f>RFI_Elements!N601</f>
        <v>600</v>
      </c>
      <c r="I598" t="e">
        <f>VLOOKUP(B598,SuiteCatSubElem!$G$2:$G$667,2,0)</f>
        <v>#REF!</v>
      </c>
    </row>
    <row r="599" spans="1:9">
      <c r="A599">
        <f>RFI_Elements!B602</f>
        <v>8</v>
      </c>
      <c r="B599">
        <f>RFI_Elements!C602</f>
        <v>414</v>
      </c>
      <c r="C599">
        <v>601</v>
      </c>
      <c r="D599" s="128">
        <v>43101.003472164353</v>
      </c>
      <c r="E599" t="e">
        <f>VLOOKUP(VLOOKUP(B599,SuiteCatSubElem!$G$2:$G$667,2,0),'SA Q4 18 VR'!$A$33:$O$193,1+MATCH(VLOOKUP(A599,Vendors!$A$2:$B$15,2,0),'SA Q4 18 VR'!$B$24:$O$24,0),0)</f>
        <v>#REF!</v>
      </c>
      <c r="F599" s="27">
        <v>1</v>
      </c>
      <c r="G599">
        <f>RFI_Elements!N602</f>
        <v>601</v>
      </c>
      <c r="I599" t="e">
        <f>VLOOKUP(B599,SuiteCatSubElem!$G$2:$G$667,2,0)</f>
        <v>#REF!</v>
      </c>
    </row>
    <row r="600" spans="1:9">
      <c r="A600">
        <f>RFI_Elements!B603</f>
        <v>8</v>
      </c>
      <c r="B600">
        <f>RFI_Elements!C603</f>
        <v>415</v>
      </c>
      <c r="C600">
        <v>602</v>
      </c>
      <c r="D600" s="128">
        <v>43101.003472164353</v>
      </c>
      <c r="E600" t="e">
        <f>VLOOKUP(VLOOKUP(B600,SuiteCatSubElem!$G$2:$G$667,2,0),'SA Q4 18 VR'!$A$33:$O$193,1+MATCH(VLOOKUP(A600,Vendors!$A$2:$B$15,2,0),'SA Q4 18 VR'!$B$24:$O$24,0),0)</f>
        <v>#REF!</v>
      </c>
      <c r="F600" s="27">
        <v>1</v>
      </c>
      <c r="G600">
        <f>RFI_Elements!N603</f>
        <v>602</v>
      </c>
      <c r="I600" t="e">
        <f>VLOOKUP(B600,SuiteCatSubElem!$G$2:$G$667,2,0)</f>
        <v>#REF!</v>
      </c>
    </row>
    <row r="601" spans="1:9">
      <c r="A601">
        <f>RFI_Elements!B604</f>
        <v>8</v>
      </c>
      <c r="B601">
        <f>RFI_Elements!C604</f>
        <v>416</v>
      </c>
      <c r="C601">
        <v>603</v>
      </c>
      <c r="D601" s="128">
        <v>43101.003472164353</v>
      </c>
      <c r="E601" t="e">
        <f>VLOOKUP(VLOOKUP(B601,SuiteCatSubElem!$G$2:$G$667,2,0),'SA Q4 18 VR'!$A$33:$O$193,1+MATCH(VLOOKUP(A601,Vendors!$A$2:$B$15,2,0),'SA Q4 18 VR'!$B$24:$O$24,0),0)</f>
        <v>#REF!</v>
      </c>
      <c r="F601" s="27">
        <v>1</v>
      </c>
      <c r="G601">
        <f>RFI_Elements!N604</f>
        <v>603</v>
      </c>
      <c r="I601" t="e">
        <f>VLOOKUP(B601,SuiteCatSubElem!$G$2:$G$667,2,0)</f>
        <v>#REF!</v>
      </c>
    </row>
    <row r="602" spans="1:9">
      <c r="A602">
        <f>RFI_Elements!B605</f>
        <v>8</v>
      </c>
      <c r="B602">
        <f>RFI_Elements!C605</f>
        <v>417</v>
      </c>
      <c r="C602">
        <v>604</v>
      </c>
      <c r="D602" s="128">
        <v>43101.003472164353</v>
      </c>
      <c r="E602" t="e">
        <f>VLOOKUP(VLOOKUP(B602,SuiteCatSubElem!$G$2:$G$667,2,0),'SA Q4 18 VR'!$A$33:$O$193,1+MATCH(VLOOKUP(A602,Vendors!$A$2:$B$15,2,0),'SA Q4 18 VR'!$B$24:$O$24,0),0)</f>
        <v>#REF!</v>
      </c>
      <c r="F602" s="27">
        <v>1</v>
      </c>
      <c r="G602">
        <f>RFI_Elements!N605</f>
        <v>604</v>
      </c>
      <c r="I602" t="e">
        <f>VLOOKUP(B602,SuiteCatSubElem!$G$2:$G$667,2,0)</f>
        <v>#REF!</v>
      </c>
    </row>
    <row r="603" spans="1:9">
      <c r="A603">
        <f>RFI_Elements!B606</f>
        <v>8</v>
      </c>
      <c r="B603">
        <f>RFI_Elements!C606</f>
        <v>418</v>
      </c>
      <c r="C603">
        <v>605</v>
      </c>
      <c r="D603" s="128">
        <v>43101.003472164353</v>
      </c>
      <c r="E603" t="e">
        <f>VLOOKUP(VLOOKUP(B603,SuiteCatSubElem!$G$2:$G$667,2,0),'SA Q4 18 VR'!$A$33:$O$193,1+MATCH(VLOOKUP(A603,Vendors!$A$2:$B$15,2,0),'SA Q4 18 VR'!$B$24:$O$24,0),0)</f>
        <v>#REF!</v>
      </c>
      <c r="F603" s="27">
        <v>1</v>
      </c>
      <c r="G603">
        <f>RFI_Elements!N606</f>
        <v>605</v>
      </c>
      <c r="I603" t="e">
        <f>VLOOKUP(B603,SuiteCatSubElem!$G$2:$G$667,2,0)</f>
        <v>#REF!</v>
      </c>
    </row>
    <row r="604" spans="1:9">
      <c r="A604">
        <f>RFI_Elements!B607</f>
        <v>8</v>
      </c>
      <c r="B604">
        <f>RFI_Elements!C607</f>
        <v>419</v>
      </c>
      <c r="C604">
        <v>606</v>
      </c>
      <c r="D604" s="128">
        <v>43101.003472164353</v>
      </c>
      <c r="E604" t="e">
        <f>VLOOKUP(VLOOKUP(B604,SuiteCatSubElem!$G$2:$G$667,2,0),'SA Q4 18 VR'!$A$33:$O$193,1+MATCH(VLOOKUP(A604,Vendors!$A$2:$B$15,2,0),'SA Q4 18 VR'!$B$24:$O$24,0),0)</f>
        <v>#REF!</v>
      </c>
      <c r="F604" s="27">
        <v>1</v>
      </c>
      <c r="G604">
        <f>RFI_Elements!N607</f>
        <v>606</v>
      </c>
      <c r="I604" t="e">
        <f>VLOOKUP(B604,SuiteCatSubElem!$G$2:$G$667,2,0)</f>
        <v>#REF!</v>
      </c>
    </row>
    <row r="605" spans="1:9">
      <c r="A605">
        <f>RFI_Elements!B608</f>
        <v>8</v>
      </c>
      <c r="B605">
        <f>RFI_Elements!C608</f>
        <v>420</v>
      </c>
      <c r="C605">
        <v>607</v>
      </c>
      <c r="D605" s="128">
        <v>43101.003472164353</v>
      </c>
      <c r="E605" t="e">
        <f>VLOOKUP(VLOOKUP(B605,SuiteCatSubElem!$G$2:$G$667,2,0),'SA Q4 18 VR'!$A$33:$O$193,1+MATCH(VLOOKUP(A605,Vendors!$A$2:$B$15,2,0),'SA Q4 18 VR'!$B$24:$O$24,0),0)</f>
        <v>#REF!</v>
      </c>
      <c r="F605" s="27">
        <v>1</v>
      </c>
      <c r="G605">
        <f>RFI_Elements!N608</f>
        <v>607</v>
      </c>
      <c r="I605" t="e">
        <f>VLOOKUP(B605,SuiteCatSubElem!$G$2:$G$667,2,0)</f>
        <v>#REF!</v>
      </c>
    </row>
    <row r="606" spans="1:9">
      <c r="A606">
        <f>RFI_Elements!B609</f>
        <v>8</v>
      </c>
      <c r="B606">
        <f>RFI_Elements!C609</f>
        <v>421</v>
      </c>
      <c r="C606">
        <v>608</v>
      </c>
      <c r="D606" s="128">
        <v>43101.003472164353</v>
      </c>
      <c r="E606" t="e">
        <f>VLOOKUP(VLOOKUP(B606,SuiteCatSubElem!$G$2:$G$667,2,0),'SA Q4 18 VR'!$A$33:$O$193,1+MATCH(VLOOKUP(A606,Vendors!$A$2:$B$15,2,0),'SA Q4 18 VR'!$B$24:$O$24,0),0)</f>
        <v>#REF!</v>
      </c>
      <c r="F606" s="27">
        <v>1</v>
      </c>
      <c r="G606">
        <f>RFI_Elements!N609</f>
        <v>608</v>
      </c>
      <c r="I606" t="e">
        <f>VLOOKUP(B606,SuiteCatSubElem!$G$2:$G$667,2,0)</f>
        <v>#REF!</v>
      </c>
    </row>
    <row r="607" spans="1:9">
      <c r="A607">
        <f>RFI_Elements!B610</f>
        <v>8</v>
      </c>
      <c r="B607">
        <f>RFI_Elements!C610</f>
        <v>422</v>
      </c>
      <c r="C607">
        <v>609</v>
      </c>
      <c r="D607" s="128">
        <v>43101.003472164353</v>
      </c>
      <c r="E607" t="e">
        <f>VLOOKUP(VLOOKUP(B607,SuiteCatSubElem!$G$2:$G$667,2,0),'SA Q4 18 VR'!$A$33:$O$193,1+MATCH(VLOOKUP(A607,Vendors!$A$2:$B$15,2,0),'SA Q4 18 VR'!$B$24:$O$24,0),0)</f>
        <v>#REF!</v>
      </c>
      <c r="F607" s="27">
        <v>1</v>
      </c>
      <c r="G607">
        <f>RFI_Elements!N610</f>
        <v>609</v>
      </c>
      <c r="I607" t="e">
        <f>VLOOKUP(B607,SuiteCatSubElem!$G$2:$G$667,2,0)</f>
        <v>#REF!</v>
      </c>
    </row>
    <row r="608" spans="1:9">
      <c r="A608">
        <f>RFI_Elements!B611</f>
        <v>8</v>
      </c>
      <c r="B608">
        <f>RFI_Elements!C611</f>
        <v>423</v>
      </c>
      <c r="C608">
        <v>610</v>
      </c>
      <c r="D608" s="128">
        <v>43101.003472164353</v>
      </c>
      <c r="E608" t="e">
        <f>VLOOKUP(VLOOKUP(B608,SuiteCatSubElem!$G$2:$G$667,2,0),'SA Q4 18 VR'!$A$33:$O$193,1+MATCH(VLOOKUP(A608,Vendors!$A$2:$B$15,2,0),'SA Q4 18 VR'!$B$24:$O$24,0),0)</f>
        <v>#REF!</v>
      </c>
      <c r="F608" s="27">
        <v>1</v>
      </c>
      <c r="G608">
        <f>RFI_Elements!N611</f>
        <v>610</v>
      </c>
      <c r="I608" t="e">
        <f>VLOOKUP(B608,SuiteCatSubElem!$G$2:$G$667,2,0)</f>
        <v>#REF!</v>
      </c>
    </row>
    <row r="609" spans="1:9">
      <c r="A609">
        <f>RFI_Elements!B612</f>
        <v>8</v>
      </c>
      <c r="B609">
        <f>RFI_Elements!C612</f>
        <v>424</v>
      </c>
      <c r="C609">
        <v>611</v>
      </c>
      <c r="D609" s="128">
        <v>43101.003472164353</v>
      </c>
      <c r="E609" t="e">
        <f>VLOOKUP(VLOOKUP(B609,SuiteCatSubElem!$G$2:$G$667,2,0),'SA Q4 18 VR'!$A$33:$O$193,1+MATCH(VLOOKUP(A609,Vendors!$A$2:$B$15,2,0),'SA Q4 18 VR'!$B$24:$O$24,0),0)</f>
        <v>#REF!</v>
      </c>
      <c r="F609" s="27">
        <v>1</v>
      </c>
      <c r="G609">
        <f>RFI_Elements!N612</f>
        <v>611</v>
      </c>
      <c r="I609" t="e">
        <f>VLOOKUP(B609,SuiteCatSubElem!$G$2:$G$667,2,0)</f>
        <v>#REF!</v>
      </c>
    </row>
    <row r="610" spans="1:9">
      <c r="A610">
        <f>RFI_Elements!B613</f>
        <v>8</v>
      </c>
      <c r="B610">
        <f>RFI_Elements!C613</f>
        <v>425</v>
      </c>
      <c r="C610">
        <v>612</v>
      </c>
      <c r="D610" s="128">
        <v>43101.003472164353</v>
      </c>
      <c r="E610" t="e">
        <f>VLOOKUP(VLOOKUP(B610,SuiteCatSubElem!$G$2:$G$667,2,0),'SA Q4 18 VR'!$A$33:$O$193,1+MATCH(VLOOKUP(A610,Vendors!$A$2:$B$15,2,0),'SA Q4 18 VR'!$B$24:$O$24,0),0)</f>
        <v>#REF!</v>
      </c>
      <c r="F610" s="27">
        <v>1</v>
      </c>
      <c r="G610">
        <f>RFI_Elements!N613</f>
        <v>612</v>
      </c>
      <c r="I610" t="e">
        <f>VLOOKUP(B610,SuiteCatSubElem!$G$2:$G$667,2,0)</f>
        <v>#REF!</v>
      </c>
    </row>
    <row r="611" spans="1:9">
      <c r="A611">
        <f>RFI_Elements!B614</f>
        <v>8</v>
      </c>
      <c r="B611">
        <f>RFI_Elements!C614</f>
        <v>426</v>
      </c>
      <c r="C611">
        <v>613</v>
      </c>
      <c r="D611" s="128">
        <v>43101.003472164353</v>
      </c>
      <c r="E611" t="e">
        <f>VLOOKUP(VLOOKUP(B611,SuiteCatSubElem!$G$2:$G$667,2,0),'SA Q4 18 VR'!$A$33:$O$193,1+MATCH(VLOOKUP(A611,Vendors!$A$2:$B$15,2,0),'SA Q4 18 VR'!$B$24:$O$24,0),0)</f>
        <v>#REF!</v>
      </c>
      <c r="F611" s="27">
        <v>1</v>
      </c>
      <c r="G611">
        <f>RFI_Elements!N614</f>
        <v>613</v>
      </c>
      <c r="I611" t="e">
        <f>VLOOKUP(B611,SuiteCatSubElem!$G$2:$G$667,2,0)</f>
        <v>#REF!</v>
      </c>
    </row>
    <row r="612" spans="1:9">
      <c r="A612">
        <f>RFI_Elements!B615</f>
        <v>8</v>
      </c>
      <c r="B612">
        <f>RFI_Elements!C615</f>
        <v>427</v>
      </c>
      <c r="C612">
        <v>614</v>
      </c>
      <c r="D612" s="128">
        <v>43101.003472164353</v>
      </c>
      <c r="E612" t="e">
        <f>VLOOKUP(VLOOKUP(B612,SuiteCatSubElem!$G$2:$G$667,2,0),'SA Q4 18 VR'!$A$33:$O$193,1+MATCH(VLOOKUP(A612,Vendors!$A$2:$B$15,2,0),'SA Q4 18 VR'!$B$24:$O$24,0),0)</f>
        <v>#REF!</v>
      </c>
      <c r="F612" s="27">
        <v>1</v>
      </c>
      <c r="G612">
        <f>RFI_Elements!N615</f>
        <v>614</v>
      </c>
      <c r="I612" t="e">
        <f>VLOOKUP(B612,SuiteCatSubElem!$G$2:$G$667,2,0)</f>
        <v>#REF!</v>
      </c>
    </row>
    <row r="613" spans="1:9">
      <c r="A613">
        <f>RFI_Elements!B616</f>
        <v>8</v>
      </c>
      <c r="B613">
        <f>RFI_Elements!C616</f>
        <v>428</v>
      </c>
      <c r="C613">
        <v>615</v>
      </c>
      <c r="D613" s="128">
        <v>43101.003472164353</v>
      </c>
      <c r="E613" t="e">
        <f>VLOOKUP(VLOOKUP(B613,SuiteCatSubElem!$G$2:$G$667,2,0),'SA Q4 18 VR'!$A$33:$O$193,1+MATCH(VLOOKUP(A613,Vendors!$A$2:$B$15,2,0),'SA Q4 18 VR'!$B$24:$O$24,0),0)</f>
        <v>#REF!</v>
      </c>
      <c r="F613" s="27">
        <v>1</v>
      </c>
      <c r="G613">
        <f>RFI_Elements!N616</f>
        <v>615</v>
      </c>
      <c r="I613" t="e">
        <f>VLOOKUP(B613,SuiteCatSubElem!$G$2:$G$667,2,0)</f>
        <v>#REF!</v>
      </c>
    </row>
    <row r="614" spans="1:9">
      <c r="A614">
        <f>RFI_Elements!B617</f>
        <v>8</v>
      </c>
      <c r="B614">
        <f>RFI_Elements!C617</f>
        <v>429</v>
      </c>
      <c r="C614">
        <v>616</v>
      </c>
      <c r="D614" s="128">
        <v>43101.003472164353</v>
      </c>
      <c r="E614" t="e">
        <f>VLOOKUP(VLOOKUP(B614,SuiteCatSubElem!$G$2:$G$667,2,0),'SA Q4 18 VR'!$A$33:$O$193,1+MATCH(VLOOKUP(A614,Vendors!$A$2:$B$15,2,0),'SA Q4 18 VR'!$B$24:$O$24,0),0)</f>
        <v>#REF!</v>
      </c>
      <c r="F614" s="27">
        <v>1</v>
      </c>
      <c r="G614">
        <f>RFI_Elements!N617</f>
        <v>616</v>
      </c>
      <c r="I614" t="e">
        <f>VLOOKUP(B614,SuiteCatSubElem!$G$2:$G$667,2,0)</f>
        <v>#REF!</v>
      </c>
    </row>
    <row r="615" spans="1:9">
      <c r="A615">
        <f>RFI_Elements!B618</f>
        <v>8</v>
      </c>
      <c r="B615">
        <f>RFI_Elements!C618</f>
        <v>430</v>
      </c>
      <c r="C615">
        <v>617</v>
      </c>
      <c r="D615" s="128">
        <v>43101.003472164353</v>
      </c>
      <c r="E615" t="e">
        <f>VLOOKUP(VLOOKUP(B615,SuiteCatSubElem!$G$2:$G$667,2,0),'SA Q4 18 VR'!$A$33:$O$193,1+MATCH(VLOOKUP(A615,Vendors!$A$2:$B$15,2,0),'SA Q4 18 VR'!$B$24:$O$24,0),0)</f>
        <v>#REF!</v>
      </c>
      <c r="F615" s="27">
        <v>1</v>
      </c>
      <c r="G615">
        <f>RFI_Elements!N618</f>
        <v>617</v>
      </c>
      <c r="I615" t="e">
        <f>VLOOKUP(B615,SuiteCatSubElem!$G$2:$G$667,2,0)</f>
        <v>#REF!</v>
      </c>
    </row>
    <row r="616" spans="1:9">
      <c r="A616">
        <f>RFI_Elements!B619</f>
        <v>8</v>
      </c>
      <c r="B616">
        <f>RFI_Elements!C619</f>
        <v>431</v>
      </c>
      <c r="C616">
        <v>618</v>
      </c>
      <c r="D616" s="128">
        <v>43101.003472164353</v>
      </c>
      <c r="E616" t="e">
        <f>VLOOKUP(VLOOKUP(B616,SuiteCatSubElem!$G$2:$G$667,2,0),'SA Q4 18 VR'!$A$33:$O$193,1+MATCH(VLOOKUP(A616,Vendors!$A$2:$B$15,2,0),'SA Q4 18 VR'!$B$24:$O$24,0),0)</f>
        <v>#REF!</v>
      </c>
      <c r="F616" s="27">
        <v>1</v>
      </c>
      <c r="G616">
        <f>RFI_Elements!N619</f>
        <v>618</v>
      </c>
      <c r="I616" t="e">
        <f>VLOOKUP(B616,SuiteCatSubElem!$G$2:$G$667,2,0)</f>
        <v>#REF!</v>
      </c>
    </row>
    <row r="617" spans="1:9">
      <c r="A617">
        <f>RFI_Elements!B620</f>
        <v>8</v>
      </c>
      <c r="B617">
        <f>RFI_Elements!C620</f>
        <v>432</v>
      </c>
      <c r="C617">
        <v>619</v>
      </c>
      <c r="D617" s="128">
        <v>43101.003472164353</v>
      </c>
      <c r="E617" t="e">
        <f>VLOOKUP(VLOOKUP(B617,SuiteCatSubElem!$G$2:$G$667,2,0),'SA Q4 18 VR'!$A$33:$O$193,1+MATCH(VLOOKUP(A617,Vendors!$A$2:$B$15,2,0),'SA Q4 18 VR'!$B$24:$O$24,0),0)</f>
        <v>#REF!</v>
      </c>
      <c r="F617" s="27">
        <v>1</v>
      </c>
      <c r="G617">
        <f>RFI_Elements!N620</f>
        <v>619</v>
      </c>
      <c r="I617" t="e">
        <f>VLOOKUP(B617,SuiteCatSubElem!$G$2:$G$667,2,0)</f>
        <v>#REF!</v>
      </c>
    </row>
    <row r="618" spans="1:9">
      <c r="A618">
        <f>RFI_Elements!B621</f>
        <v>8</v>
      </c>
      <c r="B618">
        <f>RFI_Elements!C621</f>
        <v>433</v>
      </c>
      <c r="C618">
        <v>620</v>
      </c>
      <c r="D618" s="128">
        <v>43101.003472164353</v>
      </c>
      <c r="E618" t="e">
        <f>VLOOKUP(VLOOKUP(B618,SuiteCatSubElem!$G$2:$G$667,2,0),'SA Q4 18 VR'!$A$33:$O$193,1+MATCH(VLOOKUP(A618,Vendors!$A$2:$B$15,2,0),'SA Q4 18 VR'!$B$24:$O$24,0),0)</f>
        <v>#REF!</v>
      </c>
      <c r="F618" s="27">
        <v>1</v>
      </c>
      <c r="G618">
        <f>RFI_Elements!N621</f>
        <v>620</v>
      </c>
      <c r="I618" t="e">
        <f>VLOOKUP(B618,SuiteCatSubElem!$G$2:$G$667,2,0)</f>
        <v>#REF!</v>
      </c>
    </row>
    <row r="619" spans="1:9">
      <c r="A619">
        <f>RFI_Elements!B622</f>
        <v>8</v>
      </c>
      <c r="B619">
        <f>RFI_Elements!C622</f>
        <v>434</v>
      </c>
      <c r="C619">
        <v>621</v>
      </c>
      <c r="D619" s="128">
        <v>43101.003472164353</v>
      </c>
      <c r="E619" t="e">
        <f>VLOOKUP(VLOOKUP(B619,SuiteCatSubElem!$G$2:$G$667,2,0),'SA Q4 18 VR'!$A$33:$O$193,1+MATCH(VLOOKUP(A619,Vendors!$A$2:$B$15,2,0),'SA Q4 18 VR'!$B$24:$O$24,0),0)</f>
        <v>#REF!</v>
      </c>
      <c r="F619" s="27">
        <v>1</v>
      </c>
      <c r="G619">
        <f>RFI_Elements!N622</f>
        <v>621</v>
      </c>
      <c r="I619" t="e">
        <f>VLOOKUP(B619,SuiteCatSubElem!$G$2:$G$667,2,0)</f>
        <v>#REF!</v>
      </c>
    </row>
    <row r="620" spans="1:9">
      <c r="A620">
        <f>RFI_Elements!B623</f>
        <v>8</v>
      </c>
      <c r="B620">
        <f>RFI_Elements!C623</f>
        <v>435</v>
      </c>
      <c r="C620">
        <v>622</v>
      </c>
      <c r="D620" s="128">
        <v>43101.003472164353</v>
      </c>
      <c r="E620" t="e">
        <f>VLOOKUP(VLOOKUP(B620,SuiteCatSubElem!$G$2:$G$667,2,0),'SA Q4 18 VR'!$A$33:$O$193,1+MATCH(VLOOKUP(A620,Vendors!$A$2:$B$15,2,0),'SA Q4 18 VR'!$B$24:$O$24,0),0)</f>
        <v>#REF!</v>
      </c>
      <c r="F620" s="27">
        <v>1</v>
      </c>
      <c r="G620">
        <f>RFI_Elements!N623</f>
        <v>622</v>
      </c>
      <c r="I620" t="e">
        <f>VLOOKUP(B620,SuiteCatSubElem!$G$2:$G$667,2,0)</f>
        <v>#REF!</v>
      </c>
    </row>
    <row r="621" spans="1:9">
      <c r="A621">
        <f>RFI_Elements!B624</f>
        <v>8</v>
      </c>
      <c r="B621">
        <f>RFI_Elements!C624</f>
        <v>436</v>
      </c>
      <c r="C621">
        <v>623</v>
      </c>
      <c r="D621" s="128">
        <v>43101.003472164353</v>
      </c>
      <c r="E621" t="e">
        <f>VLOOKUP(VLOOKUP(B621,SuiteCatSubElem!$G$2:$G$667,2,0),'SA Q4 18 VR'!$A$33:$O$193,1+MATCH(VLOOKUP(A621,Vendors!$A$2:$B$15,2,0),'SA Q4 18 VR'!$B$24:$O$24,0),0)</f>
        <v>#REF!</v>
      </c>
      <c r="F621" s="27">
        <v>1</v>
      </c>
      <c r="G621">
        <f>RFI_Elements!N624</f>
        <v>623</v>
      </c>
      <c r="I621" t="e">
        <f>VLOOKUP(B621,SuiteCatSubElem!$G$2:$G$667,2,0)</f>
        <v>#REF!</v>
      </c>
    </row>
    <row r="622" spans="1:9">
      <c r="A622">
        <f>RFI_Elements!B625</f>
        <v>8</v>
      </c>
      <c r="B622">
        <f>RFI_Elements!C625</f>
        <v>437</v>
      </c>
      <c r="C622">
        <v>624</v>
      </c>
      <c r="D622" s="128">
        <v>43101.003472164353</v>
      </c>
      <c r="E622" t="e">
        <f>VLOOKUP(VLOOKUP(B622,SuiteCatSubElem!$G$2:$G$667,2,0),'SA Q4 18 VR'!$A$33:$O$193,1+MATCH(VLOOKUP(A622,Vendors!$A$2:$B$15,2,0),'SA Q4 18 VR'!$B$24:$O$24,0),0)</f>
        <v>#REF!</v>
      </c>
      <c r="F622" s="27">
        <v>1</v>
      </c>
      <c r="G622">
        <f>RFI_Elements!N625</f>
        <v>624</v>
      </c>
      <c r="I622" t="e">
        <f>VLOOKUP(B622,SuiteCatSubElem!$G$2:$G$667,2,0)</f>
        <v>#REF!</v>
      </c>
    </row>
    <row r="623" spans="1:9">
      <c r="A623">
        <f>RFI_Elements!B626</f>
        <v>8</v>
      </c>
      <c r="B623">
        <f>RFI_Elements!C626</f>
        <v>438</v>
      </c>
      <c r="C623">
        <v>625</v>
      </c>
      <c r="D623" s="128">
        <v>43101.003472164353</v>
      </c>
      <c r="E623" t="e">
        <f>VLOOKUP(VLOOKUP(B623,SuiteCatSubElem!$G$2:$G$667,2,0),'SA Q4 18 VR'!$A$33:$O$193,1+MATCH(VLOOKUP(A623,Vendors!$A$2:$B$15,2,0),'SA Q4 18 VR'!$B$24:$O$24,0),0)</f>
        <v>#REF!</v>
      </c>
      <c r="F623" s="27">
        <v>1</v>
      </c>
      <c r="G623">
        <f>RFI_Elements!N626</f>
        <v>625</v>
      </c>
      <c r="I623" t="e">
        <f>VLOOKUP(B623,SuiteCatSubElem!$G$2:$G$667,2,0)</f>
        <v>#REF!</v>
      </c>
    </row>
    <row r="624" spans="1:9">
      <c r="A624">
        <f>RFI_Elements!B627</f>
        <v>8</v>
      </c>
      <c r="B624">
        <f>RFI_Elements!C627</f>
        <v>439</v>
      </c>
      <c r="C624">
        <v>626</v>
      </c>
      <c r="D624" s="128">
        <v>43101.003472164353</v>
      </c>
      <c r="E624" t="e">
        <f>VLOOKUP(VLOOKUP(B624,SuiteCatSubElem!$G$2:$G$667,2,0),'SA Q4 18 VR'!$A$33:$O$193,1+MATCH(VLOOKUP(A624,Vendors!$A$2:$B$15,2,0),'SA Q4 18 VR'!$B$24:$O$24,0),0)</f>
        <v>#REF!</v>
      </c>
      <c r="F624" s="27">
        <v>1</v>
      </c>
      <c r="G624">
        <f>RFI_Elements!N627</f>
        <v>626</v>
      </c>
      <c r="I624" t="e">
        <f>VLOOKUP(B624,SuiteCatSubElem!$G$2:$G$667,2,0)</f>
        <v>#REF!</v>
      </c>
    </row>
    <row r="625" spans="1:9">
      <c r="A625">
        <f>RFI_Elements!B628</f>
        <v>8</v>
      </c>
      <c r="B625">
        <f>RFI_Elements!C628</f>
        <v>440</v>
      </c>
      <c r="C625">
        <v>627</v>
      </c>
      <c r="D625" s="128">
        <v>43101.003472164353</v>
      </c>
      <c r="E625" t="e">
        <f>VLOOKUP(VLOOKUP(B625,SuiteCatSubElem!$G$2:$G$667,2,0),'SA Q4 18 VR'!$A$33:$O$193,1+MATCH(VLOOKUP(A625,Vendors!$A$2:$B$15,2,0),'SA Q4 18 VR'!$B$24:$O$24,0),0)</f>
        <v>#REF!</v>
      </c>
      <c r="F625" s="27">
        <v>1</v>
      </c>
      <c r="G625">
        <f>RFI_Elements!N628</f>
        <v>627</v>
      </c>
      <c r="I625" t="e">
        <f>VLOOKUP(B625,SuiteCatSubElem!$G$2:$G$667,2,0)</f>
        <v>#REF!</v>
      </c>
    </row>
    <row r="626" spans="1:9">
      <c r="A626">
        <f>RFI_Elements!B629</f>
        <v>8</v>
      </c>
      <c r="B626">
        <f>RFI_Elements!C629</f>
        <v>441</v>
      </c>
      <c r="C626">
        <v>628</v>
      </c>
      <c r="D626" s="128">
        <v>43101.003472164353</v>
      </c>
      <c r="E626" t="e">
        <f>VLOOKUP(VLOOKUP(B626,SuiteCatSubElem!$G$2:$G$667,2,0),'SA Q4 18 VR'!$A$33:$O$193,1+MATCH(VLOOKUP(A626,Vendors!$A$2:$B$15,2,0),'SA Q4 18 VR'!$B$24:$O$24,0),0)</f>
        <v>#REF!</v>
      </c>
      <c r="F626" s="27">
        <v>1</v>
      </c>
      <c r="G626">
        <f>RFI_Elements!N629</f>
        <v>628</v>
      </c>
      <c r="I626" t="e">
        <f>VLOOKUP(B626,SuiteCatSubElem!$G$2:$G$667,2,0)</f>
        <v>#REF!</v>
      </c>
    </row>
    <row r="627" spans="1:9">
      <c r="A627">
        <f>RFI_Elements!B630</f>
        <v>8</v>
      </c>
      <c r="B627">
        <f>RFI_Elements!C630</f>
        <v>442</v>
      </c>
      <c r="C627">
        <v>629</v>
      </c>
      <c r="D627" s="128">
        <v>43101.003472164353</v>
      </c>
      <c r="E627" t="e">
        <f>VLOOKUP(VLOOKUP(B627,SuiteCatSubElem!$G$2:$G$667,2,0),'SA Q4 18 VR'!$A$33:$O$193,1+MATCH(VLOOKUP(A627,Vendors!$A$2:$B$15,2,0),'SA Q4 18 VR'!$B$24:$O$24,0),0)</f>
        <v>#REF!</v>
      </c>
      <c r="F627" s="27">
        <v>1</v>
      </c>
      <c r="G627">
        <f>RFI_Elements!N630</f>
        <v>629</v>
      </c>
      <c r="I627" t="e">
        <f>VLOOKUP(B627,SuiteCatSubElem!$G$2:$G$667,2,0)</f>
        <v>#REF!</v>
      </c>
    </row>
    <row r="628" spans="1:9">
      <c r="A628">
        <f>RFI_Elements!B631</f>
        <v>8</v>
      </c>
      <c r="B628">
        <f>RFI_Elements!C631</f>
        <v>443</v>
      </c>
      <c r="C628">
        <v>630</v>
      </c>
      <c r="D628" s="128">
        <v>43101.003472164353</v>
      </c>
      <c r="E628" t="e">
        <f>VLOOKUP(VLOOKUP(B628,SuiteCatSubElem!$G$2:$G$667,2,0),'SA Q4 18 VR'!$A$33:$O$193,1+MATCH(VLOOKUP(A628,Vendors!$A$2:$B$15,2,0),'SA Q4 18 VR'!$B$24:$O$24,0),0)</f>
        <v>#REF!</v>
      </c>
      <c r="F628" s="27">
        <v>1</v>
      </c>
      <c r="G628">
        <f>RFI_Elements!N631</f>
        <v>630</v>
      </c>
      <c r="I628" t="e">
        <f>VLOOKUP(B628,SuiteCatSubElem!$G$2:$G$667,2,0)</f>
        <v>#REF!</v>
      </c>
    </row>
    <row r="629" spans="1:9">
      <c r="A629">
        <f>RFI_Elements!B632</f>
        <v>8</v>
      </c>
      <c r="B629">
        <f>RFI_Elements!C632</f>
        <v>444</v>
      </c>
      <c r="C629">
        <v>631</v>
      </c>
      <c r="D629" s="128">
        <v>43101.003472164353</v>
      </c>
      <c r="E629" t="e">
        <f>VLOOKUP(VLOOKUP(B629,SuiteCatSubElem!$G$2:$G$667,2,0),'SA Q4 18 VR'!$A$33:$O$193,1+MATCH(VLOOKUP(A629,Vendors!$A$2:$B$15,2,0),'SA Q4 18 VR'!$B$24:$O$24,0),0)</f>
        <v>#REF!</v>
      </c>
      <c r="F629" s="27">
        <v>1</v>
      </c>
      <c r="G629">
        <f>RFI_Elements!N632</f>
        <v>631</v>
      </c>
      <c r="I629" t="e">
        <f>VLOOKUP(B629,SuiteCatSubElem!$G$2:$G$667,2,0)</f>
        <v>#REF!</v>
      </c>
    </row>
    <row r="630" spans="1:9">
      <c r="A630">
        <f>RFI_Elements!B633</f>
        <v>8</v>
      </c>
      <c r="B630">
        <f>RFI_Elements!C633</f>
        <v>445</v>
      </c>
      <c r="C630">
        <v>632</v>
      </c>
      <c r="D630" s="128">
        <v>43101.003472164353</v>
      </c>
      <c r="E630" t="e">
        <f>VLOOKUP(VLOOKUP(B630,SuiteCatSubElem!$G$2:$G$667,2,0),'SA Q4 18 VR'!$A$33:$O$193,1+MATCH(VLOOKUP(A630,Vendors!$A$2:$B$15,2,0),'SA Q4 18 VR'!$B$24:$O$24,0),0)</f>
        <v>#REF!</v>
      </c>
      <c r="F630" s="27">
        <v>1</v>
      </c>
      <c r="G630">
        <f>RFI_Elements!N633</f>
        <v>632</v>
      </c>
      <c r="I630" t="e">
        <f>VLOOKUP(B630,SuiteCatSubElem!$G$2:$G$667,2,0)</f>
        <v>#REF!</v>
      </c>
    </row>
    <row r="631" spans="1:9">
      <c r="A631">
        <f>RFI_Elements!B634</f>
        <v>8</v>
      </c>
      <c r="B631">
        <f>RFI_Elements!C634</f>
        <v>446</v>
      </c>
      <c r="C631">
        <v>633</v>
      </c>
      <c r="D631" s="128">
        <v>43101.003472164353</v>
      </c>
      <c r="E631" t="e">
        <f>VLOOKUP(VLOOKUP(B631,SuiteCatSubElem!$G$2:$G$667,2,0),'SA Q4 18 VR'!$A$33:$O$193,1+MATCH(VLOOKUP(A631,Vendors!$A$2:$B$15,2,0),'SA Q4 18 VR'!$B$24:$O$24,0),0)</f>
        <v>#REF!</v>
      </c>
      <c r="F631" s="27">
        <v>1</v>
      </c>
      <c r="G631">
        <f>RFI_Elements!N634</f>
        <v>633</v>
      </c>
      <c r="I631" t="e">
        <f>VLOOKUP(B631,SuiteCatSubElem!$G$2:$G$667,2,0)</f>
        <v>#REF!</v>
      </c>
    </row>
    <row r="632" spans="1:9">
      <c r="A632">
        <f>RFI_Elements!B635</f>
        <v>8</v>
      </c>
      <c r="B632">
        <f>RFI_Elements!C635</f>
        <v>447</v>
      </c>
      <c r="C632">
        <v>634</v>
      </c>
      <c r="D632" s="128">
        <v>43101.003472164353</v>
      </c>
      <c r="E632" t="e">
        <f>VLOOKUP(VLOOKUP(B632,SuiteCatSubElem!$G$2:$G$667,2,0),'SA Q4 18 VR'!$A$33:$O$193,1+MATCH(VLOOKUP(A632,Vendors!$A$2:$B$15,2,0),'SA Q4 18 VR'!$B$24:$O$24,0),0)</f>
        <v>#REF!</v>
      </c>
      <c r="F632" s="27">
        <v>1</v>
      </c>
      <c r="G632">
        <f>RFI_Elements!N635</f>
        <v>634</v>
      </c>
      <c r="I632" t="e">
        <f>VLOOKUP(B632,SuiteCatSubElem!$G$2:$G$667,2,0)</f>
        <v>#REF!</v>
      </c>
    </row>
    <row r="633" spans="1:9">
      <c r="A633">
        <f>RFI_Elements!B636</f>
        <v>8</v>
      </c>
      <c r="B633">
        <f>RFI_Elements!C636</f>
        <v>448</v>
      </c>
      <c r="C633">
        <v>635</v>
      </c>
      <c r="D633" s="128">
        <v>43101.003472164353</v>
      </c>
      <c r="E633" t="e">
        <f>VLOOKUP(VLOOKUP(B633,SuiteCatSubElem!$G$2:$G$667,2,0),'SA Q4 18 VR'!$A$33:$O$193,1+MATCH(VLOOKUP(A633,Vendors!$A$2:$B$15,2,0),'SA Q4 18 VR'!$B$24:$O$24,0),0)</f>
        <v>#REF!</v>
      </c>
      <c r="F633" s="27">
        <v>1</v>
      </c>
      <c r="G633">
        <f>RFI_Elements!N636</f>
        <v>635</v>
      </c>
      <c r="I633" t="e">
        <f>VLOOKUP(B633,SuiteCatSubElem!$G$2:$G$667,2,0)</f>
        <v>#REF!</v>
      </c>
    </row>
    <row r="634" spans="1:9">
      <c r="A634">
        <f>RFI_Elements!B637</f>
        <v>8</v>
      </c>
      <c r="B634">
        <f>RFI_Elements!C637</f>
        <v>449</v>
      </c>
      <c r="C634">
        <v>636</v>
      </c>
      <c r="D634" s="128">
        <v>43101.003472164353</v>
      </c>
      <c r="E634" t="e">
        <f>VLOOKUP(VLOOKUP(B634,SuiteCatSubElem!$G$2:$G$667,2,0),'SA Q4 18 VR'!$A$33:$O$193,1+MATCH(VLOOKUP(A634,Vendors!$A$2:$B$15,2,0),'SA Q4 18 VR'!$B$24:$O$24,0),0)</f>
        <v>#REF!</v>
      </c>
      <c r="F634" s="27">
        <v>1</v>
      </c>
      <c r="G634">
        <f>RFI_Elements!N637</f>
        <v>636</v>
      </c>
      <c r="I634" t="e">
        <f>VLOOKUP(B634,SuiteCatSubElem!$G$2:$G$667,2,0)</f>
        <v>#REF!</v>
      </c>
    </row>
    <row r="635" spans="1:9">
      <c r="A635">
        <f>RFI_Elements!B638</f>
        <v>8</v>
      </c>
      <c r="B635">
        <f>RFI_Elements!C638</f>
        <v>450</v>
      </c>
      <c r="C635">
        <v>637</v>
      </c>
      <c r="D635" s="128">
        <v>43101.003472164353</v>
      </c>
      <c r="E635" t="e">
        <f>VLOOKUP(VLOOKUP(B635,SuiteCatSubElem!$G$2:$G$667,2,0),'SA Q4 18 VR'!$A$33:$O$193,1+MATCH(VLOOKUP(A635,Vendors!$A$2:$B$15,2,0),'SA Q4 18 VR'!$B$24:$O$24,0),0)</f>
        <v>#REF!</v>
      </c>
      <c r="F635" s="27">
        <v>1</v>
      </c>
      <c r="G635">
        <f>RFI_Elements!N638</f>
        <v>637</v>
      </c>
      <c r="I635" t="e">
        <f>VLOOKUP(B635,SuiteCatSubElem!$G$2:$G$667,2,0)</f>
        <v>#REF!</v>
      </c>
    </row>
    <row r="636" spans="1:9">
      <c r="A636">
        <f>RFI_Elements!B639</f>
        <v>8</v>
      </c>
      <c r="B636">
        <f>RFI_Elements!C639</f>
        <v>451</v>
      </c>
      <c r="C636">
        <v>638</v>
      </c>
      <c r="D636" s="128">
        <v>43101.003472164353</v>
      </c>
      <c r="E636" t="e">
        <f>VLOOKUP(VLOOKUP(B636,SuiteCatSubElem!$G$2:$G$667,2,0),'SA Q4 18 VR'!$A$33:$O$193,1+MATCH(VLOOKUP(A636,Vendors!$A$2:$B$15,2,0),'SA Q4 18 VR'!$B$24:$O$24,0),0)</f>
        <v>#REF!</v>
      </c>
      <c r="F636" s="27">
        <v>1</v>
      </c>
      <c r="G636">
        <f>RFI_Elements!N639</f>
        <v>638</v>
      </c>
      <c r="I636" t="e">
        <f>VLOOKUP(B636,SuiteCatSubElem!$G$2:$G$667,2,0)</f>
        <v>#REF!</v>
      </c>
    </row>
    <row r="637" spans="1:9">
      <c r="A637">
        <f>RFI_Elements!B640</f>
        <v>8</v>
      </c>
      <c r="B637">
        <f>RFI_Elements!C640</f>
        <v>452</v>
      </c>
      <c r="C637">
        <v>639</v>
      </c>
      <c r="D637" s="128">
        <v>43101.003472164353</v>
      </c>
      <c r="E637" t="e">
        <f>VLOOKUP(VLOOKUP(B637,SuiteCatSubElem!$G$2:$G$667,2,0),'SA Q4 18 VR'!$A$33:$O$193,1+MATCH(VLOOKUP(A637,Vendors!$A$2:$B$15,2,0),'SA Q4 18 VR'!$B$24:$O$24,0),0)</f>
        <v>#REF!</v>
      </c>
      <c r="F637" s="27">
        <v>1</v>
      </c>
      <c r="G637">
        <f>RFI_Elements!N640</f>
        <v>639</v>
      </c>
      <c r="I637" t="e">
        <f>VLOOKUP(B637,SuiteCatSubElem!$G$2:$G$667,2,0)</f>
        <v>#REF!</v>
      </c>
    </row>
    <row r="638" spans="1:9">
      <c r="A638">
        <f>RFI_Elements!B641</f>
        <v>8</v>
      </c>
      <c r="B638">
        <f>RFI_Elements!C641</f>
        <v>453</v>
      </c>
      <c r="C638">
        <v>640</v>
      </c>
      <c r="D638" s="128">
        <v>43101.003472164353</v>
      </c>
      <c r="E638" t="e">
        <f>VLOOKUP(VLOOKUP(B638,SuiteCatSubElem!$G$2:$G$667,2,0),'SA Q4 18 VR'!$A$33:$O$193,1+MATCH(VLOOKUP(A638,Vendors!$A$2:$B$15,2,0),'SA Q4 18 VR'!$B$24:$O$24,0),0)</f>
        <v>#REF!</v>
      </c>
      <c r="F638" s="27">
        <v>1</v>
      </c>
      <c r="G638">
        <f>RFI_Elements!N641</f>
        <v>640</v>
      </c>
      <c r="I638" t="e">
        <f>VLOOKUP(B638,SuiteCatSubElem!$G$2:$G$667,2,0)</f>
        <v>#REF!</v>
      </c>
    </row>
    <row r="639" spans="1:9">
      <c r="A639">
        <f>RFI_Elements!B642</f>
        <v>8</v>
      </c>
      <c r="B639">
        <f>RFI_Elements!C642</f>
        <v>454</v>
      </c>
      <c r="C639">
        <v>641</v>
      </c>
      <c r="D639" s="128">
        <v>43101.003472164353</v>
      </c>
      <c r="E639" t="e">
        <f>VLOOKUP(VLOOKUP(B639,SuiteCatSubElem!$G$2:$G$667,2,0),'SA Q4 18 VR'!$A$33:$O$193,1+MATCH(VLOOKUP(A639,Vendors!$A$2:$B$15,2,0),'SA Q4 18 VR'!$B$24:$O$24,0),0)</f>
        <v>#REF!</v>
      </c>
      <c r="F639" s="27">
        <v>1</v>
      </c>
      <c r="G639">
        <f>RFI_Elements!N642</f>
        <v>641</v>
      </c>
      <c r="I639" t="e">
        <f>VLOOKUP(B639,SuiteCatSubElem!$G$2:$G$667,2,0)</f>
        <v>#REF!</v>
      </c>
    </row>
    <row r="640" spans="1:9">
      <c r="A640">
        <f>RFI_Elements!B643</f>
        <v>8</v>
      </c>
      <c r="B640">
        <f>RFI_Elements!C643</f>
        <v>455</v>
      </c>
      <c r="C640">
        <v>642</v>
      </c>
      <c r="D640" s="128">
        <v>43101.003472164353</v>
      </c>
      <c r="E640" t="e">
        <f>VLOOKUP(VLOOKUP(B640,SuiteCatSubElem!$G$2:$G$667,2,0),'SA Q4 18 VR'!$A$33:$O$193,1+MATCH(VLOOKUP(A640,Vendors!$A$2:$B$15,2,0),'SA Q4 18 VR'!$B$24:$O$24,0),0)</f>
        <v>#REF!</v>
      </c>
      <c r="F640" s="27">
        <v>1</v>
      </c>
      <c r="G640">
        <f>RFI_Elements!N643</f>
        <v>642</v>
      </c>
      <c r="I640" t="e">
        <f>VLOOKUP(B640,SuiteCatSubElem!$G$2:$G$667,2,0)</f>
        <v>#REF!</v>
      </c>
    </row>
    <row r="641" spans="1:9">
      <c r="A641">
        <f>RFI_Elements!B644</f>
        <v>8</v>
      </c>
      <c r="B641">
        <f>RFI_Elements!C644</f>
        <v>456</v>
      </c>
      <c r="C641">
        <v>643</v>
      </c>
      <c r="D641" s="128">
        <v>43101.003472164353</v>
      </c>
      <c r="E641" t="e">
        <f>VLOOKUP(VLOOKUP(B641,SuiteCatSubElem!$G$2:$G$667,2,0),'SA Q4 18 VR'!$A$33:$O$193,1+MATCH(VLOOKUP(A641,Vendors!$A$2:$B$15,2,0),'SA Q4 18 VR'!$B$24:$O$24,0),0)</f>
        <v>#REF!</v>
      </c>
      <c r="F641" s="27">
        <v>1</v>
      </c>
      <c r="G641">
        <f>RFI_Elements!N644</f>
        <v>643</v>
      </c>
      <c r="I641" t="e">
        <f>VLOOKUP(B641,SuiteCatSubElem!$G$2:$G$667,2,0)</f>
        <v>#REF!</v>
      </c>
    </row>
    <row r="642" spans="1:9">
      <c r="A642">
        <f>RFI_Elements!B645</f>
        <v>8</v>
      </c>
      <c r="B642">
        <f>RFI_Elements!C645</f>
        <v>457</v>
      </c>
      <c r="C642">
        <v>644</v>
      </c>
      <c r="D642" s="128">
        <v>43101.003472164353</v>
      </c>
      <c r="E642" t="e">
        <f>VLOOKUP(VLOOKUP(B642,SuiteCatSubElem!$G$2:$G$667,2,0),'SA Q4 18 VR'!$A$33:$O$193,1+MATCH(VLOOKUP(A642,Vendors!$A$2:$B$15,2,0),'SA Q4 18 VR'!$B$24:$O$24,0),0)</f>
        <v>#REF!</v>
      </c>
      <c r="F642" s="27">
        <v>1</v>
      </c>
      <c r="G642">
        <f>RFI_Elements!N645</f>
        <v>644</v>
      </c>
      <c r="I642" t="e">
        <f>VLOOKUP(B642,SuiteCatSubElem!$G$2:$G$667,2,0)</f>
        <v>#REF!</v>
      </c>
    </row>
    <row r="643" spans="1:9">
      <c r="A643">
        <f>RFI_Elements!B646</f>
        <v>8</v>
      </c>
      <c r="B643">
        <f>RFI_Elements!C646</f>
        <v>458</v>
      </c>
      <c r="C643">
        <v>645</v>
      </c>
      <c r="D643" s="128">
        <v>43101.003472164353</v>
      </c>
      <c r="E643" t="e">
        <f>VLOOKUP(VLOOKUP(B643,SuiteCatSubElem!$G$2:$G$667,2,0),'SA Q4 18 VR'!$A$33:$O$193,1+MATCH(VLOOKUP(A643,Vendors!$A$2:$B$15,2,0),'SA Q4 18 VR'!$B$24:$O$24,0),0)</f>
        <v>#REF!</v>
      </c>
      <c r="F643" s="27">
        <v>1</v>
      </c>
      <c r="G643">
        <f>RFI_Elements!N646</f>
        <v>645</v>
      </c>
      <c r="I643" t="e">
        <f>VLOOKUP(B643,SuiteCatSubElem!$G$2:$G$667,2,0)</f>
        <v>#REF!</v>
      </c>
    </row>
    <row r="644" spans="1:9">
      <c r="A644">
        <f>RFI_Elements!B647</f>
        <v>8</v>
      </c>
      <c r="B644">
        <f>RFI_Elements!C647</f>
        <v>459</v>
      </c>
      <c r="C644">
        <v>646</v>
      </c>
      <c r="D644" s="128">
        <v>43101.003472164353</v>
      </c>
      <c r="E644" t="e">
        <f>VLOOKUP(VLOOKUP(B644,SuiteCatSubElem!$G$2:$G$667,2,0),'SA Q4 18 VR'!$A$33:$O$193,1+MATCH(VLOOKUP(A644,Vendors!$A$2:$B$15,2,0),'SA Q4 18 VR'!$B$24:$O$24,0),0)</f>
        <v>#REF!</v>
      </c>
      <c r="F644" s="27">
        <v>1</v>
      </c>
      <c r="G644">
        <f>RFI_Elements!N647</f>
        <v>646</v>
      </c>
      <c r="I644" t="e">
        <f>VLOOKUP(B644,SuiteCatSubElem!$G$2:$G$667,2,0)</f>
        <v>#REF!</v>
      </c>
    </row>
    <row r="645" spans="1:9">
      <c r="A645">
        <f>RFI_Elements!B648</f>
        <v>8</v>
      </c>
      <c r="B645">
        <f>RFI_Elements!C648</f>
        <v>460</v>
      </c>
      <c r="C645">
        <v>647</v>
      </c>
      <c r="D645" s="128">
        <v>43101.003472164353</v>
      </c>
      <c r="E645" t="e">
        <f>VLOOKUP(VLOOKUP(B645,SuiteCatSubElem!$G$2:$G$667,2,0),'SA Q4 18 VR'!$A$33:$O$193,1+MATCH(VLOOKUP(A645,Vendors!$A$2:$B$15,2,0),'SA Q4 18 VR'!$B$24:$O$24,0),0)</f>
        <v>#REF!</v>
      </c>
      <c r="F645" s="27">
        <v>1</v>
      </c>
      <c r="G645">
        <f>RFI_Elements!N648</f>
        <v>647</v>
      </c>
      <c r="I645" t="e">
        <f>VLOOKUP(B645,SuiteCatSubElem!$G$2:$G$667,2,0)</f>
        <v>#REF!</v>
      </c>
    </row>
    <row r="646" spans="1:9">
      <c r="A646">
        <f>RFI_Elements!B649</f>
        <v>8</v>
      </c>
      <c r="B646">
        <f>RFI_Elements!C649</f>
        <v>461</v>
      </c>
      <c r="C646">
        <v>648</v>
      </c>
      <c r="D646" s="128">
        <v>43101.003472164353</v>
      </c>
      <c r="E646" t="e">
        <f>VLOOKUP(VLOOKUP(B646,SuiteCatSubElem!$G$2:$G$667,2,0),'SA Q4 18 VR'!$A$33:$O$193,1+MATCH(VLOOKUP(A646,Vendors!$A$2:$B$15,2,0),'SA Q4 18 VR'!$B$24:$O$24,0),0)</f>
        <v>#REF!</v>
      </c>
      <c r="F646" s="27">
        <v>1</v>
      </c>
      <c r="G646">
        <f>RFI_Elements!N649</f>
        <v>648</v>
      </c>
      <c r="I646" t="e">
        <f>VLOOKUP(B646,SuiteCatSubElem!$G$2:$G$667,2,0)</f>
        <v>#REF!</v>
      </c>
    </row>
    <row r="647" spans="1:9">
      <c r="A647">
        <f>RFI_Elements!B650</f>
        <v>8</v>
      </c>
      <c r="B647">
        <f>RFI_Elements!C650</f>
        <v>462</v>
      </c>
      <c r="C647">
        <v>649</v>
      </c>
      <c r="D647" s="128">
        <v>43101.003472164353</v>
      </c>
      <c r="E647" t="e">
        <f>VLOOKUP(VLOOKUP(B647,SuiteCatSubElem!$G$2:$G$667,2,0),'SA Q4 18 VR'!$A$33:$O$193,1+MATCH(VLOOKUP(A647,Vendors!$A$2:$B$15,2,0),'SA Q4 18 VR'!$B$24:$O$24,0),0)</f>
        <v>#REF!</v>
      </c>
      <c r="F647" s="27">
        <v>1</v>
      </c>
      <c r="G647">
        <f>RFI_Elements!N650</f>
        <v>649</v>
      </c>
      <c r="I647" t="e">
        <f>VLOOKUP(B647,SuiteCatSubElem!$G$2:$G$667,2,0)</f>
        <v>#REF!</v>
      </c>
    </row>
    <row r="648" spans="1:9">
      <c r="A648">
        <f>RFI_Elements!B651</f>
        <v>8</v>
      </c>
      <c r="B648">
        <f>RFI_Elements!C651</f>
        <v>463</v>
      </c>
      <c r="C648">
        <v>650</v>
      </c>
      <c r="D648" s="128">
        <v>43101.003472164353</v>
      </c>
      <c r="E648" t="e">
        <f>VLOOKUP(VLOOKUP(B648,SuiteCatSubElem!$G$2:$G$667,2,0),'SA Q4 18 VR'!$A$33:$O$193,1+MATCH(VLOOKUP(A648,Vendors!$A$2:$B$15,2,0),'SA Q4 18 VR'!$B$24:$O$24,0),0)</f>
        <v>#REF!</v>
      </c>
      <c r="F648" s="27">
        <v>1</v>
      </c>
      <c r="G648">
        <f>RFI_Elements!N651</f>
        <v>650</v>
      </c>
      <c r="I648" t="e">
        <f>VLOOKUP(B648,SuiteCatSubElem!$G$2:$G$667,2,0)</f>
        <v>#REF!</v>
      </c>
    </row>
    <row r="649" spans="1:9">
      <c r="A649">
        <f>RFI_Elements!B652</f>
        <v>8</v>
      </c>
      <c r="B649">
        <f>RFI_Elements!C652</f>
        <v>464</v>
      </c>
      <c r="C649">
        <v>651</v>
      </c>
      <c r="D649" s="128">
        <v>43101.003472164353</v>
      </c>
      <c r="E649" t="e">
        <f>VLOOKUP(VLOOKUP(B649,SuiteCatSubElem!$G$2:$G$667,2,0),'SA Q4 18 VR'!$A$33:$O$193,1+MATCH(VLOOKUP(A649,Vendors!$A$2:$B$15,2,0),'SA Q4 18 VR'!$B$24:$O$24,0),0)</f>
        <v>#REF!</v>
      </c>
      <c r="F649" s="27">
        <v>1</v>
      </c>
      <c r="G649">
        <f>RFI_Elements!N652</f>
        <v>651</v>
      </c>
      <c r="I649" t="e">
        <f>VLOOKUP(B649,SuiteCatSubElem!$G$2:$G$667,2,0)</f>
        <v>#REF!</v>
      </c>
    </row>
    <row r="650" spans="1:9">
      <c r="A650">
        <f>RFI_Elements!B653</f>
        <v>8</v>
      </c>
      <c r="B650">
        <f>RFI_Elements!C653</f>
        <v>465</v>
      </c>
      <c r="C650">
        <v>652</v>
      </c>
      <c r="D650" s="128">
        <v>43101.003472164353</v>
      </c>
      <c r="E650" t="e">
        <f>VLOOKUP(VLOOKUP(B650,SuiteCatSubElem!$G$2:$G$667,2,0),'SA Q4 18 VR'!$A$33:$O$193,1+MATCH(VLOOKUP(A650,Vendors!$A$2:$B$15,2,0),'SA Q4 18 VR'!$B$24:$O$24,0),0)</f>
        <v>#REF!</v>
      </c>
      <c r="F650" s="27">
        <v>1</v>
      </c>
      <c r="G650">
        <f>RFI_Elements!N653</f>
        <v>652</v>
      </c>
      <c r="I650" t="e">
        <f>VLOOKUP(B650,SuiteCatSubElem!$G$2:$G$667,2,0)</f>
        <v>#REF!</v>
      </c>
    </row>
    <row r="651" spans="1:9">
      <c r="A651">
        <f>RFI_Elements!B654</f>
        <v>8</v>
      </c>
      <c r="B651">
        <f>RFI_Elements!C654</f>
        <v>466</v>
      </c>
      <c r="C651">
        <v>653</v>
      </c>
      <c r="D651" s="128">
        <v>43101.003472164353</v>
      </c>
      <c r="E651" t="e">
        <f>VLOOKUP(VLOOKUP(B651,SuiteCatSubElem!$G$2:$G$667,2,0),'SA Q4 18 VR'!$A$33:$O$193,1+MATCH(VLOOKUP(A651,Vendors!$A$2:$B$15,2,0),'SA Q4 18 VR'!$B$24:$O$24,0),0)</f>
        <v>#REF!</v>
      </c>
      <c r="F651" s="27">
        <v>1</v>
      </c>
      <c r="G651">
        <f>RFI_Elements!N654</f>
        <v>653</v>
      </c>
      <c r="I651" t="e">
        <f>VLOOKUP(B651,SuiteCatSubElem!$G$2:$G$667,2,0)</f>
        <v>#REF!</v>
      </c>
    </row>
    <row r="652" spans="1:9">
      <c r="A652">
        <f>RFI_Elements!B655</f>
        <v>8</v>
      </c>
      <c r="B652">
        <f>RFI_Elements!C655</f>
        <v>467</v>
      </c>
      <c r="C652">
        <v>654</v>
      </c>
      <c r="D652" s="128">
        <v>43101.003472164353</v>
      </c>
      <c r="E652" t="e">
        <f>VLOOKUP(VLOOKUP(B652,SuiteCatSubElem!$G$2:$G$667,2,0),'SA Q4 18 VR'!$A$33:$O$193,1+MATCH(VLOOKUP(A652,Vendors!$A$2:$B$15,2,0),'SA Q4 18 VR'!$B$24:$O$24,0),0)</f>
        <v>#REF!</v>
      </c>
      <c r="F652" s="27">
        <v>1</v>
      </c>
      <c r="G652">
        <f>RFI_Elements!N655</f>
        <v>654</v>
      </c>
      <c r="I652" t="e">
        <f>VLOOKUP(B652,SuiteCatSubElem!$G$2:$G$667,2,0)</f>
        <v>#REF!</v>
      </c>
    </row>
    <row r="653" spans="1:9">
      <c r="A653">
        <f>RFI_Elements!B656</f>
        <v>8</v>
      </c>
      <c r="B653">
        <f>RFI_Elements!C656</f>
        <v>468</v>
      </c>
      <c r="C653">
        <v>655</v>
      </c>
      <c r="D653" s="128">
        <v>43101.003472164353</v>
      </c>
      <c r="E653" t="e">
        <f>VLOOKUP(VLOOKUP(B653,SuiteCatSubElem!$G$2:$G$667,2,0),'SA Q4 18 VR'!$A$33:$O$193,1+MATCH(VLOOKUP(A653,Vendors!$A$2:$B$15,2,0),'SA Q4 18 VR'!$B$24:$O$24,0),0)</f>
        <v>#REF!</v>
      </c>
      <c r="F653" s="27">
        <v>1</v>
      </c>
      <c r="G653">
        <f>RFI_Elements!N656</f>
        <v>655</v>
      </c>
      <c r="I653" t="e">
        <f>VLOOKUP(B653,SuiteCatSubElem!$G$2:$G$667,2,0)</f>
        <v>#REF!</v>
      </c>
    </row>
    <row r="654" spans="1:9">
      <c r="A654">
        <f>RFI_Elements!B657</f>
        <v>8</v>
      </c>
      <c r="B654">
        <f>RFI_Elements!C657</f>
        <v>469</v>
      </c>
      <c r="C654">
        <v>656</v>
      </c>
      <c r="D654" s="128">
        <v>43101.003472164353</v>
      </c>
      <c r="E654" t="e">
        <f>VLOOKUP(VLOOKUP(B654,SuiteCatSubElem!$G$2:$G$667,2,0),'SA Q4 18 VR'!$A$33:$O$193,1+MATCH(VLOOKUP(A654,Vendors!$A$2:$B$15,2,0),'SA Q4 18 VR'!$B$24:$O$24,0),0)</f>
        <v>#REF!</v>
      </c>
      <c r="F654" s="27">
        <v>1</v>
      </c>
      <c r="G654">
        <f>RFI_Elements!N657</f>
        <v>656</v>
      </c>
      <c r="I654" t="e">
        <f>VLOOKUP(B654,SuiteCatSubElem!$G$2:$G$667,2,0)</f>
        <v>#REF!</v>
      </c>
    </row>
    <row r="655" spans="1:9">
      <c r="A655">
        <f>RFI_Elements!B658</f>
        <v>8</v>
      </c>
      <c r="B655">
        <f>RFI_Elements!C658</f>
        <v>470</v>
      </c>
      <c r="C655">
        <v>657</v>
      </c>
      <c r="D655" s="128">
        <v>43101.003472164353</v>
      </c>
      <c r="E655" t="e">
        <f>VLOOKUP(VLOOKUP(B655,SuiteCatSubElem!$G$2:$G$667,2,0),'SA Q4 18 VR'!$A$33:$O$193,1+MATCH(VLOOKUP(A655,Vendors!$A$2:$B$15,2,0),'SA Q4 18 VR'!$B$24:$O$24,0),0)</f>
        <v>#REF!</v>
      </c>
      <c r="F655" s="27">
        <v>1</v>
      </c>
      <c r="G655">
        <f>RFI_Elements!N658</f>
        <v>657</v>
      </c>
      <c r="I655" t="e">
        <f>VLOOKUP(B655,SuiteCatSubElem!$G$2:$G$667,2,0)</f>
        <v>#REF!</v>
      </c>
    </row>
    <row r="656" spans="1:9">
      <c r="A656">
        <f>RFI_Elements!B659</f>
        <v>8</v>
      </c>
      <c r="B656">
        <f>RFI_Elements!C659</f>
        <v>471</v>
      </c>
      <c r="C656">
        <v>658</v>
      </c>
      <c r="D656" s="128">
        <v>43101.003472164353</v>
      </c>
      <c r="E656" t="e">
        <f>VLOOKUP(VLOOKUP(B656,SuiteCatSubElem!$G$2:$G$667,2,0),'SA Q4 18 VR'!$A$33:$O$193,1+MATCH(VLOOKUP(A656,Vendors!$A$2:$B$15,2,0),'SA Q4 18 VR'!$B$24:$O$24,0),0)</f>
        <v>#REF!</v>
      </c>
      <c r="F656" s="27">
        <v>1</v>
      </c>
      <c r="G656">
        <f>RFI_Elements!N659</f>
        <v>658</v>
      </c>
      <c r="I656" t="e">
        <f>VLOOKUP(B656,SuiteCatSubElem!$G$2:$G$667,2,0)</f>
        <v>#REF!</v>
      </c>
    </row>
    <row r="657" spans="1:9">
      <c r="A657">
        <f>RFI_Elements!B660</f>
        <v>8</v>
      </c>
      <c r="B657">
        <f>RFI_Elements!C660</f>
        <v>472</v>
      </c>
      <c r="C657">
        <v>659</v>
      </c>
      <c r="D657" s="128">
        <v>43101.003472164353</v>
      </c>
      <c r="E657" t="e">
        <f>VLOOKUP(VLOOKUP(B657,SuiteCatSubElem!$G$2:$G$667,2,0),'SA Q4 18 VR'!$A$33:$O$193,1+MATCH(VLOOKUP(A657,Vendors!$A$2:$B$15,2,0),'SA Q4 18 VR'!$B$24:$O$24,0),0)</f>
        <v>#REF!</v>
      </c>
      <c r="F657" s="27">
        <v>1</v>
      </c>
      <c r="G657">
        <f>RFI_Elements!N660</f>
        <v>659</v>
      </c>
      <c r="I657" t="e">
        <f>VLOOKUP(B657,SuiteCatSubElem!$G$2:$G$667,2,0)</f>
        <v>#REF!</v>
      </c>
    </row>
    <row r="658" spans="1:9">
      <c r="A658">
        <f>RFI_Elements!B661</f>
        <v>8</v>
      </c>
      <c r="B658">
        <f>RFI_Elements!C661</f>
        <v>473</v>
      </c>
      <c r="C658">
        <v>660</v>
      </c>
      <c r="D658" s="128">
        <v>43101.003472164353</v>
      </c>
      <c r="E658" t="e">
        <f>VLOOKUP(VLOOKUP(B658,SuiteCatSubElem!$G$2:$G$667,2,0),'SA Q4 18 VR'!$A$33:$O$193,1+MATCH(VLOOKUP(A658,Vendors!$A$2:$B$15,2,0),'SA Q4 18 VR'!$B$24:$O$24,0),0)</f>
        <v>#REF!</v>
      </c>
      <c r="F658" s="27">
        <v>1</v>
      </c>
      <c r="G658">
        <f>RFI_Elements!N661</f>
        <v>660</v>
      </c>
      <c r="I658" t="e">
        <f>VLOOKUP(B658,SuiteCatSubElem!$G$2:$G$667,2,0)</f>
        <v>#REF!</v>
      </c>
    </row>
    <row r="659" spans="1:9">
      <c r="A659">
        <f>RFI_Elements!B662</f>
        <v>8</v>
      </c>
      <c r="B659">
        <f>RFI_Elements!C662</f>
        <v>474</v>
      </c>
      <c r="C659">
        <v>661</v>
      </c>
      <c r="D659" s="128">
        <v>43101.003472164353</v>
      </c>
      <c r="E659" t="e">
        <f>VLOOKUP(VLOOKUP(B659,SuiteCatSubElem!$G$2:$G$667,2,0),'SA Q4 18 VR'!$A$33:$O$193,1+MATCH(VLOOKUP(A659,Vendors!$A$2:$B$15,2,0),'SA Q4 18 VR'!$B$24:$O$24,0),0)</f>
        <v>#REF!</v>
      </c>
      <c r="F659" s="27">
        <v>1</v>
      </c>
      <c r="G659">
        <f>RFI_Elements!N662</f>
        <v>661</v>
      </c>
      <c r="I659" t="e">
        <f>VLOOKUP(B659,SuiteCatSubElem!$G$2:$G$667,2,0)</f>
        <v>#REF!</v>
      </c>
    </row>
    <row r="660" spans="1:9">
      <c r="A660">
        <f>RFI_Elements!B663</f>
        <v>8</v>
      </c>
      <c r="B660">
        <f>RFI_Elements!C663</f>
        <v>475</v>
      </c>
      <c r="C660">
        <v>662</v>
      </c>
      <c r="D660" s="128">
        <v>43101.003472164353</v>
      </c>
      <c r="E660" t="e">
        <f>VLOOKUP(VLOOKUP(B660,SuiteCatSubElem!$G$2:$G$667,2,0),'SA Q4 18 VR'!$A$33:$O$193,1+MATCH(VLOOKUP(A660,Vendors!$A$2:$B$15,2,0),'SA Q4 18 VR'!$B$24:$O$24,0),0)</f>
        <v>#REF!</v>
      </c>
      <c r="F660" s="27">
        <v>1</v>
      </c>
      <c r="G660">
        <f>RFI_Elements!N663</f>
        <v>662</v>
      </c>
      <c r="I660" t="e">
        <f>VLOOKUP(B660,SuiteCatSubElem!$G$2:$G$667,2,0)</f>
        <v>#REF!</v>
      </c>
    </row>
    <row r="661" spans="1:9">
      <c r="A661">
        <f>RFI_Elements!B664</f>
        <v>8</v>
      </c>
      <c r="B661">
        <f>RFI_Elements!C664</f>
        <v>476</v>
      </c>
      <c r="C661">
        <v>663</v>
      </c>
      <c r="D661" s="128">
        <v>43101.003472164353</v>
      </c>
      <c r="E661" t="e">
        <f>VLOOKUP(VLOOKUP(B661,SuiteCatSubElem!$G$2:$G$667,2,0),'SA Q4 18 VR'!$A$33:$O$193,1+MATCH(VLOOKUP(A661,Vendors!$A$2:$B$15,2,0),'SA Q4 18 VR'!$B$24:$O$24,0),0)</f>
        <v>#REF!</v>
      </c>
      <c r="F661" s="27">
        <v>1</v>
      </c>
      <c r="G661">
        <f>RFI_Elements!N664</f>
        <v>663</v>
      </c>
      <c r="I661" t="e">
        <f>VLOOKUP(B661,SuiteCatSubElem!$G$2:$G$667,2,0)</f>
        <v>#REF!</v>
      </c>
    </row>
    <row r="662" spans="1:9">
      <c r="A662">
        <f>RFI_Elements!B665</f>
        <v>8</v>
      </c>
      <c r="B662">
        <f>RFI_Elements!C665</f>
        <v>477</v>
      </c>
      <c r="C662">
        <v>664</v>
      </c>
      <c r="D662" s="128">
        <v>43101.003472164353</v>
      </c>
      <c r="E662" t="e">
        <f>VLOOKUP(VLOOKUP(B662,SuiteCatSubElem!$G$2:$G$667,2,0),'SA Q4 18 VR'!$A$33:$O$193,1+MATCH(VLOOKUP(A662,Vendors!$A$2:$B$15,2,0),'SA Q4 18 VR'!$B$24:$O$24,0),0)</f>
        <v>#REF!</v>
      </c>
      <c r="F662" s="27">
        <v>1</v>
      </c>
      <c r="G662">
        <f>RFI_Elements!N665</f>
        <v>664</v>
      </c>
      <c r="I662" t="e">
        <f>VLOOKUP(B662,SuiteCatSubElem!$G$2:$G$667,2,0)</f>
        <v>#REF!</v>
      </c>
    </row>
    <row r="663" spans="1:9">
      <c r="A663">
        <f>RFI_Elements!B666</f>
        <v>8</v>
      </c>
      <c r="B663">
        <f>RFI_Elements!C666</f>
        <v>478</v>
      </c>
      <c r="C663">
        <v>665</v>
      </c>
      <c r="D663" s="128">
        <v>43101.003472164353</v>
      </c>
      <c r="E663" t="e">
        <f>VLOOKUP(VLOOKUP(B663,SuiteCatSubElem!$G$2:$G$667,2,0),'SA Q4 18 VR'!$A$33:$O$193,1+MATCH(VLOOKUP(A663,Vendors!$A$2:$B$15,2,0),'SA Q4 18 VR'!$B$24:$O$24,0),0)</f>
        <v>#REF!</v>
      </c>
      <c r="F663" s="27">
        <v>1</v>
      </c>
      <c r="G663">
        <f>RFI_Elements!N666</f>
        <v>665</v>
      </c>
      <c r="I663" t="e">
        <f>VLOOKUP(B663,SuiteCatSubElem!$G$2:$G$667,2,0)</f>
        <v>#REF!</v>
      </c>
    </row>
    <row r="664" spans="1:9">
      <c r="A664">
        <f>RFI_Elements!B667</f>
        <v>8</v>
      </c>
      <c r="B664">
        <f>RFI_Elements!C667</f>
        <v>479</v>
      </c>
      <c r="C664">
        <v>666</v>
      </c>
      <c r="D664" s="128">
        <v>43101.003472164353</v>
      </c>
      <c r="E664" t="e">
        <f>VLOOKUP(VLOOKUP(B664,SuiteCatSubElem!$G$2:$G$667,2,0),'SA Q4 18 VR'!$A$33:$O$193,1+MATCH(VLOOKUP(A664,Vendors!$A$2:$B$15,2,0),'SA Q4 18 VR'!$B$24:$O$24,0),0)</f>
        <v>#REF!</v>
      </c>
      <c r="F664" s="27">
        <v>1</v>
      </c>
      <c r="G664">
        <f>RFI_Elements!N667</f>
        <v>666</v>
      </c>
      <c r="I664" t="e">
        <f>VLOOKUP(B664,SuiteCatSubElem!$G$2:$G$667,2,0)</f>
        <v>#REF!</v>
      </c>
    </row>
    <row r="665" spans="1:9">
      <c r="A665">
        <f>RFI_Elements!B668</f>
        <v>8</v>
      </c>
      <c r="B665">
        <f>RFI_Elements!C668</f>
        <v>480</v>
      </c>
      <c r="C665">
        <v>667</v>
      </c>
      <c r="D665" s="128">
        <v>43101.003472164353</v>
      </c>
      <c r="E665" t="e">
        <f>VLOOKUP(VLOOKUP(B665,SuiteCatSubElem!$G$2:$G$667,2,0),'SA Q4 18 VR'!$A$33:$O$193,1+MATCH(VLOOKUP(A665,Vendors!$A$2:$B$15,2,0),'SA Q4 18 VR'!$B$24:$O$24,0),0)</f>
        <v>#REF!</v>
      </c>
      <c r="F665" s="27">
        <v>1</v>
      </c>
      <c r="G665">
        <f>RFI_Elements!N668</f>
        <v>667</v>
      </c>
      <c r="I665" t="e">
        <f>VLOOKUP(B665,SuiteCatSubElem!$G$2:$G$667,2,0)</f>
        <v>#REF!</v>
      </c>
    </row>
    <row r="666" spans="1:9">
      <c r="A666">
        <f>RFI_Elements!B669</f>
        <v>8</v>
      </c>
      <c r="B666">
        <f>RFI_Elements!C669</f>
        <v>481</v>
      </c>
      <c r="C666">
        <v>668</v>
      </c>
      <c r="D666" s="128">
        <v>43101.003472164353</v>
      </c>
      <c r="E666" t="e">
        <f>VLOOKUP(VLOOKUP(B666,SuiteCatSubElem!$G$2:$G$667,2,0),'SA Q4 18 VR'!$A$33:$O$193,1+MATCH(VLOOKUP(A666,Vendors!$A$2:$B$15,2,0),'SA Q4 18 VR'!$B$24:$O$24,0),0)</f>
        <v>#REF!</v>
      </c>
      <c r="F666" s="27">
        <v>1</v>
      </c>
      <c r="G666">
        <f>RFI_Elements!N669</f>
        <v>668</v>
      </c>
      <c r="I666" t="e">
        <f>VLOOKUP(B666,SuiteCatSubElem!$G$2:$G$667,2,0)</f>
        <v>#REF!</v>
      </c>
    </row>
    <row r="667" spans="1:9">
      <c r="A667">
        <f>RFI_Elements!B670</f>
        <v>8</v>
      </c>
      <c r="B667">
        <f>RFI_Elements!C670</f>
        <v>482</v>
      </c>
      <c r="C667">
        <v>669</v>
      </c>
      <c r="D667" s="128">
        <v>43101.003472164353</v>
      </c>
      <c r="E667" t="e">
        <f>VLOOKUP(VLOOKUP(B667,SuiteCatSubElem!$G$2:$G$667,2,0),'SA Q4 18 VR'!$A$33:$O$193,1+MATCH(VLOOKUP(A667,Vendors!$A$2:$B$15,2,0),'SA Q4 18 VR'!$B$24:$O$24,0),0)</f>
        <v>#REF!</v>
      </c>
      <c r="F667" s="27">
        <v>1</v>
      </c>
      <c r="G667">
        <f>RFI_Elements!N670</f>
        <v>669</v>
      </c>
      <c r="I667" t="e">
        <f>VLOOKUP(B667,SuiteCatSubElem!$G$2:$G$667,2,0)</f>
        <v>#REF!</v>
      </c>
    </row>
    <row r="668" spans="1:9">
      <c r="A668">
        <f>RFI_Elements!B671</f>
        <v>8</v>
      </c>
      <c r="B668">
        <f>RFI_Elements!C671</f>
        <v>483</v>
      </c>
      <c r="C668">
        <v>670</v>
      </c>
      <c r="D668" s="128">
        <v>43101.003472164353</v>
      </c>
      <c r="E668" t="e">
        <f>VLOOKUP(VLOOKUP(B668,SuiteCatSubElem!$G$2:$G$667,2,0),'SA Q4 18 VR'!$A$33:$O$193,1+MATCH(VLOOKUP(A668,Vendors!$A$2:$B$15,2,0),'SA Q4 18 VR'!$B$24:$O$24,0),0)</f>
        <v>#REF!</v>
      </c>
      <c r="F668" s="27">
        <v>1</v>
      </c>
      <c r="G668">
        <f>RFI_Elements!N671</f>
        <v>670</v>
      </c>
      <c r="I668" t="e">
        <f>VLOOKUP(B668,SuiteCatSubElem!$G$2:$G$667,2,0)</f>
        <v>#REF!</v>
      </c>
    </row>
    <row r="669" spans="1:9">
      <c r="A669">
        <f>RFI_Elements!B672</f>
        <v>8</v>
      </c>
      <c r="B669">
        <f>RFI_Elements!C672</f>
        <v>484</v>
      </c>
      <c r="C669">
        <v>671</v>
      </c>
      <c r="D669" s="128">
        <v>43101.003472164353</v>
      </c>
      <c r="E669" t="e">
        <f>VLOOKUP(VLOOKUP(B669,SuiteCatSubElem!$G$2:$G$667,2,0),'SA Q4 18 VR'!$A$33:$O$193,1+MATCH(VLOOKUP(A669,Vendors!$A$2:$B$15,2,0),'SA Q4 18 VR'!$B$24:$O$24,0),0)</f>
        <v>#REF!</v>
      </c>
      <c r="F669" s="27">
        <v>1</v>
      </c>
      <c r="G669">
        <f>RFI_Elements!N672</f>
        <v>671</v>
      </c>
      <c r="I669" t="e">
        <f>VLOOKUP(B669,SuiteCatSubElem!$G$2:$G$667,2,0)</f>
        <v>#REF!</v>
      </c>
    </row>
    <row r="670" spans="1:9">
      <c r="A670">
        <f>RFI_Elements!B673</f>
        <v>8</v>
      </c>
      <c r="B670">
        <f>RFI_Elements!C673</f>
        <v>485</v>
      </c>
      <c r="C670">
        <v>672</v>
      </c>
      <c r="D670" s="128">
        <v>43101.003472164353</v>
      </c>
      <c r="E670" t="e">
        <f>VLOOKUP(VLOOKUP(B670,SuiteCatSubElem!$G$2:$G$667,2,0),'SA Q4 18 VR'!$A$33:$O$193,1+MATCH(VLOOKUP(A670,Vendors!$A$2:$B$15,2,0),'SA Q4 18 VR'!$B$24:$O$24,0),0)</f>
        <v>#REF!</v>
      </c>
      <c r="F670" s="27">
        <v>1</v>
      </c>
      <c r="G670">
        <f>RFI_Elements!N673</f>
        <v>672</v>
      </c>
      <c r="I670" t="e">
        <f>VLOOKUP(B670,SuiteCatSubElem!$G$2:$G$667,2,0)</f>
        <v>#REF!</v>
      </c>
    </row>
    <row r="671" spans="1:9">
      <c r="A671">
        <f>RFI_Elements!B674</f>
        <v>8</v>
      </c>
      <c r="B671">
        <f>RFI_Elements!C674</f>
        <v>486</v>
      </c>
      <c r="C671">
        <v>673</v>
      </c>
      <c r="D671" s="128">
        <v>43101.003472164353</v>
      </c>
      <c r="E671" t="e">
        <f>VLOOKUP(VLOOKUP(B671,SuiteCatSubElem!$G$2:$G$667,2,0),'SA Q4 18 VR'!$A$33:$O$193,1+MATCH(VLOOKUP(A671,Vendors!$A$2:$B$15,2,0),'SA Q4 18 VR'!$B$24:$O$24,0),0)</f>
        <v>#REF!</v>
      </c>
      <c r="F671" s="27">
        <v>1</v>
      </c>
      <c r="G671">
        <f>RFI_Elements!N674</f>
        <v>673</v>
      </c>
      <c r="I671" t="e">
        <f>VLOOKUP(B671,SuiteCatSubElem!$G$2:$G$667,2,0)</f>
        <v>#REF!</v>
      </c>
    </row>
    <row r="672" spans="1:9">
      <c r="A672">
        <f>RFI_Elements!B675</f>
        <v>8</v>
      </c>
      <c r="B672">
        <f>RFI_Elements!C675</f>
        <v>487</v>
      </c>
      <c r="C672">
        <v>674</v>
      </c>
      <c r="D672" s="128">
        <v>43101.003472164353</v>
      </c>
      <c r="E672" t="e">
        <f>VLOOKUP(VLOOKUP(B672,SuiteCatSubElem!$G$2:$G$667,2,0),'SA Q4 18 VR'!$A$33:$O$193,1+MATCH(VLOOKUP(A672,Vendors!$A$2:$B$15,2,0),'SA Q4 18 VR'!$B$24:$O$24,0),0)</f>
        <v>#REF!</v>
      </c>
      <c r="F672" s="27">
        <v>1</v>
      </c>
      <c r="G672">
        <f>RFI_Elements!N675</f>
        <v>674</v>
      </c>
      <c r="I672" t="e">
        <f>VLOOKUP(B672,SuiteCatSubElem!$G$2:$G$667,2,0)</f>
        <v>#REF!</v>
      </c>
    </row>
    <row r="673" spans="1:9">
      <c r="A673">
        <f>RFI_Elements!B676</f>
        <v>8</v>
      </c>
      <c r="B673">
        <f>RFI_Elements!C676</f>
        <v>488</v>
      </c>
      <c r="C673">
        <v>675</v>
      </c>
      <c r="D673" s="128">
        <v>43101.003472164353</v>
      </c>
      <c r="E673" t="e">
        <f>VLOOKUP(VLOOKUP(B673,SuiteCatSubElem!$G$2:$G$667,2,0),'SA Q4 18 VR'!$A$33:$O$193,1+MATCH(VLOOKUP(A673,Vendors!$A$2:$B$15,2,0),'SA Q4 18 VR'!$B$24:$O$24,0),0)</f>
        <v>#REF!</v>
      </c>
      <c r="F673" s="27">
        <v>1</v>
      </c>
      <c r="G673">
        <f>RFI_Elements!N676</f>
        <v>675</v>
      </c>
      <c r="I673" t="e">
        <f>VLOOKUP(B673,SuiteCatSubElem!$G$2:$G$667,2,0)</f>
        <v>#REF!</v>
      </c>
    </row>
    <row r="674" spans="1:9">
      <c r="A674">
        <f>RFI_Elements!B677</f>
        <v>8</v>
      </c>
      <c r="B674">
        <f>RFI_Elements!C677</f>
        <v>489</v>
      </c>
      <c r="C674">
        <v>676</v>
      </c>
      <c r="D674" s="128">
        <v>43101.003472164353</v>
      </c>
      <c r="E674" t="e">
        <f>VLOOKUP(VLOOKUP(B674,SuiteCatSubElem!$G$2:$G$667,2,0),'SA Q4 18 VR'!$A$33:$O$193,1+MATCH(VLOOKUP(A674,Vendors!$A$2:$B$15,2,0),'SA Q4 18 VR'!$B$24:$O$24,0),0)</f>
        <v>#REF!</v>
      </c>
      <c r="F674" s="27">
        <v>1</v>
      </c>
      <c r="G674">
        <f>RFI_Elements!N677</f>
        <v>676</v>
      </c>
      <c r="I674" t="e">
        <f>VLOOKUP(B674,SuiteCatSubElem!$G$2:$G$667,2,0)</f>
        <v>#REF!</v>
      </c>
    </row>
    <row r="675" spans="1:9">
      <c r="A675">
        <f>RFI_Elements!B678</f>
        <v>8</v>
      </c>
      <c r="B675">
        <f>RFI_Elements!C678</f>
        <v>490</v>
      </c>
      <c r="C675">
        <v>677</v>
      </c>
      <c r="D675" s="128">
        <v>43101.003472164353</v>
      </c>
      <c r="E675" t="e">
        <f>VLOOKUP(VLOOKUP(B675,SuiteCatSubElem!$G$2:$G$667,2,0),'SA Q4 18 VR'!$A$33:$O$193,1+MATCH(VLOOKUP(A675,Vendors!$A$2:$B$15,2,0),'SA Q4 18 VR'!$B$24:$O$24,0),0)</f>
        <v>#REF!</v>
      </c>
      <c r="F675" s="27">
        <v>1</v>
      </c>
      <c r="G675">
        <f>RFI_Elements!N678</f>
        <v>677</v>
      </c>
      <c r="I675" t="e">
        <f>VLOOKUP(B675,SuiteCatSubElem!$G$2:$G$667,2,0)</f>
        <v>#REF!</v>
      </c>
    </row>
    <row r="676" spans="1:9">
      <c r="A676">
        <f>RFI_Elements!B679</f>
        <v>8</v>
      </c>
      <c r="B676">
        <f>RFI_Elements!C679</f>
        <v>491</v>
      </c>
      <c r="C676">
        <v>678</v>
      </c>
      <c r="D676" s="128">
        <v>43101.003472164353</v>
      </c>
      <c r="E676" t="e">
        <f>VLOOKUP(VLOOKUP(B676,SuiteCatSubElem!$G$2:$G$667,2,0),'SA Q4 18 VR'!$A$33:$O$193,1+MATCH(VLOOKUP(A676,Vendors!$A$2:$B$15,2,0),'SA Q4 18 VR'!$B$24:$O$24,0),0)</f>
        <v>#REF!</v>
      </c>
      <c r="F676" s="27">
        <v>1</v>
      </c>
      <c r="G676">
        <f>RFI_Elements!N679</f>
        <v>678</v>
      </c>
      <c r="I676" t="e">
        <f>VLOOKUP(B676,SuiteCatSubElem!$G$2:$G$667,2,0)</f>
        <v>#REF!</v>
      </c>
    </row>
    <row r="677" spans="1:9">
      <c r="A677">
        <f>RFI_Elements!B680</f>
        <v>8</v>
      </c>
      <c r="B677">
        <f>RFI_Elements!C680</f>
        <v>492</v>
      </c>
      <c r="C677">
        <v>679</v>
      </c>
      <c r="D677" s="128">
        <v>43101.003472164353</v>
      </c>
      <c r="E677" t="e">
        <f>VLOOKUP(VLOOKUP(B677,SuiteCatSubElem!$G$2:$G$667,2,0),'SA Q4 18 VR'!$A$33:$O$193,1+MATCH(VLOOKUP(A677,Vendors!$A$2:$B$15,2,0),'SA Q4 18 VR'!$B$24:$O$24,0),0)</f>
        <v>#REF!</v>
      </c>
      <c r="F677" s="27">
        <v>1</v>
      </c>
      <c r="G677">
        <f>RFI_Elements!N680</f>
        <v>679</v>
      </c>
      <c r="I677" t="e">
        <f>VLOOKUP(B677,SuiteCatSubElem!$G$2:$G$667,2,0)</f>
        <v>#REF!</v>
      </c>
    </row>
    <row r="678" spans="1:9">
      <c r="A678">
        <f>RFI_Elements!B681</f>
        <v>8</v>
      </c>
      <c r="B678">
        <f>RFI_Elements!C681</f>
        <v>493</v>
      </c>
      <c r="C678">
        <v>680</v>
      </c>
      <c r="D678" s="128">
        <v>43101.003472164353</v>
      </c>
      <c r="E678" t="e">
        <f>VLOOKUP(VLOOKUP(B678,SuiteCatSubElem!$G$2:$G$667,2,0),'SA Q4 18 VR'!$A$33:$O$193,1+MATCH(VLOOKUP(A678,Vendors!$A$2:$B$15,2,0),'SA Q4 18 VR'!$B$24:$O$24,0),0)</f>
        <v>#REF!</v>
      </c>
      <c r="F678" s="27">
        <v>1</v>
      </c>
      <c r="G678">
        <f>RFI_Elements!N681</f>
        <v>680</v>
      </c>
      <c r="I678" t="e">
        <f>VLOOKUP(B678,SuiteCatSubElem!$G$2:$G$667,2,0)</f>
        <v>#REF!</v>
      </c>
    </row>
    <row r="679" spans="1:9">
      <c r="A679">
        <f>RFI_Elements!B682</f>
        <v>9</v>
      </c>
      <c r="B679">
        <f>RFI_Elements!C682</f>
        <v>409</v>
      </c>
      <c r="C679">
        <v>681</v>
      </c>
      <c r="D679" s="128">
        <v>43101.003472164353</v>
      </c>
      <c r="E679" t="e">
        <f>VLOOKUP(VLOOKUP(B679,SuiteCatSubElem!$G$2:$G$667,2,0),'SA Q4 18 VR'!$A$33:$O$193,1+MATCH(VLOOKUP(A679,Vendors!$A$2:$B$15,2,0),'SA Q4 18 VR'!$B$24:$O$24,0),0)</f>
        <v>#REF!</v>
      </c>
      <c r="F679" s="27">
        <v>1</v>
      </c>
      <c r="G679">
        <f>RFI_Elements!N682</f>
        <v>681</v>
      </c>
      <c r="I679" t="e">
        <f>VLOOKUP(B679,SuiteCatSubElem!$G$2:$G$667,2,0)</f>
        <v>#REF!</v>
      </c>
    </row>
    <row r="680" spans="1:9">
      <c r="A680">
        <f>RFI_Elements!B683</f>
        <v>9</v>
      </c>
      <c r="B680">
        <f>RFI_Elements!C683</f>
        <v>410</v>
      </c>
      <c r="C680">
        <v>682</v>
      </c>
      <c r="D680" s="128">
        <v>43101.003472164353</v>
      </c>
      <c r="E680" t="e">
        <f>VLOOKUP(VLOOKUP(B680,SuiteCatSubElem!$G$2:$G$667,2,0),'SA Q4 18 VR'!$A$33:$O$193,1+MATCH(VLOOKUP(A680,Vendors!$A$2:$B$15,2,0),'SA Q4 18 VR'!$B$24:$O$24,0),0)</f>
        <v>#REF!</v>
      </c>
      <c r="F680" s="27">
        <v>1</v>
      </c>
      <c r="G680">
        <f>RFI_Elements!N683</f>
        <v>682</v>
      </c>
      <c r="I680" t="e">
        <f>VLOOKUP(B680,SuiteCatSubElem!$G$2:$G$667,2,0)</f>
        <v>#REF!</v>
      </c>
    </row>
    <row r="681" spans="1:9">
      <c r="A681">
        <f>RFI_Elements!B684</f>
        <v>9</v>
      </c>
      <c r="B681">
        <f>RFI_Elements!C684</f>
        <v>411</v>
      </c>
      <c r="C681">
        <v>683</v>
      </c>
      <c r="D681" s="128">
        <v>43101.003472164353</v>
      </c>
      <c r="E681" t="e">
        <f>VLOOKUP(VLOOKUP(B681,SuiteCatSubElem!$G$2:$G$667,2,0),'SA Q4 18 VR'!$A$33:$O$193,1+MATCH(VLOOKUP(A681,Vendors!$A$2:$B$15,2,0),'SA Q4 18 VR'!$B$24:$O$24,0),0)</f>
        <v>#REF!</v>
      </c>
      <c r="F681" s="27">
        <v>1</v>
      </c>
      <c r="G681">
        <f>RFI_Elements!N684</f>
        <v>683</v>
      </c>
      <c r="I681" t="e">
        <f>VLOOKUP(B681,SuiteCatSubElem!$G$2:$G$667,2,0)</f>
        <v>#REF!</v>
      </c>
    </row>
    <row r="682" spans="1:9">
      <c r="A682">
        <f>RFI_Elements!B685</f>
        <v>9</v>
      </c>
      <c r="B682">
        <f>RFI_Elements!C685</f>
        <v>412</v>
      </c>
      <c r="C682">
        <v>684</v>
      </c>
      <c r="D682" s="128">
        <v>43101.003472164353</v>
      </c>
      <c r="E682" t="e">
        <f>VLOOKUP(VLOOKUP(B682,SuiteCatSubElem!$G$2:$G$667,2,0),'SA Q4 18 VR'!$A$33:$O$193,1+MATCH(VLOOKUP(A682,Vendors!$A$2:$B$15,2,0),'SA Q4 18 VR'!$B$24:$O$24,0),0)</f>
        <v>#REF!</v>
      </c>
      <c r="F682" s="27">
        <v>1</v>
      </c>
      <c r="G682">
        <f>RFI_Elements!N685</f>
        <v>684</v>
      </c>
      <c r="I682" t="e">
        <f>VLOOKUP(B682,SuiteCatSubElem!$G$2:$G$667,2,0)</f>
        <v>#REF!</v>
      </c>
    </row>
    <row r="683" spans="1:9">
      <c r="A683">
        <f>RFI_Elements!B686</f>
        <v>9</v>
      </c>
      <c r="B683">
        <f>RFI_Elements!C686</f>
        <v>413</v>
      </c>
      <c r="C683">
        <v>685</v>
      </c>
      <c r="D683" s="128">
        <v>43101.003472164353</v>
      </c>
      <c r="E683" t="e">
        <f>VLOOKUP(VLOOKUP(B683,SuiteCatSubElem!$G$2:$G$667,2,0),'SA Q4 18 VR'!$A$33:$O$193,1+MATCH(VLOOKUP(A683,Vendors!$A$2:$B$15,2,0),'SA Q4 18 VR'!$B$24:$O$24,0),0)</f>
        <v>#REF!</v>
      </c>
      <c r="F683" s="27">
        <v>1</v>
      </c>
      <c r="G683">
        <f>RFI_Elements!N686</f>
        <v>685</v>
      </c>
      <c r="I683" t="e">
        <f>VLOOKUP(B683,SuiteCatSubElem!$G$2:$G$667,2,0)</f>
        <v>#REF!</v>
      </c>
    </row>
    <row r="684" spans="1:9">
      <c r="A684">
        <f>RFI_Elements!B687</f>
        <v>9</v>
      </c>
      <c r="B684">
        <f>RFI_Elements!C687</f>
        <v>414</v>
      </c>
      <c r="C684">
        <v>686</v>
      </c>
      <c r="D684" s="128">
        <v>43101.003472164353</v>
      </c>
      <c r="E684" t="e">
        <f>VLOOKUP(VLOOKUP(B684,SuiteCatSubElem!$G$2:$G$667,2,0),'SA Q4 18 VR'!$A$33:$O$193,1+MATCH(VLOOKUP(A684,Vendors!$A$2:$B$15,2,0),'SA Q4 18 VR'!$B$24:$O$24,0),0)</f>
        <v>#REF!</v>
      </c>
      <c r="F684" s="27">
        <v>1</v>
      </c>
      <c r="G684">
        <f>RFI_Elements!N687</f>
        <v>686</v>
      </c>
      <c r="I684" t="e">
        <f>VLOOKUP(B684,SuiteCatSubElem!$G$2:$G$667,2,0)</f>
        <v>#REF!</v>
      </c>
    </row>
    <row r="685" spans="1:9">
      <c r="A685">
        <f>RFI_Elements!B688</f>
        <v>9</v>
      </c>
      <c r="B685">
        <f>RFI_Elements!C688</f>
        <v>415</v>
      </c>
      <c r="C685">
        <v>687</v>
      </c>
      <c r="D685" s="128">
        <v>43101.003472164353</v>
      </c>
      <c r="E685" t="e">
        <f>VLOOKUP(VLOOKUP(B685,SuiteCatSubElem!$G$2:$G$667,2,0),'SA Q4 18 VR'!$A$33:$O$193,1+MATCH(VLOOKUP(A685,Vendors!$A$2:$B$15,2,0),'SA Q4 18 VR'!$B$24:$O$24,0),0)</f>
        <v>#REF!</v>
      </c>
      <c r="F685" s="27">
        <v>1</v>
      </c>
      <c r="G685">
        <f>RFI_Elements!N688</f>
        <v>687</v>
      </c>
      <c r="I685" t="e">
        <f>VLOOKUP(B685,SuiteCatSubElem!$G$2:$G$667,2,0)</f>
        <v>#REF!</v>
      </c>
    </row>
    <row r="686" spans="1:9">
      <c r="A686">
        <f>RFI_Elements!B689</f>
        <v>9</v>
      </c>
      <c r="B686">
        <f>RFI_Elements!C689</f>
        <v>416</v>
      </c>
      <c r="C686">
        <v>688</v>
      </c>
      <c r="D686" s="128">
        <v>43101.003472164353</v>
      </c>
      <c r="E686" t="e">
        <f>VLOOKUP(VLOOKUP(B686,SuiteCatSubElem!$G$2:$G$667,2,0),'SA Q4 18 VR'!$A$33:$O$193,1+MATCH(VLOOKUP(A686,Vendors!$A$2:$B$15,2,0),'SA Q4 18 VR'!$B$24:$O$24,0),0)</f>
        <v>#REF!</v>
      </c>
      <c r="F686" s="27">
        <v>1</v>
      </c>
      <c r="G686">
        <f>RFI_Elements!N689</f>
        <v>688</v>
      </c>
      <c r="I686" t="e">
        <f>VLOOKUP(B686,SuiteCatSubElem!$G$2:$G$667,2,0)</f>
        <v>#REF!</v>
      </c>
    </row>
    <row r="687" spans="1:9">
      <c r="A687">
        <f>RFI_Elements!B690</f>
        <v>9</v>
      </c>
      <c r="B687">
        <f>RFI_Elements!C690</f>
        <v>417</v>
      </c>
      <c r="C687">
        <v>689</v>
      </c>
      <c r="D687" s="128">
        <v>43101.003472164353</v>
      </c>
      <c r="E687" t="e">
        <f>VLOOKUP(VLOOKUP(B687,SuiteCatSubElem!$G$2:$G$667,2,0),'SA Q4 18 VR'!$A$33:$O$193,1+MATCH(VLOOKUP(A687,Vendors!$A$2:$B$15,2,0),'SA Q4 18 VR'!$B$24:$O$24,0),0)</f>
        <v>#REF!</v>
      </c>
      <c r="F687" s="27">
        <v>1</v>
      </c>
      <c r="G687">
        <f>RFI_Elements!N690</f>
        <v>689</v>
      </c>
      <c r="I687" t="e">
        <f>VLOOKUP(B687,SuiteCatSubElem!$G$2:$G$667,2,0)</f>
        <v>#REF!</v>
      </c>
    </row>
    <row r="688" spans="1:9">
      <c r="A688">
        <f>RFI_Elements!B691</f>
        <v>9</v>
      </c>
      <c r="B688">
        <f>RFI_Elements!C691</f>
        <v>418</v>
      </c>
      <c r="C688">
        <v>690</v>
      </c>
      <c r="D688" s="128">
        <v>43101.003472164353</v>
      </c>
      <c r="E688" t="e">
        <f>VLOOKUP(VLOOKUP(B688,SuiteCatSubElem!$G$2:$G$667,2,0),'SA Q4 18 VR'!$A$33:$O$193,1+MATCH(VLOOKUP(A688,Vendors!$A$2:$B$15,2,0),'SA Q4 18 VR'!$B$24:$O$24,0),0)</f>
        <v>#REF!</v>
      </c>
      <c r="F688" s="27">
        <v>1</v>
      </c>
      <c r="G688">
        <f>RFI_Elements!N691</f>
        <v>690</v>
      </c>
      <c r="I688" t="e">
        <f>VLOOKUP(B688,SuiteCatSubElem!$G$2:$G$667,2,0)</f>
        <v>#REF!</v>
      </c>
    </row>
    <row r="689" spans="1:9">
      <c r="A689">
        <f>RFI_Elements!B692</f>
        <v>9</v>
      </c>
      <c r="B689">
        <f>RFI_Elements!C692</f>
        <v>419</v>
      </c>
      <c r="C689">
        <v>691</v>
      </c>
      <c r="D689" s="128">
        <v>43101.003472164353</v>
      </c>
      <c r="E689" t="e">
        <f>VLOOKUP(VLOOKUP(B689,SuiteCatSubElem!$G$2:$G$667,2,0),'SA Q4 18 VR'!$A$33:$O$193,1+MATCH(VLOOKUP(A689,Vendors!$A$2:$B$15,2,0),'SA Q4 18 VR'!$B$24:$O$24,0),0)</f>
        <v>#REF!</v>
      </c>
      <c r="F689" s="27">
        <v>1</v>
      </c>
      <c r="G689">
        <f>RFI_Elements!N692</f>
        <v>691</v>
      </c>
      <c r="I689" t="e">
        <f>VLOOKUP(B689,SuiteCatSubElem!$G$2:$G$667,2,0)</f>
        <v>#REF!</v>
      </c>
    </row>
    <row r="690" spans="1:9">
      <c r="A690">
        <f>RFI_Elements!B693</f>
        <v>9</v>
      </c>
      <c r="B690">
        <f>RFI_Elements!C693</f>
        <v>420</v>
      </c>
      <c r="C690">
        <v>692</v>
      </c>
      <c r="D690" s="128">
        <v>43101.003472164353</v>
      </c>
      <c r="E690" t="e">
        <f>VLOOKUP(VLOOKUP(B690,SuiteCatSubElem!$G$2:$G$667,2,0),'SA Q4 18 VR'!$A$33:$O$193,1+MATCH(VLOOKUP(A690,Vendors!$A$2:$B$15,2,0),'SA Q4 18 VR'!$B$24:$O$24,0),0)</f>
        <v>#REF!</v>
      </c>
      <c r="F690" s="27">
        <v>1</v>
      </c>
      <c r="G690">
        <f>RFI_Elements!N693</f>
        <v>692</v>
      </c>
      <c r="I690" t="e">
        <f>VLOOKUP(B690,SuiteCatSubElem!$G$2:$G$667,2,0)</f>
        <v>#REF!</v>
      </c>
    </row>
    <row r="691" spans="1:9">
      <c r="A691">
        <f>RFI_Elements!B694</f>
        <v>9</v>
      </c>
      <c r="B691">
        <f>RFI_Elements!C694</f>
        <v>421</v>
      </c>
      <c r="C691">
        <v>693</v>
      </c>
      <c r="D691" s="128">
        <v>43101.003472164353</v>
      </c>
      <c r="E691" t="e">
        <f>VLOOKUP(VLOOKUP(B691,SuiteCatSubElem!$G$2:$G$667,2,0),'SA Q4 18 VR'!$A$33:$O$193,1+MATCH(VLOOKUP(A691,Vendors!$A$2:$B$15,2,0),'SA Q4 18 VR'!$B$24:$O$24,0),0)</f>
        <v>#REF!</v>
      </c>
      <c r="F691" s="27">
        <v>1</v>
      </c>
      <c r="G691">
        <f>RFI_Elements!N694</f>
        <v>693</v>
      </c>
      <c r="I691" t="e">
        <f>VLOOKUP(B691,SuiteCatSubElem!$G$2:$G$667,2,0)</f>
        <v>#REF!</v>
      </c>
    </row>
    <row r="692" spans="1:9">
      <c r="A692">
        <f>RFI_Elements!B695</f>
        <v>9</v>
      </c>
      <c r="B692">
        <f>RFI_Elements!C695</f>
        <v>422</v>
      </c>
      <c r="C692">
        <v>694</v>
      </c>
      <c r="D692" s="128">
        <v>43101.003472164353</v>
      </c>
      <c r="E692" t="e">
        <f>VLOOKUP(VLOOKUP(B692,SuiteCatSubElem!$G$2:$G$667,2,0),'SA Q4 18 VR'!$A$33:$O$193,1+MATCH(VLOOKUP(A692,Vendors!$A$2:$B$15,2,0),'SA Q4 18 VR'!$B$24:$O$24,0),0)</f>
        <v>#REF!</v>
      </c>
      <c r="F692" s="27">
        <v>1</v>
      </c>
      <c r="G692">
        <f>RFI_Elements!N695</f>
        <v>694</v>
      </c>
      <c r="I692" t="e">
        <f>VLOOKUP(B692,SuiteCatSubElem!$G$2:$G$667,2,0)</f>
        <v>#REF!</v>
      </c>
    </row>
    <row r="693" spans="1:9">
      <c r="A693">
        <f>RFI_Elements!B696</f>
        <v>9</v>
      </c>
      <c r="B693">
        <f>RFI_Elements!C696</f>
        <v>423</v>
      </c>
      <c r="C693">
        <v>695</v>
      </c>
      <c r="D693" s="128">
        <v>43101.003472164353</v>
      </c>
      <c r="E693" t="e">
        <f>VLOOKUP(VLOOKUP(B693,SuiteCatSubElem!$G$2:$G$667,2,0),'SA Q4 18 VR'!$A$33:$O$193,1+MATCH(VLOOKUP(A693,Vendors!$A$2:$B$15,2,0),'SA Q4 18 VR'!$B$24:$O$24,0),0)</f>
        <v>#REF!</v>
      </c>
      <c r="F693" s="27">
        <v>1</v>
      </c>
      <c r="G693">
        <f>RFI_Elements!N696</f>
        <v>695</v>
      </c>
      <c r="I693" t="e">
        <f>VLOOKUP(B693,SuiteCatSubElem!$G$2:$G$667,2,0)</f>
        <v>#REF!</v>
      </c>
    </row>
    <row r="694" spans="1:9">
      <c r="A694">
        <f>RFI_Elements!B697</f>
        <v>9</v>
      </c>
      <c r="B694">
        <f>RFI_Elements!C697</f>
        <v>424</v>
      </c>
      <c r="C694">
        <v>696</v>
      </c>
      <c r="D694" s="128">
        <v>43101.003472164353</v>
      </c>
      <c r="E694" t="e">
        <f>VLOOKUP(VLOOKUP(B694,SuiteCatSubElem!$G$2:$G$667,2,0),'SA Q4 18 VR'!$A$33:$O$193,1+MATCH(VLOOKUP(A694,Vendors!$A$2:$B$15,2,0),'SA Q4 18 VR'!$B$24:$O$24,0),0)</f>
        <v>#REF!</v>
      </c>
      <c r="F694" s="27">
        <v>1</v>
      </c>
      <c r="G694">
        <f>RFI_Elements!N697</f>
        <v>696</v>
      </c>
      <c r="I694" t="e">
        <f>VLOOKUP(B694,SuiteCatSubElem!$G$2:$G$667,2,0)</f>
        <v>#REF!</v>
      </c>
    </row>
    <row r="695" spans="1:9">
      <c r="A695">
        <f>RFI_Elements!B698</f>
        <v>9</v>
      </c>
      <c r="B695">
        <f>RFI_Elements!C698</f>
        <v>425</v>
      </c>
      <c r="C695">
        <v>697</v>
      </c>
      <c r="D695" s="128">
        <v>43101.003472164353</v>
      </c>
      <c r="E695" t="e">
        <f>VLOOKUP(VLOOKUP(B695,SuiteCatSubElem!$G$2:$G$667,2,0),'SA Q4 18 VR'!$A$33:$O$193,1+MATCH(VLOOKUP(A695,Vendors!$A$2:$B$15,2,0),'SA Q4 18 VR'!$B$24:$O$24,0),0)</f>
        <v>#REF!</v>
      </c>
      <c r="F695" s="27">
        <v>1</v>
      </c>
      <c r="G695">
        <f>RFI_Elements!N698</f>
        <v>697</v>
      </c>
      <c r="I695" t="e">
        <f>VLOOKUP(B695,SuiteCatSubElem!$G$2:$G$667,2,0)</f>
        <v>#REF!</v>
      </c>
    </row>
    <row r="696" spans="1:9">
      <c r="A696">
        <f>RFI_Elements!B699</f>
        <v>9</v>
      </c>
      <c r="B696">
        <f>RFI_Elements!C699</f>
        <v>426</v>
      </c>
      <c r="C696">
        <v>698</v>
      </c>
      <c r="D696" s="128">
        <v>43101.003472164353</v>
      </c>
      <c r="E696" t="e">
        <f>VLOOKUP(VLOOKUP(B696,SuiteCatSubElem!$G$2:$G$667,2,0),'SA Q4 18 VR'!$A$33:$O$193,1+MATCH(VLOOKUP(A696,Vendors!$A$2:$B$15,2,0),'SA Q4 18 VR'!$B$24:$O$24,0),0)</f>
        <v>#REF!</v>
      </c>
      <c r="F696" s="27">
        <v>1</v>
      </c>
      <c r="G696">
        <f>RFI_Elements!N699</f>
        <v>698</v>
      </c>
      <c r="I696" t="e">
        <f>VLOOKUP(B696,SuiteCatSubElem!$G$2:$G$667,2,0)</f>
        <v>#REF!</v>
      </c>
    </row>
    <row r="697" spans="1:9">
      <c r="A697">
        <f>RFI_Elements!B700</f>
        <v>9</v>
      </c>
      <c r="B697">
        <f>RFI_Elements!C700</f>
        <v>427</v>
      </c>
      <c r="C697">
        <v>699</v>
      </c>
      <c r="D697" s="128">
        <v>43101.003472164353</v>
      </c>
      <c r="E697" t="e">
        <f>VLOOKUP(VLOOKUP(B697,SuiteCatSubElem!$G$2:$G$667,2,0),'SA Q4 18 VR'!$A$33:$O$193,1+MATCH(VLOOKUP(A697,Vendors!$A$2:$B$15,2,0),'SA Q4 18 VR'!$B$24:$O$24,0),0)</f>
        <v>#REF!</v>
      </c>
      <c r="F697" s="27">
        <v>1</v>
      </c>
      <c r="G697">
        <f>RFI_Elements!N700</f>
        <v>699</v>
      </c>
      <c r="I697" t="e">
        <f>VLOOKUP(B697,SuiteCatSubElem!$G$2:$G$667,2,0)</f>
        <v>#REF!</v>
      </c>
    </row>
    <row r="698" spans="1:9">
      <c r="A698">
        <f>RFI_Elements!B701</f>
        <v>9</v>
      </c>
      <c r="B698">
        <f>RFI_Elements!C701</f>
        <v>428</v>
      </c>
      <c r="C698">
        <v>700</v>
      </c>
      <c r="D698" s="128">
        <v>43101.003472164353</v>
      </c>
      <c r="E698" t="e">
        <f>VLOOKUP(VLOOKUP(B698,SuiteCatSubElem!$G$2:$G$667,2,0),'SA Q4 18 VR'!$A$33:$O$193,1+MATCH(VLOOKUP(A698,Vendors!$A$2:$B$15,2,0),'SA Q4 18 VR'!$B$24:$O$24,0),0)</f>
        <v>#REF!</v>
      </c>
      <c r="F698" s="27">
        <v>1</v>
      </c>
      <c r="G698">
        <f>RFI_Elements!N701</f>
        <v>700</v>
      </c>
      <c r="I698" t="e">
        <f>VLOOKUP(B698,SuiteCatSubElem!$G$2:$G$667,2,0)</f>
        <v>#REF!</v>
      </c>
    </row>
    <row r="699" spans="1:9">
      <c r="A699">
        <f>RFI_Elements!B702</f>
        <v>9</v>
      </c>
      <c r="B699">
        <f>RFI_Elements!C702</f>
        <v>429</v>
      </c>
      <c r="C699">
        <v>701</v>
      </c>
      <c r="D699" s="128">
        <v>43101.003472164353</v>
      </c>
      <c r="E699" t="e">
        <f>VLOOKUP(VLOOKUP(B699,SuiteCatSubElem!$G$2:$G$667,2,0),'SA Q4 18 VR'!$A$33:$O$193,1+MATCH(VLOOKUP(A699,Vendors!$A$2:$B$15,2,0),'SA Q4 18 VR'!$B$24:$O$24,0),0)</f>
        <v>#REF!</v>
      </c>
      <c r="F699" s="27">
        <v>1</v>
      </c>
      <c r="G699">
        <f>RFI_Elements!N702</f>
        <v>701</v>
      </c>
      <c r="I699" t="e">
        <f>VLOOKUP(B699,SuiteCatSubElem!$G$2:$G$667,2,0)</f>
        <v>#REF!</v>
      </c>
    </row>
    <row r="700" spans="1:9">
      <c r="A700">
        <f>RFI_Elements!B703</f>
        <v>9</v>
      </c>
      <c r="B700">
        <f>RFI_Elements!C703</f>
        <v>430</v>
      </c>
      <c r="C700">
        <v>702</v>
      </c>
      <c r="D700" s="128">
        <v>43101.003472164353</v>
      </c>
      <c r="E700" t="e">
        <f>VLOOKUP(VLOOKUP(B700,SuiteCatSubElem!$G$2:$G$667,2,0),'SA Q4 18 VR'!$A$33:$O$193,1+MATCH(VLOOKUP(A700,Vendors!$A$2:$B$15,2,0),'SA Q4 18 VR'!$B$24:$O$24,0),0)</f>
        <v>#REF!</v>
      </c>
      <c r="F700" s="27">
        <v>1</v>
      </c>
      <c r="G700">
        <f>RFI_Elements!N703</f>
        <v>702</v>
      </c>
      <c r="I700" t="e">
        <f>VLOOKUP(B700,SuiteCatSubElem!$G$2:$G$667,2,0)</f>
        <v>#REF!</v>
      </c>
    </row>
    <row r="701" spans="1:9">
      <c r="A701">
        <f>RFI_Elements!B704</f>
        <v>9</v>
      </c>
      <c r="B701">
        <f>RFI_Elements!C704</f>
        <v>431</v>
      </c>
      <c r="C701">
        <v>703</v>
      </c>
      <c r="D701" s="128">
        <v>43101.003472164353</v>
      </c>
      <c r="E701" t="e">
        <f>VLOOKUP(VLOOKUP(B701,SuiteCatSubElem!$G$2:$G$667,2,0),'SA Q4 18 VR'!$A$33:$O$193,1+MATCH(VLOOKUP(A701,Vendors!$A$2:$B$15,2,0),'SA Q4 18 VR'!$B$24:$O$24,0),0)</f>
        <v>#REF!</v>
      </c>
      <c r="F701" s="27">
        <v>1</v>
      </c>
      <c r="G701">
        <f>RFI_Elements!N704</f>
        <v>703</v>
      </c>
      <c r="I701" t="e">
        <f>VLOOKUP(B701,SuiteCatSubElem!$G$2:$G$667,2,0)</f>
        <v>#REF!</v>
      </c>
    </row>
    <row r="702" spans="1:9">
      <c r="A702">
        <f>RFI_Elements!B705</f>
        <v>9</v>
      </c>
      <c r="B702">
        <f>RFI_Elements!C705</f>
        <v>432</v>
      </c>
      <c r="C702">
        <v>704</v>
      </c>
      <c r="D702" s="128">
        <v>43101.003472164353</v>
      </c>
      <c r="E702" t="e">
        <f>VLOOKUP(VLOOKUP(B702,SuiteCatSubElem!$G$2:$G$667,2,0),'SA Q4 18 VR'!$A$33:$O$193,1+MATCH(VLOOKUP(A702,Vendors!$A$2:$B$15,2,0),'SA Q4 18 VR'!$B$24:$O$24,0),0)</f>
        <v>#REF!</v>
      </c>
      <c r="F702" s="27">
        <v>1</v>
      </c>
      <c r="G702">
        <f>RFI_Elements!N705</f>
        <v>704</v>
      </c>
      <c r="I702" t="e">
        <f>VLOOKUP(B702,SuiteCatSubElem!$G$2:$G$667,2,0)</f>
        <v>#REF!</v>
      </c>
    </row>
    <row r="703" spans="1:9">
      <c r="A703">
        <f>RFI_Elements!B706</f>
        <v>9</v>
      </c>
      <c r="B703">
        <f>RFI_Elements!C706</f>
        <v>433</v>
      </c>
      <c r="C703">
        <v>705</v>
      </c>
      <c r="D703" s="128">
        <v>43101.003472164353</v>
      </c>
      <c r="E703" t="e">
        <f>VLOOKUP(VLOOKUP(B703,SuiteCatSubElem!$G$2:$G$667,2,0),'SA Q4 18 VR'!$A$33:$O$193,1+MATCH(VLOOKUP(A703,Vendors!$A$2:$B$15,2,0),'SA Q4 18 VR'!$B$24:$O$24,0),0)</f>
        <v>#REF!</v>
      </c>
      <c r="F703" s="27">
        <v>1</v>
      </c>
      <c r="G703">
        <f>RFI_Elements!N706</f>
        <v>705</v>
      </c>
      <c r="I703" t="e">
        <f>VLOOKUP(B703,SuiteCatSubElem!$G$2:$G$667,2,0)</f>
        <v>#REF!</v>
      </c>
    </row>
    <row r="704" spans="1:9">
      <c r="A704">
        <f>RFI_Elements!B707</f>
        <v>9</v>
      </c>
      <c r="B704">
        <f>RFI_Elements!C707</f>
        <v>434</v>
      </c>
      <c r="C704">
        <v>706</v>
      </c>
      <c r="D704" s="128">
        <v>43101.003472164353</v>
      </c>
      <c r="E704" t="e">
        <f>VLOOKUP(VLOOKUP(B704,SuiteCatSubElem!$G$2:$G$667,2,0),'SA Q4 18 VR'!$A$33:$O$193,1+MATCH(VLOOKUP(A704,Vendors!$A$2:$B$15,2,0),'SA Q4 18 VR'!$B$24:$O$24,0),0)</f>
        <v>#REF!</v>
      </c>
      <c r="F704" s="27">
        <v>1</v>
      </c>
      <c r="G704">
        <f>RFI_Elements!N707</f>
        <v>706</v>
      </c>
      <c r="I704" t="e">
        <f>VLOOKUP(B704,SuiteCatSubElem!$G$2:$G$667,2,0)</f>
        <v>#REF!</v>
      </c>
    </row>
    <row r="705" spans="1:9">
      <c r="A705">
        <f>RFI_Elements!B708</f>
        <v>9</v>
      </c>
      <c r="B705">
        <f>RFI_Elements!C708</f>
        <v>435</v>
      </c>
      <c r="C705">
        <v>707</v>
      </c>
      <c r="D705" s="128">
        <v>43101.003472164353</v>
      </c>
      <c r="E705" t="e">
        <f>VLOOKUP(VLOOKUP(B705,SuiteCatSubElem!$G$2:$G$667,2,0),'SA Q4 18 VR'!$A$33:$O$193,1+MATCH(VLOOKUP(A705,Vendors!$A$2:$B$15,2,0),'SA Q4 18 VR'!$B$24:$O$24,0),0)</f>
        <v>#REF!</v>
      </c>
      <c r="F705" s="27">
        <v>1</v>
      </c>
      <c r="G705">
        <f>RFI_Elements!N708</f>
        <v>707</v>
      </c>
      <c r="I705" t="e">
        <f>VLOOKUP(B705,SuiteCatSubElem!$G$2:$G$667,2,0)</f>
        <v>#REF!</v>
      </c>
    </row>
    <row r="706" spans="1:9">
      <c r="A706">
        <f>RFI_Elements!B709</f>
        <v>9</v>
      </c>
      <c r="B706">
        <f>RFI_Elements!C709</f>
        <v>436</v>
      </c>
      <c r="C706">
        <v>708</v>
      </c>
      <c r="D706" s="128">
        <v>43101.003472164353</v>
      </c>
      <c r="E706" t="e">
        <f>VLOOKUP(VLOOKUP(B706,SuiteCatSubElem!$G$2:$G$667,2,0),'SA Q4 18 VR'!$A$33:$O$193,1+MATCH(VLOOKUP(A706,Vendors!$A$2:$B$15,2,0),'SA Q4 18 VR'!$B$24:$O$24,0),0)</f>
        <v>#REF!</v>
      </c>
      <c r="F706" s="27">
        <v>1</v>
      </c>
      <c r="G706">
        <f>RFI_Elements!N709</f>
        <v>708</v>
      </c>
      <c r="I706" t="e">
        <f>VLOOKUP(B706,SuiteCatSubElem!$G$2:$G$667,2,0)</f>
        <v>#REF!</v>
      </c>
    </row>
    <row r="707" spans="1:9">
      <c r="A707">
        <f>RFI_Elements!B710</f>
        <v>9</v>
      </c>
      <c r="B707">
        <f>RFI_Elements!C710</f>
        <v>437</v>
      </c>
      <c r="C707">
        <v>709</v>
      </c>
      <c r="D707" s="128">
        <v>43101.003472164353</v>
      </c>
      <c r="E707" t="e">
        <f>VLOOKUP(VLOOKUP(B707,SuiteCatSubElem!$G$2:$G$667,2,0),'SA Q4 18 VR'!$A$33:$O$193,1+MATCH(VLOOKUP(A707,Vendors!$A$2:$B$15,2,0),'SA Q4 18 VR'!$B$24:$O$24,0),0)</f>
        <v>#REF!</v>
      </c>
      <c r="F707" s="27">
        <v>1</v>
      </c>
      <c r="G707">
        <f>RFI_Elements!N710</f>
        <v>709</v>
      </c>
      <c r="I707" t="e">
        <f>VLOOKUP(B707,SuiteCatSubElem!$G$2:$G$667,2,0)</f>
        <v>#REF!</v>
      </c>
    </row>
    <row r="708" spans="1:9">
      <c r="A708">
        <f>RFI_Elements!B711</f>
        <v>9</v>
      </c>
      <c r="B708">
        <f>RFI_Elements!C711</f>
        <v>438</v>
      </c>
      <c r="C708">
        <v>710</v>
      </c>
      <c r="D708" s="128">
        <v>43101.003472164353</v>
      </c>
      <c r="E708" t="e">
        <f>VLOOKUP(VLOOKUP(B708,SuiteCatSubElem!$G$2:$G$667,2,0),'SA Q4 18 VR'!$A$33:$O$193,1+MATCH(VLOOKUP(A708,Vendors!$A$2:$B$15,2,0),'SA Q4 18 VR'!$B$24:$O$24,0),0)</f>
        <v>#REF!</v>
      </c>
      <c r="F708" s="27">
        <v>1</v>
      </c>
      <c r="G708">
        <f>RFI_Elements!N711</f>
        <v>710</v>
      </c>
      <c r="I708" t="e">
        <f>VLOOKUP(B708,SuiteCatSubElem!$G$2:$G$667,2,0)</f>
        <v>#REF!</v>
      </c>
    </row>
    <row r="709" spans="1:9">
      <c r="A709">
        <f>RFI_Elements!B712</f>
        <v>9</v>
      </c>
      <c r="B709">
        <f>RFI_Elements!C712</f>
        <v>439</v>
      </c>
      <c r="C709">
        <v>711</v>
      </c>
      <c r="D709" s="128">
        <v>43101.003472164353</v>
      </c>
      <c r="E709" t="e">
        <f>VLOOKUP(VLOOKUP(B709,SuiteCatSubElem!$G$2:$G$667,2,0),'SA Q4 18 VR'!$A$33:$O$193,1+MATCH(VLOOKUP(A709,Vendors!$A$2:$B$15,2,0),'SA Q4 18 VR'!$B$24:$O$24,0),0)</f>
        <v>#REF!</v>
      </c>
      <c r="F709" s="27">
        <v>1</v>
      </c>
      <c r="G709">
        <f>RFI_Elements!N712</f>
        <v>711</v>
      </c>
      <c r="I709" t="e">
        <f>VLOOKUP(B709,SuiteCatSubElem!$G$2:$G$667,2,0)</f>
        <v>#REF!</v>
      </c>
    </row>
    <row r="710" spans="1:9">
      <c r="A710">
        <f>RFI_Elements!B713</f>
        <v>9</v>
      </c>
      <c r="B710">
        <f>RFI_Elements!C713</f>
        <v>440</v>
      </c>
      <c r="C710">
        <v>712</v>
      </c>
      <c r="D710" s="128">
        <v>43101.003472164353</v>
      </c>
      <c r="E710" t="e">
        <f>VLOOKUP(VLOOKUP(B710,SuiteCatSubElem!$G$2:$G$667,2,0),'SA Q4 18 VR'!$A$33:$O$193,1+MATCH(VLOOKUP(A710,Vendors!$A$2:$B$15,2,0),'SA Q4 18 VR'!$B$24:$O$24,0),0)</f>
        <v>#REF!</v>
      </c>
      <c r="F710" s="27">
        <v>1</v>
      </c>
      <c r="G710">
        <f>RFI_Elements!N713</f>
        <v>712</v>
      </c>
      <c r="I710" t="e">
        <f>VLOOKUP(B710,SuiteCatSubElem!$G$2:$G$667,2,0)</f>
        <v>#REF!</v>
      </c>
    </row>
    <row r="711" spans="1:9">
      <c r="A711">
        <f>RFI_Elements!B714</f>
        <v>9</v>
      </c>
      <c r="B711">
        <f>RFI_Elements!C714</f>
        <v>441</v>
      </c>
      <c r="C711">
        <v>713</v>
      </c>
      <c r="D711" s="128">
        <v>43101.003472164353</v>
      </c>
      <c r="E711" t="e">
        <f>VLOOKUP(VLOOKUP(B711,SuiteCatSubElem!$G$2:$G$667,2,0),'SA Q4 18 VR'!$A$33:$O$193,1+MATCH(VLOOKUP(A711,Vendors!$A$2:$B$15,2,0),'SA Q4 18 VR'!$B$24:$O$24,0),0)</f>
        <v>#REF!</v>
      </c>
      <c r="F711" s="27">
        <v>1</v>
      </c>
      <c r="G711">
        <f>RFI_Elements!N714</f>
        <v>713</v>
      </c>
      <c r="I711" t="e">
        <f>VLOOKUP(B711,SuiteCatSubElem!$G$2:$G$667,2,0)</f>
        <v>#REF!</v>
      </c>
    </row>
    <row r="712" spans="1:9">
      <c r="A712">
        <f>RFI_Elements!B715</f>
        <v>9</v>
      </c>
      <c r="B712">
        <f>RFI_Elements!C715</f>
        <v>442</v>
      </c>
      <c r="C712">
        <v>714</v>
      </c>
      <c r="D712" s="128">
        <v>43101.003472164353</v>
      </c>
      <c r="E712" t="e">
        <f>VLOOKUP(VLOOKUP(B712,SuiteCatSubElem!$G$2:$G$667,2,0),'SA Q4 18 VR'!$A$33:$O$193,1+MATCH(VLOOKUP(A712,Vendors!$A$2:$B$15,2,0),'SA Q4 18 VR'!$B$24:$O$24,0),0)</f>
        <v>#REF!</v>
      </c>
      <c r="F712" s="27">
        <v>1</v>
      </c>
      <c r="G712">
        <f>RFI_Elements!N715</f>
        <v>714</v>
      </c>
      <c r="I712" t="e">
        <f>VLOOKUP(B712,SuiteCatSubElem!$G$2:$G$667,2,0)</f>
        <v>#REF!</v>
      </c>
    </row>
    <row r="713" spans="1:9">
      <c r="A713">
        <f>RFI_Elements!B716</f>
        <v>9</v>
      </c>
      <c r="B713">
        <f>RFI_Elements!C716</f>
        <v>443</v>
      </c>
      <c r="C713">
        <v>715</v>
      </c>
      <c r="D713" s="128">
        <v>43101.003472164353</v>
      </c>
      <c r="E713" t="e">
        <f>VLOOKUP(VLOOKUP(B713,SuiteCatSubElem!$G$2:$G$667,2,0),'SA Q4 18 VR'!$A$33:$O$193,1+MATCH(VLOOKUP(A713,Vendors!$A$2:$B$15,2,0),'SA Q4 18 VR'!$B$24:$O$24,0),0)</f>
        <v>#REF!</v>
      </c>
      <c r="F713" s="27">
        <v>1</v>
      </c>
      <c r="G713">
        <f>RFI_Elements!N716</f>
        <v>715</v>
      </c>
      <c r="I713" t="e">
        <f>VLOOKUP(B713,SuiteCatSubElem!$G$2:$G$667,2,0)</f>
        <v>#REF!</v>
      </c>
    </row>
    <row r="714" spans="1:9">
      <c r="A714">
        <f>RFI_Elements!B717</f>
        <v>9</v>
      </c>
      <c r="B714">
        <f>RFI_Elements!C717</f>
        <v>444</v>
      </c>
      <c r="C714">
        <v>716</v>
      </c>
      <c r="D714" s="128">
        <v>43101.003472164353</v>
      </c>
      <c r="E714" t="e">
        <f>VLOOKUP(VLOOKUP(B714,SuiteCatSubElem!$G$2:$G$667,2,0),'SA Q4 18 VR'!$A$33:$O$193,1+MATCH(VLOOKUP(A714,Vendors!$A$2:$B$15,2,0),'SA Q4 18 VR'!$B$24:$O$24,0),0)</f>
        <v>#REF!</v>
      </c>
      <c r="F714" s="27">
        <v>1</v>
      </c>
      <c r="G714">
        <f>RFI_Elements!N717</f>
        <v>716</v>
      </c>
      <c r="I714" t="e">
        <f>VLOOKUP(B714,SuiteCatSubElem!$G$2:$G$667,2,0)</f>
        <v>#REF!</v>
      </c>
    </row>
    <row r="715" spans="1:9">
      <c r="A715">
        <f>RFI_Elements!B718</f>
        <v>9</v>
      </c>
      <c r="B715">
        <f>RFI_Elements!C718</f>
        <v>445</v>
      </c>
      <c r="C715">
        <v>717</v>
      </c>
      <c r="D715" s="128">
        <v>43101.003472164353</v>
      </c>
      <c r="E715" t="e">
        <f>VLOOKUP(VLOOKUP(B715,SuiteCatSubElem!$G$2:$G$667,2,0),'SA Q4 18 VR'!$A$33:$O$193,1+MATCH(VLOOKUP(A715,Vendors!$A$2:$B$15,2,0),'SA Q4 18 VR'!$B$24:$O$24,0),0)</f>
        <v>#REF!</v>
      </c>
      <c r="F715" s="27">
        <v>1</v>
      </c>
      <c r="G715">
        <f>RFI_Elements!N718</f>
        <v>717</v>
      </c>
      <c r="I715" t="e">
        <f>VLOOKUP(B715,SuiteCatSubElem!$G$2:$G$667,2,0)</f>
        <v>#REF!</v>
      </c>
    </row>
    <row r="716" spans="1:9">
      <c r="A716">
        <f>RFI_Elements!B719</f>
        <v>9</v>
      </c>
      <c r="B716">
        <f>RFI_Elements!C719</f>
        <v>446</v>
      </c>
      <c r="C716">
        <v>718</v>
      </c>
      <c r="D716" s="128">
        <v>43101.003472164353</v>
      </c>
      <c r="E716" t="e">
        <f>VLOOKUP(VLOOKUP(B716,SuiteCatSubElem!$G$2:$G$667,2,0),'SA Q4 18 VR'!$A$33:$O$193,1+MATCH(VLOOKUP(A716,Vendors!$A$2:$B$15,2,0),'SA Q4 18 VR'!$B$24:$O$24,0),0)</f>
        <v>#REF!</v>
      </c>
      <c r="F716" s="27">
        <v>1</v>
      </c>
      <c r="G716">
        <f>RFI_Elements!N719</f>
        <v>718</v>
      </c>
      <c r="I716" t="e">
        <f>VLOOKUP(B716,SuiteCatSubElem!$G$2:$G$667,2,0)</f>
        <v>#REF!</v>
      </c>
    </row>
    <row r="717" spans="1:9">
      <c r="A717">
        <f>RFI_Elements!B720</f>
        <v>9</v>
      </c>
      <c r="B717">
        <f>RFI_Elements!C720</f>
        <v>447</v>
      </c>
      <c r="C717">
        <v>719</v>
      </c>
      <c r="D717" s="128">
        <v>43101.003472164353</v>
      </c>
      <c r="E717" t="e">
        <f>VLOOKUP(VLOOKUP(B717,SuiteCatSubElem!$G$2:$G$667,2,0),'SA Q4 18 VR'!$A$33:$O$193,1+MATCH(VLOOKUP(A717,Vendors!$A$2:$B$15,2,0),'SA Q4 18 VR'!$B$24:$O$24,0),0)</f>
        <v>#REF!</v>
      </c>
      <c r="F717" s="27">
        <v>1</v>
      </c>
      <c r="G717">
        <f>RFI_Elements!N720</f>
        <v>719</v>
      </c>
      <c r="I717" t="e">
        <f>VLOOKUP(B717,SuiteCatSubElem!$G$2:$G$667,2,0)</f>
        <v>#REF!</v>
      </c>
    </row>
    <row r="718" spans="1:9">
      <c r="A718">
        <f>RFI_Elements!B721</f>
        <v>9</v>
      </c>
      <c r="B718">
        <f>RFI_Elements!C721</f>
        <v>448</v>
      </c>
      <c r="C718">
        <v>720</v>
      </c>
      <c r="D718" s="128">
        <v>43101.003472164353</v>
      </c>
      <c r="E718" t="e">
        <f>VLOOKUP(VLOOKUP(B718,SuiteCatSubElem!$G$2:$G$667,2,0),'SA Q4 18 VR'!$A$33:$O$193,1+MATCH(VLOOKUP(A718,Vendors!$A$2:$B$15,2,0),'SA Q4 18 VR'!$B$24:$O$24,0),0)</f>
        <v>#REF!</v>
      </c>
      <c r="F718" s="27">
        <v>1</v>
      </c>
      <c r="G718">
        <f>RFI_Elements!N721</f>
        <v>720</v>
      </c>
      <c r="I718" t="e">
        <f>VLOOKUP(B718,SuiteCatSubElem!$G$2:$G$667,2,0)</f>
        <v>#REF!</v>
      </c>
    </row>
    <row r="719" spans="1:9">
      <c r="A719">
        <f>RFI_Elements!B722</f>
        <v>9</v>
      </c>
      <c r="B719">
        <f>RFI_Elements!C722</f>
        <v>449</v>
      </c>
      <c r="C719">
        <v>721</v>
      </c>
      <c r="D719" s="128">
        <v>43101.003472164353</v>
      </c>
      <c r="E719" t="e">
        <f>VLOOKUP(VLOOKUP(B719,SuiteCatSubElem!$G$2:$G$667,2,0),'SA Q4 18 VR'!$A$33:$O$193,1+MATCH(VLOOKUP(A719,Vendors!$A$2:$B$15,2,0),'SA Q4 18 VR'!$B$24:$O$24,0),0)</f>
        <v>#REF!</v>
      </c>
      <c r="F719" s="27">
        <v>1</v>
      </c>
      <c r="G719">
        <f>RFI_Elements!N722</f>
        <v>721</v>
      </c>
      <c r="I719" t="e">
        <f>VLOOKUP(B719,SuiteCatSubElem!$G$2:$G$667,2,0)</f>
        <v>#REF!</v>
      </c>
    </row>
    <row r="720" spans="1:9">
      <c r="A720">
        <f>RFI_Elements!B723</f>
        <v>9</v>
      </c>
      <c r="B720">
        <f>RFI_Elements!C723</f>
        <v>450</v>
      </c>
      <c r="C720">
        <v>722</v>
      </c>
      <c r="D720" s="128">
        <v>43101.003472164353</v>
      </c>
      <c r="E720" t="e">
        <f>VLOOKUP(VLOOKUP(B720,SuiteCatSubElem!$G$2:$G$667,2,0),'SA Q4 18 VR'!$A$33:$O$193,1+MATCH(VLOOKUP(A720,Vendors!$A$2:$B$15,2,0),'SA Q4 18 VR'!$B$24:$O$24,0),0)</f>
        <v>#REF!</v>
      </c>
      <c r="F720" s="27">
        <v>1</v>
      </c>
      <c r="G720">
        <f>RFI_Elements!N723</f>
        <v>722</v>
      </c>
      <c r="I720" t="e">
        <f>VLOOKUP(B720,SuiteCatSubElem!$G$2:$G$667,2,0)</f>
        <v>#REF!</v>
      </c>
    </row>
    <row r="721" spans="1:9">
      <c r="A721">
        <f>RFI_Elements!B724</f>
        <v>9</v>
      </c>
      <c r="B721">
        <f>RFI_Elements!C724</f>
        <v>451</v>
      </c>
      <c r="C721">
        <v>723</v>
      </c>
      <c r="D721" s="128">
        <v>43101.003472164353</v>
      </c>
      <c r="E721" t="e">
        <f>VLOOKUP(VLOOKUP(B721,SuiteCatSubElem!$G$2:$G$667,2,0),'SA Q4 18 VR'!$A$33:$O$193,1+MATCH(VLOOKUP(A721,Vendors!$A$2:$B$15,2,0),'SA Q4 18 VR'!$B$24:$O$24,0),0)</f>
        <v>#REF!</v>
      </c>
      <c r="F721" s="27">
        <v>1</v>
      </c>
      <c r="G721">
        <f>RFI_Elements!N724</f>
        <v>723</v>
      </c>
      <c r="I721" t="e">
        <f>VLOOKUP(B721,SuiteCatSubElem!$G$2:$G$667,2,0)</f>
        <v>#REF!</v>
      </c>
    </row>
    <row r="722" spans="1:9">
      <c r="A722">
        <f>RFI_Elements!B725</f>
        <v>9</v>
      </c>
      <c r="B722">
        <f>RFI_Elements!C725</f>
        <v>452</v>
      </c>
      <c r="C722">
        <v>724</v>
      </c>
      <c r="D722" s="128">
        <v>43101.003472164353</v>
      </c>
      <c r="E722" t="e">
        <f>VLOOKUP(VLOOKUP(B722,SuiteCatSubElem!$G$2:$G$667,2,0),'SA Q4 18 VR'!$A$33:$O$193,1+MATCH(VLOOKUP(A722,Vendors!$A$2:$B$15,2,0),'SA Q4 18 VR'!$B$24:$O$24,0),0)</f>
        <v>#REF!</v>
      </c>
      <c r="F722" s="27">
        <v>1</v>
      </c>
      <c r="G722">
        <f>RFI_Elements!N725</f>
        <v>724</v>
      </c>
      <c r="I722" t="e">
        <f>VLOOKUP(B722,SuiteCatSubElem!$G$2:$G$667,2,0)</f>
        <v>#REF!</v>
      </c>
    </row>
    <row r="723" spans="1:9">
      <c r="A723">
        <f>RFI_Elements!B726</f>
        <v>9</v>
      </c>
      <c r="B723">
        <f>RFI_Elements!C726</f>
        <v>453</v>
      </c>
      <c r="C723">
        <v>725</v>
      </c>
      <c r="D723" s="128">
        <v>43101.003472164353</v>
      </c>
      <c r="E723" t="e">
        <f>VLOOKUP(VLOOKUP(B723,SuiteCatSubElem!$G$2:$G$667,2,0),'SA Q4 18 VR'!$A$33:$O$193,1+MATCH(VLOOKUP(A723,Vendors!$A$2:$B$15,2,0),'SA Q4 18 VR'!$B$24:$O$24,0),0)</f>
        <v>#REF!</v>
      </c>
      <c r="F723" s="27">
        <v>1</v>
      </c>
      <c r="G723">
        <f>RFI_Elements!N726</f>
        <v>725</v>
      </c>
      <c r="I723" t="e">
        <f>VLOOKUP(B723,SuiteCatSubElem!$G$2:$G$667,2,0)</f>
        <v>#REF!</v>
      </c>
    </row>
    <row r="724" spans="1:9">
      <c r="A724">
        <f>RFI_Elements!B727</f>
        <v>9</v>
      </c>
      <c r="B724">
        <f>RFI_Elements!C727</f>
        <v>454</v>
      </c>
      <c r="C724">
        <v>726</v>
      </c>
      <c r="D724" s="128">
        <v>43101.003472164353</v>
      </c>
      <c r="E724" t="e">
        <f>VLOOKUP(VLOOKUP(B724,SuiteCatSubElem!$G$2:$G$667,2,0),'SA Q4 18 VR'!$A$33:$O$193,1+MATCH(VLOOKUP(A724,Vendors!$A$2:$B$15,2,0),'SA Q4 18 VR'!$B$24:$O$24,0),0)</f>
        <v>#REF!</v>
      </c>
      <c r="F724" s="27">
        <v>1</v>
      </c>
      <c r="G724">
        <f>RFI_Elements!N727</f>
        <v>726</v>
      </c>
      <c r="I724" t="e">
        <f>VLOOKUP(B724,SuiteCatSubElem!$G$2:$G$667,2,0)</f>
        <v>#REF!</v>
      </c>
    </row>
    <row r="725" spans="1:9">
      <c r="A725">
        <f>RFI_Elements!B728</f>
        <v>9</v>
      </c>
      <c r="B725">
        <f>RFI_Elements!C728</f>
        <v>455</v>
      </c>
      <c r="C725">
        <v>727</v>
      </c>
      <c r="D725" s="128">
        <v>43101.003472164353</v>
      </c>
      <c r="E725" t="e">
        <f>VLOOKUP(VLOOKUP(B725,SuiteCatSubElem!$G$2:$G$667,2,0),'SA Q4 18 VR'!$A$33:$O$193,1+MATCH(VLOOKUP(A725,Vendors!$A$2:$B$15,2,0),'SA Q4 18 VR'!$B$24:$O$24,0),0)</f>
        <v>#REF!</v>
      </c>
      <c r="F725" s="27">
        <v>1</v>
      </c>
      <c r="G725">
        <f>RFI_Elements!N728</f>
        <v>727</v>
      </c>
      <c r="I725" t="e">
        <f>VLOOKUP(B725,SuiteCatSubElem!$G$2:$G$667,2,0)</f>
        <v>#REF!</v>
      </c>
    </row>
    <row r="726" spans="1:9">
      <c r="A726">
        <f>RFI_Elements!B729</f>
        <v>9</v>
      </c>
      <c r="B726">
        <f>RFI_Elements!C729</f>
        <v>456</v>
      </c>
      <c r="C726">
        <v>728</v>
      </c>
      <c r="D726" s="128">
        <v>43101.003472164353</v>
      </c>
      <c r="E726" t="e">
        <f>VLOOKUP(VLOOKUP(B726,SuiteCatSubElem!$G$2:$G$667,2,0),'SA Q4 18 VR'!$A$33:$O$193,1+MATCH(VLOOKUP(A726,Vendors!$A$2:$B$15,2,0),'SA Q4 18 VR'!$B$24:$O$24,0),0)</f>
        <v>#REF!</v>
      </c>
      <c r="F726" s="27">
        <v>1</v>
      </c>
      <c r="G726">
        <f>RFI_Elements!N729</f>
        <v>728</v>
      </c>
      <c r="I726" t="e">
        <f>VLOOKUP(B726,SuiteCatSubElem!$G$2:$G$667,2,0)</f>
        <v>#REF!</v>
      </c>
    </row>
    <row r="727" spans="1:9">
      <c r="A727">
        <f>RFI_Elements!B730</f>
        <v>9</v>
      </c>
      <c r="B727">
        <f>RFI_Elements!C730</f>
        <v>457</v>
      </c>
      <c r="C727">
        <v>729</v>
      </c>
      <c r="D727" s="128">
        <v>43101.003472164353</v>
      </c>
      <c r="E727" t="e">
        <f>VLOOKUP(VLOOKUP(B727,SuiteCatSubElem!$G$2:$G$667,2,0),'SA Q4 18 VR'!$A$33:$O$193,1+MATCH(VLOOKUP(A727,Vendors!$A$2:$B$15,2,0),'SA Q4 18 VR'!$B$24:$O$24,0),0)</f>
        <v>#REF!</v>
      </c>
      <c r="F727" s="27">
        <v>1</v>
      </c>
      <c r="G727">
        <f>RFI_Elements!N730</f>
        <v>729</v>
      </c>
      <c r="I727" t="e">
        <f>VLOOKUP(B727,SuiteCatSubElem!$G$2:$G$667,2,0)</f>
        <v>#REF!</v>
      </c>
    </row>
    <row r="728" spans="1:9">
      <c r="A728">
        <f>RFI_Elements!B731</f>
        <v>9</v>
      </c>
      <c r="B728">
        <f>RFI_Elements!C731</f>
        <v>458</v>
      </c>
      <c r="C728">
        <v>730</v>
      </c>
      <c r="D728" s="128">
        <v>43101.003472164353</v>
      </c>
      <c r="E728" t="e">
        <f>VLOOKUP(VLOOKUP(B728,SuiteCatSubElem!$G$2:$G$667,2,0),'SA Q4 18 VR'!$A$33:$O$193,1+MATCH(VLOOKUP(A728,Vendors!$A$2:$B$15,2,0),'SA Q4 18 VR'!$B$24:$O$24,0),0)</f>
        <v>#REF!</v>
      </c>
      <c r="F728" s="27">
        <v>1</v>
      </c>
      <c r="G728">
        <f>RFI_Elements!N731</f>
        <v>730</v>
      </c>
      <c r="I728" t="e">
        <f>VLOOKUP(B728,SuiteCatSubElem!$G$2:$G$667,2,0)</f>
        <v>#REF!</v>
      </c>
    </row>
    <row r="729" spans="1:9">
      <c r="A729">
        <f>RFI_Elements!B732</f>
        <v>9</v>
      </c>
      <c r="B729">
        <f>RFI_Elements!C732</f>
        <v>459</v>
      </c>
      <c r="C729">
        <v>731</v>
      </c>
      <c r="D729" s="128">
        <v>43101.003472164353</v>
      </c>
      <c r="E729" t="e">
        <f>VLOOKUP(VLOOKUP(B729,SuiteCatSubElem!$G$2:$G$667,2,0),'SA Q4 18 VR'!$A$33:$O$193,1+MATCH(VLOOKUP(A729,Vendors!$A$2:$B$15,2,0),'SA Q4 18 VR'!$B$24:$O$24,0),0)</f>
        <v>#REF!</v>
      </c>
      <c r="F729" s="27">
        <v>1</v>
      </c>
      <c r="G729">
        <f>RFI_Elements!N732</f>
        <v>731</v>
      </c>
      <c r="I729" t="e">
        <f>VLOOKUP(B729,SuiteCatSubElem!$G$2:$G$667,2,0)</f>
        <v>#REF!</v>
      </c>
    </row>
    <row r="730" spans="1:9">
      <c r="A730">
        <f>RFI_Elements!B733</f>
        <v>9</v>
      </c>
      <c r="B730">
        <f>RFI_Elements!C733</f>
        <v>460</v>
      </c>
      <c r="C730">
        <v>732</v>
      </c>
      <c r="D730" s="128">
        <v>43101.003472164353</v>
      </c>
      <c r="E730" t="e">
        <f>VLOOKUP(VLOOKUP(B730,SuiteCatSubElem!$G$2:$G$667,2,0),'SA Q4 18 VR'!$A$33:$O$193,1+MATCH(VLOOKUP(A730,Vendors!$A$2:$B$15,2,0),'SA Q4 18 VR'!$B$24:$O$24,0),0)</f>
        <v>#REF!</v>
      </c>
      <c r="F730" s="27">
        <v>1</v>
      </c>
      <c r="G730">
        <f>RFI_Elements!N733</f>
        <v>732</v>
      </c>
      <c r="I730" t="e">
        <f>VLOOKUP(B730,SuiteCatSubElem!$G$2:$G$667,2,0)</f>
        <v>#REF!</v>
      </c>
    </row>
    <row r="731" spans="1:9">
      <c r="A731">
        <f>RFI_Elements!B734</f>
        <v>9</v>
      </c>
      <c r="B731">
        <f>RFI_Elements!C734</f>
        <v>461</v>
      </c>
      <c r="C731">
        <v>733</v>
      </c>
      <c r="D731" s="128">
        <v>43101.003472164353</v>
      </c>
      <c r="E731" t="e">
        <f>VLOOKUP(VLOOKUP(B731,SuiteCatSubElem!$G$2:$G$667,2,0),'SA Q4 18 VR'!$A$33:$O$193,1+MATCH(VLOOKUP(A731,Vendors!$A$2:$B$15,2,0),'SA Q4 18 VR'!$B$24:$O$24,0),0)</f>
        <v>#REF!</v>
      </c>
      <c r="F731" s="27">
        <v>1</v>
      </c>
      <c r="G731">
        <f>RFI_Elements!N734</f>
        <v>733</v>
      </c>
      <c r="I731" t="e">
        <f>VLOOKUP(B731,SuiteCatSubElem!$G$2:$G$667,2,0)</f>
        <v>#REF!</v>
      </c>
    </row>
    <row r="732" spans="1:9">
      <c r="A732">
        <f>RFI_Elements!B735</f>
        <v>9</v>
      </c>
      <c r="B732">
        <f>RFI_Elements!C735</f>
        <v>462</v>
      </c>
      <c r="C732">
        <v>734</v>
      </c>
      <c r="D732" s="128">
        <v>43101.003472164353</v>
      </c>
      <c r="E732" t="e">
        <f>VLOOKUP(VLOOKUP(B732,SuiteCatSubElem!$G$2:$G$667,2,0),'SA Q4 18 VR'!$A$33:$O$193,1+MATCH(VLOOKUP(A732,Vendors!$A$2:$B$15,2,0),'SA Q4 18 VR'!$B$24:$O$24,0),0)</f>
        <v>#REF!</v>
      </c>
      <c r="F732" s="27">
        <v>1</v>
      </c>
      <c r="G732">
        <f>RFI_Elements!N735</f>
        <v>734</v>
      </c>
      <c r="I732" t="e">
        <f>VLOOKUP(B732,SuiteCatSubElem!$G$2:$G$667,2,0)</f>
        <v>#REF!</v>
      </c>
    </row>
    <row r="733" spans="1:9">
      <c r="A733">
        <f>RFI_Elements!B736</f>
        <v>9</v>
      </c>
      <c r="B733">
        <f>RFI_Elements!C736</f>
        <v>463</v>
      </c>
      <c r="C733">
        <v>735</v>
      </c>
      <c r="D733" s="128">
        <v>43101.003472164353</v>
      </c>
      <c r="E733" t="e">
        <f>VLOOKUP(VLOOKUP(B733,SuiteCatSubElem!$G$2:$G$667,2,0),'SA Q4 18 VR'!$A$33:$O$193,1+MATCH(VLOOKUP(A733,Vendors!$A$2:$B$15,2,0),'SA Q4 18 VR'!$B$24:$O$24,0),0)</f>
        <v>#REF!</v>
      </c>
      <c r="F733" s="27">
        <v>1</v>
      </c>
      <c r="G733">
        <f>RFI_Elements!N736</f>
        <v>735</v>
      </c>
      <c r="I733" t="e">
        <f>VLOOKUP(B733,SuiteCatSubElem!$G$2:$G$667,2,0)</f>
        <v>#REF!</v>
      </c>
    </row>
    <row r="734" spans="1:9">
      <c r="A734">
        <f>RFI_Elements!B737</f>
        <v>9</v>
      </c>
      <c r="B734">
        <f>RFI_Elements!C737</f>
        <v>464</v>
      </c>
      <c r="C734">
        <v>736</v>
      </c>
      <c r="D734" s="128">
        <v>43101.003472164353</v>
      </c>
      <c r="E734" t="e">
        <f>VLOOKUP(VLOOKUP(B734,SuiteCatSubElem!$G$2:$G$667,2,0),'SA Q4 18 VR'!$A$33:$O$193,1+MATCH(VLOOKUP(A734,Vendors!$A$2:$B$15,2,0),'SA Q4 18 VR'!$B$24:$O$24,0),0)</f>
        <v>#REF!</v>
      </c>
      <c r="F734" s="27">
        <v>1</v>
      </c>
      <c r="G734">
        <f>RFI_Elements!N737</f>
        <v>736</v>
      </c>
      <c r="I734" t="e">
        <f>VLOOKUP(B734,SuiteCatSubElem!$G$2:$G$667,2,0)</f>
        <v>#REF!</v>
      </c>
    </row>
    <row r="735" spans="1:9">
      <c r="A735">
        <f>RFI_Elements!B738</f>
        <v>9</v>
      </c>
      <c r="B735">
        <f>RFI_Elements!C738</f>
        <v>465</v>
      </c>
      <c r="C735">
        <v>737</v>
      </c>
      <c r="D735" s="128">
        <v>43101.003472164353</v>
      </c>
      <c r="E735" t="e">
        <f>VLOOKUP(VLOOKUP(B735,SuiteCatSubElem!$G$2:$G$667,2,0),'SA Q4 18 VR'!$A$33:$O$193,1+MATCH(VLOOKUP(A735,Vendors!$A$2:$B$15,2,0),'SA Q4 18 VR'!$B$24:$O$24,0),0)</f>
        <v>#REF!</v>
      </c>
      <c r="F735" s="27">
        <v>1</v>
      </c>
      <c r="G735">
        <f>RFI_Elements!N738</f>
        <v>737</v>
      </c>
      <c r="I735" t="e">
        <f>VLOOKUP(B735,SuiteCatSubElem!$G$2:$G$667,2,0)</f>
        <v>#REF!</v>
      </c>
    </row>
    <row r="736" spans="1:9">
      <c r="A736">
        <f>RFI_Elements!B739</f>
        <v>9</v>
      </c>
      <c r="B736">
        <f>RFI_Elements!C739</f>
        <v>466</v>
      </c>
      <c r="C736">
        <v>738</v>
      </c>
      <c r="D736" s="128">
        <v>43101.003472164353</v>
      </c>
      <c r="E736" t="e">
        <f>VLOOKUP(VLOOKUP(B736,SuiteCatSubElem!$G$2:$G$667,2,0),'SA Q4 18 VR'!$A$33:$O$193,1+MATCH(VLOOKUP(A736,Vendors!$A$2:$B$15,2,0),'SA Q4 18 VR'!$B$24:$O$24,0),0)</f>
        <v>#REF!</v>
      </c>
      <c r="F736" s="27">
        <v>1</v>
      </c>
      <c r="G736">
        <f>RFI_Elements!N739</f>
        <v>738</v>
      </c>
      <c r="I736" t="e">
        <f>VLOOKUP(B736,SuiteCatSubElem!$G$2:$G$667,2,0)</f>
        <v>#REF!</v>
      </c>
    </row>
    <row r="737" spans="1:9">
      <c r="A737">
        <f>RFI_Elements!B740</f>
        <v>9</v>
      </c>
      <c r="B737">
        <f>RFI_Elements!C740</f>
        <v>467</v>
      </c>
      <c r="C737">
        <v>739</v>
      </c>
      <c r="D737" s="128">
        <v>43101.003472164353</v>
      </c>
      <c r="E737" t="e">
        <f>VLOOKUP(VLOOKUP(B737,SuiteCatSubElem!$G$2:$G$667,2,0),'SA Q4 18 VR'!$A$33:$O$193,1+MATCH(VLOOKUP(A737,Vendors!$A$2:$B$15,2,0),'SA Q4 18 VR'!$B$24:$O$24,0),0)</f>
        <v>#REF!</v>
      </c>
      <c r="F737" s="27">
        <v>1</v>
      </c>
      <c r="G737">
        <f>RFI_Elements!N740</f>
        <v>739</v>
      </c>
      <c r="I737" t="e">
        <f>VLOOKUP(B737,SuiteCatSubElem!$G$2:$G$667,2,0)</f>
        <v>#REF!</v>
      </c>
    </row>
    <row r="738" spans="1:9">
      <c r="A738">
        <f>RFI_Elements!B741</f>
        <v>9</v>
      </c>
      <c r="B738">
        <f>RFI_Elements!C741</f>
        <v>468</v>
      </c>
      <c r="C738">
        <v>740</v>
      </c>
      <c r="D738" s="128">
        <v>43101.003472164353</v>
      </c>
      <c r="E738" t="e">
        <f>VLOOKUP(VLOOKUP(B738,SuiteCatSubElem!$G$2:$G$667,2,0),'SA Q4 18 VR'!$A$33:$O$193,1+MATCH(VLOOKUP(A738,Vendors!$A$2:$B$15,2,0),'SA Q4 18 VR'!$B$24:$O$24,0),0)</f>
        <v>#REF!</v>
      </c>
      <c r="F738" s="27">
        <v>1</v>
      </c>
      <c r="G738">
        <f>RFI_Elements!N741</f>
        <v>740</v>
      </c>
      <c r="I738" t="e">
        <f>VLOOKUP(B738,SuiteCatSubElem!$G$2:$G$667,2,0)</f>
        <v>#REF!</v>
      </c>
    </row>
    <row r="739" spans="1:9">
      <c r="A739">
        <f>RFI_Elements!B742</f>
        <v>9</v>
      </c>
      <c r="B739">
        <f>RFI_Elements!C742</f>
        <v>469</v>
      </c>
      <c r="C739">
        <v>741</v>
      </c>
      <c r="D739" s="128">
        <v>43101.003472164353</v>
      </c>
      <c r="E739" t="e">
        <f>VLOOKUP(VLOOKUP(B739,SuiteCatSubElem!$G$2:$G$667,2,0),'SA Q4 18 VR'!$A$33:$O$193,1+MATCH(VLOOKUP(A739,Vendors!$A$2:$B$15,2,0),'SA Q4 18 VR'!$B$24:$O$24,0),0)</f>
        <v>#REF!</v>
      </c>
      <c r="F739" s="27">
        <v>1</v>
      </c>
      <c r="G739">
        <f>RFI_Elements!N742</f>
        <v>741</v>
      </c>
      <c r="I739" t="e">
        <f>VLOOKUP(B739,SuiteCatSubElem!$G$2:$G$667,2,0)</f>
        <v>#REF!</v>
      </c>
    </row>
    <row r="740" spans="1:9">
      <c r="A740">
        <f>RFI_Elements!B743</f>
        <v>9</v>
      </c>
      <c r="B740">
        <f>RFI_Elements!C743</f>
        <v>470</v>
      </c>
      <c r="C740">
        <v>742</v>
      </c>
      <c r="D740" s="128">
        <v>43101.003472164353</v>
      </c>
      <c r="E740" t="e">
        <f>VLOOKUP(VLOOKUP(B740,SuiteCatSubElem!$G$2:$G$667,2,0),'SA Q4 18 VR'!$A$33:$O$193,1+MATCH(VLOOKUP(A740,Vendors!$A$2:$B$15,2,0),'SA Q4 18 VR'!$B$24:$O$24,0),0)</f>
        <v>#REF!</v>
      </c>
      <c r="F740" s="27">
        <v>1</v>
      </c>
      <c r="G740">
        <f>RFI_Elements!N743</f>
        <v>742</v>
      </c>
      <c r="I740" t="e">
        <f>VLOOKUP(B740,SuiteCatSubElem!$G$2:$G$667,2,0)</f>
        <v>#REF!</v>
      </c>
    </row>
    <row r="741" spans="1:9">
      <c r="A741">
        <f>RFI_Elements!B744</f>
        <v>9</v>
      </c>
      <c r="B741">
        <f>RFI_Elements!C744</f>
        <v>471</v>
      </c>
      <c r="C741">
        <v>743</v>
      </c>
      <c r="D741" s="128">
        <v>43101.003472164353</v>
      </c>
      <c r="E741" t="e">
        <f>VLOOKUP(VLOOKUP(B741,SuiteCatSubElem!$G$2:$G$667,2,0),'SA Q4 18 VR'!$A$33:$O$193,1+MATCH(VLOOKUP(A741,Vendors!$A$2:$B$15,2,0),'SA Q4 18 VR'!$B$24:$O$24,0),0)</f>
        <v>#REF!</v>
      </c>
      <c r="F741" s="27">
        <v>1</v>
      </c>
      <c r="G741">
        <f>RFI_Elements!N744</f>
        <v>743</v>
      </c>
      <c r="I741" t="e">
        <f>VLOOKUP(B741,SuiteCatSubElem!$G$2:$G$667,2,0)</f>
        <v>#REF!</v>
      </c>
    </row>
    <row r="742" spans="1:9">
      <c r="A742">
        <f>RFI_Elements!B745</f>
        <v>9</v>
      </c>
      <c r="B742">
        <f>RFI_Elements!C745</f>
        <v>472</v>
      </c>
      <c r="C742">
        <v>744</v>
      </c>
      <c r="D742" s="128">
        <v>43101.003472164353</v>
      </c>
      <c r="E742" t="e">
        <f>VLOOKUP(VLOOKUP(B742,SuiteCatSubElem!$G$2:$G$667,2,0),'SA Q4 18 VR'!$A$33:$O$193,1+MATCH(VLOOKUP(A742,Vendors!$A$2:$B$15,2,0),'SA Q4 18 VR'!$B$24:$O$24,0),0)</f>
        <v>#REF!</v>
      </c>
      <c r="F742" s="27">
        <v>1</v>
      </c>
      <c r="G742">
        <f>RFI_Elements!N745</f>
        <v>744</v>
      </c>
      <c r="I742" t="e">
        <f>VLOOKUP(B742,SuiteCatSubElem!$G$2:$G$667,2,0)</f>
        <v>#REF!</v>
      </c>
    </row>
    <row r="743" spans="1:9">
      <c r="A743">
        <f>RFI_Elements!B746</f>
        <v>9</v>
      </c>
      <c r="B743">
        <f>RFI_Elements!C746</f>
        <v>473</v>
      </c>
      <c r="C743">
        <v>745</v>
      </c>
      <c r="D743" s="128">
        <v>43101.003472164353</v>
      </c>
      <c r="E743" t="e">
        <f>VLOOKUP(VLOOKUP(B743,SuiteCatSubElem!$G$2:$G$667,2,0),'SA Q4 18 VR'!$A$33:$O$193,1+MATCH(VLOOKUP(A743,Vendors!$A$2:$B$15,2,0),'SA Q4 18 VR'!$B$24:$O$24,0),0)</f>
        <v>#REF!</v>
      </c>
      <c r="F743" s="27">
        <v>1</v>
      </c>
      <c r="G743">
        <f>RFI_Elements!N746</f>
        <v>745</v>
      </c>
      <c r="I743" t="e">
        <f>VLOOKUP(B743,SuiteCatSubElem!$G$2:$G$667,2,0)</f>
        <v>#REF!</v>
      </c>
    </row>
    <row r="744" spans="1:9">
      <c r="A744">
        <f>RFI_Elements!B747</f>
        <v>9</v>
      </c>
      <c r="B744">
        <f>RFI_Elements!C747</f>
        <v>474</v>
      </c>
      <c r="C744">
        <v>746</v>
      </c>
      <c r="D744" s="128">
        <v>43101.003472164353</v>
      </c>
      <c r="E744" t="e">
        <f>VLOOKUP(VLOOKUP(B744,SuiteCatSubElem!$G$2:$G$667,2,0),'SA Q4 18 VR'!$A$33:$O$193,1+MATCH(VLOOKUP(A744,Vendors!$A$2:$B$15,2,0),'SA Q4 18 VR'!$B$24:$O$24,0),0)</f>
        <v>#REF!</v>
      </c>
      <c r="F744" s="27">
        <v>1</v>
      </c>
      <c r="G744">
        <f>RFI_Elements!N747</f>
        <v>746</v>
      </c>
      <c r="I744" t="e">
        <f>VLOOKUP(B744,SuiteCatSubElem!$G$2:$G$667,2,0)</f>
        <v>#REF!</v>
      </c>
    </row>
    <row r="745" spans="1:9">
      <c r="A745">
        <f>RFI_Elements!B748</f>
        <v>9</v>
      </c>
      <c r="B745">
        <f>RFI_Elements!C748</f>
        <v>475</v>
      </c>
      <c r="C745">
        <v>747</v>
      </c>
      <c r="D745" s="128">
        <v>43101.003472164353</v>
      </c>
      <c r="E745" t="e">
        <f>VLOOKUP(VLOOKUP(B745,SuiteCatSubElem!$G$2:$G$667,2,0),'SA Q4 18 VR'!$A$33:$O$193,1+MATCH(VLOOKUP(A745,Vendors!$A$2:$B$15,2,0),'SA Q4 18 VR'!$B$24:$O$24,0),0)</f>
        <v>#REF!</v>
      </c>
      <c r="F745" s="27">
        <v>1</v>
      </c>
      <c r="G745">
        <f>RFI_Elements!N748</f>
        <v>747</v>
      </c>
      <c r="I745" t="e">
        <f>VLOOKUP(B745,SuiteCatSubElem!$G$2:$G$667,2,0)</f>
        <v>#REF!</v>
      </c>
    </row>
    <row r="746" spans="1:9">
      <c r="A746">
        <f>RFI_Elements!B749</f>
        <v>9</v>
      </c>
      <c r="B746">
        <f>RFI_Elements!C749</f>
        <v>476</v>
      </c>
      <c r="C746">
        <v>748</v>
      </c>
      <c r="D746" s="128">
        <v>43101.003472164353</v>
      </c>
      <c r="E746" t="e">
        <f>VLOOKUP(VLOOKUP(B746,SuiteCatSubElem!$G$2:$G$667,2,0),'SA Q4 18 VR'!$A$33:$O$193,1+MATCH(VLOOKUP(A746,Vendors!$A$2:$B$15,2,0),'SA Q4 18 VR'!$B$24:$O$24,0),0)</f>
        <v>#REF!</v>
      </c>
      <c r="F746" s="27">
        <v>1</v>
      </c>
      <c r="G746">
        <f>RFI_Elements!N749</f>
        <v>748</v>
      </c>
      <c r="I746" t="e">
        <f>VLOOKUP(B746,SuiteCatSubElem!$G$2:$G$667,2,0)</f>
        <v>#REF!</v>
      </c>
    </row>
    <row r="747" spans="1:9">
      <c r="A747">
        <f>RFI_Elements!B750</f>
        <v>9</v>
      </c>
      <c r="B747">
        <f>RFI_Elements!C750</f>
        <v>477</v>
      </c>
      <c r="C747">
        <v>749</v>
      </c>
      <c r="D747" s="128">
        <v>43101.003472164353</v>
      </c>
      <c r="E747" t="e">
        <f>VLOOKUP(VLOOKUP(B747,SuiteCatSubElem!$G$2:$G$667,2,0),'SA Q4 18 VR'!$A$33:$O$193,1+MATCH(VLOOKUP(A747,Vendors!$A$2:$B$15,2,0),'SA Q4 18 VR'!$B$24:$O$24,0),0)</f>
        <v>#REF!</v>
      </c>
      <c r="F747" s="27">
        <v>1</v>
      </c>
      <c r="G747">
        <f>RFI_Elements!N750</f>
        <v>749</v>
      </c>
      <c r="I747" t="e">
        <f>VLOOKUP(B747,SuiteCatSubElem!$G$2:$G$667,2,0)</f>
        <v>#REF!</v>
      </c>
    </row>
    <row r="748" spans="1:9">
      <c r="A748">
        <f>RFI_Elements!B751</f>
        <v>9</v>
      </c>
      <c r="B748">
        <f>RFI_Elements!C751</f>
        <v>478</v>
      </c>
      <c r="C748">
        <v>750</v>
      </c>
      <c r="D748" s="128">
        <v>43101.003472164353</v>
      </c>
      <c r="E748" t="e">
        <f>VLOOKUP(VLOOKUP(B748,SuiteCatSubElem!$G$2:$G$667,2,0),'SA Q4 18 VR'!$A$33:$O$193,1+MATCH(VLOOKUP(A748,Vendors!$A$2:$B$15,2,0),'SA Q4 18 VR'!$B$24:$O$24,0),0)</f>
        <v>#REF!</v>
      </c>
      <c r="F748" s="27">
        <v>1</v>
      </c>
      <c r="G748">
        <f>RFI_Elements!N751</f>
        <v>750</v>
      </c>
      <c r="I748" t="e">
        <f>VLOOKUP(B748,SuiteCatSubElem!$G$2:$G$667,2,0)</f>
        <v>#REF!</v>
      </c>
    </row>
    <row r="749" spans="1:9">
      <c r="A749">
        <f>RFI_Elements!B752</f>
        <v>9</v>
      </c>
      <c r="B749">
        <f>RFI_Elements!C752</f>
        <v>479</v>
      </c>
      <c r="C749">
        <v>751</v>
      </c>
      <c r="D749" s="128">
        <v>43101.003472164353</v>
      </c>
      <c r="E749" t="e">
        <f>VLOOKUP(VLOOKUP(B749,SuiteCatSubElem!$G$2:$G$667,2,0),'SA Q4 18 VR'!$A$33:$O$193,1+MATCH(VLOOKUP(A749,Vendors!$A$2:$B$15,2,0),'SA Q4 18 VR'!$B$24:$O$24,0),0)</f>
        <v>#REF!</v>
      </c>
      <c r="F749" s="27">
        <v>1</v>
      </c>
      <c r="G749">
        <f>RFI_Elements!N752</f>
        <v>751</v>
      </c>
      <c r="I749" t="e">
        <f>VLOOKUP(B749,SuiteCatSubElem!$G$2:$G$667,2,0)</f>
        <v>#REF!</v>
      </c>
    </row>
    <row r="750" spans="1:9">
      <c r="A750">
        <f>RFI_Elements!B753</f>
        <v>9</v>
      </c>
      <c r="B750">
        <f>RFI_Elements!C753</f>
        <v>480</v>
      </c>
      <c r="C750">
        <v>752</v>
      </c>
      <c r="D750" s="128">
        <v>43101.003472164353</v>
      </c>
      <c r="E750" t="e">
        <f>VLOOKUP(VLOOKUP(B750,SuiteCatSubElem!$G$2:$G$667,2,0),'SA Q4 18 VR'!$A$33:$O$193,1+MATCH(VLOOKUP(A750,Vendors!$A$2:$B$15,2,0),'SA Q4 18 VR'!$B$24:$O$24,0),0)</f>
        <v>#REF!</v>
      </c>
      <c r="F750" s="27">
        <v>1</v>
      </c>
      <c r="G750">
        <f>RFI_Elements!N753</f>
        <v>752</v>
      </c>
      <c r="I750" t="e">
        <f>VLOOKUP(B750,SuiteCatSubElem!$G$2:$G$667,2,0)</f>
        <v>#REF!</v>
      </c>
    </row>
    <row r="751" spans="1:9">
      <c r="A751">
        <f>RFI_Elements!B754</f>
        <v>9</v>
      </c>
      <c r="B751">
        <f>RFI_Elements!C754</f>
        <v>481</v>
      </c>
      <c r="C751">
        <v>753</v>
      </c>
      <c r="D751" s="128">
        <v>43101.003472164353</v>
      </c>
      <c r="E751" t="e">
        <f>VLOOKUP(VLOOKUP(B751,SuiteCatSubElem!$G$2:$G$667,2,0),'SA Q4 18 VR'!$A$33:$O$193,1+MATCH(VLOOKUP(A751,Vendors!$A$2:$B$15,2,0),'SA Q4 18 VR'!$B$24:$O$24,0),0)</f>
        <v>#REF!</v>
      </c>
      <c r="F751" s="27">
        <v>1</v>
      </c>
      <c r="G751">
        <f>RFI_Elements!N754</f>
        <v>753</v>
      </c>
      <c r="I751" t="e">
        <f>VLOOKUP(B751,SuiteCatSubElem!$G$2:$G$667,2,0)</f>
        <v>#REF!</v>
      </c>
    </row>
    <row r="752" spans="1:9">
      <c r="A752">
        <f>RFI_Elements!B755</f>
        <v>9</v>
      </c>
      <c r="B752">
        <f>RFI_Elements!C755</f>
        <v>482</v>
      </c>
      <c r="C752">
        <v>754</v>
      </c>
      <c r="D752" s="128">
        <v>43101.003472164353</v>
      </c>
      <c r="E752" t="e">
        <f>VLOOKUP(VLOOKUP(B752,SuiteCatSubElem!$G$2:$G$667,2,0),'SA Q4 18 VR'!$A$33:$O$193,1+MATCH(VLOOKUP(A752,Vendors!$A$2:$B$15,2,0),'SA Q4 18 VR'!$B$24:$O$24,0),0)</f>
        <v>#REF!</v>
      </c>
      <c r="F752" s="27">
        <v>1</v>
      </c>
      <c r="G752">
        <f>RFI_Elements!N755</f>
        <v>754</v>
      </c>
      <c r="I752" t="e">
        <f>VLOOKUP(B752,SuiteCatSubElem!$G$2:$G$667,2,0)</f>
        <v>#REF!</v>
      </c>
    </row>
    <row r="753" spans="1:9">
      <c r="A753">
        <f>RFI_Elements!B756</f>
        <v>9</v>
      </c>
      <c r="B753">
        <f>RFI_Elements!C756</f>
        <v>483</v>
      </c>
      <c r="C753">
        <v>755</v>
      </c>
      <c r="D753" s="128">
        <v>43101.003472164353</v>
      </c>
      <c r="E753" t="e">
        <f>VLOOKUP(VLOOKUP(B753,SuiteCatSubElem!$G$2:$G$667,2,0),'SA Q4 18 VR'!$A$33:$O$193,1+MATCH(VLOOKUP(A753,Vendors!$A$2:$B$15,2,0),'SA Q4 18 VR'!$B$24:$O$24,0),0)</f>
        <v>#REF!</v>
      </c>
      <c r="F753" s="27">
        <v>1</v>
      </c>
      <c r="G753">
        <f>RFI_Elements!N756</f>
        <v>755</v>
      </c>
      <c r="I753" t="e">
        <f>VLOOKUP(B753,SuiteCatSubElem!$G$2:$G$667,2,0)</f>
        <v>#REF!</v>
      </c>
    </row>
    <row r="754" spans="1:9">
      <c r="A754">
        <f>RFI_Elements!B757</f>
        <v>9</v>
      </c>
      <c r="B754">
        <f>RFI_Elements!C757</f>
        <v>484</v>
      </c>
      <c r="C754">
        <v>756</v>
      </c>
      <c r="D754" s="128">
        <v>43101.003472164353</v>
      </c>
      <c r="E754" t="e">
        <f>VLOOKUP(VLOOKUP(B754,SuiteCatSubElem!$G$2:$G$667,2,0),'SA Q4 18 VR'!$A$33:$O$193,1+MATCH(VLOOKUP(A754,Vendors!$A$2:$B$15,2,0),'SA Q4 18 VR'!$B$24:$O$24,0),0)</f>
        <v>#REF!</v>
      </c>
      <c r="F754" s="27">
        <v>1</v>
      </c>
      <c r="G754">
        <f>RFI_Elements!N757</f>
        <v>756</v>
      </c>
      <c r="I754" t="e">
        <f>VLOOKUP(B754,SuiteCatSubElem!$G$2:$G$667,2,0)</f>
        <v>#REF!</v>
      </c>
    </row>
    <row r="755" spans="1:9">
      <c r="A755">
        <f>RFI_Elements!B758</f>
        <v>9</v>
      </c>
      <c r="B755">
        <f>RFI_Elements!C758</f>
        <v>485</v>
      </c>
      <c r="C755">
        <v>757</v>
      </c>
      <c r="D755" s="128">
        <v>43101.003472164353</v>
      </c>
      <c r="E755" t="e">
        <f>VLOOKUP(VLOOKUP(B755,SuiteCatSubElem!$G$2:$G$667,2,0),'SA Q4 18 VR'!$A$33:$O$193,1+MATCH(VLOOKUP(A755,Vendors!$A$2:$B$15,2,0),'SA Q4 18 VR'!$B$24:$O$24,0),0)</f>
        <v>#REF!</v>
      </c>
      <c r="F755" s="27">
        <v>1</v>
      </c>
      <c r="G755">
        <f>RFI_Elements!N758</f>
        <v>757</v>
      </c>
      <c r="I755" t="e">
        <f>VLOOKUP(B755,SuiteCatSubElem!$G$2:$G$667,2,0)</f>
        <v>#REF!</v>
      </c>
    </row>
    <row r="756" spans="1:9">
      <c r="A756">
        <f>RFI_Elements!B759</f>
        <v>9</v>
      </c>
      <c r="B756">
        <f>RFI_Elements!C759</f>
        <v>486</v>
      </c>
      <c r="C756">
        <v>758</v>
      </c>
      <c r="D756" s="128">
        <v>43101.003472164353</v>
      </c>
      <c r="E756" t="e">
        <f>VLOOKUP(VLOOKUP(B756,SuiteCatSubElem!$G$2:$G$667,2,0),'SA Q4 18 VR'!$A$33:$O$193,1+MATCH(VLOOKUP(A756,Vendors!$A$2:$B$15,2,0),'SA Q4 18 VR'!$B$24:$O$24,0),0)</f>
        <v>#REF!</v>
      </c>
      <c r="F756" s="27">
        <v>1</v>
      </c>
      <c r="G756">
        <f>RFI_Elements!N759</f>
        <v>758</v>
      </c>
      <c r="I756" t="e">
        <f>VLOOKUP(B756,SuiteCatSubElem!$G$2:$G$667,2,0)</f>
        <v>#REF!</v>
      </c>
    </row>
    <row r="757" spans="1:9">
      <c r="A757">
        <f>RFI_Elements!B760</f>
        <v>9</v>
      </c>
      <c r="B757">
        <f>RFI_Elements!C760</f>
        <v>487</v>
      </c>
      <c r="C757">
        <v>759</v>
      </c>
      <c r="D757" s="128">
        <v>43101.003472164353</v>
      </c>
      <c r="E757" t="e">
        <f>VLOOKUP(VLOOKUP(B757,SuiteCatSubElem!$G$2:$G$667,2,0),'SA Q4 18 VR'!$A$33:$O$193,1+MATCH(VLOOKUP(A757,Vendors!$A$2:$B$15,2,0),'SA Q4 18 VR'!$B$24:$O$24,0),0)</f>
        <v>#REF!</v>
      </c>
      <c r="F757" s="27">
        <v>1</v>
      </c>
      <c r="G757">
        <f>RFI_Elements!N760</f>
        <v>759</v>
      </c>
      <c r="I757" t="e">
        <f>VLOOKUP(B757,SuiteCatSubElem!$G$2:$G$667,2,0)</f>
        <v>#REF!</v>
      </c>
    </row>
    <row r="758" spans="1:9">
      <c r="A758">
        <f>RFI_Elements!B761</f>
        <v>9</v>
      </c>
      <c r="B758">
        <f>RFI_Elements!C761</f>
        <v>488</v>
      </c>
      <c r="C758">
        <v>760</v>
      </c>
      <c r="D758" s="128">
        <v>43101.003472164353</v>
      </c>
      <c r="E758" t="e">
        <f>VLOOKUP(VLOOKUP(B758,SuiteCatSubElem!$G$2:$G$667,2,0),'SA Q4 18 VR'!$A$33:$O$193,1+MATCH(VLOOKUP(A758,Vendors!$A$2:$B$15,2,0),'SA Q4 18 VR'!$B$24:$O$24,0),0)</f>
        <v>#REF!</v>
      </c>
      <c r="F758" s="27">
        <v>1</v>
      </c>
      <c r="G758">
        <f>RFI_Elements!N761</f>
        <v>760</v>
      </c>
      <c r="I758" t="e">
        <f>VLOOKUP(B758,SuiteCatSubElem!$G$2:$G$667,2,0)</f>
        <v>#REF!</v>
      </c>
    </row>
    <row r="759" spans="1:9">
      <c r="A759">
        <f>RFI_Elements!B762</f>
        <v>9</v>
      </c>
      <c r="B759">
        <f>RFI_Elements!C762</f>
        <v>489</v>
      </c>
      <c r="C759">
        <v>761</v>
      </c>
      <c r="D759" s="128">
        <v>43101.003472164353</v>
      </c>
      <c r="E759" t="e">
        <f>VLOOKUP(VLOOKUP(B759,SuiteCatSubElem!$G$2:$G$667,2,0),'SA Q4 18 VR'!$A$33:$O$193,1+MATCH(VLOOKUP(A759,Vendors!$A$2:$B$15,2,0),'SA Q4 18 VR'!$B$24:$O$24,0),0)</f>
        <v>#REF!</v>
      </c>
      <c r="F759" s="27">
        <v>1</v>
      </c>
      <c r="G759">
        <f>RFI_Elements!N762</f>
        <v>761</v>
      </c>
      <c r="I759" t="e">
        <f>VLOOKUP(B759,SuiteCatSubElem!$G$2:$G$667,2,0)</f>
        <v>#REF!</v>
      </c>
    </row>
    <row r="760" spans="1:9">
      <c r="A760">
        <f>RFI_Elements!B763</f>
        <v>9</v>
      </c>
      <c r="B760">
        <f>RFI_Elements!C763</f>
        <v>490</v>
      </c>
      <c r="C760">
        <v>762</v>
      </c>
      <c r="D760" s="128">
        <v>43101.003472164353</v>
      </c>
      <c r="E760" t="e">
        <f>VLOOKUP(VLOOKUP(B760,SuiteCatSubElem!$G$2:$G$667,2,0),'SA Q4 18 VR'!$A$33:$O$193,1+MATCH(VLOOKUP(A760,Vendors!$A$2:$B$15,2,0),'SA Q4 18 VR'!$B$24:$O$24,0),0)</f>
        <v>#REF!</v>
      </c>
      <c r="F760" s="27">
        <v>1</v>
      </c>
      <c r="G760">
        <f>RFI_Elements!N763</f>
        <v>762</v>
      </c>
      <c r="I760" t="e">
        <f>VLOOKUP(B760,SuiteCatSubElem!$G$2:$G$667,2,0)</f>
        <v>#REF!</v>
      </c>
    </row>
    <row r="761" spans="1:9">
      <c r="A761">
        <f>RFI_Elements!B764</f>
        <v>9</v>
      </c>
      <c r="B761">
        <f>RFI_Elements!C764</f>
        <v>491</v>
      </c>
      <c r="C761">
        <v>763</v>
      </c>
      <c r="D761" s="128">
        <v>43101.003472164353</v>
      </c>
      <c r="E761" t="e">
        <f>VLOOKUP(VLOOKUP(B761,SuiteCatSubElem!$G$2:$G$667,2,0),'SA Q4 18 VR'!$A$33:$O$193,1+MATCH(VLOOKUP(A761,Vendors!$A$2:$B$15,2,0),'SA Q4 18 VR'!$B$24:$O$24,0),0)</f>
        <v>#REF!</v>
      </c>
      <c r="F761" s="27">
        <v>1</v>
      </c>
      <c r="G761">
        <f>RFI_Elements!N764</f>
        <v>763</v>
      </c>
      <c r="I761" t="e">
        <f>VLOOKUP(B761,SuiteCatSubElem!$G$2:$G$667,2,0)</f>
        <v>#REF!</v>
      </c>
    </row>
    <row r="762" spans="1:9">
      <c r="A762">
        <f>RFI_Elements!B765</f>
        <v>9</v>
      </c>
      <c r="B762">
        <f>RFI_Elements!C765</f>
        <v>492</v>
      </c>
      <c r="C762">
        <v>764</v>
      </c>
      <c r="D762" s="128">
        <v>43101.003472164353</v>
      </c>
      <c r="E762" t="e">
        <f>VLOOKUP(VLOOKUP(B762,SuiteCatSubElem!$G$2:$G$667,2,0),'SA Q4 18 VR'!$A$33:$O$193,1+MATCH(VLOOKUP(A762,Vendors!$A$2:$B$15,2,0),'SA Q4 18 VR'!$B$24:$O$24,0),0)</f>
        <v>#REF!</v>
      </c>
      <c r="F762" s="27">
        <v>1</v>
      </c>
      <c r="G762">
        <f>RFI_Elements!N765</f>
        <v>764</v>
      </c>
      <c r="I762" t="e">
        <f>VLOOKUP(B762,SuiteCatSubElem!$G$2:$G$667,2,0)</f>
        <v>#REF!</v>
      </c>
    </row>
    <row r="763" spans="1:9">
      <c r="A763">
        <f>RFI_Elements!B766</f>
        <v>9</v>
      </c>
      <c r="B763">
        <f>RFI_Elements!C766</f>
        <v>493</v>
      </c>
      <c r="C763">
        <v>765</v>
      </c>
      <c r="D763" s="128">
        <v>43101.003472164353</v>
      </c>
      <c r="E763" t="e">
        <f>VLOOKUP(VLOOKUP(B763,SuiteCatSubElem!$G$2:$G$667,2,0),'SA Q4 18 VR'!$A$33:$O$193,1+MATCH(VLOOKUP(A763,Vendors!$A$2:$B$15,2,0),'SA Q4 18 VR'!$B$24:$O$24,0),0)</f>
        <v>#REF!</v>
      </c>
      <c r="F763" s="27">
        <v>1</v>
      </c>
      <c r="G763">
        <f>RFI_Elements!N766</f>
        <v>765</v>
      </c>
      <c r="I763" t="e">
        <f>VLOOKUP(B763,SuiteCatSubElem!$G$2:$G$667,2,0)</f>
        <v>#REF!</v>
      </c>
    </row>
    <row r="764" spans="1:9">
      <c r="A764">
        <f>RFI_Elements!B767</f>
        <v>10</v>
      </c>
      <c r="B764">
        <f>RFI_Elements!C767</f>
        <v>409</v>
      </c>
      <c r="C764">
        <v>766</v>
      </c>
      <c r="D764" s="128">
        <v>43101.003472164353</v>
      </c>
      <c r="E764" t="e">
        <f>VLOOKUP(VLOOKUP(B764,SuiteCatSubElem!$G$2:$G$667,2,0),'SA Q4 18 VR'!$A$33:$O$193,1+MATCH(VLOOKUP(A764,Vendors!$A$2:$B$15,2,0),'SA Q4 18 VR'!$B$24:$O$24,0),0)</f>
        <v>#REF!</v>
      </c>
      <c r="F764" s="27">
        <v>1</v>
      </c>
      <c r="G764">
        <f>RFI_Elements!N767</f>
        <v>766</v>
      </c>
      <c r="I764" t="e">
        <f>VLOOKUP(B764,SuiteCatSubElem!$G$2:$G$667,2,0)</f>
        <v>#REF!</v>
      </c>
    </row>
    <row r="765" spans="1:9">
      <c r="A765">
        <f>RFI_Elements!B768</f>
        <v>10</v>
      </c>
      <c r="B765">
        <f>RFI_Elements!C768</f>
        <v>410</v>
      </c>
      <c r="C765">
        <v>767</v>
      </c>
      <c r="D765" s="128">
        <v>43101.003472164353</v>
      </c>
      <c r="E765" t="e">
        <f>VLOOKUP(VLOOKUP(B765,SuiteCatSubElem!$G$2:$G$667,2,0),'SA Q4 18 VR'!$A$33:$O$193,1+MATCH(VLOOKUP(A765,Vendors!$A$2:$B$15,2,0),'SA Q4 18 VR'!$B$24:$O$24,0),0)</f>
        <v>#REF!</v>
      </c>
      <c r="F765" s="27">
        <v>1</v>
      </c>
      <c r="G765">
        <f>RFI_Elements!N768</f>
        <v>767</v>
      </c>
      <c r="I765" t="e">
        <f>VLOOKUP(B765,SuiteCatSubElem!$G$2:$G$667,2,0)</f>
        <v>#REF!</v>
      </c>
    </row>
    <row r="766" spans="1:9">
      <c r="A766">
        <f>RFI_Elements!B769</f>
        <v>10</v>
      </c>
      <c r="B766">
        <f>RFI_Elements!C769</f>
        <v>411</v>
      </c>
      <c r="C766">
        <v>768</v>
      </c>
      <c r="D766" s="128">
        <v>43101.003472164353</v>
      </c>
      <c r="E766" t="e">
        <f>VLOOKUP(VLOOKUP(B766,SuiteCatSubElem!$G$2:$G$667,2,0),'SA Q4 18 VR'!$A$33:$O$193,1+MATCH(VLOOKUP(A766,Vendors!$A$2:$B$15,2,0),'SA Q4 18 VR'!$B$24:$O$24,0),0)</f>
        <v>#REF!</v>
      </c>
      <c r="F766" s="27">
        <v>1</v>
      </c>
      <c r="G766">
        <f>RFI_Elements!N769</f>
        <v>768</v>
      </c>
      <c r="I766" t="e">
        <f>VLOOKUP(B766,SuiteCatSubElem!$G$2:$G$667,2,0)</f>
        <v>#REF!</v>
      </c>
    </row>
    <row r="767" spans="1:9">
      <c r="A767">
        <f>RFI_Elements!B770</f>
        <v>10</v>
      </c>
      <c r="B767">
        <f>RFI_Elements!C770</f>
        <v>412</v>
      </c>
      <c r="C767">
        <v>769</v>
      </c>
      <c r="D767" s="128">
        <v>43101.003472164353</v>
      </c>
      <c r="E767" t="e">
        <f>VLOOKUP(VLOOKUP(B767,SuiteCatSubElem!$G$2:$G$667,2,0),'SA Q4 18 VR'!$A$33:$O$193,1+MATCH(VLOOKUP(A767,Vendors!$A$2:$B$15,2,0),'SA Q4 18 VR'!$B$24:$O$24,0),0)</f>
        <v>#REF!</v>
      </c>
      <c r="F767" s="27">
        <v>1</v>
      </c>
      <c r="G767">
        <f>RFI_Elements!N770</f>
        <v>769</v>
      </c>
      <c r="I767" t="e">
        <f>VLOOKUP(B767,SuiteCatSubElem!$G$2:$G$667,2,0)</f>
        <v>#REF!</v>
      </c>
    </row>
    <row r="768" spans="1:9">
      <c r="A768">
        <f>RFI_Elements!B771</f>
        <v>10</v>
      </c>
      <c r="B768">
        <f>RFI_Elements!C771</f>
        <v>413</v>
      </c>
      <c r="C768">
        <v>770</v>
      </c>
      <c r="D768" s="128">
        <v>43101.003472164353</v>
      </c>
      <c r="E768" t="e">
        <f>VLOOKUP(VLOOKUP(B768,SuiteCatSubElem!$G$2:$G$667,2,0),'SA Q4 18 VR'!$A$33:$O$193,1+MATCH(VLOOKUP(A768,Vendors!$A$2:$B$15,2,0),'SA Q4 18 VR'!$B$24:$O$24,0),0)</f>
        <v>#REF!</v>
      </c>
      <c r="F768" s="27">
        <v>1</v>
      </c>
      <c r="G768">
        <f>RFI_Elements!N771</f>
        <v>770</v>
      </c>
      <c r="I768" t="e">
        <f>VLOOKUP(B768,SuiteCatSubElem!$G$2:$G$667,2,0)</f>
        <v>#REF!</v>
      </c>
    </row>
    <row r="769" spans="1:9">
      <c r="A769">
        <f>RFI_Elements!B772</f>
        <v>10</v>
      </c>
      <c r="B769">
        <f>RFI_Elements!C772</f>
        <v>414</v>
      </c>
      <c r="C769">
        <v>771</v>
      </c>
      <c r="D769" s="128">
        <v>43101.003472164353</v>
      </c>
      <c r="E769" t="e">
        <f>VLOOKUP(VLOOKUP(B769,SuiteCatSubElem!$G$2:$G$667,2,0),'SA Q4 18 VR'!$A$33:$O$193,1+MATCH(VLOOKUP(A769,Vendors!$A$2:$B$15,2,0),'SA Q4 18 VR'!$B$24:$O$24,0),0)</f>
        <v>#REF!</v>
      </c>
      <c r="F769" s="27">
        <v>1</v>
      </c>
      <c r="G769">
        <f>RFI_Elements!N772</f>
        <v>771</v>
      </c>
      <c r="I769" t="e">
        <f>VLOOKUP(B769,SuiteCatSubElem!$G$2:$G$667,2,0)</f>
        <v>#REF!</v>
      </c>
    </row>
    <row r="770" spans="1:9">
      <c r="A770">
        <f>RFI_Elements!B773</f>
        <v>10</v>
      </c>
      <c r="B770">
        <f>RFI_Elements!C773</f>
        <v>415</v>
      </c>
      <c r="C770">
        <v>772</v>
      </c>
      <c r="D770" s="128">
        <v>43101.003472164353</v>
      </c>
      <c r="E770" t="e">
        <f>VLOOKUP(VLOOKUP(B770,SuiteCatSubElem!$G$2:$G$667,2,0),'SA Q4 18 VR'!$A$33:$O$193,1+MATCH(VLOOKUP(A770,Vendors!$A$2:$B$15,2,0),'SA Q4 18 VR'!$B$24:$O$24,0),0)</f>
        <v>#REF!</v>
      </c>
      <c r="F770" s="27">
        <v>1</v>
      </c>
      <c r="G770">
        <f>RFI_Elements!N773</f>
        <v>772</v>
      </c>
      <c r="I770" t="e">
        <f>VLOOKUP(B770,SuiteCatSubElem!$G$2:$G$667,2,0)</f>
        <v>#REF!</v>
      </c>
    </row>
    <row r="771" spans="1:9">
      <c r="A771">
        <f>RFI_Elements!B774</f>
        <v>10</v>
      </c>
      <c r="B771">
        <f>RFI_Elements!C774</f>
        <v>416</v>
      </c>
      <c r="C771">
        <v>773</v>
      </c>
      <c r="D771" s="128">
        <v>43101.003472164353</v>
      </c>
      <c r="E771" t="e">
        <f>VLOOKUP(VLOOKUP(B771,SuiteCatSubElem!$G$2:$G$667,2,0),'SA Q4 18 VR'!$A$33:$O$193,1+MATCH(VLOOKUP(A771,Vendors!$A$2:$B$15,2,0),'SA Q4 18 VR'!$B$24:$O$24,0),0)</f>
        <v>#REF!</v>
      </c>
      <c r="F771" s="27">
        <v>1</v>
      </c>
      <c r="G771">
        <f>RFI_Elements!N774</f>
        <v>773</v>
      </c>
      <c r="I771" t="e">
        <f>VLOOKUP(B771,SuiteCatSubElem!$G$2:$G$667,2,0)</f>
        <v>#REF!</v>
      </c>
    </row>
    <row r="772" spans="1:9">
      <c r="A772">
        <f>RFI_Elements!B775</f>
        <v>10</v>
      </c>
      <c r="B772">
        <f>RFI_Elements!C775</f>
        <v>417</v>
      </c>
      <c r="C772">
        <v>774</v>
      </c>
      <c r="D772" s="128">
        <v>43101.003472164353</v>
      </c>
      <c r="E772" t="e">
        <f>VLOOKUP(VLOOKUP(B772,SuiteCatSubElem!$G$2:$G$667,2,0),'SA Q4 18 VR'!$A$33:$O$193,1+MATCH(VLOOKUP(A772,Vendors!$A$2:$B$15,2,0),'SA Q4 18 VR'!$B$24:$O$24,0),0)</f>
        <v>#REF!</v>
      </c>
      <c r="F772" s="27">
        <v>1</v>
      </c>
      <c r="G772">
        <f>RFI_Elements!N775</f>
        <v>774</v>
      </c>
      <c r="I772" t="e">
        <f>VLOOKUP(B772,SuiteCatSubElem!$G$2:$G$667,2,0)</f>
        <v>#REF!</v>
      </c>
    </row>
    <row r="773" spans="1:9">
      <c r="A773">
        <f>RFI_Elements!B776</f>
        <v>10</v>
      </c>
      <c r="B773">
        <f>RFI_Elements!C776</f>
        <v>418</v>
      </c>
      <c r="C773">
        <v>775</v>
      </c>
      <c r="D773" s="128">
        <v>43101.003472164353</v>
      </c>
      <c r="E773" t="e">
        <f>VLOOKUP(VLOOKUP(B773,SuiteCatSubElem!$G$2:$G$667,2,0),'SA Q4 18 VR'!$A$33:$O$193,1+MATCH(VLOOKUP(A773,Vendors!$A$2:$B$15,2,0),'SA Q4 18 VR'!$B$24:$O$24,0),0)</f>
        <v>#REF!</v>
      </c>
      <c r="F773" s="27">
        <v>1</v>
      </c>
      <c r="G773">
        <f>RFI_Elements!N776</f>
        <v>775</v>
      </c>
      <c r="I773" t="e">
        <f>VLOOKUP(B773,SuiteCatSubElem!$G$2:$G$667,2,0)</f>
        <v>#REF!</v>
      </c>
    </row>
    <row r="774" spans="1:9">
      <c r="A774">
        <f>RFI_Elements!B777</f>
        <v>10</v>
      </c>
      <c r="B774">
        <f>RFI_Elements!C777</f>
        <v>419</v>
      </c>
      <c r="C774">
        <v>776</v>
      </c>
      <c r="D774" s="128">
        <v>43101.003472164353</v>
      </c>
      <c r="E774" t="e">
        <f>VLOOKUP(VLOOKUP(B774,SuiteCatSubElem!$G$2:$G$667,2,0),'SA Q4 18 VR'!$A$33:$O$193,1+MATCH(VLOOKUP(A774,Vendors!$A$2:$B$15,2,0),'SA Q4 18 VR'!$B$24:$O$24,0),0)</f>
        <v>#REF!</v>
      </c>
      <c r="F774" s="27">
        <v>1</v>
      </c>
      <c r="G774">
        <f>RFI_Elements!N777</f>
        <v>776</v>
      </c>
      <c r="I774" t="e">
        <f>VLOOKUP(B774,SuiteCatSubElem!$G$2:$G$667,2,0)</f>
        <v>#REF!</v>
      </c>
    </row>
    <row r="775" spans="1:9">
      <c r="A775">
        <f>RFI_Elements!B778</f>
        <v>10</v>
      </c>
      <c r="B775">
        <f>RFI_Elements!C778</f>
        <v>420</v>
      </c>
      <c r="C775">
        <v>777</v>
      </c>
      <c r="D775" s="128">
        <v>43101.003472164353</v>
      </c>
      <c r="E775" t="e">
        <f>VLOOKUP(VLOOKUP(B775,SuiteCatSubElem!$G$2:$G$667,2,0),'SA Q4 18 VR'!$A$33:$O$193,1+MATCH(VLOOKUP(A775,Vendors!$A$2:$B$15,2,0),'SA Q4 18 VR'!$B$24:$O$24,0),0)</f>
        <v>#REF!</v>
      </c>
      <c r="F775" s="27">
        <v>1</v>
      </c>
      <c r="G775">
        <f>RFI_Elements!N778</f>
        <v>777</v>
      </c>
      <c r="I775" t="e">
        <f>VLOOKUP(B775,SuiteCatSubElem!$G$2:$G$667,2,0)</f>
        <v>#REF!</v>
      </c>
    </row>
    <row r="776" spans="1:9">
      <c r="A776">
        <f>RFI_Elements!B779</f>
        <v>10</v>
      </c>
      <c r="B776">
        <f>RFI_Elements!C779</f>
        <v>421</v>
      </c>
      <c r="C776">
        <v>778</v>
      </c>
      <c r="D776" s="128">
        <v>43101.003472164353</v>
      </c>
      <c r="E776" t="e">
        <f>VLOOKUP(VLOOKUP(B776,SuiteCatSubElem!$G$2:$G$667,2,0),'SA Q4 18 VR'!$A$33:$O$193,1+MATCH(VLOOKUP(A776,Vendors!$A$2:$B$15,2,0),'SA Q4 18 VR'!$B$24:$O$24,0),0)</f>
        <v>#REF!</v>
      </c>
      <c r="F776" s="27">
        <v>1</v>
      </c>
      <c r="G776">
        <f>RFI_Elements!N779</f>
        <v>778</v>
      </c>
      <c r="I776" t="e">
        <f>VLOOKUP(B776,SuiteCatSubElem!$G$2:$G$667,2,0)</f>
        <v>#REF!</v>
      </c>
    </row>
    <row r="777" spans="1:9">
      <c r="A777">
        <f>RFI_Elements!B780</f>
        <v>10</v>
      </c>
      <c r="B777">
        <f>RFI_Elements!C780</f>
        <v>422</v>
      </c>
      <c r="C777">
        <v>779</v>
      </c>
      <c r="D777" s="128">
        <v>43101.003472164353</v>
      </c>
      <c r="E777" t="e">
        <f>VLOOKUP(VLOOKUP(B777,SuiteCatSubElem!$G$2:$G$667,2,0),'SA Q4 18 VR'!$A$33:$O$193,1+MATCH(VLOOKUP(A777,Vendors!$A$2:$B$15,2,0),'SA Q4 18 VR'!$B$24:$O$24,0),0)</f>
        <v>#REF!</v>
      </c>
      <c r="F777" s="27">
        <v>1</v>
      </c>
      <c r="G777">
        <f>RFI_Elements!N780</f>
        <v>779</v>
      </c>
      <c r="I777" t="e">
        <f>VLOOKUP(B777,SuiteCatSubElem!$G$2:$G$667,2,0)</f>
        <v>#REF!</v>
      </c>
    </row>
    <row r="778" spans="1:9">
      <c r="A778">
        <f>RFI_Elements!B781</f>
        <v>10</v>
      </c>
      <c r="B778">
        <f>RFI_Elements!C781</f>
        <v>423</v>
      </c>
      <c r="C778">
        <v>780</v>
      </c>
      <c r="D778" s="128">
        <v>43101.003472164353</v>
      </c>
      <c r="E778" t="e">
        <f>VLOOKUP(VLOOKUP(B778,SuiteCatSubElem!$G$2:$G$667,2,0),'SA Q4 18 VR'!$A$33:$O$193,1+MATCH(VLOOKUP(A778,Vendors!$A$2:$B$15,2,0),'SA Q4 18 VR'!$B$24:$O$24,0),0)</f>
        <v>#REF!</v>
      </c>
      <c r="F778" s="27">
        <v>1</v>
      </c>
      <c r="G778">
        <f>RFI_Elements!N781</f>
        <v>780</v>
      </c>
      <c r="I778" t="e">
        <f>VLOOKUP(B778,SuiteCatSubElem!$G$2:$G$667,2,0)</f>
        <v>#REF!</v>
      </c>
    </row>
    <row r="779" spans="1:9">
      <c r="A779">
        <f>RFI_Elements!B782</f>
        <v>10</v>
      </c>
      <c r="B779">
        <f>RFI_Elements!C782</f>
        <v>424</v>
      </c>
      <c r="C779">
        <v>781</v>
      </c>
      <c r="D779" s="128">
        <v>43101.003472164353</v>
      </c>
      <c r="E779" t="e">
        <f>VLOOKUP(VLOOKUP(B779,SuiteCatSubElem!$G$2:$G$667,2,0),'SA Q4 18 VR'!$A$33:$O$193,1+MATCH(VLOOKUP(A779,Vendors!$A$2:$B$15,2,0),'SA Q4 18 VR'!$B$24:$O$24,0),0)</f>
        <v>#REF!</v>
      </c>
      <c r="F779" s="27">
        <v>1</v>
      </c>
      <c r="G779">
        <f>RFI_Elements!N782</f>
        <v>781</v>
      </c>
      <c r="I779" t="e">
        <f>VLOOKUP(B779,SuiteCatSubElem!$G$2:$G$667,2,0)</f>
        <v>#REF!</v>
      </c>
    </row>
    <row r="780" spans="1:9">
      <c r="A780">
        <f>RFI_Elements!B783</f>
        <v>10</v>
      </c>
      <c r="B780">
        <f>RFI_Elements!C783</f>
        <v>425</v>
      </c>
      <c r="C780">
        <v>782</v>
      </c>
      <c r="D780" s="128">
        <v>43101.003472164353</v>
      </c>
      <c r="E780" t="e">
        <f>VLOOKUP(VLOOKUP(B780,SuiteCatSubElem!$G$2:$G$667,2,0),'SA Q4 18 VR'!$A$33:$O$193,1+MATCH(VLOOKUP(A780,Vendors!$A$2:$B$15,2,0),'SA Q4 18 VR'!$B$24:$O$24,0),0)</f>
        <v>#REF!</v>
      </c>
      <c r="F780" s="27">
        <v>1</v>
      </c>
      <c r="G780">
        <f>RFI_Elements!N783</f>
        <v>782</v>
      </c>
      <c r="I780" t="e">
        <f>VLOOKUP(B780,SuiteCatSubElem!$G$2:$G$667,2,0)</f>
        <v>#REF!</v>
      </c>
    </row>
    <row r="781" spans="1:9">
      <c r="A781">
        <f>RFI_Elements!B784</f>
        <v>10</v>
      </c>
      <c r="B781">
        <f>RFI_Elements!C784</f>
        <v>426</v>
      </c>
      <c r="C781">
        <v>783</v>
      </c>
      <c r="D781" s="128">
        <v>43101.003472164353</v>
      </c>
      <c r="E781" t="e">
        <f>VLOOKUP(VLOOKUP(B781,SuiteCatSubElem!$G$2:$G$667,2,0),'SA Q4 18 VR'!$A$33:$O$193,1+MATCH(VLOOKUP(A781,Vendors!$A$2:$B$15,2,0),'SA Q4 18 VR'!$B$24:$O$24,0),0)</f>
        <v>#REF!</v>
      </c>
      <c r="F781" s="27">
        <v>1</v>
      </c>
      <c r="G781">
        <f>RFI_Elements!N784</f>
        <v>783</v>
      </c>
      <c r="I781" t="e">
        <f>VLOOKUP(B781,SuiteCatSubElem!$G$2:$G$667,2,0)</f>
        <v>#REF!</v>
      </c>
    </row>
    <row r="782" spans="1:9">
      <c r="A782">
        <f>RFI_Elements!B785</f>
        <v>10</v>
      </c>
      <c r="B782">
        <f>RFI_Elements!C785</f>
        <v>427</v>
      </c>
      <c r="C782">
        <v>784</v>
      </c>
      <c r="D782" s="128">
        <v>43101.003472164353</v>
      </c>
      <c r="E782" t="e">
        <f>VLOOKUP(VLOOKUP(B782,SuiteCatSubElem!$G$2:$G$667,2,0),'SA Q4 18 VR'!$A$33:$O$193,1+MATCH(VLOOKUP(A782,Vendors!$A$2:$B$15,2,0),'SA Q4 18 VR'!$B$24:$O$24,0),0)</f>
        <v>#REF!</v>
      </c>
      <c r="F782" s="27">
        <v>1</v>
      </c>
      <c r="G782">
        <f>RFI_Elements!N785</f>
        <v>784</v>
      </c>
      <c r="I782" t="e">
        <f>VLOOKUP(B782,SuiteCatSubElem!$G$2:$G$667,2,0)</f>
        <v>#REF!</v>
      </c>
    </row>
    <row r="783" spans="1:9">
      <c r="A783">
        <f>RFI_Elements!B786</f>
        <v>10</v>
      </c>
      <c r="B783">
        <f>RFI_Elements!C786</f>
        <v>428</v>
      </c>
      <c r="C783">
        <v>785</v>
      </c>
      <c r="D783" s="128">
        <v>43101.003472164353</v>
      </c>
      <c r="E783" t="e">
        <f>VLOOKUP(VLOOKUP(B783,SuiteCatSubElem!$G$2:$G$667,2,0),'SA Q4 18 VR'!$A$33:$O$193,1+MATCH(VLOOKUP(A783,Vendors!$A$2:$B$15,2,0),'SA Q4 18 VR'!$B$24:$O$24,0),0)</f>
        <v>#REF!</v>
      </c>
      <c r="F783" s="27">
        <v>1</v>
      </c>
      <c r="G783">
        <f>RFI_Elements!N786</f>
        <v>785</v>
      </c>
      <c r="I783" t="e">
        <f>VLOOKUP(B783,SuiteCatSubElem!$G$2:$G$667,2,0)</f>
        <v>#REF!</v>
      </c>
    </row>
    <row r="784" spans="1:9">
      <c r="A784">
        <f>RFI_Elements!B787</f>
        <v>10</v>
      </c>
      <c r="B784">
        <f>RFI_Elements!C787</f>
        <v>429</v>
      </c>
      <c r="C784">
        <v>786</v>
      </c>
      <c r="D784" s="128">
        <v>43101.003472164353</v>
      </c>
      <c r="E784" t="e">
        <f>VLOOKUP(VLOOKUP(B784,SuiteCatSubElem!$G$2:$G$667,2,0),'SA Q4 18 VR'!$A$33:$O$193,1+MATCH(VLOOKUP(A784,Vendors!$A$2:$B$15,2,0),'SA Q4 18 VR'!$B$24:$O$24,0),0)</f>
        <v>#REF!</v>
      </c>
      <c r="F784" s="27">
        <v>1</v>
      </c>
      <c r="G784">
        <f>RFI_Elements!N787</f>
        <v>786</v>
      </c>
      <c r="I784" t="e">
        <f>VLOOKUP(B784,SuiteCatSubElem!$G$2:$G$667,2,0)</f>
        <v>#REF!</v>
      </c>
    </row>
    <row r="785" spans="1:9">
      <c r="A785">
        <f>RFI_Elements!B788</f>
        <v>10</v>
      </c>
      <c r="B785">
        <f>RFI_Elements!C788</f>
        <v>430</v>
      </c>
      <c r="C785">
        <v>787</v>
      </c>
      <c r="D785" s="128">
        <v>43101.003472164353</v>
      </c>
      <c r="E785" t="e">
        <f>VLOOKUP(VLOOKUP(B785,SuiteCatSubElem!$G$2:$G$667,2,0),'SA Q4 18 VR'!$A$33:$O$193,1+MATCH(VLOOKUP(A785,Vendors!$A$2:$B$15,2,0),'SA Q4 18 VR'!$B$24:$O$24,0),0)</f>
        <v>#REF!</v>
      </c>
      <c r="F785" s="27">
        <v>1</v>
      </c>
      <c r="G785">
        <f>RFI_Elements!N788</f>
        <v>787</v>
      </c>
      <c r="I785" t="e">
        <f>VLOOKUP(B785,SuiteCatSubElem!$G$2:$G$667,2,0)</f>
        <v>#REF!</v>
      </c>
    </row>
    <row r="786" spans="1:9">
      <c r="A786">
        <f>RFI_Elements!B789</f>
        <v>10</v>
      </c>
      <c r="B786">
        <f>RFI_Elements!C789</f>
        <v>431</v>
      </c>
      <c r="C786">
        <v>788</v>
      </c>
      <c r="D786" s="128">
        <v>43101.003472164353</v>
      </c>
      <c r="E786" t="e">
        <f>VLOOKUP(VLOOKUP(B786,SuiteCatSubElem!$G$2:$G$667,2,0),'SA Q4 18 VR'!$A$33:$O$193,1+MATCH(VLOOKUP(A786,Vendors!$A$2:$B$15,2,0),'SA Q4 18 VR'!$B$24:$O$24,0),0)</f>
        <v>#REF!</v>
      </c>
      <c r="F786" s="27">
        <v>1</v>
      </c>
      <c r="G786">
        <f>RFI_Elements!N789</f>
        <v>788</v>
      </c>
      <c r="I786" t="e">
        <f>VLOOKUP(B786,SuiteCatSubElem!$G$2:$G$667,2,0)</f>
        <v>#REF!</v>
      </c>
    </row>
    <row r="787" spans="1:9">
      <c r="A787">
        <f>RFI_Elements!B790</f>
        <v>10</v>
      </c>
      <c r="B787">
        <f>RFI_Elements!C790</f>
        <v>432</v>
      </c>
      <c r="C787">
        <v>789</v>
      </c>
      <c r="D787" s="128">
        <v>43101.003472164353</v>
      </c>
      <c r="E787" t="e">
        <f>VLOOKUP(VLOOKUP(B787,SuiteCatSubElem!$G$2:$G$667,2,0),'SA Q4 18 VR'!$A$33:$O$193,1+MATCH(VLOOKUP(A787,Vendors!$A$2:$B$15,2,0),'SA Q4 18 VR'!$B$24:$O$24,0),0)</f>
        <v>#REF!</v>
      </c>
      <c r="F787" s="27">
        <v>1</v>
      </c>
      <c r="G787">
        <f>RFI_Elements!N790</f>
        <v>789</v>
      </c>
      <c r="I787" t="e">
        <f>VLOOKUP(B787,SuiteCatSubElem!$G$2:$G$667,2,0)</f>
        <v>#REF!</v>
      </c>
    </row>
    <row r="788" spans="1:9">
      <c r="A788">
        <f>RFI_Elements!B791</f>
        <v>10</v>
      </c>
      <c r="B788">
        <f>RFI_Elements!C791</f>
        <v>433</v>
      </c>
      <c r="C788">
        <v>790</v>
      </c>
      <c r="D788" s="128">
        <v>43101.003472164353</v>
      </c>
      <c r="E788" t="e">
        <f>VLOOKUP(VLOOKUP(B788,SuiteCatSubElem!$G$2:$G$667,2,0),'SA Q4 18 VR'!$A$33:$O$193,1+MATCH(VLOOKUP(A788,Vendors!$A$2:$B$15,2,0),'SA Q4 18 VR'!$B$24:$O$24,0),0)</f>
        <v>#REF!</v>
      </c>
      <c r="F788" s="27">
        <v>1</v>
      </c>
      <c r="G788">
        <f>RFI_Elements!N791</f>
        <v>790</v>
      </c>
      <c r="I788" t="e">
        <f>VLOOKUP(B788,SuiteCatSubElem!$G$2:$G$667,2,0)</f>
        <v>#REF!</v>
      </c>
    </row>
    <row r="789" spans="1:9">
      <c r="A789">
        <f>RFI_Elements!B792</f>
        <v>10</v>
      </c>
      <c r="B789">
        <f>RFI_Elements!C792</f>
        <v>434</v>
      </c>
      <c r="C789">
        <v>791</v>
      </c>
      <c r="D789" s="128">
        <v>43101.003472164353</v>
      </c>
      <c r="E789" t="e">
        <f>VLOOKUP(VLOOKUP(B789,SuiteCatSubElem!$G$2:$G$667,2,0),'SA Q4 18 VR'!$A$33:$O$193,1+MATCH(VLOOKUP(A789,Vendors!$A$2:$B$15,2,0),'SA Q4 18 VR'!$B$24:$O$24,0),0)</f>
        <v>#REF!</v>
      </c>
      <c r="F789" s="27">
        <v>1</v>
      </c>
      <c r="G789">
        <f>RFI_Elements!N792</f>
        <v>791</v>
      </c>
      <c r="I789" t="e">
        <f>VLOOKUP(B789,SuiteCatSubElem!$G$2:$G$667,2,0)</f>
        <v>#REF!</v>
      </c>
    </row>
    <row r="790" spans="1:9">
      <c r="A790">
        <f>RFI_Elements!B793</f>
        <v>10</v>
      </c>
      <c r="B790">
        <f>RFI_Elements!C793</f>
        <v>435</v>
      </c>
      <c r="C790">
        <v>792</v>
      </c>
      <c r="D790" s="128">
        <v>43101.003472164353</v>
      </c>
      <c r="E790" t="e">
        <f>VLOOKUP(VLOOKUP(B790,SuiteCatSubElem!$G$2:$G$667,2,0),'SA Q4 18 VR'!$A$33:$O$193,1+MATCH(VLOOKUP(A790,Vendors!$A$2:$B$15,2,0),'SA Q4 18 VR'!$B$24:$O$24,0),0)</f>
        <v>#REF!</v>
      </c>
      <c r="F790" s="27">
        <v>1</v>
      </c>
      <c r="G790">
        <f>RFI_Elements!N793</f>
        <v>792</v>
      </c>
      <c r="I790" t="e">
        <f>VLOOKUP(B790,SuiteCatSubElem!$G$2:$G$667,2,0)</f>
        <v>#REF!</v>
      </c>
    </row>
    <row r="791" spans="1:9">
      <c r="A791">
        <f>RFI_Elements!B794</f>
        <v>10</v>
      </c>
      <c r="B791">
        <f>RFI_Elements!C794</f>
        <v>436</v>
      </c>
      <c r="C791">
        <v>793</v>
      </c>
      <c r="D791" s="128">
        <v>43101.003472164353</v>
      </c>
      <c r="E791" t="e">
        <f>VLOOKUP(VLOOKUP(B791,SuiteCatSubElem!$G$2:$G$667,2,0),'SA Q4 18 VR'!$A$33:$O$193,1+MATCH(VLOOKUP(A791,Vendors!$A$2:$B$15,2,0),'SA Q4 18 VR'!$B$24:$O$24,0),0)</f>
        <v>#REF!</v>
      </c>
      <c r="F791" s="27">
        <v>1</v>
      </c>
      <c r="G791">
        <f>RFI_Elements!N794</f>
        <v>793</v>
      </c>
      <c r="I791" t="e">
        <f>VLOOKUP(B791,SuiteCatSubElem!$G$2:$G$667,2,0)</f>
        <v>#REF!</v>
      </c>
    </row>
    <row r="792" spans="1:9">
      <c r="A792">
        <f>RFI_Elements!B795</f>
        <v>10</v>
      </c>
      <c r="B792">
        <f>RFI_Elements!C795</f>
        <v>437</v>
      </c>
      <c r="C792">
        <v>794</v>
      </c>
      <c r="D792" s="128">
        <v>43101.003472164353</v>
      </c>
      <c r="E792" t="e">
        <f>VLOOKUP(VLOOKUP(B792,SuiteCatSubElem!$G$2:$G$667,2,0),'SA Q4 18 VR'!$A$33:$O$193,1+MATCH(VLOOKUP(A792,Vendors!$A$2:$B$15,2,0),'SA Q4 18 VR'!$B$24:$O$24,0),0)</f>
        <v>#REF!</v>
      </c>
      <c r="F792" s="27">
        <v>1</v>
      </c>
      <c r="G792">
        <f>RFI_Elements!N795</f>
        <v>794</v>
      </c>
      <c r="I792" t="e">
        <f>VLOOKUP(B792,SuiteCatSubElem!$G$2:$G$667,2,0)</f>
        <v>#REF!</v>
      </c>
    </row>
    <row r="793" spans="1:9">
      <c r="A793">
        <f>RFI_Elements!B796</f>
        <v>10</v>
      </c>
      <c r="B793">
        <f>RFI_Elements!C796</f>
        <v>438</v>
      </c>
      <c r="C793">
        <v>795</v>
      </c>
      <c r="D793" s="128">
        <v>43101.003472164353</v>
      </c>
      <c r="E793" t="e">
        <f>VLOOKUP(VLOOKUP(B793,SuiteCatSubElem!$G$2:$G$667,2,0),'SA Q4 18 VR'!$A$33:$O$193,1+MATCH(VLOOKUP(A793,Vendors!$A$2:$B$15,2,0),'SA Q4 18 VR'!$B$24:$O$24,0),0)</f>
        <v>#REF!</v>
      </c>
      <c r="F793" s="27">
        <v>1</v>
      </c>
      <c r="G793">
        <f>RFI_Elements!N796</f>
        <v>795</v>
      </c>
      <c r="I793" t="e">
        <f>VLOOKUP(B793,SuiteCatSubElem!$G$2:$G$667,2,0)</f>
        <v>#REF!</v>
      </c>
    </row>
    <row r="794" spans="1:9">
      <c r="A794">
        <f>RFI_Elements!B797</f>
        <v>10</v>
      </c>
      <c r="B794">
        <f>RFI_Elements!C797</f>
        <v>439</v>
      </c>
      <c r="C794">
        <v>796</v>
      </c>
      <c r="D794" s="128">
        <v>43101.003472164353</v>
      </c>
      <c r="E794" t="e">
        <f>VLOOKUP(VLOOKUP(B794,SuiteCatSubElem!$G$2:$G$667,2,0),'SA Q4 18 VR'!$A$33:$O$193,1+MATCH(VLOOKUP(A794,Vendors!$A$2:$B$15,2,0),'SA Q4 18 VR'!$B$24:$O$24,0),0)</f>
        <v>#REF!</v>
      </c>
      <c r="F794" s="27">
        <v>1</v>
      </c>
      <c r="G794">
        <f>RFI_Elements!N797</f>
        <v>796</v>
      </c>
      <c r="I794" t="e">
        <f>VLOOKUP(B794,SuiteCatSubElem!$G$2:$G$667,2,0)</f>
        <v>#REF!</v>
      </c>
    </row>
    <row r="795" spans="1:9">
      <c r="A795">
        <f>RFI_Elements!B798</f>
        <v>10</v>
      </c>
      <c r="B795">
        <f>RFI_Elements!C798</f>
        <v>440</v>
      </c>
      <c r="C795">
        <v>797</v>
      </c>
      <c r="D795" s="128">
        <v>43101.003472164353</v>
      </c>
      <c r="E795" t="e">
        <f>VLOOKUP(VLOOKUP(B795,SuiteCatSubElem!$G$2:$G$667,2,0),'SA Q4 18 VR'!$A$33:$O$193,1+MATCH(VLOOKUP(A795,Vendors!$A$2:$B$15,2,0),'SA Q4 18 VR'!$B$24:$O$24,0),0)</f>
        <v>#REF!</v>
      </c>
      <c r="F795" s="27">
        <v>1</v>
      </c>
      <c r="G795">
        <f>RFI_Elements!N798</f>
        <v>797</v>
      </c>
      <c r="I795" t="e">
        <f>VLOOKUP(B795,SuiteCatSubElem!$G$2:$G$667,2,0)</f>
        <v>#REF!</v>
      </c>
    </row>
    <row r="796" spans="1:9">
      <c r="A796">
        <f>RFI_Elements!B799</f>
        <v>10</v>
      </c>
      <c r="B796">
        <f>RFI_Elements!C799</f>
        <v>441</v>
      </c>
      <c r="C796">
        <v>798</v>
      </c>
      <c r="D796" s="128">
        <v>43101.003472164353</v>
      </c>
      <c r="E796" t="e">
        <f>VLOOKUP(VLOOKUP(B796,SuiteCatSubElem!$G$2:$G$667,2,0),'SA Q4 18 VR'!$A$33:$O$193,1+MATCH(VLOOKUP(A796,Vendors!$A$2:$B$15,2,0),'SA Q4 18 VR'!$B$24:$O$24,0),0)</f>
        <v>#REF!</v>
      </c>
      <c r="F796" s="27">
        <v>1</v>
      </c>
      <c r="G796">
        <f>RFI_Elements!N799</f>
        <v>798</v>
      </c>
      <c r="I796" t="e">
        <f>VLOOKUP(B796,SuiteCatSubElem!$G$2:$G$667,2,0)</f>
        <v>#REF!</v>
      </c>
    </row>
    <row r="797" spans="1:9">
      <c r="A797">
        <f>RFI_Elements!B800</f>
        <v>10</v>
      </c>
      <c r="B797">
        <f>RFI_Elements!C800</f>
        <v>442</v>
      </c>
      <c r="C797">
        <v>799</v>
      </c>
      <c r="D797" s="128">
        <v>43101.003472164353</v>
      </c>
      <c r="E797" t="e">
        <f>VLOOKUP(VLOOKUP(B797,SuiteCatSubElem!$G$2:$G$667,2,0),'SA Q4 18 VR'!$A$33:$O$193,1+MATCH(VLOOKUP(A797,Vendors!$A$2:$B$15,2,0),'SA Q4 18 VR'!$B$24:$O$24,0),0)</f>
        <v>#REF!</v>
      </c>
      <c r="F797" s="27">
        <v>1</v>
      </c>
      <c r="G797">
        <f>RFI_Elements!N800</f>
        <v>799</v>
      </c>
      <c r="I797" t="e">
        <f>VLOOKUP(B797,SuiteCatSubElem!$G$2:$G$667,2,0)</f>
        <v>#REF!</v>
      </c>
    </row>
    <row r="798" spans="1:9">
      <c r="A798">
        <f>RFI_Elements!B801</f>
        <v>10</v>
      </c>
      <c r="B798">
        <f>RFI_Elements!C801</f>
        <v>443</v>
      </c>
      <c r="C798">
        <v>800</v>
      </c>
      <c r="D798" s="128">
        <v>43101.003472164353</v>
      </c>
      <c r="E798" t="e">
        <f>VLOOKUP(VLOOKUP(B798,SuiteCatSubElem!$G$2:$G$667,2,0),'SA Q4 18 VR'!$A$33:$O$193,1+MATCH(VLOOKUP(A798,Vendors!$A$2:$B$15,2,0),'SA Q4 18 VR'!$B$24:$O$24,0),0)</f>
        <v>#REF!</v>
      </c>
      <c r="F798" s="27">
        <v>1</v>
      </c>
      <c r="G798">
        <f>RFI_Elements!N801</f>
        <v>800</v>
      </c>
      <c r="I798" t="e">
        <f>VLOOKUP(B798,SuiteCatSubElem!$G$2:$G$667,2,0)</f>
        <v>#REF!</v>
      </c>
    </row>
    <row r="799" spans="1:9">
      <c r="A799">
        <f>RFI_Elements!B802</f>
        <v>10</v>
      </c>
      <c r="B799">
        <f>RFI_Elements!C802</f>
        <v>444</v>
      </c>
      <c r="C799">
        <v>801</v>
      </c>
      <c r="D799" s="128">
        <v>43101.003472164353</v>
      </c>
      <c r="E799" t="e">
        <f>VLOOKUP(VLOOKUP(B799,SuiteCatSubElem!$G$2:$G$667,2,0),'SA Q4 18 VR'!$A$33:$O$193,1+MATCH(VLOOKUP(A799,Vendors!$A$2:$B$15,2,0),'SA Q4 18 VR'!$B$24:$O$24,0),0)</f>
        <v>#REF!</v>
      </c>
      <c r="F799" s="27">
        <v>1</v>
      </c>
      <c r="G799">
        <f>RFI_Elements!N802</f>
        <v>801</v>
      </c>
      <c r="I799" t="e">
        <f>VLOOKUP(B799,SuiteCatSubElem!$G$2:$G$667,2,0)</f>
        <v>#REF!</v>
      </c>
    </row>
    <row r="800" spans="1:9">
      <c r="A800">
        <f>RFI_Elements!B803</f>
        <v>10</v>
      </c>
      <c r="B800">
        <f>RFI_Elements!C803</f>
        <v>445</v>
      </c>
      <c r="C800">
        <v>802</v>
      </c>
      <c r="D800" s="128">
        <v>43101.003472164353</v>
      </c>
      <c r="E800" t="e">
        <f>VLOOKUP(VLOOKUP(B800,SuiteCatSubElem!$G$2:$G$667,2,0),'SA Q4 18 VR'!$A$33:$O$193,1+MATCH(VLOOKUP(A800,Vendors!$A$2:$B$15,2,0),'SA Q4 18 VR'!$B$24:$O$24,0),0)</f>
        <v>#REF!</v>
      </c>
      <c r="F800" s="27">
        <v>1</v>
      </c>
      <c r="G800">
        <f>RFI_Elements!N803</f>
        <v>802</v>
      </c>
      <c r="I800" t="e">
        <f>VLOOKUP(B800,SuiteCatSubElem!$G$2:$G$667,2,0)</f>
        <v>#REF!</v>
      </c>
    </row>
    <row r="801" spans="1:9">
      <c r="A801">
        <f>RFI_Elements!B804</f>
        <v>10</v>
      </c>
      <c r="B801">
        <f>RFI_Elements!C804</f>
        <v>446</v>
      </c>
      <c r="C801">
        <v>803</v>
      </c>
      <c r="D801" s="128">
        <v>43101.003472164353</v>
      </c>
      <c r="E801" t="e">
        <f>VLOOKUP(VLOOKUP(B801,SuiteCatSubElem!$G$2:$G$667,2,0),'SA Q4 18 VR'!$A$33:$O$193,1+MATCH(VLOOKUP(A801,Vendors!$A$2:$B$15,2,0),'SA Q4 18 VR'!$B$24:$O$24,0),0)</f>
        <v>#REF!</v>
      </c>
      <c r="F801" s="27">
        <v>1</v>
      </c>
      <c r="G801">
        <f>RFI_Elements!N804</f>
        <v>803</v>
      </c>
      <c r="I801" t="e">
        <f>VLOOKUP(B801,SuiteCatSubElem!$G$2:$G$667,2,0)</f>
        <v>#REF!</v>
      </c>
    </row>
    <row r="802" spans="1:9">
      <c r="A802">
        <f>RFI_Elements!B805</f>
        <v>10</v>
      </c>
      <c r="B802">
        <f>RFI_Elements!C805</f>
        <v>447</v>
      </c>
      <c r="C802">
        <v>804</v>
      </c>
      <c r="D802" s="128">
        <v>43101.003472164353</v>
      </c>
      <c r="E802" t="e">
        <f>VLOOKUP(VLOOKUP(B802,SuiteCatSubElem!$G$2:$G$667,2,0),'SA Q4 18 VR'!$A$33:$O$193,1+MATCH(VLOOKUP(A802,Vendors!$A$2:$B$15,2,0),'SA Q4 18 VR'!$B$24:$O$24,0),0)</f>
        <v>#REF!</v>
      </c>
      <c r="F802" s="27">
        <v>1</v>
      </c>
      <c r="G802">
        <f>RFI_Elements!N805</f>
        <v>804</v>
      </c>
      <c r="I802" t="e">
        <f>VLOOKUP(B802,SuiteCatSubElem!$G$2:$G$667,2,0)</f>
        <v>#REF!</v>
      </c>
    </row>
    <row r="803" spans="1:9">
      <c r="A803">
        <f>RFI_Elements!B806</f>
        <v>10</v>
      </c>
      <c r="B803">
        <f>RFI_Elements!C806</f>
        <v>448</v>
      </c>
      <c r="C803">
        <v>805</v>
      </c>
      <c r="D803" s="128">
        <v>43101.003472164353</v>
      </c>
      <c r="E803" t="e">
        <f>VLOOKUP(VLOOKUP(B803,SuiteCatSubElem!$G$2:$G$667,2,0),'SA Q4 18 VR'!$A$33:$O$193,1+MATCH(VLOOKUP(A803,Vendors!$A$2:$B$15,2,0),'SA Q4 18 VR'!$B$24:$O$24,0),0)</f>
        <v>#REF!</v>
      </c>
      <c r="F803" s="27">
        <v>1</v>
      </c>
      <c r="G803">
        <f>RFI_Elements!N806</f>
        <v>805</v>
      </c>
      <c r="I803" t="e">
        <f>VLOOKUP(B803,SuiteCatSubElem!$G$2:$G$667,2,0)</f>
        <v>#REF!</v>
      </c>
    </row>
    <row r="804" spans="1:9">
      <c r="A804">
        <f>RFI_Elements!B807</f>
        <v>10</v>
      </c>
      <c r="B804">
        <f>RFI_Elements!C807</f>
        <v>449</v>
      </c>
      <c r="C804">
        <v>806</v>
      </c>
      <c r="D804" s="128">
        <v>43101.003472164353</v>
      </c>
      <c r="E804" t="e">
        <f>VLOOKUP(VLOOKUP(B804,SuiteCatSubElem!$G$2:$G$667,2,0),'SA Q4 18 VR'!$A$33:$O$193,1+MATCH(VLOOKUP(A804,Vendors!$A$2:$B$15,2,0),'SA Q4 18 VR'!$B$24:$O$24,0),0)</f>
        <v>#REF!</v>
      </c>
      <c r="F804" s="27">
        <v>1</v>
      </c>
      <c r="G804">
        <f>RFI_Elements!N807</f>
        <v>806</v>
      </c>
      <c r="I804" t="e">
        <f>VLOOKUP(B804,SuiteCatSubElem!$G$2:$G$667,2,0)</f>
        <v>#REF!</v>
      </c>
    </row>
    <row r="805" spans="1:9">
      <c r="A805">
        <f>RFI_Elements!B808</f>
        <v>10</v>
      </c>
      <c r="B805">
        <f>RFI_Elements!C808</f>
        <v>450</v>
      </c>
      <c r="C805">
        <v>807</v>
      </c>
      <c r="D805" s="128">
        <v>43101.003472164353</v>
      </c>
      <c r="E805" t="e">
        <f>VLOOKUP(VLOOKUP(B805,SuiteCatSubElem!$G$2:$G$667,2,0),'SA Q4 18 VR'!$A$33:$O$193,1+MATCH(VLOOKUP(A805,Vendors!$A$2:$B$15,2,0),'SA Q4 18 VR'!$B$24:$O$24,0),0)</f>
        <v>#REF!</v>
      </c>
      <c r="F805" s="27">
        <v>1</v>
      </c>
      <c r="G805">
        <f>RFI_Elements!N808</f>
        <v>807</v>
      </c>
      <c r="I805" t="e">
        <f>VLOOKUP(B805,SuiteCatSubElem!$G$2:$G$667,2,0)</f>
        <v>#REF!</v>
      </c>
    </row>
    <row r="806" spans="1:9">
      <c r="A806">
        <f>RFI_Elements!B809</f>
        <v>10</v>
      </c>
      <c r="B806">
        <f>RFI_Elements!C809</f>
        <v>451</v>
      </c>
      <c r="C806">
        <v>808</v>
      </c>
      <c r="D806" s="128">
        <v>43101.003472164353</v>
      </c>
      <c r="E806" t="e">
        <f>VLOOKUP(VLOOKUP(B806,SuiteCatSubElem!$G$2:$G$667,2,0),'SA Q4 18 VR'!$A$33:$O$193,1+MATCH(VLOOKUP(A806,Vendors!$A$2:$B$15,2,0),'SA Q4 18 VR'!$B$24:$O$24,0),0)</f>
        <v>#REF!</v>
      </c>
      <c r="F806" s="27">
        <v>1</v>
      </c>
      <c r="G806">
        <f>RFI_Elements!N809</f>
        <v>808</v>
      </c>
      <c r="I806" t="e">
        <f>VLOOKUP(B806,SuiteCatSubElem!$G$2:$G$667,2,0)</f>
        <v>#REF!</v>
      </c>
    </row>
    <row r="807" spans="1:9">
      <c r="A807">
        <f>RFI_Elements!B810</f>
        <v>10</v>
      </c>
      <c r="B807">
        <f>RFI_Elements!C810</f>
        <v>452</v>
      </c>
      <c r="C807">
        <v>809</v>
      </c>
      <c r="D807" s="128">
        <v>43101.003472164353</v>
      </c>
      <c r="E807" t="e">
        <f>VLOOKUP(VLOOKUP(B807,SuiteCatSubElem!$G$2:$G$667,2,0),'SA Q4 18 VR'!$A$33:$O$193,1+MATCH(VLOOKUP(A807,Vendors!$A$2:$B$15,2,0),'SA Q4 18 VR'!$B$24:$O$24,0),0)</f>
        <v>#REF!</v>
      </c>
      <c r="F807" s="27">
        <v>1</v>
      </c>
      <c r="G807">
        <f>RFI_Elements!N810</f>
        <v>809</v>
      </c>
      <c r="I807" t="e">
        <f>VLOOKUP(B807,SuiteCatSubElem!$G$2:$G$667,2,0)</f>
        <v>#REF!</v>
      </c>
    </row>
    <row r="808" spans="1:9">
      <c r="A808">
        <f>RFI_Elements!B811</f>
        <v>10</v>
      </c>
      <c r="B808">
        <f>RFI_Elements!C811</f>
        <v>453</v>
      </c>
      <c r="C808">
        <v>810</v>
      </c>
      <c r="D808" s="128">
        <v>43101.003472164353</v>
      </c>
      <c r="E808" t="e">
        <f>VLOOKUP(VLOOKUP(B808,SuiteCatSubElem!$G$2:$G$667,2,0),'SA Q4 18 VR'!$A$33:$O$193,1+MATCH(VLOOKUP(A808,Vendors!$A$2:$B$15,2,0),'SA Q4 18 VR'!$B$24:$O$24,0),0)</f>
        <v>#REF!</v>
      </c>
      <c r="F808" s="27">
        <v>1</v>
      </c>
      <c r="G808">
        <f>RFI_Elements!N811</f>
        <v>810</v>
      </c>
      <c r="I808" t="e">
        <f>VLOOKUP(B808,SuiteCatSubElem!$G$2:$G$667,2,0)</f>
        <v>#REF!</v>
      </c>
    </row>
    <row r="809" spans="1:9">
      <c r="A809">
        <f>RFI_Elements!B812</f>
        <v>10</v>
      </c>
      <c r="B809">
        <f>RFI_Elements!C812</f>
        <v>454</v>
      </c>
      <c r="C809">
        <v>811</v>
      </c>
      <c r="D809" s="128">
        <v>43101.003472164353</v>
      </c>
      <c r="E809" t="e">
        <f>VLOOKUP(VLOOKUP(B809,SuiteCatSubElem!$G$2:$G$667,2,0),'SA Q4 18 VR'!$A$33:$O$193,1+MATCH(VLOOKUP(A809,Vendors!$A$2:$B$15,2,0),'SA Q4 18 VR'!$B$24:$O$24,0),0)</f>
        <v>#REF!</v>
      </c>
      <c r="F809" s="27">
        <v>1</v>
      </c>
      <c r="G809">
        <f>RFI_Elements!N812</f>
        <v>811</v>
      </c>
      <c r="I809" t="e">
        <f>VLOOKUP(B809,SuiteCatSubElem!$G$2:$G$667,2,0)</f>
        <v>#REF!</v>
      </c>
    </row>
    <row r="810" spans="1:9">
      <c r="A810">
        <f>RFI_Elements!B813</f>
        <v>10</v>
      </c>
      <c r="B810">
        <f>RFI_Elements!C813</f>
        <v>455</v>
      </c>
      <c r="C810">
        <v>812</v>
      </c>
      <c r="D810" s="128">
        <v>43101.003472164353</v>
      </c>
      <c r="E810" t="e">
        <f>VLOOKUP(VLOOKUP(B810,SuiteCatSubElem!$G$2:$G$667,2,0),'SA Q4 18 VR'!$A$33:$O$193,1+MATCH(VLOOKUP(A810,Vendors!$A$2:$B$15,2,0),'SA Q4 18 VR'!$B$24:$O$24,0),0)</f>
        <v>#REF!</v>
      </c>
      <c r="F810" s="27">
        <v>1</v>
      </c>
      <c r="G810">
        <f>RFI_Elements!N813</f>
        <v>812</v>
      </c>
      <c r="I810" t="e">
        <f>VLOOKUP(B810,SuiteCatSubElem!$G$2:$G$667,2,0)</f>
        <v>#REF!</v>
      </c>
    </row>
    <row r="811" spans="1:9">
      <c r="A811">
        <f>RFI_Elements!B814</f>
        <v>10</v>
      </c>
      <c r="B811">
        <f>RFI_Elements!C814</f>
        <v>456</v>
      </c>
      <c r="C811">
        <v>813</v>
      </c>
      <c r="D811" s="128">
        <v>43101.003472164353</v>
      </c>
      <c r="E811" t="e">
        <f>VLOOKUP(VLOOKUP(B811,SuiteCatSubElem!$G$2:$G$667,2,0),'SA Q4 18 VR'!$A$33:$O$193,1+MATCH(VLOOKUP(A811,Vendors!$A$2:$B$15,2,0),'SA Q4 18 VR'!$B$24:$O$24,0),0)</f>
        <v>#REF!</v>
      </c>
      <c r="F811" s="27">
        <v>1</v>
      </c>
      <c r="G811">
        <f>RFI_Elements!N814</f>
        <v>813</v>
      </c>
      <c r="I811" t="e">
        <f>VLOOKUP(B811,SuiteCatSubElem!$G$2:$G$667,2,0)</f>
        <v>#REF!</v>
      </c>
    </row>
    <row r="812" spans="1:9">
      <c r="A812">
        <f>RFI_Elements!B815</f>
        <v>10</v>
      </c>
      <c r="B812">
        <f>RFI_Elements!C815</f>
        <v>457</v>
      </c>
      <c r="C812">
        <v>814</v>
      </c>
      <c r="D812" s="128">
        <v>43101.003472164353</v>
      </c>
      <c r="E812" t="e">
        <f>VLOOKUP(VLOOKUP(B812,SuiteCatSubElem!$G$2:$G$667,2,0),'SA Q4 18 VR'!$A$33:$O$193,1+MATCH(VLOOKUP(A812,Vendors!$A$2:$B$15,2,0),'SA Q4 18 VR'!$B$24:$O$24,0),0)</f>
        <v>#REF!</v>
      </c>
      <c r="F812" s="27">
        <v>1</v>
      </c>
      <c r="G812">
        <f>RFI_Elements!N815</f>
        <v>814</v>
      </c>
      <c r="I812" t="e">
        <f>VLOOKUP(B812,SuiteCatSubElem!$G$2:$G$667,2,0)</f>
        <v>#REF!</v>
      </c>
    </row>
    <row r="813" spans="1:9">
      <c r="A813">
        <f>RFI_Elements!B816</f>
        <v>10</v>
      </c>
      <c r="B813">
        <f>RFI_Elements!C816</f>
        <v>458</v>
      </c>
      <c r="C813">
        <v>815</v>
      </c>
      <c r="D813" s="128">
        <v>43101.003472164353</v>
      </c>
      <c r="E813" t="e">
        <f>VLOOKUP(VLOOKUP(B813,SuiteCatSubElem!$G$2:$G$667,2,0),'SA Q4 18 VR'!$A$33:$O$193,1+MATCH(VLOOKUP(A813,Vendors!$A$2:$B$15,2,0),'SA Q4 18 VR'!$B$24:$O$24,0),0)</f>
        <v>#REF!</v>
      </c>
      <c r="F813" s="27">
        <v>1</v>
      </c>
      <c r="G813">
        <f>RFI_Elements!N816</f>
        <v>815</v>
      </c>
      <c r="I813" t="e">
        <f>VLOOKUP(B813,SuiteCatSubElem!$G$2:$G$667,2,0)</f>
        <v>#REF!</v>
      </c>
    </row>
    <row r="814" spans="1:9">
      <c r="A814">
        <f>RFI_Elements!B817</f>
        <v>10</v>
      </c>
      <c r="B814">
        <f>RFI_Elements!C817</f>
        <v>459</v>
      </c>
      <c r="C814">
        <v>816</v>
      </c>
      <c r="D814" s="128">
        <v>43101.003472164353</v>
      </c>
      <c r="E814" t="e">
        <f>VLOOKUP(VLOOKUP(B814,SuiteCatSubElem!$G$2:$G$667,2,0),'SA Q4 18 VR'!$A$33:$O$193,1+MATCH(VLOOKUP(A814,Vendors!$A$2:$B$15,2,0),'SA Q4 18 VR'!$B$24:$O$24,0),0)</f>
        <v>#REF!</v>
      </c>
      <c r="F814" s="27">
        <v>1</v>
      </c>
      <c r="G814">
        <f>RFI_Elements!N817</f>
        <v>816</v>
      </c>
      <c r="I814" t="e">
        <f>VLOOKUP(B814,SuiteCatSubElem!$G$2:$G$667,2,0)</f>
        <v>#REF!</v>
      </c>
    </row>
    <row r="815" spans="1:9">
      <c r="A815">
        <f>RFI_Elements!B818</f>
        <v>10</v>
      </c>
      <c r="B815">
        <f>RFI_Elements!C818</f>
        <v>460</v>
      </c>
      <c r="C815">
        <v>817</v>
      </c>
      <c r="D815" s="128">
        <v>43101.003472164353</v>
      </c>
      <c r="E815" t="e">
        <f>VLOOKUP(VLOOKUP(B815,SuiteCatSubElem!$G$2:$G$667,2,0),'SA Q4 18 VR'!$A$33:$O$193,1+MATCH(VLOOKUP(A815,Vendors!$A$2:$B$15,2,0),'SA Q4 18 VR'!$B$24:$O$24,0),0)</f>
        <v>#REF!</v>
      </c>
      <c r="F815" s="27">
        <v>1</v>
      </c>
      <c r="G815">
        <f>RFI_Elements!N818</f>
        <v>817</v>
      </c>
      <c r="I815" t="e">
        <f>VLOOKUP(B815,SuiteCatSubElem!$G$2:$G$667,2,0)</f>
        <v>#REF!</v>
      </c>
    </row>
    <row r="816" spans="1:9">
      <c r="A816">
        <f>RFI_Elements!B819</f>
        <v>10</v>
      </c>
      <c r="B816">
        <f>RFI_Elements!C819</f>
        <v>461</v>
      </c>
      <c r="C816">
        <v>818</v>
      </c>
      <c r="D816" s="128">
        <v>43101.003472164353</v>
      </c>
      <c r="E816" t="e">
        <f>VLOOKUP(VLOOKUP(B816,SuiteCatSubElem!$G$2:$G$667,2,0),'SA Q4 18 VR'!$A$33:$O$193,1+MATCH(VLOOKUP(A816,Vendors!$A$2:$B$15,2,0),'SA Q4 18 VR'!$B$24:$O$24,0),0)</f>
        <v>#REF!</v>
      </c>
      <c r="F816" s="27">
        <v>1</v>
      </c>
      <c r="G816">
        <f>RFI_Elements!N819</f>
        <v>818</v>
      </c>
      <c r="I816" t="e">
        <f>VLOOKUP(B816,SuiteCatSubElem!$G$2:$G$667,2,0)</f>
        <v>#REF!</v>
      </c>
    </row>
    <row r="817" spans="1:9">
      <c r="A817">
        <f>RFI_Elements!B820</f>
        <v>10</v>
      </c>
      <c r="B817">
        <f>RFI_Elements!C820</f>
        <v>462</v>
      </c>
      <c r="C817">
        <v>819</v>
      </c>
      <c r="D817" s="128">
        <v>43101.003472164353</v>
      </c>
      <c r="E817" t="e">
        <f>VLOOKUP(VLOOKUP(B817,SuiteCatSubElem!$G$2:$G$667,2,0),'SA Q4 18 VR'!$A$33:$O$193,1+MATCH(VLOOKUP(A817,Vendors!$A$2:$B$15,2,0),'SA Q4 18 VR'!$B$24:$O$24,0),0)</f>
        <v>#REF!</v>
      </c>
      <c r="F817" s="27">
        <v>1</v>
      </c>
      <c r="G817">
        <f>RFI_Elements!N820</f>
        <v>819</v>
      </c>
      <c r="I817" t="e">
        <f>VLOOKUP(B817,SuiteCatSubElem!$G$2:$G$667,2,0)</f>
        <v>#REF!</v>
      </c>
    </row>
    <row r="818" spans="1:9">
      <c r="A818">
        <f>RFI_Elements!B821</f>
        <v>10</v>
      </c>
      <c r="B818">
        <f>RFI_Elements!C821</f>
        <v>463</v>
      </c>
      <c r="C818">
        <v>820</v>
      </c>
      <c r="D818" s="128">
        <v>43101.003472164353</v>
      </c>
      <c r="E818" t="e">
        <f>VLOOKUP(VLOOKUP(B818,SuiteCatSubElem!$G$2:$G$667,2,0),'SA Q4 18 VR'!$A$33:$O$193,1+MATCH(VLOOKUP(A818,Vendors!$A$2:$B$15,2,0),'SA Q4 18 VR'!$B$24:$O$24,0),0)</f>
        <v>#REF!</v>
      </c>
      <c r="F818" s="27">
        <v>1</v>
      </c>
      <c r="G818">
        <f>RFI_Elements!N821</f>
        <v>820</v>
      </c>
      <c r="I818" t="e">
        <f>VLOOKUP(B818,SuiteCatSubElem!$G$2:$G$667,2,0)</f>
        <v>#REF!</v>
      </c>
    </row>
    <row r="819" spans="1:9">
      <c r="A819">
        <f>RFI_Elements!B822</f>
        <v>10</v>
      </c>
      <c r="B819">
        <f>RFI_Elements!C822</f>
        <v>464</v>
      </c>
      <c r="C819">
        <v>821</v>
      </c>
      <c r="D819" s="128">
        <v>43101.003472164353</v>
      </c>
      <c r="E819" t="e">
        <f>VLOOKUP(VLOOKUP(B819,SuiteCatSubElem!$G$2:$G$667,2,0),'SA Q4 18 VR'!$A$33:$O$193,1+MATCH(VLOOKUP(A819,Vendors!$A$2:$B$15,2,0),'SA Q4 18 VR'!$B$24:$O$24,0),0)</f>
        <v>#REF!</v>
      </c>
      <c r="F819" s="27">
        <v>1</v>
      </c>
      <c r="G819">
        <f>RFI_Elements!N822</f>
        <v>821</v>
      </c>
      <c r="I819" t="e">
        <f>VLOOKUP(B819,SuiteCatSubElem!$G$2:$G$667,2,0)</f>
        <v>#REF!</v>
      </c>
    </row>
    <row r="820" spans="1:9">
      <c r="A820">
        <f>RFI_Elements!B823</f>
        <v>10</v>
      </c>
      <c r="B820">
        <f>RFI_Elements!C823</f>
        <v>465</v>
      </c>
      <c r="C820">
        <v>822</v>
      </c>
      <c r="D820" s="128">
        <v>43101.003472164353</v>
      </c>
      <c r="E820" t="e">
        <f>VLOOKUP(VLOOKUP(B820,SuiteCatSubElem!$G$2:$G$667,2,0),'SA Q4 18 VR'!$A$33:$O$193,1+MATCH(VLOOKUP(A820,Vendors!$A$2:$B$15,2,0),'SA Q4 18 VR'!$B$24:$O$24,0),0)</f>
        <v>#REF!</v>
      </c>
      <c r="F820" s="27">
        <v>1</v>
      </c>
      <c r="G820">
        <f>RFI_Elements!N823</f>
        <v>822</v>
      </c>
      <c r="I820" t="e">
        <f>VLOOKUP(B820,SuiteCatSubElem!$G$2:$G$667,2,0)</f>
        <v>#REF!</v>
      </c>
    </row>
    <row r="821" spans="1:9">
      <c r="A821">
        <f>RFI_Elements!B824</f>
        <v>10</v>
      </c>
      <c r="B821">
        <f>RFI_Elements!C824</f>
        <v>466</v>
      </c>
      <c r="C821">
        <v>823</v>
      </c>
      <c r="D821" s="128">
        <v>43101.003472164353</v>
      </c>
      <c r="E821" t="e">
        <f>VLOOKUP(VLOOKUP(B821,SuiteCatSubElem!$G$2:$G$667,2,0),'SA Q4 18 VR'!$A$33:$O$193,1+MATCH(VLOOKUP(A821,Vendors!$A$2:$B$15,2,0),'SA Q4 18 VR'!$B$24:$O$24,0),0)</f>
        <v>#REF!</v>
      </c>
      <c r="F821" s="27">
        <v>1</v>
      </c>
      <c r="G821">
        <f>RFI_Elements!N824</f>
        <v>823</v>
      </c>
      <c r="I821" t="e">
        <f>VLOOKUP(B821,SuiteCatSubElem!$G$2:$G$667,2,0)</f>
        <v>#REF!</v>
      </c>
    </row>
    <row r="822" spans="1:9">
      <c r="A822">
        <f>RFI_Elements!B825</f>
        <v>10</v>
      </c>
      <c r="B822">
        <f>RFI_Elements!C825</f>
        <v>467</v>
      </c>
      <c r="C822">
        <v>824</v>
      </c>
      <c r="D822" s="128">
        <v>43101.003472164353</v>
      </c>
      <c r="E822" t="e">
        <f>VLOOKUP(VLOOKUP(B822,SuiteCatSubElem!$G$2:$G$667,2,0),'SA Q4 18 VR'!$A$33:$O$193,1+MATCH(VLOOKUP(A822,Vendors!$A$2:$B$15,2,0),'SA Q4 18 VR'!$B$24:$O$24,0),0)</f>
        <v>#REF!</v>
      </c>
      <c r="F822" s="27">
        <v>1</v>
      </c>
      <c r="G822">
        <f>RFI_Elements!N825</f>
        <v>824</v>
      </c>
      <c r="I822" t="e">
        <f>VLOOKUP(B822,SuiteCatSubElem!$G$2:$G$667,2,0)</f>
        <v>#REF!</v>
      </c>
    </row>
    <row r="823" spans="1:9">
      <c r="A823">
        <f>RFI_Elements!B826</f>
        <v>10</v>
      </c>
      <c r="B823">
        <f>RFI_Elements!C826</f>
        <v>468</v>
      </c>
      <c r="C823">
        <v>825</v>
      </c>
      <c r="D823" s="128">
        <v>43101.003472164353</v>
      </c>
      <c r="E823" t="e">
        <f>VLOOKUP(VLOOKUP(B823,SuiteCatSubElem!$G$2:$G$667,2,0),'SA Q4 18 VR'!$A$33:$O$193,1+MATCH(VLOOKUP(A823,Vendors!$A$2:$B$15,2,0),'SA Q4 18 VR'!$B$24:$O$24,0),0)</f>
        <v>#REF!</v>
      </c>
      <c r="F823" s="27">
        <v>1</v>
      </c>
      <c r="G823">
        <f>RFI_Elements!N826</f>
        <v>825</v>
      </c>
      <c r="I823" t="e">
        <f>VLOOKUP(B823,SuiteCatSubElem!$G$2:$G$667,2,0)</f>
        <v>#REF!</v>
      </c>
    </row>
    <row r="824" spans="1:9">
      <c r="A824">
        <f>RFI_Elements!B827</f>
        <v>10</v>
      </c>
      <c r="B824">
        <f>RFI_Elements!C827</f>
        <v>469</v>
      </c>
      <c r="C824">
        <v>826</v>
      </c>
      <c r="D824" s="128">
        <v>43101.003472164353</v>
      </c>
      <c r="E824" t="e">
        <f>VLOOKUP(VLOOKUP(B824,SuiteCatSubElem!$G$2:$G$667,2,0),'SA Q4 18 VR'!$A$33:$O$193,1+MATCH(VLOOKUP(A824,Vendors!$A$2:$B$15,2,0),'SA Q4 18 VR'!$B$24:$O$24,0),0)</f>
        <v>#REF!</v>
      </c>
      <c r="F824" s="27">
        <v>1</v>
      </c>
      <c r="G824">
        <f>RFI_Elements!N827</f>
        <v>826</v>
      </c>
      <c r="I824" t="e">
        <f>VLOOKUP(B824,SuiteCatSubElem!$G$2:$G$667,2,0)</f>
        <v>#REF!</v>
      </c>
    </row>
    <row r="825" spans="1:9">
      <c r="A825">
        <f>RFI_Elements!B828</f>
        <v>10</v>
      </c>
      <c r="B825">
        <f>RFI_Elements!C828</f>
        <v>470</v>
      </c>
      <c r="C825">
        <v>827</v>
      </c>
      <c r="D825" s="128">
        <v>43101.003472164353</v>
      </c>
      <c r="E825" t="e">
        <f>VLOOKUP(VLOOKUP(B825,SuiteCatSubElem!$G$2:$G$667,2,0),'SA Q4 18 VR'!$A$33:$O$193,1+MATCH(VLOOKUP(A825,Vendors!$A$2:$B$15,2,0),'SA Q4 18 VR'!$B$24:$O$24,0),0)</f>
        <v>#REF!</v>
      </c>
      <c r="F825" s="27">
        <v>1</v>
      </c>
      <c r="G825">
        <f>RFI_Elements!N828</f>
        <v>827</v>
      </c>
      <c r="I825" t="e">
        <f>VLOOKUP(B825,SuiteCatSubElem!$G$2:$G$667,2,0)</f>
        <v>#REF!</v>
      </c>
    </row>
    <row r="826" spans="1:9">
      <c r="A826">
        <f>RFI_Elements!B829</f>
        <v>10</v>
      </c>
      <c r="B826">
        <f>RFI_Elements!C829</f>
        <v>471</v>
      </c>
      <c r="C826">
        <v>828</v>
      </c>
      <c r="D826" s="128">
        <v>43101.003472164353</v>
      </c>
      <c r="E826" t="e">
        <f>VLOOKUP(VLOOKUP(B826,SuiteCatSubElem!$G$2:$G$667,2,0),'SA Q4 18 VR'!$A$33:$O$193,1+MATCH(VLOOKUP(A826,Vendors!$A$2:$B$15,2,0),'SA Q4 18 VR'!$B$24:$O$24,0),0)</f>
        <v>#REF!</v>
      </c>
      <c r="F826" s="27">
        <v>1</v>
      </c>
      <c r="G826">
        <f>RFI_Elements!N829</f>
        <v>828</v>
      </c>
      <c r="I826" t="e">
        <f>VLOOKUP(B826,SuiteCatSubElem!$G$2:$G$667,2,0)</f>
        <v>#REF!</v>
      </c>
    </row>
    <row r="827" spans="1:9">
      <c r="A827">
        <f>RFI_Elements!B830</f>
        <v>10</v>
      </c>
      <c r="B827">
        <f>RFI_Elements!C830</f>
        <v>472</v>
      </c>
      <c r="C827">
        <v>829</v>
      </c>
      <c r="D827" s="128">
        <v>43101.003472164353</v>
      </c>
      <c r="E827" t="e">
        <f>VLOOKUP(VLOOKUP(B827,SuiteCatSubElem!$G$2:$G$667,2,0),'SA Q4 18 VR'!$A$33:$O$193,1+MATCH(VLOOKUP(A827,Vendors!$A$2:$B$15,2,0),'SA Q4 18 VR'!$B$24:$O$24,0),0)</f>
        <v>#REF!</v>
      </c>
      <c r="F827" s="27">
        <v>1</v>
      </c>
      <c r="G827">
        <f>RFI_Elements!N830</f>
        <v>829</v>
      </c>
      <c r="I827" t="e">
        <f>VLOOKUP(B827,SuiteCatSubElem!$G$2:$G$667,2,0)</f>
        <v>#REF!</v>
      </c>
    </row>
    <row r="828" spans="1:9">
      <c r="A828">
        <f>RFI_Elements!B831</f>
        <v>10</v>
      </c>
      <c r="B828">
        <f>RFI_Elements!C831</f>
        <v>473</v>
      </c>
      <c r="C828">
        <v>830</v>
      </c>
      <c r="D828" s="128">
        <v>43101.003472164353</v>
      </c>
      <c r="E828" t="e">
        <f>VLOOKUP(VLOOKUP(B828,SuiteCatSubElem!$G$2:$G$667,2,0),'SA Q4 18 VR'!$A$33:$O$193,1+MATCH(VLOOKUP(A828,Vendors!$A$2:$B$15,2,0),'SA Q4 18 VR'!$B$24:$O$24,0),0)</f>
        <v>#REF!</v>
      </c>
      <c r="F828" s="27">
        <v>1</v>
      </c>
      <c r="G828">
        <f>RFI_Elements!N831</f>
        <v>830</v>
      </c>
      <c r="I828" t="e">
        <f>VLOOKUP(B828,SuiteCatSubElem!$G$2:$G$667,2,0)</f>
        <v>#REF!</v>
      </c>
    </row>
    <row r="829" spans="1:9">
      <c r="A829">
        <f>RFI_Elements!B832</f>
        <v>10</v>
      </c>
      <c r="B829">
        <f>RFI_Elements!C832</f>
        <v>474</v>
      </c>
      <c r="C829">
        <v>831</v>
      </c>
      <c r="D829" s="128">
        <v>43101.003472164353</v>
      </c>
      <c r="E829" t="e">
        <f>VLOOKUP(VLOOKUP(B829,SuiteCatSubElem!$G$2:$G$667,2,0),'SA Q4 18 VR'!$A$33:$O$193,1+MATCH(VLOOKUP(A829,Vendors!$A$2:$B$15,2,0),'SA Q4 18 VR'!$B$24:$O$24,0),0)</f>
        <v>#REF!</v>
      </c>
      <c r="F829" s="27">
        <v>1</v>
      </c>
      <c r="G829">
        <f>RFI_Elements!N832</f>
        <v>831</v>
      </c>
      <c r="I829" t="e">
        <f>VLOOKUP(B829,SuiteCatSubElem!$G$2:$G$667,2,0)</f>
        <v>#REF!</v>
      </c>
    </row>
    <row r="830" spans="1:9">
      <c r="A830">
        <f>RFI_Elements!B833</f>
        <v>10</v>
      </c>
      <c r="B830">
        <f>RFI_Elements!C833</f>
        <v>475</v>
      </c>
      <c r="C830">
        <v>832</v>
      </c>
      <c r="D830" s="128">
        <v>43101.003472164353</v>
      </c>
      <c r="E830" t="e">
        <f>VLOOKUP(VLOOKUP(B830,SuiteCatSubElem!$G$2:$G$667,2,0),'SA Q4 18 VR'!$A$33:$O$193,1+MATCH(VLOOKUP(A830,Vendors!$A$2:$B$15,2,0),'SA Q4 18 VR'!$B$24:$O$24,0),0)</f>
        <v>#REF!</v>
      </c>
      <c r="F830" s="27">
        <v>1</v>
      </c>
      <c r="G830">
        <f>RFI_Elements!N833</f>
        <v>832</v>
      </c>
      <c r="I830" t="e">
        <f>VLOOKUP(B830,SuiteCatSubElem!$G$2:$G$667,2,0)</f>
        <v>#REF!</v>
      </c>
    </row>
    <row r="831" spans="1:9">
      <c r="A831">
        <f>RFI_Elements!B834</f>
        <v>10</v>
      </c>
      <c r="B831">
        <f>RFI_Elements!C834</f>
        <v>476</v>
      </c>
      <c r="C831">
        <v>833</v>
      </c>
      <c r="D831" s="128">
        <v>43101.003472164353</v>
      </c>
      <c r="E831" t="e">
        <f>VLOOKUP(VLOOKUP(B831,SuiteCatSubElem!$G$2:$G$667,2,0),'SA Q4 18 VR'!$A$33:$O$193,1+MATCH(VLOOKUP(A831,Vendors!$A$2:$B$15,2,0),'SA Q4 18 VR'!$B$24:$O$24,0),0)</f>
        <v>#REF!</v>
      </c>
      <c r="F831" s="27">
        <v>1</v>
      </c>
      <c r="G831">
        <f>RFI_Elements!N834</f>
        <v>833</v>
      </c>
      <c r="I831" t="e">
        <f>VLOOKUP(B831,SuiteCatSubElem!$G$2:$G$667,2,0)</f>
        <v>#REF!</v>
      </c>
    </row>
    <row r="832" spans="1:9">
      <c r="A832">
        <f>RFI_Elements!B835</f>
        <v>10</v>
      </c>
      <c r="B832">
        <f>RFI_Elements!C835</f>
        <v>477</v>
      </c>
      <c r="C832">
        <v>834</v>
      </c>
      <c r="D832" s="128">
        <v>43101.003472164353</v>
      </c>
      <c r="E832" t="e">
        <f>VLOOKUP(VLOOKUP(B832,SuiteCatSubElem!$G$2:$G$667,2,0),'SA Q4 18 VR'!$A$33:$O$193,1+MATCH(VLOOKUP(A832,Vendors!$A$2:$B$15,2,0),'SA Q4 18 VR'!$B$24:$O$24,0),0)</f>
        <v>#REF!</v>
      </c>
      <c r="F832" s="27">
        <v>1</v>
      </c>
      <c r="G832">
        <f>RFI_Elements!N835</f>
        <v>834</v>
      </c>
      <c r="I832" t="e">
        <f>VLOOKUP(B832,SuiteCatSubElem!$G$2:$G$667,2,0)</f>
        <v>#REF!</v>
      </c>
    </row>
    <row r="833" spans="1:9">
      <c r="A833">
        <f>RFI_Elements!B836</f>
        <v>10</v>
      </c>
      <c r="B833">
        <f>RFI_Elements!C836</f>
        <v>478</v>
      </c>
      <c r="C833">
        <v>835</v>
      </c>
      <c r="D833" s="128">
        <v>43101.003472164353</v>
      </c>
      <c r="E833" t="e">
        <f>VLOOKUP(VLOOKUP(B833,SuiteCatSubElem!$G$2:$G$667,2,0),'SA Q4 18 VR'!$A$33:$O$193,1+MATCH(VLOOKUP(A833,Vendors!$A$2:$B$15,2,0),'SA Q4 18 VR'!$B$24:$O$24,0),0)</f>
        <v>#REF!</v>
      </c>
      <c r="F833" s="27">
        <v>1</v>
      </c>
      <c r="G833">
        <f>RFI_Elements!N836</f>
        <v>835</v>
      </c>
      <c r="I833" t="e">
        <f>VLOOKUP(B833,SuiteCatSubElem!$G$2:$G$667,2,0)</f>
        <v>#REF!</v>
      </c>
    </row>
    <row r="834" spans="1:9">
      <c r="A834">
        <f>RFI_Elements!B837</f>
        <v>10</v>
      </c>
      <c r="B834">
        <f>RFI_Elements!C837</f>
        <v>479</v>
      </c>
      <c r="C834">
        <v>836</v>
      </c>
      <c r="D834" s="128">
        <v>43101.003472164353</v>
      </c>
      <c r="E834" t="e">
        <f>VLOOKUP(VLOOKUP(B834,SuiteCatSubElem!$G$2:$G$667,2,0),'SA Q4 18 VR'!$A$33:$O$193,1+MATCH(VLOOKUP(A834,Vendors!$A$2:$B$15,2,0),'SA Q4 18 VR'!$B$24:$O$24,0),0)</f>
        <v>#REF!</v>
      </c>
      <c r="F834" s="27">
        <v>1</v>
      </c>
      <c r="G834">
        <f>RFI_Elements!N837</f>
        <v>836</v>
      </c>
      <c r="I834" t="e">
        <f>VLOOKUP(B834,SuiteCatSubElem!$G$2:$G$667,2,0)</f>
        <v>#REF!</v>
      </c>
    </row>
    <row r="835" spans="1:9">
      <c r="A835">
        <f>RFI_Elements!B838</f>
        <v>10</v>
      </c>
      <c r="B835">
        <f>RFI_Elements!C838</f>
        <v>480</v>
      </c>
      <c r="C835">
        <v>837</v>
      </c>
      <c r="D835" s="128">
        <v>43101.003472164353</v>
      </c>
      <c r="E835" t="e">
        <f>VLOOKUP(VLOOKUP(B835,SuiteCatSubElem!$G$2:$G$667,2,0),'SA Q4 18 VR'!$A$33:$O$193,1+MATCH(VLOOKUP(A835,Vendors!$A$2:$B$15,2,0),'SA Q4 18 VR'!$B$24:$O$24,0),0)</f>
        <v>#REF!</v>
      </c>
      <c r="F835" s="27">
        <v>1</v>
      </c>
      <c r="G835">
        <f>RFI_Elements!N838</f>
        <v>837</v>
      </c>
      <c r="I835" t="e">
        <f>VLOOKUP(B835,SuiteCatSubElem!$G$2:$G$667,2,0)</f>
        <v>#REF!</v>
      </c>
    </row>
    <row r="836" spans="1:9">
      <c r="A836">
        <f>RFI_Elements!B839</f>
        <v>10</v>
      </c>
      <c r="B836">
        <f>RFI_Elements!C839</f>
        <v>481</v>
      </c>
      <c r="C836">
        <v>838</v>
      </c>
      <c r="D836" s="128">
        <v>43101.003472164353</v>
      </c>
      <c r="E836" t="e">
        <f>VLOOKUP(VLOOKUP(B836,SuiteCatSubElem!$G$2:$G$667,2,0),'SA Q4 18 VR'!$A$33:$O$193,1+MATCH(VLOOKUP(A836,Vendors!$A$2:$B$15,2,0),'SA Q4 18 VR'!$B$24:$O$24,0),0)</f>
        <v>#REF!</v>
      </c>
      <c r="F836" s="27">
        <v>1</v>
      </c>
      <c r="G836">
        <f>RFI_Elements!N839</f>
        <v>838</v>
      </c>
      <c r="I836" t="e">
        <f>VLOOKUP(B836,SuiteCatSubElem!$G$2:$G$667,2,0)</f>
        <v>#REF!</v>
      </c>
    </row>
    <row r="837" spans="1:9">
      <c r="A837">
        <f>RFI_Elements!B840</f>
        <v>10</v>
      </c>
      <c r="B837">
        <f>RFI_Elements!C840</f>
        <v>482</v>
      </c>
      <c r="C837">
        <v>839</v>
      </c>
      <c r="D837" s="128">
        <v>43101.003472164353</v>
      </c>
      <c r="E837" t="e">
        <f>VLOOKUP(VLOOKUP(B837,SuiteCatSubElem!$G$2:$G$667,2,0),'SA Q4 18 VR'!$A$33:$O$193,1+MATCH(VLOOKUP(A837,Vendors!$A$2:$B$15,2,0),'SA Q4 18 VR'!$B$24:$O$24,0),0)</f>
        <v>#REF!</v>
      </c>
      <c r="F837" s="27">
        <v>1</v>
      </c>
      <c r="G837">
        <f>RFI_Elements!N840</f>
        <v>839</v>
      </c>
      <c r="I837" t="e">
        <f>VLOOKUP(B837,SuiteCatSubElem!$G$2:$G$667,2,0)</f>
        <v>#REF!</v>
      </c>
    </row>
    <row r="838" spans="1:9">
      <c r="A838">
        <f>RFI_Elements!B841</f>
        <v>10</v>
      </c>
      <c r="B838">
        <f>RFI_Elements!C841</f>
        <v>483</v>
      </c>
      <c r="C838">
        <v>840</v>
      </c>
      <c r="D838" s="128">
        <v>43101.003472164353</v>
      </c>
      <c r="E838" t="e">
        <f>VLOOKUP(VLOOKUP(B838,SuiteCatSubElem!$G$2:$G$667,2,0),'SA Q4 18 VR'!$A$33:$O$193,1+MATCH(VLOOKUP(A838,Vendors!$A$2:$B$15,2,0),'SA Q4 18 VR'!$B$24:$O$24,0),0)</f>
        <v>#REF!</v>
      </c>
      <c r="F838" s="27">
        <v>1</v>
      </c>
      <c r="G838">
        <f>RFI_Elements!N841</f>
        <v>840</v>
      </c>
      <c r="I838" t="e">
        <f>VLOOKUP(B838,SuiteCatSubElem!$G$2:$G$667,2,0)</f>
        <v>#REF!</v>
      </c>
    </row>
    <row r="839" spans="1:9">
      <c r="A839">
        <f>RFI_Elements!B842</f>
        <v>10</v>
      </c>
      <c r="B839">
        <f>RFI_Elements!C842</f>
        <v>484</v>
      </c>
      <c r="C839">
        <v>841</v>
      </c>
      <c r="D839" s="128">
        <v>43101.003472164353</v>
      </c>
      <c r="E839" t="e">
        <f>VLOOKUP(VLOOKUP(B839,SuiteCatSubElem!$G$2:$G$667,2,0),'SA Q4 18 VR'!$A$33:$O$193,1+MATCH(VLOOKUP(A839,Vendors!$A$2:$B$15,2,0),'SA Q4 18 VR'!$B$24:$O$24,0),0)</f>
        <v>#REF!</v>
      </c>
      <c r="F839" s="27">
        <v>1</v>
      </c>
      <c r="G839">
        <f>RFI_Elements!N842</f>
        <v>841</v>
      </c>
      <c r="I839" t="e">
        <f>VLOOKUP(B839,SuiteCatSubElem!$G$2:$G$667,2,0)</f>
        <v>#REF!</v>
      </c>
    </row>
    <row r="840" spans="1:9">
      <c r="A840">
        <f>RFI_Elements!B843</f>
        <v>10</v>
      </c>
      <c r="B840">
        <f>RFI_Elements!C843</f>
        <v>485</v>
      </c>
      <c r="C840">
        <v>842</v>
      </c>
      <c r="D840" s="128">
        <v>43101.003472164353</v>
      </c>
      <c r="E840" t="e">
        <f>VLOOKUP(VLOOKUP(B840,SuiteCatSubElem!$G$2:$G$667,2,0),'SA Q4 18 VR'!$A$33:$O$193,1+MATCH(VLOOKUP(A840,Vendors!$A$2:$B$15,2,0),'SA Q4 18 VR'!$B$24:$O$24,0),0)</f>
        <v>#REF!</v>
      </c>
      <c r="F840" s="27">
        <v>1</v>
      </c>
      <c r="G840">
        <f>RFI_Elements!N843</f>
        <v>842</v>
      </c>
      <c r="I840" t="e">
        <f>VLOOKUP(B840,SuiteCatSubElem!$G$2:$G$667,2,0)</f>
        <v>#REF!</v>
      </c>
    </row>
    <row r="841" spans="1:9">
      <c r="A841">
        <f>RFI_Elements!B844</f>
        <v>10</v>
      </c>
      <c r="B841">
        <f>RFI_Elements!C844</f>
        <v>486</v>
      </c>
      <c r="C841">
        <v>843</v>
      </c>
      <c r="D841" s="128">
        <v>43101.003472164353</v>
      </c>
      <c r="E841" t="e">
        <f>VLOOKUP(VLOOKUP(B841,SuiteCatSubElem!$G$2:$G$667,2,0),'SA Q4 18 VR'!$A$33:$O$193,1+MATCH(VLOOKUP(A841,Vendors!$A$2:$B$15,2,0),'SA Q4 18 VR'!$B$24:$O$24,0),0)</f>
        <v>#REF!</v>
      </c>
      <c r="F841" s="27">
        <v>1</v>
      </c>
      <c r="G841">
        <f>RFI_Elements!N844</f>
        <v>843</v>
      </c>
      <c r="I841" t="e">
        <f>VLOOKUP(B841,SuiteCatSubElem!$G$2:$G$667,2,0)</f>
        <v>#REF!</v>
      </c>
    </row>
    <row r="842" spans="1:9">
      <c r="A842">
        <f>RFI_Elements!B845</f>
        <v>10</v>
      </c>
      <c r="B842">
        <f>RFI_Elements!C845</f>
        <v>487</v>
      </c>
      <c r="C842">
        <v>844</v>
      </c>
      <c r="D842" s="128">
        <v>43101.003472164353</v>
      </c>
      <c r="E842" t="e">
        <f>VLOOKUP(VLOOKUP(B842,SuiteCatSubElem!$G$2:$G$667,2,0),'SA Q4 18 VR'!$A$33:$O$193,1+MATCH(VLOOKUP(A842,Vendors!$A$2:$B$15,2,0),'SA Q4 18 VR'!$B$24:$O$24,0),0)</f>
        <v>#REF!</v>
      </c>
      <c r="F842" s="27">
        <v>1</v>
      </c>
      <c r="G842">
        <f>RFI_Elements!N845</f>
        <v>844</v>
      </c>
      <c r="I842" t="e">
        <f>VLOOKUP(B842,SuiteCatSubElem!$G$2:$G$667,2,0)</f>
        <v>#REF!</v>
      </c>
    </row>
    <row r="843" spans="1:9">
      <c r="A843">
        <f>RFI_Elements!B846</f>
        <v>10</v>
      </c>
      <c r="B843">
        <f>RFI_Elements!C846</f>
        <v>488</v>
      </c>
      <c r="C843">
        <v>845</v>
      </c>
      <c r="D843" s="128">
        <v>43101.003472164353</v>
      </c>
      <c r="E843" t="e">
        <f>VLOOKUP(VLOOKUP(B843,SuiteCatSubElem!$G$2:$G$667,2,0),'SA Q4 18 VR'!$A$33:$O$193,1+MATCH(VLOOKUP(A843,Vendors!$A$2:$B$15,2,0),'SA Q4 18 VR'!$B$24:$O$24,0),0)</f>
        <v>#REF!</v>
      </c>
      <c r="F843" s="27">
        <v>1</v>
      </c>
      <c r="G843">
        <f>RFI_Elements!N846</f>
        <v>845</v>
      </c>
      <c r="I843" t="e">
        <f>VLOOKUP(B843,SuiteCatSubElem!$G$2:$G$667,2,0)</f>
        <v>#REF!</v>
      </c>
    </row>
    <row r="844" spans="1:9">
      <c r="A844">
        <f>RFI_Elements!B847</f>
        <v>10</v>
      </c>
      <c r="B844">
        <f>RFI_Elements!C847</f>
        <v>489</v>
      </c>
      <c r="C844">
        <v>846</v>
      </c>
      <c r="D844" s="128">
        <v>43101.003472164353</v>
      </c>
      <c r="E844" t="e">
        <f>VLOOKUP(VLOOKUP(B844,SuiteCatSubElem!$G$2:$G$667,2,0),'SA Q4 18 VR'!$A$33:$O$193,1+MATCH(VLOOKUP(A844,Vendors!$A$2:$B$15,2,0),'SA Q4 18 VR'!$B$24:$O$24,0),0)</f>
        <v>#REF!</v>
      </c>
      <c r="F844" s="27">
        <v>1</v>
      </c>
      <c r="G844">
        <f>RFI_Elements!N847</f>
        <v>846</v>
      </c>
      <c r="I844" t="e">
        <f>VLOOKUP(B844,SuiteCatSubElem!$G$2:$G$667,2,0)</f>
        <v>#REF!</v>
      </c>
    </row>
    <row r="845" spans="1:9">
      <c r="A845">
        <f>RFI_Elements!B848</f>
        <v>10</v>
      </c>
      <c r="B845">
        <f>RFI_Elements!C848</f>
        <v>490</v>
      </c>
      <c r="C845">
        <v>847</v>
      </c>
      <c r="D845" s="128">
        <v>43101.003472164353</v>
      </c>
      <c r="E845" t="e">
        <f>VLOOKUP(VLOOKUP(B845,SuiteCatSubElem!$G$2:$G$667,2,0),'SA Q4 18 VR'!$A$33:$O$193,1+MATCH(VLOOKUP(A845,Vendors!$A$2:$B$15,2,0),'SA Q4 18 VR'!$B$24:$O$24,0),0)</f>
        <v>#REF!</v>
      </c>
      <c r="F845" s="27">
        <v>1</v>
      </c>
      <c r="G845">
        <f>RFI_Elements!N848</f>
        <v>847</v>
      </c>
      <c r="I845" t="e">
        <f>VLOOKUP(B845,SuiteCatSubElem!$G$2:$G$667,2,0)</f>
        <v>#REF!</v>
      </c>
    </row>
    <row r="846" spans="1:9">
      <c r="A846">
        <f>RFI_Elements!B849</f>
        <v>10</v>
      </c>
      <c r="B846">
        <f>RFI_Elements!C849</f>
        <v>491</v>
      </c>
      <c r="C846">
        <v>848</v>
      </c>
      <c r="D846" s="128">
        <v>43101.003472164353</v>
      </c>
      <c r="E846" t="e">
        <f>VLOOKUP(VLOOKUP(B846,SuiteCatSubElem!$G$2:$G$667,2,0),'SA Q4 18 VR'!$A$33:$O$193,1+MATCH(VLOOKUP(A846,Vendors!$A$2:$B$15,2,0),'SA Q4 18 VR'!$B$24:$O$24,0),0)</f>
        <v>#REF!</v>
      </c>
      <c r="F846" s="27">
        <v>1</v>
      </c>
      <c r="G846">
        <f>RFI_Elements!N849</f>
        <v>848</v>
      </c>
      <c r="I846" t="e">
        <f>VLOOKUP(B846,SuiteCatSubElem!$G$2:$G$667,2,0)</f>
        <v>#REF!</v>
      </c>
    </row>
    <row r="847" spans="1:9">
      <c r="A847">
        <f>RFI_Elements!B850</f>
        <v>10</v>
      </c>
      <c r="B847">
        <f>RFI_Elements!C850</f>
        <v>492</v>
      </c>
      <c r="C847">
        <v>849</v>
      </c>
      <c r="D847" s="128">
        <v>43101.003472164353</v>
      </c>
      <c r="E847" t="e">
        <f>VLOOKUP(VLOOKUP(B847,SuiteCatSubElem!$G$2:$G$667,2,0),'SA Q4 18 VR'!$A$33:$O$193,1+MATCH(VLOOKUP(A847,Vendors!$A$2:$B$15,2,0),'SA Q4 18 VR'!$B$24:$O$24,0),0)</f>
        <v>#REF!</v>
      </c>
      <c r="F847" s="27">
        <v>1</v>
      </c>
      <c r="G847">
        <f>RFI_Elements!N850</f>
        <v>849</v>
      </c>
      <c r="I847" t="e">
        <f>VLOOKUP(B847,SuiteCatSubElem!$G$2:$G$667,2,0)</f>
        <v>#REF!</v>
      </c>
    </row>
    <row r="848" spans="1:9">
      <c r="A848">
        <f>RFI_Elements!B851</f>
        <v>10</v>
      </c>
      <c r="B848">
        <f>RFI_Elements!C851</f>
        <v>493</v>
      </c>
      <c r="C848">
        <v>850</v>
      </c>
      <c r="D848" s="128">
        <v>43101.003472164353</v>
      </c>
      <c r="E848" t="e">
        <f>VLOOKUP(VLOOKUP(B848,SuiteCatSubElem!$G$2:$G$667,2,0),'SA Q4 18 VR'!$A$33:$O$193,1+MATCH(VLOOKUP(A848,Vendors!$A$2:$B$15,2,0),'SA Q4 18 VR'!$B$24:$O$24,0),0)</f>
        <v>#REF!</v>
      </c>
      <c r="F848" s="27">
        <v>1</v>
      </c>
      <c r="G848">
        <f>RFI_Elements!N851</f>
        <v>850</v>
      </c>
      <c r="I848" t="e">
        <f>VLOOKUP(B848,SuiteCatSubElem!$G$2:$G$667,2,0)</f>
        <v>#REF!</v>
      </c>
    </row>
    <row r="849" spans="1:9">
      <c r="A849">
        <f>RFI_Elements!B852</f>
        <v>11</v>
      </c>
      <c r="B849">
        <f>RFI_Elements!C852</f>
        <v>409</v>
      </c>
      <c r="C849">
        <v>851</v>
      </c>
      <c r="D849" s="128">
        <v>43101.003472164353</v>
      </c>
      <c r="E849" t="e">
        <f>VLOOKUP(VLOOKUP(B849,SuiteCatSubElem!$G$2:$G$667,2,0),'SA Q4 18 VR'!$A$33:$O$193,1+MATCH(VLOOKUP(A849,Vendors!$A$2:$B$15,2,0),'SA Q4 18 VR'!$B$24:$O$24,0),0)</f>
        <v>#REF!</v>
      </c>
      <c r="F849" s="27">
        <v>1</v>
      </c>
      <c r="G849">
        <f>RFI_Elements!N852</f>
        <v>851</v>
      </c>
      <c r="I849" t="e">
        <f>VLOOKUP(B849,SuiteCatSubElem!$G$2:$G$667,2,0)</f>
        <v>#REF!</v>
      </c>
    </row>
    <row r="850" spans="1:9">
      <c r="A850">
        <f>RFI_Elements!B853</f>
        <v>11</v>
      </c>
      <c r="B850">
        <f>RFI_Elements!C853</f>
        <v>410</v>
      </c>
      <c r="C850">
        <v>852</v>
      </c>
      <c r="D850" s="128">
        <v>43101.003472164353</v>
      </c>
      <c r="E850" t="e">
        <f>VLOOKUP(VLOOKUP(B850,SuiteCatSubElem!$G$2:$G$667,2,0),'SA Q4 18 VR'!$A$33:$O$193,1+MATCH(VLOOKUP(A850,Vendors!$A$2:$B$15,2,0),'SA Q4 18 VR'!$B$24:$O$24,0),0)</f>
        <v>#REF!</v>
      </c>
      <c r="F850" s="27">
        <v>1</v>
      </c>
      <c r="G850">
        <f>RFI_Elements!N853</f>
        <v>852</v>
      </c>
      <c r="I850" t="e">
        <f>VLOOKUP(B850,SuiteCatSubElem!$G$2:$G$667,2,0)</f>
        <v>#REF!</v>
      </c>
    </row>
    <row r="851" spans="1:9">
      <c r="A851">
        <f>RFI_Elements!B854</f>
        <v>11</v>
      </c>
      <c r="B851">
        <f>RFI_Elements!C854</f>
        <v>411</v>
      </c>
      <c r="C851">
        <v>853</v>
      </c>
      <c r="D851" s="128">
        <v>43101.003472164353</v>
      </c>
      <c r="E851" t="e">
        <f>VLOOKUP(VLOOKUP(B851,SuiteCatSubElem!$G$2:$G$667,2,0),'SA Q4 18 VR'!$A$33:$O$193,1+MATCH(VLOOKUP(A851,Vendors!$A$2:$B$15,2,0),'SA Q4 18 VR'!$B$24:$O$24,0),0)</f>
        <v>#REF!</v>
      </c>
      <c r="F851" s="27">
        <v>1</v>
      </c>
      <c r="G851">
        <f>RFI_Elements!N854</f>
        <v>853</v>
      </c>
      <c r="I851" t="e">
        <f>VLOOKUP(B851,SuiteCatSubElem!$G$2:$G$667,2,0)</f>
        <v>#REF!</v>
      </c>
    </row>
    <row r="852" spans="1:9">
      <c r="A852">
        <f>RFI_Elements!B855</f>
        <v>11</v>
      </c>
      <c r="B852">
        <f>RFI_Elements!C855</f>
        <v>412</v>
      </c>
      <c r="C852">
        <v>854</v>
      </c>
      <c r="D852" s="128">
        <v>43101.003472164353</v>
      </c>
      <c r="E852" t="e">
        <f>VLOOKUP(VLOOKUP(B852,SuiteCatSubElem!$G$2:$G$667,2,0),'SA Q4 18 VR'!$A$33:$O$193,1+MATCH(VLOOKUP(A852,Vendors!$A$2:$B$15,2,0),'SA Q4 18 VR'!$B$24:$O$24,0),0)</f>
        <v>#REF!</v>
      </c>
      <c r="F852" s="27">
        <v>1</v>
      </c>
      <c r="G852">
        <f>RFI_Elements!N855</f>
        <v>854</v>
      </c>
      <c r="I852" t="e">
        <f>VLOOKUP(B852,SuiteCatSubElem!$G$2:$G$667,2,0)</f>
        <v>#REF!</v>
      </c>
    </row>
    <row r="853" spans="1:9">
      <c r="A853">
        <f>RFI_Elements!B856</f>
        <v>11</v>
      </c>
      <c r="B853">
        <f>RFI_Elements!C856</f>
        <v>413</v>
      </c>
      <c r="C853">
        <v>855</v>
      </c>
      <c r="D853" s="128">
        <v>43101.003472164353</v>
      </c>
      <c r="E853" t="e">
        <f>VLOOKUP(VLOOKUP(B853,SuiteCatSubElem!$G$2:$G$667,2,0),'SA Q4 18 VR'!$A$33:$O$193,1+MATCH(VLOOKUP(A853,Vendors!$A$2:$B$15,2,0),'SA Q4 18 VR'!$B$24:$O$24,0),0)</f>
        <v>#REF!</v>
      </c>
      <c r="F853" s="27">
        <v>1</v>
      </c>
      <c r="G853">
        <f>RFI_Elements!N856</f>
        <v>855</v>
      </c>
      <c r="I853" t="e">
        <f>VLOOKUP(B853,SuiteCatSubElem!$G$2:$G$667,2,0)</f>
        <v>#REF!</v>
      </c>
    </row>
    <row r="854" spans="1:9">
      <c r="A854">
        <f>RFI_Elements!B857</f>
        <v>11</v>
      </c>
      <c r="B854">
        <f>RFI_Elements!C857</f>
        <v>414</v>
      </c>
      <c r="C854">
        <v>856</v>
      </c>
      <c r="D854" s="128">
        <v>43101.003472164353</v>
      </c>
      <c r="E854" t="e">
        <f>VLOOKUP(VLOOKUP(B854,SuiteCatSubElem!$G$2:$G$667,2,0),'SA Q4 18 VR'!$A$33:$O$193,1+MATCH(VLOOKUP(A854,Vendors!$A$2:$B$15,2,0),'SA Q4 18 VR'!$B$24:$O$24,0),0)</f>
        <v>#REF!</v>
      </c>
      <c r="F854" s="27">
        <v>1</v>
      </c>
      <c r="G854">
        <f>RFI_Elements!N857</f>
        <v>856</v>
      </c>
      <c r="I854" t="e">
        <f>VLOOKUP(B854,SuiteCatSubElem!$G$2:$G$667,2,0)</f>
        <v>#REF!</v>
      </c>
    </row>
    <row r="855" spans="1:9">
      <c r="A855">
        <f>RFI_Elements!B858</f>
        <v>11</v>
      </c>
      <c r="B855">
        <f>RFI_Elements!C858</f>
        <v>415</v>
      </c>
      <c r="C855">
        <v>857</v>
      </c>
      <c r="D855" s="128">
        <v>43101.003472164353</v>
      </c>
      <c r="E855" t="e">
        <f>VLOOKUP(VLOOKUP(B855,SuiteCatSubElem!$G$2:$G$667,2,0),'SA Q4 18 VR'!$A$33:$O$193,1+MATCH(VLOOKUP(A855,Vendors!$A$2:$B$15,2,0),'SA Q4 18 VR'!$B$24:$O$24,0),0)</f>
        <v>#REF!</v>
      </c>
      <c r="F855" s="27">
        <v>1</v>
      </c>
      <c r="G855">
        <f>RFI_Elements!N858</f>
        <v>857</v>
      </c>
      <c r="I855" t="e">
        <f>VLOOKUP(B855,SuiteCatSubElem!$G$2:$G$667,2,0)</f>
        <v>#REF!</v>
      </c>
    </row>
    <row r="856" spans="1:9">
      <c r="A856">
        <f>RFI_Elements!B859</f>
        <v>11</v>
      </c>
      <c r="B856">
        <f>RFI_Elements!C859</f>
        <v>416</v>
      </c>
      <c r="C856">
        <v>858</v>
      </c>
      <c r="D856" s="128">
        <v>43101.003472164353</v>
      </c>
      <c r="E856" t="e">
        <f>VLOOKUP(VLOOKUP(B856,SuiteCatSubElem!$G$2:$G$667,2,0),'SA Q4 18 VR'!$A$33:$O$193,1+MATCH(VLOOKUP(A856,Vendors!$A$2:$B$15,2,0),'SA Q4 18 VR'!$B$24:$O$24,0),0)</f>
        <v>#REF!</v>
      </c>
      <c r="F856" s="27">
        <v>1</v>
      </c>
      <c r="G856">
        <f>RFI_Elements!N859</f>
        <v>858</v>
      </c>
      <c r="I856" t="e">
        <f>VLOOKUP(B856,SuiteCatSubElem!$G$2:$G$667,2,0)</f>
        <v>#REF!</v>
      </c>
    </row>
    <row r="857" spans="1:9">
      <c r="A857">
        <f>RFI_Elements!B860</f>
        <v>11</v>
      </c>
      <c r="B857">
        <f>RFI_Elements!C860</f>
        <v>417</v>
      </c>
      <c r="C857">
        <v>859</v>
      </c>
      <c r="D857" s="128">
        <v>43101.003472164353</v>
      </c>
      <c r="E857" t="e">
        <f>VLOOKUP(VLOOKUP(B857,SuiteCatSubElem!$G$2:$G$667,2,0),'SA Q4 18 VR'!$A$33:$O$193,1+MATCH(VLOOKUP(A857,Vendors!$A$2:$B$15,2,0),'SA Q4 18 VR'!$B$24:$O$24,0),0)</f>
        <v>#REF!</v>
      </c>
      <c r="F857" s="27">
        <v>1</v>
      </c>
      <c r="G857">
        <f>RFI_Elements!N860</f>
        <v>859</v>
      </c>
      <c r="I857" t="e">
        <f>VLOOKUP(B857,SuiteCatSubElem!$G$2:$G$667,2,0)</f>
        <v>#REF!</v>
      </c>
    </row>
    <row r="858" spans="1:9">
      <c r="A858">
        <f>RFI_Elements!B861</f>
        <v>11</v>
      </c>
      <c r="B858">
        <f>RFI_Elements!C861</f>
        <v>418</v>
      </c>
      <c r="C858">
        <v>860</v>
      </c>
      <c r="D858" s="128">
        <v>43101.003472164353</v>
      </c>
      <c r="E858" t="e">
        <f>VLOOKUP(VLOOKUP(B858,SuiteCatSubElem!$G$2:$G$667,2,0),'SA Q4 18 VR'!$A$33:$O$193,1+MATCH(VLOOKUP(A858,Vendors!$A$2:$B$15,2,0),'SA Q4 18 VR'!$B$24:$O$24,0),0)</f>
        <v>#REF!</v>
      </c>
      <c r="F858" s="27">
        <v>1</v>
      </c>
      <c r="G858">
        <f>RFI_Elements!N861</f>
        <v>860</v>
      </c>
      <c r="I858" t="e">
        <f>VLOOKUP(B858,SuiteCatSubElem!$G$2:$G$667,2,0)</f>
        <v>#REF!</v>
      </c>
    </row>
    <row r="859" spans="1:9">
      <c r="A859">
        <f>RFI_Elements!B862</f>
        <v>11</v>
      </c>
      <c r="B859">
        <f>RFI_Elements!C862</f>
        <v>419</v>
      </c>
      <c r="C859">
        <v>861</v>
      </c>
      <c r="D859" s="128">
        <v>43101.003472164353</v>
      </c>
      <c r="E859" t="e">
        <f>VLOOKUP(VLOOKUP(B859,SuiteCatSubElem!$G$2:$G$667,2,0),'SA Q4 18 VR'!$A$33:$O$193,1+MATCH(VLOOKUP(A859,Vendors!$A$2:$B$15,2,0),'SA Q4 18 VR'!$B$24:$O$24,0),0)</f>
        <v>#REF!</v>
      </c>
      <c r="F859" s="27">
        <v>1</v>
      </c>
      <c r="G859">
        <f>RFI_Elements!N862</f>
        <v>861</v>
      </c>
      <c r="I859" t="e">
        <f>VLOOKUP(B859,SuiteCatSubElem!$G$2:$G$667,2,0)</f>
        <v>#REF!</v>
      </c>
    </row>
    <row r="860" spans="1:9">
      <c r="A860">
        <f>RFI_Elements!B863</f>
        <v>11</v>
      </c>
      <c r="B860">
        <f>RFI_Elements!C863</f>
        <v>420</v>
      </c>
      <c r="C860">
        <v>862</v>
      </c>
      <c r="D860" s="128">
        <v>43101.003472164353</v>
      </c>
      <c r="E860" t="e">
        <f>VLOOKUP(VLOOKUP(B860,SuiteCatSubElem!$G$2:$G$667,2,0),'SA Q4 18 VR'!$A$33:$O$193,1+MATCH(VLOOKUP(A860,Vendors!$A$2:$B$15,2,0),'SA Q4 18 VR'!$B$24:$O$24,0),0)</f>
        <v>#REF!</v>
      </c>
      <c r="F860" s="27">
        <v>1</v>
      </c>
      <c r="G860">
        <f>RFI_Elements!N863</f>
        <v>862</v>
      </c>
      <c r="I860" t="e">
        <f>VLOOKUP(B860,SuiteCatSubElem!$G$2:$G$667,2,0)</f>
        <v>#REF!</v>
      </c>
    </row>
    <row r="861" spans="1:9">
      <c r="A861">
        <f>RFI_Elements!B864</f>
        <v>11</v>
      </c>
      <c r="B861">
        <f>RFI_Elements!C864</f>
        <v>421</v>
      </c>
      <c r="C861">
        <v>863</v>
      </c>
      <c r="D861" s="128">
        <v>43101.003472164353</v>
      </c>
      <c r="E861" t="e">
        <f>VLOOKUP(VLOOKUP(B861,SuiteCatSubElem!$G$2:$G$667,2,0),'SA Q4 18 VR'!$A$33:$O$193,1+MATCH(VLOOKUP(A861,Vendors!$A$2:$B$15,2,0),'SA Q4 18 VR'!$B$24:$O$24,0),0)</f>
        <v>#REF!</v>
      </c>
      <c r="F861" s="27">
        <v>1</v>
      </c>
      <c r="G861">
        <f>RFI_Elements!N864</f>
        <v>863</v>
      </c>
      <c r="I861" t="e">
        <f>VLOOKUP(B861,SuiteCatSubElem!$G$2:$G$667,2,0)</f>
        <v>#REF!</v>
      </c>
    </row>
    <row r="862" spans="1:9">
      <c r="A862">
        <f>RFI_Elements!B865</f>
        <v>11</v>
      </c>
      <c r="B862">
        <f>RFI_Elements!C865</f>
        <v>422</v>
      </c>
      <c r="C862">
        <v>864</v>
      </c>
      <c r="D862" s="128">
        <v>43101.003472164353</v>
      </c>
      <c r="E862" t="e">
        <f>VLOOKUP(VLOOKUP(B862,SuiteCatSubElem!$G$2:$G$667,2,0),'SA Q4 18 VR'!$A$33:$O$193,1+MATCH(VLOOKUP(A862,Vendors!$A$2:$B$15,2,0),'SA Q4 18 VR'!$B$24:$O$24,0),0)</f>
        <v>#REF!</v>
      </c>
      <c r="F862" s="27">
        <v>1</v>
      </c>
      <c r="G862">
        <f>RFI_Elements!N865</f>
        <v>864</v>
      </c>
      <c r="I862" t="e">
        <f>VLOOKUP(B862,SuiteCatSubElem!$G$2:$G$667,2,0)</f>
        <v>#REF!</v>
      </c>
    </row>
    <row r="863" spans="1:9">
      <c r="A863">
        <f>RFI_Elements!B866</f>
        <v>11</v>
      </c>
      <c r="B863">
        <f>RFI_Elements!C866</f>
        <v>423</v>
      </c>
      <c r="C863">
        <v>865</v>
      </c>
      <c r="D863" s="128">
        <v>43101.003472164353</v>
      </c>
      <c r="E863" t="e">
        <f>VLOOKUP(VLOOKUP(B863,SuiteCatSubElem!$G$2:$G$667,2,0),'SA Q4 18 VR'!$A$33:$O$193,1+MATCH(VLOOKUP(A863,Vendors!$A$2:$B$15,2,0),'SA Q4 18 VR'!$B$24:$O$24,0),0)</f>
        <v>#REF!</v>
      </c>
      <c r="F863" s="27">
        <v>1</v>
      </c>
      <c r="G863">
        <f>RFI_Elements!N866</f>
        <v>865</v>
      </c>
      <c r="I863" t="e">
        <f>VLOOKUP(B863,SuiteCatSubElem!$G$2:$G$667,2,0)</f>
        <v>#REF!</v>
      </c>
    </row>
    <row r="864" spans="1:9">
      <c r="A864">
        <f>RFI_Elements!B867</f>
        <v>11</v>
      </c>
      <c r="B864">
        <f>RFI_Elements!C867</f>
        <v>424</v>
      </c>
      <c r="C864">
        <v>866</v>
      </c>
      <c r="D864" s="128">
        <v>43101.003472164353</v>
      </c>
      <c r="E864" t="e">
        <f>VLOOKUP(VLOOKUP(B864,SuiteCatSubElem!$G$2:$G$667,2,0),'SA Q4 18 VR'!$A$33:$O$193,1+MATCH(VLOOKUP(A864,Vendors!$A$2:$B$15,2,0),'SA Q4 18 VR'!$B$24:$O$24,0),0)</f>
        <v>#REF!</v>
      </c>
      <c r="F864" s="27">
        <v>1</v>
      </c>
      <c r="G864">
        <f>RFI_Elements!N867</f>
        <v>866</v>
      </c>
      <c r="I864" t="e">
        <f>VLOOKUP(B864,SuiteCatSubElem!$G$2:$G$667,2,0)</f>
        <v>#REF!</v>
      </c>
    </row>
    <row r="865" spans="1:9">
      <c r="A865">
        <f>RFI_Elements!B868</f>
        <v>11</v>
      </c>
      <c r="B865">
        <f>RFI_Elements!C868</f>
        <v>425</v>
      </c>
      <c r="C865">
        <v>867</v>
      </c>
      <c r="D865" s="128">
        <v>43101.003472164353</v>
      </c>
      <c r="E865" t="e">
        <f>VLOOKUP(VLOOKUP(B865,SuiteCatSubElem!$G$2:$G$667,2,0),'SA Q4 18 VR'!$A$33:$O$193,1+MATCH(VLOOKUP(A865,Vendors!$A$2:$B$15,2,0),'SA Q4 18 VR'!$B$24:$O$24,0),0)</f>
        <v>#REF!</v>
      </c>
      <c r="F865" s="27">
        <v>1</v>
      </c>
      <c r="G865">
        <f>RFI_Elements!N868</f>
        <v>867</v>
      </c>
      <c r="I865" t="e">
        <f>VLOOKUP(B865,SuiteCatSubElem!$G$2:$G$667,2,0)</f>
        <v>#REF!</v>
      </c>
    </row>
    <row r="866" spans="1:9">
      <c r="A866">
        <f>RFI_Elements!B869</f>
        <v>11</v>
      </c>
      <c r="B866">
        <f>RFI_Elements!C869</f>
        <v>426</v>
      </c>
      <c r="C866">
        <v>868</v>
      </c>
      <c r="D866" s="128">
        <v>43101.003472164353</v>
      </c>
      <c r="E866" t="e">
        <f>VLOOKUP(VLOOKUP(B866,SuiteCatSubElem!$G$2:$G$667,2,0),'SA Q4 18 VR'!$A$33:$O$193,1+MATCH(VLOOKUP(A866,Vendors!$A$2:$B$15,2,0),'SA Q4 18 VR'!$B$24:$O$24,0),0)</f>
        <v>#REF!</v>
      </c>
      <c r="F866" s="27">
        <v>1</v>
      </c>
      <c r="G866">
        <f>RFI_Elements!N869</f>
        <v>868</v>
      </c>
      <c r="I866" t="e">
        <f>VLOOKUP(B866,SuiteCatSubElem!$G$2:$G$667,2,0)</f>
        <v>#REF!</v>
      </c>
    </row>
    <row r="867" spans="1:9">
      <c r="A867">
        <f>RFI_Elements!B870</f>
        <v>11</v>
      </c>
      <c r="B867">
        <f>RFI_Elements!C870</f>
        <v>427</v>
      </c>
      <c r="C867">
        <v>869</v>
      </c>
      <c r="D867" s="128">
        <v>43101.003472164353</v>
      </c>
      <c r="E867" t="e">
        <f>VLOOKUP(VLOOKUP(B867,SuiteCatSubElem!$G$2:$G$667,2,0),'SA Q4 18 VR'!$A$33:$O$193,1+MATCH(VLOOKUP(A867,Vendors!$A$2:$B$15,2,0),'SA Q4 18 VR'!$B$24:$O$24,0),0)</f>
        <v>#REF!</v>
      </c>
      <c r="F867" s="27">
        <v>1</v>
      </c>
      <c r="G867">
        <f>RFI_Elements!N870</f>
        <v>869</v>
      </c>
      <c r="I867" t="e">
        <f>VLOOKUP(B867,SuiteCatSubElem!$G$2:$G$667,2,0)</f>
        <v>#REF!</v>
      </c>
    </row>
    <row r="868" spans="1:9">
      <c r="A868">
        <f>RFI_Elements!B871</f>
        <v>11</v>
      </c>
      <c r="B868">
        <f>RFI_Elements!C871</f>
        <v>428</v>
      </c>
      <c r="C868">
        <v>870</v>
      </c>
      <c r="D868" s="128">
        <v>43101.003472164353</v>
      </c>
      <c r="E868" t="e">
        <f>VLOOKUP(VLOOKUP(B868,SuiteCatSubElem!$G$2:$G$667,2,0),'SA Q4 18 VR'!$A$33:$O$193,1+MATCH(VLOOKUP(A868,Vendors!$A$2:$B$15,2,0),'SA Q4 18 VR'!$B$24:$O$24,0),0)</f>
        <v>#REF!</v>
      </c>
      <c r="F868" s="27">
        <v>1</v>
      </c>
      <c r="G868">
        <f>RFI_Elements!N871</f>
        <v>870</v>
      </c>
      <c r="I868" t="e">
        <f>VLOOKUP(B868,SuiteCatSubElem!$G$2:$G$667,2,0)</f>
        <v>#REF!</v>
      </c>
    </row>
    <row r="869" spans="1:9">
      <c r="A869">
        <f>RFI_Elements!B872</f>
        <v>11</v>
      </c>
      <c r="B869">
        <f>RFI_Elements!C872</f>
        <v>429</v>
      </c>
      <c r="C869">
        <v>871</v>
      </c>
      <c r="D869" s="128">
        <v>43101.003472164353</v>
      </c>
      <c r="E869" t="e">
        <f>VLOOKUP(VLOOKUP(B869,SuiteCatSubElem!$G$2:$G$667,2,0),'SA Q4 18 VR'!$A$33:$O$193,1+MATCH(VLOOKUP(A869,Vendors!$A$2:$B$15,2,0),'SA Q4 18 VR'!$B$24:$O$24,0),0)</f>
        <v>#REF!</v>
      </c>
      <c r="F869" s="27">
        <v>1</v>
      </c>
      <c r="G869">
        <f>RFI_Elements!N872</f>
        <v>871</v>
      </c>
      <c r="I869" t="e">
        <f>VLOOKUP(B869,SuiteCatSubElem!$G$2:$G$667,2,0)</f>
        <v>#REF!</v>
      </c>
    </row>
    <row r="870" spans="1:9">
      <c r="A870">
        <f>RFI_Elements!B873</f>
        <v>11</v>
      </c>
      <c r="B870">
        <f>RFI_Elements!C873</f>
        <v>430</v>
      </c>
      <c r="C870">
        <v>872</v>
      </c>
      <c r="D870" s="128">
        <v>43101.003472164353</v>
      </c>
      <c r="E870" t="e">
        <f>VLOOKUP(VLOOKUP(B870,SuiteCatSubElem!$G$2:$G$667,2,0),'SA Q4 18 VR'!$A$33:$O$193,1+MATCH(VLOOKUP(A870,Vendors!$A$2:$B$15,2,0),'SA Q4 18 VR'!$B$24:$O$24,0),0)</f>
        <v>#REF!</v>
      </c>
      <c r="F870" s="27">
        <v>1</v>
      </c>
      <c r="G870">
        <f>RFI_Elements!N873</f>
        <v>872</v>
      </c>
      <c r="I870" t="e">
        <f>VLOOKUP(B870,SuiteCatSubElem!$G$2:$G$667,2,0)</f>
        <v>#REF!</v>
      </c>
    </row>
    <row r="871" spans="1:9">
      <c r="A871">
        <f>RFI_Elements!B874</f>
        <v>11</v>
      </c>
      <c r="B871">
        <f>RFI_Elements!C874</f>
        <v>431</v>
      </c>
      <c r="C871">
        <v>873</v>
      </c>
      <c r="D871" s="128">
        <v>43101.003472164353</v>
      </c>
      <c r="E871" t="e">
        <f>VLOOKUP(VLOOKUP(B871,SuiteCatSubElem!$G$2:$G$667,2,0),'SA Q4 18 VR'!$A$33:$O$193,1+MATCH(VLOOKUP(A871,Vendors!$A$2:$B$15,2,0),'SA Q4 18 VR'!$B$24:$O$24,0),0)</f>
        <v>#REF!</v>
      </c>
      <c r="F871" s="27">
        <v>1</v>
      </c>
      <c r="G871">
        <f>RFI_Elements!N874</f>
        <v>873</v>
      </c>
      <c r="I871" t="e">
        <f>VLOOKUP(B871,SuiteCatSubElem!$G$2:$G$667,2,0)</f>
        <v>#REF!</v>
      </c>
    </row>
    <row r="872" spans="1:9">
      <c r="A872">
        <f>RFI_Elements!B875</f>
        <v>11</v>
      </c>
      <c r="B872">
        <f>RFI_Elements!C875</f>
        <v>432</v>
      </c>
      <c r="C872">
        <v>874</v>
      </c>
      <c r="D872" s="128">
        <v>43101.003472164353</v>
      </c>
      <c r="E872" t="e">
        <f>VLOOKUP(VLOOKUP(B872,SuiteCatSubElem!$G$2:$G$667,2,0),'SA Q4 18 VR'!$A$33:$O$193,1+MATCH(VLOOKUP(A872,Vendors!$A$2:$B$15,2,0),'SA Q4 18 VR'!$B$24:$O$24,0),0)</f>
        <v>#REF!</v>
      </c>
      <c r="F872" s="27">
        <v>1</v>
      </c>
      <c r="G872">
        <f>RFI_Elements!N875</f>
        <v>874</v>
      </c>
      <c r="I872" t="e">
        <f>VLOOKUP(B872,SuiteCatSubElem!$G$2:$G$667,2,0)</f>
        <v>#REF!</v>
      </c>
    </row>
    <row r="873" spans="1:9">
      <c r="A873">
        <f>RFI_Elements!B876</f>
        <v>11</v>
      </c>
      <c r="B873">
        <f>RFI_Elements!C876</f>
        <v>433</v>
      </c>
      <c r="C873">
        <v>875</v>
      </c>
      <c r="D873" s="128">
        <v>43101.003472164353</v>
      </c>
      <c r="E873" t="e">
        <f>VLOOKUP(VLOOKUP(B873,SuiteCatSubElem!$G$2:$G$667,2,0),'SA Q4 18 VR'!$A$33:$O$193,1+MATCH(VLOOKUP(A873,Vendors!$A$2:$B$15,2,0),'SA Q4 18 VR'!$B$24:$O$24,0),0)</f>
        <v>#REF!</v>
      </c>
      <c r="F873" s="27">
        <v>1</v>
      </c>
      <c r="G873">
        <f>RFI_Elements!N876</f>
        <v>875</v>
      </c>
      <c r="I873" t="e">
        <f>VLOOKUP(B873,SuiteCatSubElem!$G$2:$G$667,2,0)</f>
        <v>#REF!</v>
      </c>
    </row>
    <row r="874" spans="1:9">
      <c r="A874">
        <f>RFI_Elements!B877</f>
        <v>11</v>
      </c>
      <c r="B874">
        <f>RFI_Elements!C877</f>
        <v>434</v>
      </c>
      <c r="C874">
        <v>876</v>
      </c>
      <c r="D874" s="128">
        <v>43101.003472164353</v>
      </c>
      <c r="E874" t="e">
        <f>VLOOKUP(VLOOKUP(B874,SuiteCatSubElem!$G$2:$G$667,2,0),'SA Q4 18 VR'!$A$33:$O$193,1+MATCH(VLOOKUP(A874,Vendors!$A$2:$B$15,2,0),'SA Q4 18 VR'!$B$24:$O$24,0),0)</f>
        <v>#REF!</v>
      </c>
      <c r="F874" s="27">
        <v>1</v>
      </c>
      <c r="G874">
        <f>RFI_Elements!N877</f>
        <v>876</v>
      </c>
      <c r="I874" t="e">
        <f>VLOOKUP(B874,SuiteCatSubElem!$G$2:$G$667,2,0)</f>
        <v>#REF!</v>
      </c>
    </row>
    <row r="875" spans="1:9">
      <c r="A875">
        <f>RFI_Elements!B878</f>
        <v>11</v>
      </c>
      <c r="B875">
        <f>RFI_Elements!C878</f>
        <v>435</v>
      </c>
      <c r="C875">
        <v>877</v>
      </c>
      <c r="D875" s="128">
        <v>43101.003472164353</v>
      </c>
      <c r="E875" t="e">
        <f>VLOOKUP(VLOOKUP(B875,SuiteCatSubElem!$G$2:$G$667,2,0),'SA Q4 18 VR'!$A$33:$O$193,1+MATCH(VLOOKUP(A875,Vendors!$A$2:$B$15,2,0),'SA Q4 18 VR'!$B$24:$O$24,0),0)</f>
        <v>#REF!</v>
      </c>
      <c r="F875" s="27">
        <v>1</v>
      </c>
      <c r="G875">
        <f>RFI_Elements!N878</f>
        <v>877</v>
      </c>
      <c r="I875" t="e">
        <f>VLOOKUP(B875,SuiteCatSubElem!$G$2:$G$667,2,0)</f>
        <v>#REF!</v>
      </c>
    </row>
    <row r="876" spans="1:9">
      <c r="A876">
        <f>RFI_Elements!B879</f>
        <v>11</v>
      </c>
      <c r="B876">
        <f>RFI_Elements!C879</f>
        <v>436</v>
      </c>
      <c r="C876">
        <v>878</v>
      </c>
      <c r="D876" s="128">
        <v>43101.003472164353</v>
      </c>
      <c r="E876" t="e">
        <f>VLOOKUP(VLOOKUP(B876,SuiteCatSubElem!$G$2:$G$667,2,0),'SA Q4 18 VR'!$A$33:$O$193,1+MATCH(VLOOKUP(A876,Vendors!$A$2:$B$15,2,0),'SA Q4 18 VR'!$B$24:$O$24,0),0)</f>
        <v>#REF!</v>
      </c>
      <c r="F876" s="27">
        <v>1</v>
      </c>
      <c r="G876">
        <f>RFI_Elements!N879</f>
        <v>878</v>
      </c>
      <c r="I876" t="e">
        <f>VLOOKUP(B876,SuiteCatSubElem!$G$2:$G$667,2,0)</f>
        <v>#REF!</v>
      </c>
    </row>
    <row r="877" spans="1:9">
      <c r="A877">
        <f>RFI_Elements!B880</f>
        <v>11</v>
      </c>
      <c r="B877">
        <f>RFI_Elements!C880</f>
        <v>437</v>
      </c>
      <c r="C877">
        <v>879</v>
      </c>
      <c r="D877" s="128">
        <v>43101.003472164353</v>
      </c>
      <c r="E877" t="e">
        <f>VLOOKUP(VLOOKUP(B877,SuiteCatSubElem!$G$2:$G$667,2,0),'SA Q4 18 VR'!$A$33:$O$193,1+MATCH(VLOOKUP(A877,Vendors!$A$2:$B$15,2,0),'SA Q4 18 VR'!$B$24:$O$24,0),0)</f>
        <v>#REF!</v>
      </c>
      <c r="F877" s="27">
        <v>1</v>
      </c>
      <c r="G877">
        <f>RFI_Elements!N880</f>
        <v>879</v>
      </c>
      <c r="I877" t="e">
        <f>VLOOKUP(B877,SuiteCatSubElem!$G$2:$G$667,2,0)</f>
        <v>#REF!</v>
      </c>
    </row>
    <row r="878" spans="1:9">
      <c r="A878">
        <f>RFI_Elements!B881</f>
        <v>11</v>
      </c>
      <c r="B878">
        <f>RFI_Elements!C881</f>
        <v>438</v>
      </c>
      <c r="C878">
        <v>880</v>
      </c>
      <c r="D878" s="128">
        <v>43101.003472164353</v>
      </c>
      <c r="E878" t="e">
        <f>VLOOKUP(VLOOKUP(B878,SuiteCatSubElem!$G$2:$G$667,2,0),'SA Q4 18 VR'!$A$33:$O$193,1+MATCH(VLOOKUP(A878,Vendors!$A$2:$B$15,2,0),'SA Q4 18 VR'!$B$24:$O$24,0),0)</f>
        <v>#REF!</v>
      </c>
      <c r="F878" s="27">
        <v>1</v>
      </c>
      <c r="G878">
        <f>RFI_Elements!N881</f>
        <v>880</v>
      </c>
      <c r="I878" t="e">
        <f>VLOOKUP(B878,SuiteCatSubElem!$G$2:$G$667,2,0)</f>
        <v>#REF!</v>
      </c>
    </row>
    <row r="879" spans="1:9">
      <c r="A879">
        <f>RFI_Elements!B882</f>
        <v>11</v>
      </c>
      <c r="B879">
        <f>RFI_Elements!C882</f>
        <v>439</v>
      </c>
      <c r="C879">
        <v>881</v>
      </c>
      <c r="D879" s="128">
        <v>43101.003472164353</v>
      </c>
      <c r="E879" t="e">
        <f>VLOOKUP(VLOOKUP(B879,SuiteCatSubElem!$G$2:$G$667,2,0),'SA Q4 18 VR'!$A$33:$O$193,1+MATCH(VLOOKUP(A879,Vendors!$A$2:$B$15,2,0),'SA Q4 18 VR'!$B$24:$O$24,0),0)</f>
        <v>#REF!</v>
      </c>
      <c r="F879" s="27">
        <v>1</v>
      </c>
      <c r="G879">
        <f>RFI_Elements!N882</f>
        <v>881</v>
      </c>
      <c r="I879" t="e">
        <f>VLOOKUP(B879,SuiteCatSubElem!$G$2:$G$667,2,0)</f>
        <v>#REF!</v>
      </c>
    </row>
    <row r="880" spans="1:9">
      <c r="A880">
        <f>RFI_Elements!B883</f>
        <v>11</v>
      </c>
      <c r="B880">
        <f>RFI_Elements!C883</f>
        <v>440</v>
      </c>
      <c r="C880">
        <v>882</v>
      </c>
      <c r="D880" s="128">
        <v>43101.003472164353</v>
      </c>
      <c r="E880" t="e">
        <f>VLOOKUP(VLOOKUP(B880,SuiteCatSubElem!$G$2:$G$667,2,0),'SA Q4 18 VR'!$A$33:$O$193,1+MATCH(VLOOKUP(A880,Vendors!$A$2:$B$15,2,0),'SA Q4 18 VR'!$B$24:$O$24,0),0)</f>
        <v>#REF!</v>
      </c>
      <c r="F880" s="27">
        <v>1</v>
      </c>
      <c r="G880">
        <f>RFI_Elements!N883</f>
        <v>882</v>
      </c>
      <c r="I880" t="e">
        <f>VLOOKUP(B880,SuiteCatSubElem!$G$2:$G$667,2,0)</f>
        <v>#REF!</v>
      </c>
    </row>
    <row r="881" spans="1:9">
      <c r="A881">
        <f>RFI_Elements!B884</f>
        <v>11</v>
      </c>
      <c r="B881">
        <f>RFI_Elements!C884</f>
        <v>441</v>
      </c>
      <c r="C881">
        <v>883</v>
      </c>
      <c r="D881" s="128">
        <v>43101.003472164353</v>
      </c>
      <c r="E881" t="e">
        <f>VLOOKUP(VLOOKUP(B881,SuiteCatSubElem!$G$2:$G$667,2,0),'SA Q4 18 VR'!$A$33:$O$193,1+MATCH(VLOOKUP(A881,Vendors!$A$2:$B$15,2,0),'SA Q4 18 VR'!$B$24:$O$24,0),0)</f>
        <v>#REF!</v>
      </c>
      <c r="F881" s="27">
        <v>1</v>
      </c>
      <c r="G881">
        <f>RFI_Elements!N884</f>
        <v>883</v>
      </c>
      <c r="I881" t="e">
        <f>VLOOKUP(B881,SuiteCatSubElem!$G$2:$G$667,2,0)</f>
        <v>#REF!</v>
      </c>
    </row>
    <row r="882" spans="1:9">
      <c r="A882">
        <f>RFI_Elements!B885</f>
        <v>11</v>
      </c>
      <c r="B882">
        <f>RFI_Elements!C885</f>
        <v>442</v>
      </c>
      <c r="C882">
        <v>884</v>
      </c>
      <c r="D882" s="128">
        <v>43101.003472164353</v>
      </c>
      <c r="E882" t="e">
        <f>VLOOKUP(VLOOKUP(B882,SuiteCatSubElem!$G$2:$G$667,2,0),'SA Q4 18 VR'!$A$33:$O$193,1+MATCH(VLOOKUP(A882,Vendors!$A$2:$B$15,2,0),'SA Q4 18 VR'!$B$24:$O$24,0),0)</f>
        <v>#REF!</v>
      </c>
      <c r="F882" s="27">
        <v>1</v>
      </c>
      <c r="G882">
        <f>RFI_Elements!N885</f>
        <v>884</v>
      </c>
      <c r="I882" t="e">
        <f>VLOOKUP(B882,SuiteCatSubElem!$G$2:$G$667,2,0)</f>
        <v>#REF!</v>
      </c>
    </row>
    <row r="883" spans="1:9">
      <c r="A883">
        <f>RFI_Elements!B886</f>
        <v>11</v>
      </c>
      <c r="B883">
        <f>RFI_Elements!C886</f>
        <v>443</v>
      </c>
      <c r="C883">
        <v>885</v>
      </c>
      <c r="D883" s="128">
        <v>43101.003472164353</v>
      </c>
      <c r="E883" t="e">
        <f>VLOOKUP(VLOOKUP(B883,SuiteCatSubElem!$G$2:$G$667,2,0),'SA Q4 18 VR'!$A$33:$O$193,1+MATCH(VLOOKUP(A883,Vendors!$A$2:$B$15,2,0),'SA Q4 18 VR'!$B$24:$O$24,0),0)</f>
        <v>#REF!</v>
      </c>
      <c r="F883" s="27">
        <v>1</v>
      </c>
      <c r="G883">
        <f>RFI_Elements!N886</f>
        <v>885</v>
      </c>
      <c r="I883" t="e">
        <f>VLOOKUP(B883,SuiteCatSubElem!$G$2:$G$667,2,0)</f>
        <v>#REF!</v>
      </c>
    </row>
    <row r="884" spans="1:9">
      <c r="A884">
        <f>RFI_Elements!B887</f>
        <v>11</v>
      </c>
      <c r="B884">
        <f>RFI_Elements!C887</f>
        <v>444</v>
      </c>
      <c r="C884">
        <v>886</v>
      </c>
      <c r="D884" s="128">
        <v>43101.003472164353</v>
      </c>
      <c r="E884" t="e">
        <f>VLOOKUP(VLOOKUP(B884,SuiteCatSubElem!$G$2:$G$667,2,0),'SA Q4 18 VR'!$A$33:$O$193,1+MATCH(VLOOKUP(A884,Vendors!$A$2:$B$15,2,0),'SA Q4 18 VR'!$B$24:$O$24,0),0)</f>
        <v>#REF!</v>
      </c>
      <c r="F884" s="27">
        <v>1</v>
      </c>
      <c r="G884">
        <f>RFI_Elements!N887</f>
        <v>886</v>
      </c>
      <c r="I884" t="e">
        <f>VLOOKUP(B884,SuiteCatSubElem!$G$2:$G$667,2,0)</f>
        <v>#REF!</v>
      </c>
    </row>
    <row r="885" spans="1:9">
      <c r="A885">
        <f>RFI_Elements!B888</f>
        <v>11</v>
      </c>
      <c r="B885">
        <f>RFI_Elements!C888</f>
        <v>445</v>
      </c>
      <c r="C885">
        <v>887</v>
      </c>
      <c r="D885" s="128">
        <v>43101.003472164353</v>
      </c>
      <c r="E885" t="e">
        <f>VLOOKUP(VLOOKUP(B885,SuiteCatSubElem!$G$2:$G$667,2,0),'SA Q4 18 VR'!$A$33:$O$193,1+MATCH(VLOOKUP(A885,Vendors!$A$2:$B$15,2,0),'SA Q4 18 VR'!$B$24:$O$24,0),0)</f>
        <v>#REF!</v>
      </c>
      <c r="F885" s="27">
        <v>1</v>
      </c>
      <c r="G885">
        <f>RFI_Elements!N888</f>
        <v>887</v>
      </c>
      <c r="I885" t="e">
        <f>VLOOKUP(B885,SuiteCatSubElem!$G$2:$G$667,2,0)</f>
        <v>#REF!</v>
      </c>
    </row>
    <row r="886" spans="1:9">
      <c r="A886">
        <f>RFI_Elements!B889</f>
        <v>11</v>
      </c>
      <c r="B886">
        <f>RFI_Elements!C889</f>
        <v>446</v>
      </c>
      <c r="C886">
        <v>888</v>
      </c>
      <c r="D886" s="128">
        <v>43101.003472164353</v>
      </c>
      <c r="E886" t="e">
        <f>VLOOKUP(VLOOKUP(B886,SuiteCatSubElem!$G$2:$G$667,2,0),'SA Q4 18 VR'!$A$33:$O$193,1+MATCH(VLOOKUP(A886,Vendors!$A$2:$B$15,2,0),'SA Q4 18 VR'!$B$24:$O$24,0),0)</f>
        <v>#REF!</v>
      </c>
      <c r="F886" s="27">
        <v>1</v>
      </c>
      <c r="G886">
        <f>RFI_Elements!N889</f>
        <v>888</v>
      </c>
      <c r="I886" t="e">
        <f>VLOOKUP(B886,SuiteCatSubElem!$G$2:$G$667,2,0)</f>
        <v>#REF!</v>
      </c>
    </row>
    <row r="887" spans="1:9">
      <c r="A887">
        <f>RFI_Elements!B890</f>
        <v>11</v>
      </c>
      <c r="B887">
        <f>RFI_Elements!C890</f>
        <v>447</v>
      </c>
      <c r="C887">
        <v>889</v>
      </c>
      <c r="D887" s="128">
        <v>43101.003472164353</v>
      </c>
      <c r="E887" t="e">
        <f>VLOOKUP(VLOOKUP(B887,SuiteCatSubElem!$G$2:$G$667,2,0),'SA Q4 18 VR'!$A$33:$O$193,1+MATCH(VLOOKUP(A887,Vendors!$A$2:$B$15,2,0),'SA Q4 18 VR'!$B$24:$O$24,0),0)</f>
        <v>#REF!</v>
      </c>
      <c r="F887" s="27">
        <v>1</v>
      </c>
      <c r="G887">
        <f>RFI_Elements!N890</f>
        <v>889</v>
      </c>
      <c r="I887" t="e">
        <f>VLOOKUP(B887,SuiteCatSubElem!$G$2:$G$667,2,0)</f>
        <v>#REF!</v>
      </c>
    </row>
    <row r="888" spans="1:9">
      <c r="A888">
        <f>RFI_Elements!B891</f>
        <v>11</v>
      </c>
      <c r="B888">
        <f>RFI_Elements!C891</f>
        <v>448</v>
      </c>
      <c r="C888">
        <v>890</v>
      </c>
      <c r="D888" s="128">
        <v>43101.003472164353</v>
      </c>
      <c r="E888" t="e">
        <f>VLOOKUP(VLOOKUP(B888,SuiteCatSubElem!$G$2:$G$667,2,0),'SA Q4 18 VR'!$A$33:$O$193,1+MATCH(VLOOKUP(A888,Vendors!$A$2:$B$15,2,0),'SA Q4 18 VR'!$B$24:$O$24,0),0)</f>
        <v>#REF!</v>
      </c>
      <c r="F888" s="27">
        <v>1</v>
      </c>
      <c r="G888">
        <f>RFI_Elements!N891</f>
        <v>890</v>
      </c>
      <c r="I888" t="e">
        <f>VLOOKUP(B888,SuiteCatSubElem!$G$2:$G$667,2,0)</f>
        <v>#REF!</v>
      </c>
    </row>
    <row r="889" spans="1:9">
      <c r="A889">
        <f>RFI_Elements!B892</f>
        <v>11</v>
      </c>
      <c r="B889">
        <f>RFI_Elements!C892</f>
        <v>449</v>
      </c>
      <c r="C889">
        <v>891</v>
      </c>
      <c r="D889" s="128">
        <v>43101.003472164353</v>
      </c>
      <c r="E889" t="e">
        <f>VLOOKUP(VLOOKUP(B889,SuiteCatSubElem!$G$2:$G$667,2,0),'SA Q4 18 VR'!$A$33:$O$193,1+MATCH(VLOOKUP(A889,Vendors!$A$2:$B$15,2,0),'SA Q4 18 VR'!$B$24:$O$24,0),0)</f>
        <v>#REF!</v>
      </c>
      <c r="F889" s="27">
        <v>1</v>
      </c>
      <c r="G889">
        <f>RFI_Elements!N892</f>
        <v>891</v>
      </c>
      <c r="I889" t="e">
        <f>VLOOKUP(B889,SuiteCatSubElem!$G$2:$G$667,2,0)</f>
        <v>#REF!</v>
      </c>
    </row>
    <row r="890" spans="1:9">
      <c r="A890">
        <f>RFI_Elements!B893</f>
        <v>11</v>
      </c>
      <c r="B890">
        <f>RFI_Elements!C893</f>
        <v>450</v>
      </c>
      <c r="C890">
        <v>892</v>
      </c>
      <c r="D890" s="128">
        <v>43101.003472164353</v>
      </c>
      <c r="E890" t="e">
        <f>VLOOKUP(VLOOKUP(B890,SuiteCatSubElem!$G$2:$G$667,2,0),'SA Q4 18 VR'!$A$33:$O$193,1+MATCH(VLOOKUP(A890,Vendors!$A$2:$B$15,2,0),'SA Q4 18 VR'!$B$24:$O$24,0),0)</f>
        <v>#REF!</v>
      </c>
      <c r="F890" s="27">
        <v>1</v>
      </c>
      <c r="G890">
        <f>RFI_Elements!N893</f>
        <v>892</v>
      </c>
      <c r="I890" t="e">
        <f>VLOOKUP(B890,SuiteCatSubElem!$G$2:$G$667,2,0)</f>
        <v>#REF!</v>
      </c>
    </row>
    <row r="891" spans="1:9">
      <c r="A891">
        <f>RFI_Elements!B894</f>
        <v>11</v>
      </c>
      <c r="B891">
        <f>RFI_Elements!C894</f>
        <v>451</v>
      </c>
      <c r="C891">
        <v>893</v>
      </c>
      <c r="D891" s="128">
        <v>43101.003472164353</v>
      </c>
      <c r="E891" t="e">
        <f>VLOOKUP(VLOOKUP(B891,SuiteCatSubElem!$G$2:$G$667,2,0),'SA Q4 18 VR'!$A$33:$O$193,1+MATCH(VLOOKUP(A891,Vendors!$A$2:$B$15,2,0),'SA Q4 18 VR'!$B$24:$O$24,0),0)</f>
        <v>#REF!</v>
      </c>
      <c r="F891" s="27">
        <v>1</v>
      </c>
      <c r="G891">
        <f>RFI_Elements!N894</f>
        <v>893</v>
      </c>
      <c r="I891" t="e">
        <f>VLOOKUP(B891,SuiteCatSubElem!$G$2:$G$667,2,0)</f>
        <v>#REF!</v>
      </c>
    </row>
    <row r="892" spans="1:9">
      <c r="A892">
        <f>RFI_Elements!B895</f>
        <v>11</v>
      </c>
      <c r="B892">
        <f>RFI_Elements!C895</f>
        <v>452</v>
      </c>
      <c r="C892">
        <v>894</v>
      </c>
      <c r="D892" s="128">
        <v>43101.003472164353</v>
      </c>
      <c r="E892" t="e">
        <f>VLOOKUP(VLOOKUP(B892,SuiteCatSubElem!$G$2:$G$667,2,0),'SA Q4 18 VR'!$A$33:$O$193,1+MATCH(VLOOKUP(A892,Vendors!$A$2:$B$15,2,0),'SA Q4 18 VR'!$B$24:$O$24,0),0)</f>
        <v>#REF!</v>
      </c>
      <c r="F892" s="27">
        <v>1</v>
      </c>
      <c r="G892">
        <f>RFI_Elements!N895</f>
        <v>894</v>
      </c>
      <c r="I892" t="e">
        <f>VLOOKUP(B892,SuiteCatSubElem!$G$2:$G$667,2,0)</f>
        <v>#REF!</v>
      </c>
    </row>
    <row r="893" spans="1:9">
      <c r="A893">
        <f>RFI_Elements!B896</f>
        <v>11</v>
      </c>
      <c r="B893">
        <f>RFI_Elements!C896</f>
        <v>453</v>
      </c>
      <c r="C893">
        <v>895</v>
      </c>
      <c r="D893" s="128">
        <v>43101.003472164353</v>
      </c>
      <c r="E893" t="e">
        <f>VLOOKUP(VLOOKUP(B893,SuiteCatSubElem!$G$2:$G$667,2,0),'SA Q4 18 VR'!$A$33:$O$193,1+MATCH(VLOOKUP(A893,Vendors!$A$2:$B$15,2,0),'SA Q4 18 VR'!$B$24:$O$24,0),0)</f>
        <v>#REF!</v>
      </c>
      <c r="F893" s="27">
        <v>1</v>
      </c>
      <c r="G893">
        <f>RFI_Elements!N896</f>
        <v>895</v>
      </c>
      <c r="I893" t="e">
        <f>VLOOKUP(B893,SuiteCatSubElem!$G$2:$G$667,2,0)</f>
        <v>#REF!</v>
      </c>
    </row>
    <row r="894" spans="1:9">
      <c r="A894">
        <f>RFI_Elements!B897</f>
        <v>11</v>
      </c>
      <c r="B894">
        <f>RFI_Elements!C897</f>
        <v>454</v>
      </c>
      <c r="C894">
        <v>896</v>
      </c>
      <c r="D894" s="128">
        <v>43101.003472164353</v>
      </c>
      <c r="E894" t="e">
        <f>VLOOKUP(VLOOKUP(B894,SuiteCatSubElem!$G$2:$G$667,2,0),'SA Q4 18 VR'!$A$33:$O$193,1+MATCH(VLOOKUP(A894,Vendors!$A$2:$B$15,2,0),'SA Q4 18 VR'!$B$24:$O$24,0),0)</f>
        <v>#REF!</v>
      </c>
      <c r="F894" s="27">
        <v>1</v>
      </c>
      <c r="G894">
        <f>RFI_Elements!N897</f>
        <v>896</v>
      </c>
      <c r="I894" t="e">
        <f>VLOOKUP(B894,SuiteCatSubElem!$G$2:$G$667,2,0)</f>
        <v>#REF!</v>
      </c>
    </row>
    <row r="895" spans="1:9">
      <c r="A895">
        <f>RFI_Elements!B898</f>
        <v>11</v>
      </c>
      <c r="B895">
        <f>RFI_Elements!C898</f>
        <v>455</v>
      </c>
      <c r="C895">
        <v>897</v>
      </c>
      <c r="D895" s="128">
        <v>43101.003472164353</v>
      </c>
      <c r="E895" t="e">
        <f>VLOOKUP(VLOOKUP(B895,SuiteCatSubElem!$G$2:$G$667,2,0),'SA Q4 18 VR'!$A$33:$O$193,1+MATCH(VLOOKUP(A895,Vendors!$A$2:$B$15,2,0),'SA Q4 18 VR'!$B$24:$O$24,0),0)</f>
        <v>#REF!</v>
      </c>
      <c r="F895" s="27">
        <v>1</v>
      </c>
      <c r="G895">
        <f>RFI_Elements!N898</f>
        <v>897</v>
      </c>
      <c r="I895" t="e">
        <f>VLOOKUP(B895,SuiteCatSubElem!$G$2:$G$667,2,0)</f>
        <v>#REF!</v>
      </c>
    </row>
    <row r="896" spans="1:9">
      <c r="A896">
        <f>RFI_Elements!B899</f>
        <v>11</v>
      </c>
      <c r="B896">
        <f>RFI_Elements!C899</f>
        <v>456</v>
      </c>
      <c r="C896">
        <v>898</v>
      </c>
      <c r="D896" s="128">
        <v>43101.003472164353</v>
      </c>
      <c r="E896" t="e">
        <f>VLOOKUP(VLOOKUP(B896,SuiteCatSubElem!$G$2:$G$667,2,0),'SA Q4 18 VR'!$A$33:$O$193,1+MATCH(VLOOKUP(A896,Vendors!$A$2:$B$15,2,0),'SA Q4 18 VR'!$B$24:$O$24,0),0)</f>
        <v>#REF!</v>
      </c>
      <c r="F896" s="27">
        <v>1</v>
      </c>
      <c r="G896">
        <f>RFI_Elements!N899</f>
        <v>898</v>
      </c>
      <c r="I896" t="e">
        <f>VLOOKUP(B896,SuiteCatSubElem!$G$2:$G$667,2,0)</f>
        <v>#REF!</v>
      </c>
    </row>
    <row r="897" spans="1:9">
      <c r="A897">
        <f>RFI_Elements!B900</f>
        <v>11</v>
      </c>
      <c r="B897">
        <f>RFI_Elements!C900</f>
        <v>457</v>
      </c>
      <c r="C897">
        <v>899</v>
      </c>
      <c r="D897" s="128">
        <v>43101.003472164353</v>
      </c>
      <c r="E897" t="e">
        <f>VLOOKUP(VLOOKUP(B897,SuiteCatSubElem!$G$2:$G$667,2,0),'SA Q4 18 VR'!$A$33:$O$193,1+MATCH(VLOOKUP(A897,Vendors!$A$2:$B$15,2,0),'SA Q4 18 VR'!$B$24:$O$24,0),0)</f>
        <v>#REF!</v>
      </c>
      <c r="F897" s="27">
        <v>1</v>
      </c>
      <c r="G897">
        <f>RFI_Elements!N900</f>
        <v>899</v>
      </c>
      <c r="I897" t="e">
        <f>VLOOKUP(B897,SuiteCatSubElem!$G$2:$G$667,2,0)</f>
        <v>#REF!</v>
      </c>
    </row>
    <row r="898" spans="1:9">
      <c r="A898">
        <f>RFI_Elements!B901</f>
        <v>11</v>
      </c>
      <c r="B898">
        <f>RFI_Elements!C901</f>
        <v>458</v>
      </c>
      <c r="C898">
        <v>900</v>
      </c>
      <c r="D898" s="128">
        <v>43101.003472164353</v>
      </c>
      <c r="E898" t="e">
        <f>VLOOKUP(VLOOKUP(B898,SuiteCatSubElem!$G$2:$G$667,2,0),'SA Q4 18 VR'!$A$33:$O$193,1+MATCH(VLOOKUP(A898,Vendors!$A$2:$B$15,2,0),'SA Q4 18 VR'!$B$24:$O$24,0),0)</f>
        <v>#REF!</v>
      </c>
      <c r="F898" s="27">
        <v>1</v>
      </c>
      <c r="G898">
        <f>RFI_Elements!N901</f>
        <v>900</v>
      </c>
      <c r="I898" t="e">
        <f>VLOOKUP(B898,SuiteCatSubElem!$G$2:$G$667,2,0)</f>
        <v>#REF!</v>
      </c>
    </row>
    <row r="899" spans="1:9">
      <c r="A899">
        <f>RFI_Elements!B902</f>
        <v>11</v>
      </c>
      <c r="B899">
        <f>RFI_Elements!C902</f>
        <v>459</v>
      </c>
      <c r="C899">
        <v>901</v>
      </c>
      <c r="D899" s="128">
        <v>43101.003472164353</v>
      </c>
      <c r="E899" t="e">
        <f>VLOOKUP(VLOOKUP(B899,SuiteCatSubElem!$G$2:$G$667,2,0),'SA Q4 18 VR'!$A$33:$O$193,1+MATCH(VLOOKUP(A899,Vendors!$A$2:$B$15,2,0),'SA Q4 18 VR'!$B$24:$O$24,0),0)</f>
        <v>#REF!</v>
      </c>
      <c r="F899" s="27">
        <v>1</v>
      </c>
      <c r="G899">
        <f>RFI_Elements!N902</f>
        <v>901</v>
      </c>
      <c r="I899" t="e">
        <f>VLOOKUP(B899,SuiteCatSubElem!$G$2:$G$667,2,0)</f>
        <v>#REF!</v>
      </c>
    </row>
    <row r="900" spans="1:9">
      <c r="A900">
        <f>RFI_Elements!B903</f>
        <v>11</v>
      </c>
      <c r="B900">
        <f>RFI_Elements!C903</f>
        <v>460</v>
      </c>
      <c r="C900">
        <v>902</v>
      </c>
      <c r="D900" s="128">
        <v>43101.003472164353</v>
      </c>
      <c r="E900" t="e">
        <f>VLOOKUP(VLOOKUP(B900,SuiteCatSubElem!$G$2:$G$667,2,0),'SA Q4 18 VR'!$A$33:$O$193,1+MATCH(VLOOKUP(A900,Vendors!$A$2:$B$15,2,0),'SA Q4 18 VR'!$B$24:$O$24,0),0)</f>
        <v>#REF!</v>
      </c>
      <c r="F900" s="27">
        <v>1</v>
      </c>
      <c r="G900">
        <f>RFI_Elements!N903</f>
        <v>902</v>
      </c>
      <c r="I900" t="e">
        <f>VLOOKUP(B900,SuiteCatSubElem!$G$2:$G$667,2,0)</f>
        <v>#REF!</v>
      </c>
    </row>
    <row r="901" spans="1:9">
      <c r="A901">
        <f>RFI_Elements!B904</f>
        <v>11</v>
      </c>
      <c r="B901">
        <f>RFI_Elements!C904</f>
        <v>461</v>
      </c>
      <c r="C901">
        <v>903</v>
      </c>
      <c r="D901" s="128">
        <v>43101.003472164353</v>
      </c>
      <c r="E901" t="e">
        <f>VLOOKUP(VLOOKUP(B901,SuiteCatSubElem!$G$2:$G$667,2,0),'SA Q4 18 VR'!$A$33:$O$193,1+MATCH(VLOOKUP(A901,Vendors!$A$2:$B$15,2,0),'SA Q4 18 VR'!$B$24:$O$24,0),0)</f>
        <v>#REF!</v>
      </c>
      <c r="F901" s="27">
        <v>1</v>
      </c>
      <c r="G901">
        <f>RFI_Elements!N904</f>
        <v>903</v>
      </c>
      <c r="I901" t="e">
        <f>VLOOKUP(B901,SuiteCatSubElem!$G$2:$G$667,2,0)</f>
        <v>#REF!</v>
      </c>
    </row>
    <row r="902" spans="1:9">
      <c r="A902">
        <f>RFI_Elements!B905</f>
        <v>11</v>
      </c>
      <c r="B902">
        <f>RFI_Elements!C905</f>
        <v>462</v>
      </c>
      <c r="C902">
        <v>904</v>
      </c>
      <c r="D902" s="128">
        <v>43101.003472164353</v>
      </c>
      <c r="E902" t="e">
        <f>VLOOKUP(VLOOKUP(B902,SuiteCatSubElem!$G$2:$G$667,2,0),'SA Q4 18 VR'!$A$33:$O$193,1+MATCH(VLOOKUP(A902,Vendors!$A$2:$B$15,2,0),'SA Q4 18 VR'!$B$24:$O$24,0),0)</f>
        <v>#REF!</v>
      </c>
      <c r="F902" s="27">
        <v>1</v>
      </c>
      <c r="G902">
        <f>RFI_Elements!N905</f>
        <v>904</v>
      </c>
      <c r="I902" t="e">
        <f>VLOOKUP(B902,SuiteCatSubElem!$G$2:$G$667,2,0)</f>
        <v>#REF!</v>
      </c>
    </row>
    <row r="903" spans="1:9">
      <c r="A903">
        <f>RFI_Elements!B906</f>
        <v>11</v>
      </c>
      <c r="B903">
        <f>RFI_Elements!C906</f>
        <v>463</v>
      </c>
      <c r="C903">
        <v>905</v>
      </c>
      <c r="D903" s="128">
        <v>43101.003472164353</v>
      </c>
      <c r="E903" t="e">
        <f>VLOOKUP(VLOOKUP(B903,SuiteCatSubElem!$G$2:$G$667,2,0),'SA Q4 18 VR'!$A$33:$O$193,1+MATCH(VLOOKUP(A903,Vendors!$A$2:$B$15,2,0),'SA Q4 18 VR'!$B$24:$O$24,0),0)</f>
        <v>#REF!</v>
      </c>
      <c r="F903" s="27">
        <v>1</v>
      </c>
      <c r="G903">
        <f>RFI_Elements!N906</f>
        <v>905</v>
      </c>
      <c r="I903" t="e">
        <f>VLOOKUP(B903,SuiteCatSubElem!$G$2:$G$667,2,0)</f>
        <v>#REF!</v>
      </c>
    </row>
    <row r="904" spans="1:9">
      <c r="A904">
        <f>RFI_Elements!B907</f>
        <v>11</v>
      </c>
      <c r="B904">
        <f>RFI_Elements!C907</f>
        <v>464</v>
      </c>
      <c r="C904">
        <v>906</v>
      </c>
      <c r="D904" s="128">
        <v>43101.003472164353</v>
      </c>
      <c r="E904" t="e">
        <f>VLOOKUP(VLOOKUP(B904,SuiteCatSubElem!$G$2:$G$667,2,0),'SA Q4 18 VR'!$A$33:$O$193,1+MATCH(VLOOKUP(A904,Vendors!$A$2:$B$15,2,0),'SA Q4 18 VR'!$B$24:$O$24,0),0)</f>
        <v>#REF!</v>
      </c>
      <c r="F904" s="27">
        <v>1</v>
      </c>
      <c r="G904">
        <f>RFI_Elements!N907</f>
        <v>906</v>
      </c>
      <c r="I904" t="e">
        <f>VLOOKUP(B904,SuiteCatSubElem!$G$2:$G$667,2,0)</f>
        <v>#REF!</v>
      </c>
    </row>
    <row r="905" spans="1:9">
      <c r="A905">
        <f>RFI_Elements!B908</f>
        <v>11</v>
      </c>
      <c r="B905">
        <f>RFI_Elements!C908</f>
        <v>465</v>
      </c>
      <c r="C905">
        <v>907</v>
      </c>
      <c r="D905" s="128">
        <v>43101.003472164353</v>
      </c>
      <c r="E905" t="e">
        <f>VLOOKUP(VLOOKUP(B905,SuiteCatSubElem!$G$2:$G$667,2,0),'SA Q4 18 VR'!$A$33:$O$193,1+MATCH(VLOOKUP(A905,Vendors!$A$2:$B$15,2,0),'SA Q4 18 VR'!$B$24:$O$24,0),0)</f>
        <v>#REF!</v>
      </c>
      <c r="F905" s="27">
        <v>1</v>
      </c>
      <c r="G905">
        <f>RFI_Elements!N908</f>
        <v>907</v>
      </c>
      <c r="I905" t="e">
        <f>VLOOKUP(B905,SuiteCatSubElem!$G$2:$G$667,2,0)</f>
        <v>#REF!</v>
      </c>
    </row>
    <row r="906" spans="1:9">
      <c r="A906">
        <f>RFI_Elements!B909</f>
        <v>11</v>
      </c>
      <c r="B906">
        <f>RFI_Elements!C909</f>
        <v>466</v>
      </c>
      <c r="C906">
        <v>908</v>
      </c>
      <c r="D906" s="128">
        <v>43101.003472164353</v>
      </c>
      <c r="E906" t="e">
        <f>VLOOKUP(VLOOKUP(B906,SuiteCatSubElem!$G$2:$G$667,2,0),'SA Q4 18 VR'!$A$33:$O$193,1+MATCH(VLOOKUP(A906,Vendors!$A$2:$B$15,2,0),'SA Q4 18 VR'!$B$24:$O$24,0),0)</f>
        <v>#REF!</v>
      </c>
      <c r="F906" s="27">
        <v>1</v>
      </c>
      <c r="G906">
        <f>RFI_Elements!N909</f>
        <v>908</v>
      </c>
      <c r="I906" t="e">
        <f>VLOOKUP(B906,SuiteCatSubElem!$G$2:$G$667,2,0)</f>
        <v>#REF!</v>
      </c>
    </row>
    <row r="907" spans="1:9">
      <c r="A907">
        <f>RFI_Elements!B910</f>
        <v>11</v>
      </c>
      <c r="B907">
        <f>RFI_Elements!C910</f>
        <v>467</v>
      </c>
      <c r="C907">
        <v>909</v>
      </c>
      <c r="D907" s="128">
        <v>43101.003472164353</v>
      </c>
      <c r="E907" t="e">
        <f>VLOOKUP(VLOOKUP(B907,SuiteCatSubElem!$G$2:$G$667,2,0),'SA Q4 18 VR'!$A$33:$O$193,1+MATCH(VLOOKUP(A907,Vendors!$A$2:$B$15,2,0),'SA Q4 18 VR'!$B$24:$O$24,0),0)</f>
        <v>#REF!</v>
      </c>
      <c r="F907" s="27">
        <v>1</v>
      </c>
      <c r="G907">
        <f>RFI_Elements!N910</f>
        <v>909</v>
      </c>
      <c r="I907" t="e">
        <f>VLOOKUP(B907,SuiteCatSubElem!$G$2:$G$667,2,0)</f>
        <v>#REF!</v>
      </c>
    </row>
    <row r="908" spans="1:9">
      <c r="A908">
        <f>RFI_Elements!B911</f>
        <v>11</v>
      </c>
      <c r="B908">
        <f>RFI_Elements!C911</f>
        <v>468</v>
      </c>
      <c r="C908">
        <v>910</v>
      </c>
      <c r="D908" s="128">
        <v>43101.003472164353</v>
      </c>
      <c r="E908" t="e">
        <f>VLOOKUP(VLOOKUP(B908,SuiteCatSubElem!$G$2:$G$667,2,0),'SA Q4 18 VR'!$A$33:$O$193,1+MATCH(VLOOKUP(A908,Vendors!$A$2:$B$15,2,0),'SA Q4 18 VR'!$B$24:$O$24,0),0)</f>
        <v>#REF!</v>
      </c>
      <c r="F908" s="27">
        <v>1</v>
      </c>
      <c r="G908">
        <f>RFI_Elements!N911</f>
        <v>910</v>
      </c>
      <c r="I908" t="e">
        <f>VLOOKUP(B908,SuiteCatSubElem!$G$2:$G$667,2,0)</f>
        <v>#REF!</v>
      </c>
    </row>
    <row r="909" spans="1:9">
      <c r="A909">
        <f>RFI_Elements!B912</f>
        <v>11</v>
      </c>
      <c r="B909">
        <f>RFI_Elements!C912</f>
        <v>469</v>
      </c>
      <c r="C909">
        <v>911</v>
      </c>
      <c r="D909" s="128">
        <v>43101.003472164353</v>
      </c>
      <c r="E909" t="e">
        <f>VLOOKUP(VLOOKUP(B909,SuiteCatSubElem!$G$2:$G$667,2,0),'SA Q4 18 VR'!$A$33:$O$193,1+MATCH(VLOOKUP(A909,Vendors!$A$2:$B$15,2,0),'SA Q4 18 VR'!$B$24:$O$24,0),0)</f>
        <v>#REF!</v>
      </c>
      <c r="F909" s="27">
        <v>1</v>
      </c>
      <c r="G909">
        <f>RFI_Elements!N912</f>
        <v>911</v>
      </c>
      <c r="I909" t="e">
        <f>VLOOKUP(B909,SuiteCatSubElem!$G$2:$G$667,2,0)</f>
        <v>#REF!</v>
      </c>
    </row>
    <row r="910" spans="1:9">
      <c r="A910">
        <f>RFI_Elements!B913</f>
        <v>11</v>
      </c>
      <c r="B910">
        <f>RFI_Elements!C913</f>
        <v>470</v>
      </c>
      <c r="C910">
        <v>912</v>
      </c>
      <c r="D910" s="128">
        <v>43101.003472164353</v>
      </c>
      <c r="E910" t="e">
        <f>VLOOKUP(VLOOKUP(B910,SuiteCatSubElem!$G$2:$G$667,2,0),'SA Q4 18 VR'!$A$33:$O$193,1+MATCH(VLOOKUP(A910,Vendors!$A$2:$B$15,2,0),'SA Q4 18 VR'!$B$24:$O$24,0),0)</f>
        <v>#REF!</v>
      </c>
      <c r="F910" s="27">
        <v>1</v>
      </c>
      <c r="G910">
        <f>RFI_Elements!N913</f>
        <v>912</v>
      </c>
      <c r="I910" t="e">
        <f>VLOOKUP(B910,SuiteCatSubElem!$G$2:$G$667,2,0)</f>
        <v>#REF!</v>
      </c>
    </row>
    <row r="911" spans="1:9">
      <c r="A911">
        <f>RFI_Elements!B914</f>
        <v>11</v>
      </c>
      <c r="B911">
        <f>RFI_Elements!C914</f>
        <v>471</v>
      </c>
      <c r="C911">
        <v>913</v>
      </c>
      <c r="D911" s="128">
        <v>43101.003472164353</v>
      </c>
      <c r="E911" t="e">
        <f>VLOOKUP(VLOOKUP(B911,SuiteCatSubElem!$G$2:$G$667,2,0),'SA Q4 18 VR'!$A$33:$O$193,1+MATCH(VLOOKUP(A911,Vendors!$A$2:$B$15,2,0),'SA Q4 18 VR'!$B$24:$O$24,0),0)</f>
        <v>#REF!</v>
      </c>
      <c r="F911" s="27">
        <v>1</v>
      </c>
      <c r="G911">
        <f>RFI_Elements!N914</f>
        <v>913</v>
      </c>
      <c r="I911" t="e">
        <f>VLOOKUP(B911,SuiteCatSubElem!$G$2:$G$667,2,0)</f>
        <v>#REF!</v>
      </c>
    </row>
    <row r="912" spans="1:9">
      <c r="A912">
        <f>RFI_Elements!B915</f>
        <v>11</v>
      </c>
      <c r="B912">
        <f>RFI_Elements!C915</f>
        <v>472</v>
      </c>
      <c r="C912">
        <v>914</v>
      </c>
      <c r="D912" s="128">
        <v>43101.003472164353</v>
      </c>
      <c r="E912" t="e">
        <f>VLOOKUP(VLOOKUP(B912,SuiteCatSubElem!$G$2:$G$667,2,0),'SA Q4 18 VR'!$A$33:$O$193,1+MATCH(VLOOKUP(A912,Vendors!$A$2:$B$15,2,0),'SA Q4 18 VR'!$B$24:$O$24,0),0)</f>
        <v>#REF!</v>
      </c>
      <c r="F912" s="27">
        <v>1</v>
      </c>
      <c r="G912">
        <f>RFI_Elements!N915</f>
        <v>914</v>
      </c>
      <c r="I912" t="e">
        <f>VLOOKUP(B912,SuiteCatSubElem!$G$2:$G$667,2,0)</f>
        <v>#REF!</v>
      </c>
    </row>
    <row r="913" spans="1:9">
      <c r="A913">
        <f>RFI_Elements!B916</f>
        <v>11</v>
      </c>
      <c r="B913">
        <f>RFI_Elements!C916</f>
        <v>473</v>
      </c>
      <c r="C913">
        <v>915</v>
      </c>
      <c r="D913" s="128">
        <v>43101.003472164353</v>
      </c>
      <c r="E913" t="e">
        <f>VLOOKUP(VLOOKUP(B913,SuiteCatSubElem!$G$2:$G$667,2,0),'SA Q4 18 VR'!$A$33:$O$193,1+MATCH(VLOOKUP(A913,Vendors!$A$2:$B$15,2,0),'SA Q4 18 VR'!$B$24:$O$24,0),0)</f>
        <v>#REF!</v>
      </c>
      <c r="F913" s="27">
        <v>1</v>
      </c>
      <c r="G913">
        <f>RFI_Elements!N916</f>
        <v>915</v>
      </c>
      <c r="I913" t="e">
        <f>VLOOKUP(B913,SuiteCatSubElem!$G$2:$G$667,2,0)</f>
        <v>#REF!</v>
      </c>
    </row>
    <row r="914" spans="1:9">
      <c r="A914">
        <f>RFI_Elements!B917</f>
        <v>11</v>
      </c>
      <c r="B914">
        <f>RFI_Elements!C917</f>
        <v>474</v>
      </c>
      <c r="C914">
        <v>916</v>
      </c>
      <c r="D914" s="128">
        <v>43101.003472164353</v>
      </c>
      <c r="E914" t="e">
        <f>VLOOKUP(VLOOKUP(B914,SuiteCatSubElem!$G$2:$G$667,2,0),'SA Q4 18 VR'!$A$33:$O$193,1+MATCH(VLOOKUP(A914,Vendors!$A$2:$B$15,2,0),'SA Q4 18 VR'!$B$24:$O$24,0),0)</f>
        <v>#REF!</v>
      </c>
      <c r="F914" s="27">
        <v>1</v>
      </c>
      <c r="G914">
        <f>RFI_Elements!N917</f>
        <v>916</v>
      </c>
      <c r="I914" t="e">
        <f>VLOOKUP(B914,SuiteCatSubElem!$G$2:$G$667,2,0)</f>
        <v>#REF!</v>
      </c>
    </row>
    <row r="915" spans="1:9">
      <c r="A915">
        <f>RFI_Elements!B918</f>
        <v>11</v>
      </c>
      <c r="B915">
        <f>RFI_Elements!C918</f>
        <v>475</v>
      </c>
      <c r="C915">
        <v>917</v>
      </c>
      <c r="D915" s="128">
        <v>43101.003472164353</v>
      </c>
      <c r="E915" t="e">
        <f>VLOOKUP(VLOOKUP(B915,SuiteCatSubElem!$G$2:$G$667,2,0),'SA Q4 18 VR'!$A$33:$O$193,1+MATCH(VLOOKUP(A915,Vendors!$A$2:$B$15,2,0),'SA Q4 18 VR'!$B$24:$O$24,0),0)</f>
        <v>#REF!</v>
      </c>
      <c r="F915" s="27">
        <v>1</v>
      </c>
      <c r="G915">
        <f>RFI_Elements!N918</f>
        <v>917</v>
      </c>
      <c r="I915" t="e">
        <f>VLOOKUP(B915,SuiteCatSubElem!$G$2:$G$667,2,0)</f>
        <v>#REF!</v>
      </c>
    </row>
    <row r="916" spans="1:9">
      <c r="A916">
        <f>RFI_Elements!B919</f>
        <v>11</v>
      </c>
      <c r="B916">
        <f>RFI_Elements!C919</f>
        <v>476</v>
      </c>
      <c r="C916">
        <v>918</v>
      </c>
      <c r="D916" s="128">
        <v>43101.003472164353</v>
      </c>
      <c r="E916" t="e">
        <f>VLOOKUP(VLOOKUP(B916,SuiteCatSubElem!$G$2:$G$667,2,0),'SA Q4 18 VR'!$A$33:$O$193,1+MATCH(VLOOKUP(A916,Vendors!$A$2:$B$15,2,0),'SA Q4 18 VR'!$B$24:$O$24,0),0)</f>
        <v>#REF!</v>
      </c>
      <c r="F916" s="27">
        <v>1</v>
      </c>
      <c r="G916">
        <f>RFI_Elements!N919</f>
        <v>918</v>
      </c>
      <c r="I916" t="e">
        <f>VLOOKUP(B916,SuiteCatSubElem!$G$2:$G$667,2,0)</f>
        <v>#REF!</v>
      </c>
    </row>
    <row r="917" spans="1:9">
      <c r="A917">
        <f>RFI_Elements!B920</f>
        <v>11</v>
      </c>
      <c r="B917">
        <f>RFI_Elements!C920</f>
        <v>477</v>
      </c>
      <c r="C917">
        <v>919</v>
      </c>
      <c r="D917" s="128">
        <v>43101.003472164353</v>
      </c>
      <c r="E917" t="e">
        <f>VLOOKUP(VLOOKUP(B917,SuiteCatSubElem!$G$2:$G$667,2,0),'SA Q4 18 VR'!$A$33:$O$193,1+MATCH(VLOOKUP(A917,Vendors!$A$2:$B$15,2,0),'SA Q4 18 VR'!$B$24:$O$24,0),0)</f>
        <v>#REF!</v>
      </c>
      <c r="F917" s="27">
        <v>1</v>
      </c>
      <c r="G917">
        <f>RFI_Elements!N920</f>
        <v>919</v>
      </c>
      <c r="I917" t="e">
        <f>VLOOKUP(B917,SuiteCatSubElem!$G$2:$G$667,2,0)</f>
        <v>#REF!</v>
      </c>
    </row>
    <row r="918" spans="1:9">
      <c r="A918">
        <f>RFI_Elements!B921</f>
        <v>11</v>
      </c>
      <c r="B918">
        <f>RFI_Elements!C921</f>
        <v>478</v>
      </c>
      <c r="C918">
        <v>920</v>
      </c>
      <c r="D918" s="128">
        <v>43101.003472164353</v>
      </c>
      <c r="E918" t="e">
        <f>VLOOKUP(VLOOKUP(B918,SuiteCatSubElem!$G$2:$G$667,2,0),'SA Q4 18 VR'!$A$33:$O$193,1+MATCH(VLOOKUP(A918,Vendors!$A$2:$B$15,2,0),'SA Q4 18 VR'!$B$24:$O$24,0),0)</f>
        <v>#REF!</v>
      </c>
      <c r="F918" s="27">
        <v>1</v>
      </c>
      <c r="G918">
        <f>RFI_Elements!N921</f>
        <v>920</v>
      </c>
      <c r="I918" t="e">
        <f>VLOOKUP(B918,SuiteCatSubElem!$G$2:$G$667,2,0)</f>
        <v>#REF!</v>
      </c>
    </row>
    <row r="919" spans="1:9">
      <c r="A919">
        <f>RFI_Elements!B922</f>
        <v>11</v>
      </c>
      <c r="B919">
        <f>RFI_Elements!C922</f>
        <v>479</v>
      </c>
      <c r="C919">
        <v>921</v>
      </c>
      <c r="D919" s="128">
        <v>43101.003472164353</v>
      </c>
      <c r="E919" t="e">
        <f>VLOOKUP(VLOOKUP(B919,SuiteCatSubElem!$G$2:$G$667,2,0),'SA Q4 18 VR'!$A$33:$O$193,1+MATCH(VLOOKUP(A919,Vendors!$A$2:$B$15,2,0),'SA Q4 18 VR'!$B$24:$O$24,0),0)</f>
        <v>#REF!</v>
      </c>
      <c r="F919" s="27">
        <v>1</v>
      </c>
      <c r="G919">
        <f>RFI_Elements!N922</f>
        <v>921</v>
      </c>
      <c r="I919" t="e">
        <f>VLOOKUP(B919,SuiteCatSubElem!$G$2:$G$667,2,0)</f>
        <v>#REF!</v>
      </c>
    </row>
    <row r="920" spans="1:9">
      <c r="A920">
        <f>RFI_Elements!B923</f>
        <v>11</v>
      </c>
      <c r="B920">
        <f>RFI_Elements!C923</f>
        <v>480</v>
      </c>
      <c r="C920">
        <v>922</v>
      </c>
      <c r="D920" s="128">
        <v>43101.003472164353</v>
      </c>
      <c r="E920" t="e">
        <f>VLOOKUP(VLOOKUP(B920,SuiteCatSubElem!$G$2:$G$667,2,0),'SA Q4 18 VR'!$A$33:$O$193,1+MATCH(VLOOKUP(A920,Vendors!$A$2:$B$15,2,0),'SA Q4 18 VR'!$B$24:$O$24,0),0)</f>
        <v>#REF!</v>
      </c>
      <c r="F920" s="27">
        <v>1</v>
      </c>
      <c r="G920">
        <f>RFI_Elements!N923</f>
        <v>922</v>
      </c>
      <c r="I920" t="e">
        <f>VLOOKUP(B920,SuiteCatSubElem!$G$2:$G$667,2,0)</f>
        <v>#REF!</v>
      </c>
    </row>
    <row r="921" spans="1:9">
      <c r="A921">
        <f>RFI_Elements!B924</f>
        <v>11</v>
      </c>
      <c r="B921">
        <f>RFI_Elements!C924</f>
        <v>481</v>
      </c>
      <c r="C921">
        <v>923</v>
      </c>
      <c r="D921" s="128">
        <v>43101.003472164353</v>
      </c>
      <c r="E921" t="e">
        <f>VLOOKUP(VLOOKUP(B921,SuiteCatSubElem!$G$2:$G$667,2,0),'SA Q4 18 VR'!$A$33:$O$193,1+MATCH(VLOOKUP(A921,Vendors!$A$2:$B$15,2,0),'SA Q4 18 VR'!$B$24:$O$24,0),0)</f>
        <v>#REF!</v>
      </c>
      <c r="F921" s="27">
        <v>1</v>
      </c>
      <c r="G921">
        <f>RFI_Elements!N924</f>
        <v>923</v>
      </c>
      <c r="I921" t="e">
        <f>VLOOKUP(B921,SuiteCatSubElem!$G$2:$G$667,2,0)</f>
        <v>#REF!</v>
      </c>
    </row>
    <row r="922" spans="1:9">
      <c r="A922">
        <f>RFI_Elements!B925</f>
        <v>11</v>
      </c>
      <c r="B922">
        <f>RFI_Elements!C925</f>
        <v>482</v>
      </c>
      <c r="C922">
        <v>924</v>
      </c>
      <c r="D922" s="128">
        <v>43101.003472164353</v>
      </c>
      <c r="E922" t="e">
        <f>VLOOKUP(VLOOKUP(B922,SuiteCatSubElem!$G$2:$G$667,2,0),'SA Q4 18 VR'!$A$33:$O$193,1+MATCH(VLOOKUP(A922,Vendors!$A$2:$B$15,2,0),'SA Q4 18 VR'!$B$24:$O$24,0),0)</f>
        <v>#REF!</v>
      </c>
      <c r="F922" s="27">
        <v>1</v>
      </c>
      <c r="G922">
        <f>RFI_Elements!N925</f>
        <v>924</v>
      </c>
      <c r="I922" t="e">
        <f>VLOOKUP(B922,SuiteCatSubElem!$G$2:$G$667,2,0)</f>
        <v>#REF!</v>
      </c>
    </row>
    <row r="923" spans="1:9">
      <c r="A923">
        <f>RFI_Elements!B926</f>
        <v>11</v>
      </c>
      <c r="B923">
        <f>RFI_Elements!C926</f>
        <v>483</v>
      </c>
      <c r="C923">
        <v>925</v>
      </c>
      <c r="D923" s="128">
        <v>43101.003472164353</v>
      </c>
      <c r="E923" t="e">
        <f>VLOOKUP(VLOOKUP(B923,SuiteCatSubElem!$G$2:$G$667,2,0),'SA Q4 18 VR'!$A$33:$O$193,1+MATCH(VLOOKUP(A923,Vendors!$A$2:$B$15,2,0),'SA Q4 18 VR'!$B$24:$O$24,0),0)</f>
        <v>#REF!</v>
      </c>
      <c r="F923" s="27">
        <v>1</v>
      </c>
      <c r="G923">
        <f>RFI_Elements!N926</f>
        <v>925</v>
      </c>
      <c r="I923" t="e">
        <f>VLOOKUP(B923,SuiteCatSubElem!$G$2:$G$667,2,0)</f>
        <v>#REF!</v>
      </c>
    </row>
    <row r="924" spans="1:9">
      <c r="A924">
        <f>RFI_Elements!B927</f>
        <v>11</v>
      </c>
      <c r="B924">
        <f>RFI_Elements!C927</f>
        <v>484</v>
      </c>
      <c r="C924">
        <v>926</v>
      </c>
      <c r="D924" s="128">
        <v>43101.003472164353</v>
      </c>
      <c r="E924" t="e">
        <f>VLOOKUP(VLOOKUP(B924,SuiteCatSubElem!$G$2:$G$667,2,0),'SA Q4 18 VR'!$A$33:$O$193,1+MATCH(VLOOKUP(A924,Vendors!$A$2:$B$15,2,0),'SA Q4 18 VR'!$B$24:$O$24,0),0)</f>
        <v>#REF!</v>
      </c>
      <c r="F924" s="27">
        <v>1</v>
      </c>
      <c r="G924">
        <f>RFI_Elements!N927</f>
        <v>926</v>
      </c>
      <c r="I924" t="e">
        <f>VLOOKUP(B924,SuiteCatSubElem!$G$2:$G$667,2,0)</f>
        <v>#REF!</v>
      </c>
    </row>
    <row r="925" spans="1:9">
      <c r="A925">
        <f>RFI_Elements!B928</f>
        <v>11</v>
      </c>
      <c r="B925">
        <f>RFI_Elements!C928</f>
        <v>485</v>
      </c>
      <c r="C925">
        <v>927</v>
      </c>
      <c r="D925" s="128">
        <v>43101.003472164353</v>
      </c>
      <c r="E925" t="e">
        <f>VLOOKUP(VLOOKUP(B925,SuiteCatSubElem!$G$2:$G$667,2,0),'SA Q4 18 VR'!$A$33:$O$193,1+MATCH(VLOOKUP(A925,Vendors!$A$2:$B$15,2,0),'SA Q4 18 VR'!$B$24:$O$24,0),0)</f>
        <v>#REF!</v>
      </c>
      <c r="F925" s="27">
        <v>1</v>
      </c>
      <c r="G925">
        <f>RFI_Elements!N928</f>
        <v>927</v>
      </c>
      <c r="I925" t="e">
        <f>VLOOKUP(B925,SuiteCatSubElem!$G$2:$G$667,2,0)</f>
        <v>#REF!</v>
      </c>
    </row>
    <row r="926" spans="1:9">
      <c r="A926">
        <f>RFI_Elements!B929</f>
        <v>11</v>
      </c>
      <c r="B926">
        <f>RFI_Elements!C929</f>
        <v>486</v>
      </c>
      <c r="C926">
        <v>928</v>
      </c>
      <c r="D926" s="128">
        <v>43101.003472164353</v>
      </c>
      <c r="E926" t="e">
        <f>VLOOKUP(VLOOKUP(B926,SuiteCatSubElem!$G$2:$G$667,2,0),'SA Q4 18 VR'!$A$33:$O$193,1+MATCH(VLOOKUP(A926,Vendors!$A$2:$B$15,2,0),'SA Q4 18 VR'!$B$24:$O$24,0),0)</f>
        <v>#REF!</v>
      </c>
      <c r="F926" s="27">
        <v>1</v>
      </c>
      <c r="G926">
        <f>RFI_Elements!N929</f>
        <v>928</v>
      </c>
      <c r="I926" t="e">
        <f>VLOOKUP(B926,SuiteCatSubElem!$G$2:$G$667,2,0)</f>
        <v>#REF!</v>
      </c>
    </row>
    <row r="927" spans="1:9">
      <c r="A927">
        <f>RFI_Elements!B930</f>
        <v>11</v>
      </c>
      <c r="B927">
        <f>RFI_Elements!C930</f>
        <v>487</v>
      </c>
      <c r="C927">
        <v>929</v>
      </c>
      <c r="D927" s="128">
        <v>43101.003472164353</v>
      </c>
      <c r="E927" t="e">
        <f>VLOOKUP(VLOOKUP(B927,SuiteCatSubElem!$G$2:$G$667,2,0),'SA Q4 18 VR'!$A$33:$O$193,1+MATCH(VLOOKUP(A927,Vendors!$A$2:$B$15,2,0),'SA Q4 18 VR'!$B$24:$O$24,0),0)</f>
        <v>#REF!</v>
      </c>
      <c r="F927" s="27">
        <v>1</v>
      </c>
      <c r="G927">
        <f>RFI_Elements!N930</f>
        <v>929</v>
      </c>
      <c r="I927" t="e">
        <f>VLOOKUP(B927,SuiteCatSubElem!$G$2:$G$667,2,0)</f>
        <v>#REF!</v>
      </c>
    </row>
    <row r="928" spans="1:9">
      <c r="A928">
        <f>RFI_Elements!B931</f>
        <v>11</v>
      </c>
      <c r="B928">
        <f>RFI_Elements!C931</f>
        <v>488</v>
      </c>
      <c r="C928">
        <v>930</v>
      </c>
      <c r="D928" s="128">
        <v>43101.003472164353</v>
      </c>
      <c r="E928" t="e">
        <f>VLOOKUP(VLOOKUP(B928,SuiteCatSubElem!$G$2:$G$667,2,0),'SA Q4 18 VR'!$A$33:$O$193,1+MATCH(VLOOKUP(A928,Vendors!$A$2:$B$15,2,0),'SA Q4 18 VR'!$B$24:$O$24,0),0)</f>
        <v>#REF!</v>
      </c>
      <c r="F928" s="27">
        <v>1</v>
      </c>
      <c r="G928">
        <f>RFI_Elements!N931</f>
        <v>930</v>
      </c>
      <c r="I928" t="e">
        <f>VLOOKUP(B928,SuiteCatSubElem!$G$2:$G$667,2,0)</f>
        <v>#REF!</v>
      </c>
    </row>
    <row r="929" spans="1:9">
      <c r="A929">
        <f>RFI_Elements!B932</f>
        <v>11</v>
      </c>
      <c r="B929">
        <f>RFI_Elements!C932</f>
        <v>489</v>
      </c>
      <c r="C929">
        <v>931</v>
      </c>
      <c r="D929" s="128">
        <v>43101.003472164353</v>
      </c>
      <c r="E929" t="e">
        <f>VLOOKUP(VLOOKUP(B929,SuiteCatSubElem!$G$2:$G$667,2,0),'SA Q4 18 VR'!$A$33:$O$193,1+MATCH(VLOOKUP(A929,Vendors!$A$2:$B$15,2,0),'SA Q4 18 VR'!$B$24:$O$24,0),0)</f>
        <v>#REF!</v>
      </c>
      <c r="F929" s="27">
        <v>1</v>
      </c>
      <c r="G929">
        <f>RFI_Elements!N932</f>
        <v>931</v>
      </c>
      <c r="I929" t="e">
        <f>VLOOKUP(B929,SuiteCatSubElem!$G$2:$G$667,2,0)</f>
        <v>#REF!</v>
      </c>
    </row>
    <row r="930" spans="1:9">
      <c r="A930">
        <f>RFI_Elements!B933</f>
        <v>11</v>
      </c>
      <c r="B930">
        <f>RFI_Elements!C933</f>
        <v>490</v>
      </c>
      <c r="C930">
        <v>932</v>
      </c>
      <c r="D930" s="128">
        <v>43101.003472164353</v>
      </c>
      <c r="E930" t="e">
        <f>VLOOKUP(VLOOKUP(B930,SuiteCatSubElem!$G$2:$G$667,2,0),'SA Q4 18 VR'!$A$33:$O$193,1+MATCH(VLOOKUP(A930,Vendors!$A$2:$B$15,2,0),'SA Q4 18 VR'!$B$24:$O$24,0),0)</f>
        <v>#REF!</v>
      </c>
      <c r="F930" s="27">
        <v>1</v>
      </c>
      <c r="G930">
        <f>RFI_Elements!N933</f>
        <v>932</v>
      </c>
      <c r="I930" t="e">
        <f>VLOOKUP(B930,SuiteCatSubElem!$G$2:$G$667,2,0)</f>
        <v>#REF!</v>
      </c>
    </row>
    <row r="931" spans="1:9">
      <c r="A931">
        <f>RFI_Elements!B934</f>
        <v>11</v>
      </c>
      <c r="B931">
        <f>RFI_Elements!C934</f>
        <v>491</v>
      </c>
      <c r="C931">
        <v>933</v>
      </c>
      <c r="D931" s="128">
        <v>43101.003472164353</v>
      </c>
      <c r="E931" t="e">
        <f>VLOOKUP(VLOOKUP(B931,SuiteCatSubElem!$G$2:$G$667,2,0),'SA Q4 18 VR'!$A$33:$O$193,1+MATCH(VLOOKUP(A931,Vendors!$A$2:$B$15,2,0),'SA Q4 18 VR'!$B$24:$O$24,0),0)</f>
        <v>#REF!</v>
      </c>
      <c r="F931" s="27">
        <v>1</v>
      </c>
      <c r="G931">
        <f>RFI_Elements!N934</f>
        <v>933</v>
      </c>
      <c r="I931" t="e">
        <f>VLOOKUP(B931,SuiteCatSubElem!$G$2:$G$667,2,0)</f>
        <v>#REF!</v>
      </c>
    </row>
    <row r="932" spans="1:9">
      <c r="A932">
        <f>RFI_Elements!B935</f>
        <v>11</v>
      </c>
      <c r="B932">
        <f>RFI_Elements!C935</f>
        <v>492</v>
      </c>
      <c r="C932">
        <v>934</v>
      </c>
      <c r="D932" s="128">
        <v>43101.003472164353</v>
      </c>
      <c r="E932" t="e">
        <f>VLOOKUP(VLOOKUP(B932,SuiteCatSubElem!$G$2:$G$667,2,0),'SA Q4 18 VR'!$A$33:$O$193,1+MATCH(VLOOKUP(A932,Vendors!$A$2:$B$15,2,0),'SA Q4 18 VR'!$B$24:$O$24,0),0)</f>
        <v>#REF!</v>
      </c>
      <c r="F932" s="27">
        <v>1</v>
      </c>
      <c r="G932">
        <f>RFI_Elements!N935</f>
        <v>934</v>
      </c>
      <c r="I932" t="e">
        <f>VLOOKUP(B932,SuiteCatSubElem!$G$2:$G$667,2,0)</f>
        <v>#REF!</v>
      </c>
    </row>
    <row r="933" spans="1:9">
      <c r="A933">
        <f>RFI_Elements!B936</f>
        <v>11</v>
      </c>
      <c r="B933">
        <f>RFI_Elements!C936</f>
        <v>493</v>
      </c>
      <c r="C933">
        <v>935</v>
      </c>
      <c r="D933" s="128">
        <v>43101.003472164353</v>
      </c>
      <c r="E933" t="e">
        <f>VLOOKUP(VLOOKUP(B933,SuiteCatSubElem!$G$2:$G$667,2,0),'SA Q4 18 VR'!$A$33:$O$193,1+MATCH(VLOOKUP(A933,Vendors!$A$2:$B$15,2,0),'SA Q4 18 VR'!$B$24:$O$24,0),0)</f>
        <v>#REF!</v>
      </c>
      <c r="F933" s="27">
        <v>1</v>
      </c>
      <c r="G933">
        <f>RFI_Elements!N936</f>
        <v>935</v>
      </c>
      <c r="I933" t="e">
        <f>VLOOKUP(B933,SuiteCatSubElem!$G$2:$G$667,2,0)</f>
        <v>#REF!</v>
      </c>
    </row>
    <row r="934" spans="1:9">
      <c r="A934">
        <f>RFI_Elements!B937</f>
        <v>12</v>
      </c>
      <c r="B934">
        <f>RFI_Elements!C937</f>
        <v>409</v>
      </c>
      <c r="C934">
        <v>936</v>
      </c>
      <c r="D934" s="128">
        <v>43101.003472164353</v>
      </c>
      <c r="E934" t="e">
        <f>VLOOKUP(VLOOKUP(B934,SuiteCatSubElem!$G$2:$G$667,2,0),'SA Q4 18 VR'!$A$33:$O$193,1+MATCH(VLOOKUP(A934,Vendors!$A$2:$B$15,2,0),'SA Q4 18 VR'!$B$24:$O$24,0),0)</f>
        <v>#REF!</v>
      </c>
      <c r="F934" s="27">
        <v>1</v>
      </c>
      <c r="G934">
        <f>RFI_Elements!N937</f>
        <v>936</v>
      </c>
      <c r="I934" t="e">
        <f>VLOOKUP(B934,SuiteCatSubElem!$G$2:$G$667,2,0)</f>
        <v>#REF!</v>
      </c>
    </row>
    <row r="935" spans="1:9">
      <c r="A935">
        <f>RFI_Elements!B938</f>
        <v>12</v>
      </c>
      <c r="B935">
        <f>RFI_Elements!C938</f>
        <v>410</v>
      </c>
      <c r="C935">
        <v>937</v>
      </c>
      <c r="D935" s="128">
        <v>43101.003472164353</v>
      </c>
      <c r="E935" t="e">
        <f>VLOOKUP(VLOOKUP(B935,SuiteCatSubElem!$G$2:$G$667,2,0),'SA Q4 18 VR'!$A$33:$O$193,1+MATCH(VLOOKUP(A935,Vendors!$A$2:$B$15,2,0),'SA Q4 18 VR'!$B$24:$O$24,0),0)</f>
        <v>#REF!</v>
      </c>
      <c r="F935" s="27">
        <v>1</v>
      </c>
      <c r="G935">
        <f>RFI_Elements!N938</f>
        <v>937</v>
      </c>
      <c r="I935" t="e">
        <f>VLOOKUP(B935,SuiteCatSubElem!$G$2:$G$667,2,0)</f>
        <v>#REF!</v>
      </c>
    </row>
    <row r="936" spans="1:9">
      <c r="A936">
        <f>RFI_Elements!B939</f>
        <v>12</v>
      </c>
      <c r="B936">
        <f>RFI_Elements!C939</f>
        <v>411</v>
      </c>
      <c r="C936">
        <v>938</v>
      </c>
      <c r="D936" s="128">
        <v>43101.003472164353</v>
      </c>
      <c r="E936" t="e">
        <f>VLOOKUP(VLOOKUP(B936,SuiteCatSubElem!$G$2:$G$667,2,0),'SA Q4 18 VR'!$A$33:$O$193,1+MATCH(VLOOKUP(A936,Vendors!$A$2:$B$15,2,0),'SA Q4 18 VR'!$B$24:$O$24,0),0)</f>
        <v>#REF!</v>
      </c>
      <c r="F936" s="27">
        <v>1</v>
      </c>
      <c r="G936">
        <f>RFI_Elements!N939</f>
        <v>938</v>
      </c>
      <c r="I936" t="e">
        <f>VLOOKUP(B936,SuiteCatSubElem!$G$2:$G$667,2,0)</f>
        <v>#REF!</v>
      </c>
    </row>
    <row r="937" spans="1:9">
      <c r="A937">
        <f>RFI_Elements!B940</f>
        <v>12</v>
      </c>
      <c r="B937">
        <f>RFI_Elements!C940</f>
        <v>412</v>
      </c>
      <c r="C937">
        <v>939</v>
      </c>
      <c r="D937" s="128">
        <v>43101.003472164353</v>
      </c>
      <c r="E937" t="e">
        <f>VLOOKUP(VLOOKUP(B937,SuiteCatSubElem!$G$2:$G$667,2,0),'SA Q4 18 VR'!$A$33:$O$193,1+MATCH(VLOOKUP(A937,Vendors!$A$2:$B$15,2,0),'SA Q4 18 VR'!$B$24:$O$24,0),0)</f>
        <v>#REF!</v>
      </c>
      <c r="F937" s="27">
        <v>1</v>
      </c>
      <c r="G937">
        <f>RFI_Elements!N940</f>
        <v>939</v>
      </c>
      <c r="I937" t="e">
        <f>VLOOKUP(B937,SuiteCatSubElem!$G$2:$G$667,2,0)</f>
        <v>#REF!</v>
      </c>
    </row>
    <row r="938" spans="1:9">
      <c r="A938">
        <f>RFI_Elements!B941</f>
        <v>12</v>
      </c>
      <c r="B938">
        <f>RFI_Elements!C941</f>
        <v>413</v>
      </c>
      <c r="C938">
        <v>940</v>
      </c>
      <c r="D938" s="128">
        <v>43101.003472164353</v>
      </c>
      <c r="E938" t="e">
        <f>VLOOKUP(VLOOKUP(B938,SuiteCatSubElem!$G$2:$G$667,2,0),'SA Q4 18 VR'!$A$33:$O$193,1+MATCH(VLOOKUP(A938,Vendors!$A$2:$B$15,2,0),'SA Q4 18 VR'!$B$24:$O$24,0),0)</f>
        <v>#REF!</v>
      </c>
      <c r="F938" s="27">
        <v>1</v>
      </c>
      <c r="G938">
        <f>RFI_Elements!N941</f>
        <v>940</v>
      </c>
      <c r="I938" t="e">
        <f>VLOOKUP(B938,SuiteCatSubElem!$G$2:$G$667,2,0)</f>
        <v>#REF!</v>
      </c>
    </row>
    <row r="939" spans="1:9">
      <c r="A939">
        <f>RFI_Elements!B942</f>
        <v>12</v>
      </c>
      <c r="B939">
        <f>RFI_Elements!C942</f>
        <v>414</v>
      </c>
      <c r="C939">
        <v>941</v>
      </c>
      <c r="D939" s="128">
        <v>43101.003472164353</v>
      </c>
      <c r="E939" t="e">
        <f>VLOOKUP(VLOOKUP(B939,SuiteCatSubElem!$G$2:$G$667,2,0),'SA Q4 18 VR'!$A$33:$O$193,1+MATCH(VLOOKUP(A939,Vendors!$A$2:$B$15,2,0),'SA Q4 18 VR'!$B$24:$O$24,0),0)</f>
        <v>#REF!</v>
      </c>
      <c r="F939" s="27">
        <v>1</v>
      </c>
      <c r="G939">
        <f>RFI_Elements!N942</f>
        <v>941</v>
      </c>
      <c r="I939" t="e">
        <f>VLOOKUP(B939,SuiteCatSubElem!$G$2:$G$667,2,0)</f>
        <v>#REF!</v>
      </c>
    </row>
    <row r="940" spans="1:9">
      <c r="A940">
        <f>RFI_Elements!B943</f>
        <v>12</v>
      </c>
      <c r="B940">
        <f>RFI_Elements!C943</f>
        <v>415</v>
      </c>
      <c r="C940">
        <v>942</v>
      </c>
      <c r="D940" s="128">
        <v>43101.003472164353</v>
      </c>
      <c r="E940" t="e">
        <f>VLOOKUP(VLOOKUP(B940,SuiteCatSubElem!$G$2:$G$667,2,0),'SA Q4 18 VR'!$A$33:$O$193,1+MATCH(VLOOKUP(A940,Vendors!$A$2:$B$15,2,0),'SA Q4 18 VR'!$B$24:$O$24,0),0)</f>
        <v>#REF!</v>
      </c>
      <c r="F940" s="27">
        <v>1</v>
      </c>
      <c r="G940">
        <f>RFI_Elements!N943</f>
        <v>942</v>
      </c>
      <c r="I940" t="e">
        <f>VLOOKUP(B940,SuiteCatSubElem!$G$2:$G$667,2,0)</f>
        <v>#REF!</v>
      </c>
    </row>
    <row r="941" spans="1:9">
      <c r="A941">
        <f>RFI_Elements!B944</f>
        <v>12</v>
      </c>
      <c r="B941">
        <f>RFI_Elements!C944</f>
        <v>416</v>
      </c>
      <c r="C941">
        <v>943</v>
      </c>
      <c r="D941" s="128">
        <v>43101.003472164353</v>
      </c>
      <c r="E941" t="e">
        <f>VLOOKUP(VLOOKUP(B941,SuiteCatSubElem!$G$2:$G$667,2,0),'SA Q4 18 VR'!$A$33:$O$193,1+MATCH(VLOOKUP(A941,Vendors!$A$2:$B$15,2,0),'SA Q4 18 VR'!$B$24:$O$24,0),0)</f>
        <v>#REF!</v>
      </c>
      <c r="F941" s="27">
        <v>1</v>
      </c>
      <c r="G941">
        <f>RFI_Elements!N944</f>
        <v>943</v>
      </c>
      <c r="I941" t="e">
        <f>VLOOKUP(B941,SuiteCatSubElem!$G$2:$G$667,2,0)</f>
        <v>#REF!</v>
      </c>
    </row>
    <row r="942" spans="1:9">
      <c r="A942">
        <f>RFI_Elements!B945</f>
        <v>12</v>
      </c>
      <c r="B942">
        <f>RFI_Elements!C945</f>
        <v>417</v>
      </c>
      <c r="C942">
        <v>944</v>
      </c>
      <c r="D942" s="128">
        <v>43101.003472164353</v>
      </c>
      <c r="E942" t="e">
        <f>VLOOKUP(VLOOKUP(B942,SuiteCatSubElem!$G$2:$G$667,2,0),'SA Q4 18 VR'!$A$33:$O$193,1+MATCH(VLOOKUP(A942,Vendors!$A$2:$B$15,2,0),'SA Q4 18 VR'!$B$24:$O$24,0),0)</f>
        <v>#REF!</v>
      </c>
      <c r="F942" s="27">
        <v>1</v>
      </c>
      <c r="G942">
        <f>RFI_Elements!N945</f>
        <v>944</v>
      </c>
      <c r="I942" t="e">
        <f>VLOOKUP(B942,SuiteCatSubElem!$G$2:$G$667,2,0)</f>
        <v>#REF!</v>
      </c>
    </row>
    <row r="943" spans="1:9">
      <c r="A943">
        <f>RFI_Elements!B946</f>
        <v>12</v>
      </c>
      <c r="B943">
        <f>RFI_Elements!C946</f>
        <v>418</v>
      </c>
      <c r="C943">
        <v>945</v>
      </c>
      <c r="D943" s="128">
        <v>43101.003472164353</v>
      </c>
      <c r="E943" t="e">
        <f>VLOOKUP(VLOOKUP(B943,SuiteCatSubElem!$G$2:$G$667,2,0),'SA Q4 18 VR'!$A$33:$O$193,1+MATCH(VLOOKUP(A943,Vendors!$A$2:$B$15,2,0),'SA Q4 18 VR'!$B$24:$O$24,0),0)</f>
        <v>#REF!</v>
      </c>
      <c r="F943" s="27">
        <v>1</v>
      </c>
      <c r="G943">
        <f>RFI_Elements!N946</f>
        <v>945</v>
      </c>
      <c r="I943" t="e">
        <f>VLOOKUP(B943,SuiteCatSubElem!$G$2:$G$667,2,0)</f>
        <v>#REF!</v>
      </c>
    </row>
    <row r="944" spans="1:9">
      <c r="A944">
        <f>RFI_Elements!B947</f>
        <v>12</v>
      </c>
      <c r="B944">
        <f>RFI_Elements!C947</f>
        <v>419</v>
      </c>
      <c r="C944">
        <v>946</v>
      </c>
      <c r="D944" s="128">
        <v>43101.003472164353</v>
      </c>
      <c r="E944" t="e">
        <f>VLOOKUP(VLOOKUP(B944,SuiteCatSubElem!$G$2:$G$667,2,0),'SA Q4 18 VR'!$A$33:$O$193,1+MATCH(VLOOKUP(A944,Vendors!$A$2:$B$15,2,0),'SA Q4 18 VR'!$B$24:$O$24,0),0)</f>
        <v>#REF!</v>
      </c>
      <c r="F944" s="27">
        <v>1</v>
      </c>
      <c r="G944">
        <f>RFI_Elements!N947</f>
        <v>946</v>
      </c>
      <c r="I944" t="e">
        <f>VLOOKUP(B944,SuiteCatSubElem!$G$2:$G$667,2,0)</f>
        <v>#REF!</v>
      </c>
    </row>
    <row r="945" spans="1:9">
      <c r="A945">
        <f>RFI_Elements!B948</f>
        <v>12</v>
      </c>
      <c r="B945">
        <f>RFI_Elements!C948</f>
        <v>420</v>
      </c>
      <c r="C945">
        <v>947</v>
      </c>
      <c r="D945" s="128">
        <v>43101.003472164353</v>
      </c>
      <c r="E945" t="e">
        <f>VLOOKUP(VLOOKUP(B945,SuiteCatSubElem!$G$2:$G$667,2,0),'SA Q4 18 VR'!$A$33:$O$193,1+MATCH(VLOOKUP(A945,Vendors!$A$2:$B$15,2,0),'SA Q4 18 VR'!$B$24:$O$24,0),0)</f>
        <v>#REF!</v>
      </c>
      <c r="F945" s="27">
        <v>1</v>
      </c>
      <c r="G945">
        <f>RFI_Elements!N948</f>
        <v>947</v>
      </c>
      <c r="I945" t="e">
        <f>VLOOKUP(B945,SuiteCatSubElem!$G$2:$G$667,2,0)</f>
        <v>#REF!</v>
      </c>
    </row>
    <row r="946" spans="1:9">
      <c r="A946">
        <f>RFI_Elements!B949</f>
        <v>12</v>
      </c>
      <c r="B946">
        <f>RFI_Elements!C949</f>
        <v>421</v>
      </c>
      <c r="C946">
        <v>948</v>
      </c>
      <c r="D946" s="128">
        <v>43101.003472164353</v>
      </c>
      <c r="E946" t="e">
        <f>VLOOKUP(VLOOKUP(B946,SuiteCatSubElem!$G$2:$G$667,2,0),'SA Q4 18 VR'!$A$33:$O$193,1+MATCH(VLOOKUP(A946,Vendors!$A$2:$B$15,2,0),'SA Q4 18 VR'!$B$24:$O$24,0),0)</f>
        <v>#REF!</v>
      </c>
      <c r="F946" s="27">
        <v>1</v>
      </c>
      <c r="G946">
        <f>RFI_Elements!N949</f>
        <v>948</v>
      </c>
      <c r="I946" t="e">
        <f>VLOOKUP(B946,SuiteCatSubElem!$G$2:$G$667,2,0)</f>
        <v>#REF!</v>
      </c>
    </row>
    <row r="947" spans="1:9">
      <c r="A947">
        <f>RFI_Elements!B950</f>
        <v>12</v>
      </c>
      <c r="B947">
        <f>RFI_Elements!C950</f>
        <v>422</v>
      </c>
      <c r="C947">
        <v>949</v>
      </c>
      <c r="D947" s="128">
        <v>43101.003472164353</v>
      </c>
      <c r="E947" t="e">
        <f>VLOOKUP(VLOOKUP(B947,SuiteCatSubElem!$G$2:$G$667,2,0),'SA Q4 18 VR'!$A$33:$O$193,1+MATCH(VLOOKUP(A947,Vendors!$A$2:$B$15,2,0),'SA Q4 18 VR'!$B$24:$O$24,0),0)</f>
        <v>#REF!</v>
      </c>
      <c r="F947" s="27">
        <v>1</v>
      </c>
      <c r="G947">
        <f>RFI_Elements!N950</f>
        <v>949</v>
      </c>
      <c r="I947" t="e">
        <f>VLOOKUP(B947,SuiteCatSubElem!$G$2:$G$667,2,0)</f>
        <v>#REF!</v>
      </c>
    </row>
    <row r="948" spans="1:9">
      <c r="A948">
        <f>RFI_Elements!B951</f>
        <v>12</v>
      </c>
      <c r="B948">
        <f>RFI_Elements!C951</f>
        <v>423</v>
      </c>
      <c r="C948">
        <v>950</v>
      </c>
      <c r="D948" s="128">
        <v>43101.003472164353</v>
      </c>
      <c r="E948" t="e">
        <f>VLOOKUP(VLOOKUP(B948,SuiteCatSubElem!$G$2:$G$667,2,0),'SA Q4 18 VR'!$A$33:$O$193,1+MATCH(VLOOKUP(A948,Vendors!$A$2:$B$15,2,0),'SA Q4 18 VR'!$B$24:$O$24,0),0)</f>
        <v>#REF!</v>
      </c>
      <c r="F948" s="27">
        <v>1</v>
      </c>
      <c r="G948">
        <f>RFI_Elements!N951</f>
        <v>950</v>
      </c>
      <c r="I948" t="e">
        <f>VLOOKUP(B948,SuiteCatSubElem!$G$2:$G$667,2,0)</f>
        <v>#REF!</v>
      </c>
    </row>
    <row r="949" spans="1:9">
      <c r="A949">
        <f>RFI_Elements!B952</f>
        <v>12</v>
      </c>
      <c r="B949">
        <f>RFI_Elements!C952</f>
        <v>424</v>
      </c>
      <c r="C949">
        <v>951</v>
      </c>
      <c r="D949" s="128">
        <v>43101.003472164353</v>
      </c>
      <c r="E949" t="e">
        <f>VLOOKUP(VLOOKUP(B949,SuiteCatSubElem!$G$2:$G$667,2,0),'SA Q4 18 VR'!$A$33:$O$193,1+MATCH(VLOOKUP(A949,Vendors!$A$2:$B$15,2,0),'SA Q4 18 VR'!$B$24:$O$24,0),0)</f>
        <v>#REF!</v>
      </c>
      <c r="F949" s="27">
        <v>1</v>
      </c>
      <c r="G949">
        <f>RFI_Elements!N952</f>
        <v>951</v>
      </c>
      <c r="I949" t="e">
        <f>VLOOKUP(B949,SuiteCatSubElem!$G$2:$G$667,2,0)</f>
        <v>#REF!</v>
      </c>
    </row>
    <row r="950" spans="1:9">
      <c r="A950">
        <f>RFI_Elements!B953</f>
        <v>12</v>
      </c>
      <c r="B950">
        <f>RFI_Elements!C953</f>
        <v>425</v>
      </c>
      <c r="C950">
        <v>952</v>
      </c>
      <c r="D950" s="128">
        <v>43101.003472164353</v>
      </c>
      <c r="E950" t="e">
        <f>VLOOKUP(VLOOKUP(B950,SuiteCatSubElem!$G$2:$G$667,2,0),'SA Q4 18 VR'!$A$33:$O$193,1+MATCH(VLOOKUP(A950,Vendors!$A$2:$B$15,2,0),'SA Q4 18 VR'!$B$24:$O$24,0),0)</f>
        <v>#REF!</v>
      </c>
      <c r="F950" s="27">
        <v>1</v>
      </c>
      <c r="G950">
        <f>RFI_Elements!N953</f>
        <v>952</v>
      </c>
      <c r="I950" t="e">
        <f>VLOOKUP(B950,SuiteCatSubElem!$G$2:$G$667,2,0)</f>
        <v>#REF!</v>
      </c>
    </row>
    <row r="951" spans="1:9">
      <c r="A951">
        <f>RFI_Elements!B954</f>
        <v>12</v>
      </c>
      <c r="B951">
        <f>RFI_Elements!C954</f>
        <v>426</v>
      </c>
      <c r="C951">
        <v>953</v>
      </c>
      <c r="D951" s="128">
        <v>43101.003472164353</v>
      </c>
      <c r="E951" t="e">
        <f>VLOOKUP(VLOOKUP(B951,SuiteCatSubElem!$G$2:$G$667,2,0),'SA Q4 18 VR'!$A$33:$O$193,1+MATCH(VLOOKUP(A951,Vendors!$A$2:$B$15,2,0),'SA Q4 18 VR'!$B$24:$O$24,0),0)</f>
        <v>#REF!</v>
      </c>
      <c r="F951" s="27">
        <v>1</v>
      </c>
      <c r="G951">
        <f>RFI_Elements!N954</f>
        <v>953</v>
      </c>
      <c r="I951" t="e">
        <f>VLOOKUP(B951,SuiteCatSubElem!$G$2:$G$667,2,0)</f>
        <v>#REF!</v>
      </c>
    </row>
    <row r="952" spans="1:9">
      <c r="A952">
        <f>RFI_Elements!B955</f>
        <v>12</v>
      </c>
      <c r="B952">
        <f>RFI_Elements!C955</f>
        <v>427</v>
      </c>
      <c r="C952">
        <v>954</v>
      </c>
      <c r="D952" s="128">
        <v>43101.003472164353</v>
      </c>
      <c r="E952" t="e">
        <f>VLOOKUP(VLOOKUP(B952,SuiteCatSubElem!$G$2:$G$667,2,0),'SA Q4 18 VR'!$A$33:$O$193,1+MATCH(VLOOKUP(A952,Vendors!$A$2:$B$15,2,0),'SA Q4 18 VR'!$B$24:$O$24,0),0)</f>
        <v>#REF!</v>
      </c>
      <c r="F952" s="27">
        <v>1</v>
      </c>
      <c r="G952">
        <f>RFI_Elements!N955</f>
        <v>954</v>
      </c>
      <c r="I952" t="e">
        <f>VLOOKUP(B952,SuiteCatSubElem!$G$2:$G$667,2,0)</f>
        <v>#REF!</v>
      </c>
    </row>
    <row r="953" spans="1:9">
      <c r="A953">
        <f>RFI_Elements!B956</f>
        <v>12</v>
      </c>
      <c r="B953">
        <f>RFI_Elements!C956</f>
        <v>428</v>
      </c>
      <c r="C953">
        <v>955</v>
      </c>
      <c r="D953" s="128">
        <v>43101.003472164353</v>
      </c>
      <c r="E953" t="e">
        <f>VLOOKUP(VLOOKUP(B953,SuiteCatSubElem!$G$2:$G$667,2,0),'SA Q4 18 VR'!$A$33:$O$193,1+MATCH(VLOOKUP(A953,Vendors!$A$2:$B$15,2,0),'SA Q4 18 VR'!$B$24:$O$24,0),0)</f>
        <v>#REF!</v>
      </c>
      <c r="F953" s="27">
        <v>1</v>
      </c>
      <c r="G953">
        <f>RFI_Elements!N956</f>
        <v>955</v>
      </c>
      <c r="I953" t="e">
        <f>VLOOKUP(B953,SuiteCatSubElem!$G$2:$G$667,2,0)</f>
        <v>#REF!</v>
      </c>
    </row>
    <row r="954" spans="1:9">
      <c r="A954">
        <f>RFI_Elements!B957</f>
        <v>12</v>
      </c>
      <c r="B954">
        <f>RFI_Elements!C957</f>
        <v>429</v>
      </c>
      <c r="C954">
        <v>956</v>
      </c>
      <c r="D954" s="128">
        <v>43101.003472164353</v>
      </c>
      <c r="E954" t="e">
        <f>VLOOKUP(VLOOKUP(B954,SuiteCatSubElem!$G$2:$G$667,2,0),'SA Q4 18 VR'!$A$33:$O$193,1+MATCH(VLOOKUP(A954,Vendors!$A$2:$B$15,2,0),'SA Q4 18 VR'!$B$24:$O$24,0),0)</f>
        <v>#REF!</v>
      </c>
      <c r="F954" s="27">
        <v>1</v>
      </c>
      <c r="G954">
        <f>RFI_Elements!N957</f>
        <v>956</v>
      </c>
      <c r="I954" t="e">
        <f>VLOOKUP(B954,SuiteCatSubElem!$G$2:$G$667,2,0)</f>
        <v>#REF!</v>
      </c>
    </row>
    <row r="955" spans="1:9">
      <c r="A955">
        <f>RFI_Elements!B958</f>
        <v>12</v>
      </c>
      <c r="B955">
        <f>RFI_Elements!C958</f>
        <v>430</v>
      </c>
      <c r="C955">
        <v>957</v>
      </c>
      <c r="D955" s="128">
        <v>43101.003472164353</v>
      </c>
      <c r="E955" t="e">
        <f>VLOOKUP(VLOOKUP(B955,SuiteCatSubElem!$G$2:$G$667,2,0),'SA Q4 18 VR'!$A$33:$O$193,1+MATCH(VLOOKUP(A955,Vendors!$A$2:$B$15,2,0),'SA Q4 18 VR'!$B$24:$O$24,0),0)</f>
        <v>#REF!</v>
      </c>
      <c r="F955" s="27">
        <v>1</v>
      </c>
      <c r="G955">
        <f>RFI_Elements!N958</f>
        <v>957</v>
      </c>
      <c r="I955" t="e">
        <f>VLOOKUP(B955,SuiteCatSubElem!$G$2:$G$667,2,0)</f>
        <v>#REF!</v>
      </c>
    </row>
    <row r="956" spans="1:9">
      <c r="A956">
        <f>RFI_Elements!B959</f>
        <v>12</v>
      </c>
      <c r="B956">
        <f>RFI_Elements!C959</f>
        <v>431</v>
      </c>
      <c r="C956">
        <v>958</v>
      </c>
      <c r="D956" s="128">
        <v>43101.003472164353</v>
      </c>
      <c r="E956" t="e">
        <f>VLOOKUP(VLOOKUP(B956,SuiteCatSubElem!$G$2:$G$667,2,0),'SA Q4 18 VR'!$A$33:$O$193,1+MATCH(VLOOKUP(A956,Vendors!$A$2:$B$15,2,0),'SA Q4 18 VR'!$B$24:$O$24,0),0)</f>
        <v>#REF!</v>
      </c>
      <c r="F956" s="27">
        <v>1</v>
      </c>
      <c r="G956">
        <f>RFI_Elements!N959</f>
        <v>958</v>
      </c>
      <c r="I956" t="e">
        <f>VLOOKUP(B956,SuiteCatSubElem!$G$2:$G$667,2,0)</f>
        <v>#REF!</v>
      </c>
    </row>
    <row r="957" spans="1:9">
      <c r="A957">
        <f>RFI_Elements!B960</f>
        <v>12</v>
      </c>
      <c r="B957">
        <f>RFI_Elements!C960</f>
        <v>432</v>
      </c>
      <c r="C957">
        <v>959</v>
      </c>
      <c r="D957" s="128">
        <v>43101.003472164353</v>
      </c>
      <c r="E957" t="e">
        <f>VLOOKUP(VLOOKUP(B957,SuiteCatSubElem!$G$2:$G$667,2,0),'SA Q4 18 VR'!$A$33:$O$193,1+MATCH(VLOOKUP(A957,Vendors!$A$2:$B$15,2,0),'SA Q4 18 VR'!$B$24:$O$24,0),0)</f>
        <v>#REF!</v>
      </c>
      <c r="F957" s="27">
        <v>1</v>
      </c>
      <c r="G957">
        <f>RFI_Elements!N960</f>
        <v>959</v>
      </c>
      <c r="I957" t="e">
        <f>VLOOKUP(B957,SuiteCatSubElem!$G$2:$G$667,2,0)</f>
        <v>#REF!</v>
      </c>
    </row>
    <row r="958" spans="1:9">
      <c r="A958">
        <f>RFI_Elements!B961</f>
        <v>12</v>
      </c>
      <c r="B958">
        <f>RFI_Elements!C961</f>
        <v>433</v>
      </c>
      <c r="C958">
        <v>960</v>
      </c>
      <c r="D958" s="128">
        <v>43101.003472164353</v>
      </c>
      <c r="E958" t="e">
        <f>VLOOKUP(VLOOKUP(B958,SuiteCatSubElem!$G$2:$G$667,2,0),'SA Q4 18 VR'!$A$33:$O$193,1+MATCH(VLOOKUP(A958,Vendors!$A$2:$B$15,2,0),'SA Q4 18 VR'!$B$24:$O$24,0),0)</f>
        <v>#REF!</v>
      </c>
      <c r="F958" s="27">
        <v>1</v>
      </c>
      <c r="G958">
        <f>RFI_Elements!N961</f>
        <v>960</v>
      </c>
      <c r="I958" t="e">
        <f>VLOOKUP(B958,SuiteCatSubElem!$G$2:$G$667,2,0)</f>
        <v>#REF!</v>
      </c>
    </row>
    <row r="959" spans="1:9">
      <c r="A959">
        <f>RFI_Elements!B962</f>
        <v>12</v>
      </c>
      <c r="B959">
        <f>RFI_Elements!C962</f>
        <v>434</v>
      </c>
      <c r="C959">
        <v>961</v>
      </c>
      <c r="D959" s="128">
        <v>43101.003472164353</v>
      </c>
      <c r="E959" t="e">
        <f>VLOOKUP(VLOOKUP(B959,SuiteCatSubElem!$G$2:$G$667,2,0),'SA Q4 18 VR'!$A$33:$O$193,1+MATCH(VLOOKUP(A959,Vendors!$A$2:$B$15,2,0),'SA Q4 18 VR'!$B$24:$O$24,0),0)</f>
        <v>#REF!</v>
      </c>
      <c r="F959" s="27">
        <v>1</v>
      </c>
      <c r="G959">
        <f>RFI_Elements!N962</f>
        <v>961</v>
      </c>
      <c r="I959" t="e">
        <f>VLOOKUP(B959,SuiteCatSubElem!$G$2:$G$667,2,0)</f>
        <v>#REF!</v>
      </c>
    </row>
    <row r="960" spans="1:9">
      <c r="A960">
        <f>RFI_Elements!B963</f>
        <v>12</v>
      </c>
      <c r="B960">
        <f>RFI_Elements!C963</f>
        <v>435</v>
      </c>
      <c r="C960">
        <v>962</v>
      </c>
      <c r="D960" s="128">
        <v>43101.003472164353</v>
      </c>
      <c r="E960" t="e">
        <f>VLOOKUP(VLOOKUP(B960,SuiteCatSubElem!$G$2:$G$667,2,0),'SA Q4 18 VR'!$A$33:$O$193,1+MATCH(VLOOKUP(A960,Vendors!$A$2:$B$15,2,0),'SA Q4 18 VR'!$B$24:$O$24,0),0)</f>
        <v>#REF!</v>
      </c>
      <c r="F960" s="27">
        <v>1</v>
      </c>
      <c r="G960">
        <f>RFI_Elements!N963</f>
        <v>962</v>
      </c>
      <c r="I960" t="e">
        <f>VLOOKUP(B960,SuiteCatSubElem!$G$2:$G$667,2,0)</f>
        <v>#REF!</v>
      </c>
    </row>
    <row r="961" spans="1:9">
      <c r="A961">
        <f>RFI_Elements!B964</f>
        <v>12</v>
      </c>
      <c r="B961">
        <f>RFI_Elements!C964</f>
        <v>436</v>
      </c>
      <c r="C961">
        <v>963</v>
      </c>
      <c r="D961" s="128">
        <v>43101.003472164353</v>
      </c>
      <c r="E961" t="e">
        <f>VLOOKUP(VLOOKUP(B961,SuiteCatSubElem!$G$2:$G$667,2,0),'SA Q4 18 VR'!$A$33:$O$193,1+MATCH(VLOOKUP(A961,Vendors!$A$2:$B$15,2,0),'SA Q4 18 VR'!$B$24:$O$24,0),0)</f>
        <v>#REF!</v>
      </c>
      <c r="F961" s="27">
        <v>1</v>
      </c>
      <c r="G961">
        <f>RFI_Elements!N964</f>
        <v>963</v>
      </c>
      <c r="I961" t="e">
        <f>VLOOKUP(B961,SuiteCatSubElem!$G$2:$G$667,2,0)</f>
        <v>#REF!</v>
      </c>
    </row>
    <row r="962" spans="1:9">
      <c r="A962">
        <f>RFI_Elements!B965</f>
        <v>12</v>
      </c>
      <c r="B962">
        <f>RFI_Elements!C965</f>
        <v>437</v>
      </c>
      <c r="C962">
        <v>964</v>
      </c>
      <c r="D962" s="128">
        <v>43101.003472164353</v>
      </c>
      <c r="E962" t="e">
        <f>VLOOKUP(VLOOKUP(B962,SuiteCatSubElem!$G$2:$G$667,2,0),'SA Q4 18 VR'!$A$33:$O$193,1+MATCH(VLOOKUP(A962,Vendors!$A$2:$B$15,2,0),'SA Q4 18 VR'!$B$24:$O$24,0),0)</f>
        <v>#REF!</v>
      </c>
      <c r="F962" s="27">
        <v>1</v>
      </c>
      <c r="G962">
        <f>RFI_Elements!N965</f>
        <v>964</v>
      </c>
      <c r="I962" t="e">
        <f>VLOOKUP(B962,SuiteCatSubElem!$G$2:$G$667,2,0)</f>
        <v>#REF!</v>
      </c>
    </row>
    <row r="963" spans="1:9">
      <c r="A963">
        <f>RFI_Elements!B966</f>
        <v>12</v>
      </c>
      <c r="B963">
        <f>RFI_Elements!C966</f>
        <v>438</v>
      </c>
      <c r="C963">
        <v>965</v>
      </c>
      <c r="D963" s="128">
        <v>43101.003472164353</v>
      </c>
      <c r="E963" t="e">
        <f>VLOOKUP(VLOOKUP(B963,SuiteCatSubElem!$G$2:$G$667,2,0),'SA Q4 18 VR'!$A$33:$O$193,1+MATCH(VLOOKUP(A963,Vendors!$A$2:$B$15,2,0),'SA Q4 18 VR'!$B$24:$O$24,0),0)</f>
        <v>#REF!</v>
      </c>
      <c r="F963" s="27">
        <v>1</v>
      </c>
      <c r="G963">
        <f>RFI_Elements!N966</f>
        <v>965</v>
      </c>
      <c r="I963" t="e">
        <f>VLOOKUP(B963,SuiteCatSubElem!$G$2:$G$667,2,0)</f>
        <v>#REF!</v>
      </c>
    </row>
    <row r="964" spans="1:9">
      <c r="A964">
        <f>RFI_Elements!B967</f>
        <v>12</v>
      </c>
      <c r="B964">
        <f>RFI_Elements!C967</f>
        <v>439</v>
      </c>
      <c r="C964">
        <v>966</v>
      </c>
      <c r="D964" s="128">
        <v>43101.003472164353</v>
      </c>
      <c r="E964" t="e">
        <f>VLOOKUP(VLOOKUP(B964,SuiteCatSubElem!$G$2:$G$667,2,0),'SA Q4 18 VR'!$A$33:$O$193,1+MATCH(VLOOKUP(A964,Vendors!$A$2:$B$15,2,0),'SA Q4 18 VR'!$B$24:$O$24,0),0)</f>
        <v>#REF!</v>
      </c>
      <c r="F964" s="27">
        <v>1</v>
      </c>
      <c r="G964">
        <f>RFI_Elements!N967</f>
        <v>966</v>
      </c>
      <c r="I964" t="e">
        <f>VLOOKUP(B964,SuiteCatSubElem!$G$2:$G$667,2,0)</f>
        <v>#REF!</v>
      </c>
    </row>
    <row r="965" spans="1:9">
      <c r="A965">
        <f>RFI_Elements!B968</f>
        <v>12</v>
      </c>
      <c r="B965">
        <f>RFI_Elements!C968</f>
        <v>440</v>
      </c>
      <c r="C965">
        <v>967</v>
      </c>
      <c r="D965" s="128">
        <v>43101.003472164353</v>
      </c>
      <c r="E965" t="e">
        <f>VLOOKUP(VLOOKUP(B965,SuiteCatSubElem!$G$2:$G$667,2,0),'SA Q4 18 VR'!$A$33:$O$193,1+MATCH(VLOOKUP(A965,Vendors!$A$2:$B$15,2,0),'SA Q4 18 VR'!$B$24:$O$24,0),0)</f>
        <v>#REF!</v>
      </c>
      <c r="F965" s="27">
        <v>1</v>
      </c>
      <c r="G965">
        <f>RFI_Elements!N968</f>
        <v>967</v>
      </c>
      <c r="I965" t="e">
        <f>VLOOKUP(B965,SuiteCatSubElem!$G$2:$G$667,2,0)</f>
        <v>#REF!</v>
      </c>
    </row>
    <row r="966" spans="1:9">
      <c r="A966">
        <f>RFI_Elements!B969</f>
        <v>12</v>
      </c>
      <c r="B966">
        <f>RFI_Elements!C969</f>
        <v>441</v>
      </c>
      <c r="C966">
        <v>968</v>
      </c>
      <c r="D966" s="128">
        <v>43101.003472164353</v>
      </c>
      <c r="E966" t="e">
        <f>VLOOKUP(VLOOKUP(B966,SuiteCatSubElem!$G$2:$G$667,2,0),'SA Q4 18 VR'!$A$33:$O$193,1+MATCH(VLOOKUP(A966,Vendors!$A$2:$B$15,2,0),'SA Q4 18 VR'!$B$24:$O$24,0),0)</f>
        <v>#REF!</v>
      </c>
      <c r="F966" s="27">
        <v>1</v>
      </c>
      <c r="G966">
        <f>RFI_Elements!N969</f>
        <v>968</v>
      </c>
      <c r="I966" t="e">
        <f>VLOOKUP(B966,SuiteCatSubElem!$G$2:$G$667,2,0)</f>
        <v>#REF!</v>
      </c>
    </row>
    <row r="967" spans="1:9">
      <c r="A967">
        <f>RFI_Elements!B970</f>
        <v>12</v>
      </c>
      <c r="B967">
        <f>RFI_Elements!C970</f>
        <v>442</v>
      </c>
      <c r="C967">
        <v>969</v>
      </c>
      <c r="D967" s="128">
        <v>43101.003472164353</v>
      </c>
      <c r="E967" t="e">
        <f>VLOOKUP(VLOOKUP(B967,SuiteCatSubElem!$G$2:$G$667,2,0),'SA Q4 18 VR'!$A$33:$O$193,1+MATCH(VLOOKUP(A967,Vendors!$A$2:$B$15,2,0),'SA Q4 18 VR'!$B$24:$O$24,0),0)</f>
        <v>#REF!</v>
      </c>
      <c r="F967" s="27">
        <v>1</v>
      </c>
      <c r="G967">
        <f>RFI_Elements!N970</f>
        <v>969</v>
      </c>
      <c r="I967" t="e">
        <f>VLOOKUP(B967,SuiteCatSubElem!$G$2:$G$667,2,0)</f>
        <v>#REF!</v>
      </c>
    </row>
    <row r="968" spans="1:9">
      <c r="A968">
        <f>RFI_Elements!B971</f>
        <v>12</v>
      </c>
      <c r="B968">
        <f>RFI_Elements!C971</f>
        <v>443</v>
      </c>
      <c r="C968">
        <v>970</v>
      </c>
      <c r="D968" s="128">
        <v>43101.003472164353</v>
      </c>
      <c r="E968" t="e">
        <f>VLOOKUP(VLOOKUP(B968,SuiteCatSubElem!$G$2:$G$667,2,0),'SA Q4 18 VR'!$A$33:$O$193,1+MATCH(VLOOKUP(A968,Vendors!$A$2:$B$15,2,0),'SA Q4 18 VR'!$B$24:$O$24,0),0)</f>
        <v>#REF!</v>
      </c>
      <c r="F968" s="27">
        <v>1</v>
      </c>
      <c r="G968">
        <f>RFI_Elements!N971</f>
        <v>970</v>
      </c>
      <c r="I968" t="e">
        <f>VLOOKUP(B968,SuiteCatSubElem!$G$2:$G$667,2,0)</f>
        <v>#REF!</v>
      </c>
    </row>
    <row r="969" spans="1:9">
      <c r="A969">
        <f>RFI_Elements!B972</f>
        <v>12</v>
      </c>
      <c r="B969">
        <f>RFI_Elements!C972</f>
        <v>444</v>
      </c>
      <c r="C969">
        <v>971</v>
      </c>
      <c r="D969" s="128">
        <v>43101.003472164353</v>
      </c>
      <c r="E969" t="e">
        <f>VLOOKUP(VLOOKUP(B969,SuiteCatSubElem!$G$2:$G$667,2,0),'SA Q4 18 VR'!$A$33:$O$193,1+MATCH(VLOOKUP(A969,Vendors!$A$2:$B$15,2,0),'SA Q4 18 VR'!$B$24:$O$24,0),0)</f>
        <v>#REF!</v>
      </c>
      <c r="F969" s="27">
        <v>1</v>
      </c>
      <c r="G969">
        <f>RFI_Elements!N972</f>
        <v>971</v>
      </c>
      <c r="I969" t="e">
        <f>VLOOKUP(B969,SuiteCatSubElem!$G$2:$G$667,2,0)</f>
        <v>#REF!</v>
      </c>
    </row>
    <row r="970" spans="1:9">
      <c r="A970">
        <f>RFI_Elements!B973</f>
        <v>12</v>
      </c>
      <c r="B970">
        <f>RFI_Elements!C973</f>
        <v>445</v>
      </c>
      <c r="C970">
        <v>972</v>
      </c>
      <c r="D970" s="128">
        <v>43101.003472164353</v>
      </c>
      <c r="E970" t="e">
        <f>VLOOKUP(VLOOKUP(B970,SuiteCatSubElem!$G$2:$G$667,2,0),'SA Q4 18 VR'!$A$33:$O$193,1+MATCH(VLOOKUP(A970,Vendors!$A$2:$B$15,2,0),'SA Q4 18 VR'!$B$24:$O$24,0),0)</f>
        <v>#REF!</v>
      </c>
      <c r="F970" s="27">
        <v>1</v>
      </c>
      <c r="G970">
        <f>RFI_Elements!N973</f>
        <v>972</v>
      </c>
      <c r="I970" t="e">
        <f>VLOOKUP(B970,SuiteCatSubElem!$G$2:$G$667,2,0)</f>
        <v>#REF!</v>
      </c>
    </row>
    <row r="971" spans="1:9">
      <c r="A971">
        <f>RFI_Elements!B974</f>
        <v>12</v>
      </c>
      <c r="B971">
        <f>RFI_Elements!C974</f>
        <v>446</v>
      </c>
      <c r="C971">
        <v>973</v>
      </c>
      <c r="D971" s="128">
        <v>43101.003472164353</v>
      </c>
      <c r="E971" t="e">
        <f>VLOOKUP(VLOOKUP(B971,SuiteCatSubElem!$G$2:$G$667,2,0),'SA Q4 18 VR'!$A$33:$O$193,1+MATCH(VLOOKUP(A971,Vendors!$A$2:$B$15,2,0),'SA Q4 18 VR'!$B$24:$O$24,0),0)</f>
        <v>#REF!</v>
      </c>
      <c r="F971" s="27">
        <v>1</v>
      </c>
      <c r="G971">
        <f>RFI_Elements!N974</f>
        <v>973</v>
      </c>
      <c r="I971" t="e">
        <f>VLOOKUP(B971,SuiteCatSubElem!$G$2:$G$667,2,0)</f>
        <v>#REF!</v>
      </c>
    </row>
    <row r="972" spans="1:9">
      <c r="A972">
        <f>RFI_Elements!B975</f>
        <v>12</v>
      </c>
      <c r="B972">
        <f>RFI_Elements!C975</f>
        <v>447</v>
      </c>
      <c r="C972">
        <v>974</v>
      </c>
      <c r="D972" s="128">
        <v>43101.003472164353</v>
      </c>
      <c r="E972" t="e">
        <f>VLOOKUP(VLOOKUP(B972,SuiteCatSubElem!$G$2:$G$667,2,0),'SA Q4 18 VR'!$A$33:$O$193,1+MATCH(VLOOKUP(A972,Vendors!$A$2:$B$15,2,0),'SA Q4 18 VR'!$B$24:$O$24,0),0)</f>
        <v>#REF!</v>
      </c>
      <c r="F972" s="27">
        <v>1</v>
      </c>
      <c r="G972">
        <f>RFI_Elements!N975</f>
        <v>974</v>
      </c>
      <c r="I972" t="e">
        <f>VLOOKUP(B972,SuiteCatSubElem!$G$2:$G$667,2,0)</f>
        <v>#REF!</v>
      </c>
    </row>
    <row r="973" spans="1:9">
      <c r="A973">
        <f>RFI_Elements!B976</f>
        <v>12</v>
      </c>
      <c r="B973">
        <f>RFI_Elements!C976</f>
        <v>448</v>
      </c>
      <c r="C973">
        <v>975</v>
      </c>
      <c r="D973" s="128">
        <v>43101.003472164353</v>
      </c>
      <c r="E973" t="e">
        <f>VLOOKUP(VLOOKUP(B973,SuiteCatSubElem!$G$2:$G$667,2,0),'SA Q4 18 VR'!$A$33:$O$193,1+MATCH(VLOOKUP(A973,Vendors!$A$2:$B$15,2,0),'SA Q4 18 VR'!$B$24:$O$24,0),0)</f>
        <v>#REF!</v>
      </c>
      <c r="F973" s="27">
        <v>1</v>
      </c>
      <c r="G973">
        <f>RFI_Elements!N976</f>
        <v>975</v>
      </c>
      <c r="I973" t="e">
        <f>VLOOKUP(B973,SuiteCatSubElem!$G$2:$G$667,2,0)</f>
        <v>#REF!</v>
      </c>
    </row>
    <row r="974" spans="1:9">
      <c r="A974">
        <f>RFI_Elements!B977</f>
        <v>12</v>
      </c>
      <c r="B974">
        <f>RFI_Elements!C977</f>
        <v>449</v>
      </c>
      <c r="C974">
        <v>976</v>
      </c>
      <c r="D974" s="128">
        <v>43101.003472164353</v>
      </c>
      <c r="E974" t="e">
        <f>VLOOKUP(VLOOKUP(B974,SuiteCatSubElem!$G$2:$G$667,2,0),'SA Q4 18 VR'!$A$33:$O$193,1+MATCH(VLOOKUP(A974,Vendors!$A$2:$B$15,2,0),'SA Q4 18 VR'!$B$24:$O$24,0),0)</f>
        <v>#REF!</v>
      </c>
      <c r="F974" s="27">
        <v>1</v>
      </c>
      <c r="G974">
        <f>RFI_Elements!N977</f>
        <v>976</v>
      </c>
      <c r="I974" t="e">
        <f>VLOOKUP(B974,SuiteCatSubElem!$G$2:$G$667,2,0)</f>
        <v>#REF!</v>
      </c>
    </row>
    <row r="975" spans="1:9">
      <c r="A975">
        <f>RFI_Elements!B978</f>
        <v>12</v>
      </c>
      <c r="B975">
        <f>RFI_Elements!C978</f>
        <v>450</v>
      </c>
      <c r="C975">
        <v>977</v>
      </c>
      <c r="D975" s="128">
        <v>43101.003472164353</v>
      </c>
      <c r="E975" t="e">
        <f>VLOOKUP(VLOOKUP(B975,SuiteCatSubElem!$G$2:$G$667,2,0),'SA Q4 18 VR'!$A$33:$O$193,1+MATCH(VLOOKUP(A975,Vendors!$A$2:$B$15,2,0),'SA Q4 18 VR'!$B$24:$O$24,0),0)</f>
        <v>#REF!</v>
      </c>
      <c r="F975" s="27">
        <v>1</v>
      </c>
      <c r="G975">
        <f>RFI_Elements!N978</f>
        <v>977</v>
      </c>
      <c r="I975" t="e">
        <f>VLOOKUP(B975,SuiteCatSubElem!$G$2:$G$667,2,0)</f>
        <v>#REF!</v>
      </c>
    </row>
    <row r="976" spans="1:9">
      <c r="A976">
        <f>RFI_Elements!B979</f>
        <v>12</v>
      </c>
      <c r="B976">
        <f>RFI_Elements!C979</f>
        <v>451</v>
      </c>
      <c r="C976">
        <v>978</v>
      </c>
      <c r="D976" s="128">
        <v>43101.003472164353</v>
      </c>
      <c r="E976" t="e">
        <f>VLOOKUP(VLOOKUP(B976,SuiteCatSubElem!$G$2:$G$667,2,0),'SA Q4 18 VR'!$A$33:$O$193,1+MATCH(VLOOKUP(A976,Vendors!$A$2:$B$15,2,0),'SA Q4 18 VR'!$B$24:$O$24,0),0)</f>
        <v>#REF!</v>
      </c>
      <c r="F976" s="27">
        <v>1</v>
      </c>
      <c r="G976">
        <f>RFI_Elements!N979</f>
        <v>978</v>
      </c>
      <c r="I976" t="e">
        <f>VLOOKUP(B976,SuiteCatSubElem!$G$2:$G$667,2,0)</f>
        <v>#REF!</v>
      </c>
    </row>
    <row r="977" spans="1:9">
      <c r="A977">
        <f>RFI_Elements!B980</f>
        <v>12</v>
      </c>
      <c r="B977">
        <f>RFI_Elements!C980</f>
        <v>452</v>
      </c>
      <c r="C977">
        <v>979</v>
      </c>
      <c r="D977" s="128">
        <v>43101.003472164353</v>
      </c>
      <c r="E977" t="e">
        <f>VLOOKUP(VLOOKUP(B977,SuiteCatSubElem!$G$2:$G$667,2,0),'SA Q4 18 VR'!$A$33:$O$193,1+MATCH(VLOOKUP(A977,Vendors!$A$2:$B$15,2,0),'SA Q4 18 VR'!$B$24:$O$24,0),0)</f>
        <v>#REF!</v>
      </c>
      <c r="F977" s="27">
        <v>1</v>
      </c>
      <c r="G977">
        <f>RFI_Elements!N980</f>
        <v>979</v>
      </c>
      <c r="I977" t="e">
        <f>VLOOKUP(B977,SuiteCatSubElem!$G$2:$G$667,2,0)</f>
        <v>#REF!</v>
      </c>
    </row>
    <row r="978" spans="1:9">
      <c r="A978">
        <f>RFI_Elements!B981</f>
        <v>12</v>
      </c>
      <c r="B978">
        <f>RFI_Elements!C981</f>
        <v>453</v>
      </c>
      <c r="C978">
        <v>980</v>
      </c>
      <c r="D978" s="128">
        <v>43101.003472164353</v>
      </c>
      <c r="E978" t="e">
        <f>VLOOKUP(VLOOKUP(B978,SuiteCatSubElem!$G$2:$G$667,2,0),'SA Q4 18 VR'!$A$33:$O$193,1+MATCH(VLOOKUP(A978,Vendors!$A$2:$B$15,2,0),'SA Q4 18 VR'!$B$24:$O$24,0),0)</f>
        <v>#REF!</v>
      </c>
      <c r="F978" s="27">
        <v>1</v>
      </c>
      <c r="G978">
        <f>RFI_Elements!N981</f>
        <v>980</v>
      </c>
      <c r="I978" t="e">
        <f>VLOOKUP(B978,SuiteCatSubElem!$G$2:$G$667,2,0)</f>
        <v>#REF!</v>
      </c>
    </row>
    <row r="979" spans="1:9">
      <c r="A979">
        <f>RFI_Elements!B982</f>
        <v>12</v>
      </c>
      <c r="B979">
        <f>RFI_Elements!C982</f>
        <v>454</v>
      </c>
      <c r="C979">
        <v>981</v>
      </c>
      <c r="D979" s="128">
        <v>43101.003472164353</v>
      </c>
      <c r="E979" t="e">
        <f>VLOOKUP(VLOOKUP(B979,SuiteCatSubElem!$G$2:$G$667,2,0),'SA Q4 18 VR'!$A$33:$O$193,1+MATCH(VLOOKUP(A979,Vendors!$A$2:$B$15,2,0),'SA Q4 18 VR'!$B$24:$O$24,0),0)</f>
        <v>#REF!</v>
      </c>
      <c r="F979" s="27">
        <v>1</v>
      </c>
      <c r="G979">
        <f>RFI_Elements!N982</f>
        <v>981</v>
      </c>
      <c r="I979" t="e">
        <f>VLOOKUP(B979,SuiteCatSubElem!$G$2:$G$667,2,0)</f>
        <v>#REF!</v>
      </c>
    </row>
    <row r="980" spans="1:9">
      <c r="A980">
        <f>RFI_Elements!B983</f>
        <v>12</v>
      </c>
      <c r="B980">
        <f>RFI_Elements!C983</f>
        <v>455</v>
      </c>
      <c r="C980">
        <v>982</v>
      </c>
      <c r="D980" s="128">
        <v>43101.003472164353</v>
      </c>
      <c r="E980" t="e">
        <f>VLOOKUP(VLOOKUP(B980,SuiteCatSubElem!$G$2:$G$667,2,0),'SA Q4 18 VR'!$A$33:$O$193,1+MATCH(VLOOKUP(A980,Vendors!$A$2:$B$15,2,0),'SA Q4 18 VR'!$B$24:$O$24,0),0)</f>
        <v>#REF!</v>
      </c>
      <c r="F980" s="27">
        <v>1</v>
      </c>
      <c r="G980">
        <f>RFI_Elements!N983</f>
        <v>982</v>
      </c>
      <c r="I980" t="e">
        <f>VLOOKUP(B980,SuiteCatSubElem!$G$2:$G$667,2,0)</f>
        <v>#REF!</v>
      </c>
    </row>
    <row r="981" spans="1:9">
      <c r="A981">
        <f>RFI_Elements!B984</f>
        <v>12</v>
      </c>
      <c r="B981">
        <f>RFI_Elements!C984</f>
        <v>456</v>
      </c>
      <c r="C981">
        <v>983</v>
      </c>
      <c r="D981" s="128">
        <v>43101.003472164353</v>
      </c>
      <c r="E981" t="e">
        <f>VLOOKUP(VLOOKUP(B981,SuiteCatSubElem!$G$2:$G$667,2,0),'SA Q4 18 VR'!$A$33:$O$193,1+MATCH(VLOOKUP(A981,Vendors!$A$2:$B$15,2,0),'SA Q4 18 VR'!$B$24:$O$24,0),0)</f>
        <v>#REF!</v>
      </c>
      <c r="F981" s="27">
        <v>1</v>
      </c>
      <c r="G981">
        <f>RFI_Elements!N984</f>
        <v>983</v>
      </c>
      <c r="I981" t="e">
        <f>VLOOKUP(B981,SuiteCatSubElem!$G$2:$G$667,2,0)</f>
        <v>#REF!</v>
      </c>
    </row>
    <row r="982" spans="1:9">
      <c r="A982">
        <f>RFI_Elements!B985</f>
        <v>12</v>
      </c>
      <c r="B982">
        <f>RFI_Elements!C985</f>
        <v>457</v>
      </c>
      <c r="C982">
        <v>984</v>
      </c>
      <c r="D982" s="128">
        <v>43101.003472164353</v>
      </c>
      <c r="E982" t="e">
        <f>VLOOKUP(VLOOKUP(B982,SuiteCatSubElem!$G$2:$G$667,2,0),'SA Q4 18 VR'!$A$33:$O$193,1+MATCH(VLOOKUP(A982,Vendors!$A$2:$B$15,2,0),'SA Q4 18 VR'!$B$24:$O$24,0),0)</f>
        <v>#REF!</v>
      </c>
      <c r="F982" s="27">
        <v>1</v>
      </c>
      <c r="G982">
        <f>RFI_Elements!N985</f>
        <v>984</v>
      </c>
      <c r="I982" t="e">
        <f>VLOOKUP(B982,SuiteCatSubElem!$G$2:$G$667,2,0)</f>
        <v>#REF!</v>
      </c>
    </row>
    <row r="983" spans="1:9">
      <c r="A983">
        <f>RFI_Elements!B986</f>
        <v>12</v>
      </c>
      <c r="B983">
        <f>RFI_Elements!C986</f>
        <v>458</v>
      </c>
      <c r="C983">
        <v>985</v>
      </c>
      <c r="D983" s="128">
        <v>43101.003472164353</v>
      </c>
      <c r="E983" t="e">
        <f>VLOOKUP(VLOOKUP(B983,SuiteCatSubElem!$G$2:$G$667,2,0),'SA Q4 18 VR'!$A$33:$O$193,1+MATCH(VLOOKUP(A983,Vendors!$A$2:$B$15,2,0),'SA Q4 18 VR'!$B$24:$O$24,0),0)</f>
        <v>#REF!</v>
      </c>
      <c r="F983" s="27">
        <v>1</v>
      </c>
      <c r="G983">
        <f>RFI_Elements!N986</f>
        <v>985</v>
      </c>
      <c r="I983" t="e">
        <f>VLOOKUP(B983,SuiteCatSubElem!$G$2:$G$667,2,0)</f>
        <v>#REF!</v>
      </c>
    </row>
    <row r="984" spans="1:9">
      <c r="A984">
        <f>RFI_Elements!B987</f>
        <v>12</v>
      </c>
      <c r="B984">
        <f>RFI_Elements!C987</f>
        <v>459</v>
      </c>
      <c r="C984">
        <v>986</v>
      </c>
      <c r="D984" s="128">
        <v>43101.003472164353</v>
      </c>
      <c r="E984" t="e">
        <f>VLOOKUP(VLOOKUP(B984,SuiteCatSubElem!$G$2:$G$667,2,0),'SA Q4 18 VR'!$A$33:$O$193,1+MATCH(VLOOKUP(A984,Vendors!$A$2:$B$15,2,0),'SA Q4 18 VR'!$B$24:$O$24,0),0)</f>
        <v>#REF!</v>
      </c>
      <c r="F984" s="27">
        <v>1</v>
      </c>
      <c r="G984">
        <f>RFI_Elements!N987</f>
        <v>986</v>
      </c>
      <c r="I984" t="e">
        <f>VLOOKUP(B984,SuiteCatSubElem!$G$2:$G$667,2,0)</f>
        <v>#REF!</v>
      </c>
    </row>
    <row r="985" spans="1:9">
      <c r="A985">
        <f>RFI_Elements!B988</f>
        <v>12</v>
      </c>
      <c r="B985">
        <f>RFI_Elements!C988</f>
        <v>460</v>
      </c>
      <c r="C985">
        <v>987</v>
      </c>
      <c r="D985" s="128">
        <v>43101.003472164353</v>
      </c>
      <c r="E985" t="e">
        <f>VLOOKUP(VLOOKUP(B985,SuiteCatSubElem!$G$2:$G$667,2,0),'SA Q4 18 VR'!$A$33:$O$193,1+MATCH(VLOOKUP(A985,Vendors!$A$2:$B$15,2,0),'SA Q4 18 VR'!$B$24:$O$24,0),0)</f>
        <v>#REF!</v>
      </c>
      <c r="F985" s="27">
        <v>1</v>
      </c>
      <c r="G985">
        <f>RFI_Elements!N988</f>
        <v>987</v>
      </c>
      <c r="I985" t="e">
        <f>VLOOKUP(B985,SuiteCatSubElem!$G$2:$G$667,2,0)</f>
        <v>#REF!</v>
      </c>
    </row>
    <row r="986" spans="1:9">
      <c r="A986">
        <f>RFI_Elements!B989</f>
        <v>12</v>
      </c>
      <c r="B986">
        <f>RFI_Elements!C989</f>
        <v>461</v>
      </c>
      <c r="C986">
        <v>988</v>
      </c>
      <c r="D986" s="128">
        <v>43101.003472164353</v>
      </c>
      <c r="E986" t="e">
        <f>VLOOKUP(VLOOKUP(B986,SuiteCatSubElem!$G$2:$G$667,2,0),'SA Q4 18 VR'!$A$33:$O$193,1+MATCH(VLOOKUP(A986,Vendors!$A$2:$B$15,2,0),'SA Q4 18 VR'!$B$24:$O$24,0),0)</f>
        <v>#REF!</v>
      </c>
      <c r="F986" s="27">
        <v>1</v>
      </c>
      <c r="G986">
        <f>RFI_Elements!N989</f>
        <v>988</v>
      </c>
      <c r="I986" t="e">
        <f>VLOOKUP(B986,SuiteCatSubElem!$G$2:$G$667,2,0)</f>
        <v>#REF!</v>
      </c>
    </row>
    <row r="987" spans="1:9">
      <c r="A987">
        <f>RFI_Elements!B990</f>
        <v>12</v>
      </c>
      <c r="B987">
        <f>RFI_Elements!C990</f>
        <v>462</v>
      </c>
      <c r="C987">
        <v>989</v>
      </c>
      <c r="D987" s="128">
        <v>43101.003472164353</v>
      </c>
      <c r="E987" t="e">
        <f>VLOOKUP(VLOOKUP(B987,SuiteCatSubElem!$G$2:$G$667,2,0),'SA Q4 18 VR'!$A$33:$O$193,1+MATCH(VLOOKUP(A987,Vendors!$A$2:$B$15,2,0),'SA Q4 18 VR'!$B$24:$O$24,0),0)</f>
        <v>#REF!</v>
      </c>
      <c r="F987" s="27">
        <v>1</v>
      </c>
      <c r="G987">
        <f>RFI_Elements!N990</f>
        <v>989</v>
      </c>
      <c r="I987" t="e">
        <f>VLOOKUP(B987,SuiteCatSubElem!$G$2:$G$667,2,0)</f>
        <v>#REF!</v>
      </c>
    </row>
    <row r="988" spans="1:9">
      <c r="A988">
        <f>RFI_Elements!B991</f>
        <v>12</v>
      </c>
      <c r="B988">
        <f>RFI_Elements!C991</f>
        <v>463</v>
      </c>
      <c r="C988">
        <v>990</v>
      </c>
      <c r="D988" s="128">
        <v>43101.003472164353</v>
      </c>
      <c r="E988" t="e">
        <f>VLOOKUP(VLOOKUP(B988,SuiteCatSubElem!$G$2:$G$667,2,0),'SA Q4 18 VR'!$A$33:$O$193,1+MATCH(VLOOKUP(A988,Vendors!$A$2:$B$15,2,0),'SA Q4 18 VR'!$B$24:$O$24,0),0)</f>
        <v>#REF!</v>
      </c>
      <c r="F988" s="27">
        <v>1</v>
      </c>
      <c r="G988">
        <f>RFI_Elements!N991</f>
        <v>990</v>
      </c>
      <c r="I988" t="e">
        <f>VLOOKUP(B988,SuiteCatSubElem!$G$2:$G$667,2,0)</f>
        <v>#REF!</v>
      </c>
    </row>
    <row r="989" spans="1:9">
      <c r="A989">
        <f>RFI_Elements!B992</f>
        <v>12</v>
      </c>
      <c r="B989">
        <f>RFI_Elements!C992</f>
        <v>464</v>
      </c>
      <c r="C989">
        <v>991</v>
      </c>
      <c r="D989" s="128">
        <v>43101.003472164353</v>
      </c>
      <c r="E989" t="e">
        <f>VLOOKUP(VLOOKUP(B989,SuiteCatSubElem!$G$2:$G$667,2,0),'SA Q4 18 VR'!$A$33:$O$193,1+MATCH(VLOOKUP(A989,Vendors!$A$2:$B$15,2,0),'SA Q4 18 VR'!$B$24:$O$24,0),0)</f>
        <v>#REF!</v>
      </c>
      <c r="F989" s="27">
        <v>1</v>
      </c>
      <c r="G989">
        <f>RFI_Elements!N992</f>
        <v>991</v>
      </c>
      <c r="I989" t="e">
        <f>VLOOKUP(B989,SuiteCatSubElem!$G$2:$G$667,2,0)</f>
        <v>#REF!</v>
      </c>
    </row>
    <row r="990" spans="1:9">
      <c r="A990">
        <f>RFI_Elements!B993</f>
        <v>12</v>
      </c>
      <c r="B990">
        <f>RFI_Elements!C993</f>
        <v>465</v>
      </c>
      <c r="C990">
        <v>992</v>
      </c>
      <c r="D990" s="128">
        <v>43101.003472164353</v>
      </c>
      <c r="E990" t="e">
        <f>VLOOKUP(VLOOKUP(B990,SuiteCatSubElem!$G$2:$G$667,2,0),'SA Q4 18 VR'!$A$33:$O$193,1+MATCH(VLOOKUP(A990,Vendors!$A$2:$B$15,2,0),'SA Q4 18 VR'!$B$24:$O$24,0),0)</f>
        <v>#REF!</v>
      </c>
      <c r="F990" s="27">
        <v>1</v>
      </c>
      <c r="G990">
        <f>RFI_Elements!N993</f>
        <v>992</v>
      </c>
      <c r="I990" t="e">
        <f>VLOOKUP(B990,SuiteCatSubElem!$G$2:$G$667,2,0)</f>
        <v>#REF!</v>
      </c>
    </row>
    <row r="991" spans="1:9">
      <c r="A991">
        <f>RFI_Elements!B994</f>
        <v>12</v>
      </c>
      <c r="B991">
        <f>RFI_Elements!C994</f>
        <v>466</v>
      </c>
      <c r="C991">
        <v>993</v>
      </c>
      <c r="D991" s="128">
        <v>43101.003472164353</v>
      </c>
      <c r="E991" t="e">
        <f>VLOOKUP(VLOOKUP(B991,SuiteCatSubElem!$G$2:$G$667,2,0),'SA Q4 18 VR'!$A$33:$O$193,1+MATCH(VLOOKUP(A991,Vendors!$A$2:$B$15,2,0),'SA Q4 18 VR'!$B$24:$O$24,0),0)</f>
        <v>#REF!</v>
      </c>
      <c r="F991" s="27">
        <v>1</v>
      </c>
      <c r="G991">
        <f>RFI_Elements!N994</f>
        <v>993</v>
      </c>
      <c r="I991" t="e">
        <f>VLOOKUP(B991,SuiteCatSubElem!$G$2:$G$667,2,0)</f>
        <v>#REF!</v>
      </c>
    </row>
    <row r="992" spans="1:9">
      <c r="A992">
        <f>RFI_Elements!B995</f>
        <v>12</v>
      </c>
      <c r="B992">
        <f>RFI_Elements!C995</f>
        <v>467</v>
      </c>
      <c r="C992">
        <v>994</v>
      </c>
      <c r="D992" s="128">
        <v>43101.003472164353</v>
      </c>
      <c r="E992" t="e">
        <f>VLOOKUP(VLOOKUP(B992,SuiteCatSubElem!$G$2:$G$667,2,0),'SA Q4 18 VR'!$A$33:$O$193,1+MATCH(VLOOKUP(A992,Vendors!$A$2:$B$15,2,0),'SA Q4 18 VR'!$B$24:$O$24,0),0)</f>
        <v>#REF!</v>
      </c>
      <c r="F992" s="27">
        <v>1</v>
      </c>
      <c r="G992">
        <f>RFI_Elements!N995</f>
        <v>994</v>
      </c>
      <c r="I992" t="e">
        <f>VLOOKUP(B992,SuiteCatSubElem!$G$2:$G$667,2,0)</f>
        <v>#REF!</v>
      </c>
    </row>
    <row r="993" spans="1:9">
      <c r="A993">
        <f>RFI_Elements!B996</f>
        <v>12</v>
      </c>
      <c r="B993">
        <f>RFI_Elements!C996</f>
        <v>468</v>
      </c>
      <c r="C993">
        <v>995</v>
      </c>
      <c r="D993" s="128">
        <v>43101.003472164353</v>
      </c>
      <c r="E993" t="e">
        <f>VLOOKUP(VLOOKUP(B993,SuiteCatSubElem!$G$2:$G$667,2,0),'SA Q4 18 VR'!$A$33:$O$193,1+MATCH(VLOOKUP(A993,Vendors!$A$2:$B$15,2,0),'SA Q4 18 VR'!$B$24:$O$24,0),0)</f>
        <v>#REF!</v>
      </c>
      <c r="F993" s="27">
        <v>1</v>
      </c>
      <c r="G993">
        <f>RFI_Elements!N996</f>
        <v>995</v>
      </c>
      <c r="I993" t="e">
        <f>VLOOKUP(B993,SuiteCatSubElem!$G$2:$G$667,2,0)</f>
        <v>#REF!</v>
      </c>
    </row>
    <row r="994" spans="1:9">
      <c r="A994">
        <f>RFI_Elements!B997</f>
        <v>12</v>
      </c>
      <c r="B994">
        <f>RFI_Elements!C997</f>
        <v>469</v>
      </c>
      <c r="C994">
        <v>996</v>
      </c>
      <c r="D994" s="128">
        <v>43101.003472164353</v>
      </c>
      <c r="E994" t="e">
        <f>VLOOKUP(VLOOKUP(B994,SuiteCatSubElem!$G$2:$G$667,2,0),'SA Q4 18 VR'!$A$33:$O$193,1+MATCH(VLOOKUP(A994,Vendors!$A$2:$B$15,2,0),'SA Q4 18 VR'!$B$24:$O$24,0),0)</f>
        <v>#REF!</v>
      </c>
      <c r="F994" s="27">
        <v>1</v>
      </c>
      <c r="G994">
        <f>RFI_Elements!N997</f>
        <v>996</v>
      </c>
      <c r="I994" t="e">
        <f>VLOOKUP(B994,SuiteCatSubElem!$G$2:$G$667,2,0)</f>
        <v>#REF!</v>
      </c>
    </row>
    <row r="995" spans="1:9">
      <c r="A995">
        <f>RFI_Elements!B998</f>
        <v>12</v>
      </c>
      <c r="B995">
        <f>RFI_Elements!C998</f>
        <v>470</v>
      </c>
      <c r="C995">
        <v>997</v>
      </c>
      <c r="D995" s="128">
        <v>43101.003472164353</v>
      </c>
      <c r="E995" t="e">
        <f>VLOOKUP(VLOOKUP(B995,SuiteCatSubElem!$G$2:$G$667,2,0),'SA Q4 18 VR'!$A$33:$O$193,1+MATCH(VLOOKUP(A995,Vendors!$A$2:$B$15,2,0),'SA Q4 18 VR'!$B$24:$O$24,0),0)</f>
        <v>#REF!</v>
      </c>
      <c r="F995" s="27">
        <v>1</v>
      </c>
      <c r="G995">
        <f>RFI_Elements!N998</f>
        <v>997</v>
      </c>
      <c r="I995" t="e">
        <f>VLOOKUP(B995,SuiteCatSubElem!$G$2:$G$667,2,0)</f>
        <v>#REF!</v>
      </c>
    </row>
    <row r="996" spans="1:9">
      <c r="A996">
        <f>RFI_Elements!B999</f>
        <v>12</v>
      </c>
      <c r="B996">
        <f>RFI_Elements!C999</f>
        <v>471</v>
      </c>
      <c r="C996">
        <v>998</v>
      </c>
      <c r="D996" s="128">
        <v>43101.003472164353</v>
      </c>
      <c r="E996" t="e">
        <f>VLOOKUP(VLOOKUP(B996,SuiteCatSubElem!$G$2:$G$667,2,0),'SA Q4 18 VR'!$A$33:$O$193,1+MATCH(VLOOKUP(A996,Vendors!$A$2:$B$15,2,0),'SA Q4 18 VR'!$B$24:$O$24,0),0)</f>
        <v>#REF!</v>
      </c>
      <c r="F996" s="27">
        <v>1</v>
      </c>
      <c r="G996">
        <f>RFI_Elements!N999</f>
        <v>998</v>
      </c>
      <c r="I996" t="e">
        <f>VLOOKUP(B996,SuiteCatSubElem!$G$2:$G$667,2,0)</f>
        <v>#REF!</v>
      </c>
    </row>
    <row r="997" spans="1:9">
      <c r="A997">
        <f>RFI_Elements!B1000</f>
        <v>12</v>
      </c>
      <c r="B997">
        <f>RFI_Elements!C1000</f>
        <v>472</v>
      </c>
      <c r="C997">
        <v>999</v>
      </c>
      <c r="D997" s="128">
        <v>43101.003472164353</v>
      </c>
      <c r="E997" t="e">
        <f>VLOOKUP(VLOOKUP(B997,SuiteCatSubElem!$G$2:$G$667,2,0),'SA Q4 18 VR'!$A$33:$O$193,1+MATCH(VLOOKUP(A997,Vendors!$A$2:$B$15,2,0),'SA Q4 18 VR'!$B$24:$O$24,0),0)</f>
        <v>#REF!</v>
      </c>
      <c r="F997" s="27">
        <v>1</v>
      </c>
      <c r="G997">
        <f>RFI_Elements!N1000</f>
        <v>999</v>
      </c>
      <c r="I997" t="e">
        <f>VLOOKUP(B997,SuiteCatSubElem!$G$2:$G$667,2,0)</f>
        <v>#REF!</v>
      </c>
    </row>
    <row r="998" spans="1:9">
      <c r="A998">
        <f>RFI_Elements!B1001</f>
        <v>12</v>
      </c>
      <c r="B998">
        <f>RFI_Elements!C1001</f>
        <v>473</v>
      </c>
      <c r="C998">
        <v>1000</v>
      </c>
      <c r="D998" s="128">
        <v>43101.003472164353</v>
      </c>
      <c r="E998" t="e">
        <f>VLOOKUP(VLOOKUP(B998,SuiteCatSubElem!$G$2:$G$667,2,0),'SA Q4 18 VR'!$A$33:$O$193,1+MATCH(VLOOKUP(A998,Vendors!$A$2:$B$15,2,0),'SA Q4 18 VR'!$B$24:$O$24,0),0)</f>
        <v>#REF!</v>
      </c>
      <c r="F998" s="27">
        <v>1</v>
      </c>
      <c r="G998">
        <f>RFI_Elements!N1001</f>
        <v>1000</v>
      </c>
      <c r="I998" t="e">
        <f>VLOOKUP(B998,SuiteCatSubElem!$G$2:$G$667,2,0)</f>
        <v>#REF!</v>
      </c>
    </row>
    <row r="999" spans="1:9">
      <c r="A999">
        <f>RFI_Elements!B1002</f>
        <v>12</v>
      </c>
      <c r="B999">
        <f>RFI_Elements!C1002</f>
        <v>474</v>
      </c>
      <c r="C999">
        <v>1001</v>
      </c>
      <c r="D999" s="128">
        <v>43101.003472164353</v>
      </c>
      <c r="E999" t="e">
        <f>VLOOKUP(VLOOKUP(B999,SuiteCatSubElem!$G$2:$G$667,2,0),'SA Q4 18 VR'!$A$33:$O$193,1+MATCH(VLOOKUP(A999,Vendors!$A$2:$B$15,2,0),'SA Q4 18 VR'!$B$24:$O$24,0),0)</f>
        <v>#REF!</v>
      </c>
      <c r="F999" s="27">
        <v>1</v>
      </c>
      <c r="G999">
        <f>RFI_Elements!N1002</f>
        <v>1001</v>
      </c>
      <c r="I999" t="e">
        <f>VLOOKUP(B999,SuiteCatSubElem!$G$2:$G$667,2,0)</f>
        <v>#REF!</v>
      </c>
    </row>
    <row r="1000" spans="1:9">
      <c r="A1000">
        <f>RFI_Elements!B1003</f>
        <v>12</v>
      </c>
      <c r="B1000">
        <f>RFI_Elements!C1003</f>
        <v>475</v>
      </c>
      <c r="C1000">
        <v>1002</v>
      </c>
      <c r="D1000" s="128">
        <v>43101.003472164353</v>
      </c>
      <c r="E1000" t="e">
        <f>VLOOKUP(VLOOKUP(B1000,SuiteCatSubElem!$G$2:$G$667,2,0),'SA Q4 18 VR'!$A$33:$O$193,1+MATCH(VLOOKUP(A1000,Vendors!$A$2:$B$15,2,0),'SA Q4 18 VR'!$B$24:$O$24,0),0)</f>
        <v>#REF!</v>
      </c>
      <c r="F1000" s="27">
        <v>1</v>
      </c>
      <c r="G1000">
        <f>RFI_Elements!N1003</f>
        <v>1002</v>
      </c>
      <c r="I1000" t="e">
        <f>VLOOKUP(B1000,SuiteCatSubElem!$G$2:$G$667,2,0)</f>
        <v>#REF!</v>
      </c>
    </row>
    <row r="1001" spans="1:9">
      <c r="A1001">
        <f>RFI_Elements!B1004</f>
        <v>12</v>
      </c>
      <c r="B1001">
        <f>RFI_Elements!C1004</f>
        <v>476</v>
      </c>
      <c r="C1001">
        <v>1003</v>
      </c>
      <c r="D1001" s="128">
        <v>43101.003472164353</v>
      </c>
      <c r="E1001" t="e">
        <f>VLOOKUP(VLOOKUP(B1001,SuiteCatSubElem!$G$2:$G$667,2,0),'SA Q4 18 VR'!$A$33:$O$193,1+MATCH(VLOOKUP(A1001,Vendors!$A$2:$B$15,2,0),'SA Q4 18 VR'!$B$24:$O$24,0),0)</f>
        <v>#REF!</v>
      </c>
      <c r="F1001" s="27">
        <v>1</v>
      </c>
      <c r="G1001">
        <f>RFI_Elements!N1004</f>
        <v>1003</v>
      </c>
      <c r="I1001" t="e">
        <f>VLOOKUP(B1001,SuiteCatSubElem!$G$2:$G$667,2,0)</f>
        <v>#REF!</v>
      </c>
    </row>
    <row r="1002" spans="1:9">
      <c r="A1002">
        <f>RFI_Elements!B1005</f>
        <v>12</v>
      </c>
      <c r="B1002">
        <f>RFI_Elements!C1005</f>
        <v>477</v>
      </c>
      <c r="C1002">
        <v>1004</v>
      </c>
      <c r="D1002" s="128">
        <v>43101.003472164353</v>
      </c>
      <c r="E1002" t="e">
        <f>VLOOKUP(VLOOKUP(B1002,SuiteCatSubElem!$G$2:$G$667,2,0),'SA Q4 18 VR'!$A$33:$O$193,1+MATCH(VLOOKUP(A1002,Vendors!$A$2:$B$15,2,0),'SA Q4 18 VR'!$B$24:$O$24,0),0)</f>
        <v>#REF!</v>
      </c>
      <c r="F1002" s="27">
        <v>1</v>
      </c>
      <c r="G1002">
        <f>RFI_Elements!N1005</f>
        <v>1004</v>
      </c>
      <c r="I1002" t="e">
        <f>VLOOKUP(B1002,SuiteCatSubElem!$G$2:$G$667,2,0)</f>
        <v>#REF!</v>
      </c>
    </row>
    <row r="1003" spans="1:9">
      <c r="A1003">
        <f>RFI_Elements!B1006</f>
        <v>12</v>
      </c>
      <c r="B1003">
        <f>RFI_Elements!C1006</f>
        <v>478</v>
      </c>
      <c r="C1003">
        <v>1005</v>
      </c>
      <c r="D1003" s="128">
        <v>43101.003472164353</v>
      </c>
      <c r="E1003" t="e">
        <f>VLOOKUP(VLOOKUP(B1003,SuiteCatSubElem!$G$2:$G$667,2,0),'SA Q4 18 VR'!$A$33:$O$193,1+MATCH(VLOOKUP(A1003,Vendors!$A$2:$B$15,2,0),'SA Q4 18 VR'!$B$24:$O$24,0),0)</f>
        <v>#REF!</v>
      </c>
      <c r="F1003" s="27">
        <v>1</v>
      </c>
      <c r="G1003">
        <f>RFI_Elements!N1006</f>
        <v>1005</v>
      </c>
      <c r="I1003" t="e">
        <f>VLOOKUP(B1003,SuiteCatSubElem!$G$2:$G$667,2,0)</f>
        <v>#REF!</v>
      </c>
    </row>
    <row r="1004" spans="1:9">
      <c r="A1004">
        <f>RFI_Elements!B1007</f>
        <v>12</v>
      </c>
      <c r="B1004">
        <f>RFI_Elements!C1007</f>
        <v>479</v>
      </c>
      <c r="C1004">
        <v>1006</v>
      </c>
      <c r="D1004" s="128">
        <v>43101.003472164353</v>
      </c>
      <c r="E1004" t="e">
        <f>VLOOKUP(VLOOKUP(B1004,SuiteCatSubElem!$G$2:$G$667,2,0),'SA Q4 18 VR'!$A$33:$O$193,1+MATCH(VLOOKUP(A1004,Vendors!$A$2:$B$15,2,0),'SA Q4 18 VR'!$B$24:$O$24,0),0)</f>
        <v>#REF!</v>
      </c>
      <c r="F1004" s="27">
        <v>1</v>
      </c>
      <c r="G1004">
        <f>RFI_Elements!N1007</f>
        <v>1006</v>
      </c>
      <c r="I1004" t="e">
        <f>VLOOKUP(B1004,SuiteCatSubElem!$G$2:$G$667,2,0)</f>
        <v>#REF!</v>
      </c>
    </row>
    <row r="1005" spans="1:9">
      <c r="A1005">
        <f>RFI_Elements!B1008</f>
        <v>12</v>
      </c>
      <c r="B1005">
        <f>RFI_Elements!C1008</f>
        <v>480</v>
      </c>
      <c r="C1005">
        <v>1007</v>
      </c>
      <c r="D1005" s="128">
        <v>43101.003472164353</v>
      </c>
      <c r="E1005" t="e">
        <f>VLOOKUP(VLOOKUP(B1005,SuiteCatSubElem!$G$2:$G$667,2,0),'SA Q4 18 VR'!$A$33:$O$193,1+MATCH(VLOOKUP(A1005,Vendors!$A$2:$B$15,2,0),'SA Q4 18 VR'!$B$24:$O$24,0),0)</f>
        <v>#REF!</v>
      </c>
      <c r="F1005" s="27">
        <v>1</v>
      </c>
      <c r="G1005">
        <f>RFI_Elements!N1008</f>
        <v>1007</v>
      </c>
      <c r="I1005" t="e">
        <f>VLOOKUP(B1005,SuiteCatSubElem!$G$2:$G$667,2,0)</f>
        <v>#REF!</v>
      </c>
    </row>
    <row r="1006" spans="1:9">
      <c r="A1006">
        <f>RFI_Elements!B1009</f>
        <v>12</v>
      </c>
      <c r="B1006">
        <f>RFI_Elements!C1009</f>
        <v>481</v>
      </c>
      <c r="C1006">
        <v>1008</v>
      </c>
      <c r="D1006" s="128">
        <v>43101.003472164353</v>
      </c>
      <c r="E1006" t="e">
        <f>VLOOKUP(VLOOKUP(B1006,SuiteCatSubElem!$G$2:$G$667,2,0),'SA Q4 18 VR'!$A$33:$O$193,1+MATCH(VLOOKUP(A1006,Vendors!$A$2:$B$15,2,0),'SA Q4 18 VR'!$B$24:$O$24,0),0)</f>
        <v>#REF!</v>
      </c>
      <c r="F1006" s="27">
        <v>1</v>
      </c>
      <c r="G1006">
        <f>RFI_Elements!N1009</f>
        <v>1008</v>
      </c>
      <c r="I1006" t="e">
        <f>VLOOKUP(B1006,SuiteCatSubElem!$G$2:$G$667,2,0)</f>
        <v>#REF!</v>
      </c>
    </row>
    <row r="1007" spans="1:9">
      <c r="A1007">
        <f>RFI_Elements!B1010</f>
        <v>12</v>
      </c>
      <c r="B1007">
        <f>RFI_Elements!C1010</f>
        <v>482</v>
      </c>
      <c r="C1007">
        <v>1009</v>
      </c>
      <c r="D1007" s="128">
        <v>43101.003472164353</v>
      </c>
      <c r="E1007" t="e">
        <f>VLOOKUP(VLOOKUP(B1007,SuiteCatSubElem!$G$2:$G$667,2,0),'SA Q4 18 VR'!$A$33:$O$193,1+MATCH(VLOOKUP(A1007,Vendors!$A$2:$B$15,2,0),'SA Q4 18 VR'!$B$24:$O$24,0),0)</f>
        <v>#REF!</v>
      </c>
      <c r="F1007" s="27">
        <v>1</v>
      </c>
      <c r="G1007">
        <f>RFI_Elements!N1010</f>
        <v>1009</v>
      </c>
      <c r="I1007" t="e">
        <f>VLOOKUP(B1007,SuiteCatSubElem!$G$2:$G$667,2,0)</f>
        <v>#REF!</v>
      </c>
    </row>
    <row r="1008" spans="1:9">
      <c r="A1008">
        <f>RFI_Elements!B1011</f>
        <v>12</v>
      </c>
      <c r="B1008">
        <f>RFI_Elements!C1011</f>
        <v>483</v>
      </c>
      <c r="C1008">
        <v>1010</v>
      </c>
      <c r="D1008" s="128">
        <v>43101.003472164353</v>
      </c>
      <c r="E1008" t="e">
        <f>VLOOKUP(VLOOKUP(B1008,SuiteCatSubElem!$G$2:$G$667,2,0),'SA Q4 18 VR'!$A$33:$O$193,1+MATCH(VLOOKUP(A1008,Vendors!$A$2:$B$15,2,0),'SA Q4 18 VR'!$B$24:$O$24,0),0)</f>
        <v>#REF!</v>
      </c>
      <c r="F1008" s="27">
        <v>1</v>
      </c>
      <c r="G1008">
        <f>RFI_Elements!N1011</f>
        <v>1010</v>
      </c>
      <c r="I1008" t="e">
        <f>VLOOKUP(B1008,SuiteCatSubElem!$G$2:$G$667,2,0)</f>
        <v>#REF!</v>
      </c>
    </row>
    <row r="1009" spans="1:9">
      <c r="A1009">
        <f>RFI_Elements!B1012</f>
        <v>12</v>
      </c>
      <c r="B1009">
        <f>RFI_Elements!C1012</f>
        <v>484</v>
      </c>
      <c r="C1009">
        <v>1011</v>
      </c>
      <c r="D1009" s="128">
        <v>43101.003472164353</v>
      </c>
      <c r="E1009" t="e">
        <f>VLOOKUP(VLOOKUP(B1009,SuiteCatSubElem!$G$2:$G$667,2,0),'SA Q4 18 VR'!$A$33:$O$193,1+MATCH(VLOOKUP(A1009,Vendors!$A$2:$B$15,2,0),'SA Q4 18 VR'!$B$24:$O$24,0),0)</f>
        <v>#REF!</v>
      </c>
      <c r="F1009" s="27">
        <v>1</v>
      </c>
      <c r="G1009">
        <f>RFI_Elements!N1012</f>
        <v>1011</v>
      </c>
      <c r="I1009" t="e">
        <f>VLOOKUP(B1009,SuiteCatSubElem!$G$2:$G$667,2,0)</f>
        <v>#REF!</v>
      </c>
    </row>
    <row r="1010" spans="1:9">
      <c r="A1010">
        <f>RFI_Elements!B1013</f>
        <v>12</v>
      </c>
      <c r="B1010">
        <f>RFI_Elements!C1013</f>
        <v>485</v>
      </c>
      <c r="C1010">
        <v>1012</v>
      </c>
      <c r="D1010" s="128">
        <v>43101.003472164353</v>
      </c>
      <c r="E1010" t="e">
        <f>VLOOKUP(VLOOKUP(B1010,SuiteCatSubElem!$G$2:$G$667,2,0),'SA Q4 18 VR'!$A$33:$O$193,1+MATCH(VLOOKUP(A1010,Vendors!$A$2:$B$15,2,0),'SA Q4 18 VR'!$B$24:$O$24,0),0)</f>
        <v>#REF!</v>
      </c>
      <c r="F1010" s="27">
        <v>1</v>
      </c>
      <c r="G1010">
        <f>RFI_Elements!N1013</f>
        <v>1012</v>
      </c>
      <c r="I1010" t="e">
        <f>VLOOKUP(B1010,SuiteCatSubElem!$G$2:$G$667,2,0)</f>
        <v>#REF!</v>
      </c>
    </row>
    <row r="1011" spans="1:9">
      <c r="A1011">
        <f>RFI_Elements!B1014</f>
        <v>12</v>
      </c>
      <c r="B1011">
        <f>RFI_Elements!C1014</f>
        <v>486</v>
      </c>
      <c r="C1011">
        <v>1013</v>
      </c>
      <c r="D1011" s="128">
        <v>43101.003472164353</v>
      </c>
      <c r="E1011" t="e">
        <f>VLOOKUP(VLOOKUP(B1011,SuiteCatSubElem!$G$2:$G$667,2,0),'SA Q4 18 VR'!$A$33:$O$193,1+MATCH(VLOOKUP(A1011,Vendors!$A$2:$B$15,2,0),'SA Q4 18 VR'!$B$24:$O$24,0),0)</f>
        <v>#REF!</v>
      </c>
      <c r="F1011" s="27">
        <v>1</v>
      </c>
      <c r="G1011">
        <f>RFI_Elements!N1014</f>
        <v>1013</v>
      </c>
      <c r="I1011" t="e">
        <f>VLOOKUP(B1011,SuiteCatSubElem!$G$2:$G$667,2,0)</f>
        <v>#REF!</v>
      </c>
    </row>
    <row r="1012" spans="1:9">
      <c r="A1012">
        <f>RFI_Elements!B1015</f>
        <v>12</v>
      </c>
      <c r="B1012">
        <f>RFI_Elements!C1015</f>
        <v>487</v>
      </c>
      <c r="C1012">
        <v>1014</v>
      </c>
      <c r="D1012" s="128">
        <v>43101.003472164353</v>
      </c>
      <c r="E1012" t="e">
        <f>VLOOKUP(VLOOKUP(B1012,SuiteCatSubElem!$G$2:$G$667,2,0),'SA Q4 18 VR'!$A$33:$O$193,1+MATCH(VLOOKUP(A1012,Vendors!$A$2:$B$15,2,0),'SA Q4 18 VR'!$B$24:$O$24,0),0)</f>
        <v>#REF!</v>
      </c>
      <c r="F1012" s="27">
        <v>1</v>
      </c>
      <c r="G1012">
        <f>RFI_Elements!N1015</f>
        <v>1014</v>
      </c>
      <c r="I1012" t="e">
        <f>VLOOKUP(B1012,SuiteCatSubElem!$G$2:$G$667,2,0)</f>
        <v>#REF!</v>
      </c>
    </row>
    <row r="1013" spans="1:9">
      <c r="A1013">
        <f>RFI_Elements!B1016</f>
        <v>12</v>
      </c>
      <c r="B1013">
        <f>RFI_Elements!C1016</f>
        <v>488</v>
      </c>
      <c r="C1013">
        <v>1015</v>
      </c>
      <c r="D1013" s="128">
        <v>43101.003472164353</v>
      </c>
      <c r="E1013" t="e">
        <f>VLOOKUP(VLOOKUP(B1013,SuiteCatSubElem!$G$2:$G$667,2,0),'SA Q4 18 VR'!$A$33:$O$193,1+MATCH(VLOOKUP(A1013,Vendors!$A$2:$B$15,2,0),'SA Q4 18 VR'!$B$24:$O$24,0),0)</f>
        <v>#REF!</v>
      </c>
      <c r="F1013" s="27">
        <v>1</v>
      </c>
      <c r="G1013">
        <f>RFI_Elements!N1016</f>
        <v>1015</v>
      </c>
      <c r="I1013" t="e">
        <f>VLOOKUP(B1013,SuiteCatSubElem!$G$2:$G$667,2,0)</f>
        <v>#REF!</v>
      </c>
    </row>
    <row r="1014" spans="1:9">
      <c r="A1014">
        <f>RFI_Elements!B1017</f>
        <v>12</v>
      </c>
      <c r="B1014">
        <f>RFI_Elements!C1017</f>
        <v>489</v>
      </c>
      <c r="C1014">
        <v>1016</v>
      </c>
      <c r="D1014" s="128">
        <v>43101.003472164353</v>
      </c>
      <c r="E1014" t="e">
        <f>VLOOKUP(VLOOKUP(B1014,SuiteCatSubElem!$G$2:$G$667,2,0),'SA Q4 18 VR'!$A$33:$O$193,1+MATCH(VLOOKUP(A1014,Vendors!$A$2:$B$15,2,0),'SA Q4 18 VR'!$B$24:$O$24,0),0)</f>
        <v>#REF!</v>
      </c>
      <c r="F1014" s="27">
        <v>1</v>
      </c>
      <c r="G1014">
        <f>RFI_Elements!N1017</f>
        <v>1016</v>
      </c>
      <c r="I1014" t="e">
        <f>VLOOKUP(B1014,SuiteCatSubElem!$G$2:$G$667,2,0)</f>
        <v>#REF!</v>
      </c>
    </row>
    <row r="1015" spans="1:9">
      <c r="A1015">
        <f>RFI_Elements!B1018</f>
        <v>12</v>
      </c>
      <c r="B1015">
        <f>RFI_Elements!C1018</f>
        <v>490</v>
      </c>
      <c r="C1015">
        <v>1017</v>
      </c>
      <c r="D1015" s="128">
        <v>43101.003472164353</v>
      </c>
      <c r="E1015" t="e">
        <f>VLOOKUP(VLOOKUP(B1015,SuiteCatSubElem!$G$2:$G$667,2,0),'SA Q4 18 VR'!$A$33:$O$193,1+MATCH(VLOOKUP(A1015,Vendors!$A$2:$B$15,2,0),'SA Q4 18 VR'!$B$24:$O$24,0),0)</f>
        <v>#REF!</v>
      </c>
      <c r="F1015" s="27">
        <v>1</v>
      </c>
      <c r="G1015">
        <f>RFI_Elements!N1018</f>
        <v>1017</v>
      </c>
      <c r="I1015" t="e">
        <f>VLOOKUP(B1015,SuiteCatSubElem!$G$2:$G$667,2,0)</f>
        <v>#REF!</v>
      </c>
    </row>
    <row r="1016" spans="1:9">
      <c r="A1016">
        <f>RFI_Elements!B1019</f>
        <v>12</v>
      </c>
      <c r="B1016">
        <f>RFI_Elements!C1019</f>
        <v>491</v>
      </c>
      <c r="C1016">
        <v>1018</v>
      </c>
      <c r="D1016" s="128">
        <v>43101.003472164353</v>
      </c>
      <c r="E1016" t="e">
        <f>VLOOKUP(VLOOKUP(B1016,SuiteCatSubElem!$G$2:$G$667,2,0),'SA Q4 18 VR'!$A$33:$O$193,1+MATCH(VLOOKUP(A1016,Vendors!$A$2:$B$15,2,0),'SA Q4 18 VR'!$B$24:$O$24,0),0)</f>
        <v>#REF!</v>
      </c>
      <c r="F1016" s="27">
        <v>1</v>
      </c>
      <c r="G1016">
        <f>RFI_Elements!N1019</f>
        <v>1018</v>
      </c>
      <c r="I1016" t="e">
        <f>VLOOKUP(B1016,SuiteCatSubElem!$G$2:$G$667,2,0)</f>
        <v>#REF!</v>
      </c>
    </row>
    <row r="1017" spans="1:9">
      <c r="A1017">
        <f>RFI_Elements!B1020</f>
        <v>12</v>
      </c>
      <c r="B1017">
        <f>RFI_Elements!C1020</f>
        <v>492</v>
      </c>
      <c r="C1017">
        <v>1019</v>
      </c>
      <c r="D1017" s="128">
        <v>43101.003472164353</v>
      </c>
      <c r="E1017" t="e">
        <f>VLOOKUP(VLOOKUP(B1017,SuiteCatSubElem!$G$2:$G$667,2,0),'SA Q4 18 VR'!$A$33:$O$193,1+MATCH(VLOOKUP(A1017,Vendors!$A$2:$B$15,2,0),'SA Q4 18 VR'!$B$24:$O$24,0),0)</f>
        <v>#REF!</v>
      </c>
      <c r="F1017" s="27">
        <v>1</v>
      </c>
      <c r="G1017">
        <f>RFI_Elements!N1020</f>
        <v>1019</v>
      </c>
      <c r="I1017" t="e">
        <f>VLOOKUP(B1017,SuiteCatSubElem!$G$2:$G$667,2,0)</f>
        <v>#REF!</v>
      </c>
    </row>
    <row r="1018" spans="1:9">
      <c r="A1018">
        <f>RFI_Elements!B1021</f>
        <v>12</v>
      </c>
      <c r="B1018">
        <f>RFI_Elements!C1021</f>
        <v>493</v>
      </c>
      <c r="C1018">
        <v>1020</v>
      </c>
      <c r="D1018" s="128">
        <v>43101.003472164353</v>
      </c>
      <c r="E1018" t="e">
        <f>VLOOKUP(VLOOKUP(B1018,SuiteCatSubElem!$G$2:$G$667,2,0),'SA Q4 18 VR'!$A$33:$O$193,1+MATCH(VLOOKUP(A1018,Vendors!$A$2:$B$15,2,0),'SA Q4 18 VR'!$B$24:$O$24,0),0)</f>
        <v>#REF!</v>
      </c>
      <c r="F1018" s="27">
        <v>1</v>
      </c>
      <c r="G1018">
        <f>RFI_Elements!N1021</f>
        <v>1020</v>
      </c>
      <c r="I1018" t="e">
        <f>VLOOKUP(B1018,SuiteCatSubElem!$G$2:$G$667,2,0)</f>
        <v>#REF!</v>
      </c>
    </row>
    <row r="1019" spans="1:9">
      <c r="A1019">
        <f>RFI_Elements!B1022</f>
        <v>13</v>
      </c>
      <c r="B1019">
        <f>RFI_Elements!C1022</f>
        <v>409</v>
      </c>
      <c r="C1019">
        <v>1021</v>
      </c>
      <c r="D1019" s="128">
        <v>43101.003472164353</v>
      </c>
      <c r="E1019" t="e">
        <f>VLOOKUP(VLOOKUP(B1019,SuiteCatSubElem!$G$2:$G$667,2,0),'SA Q4 18 VR'!$A$33:$O$193,1+MATCH(VLOOKUP(A1019,Vendors!$A$2:$B$15,2,0),'SA Q4 18 VR'!$B$24:$O$24,0),0)</f>
        <v>#REF!</v>
      </c>
      <c r="F1019" s="27">
        <v>1</v>
      </c>
      <c r="G1019">
        <f>RFI_Elements!N1022</f>
        <v>1021</v>
      </c>
      <c r="I1019" t="e">
        <f>VLOOKUP(B1019,SuiteCatSubElem!$G$2:$G$667,2,0)</f>
        <v>#REF!</v>
      </c>
    </row>
    <row r="1020" spans="1:9">
      <c r="A1020">
        <f>RFI_Elements!B1023</f>
        <v>13</v>
      </c>
      <c r="B1020">
        <f>RFI_Elements!C1023</f>
        <v>410</v>
      </c>
      <c r="C1020">
        <v>1022</v>
      </c>
      <c r="D1020" s="128">
        <v>43101.003472164353</v>
      </c>
      <c r="E1020" t="e">
        <f>VLOOKUP(VLOOKUP(B1020,SuiteCatSubElem!$G$2:$G$667,2,0),'SA Q4 18 VR'!$A$33:$O$193,1+MATCH(VLOOKUP(A1020,Vendors!$A$2:$B$15,2,0),'SA Q4 18 VR'!$B$24:$O$24,0),0)</f>
        <v>#REF!</v>
      </c>
      <c r="F1020" s="27">
        <v>1</v>
      </c>
      <c r="G1020">
        <f>RFI_Elements!N1023</f>
        <v>1022</v>
      </c>
      <c r="I1020" t="e">
        <f>VLOOKUP(B1020,SuiteCatSubElem!$G$2:$G$667,2,0)</f>
        <v>#REF!</v>
      </c>
    </row>
    <row r="1021" spans="1:9">
      <c r="A1021">
        <f>RFI_Elements!B1024</f>
        <v>13</v>
      </c>
      <c r="B1021">
        <f>RFI_Elements!C1024</f>
        <v>411</v>
      </c>
      <c r="C1021">
        <v>1023</v>
      </c>
      <c r="D1021" s="128">
        <v>43101.003472164353</v>
      </c>
      <c r="E1021" t="e">
        <f>VLOOKUP(VLOOKUP(B1021,SuiteCatSubElem!$G$2:$G$667,2,0),'SA Q4 18 VR'!$A$33:$O$193,1+MATCH(VLOOKUP(A1021,Vendors!$A$2:$B$15,2,0),'SA Q4 18 VR'!$B$24:$O$24,0),0)</f>
        <v>#REF!</v>
      </c>
      <c r="F1021" s="27">
        <v>1</v>
      </c>
      <c r="G1021">
        <f>RFI_Elements!N1024</f>
        <v>1023</v>
      </c>
      <c r="I1021" t="e">
        <f>VLOOKUP(B1021,SuiteCatSubElem!$G$2:$G$667,2,0)</f>
        <v>#REF!</v>
      </c>
    </row>
    <row r="1022" spans="1:9">
      <c r="A1022">
        <f>RFI_Elements!B1025</f>
        <v>13</v>
      </c>
      <c r="B1022">
        <f>RFI_Elements!C1025</f>
        <v>412</v>
      </c>
      <c r="C1022">
        <v>1024</v>
      </c>
      <c r="D1022" s="128">
        <v>43101.003472164353</v>
      </c>
      <c r="E1022" t="e">
        <f>VLOOKUP(VLOOKUP(B1022,SuiteCatSubElem!$G$2:$G$667,2,0),'SA Q4 18 VR'!$A$33:$O$193,1+MATCH(VLOOKUP(A1022,Vendors!$A$2:$B$15,2,0),'SA Q4 18 VR'!$B$24:$O$24,0),0)</f>
        <v>#REF!</v>
      </c>
      <c r="F1022" s="27">
        <v>1</v>
      </c>
      <c r="G1022">
        <f>RFI_Elements!N1025</f>
        <v>1024</v>
      </c>
      <c r="I1022" t="e">
        <f>VLOOKUP(B1022,SuiteCatSubElem!$G$2:$G$667,2,0)</f>
        <v>#REF!</v>
      </c>
    </row>
    <row r="1023" spans="1:9">
      <c r="A1023">
        <f>RFI_Elements!B1026</f>
        <v>13</v>
      </c>
      <c r="B1023">
        <f>RFI_Elements!C1026</f>
        <v>413</v>
      </c>
      <c r="C1023">
        <v>1025</v>
      </c>
      <c r="D1023" s="128">
        <v>43101.003472164353</v>
      </c>
      <c r="E1023" t="e">
        <f>VLOOKUP(VLOOKUP(B1023,SuiteCatSubElem!$G$2:$G$667,2,0),'SA Q4 18 VR'!$A$33:$O$193,1+MATCH(VLOOKUP(A1023,Vendors!$A$2:$B$15,2,0),'SA Q4 18 VR'!$B$24:$O$24,0),0)</f>
        <v>#REF!</v>
      </c>
      <c r="F1023" s="27">
        <v>1</v>
      </c>
      <c r="G1023">
        <f>RFI_Elements!N1026</f>
        <v>1025</v>
      </c>
      <c r="I1023" t="e">
        <f>VLOOKUP(B1023,SuiteCatSubElem!$G$2:$G$667,2,0)</f>
        <v>#REF!</v>
      </c>
    </row>
    <row r="1024" spans="1:9">
      <c r="A1024">
        <f>RFI_Elements!B1027</f>
        <v>13</v>
      </c>
      <c r="B1024">
        <f>RFI_Elements!C1027</f>
        <v>414</v>
      </c>
      <c r="C1024">
        <v>1026</v>
      </c>
      <c r="D1024" s="128">
        <v>43101.003472164353</v>
      </c>
      <c r="E1024" t="e">
        <f>VLOOKUP(VLOOKUP(B1024,SuiteCatSubElem!$G$2:$G$667,2,0),'SA Q4 18 VR'!$A$33:$O$193,1+MATCH(VLOOKUP(A1024,Vendors!$A$2:$B$15,2,0),'SA Q4 18 VR'!$B$24:$O$24,0),0)</f>
        <v>#REF!</v>
      </c>
      <c r="F1024" s="27">
        <v>1</v>
      </c>
      <c r="G1024">
        <f>RFI_Elements!N1027</f>
        <v>1026</v>
      </c>
      <c r="I1024" t="e">
        <f>VLOOKUP(B1024,SuiteCatSubElem!$G$2:$G$667,2,0)</f>
        <v>#REF!</v>
      </c>
    </row>
    <row r="1025" spans="1:9">
      <c r="A1025">
        <f>RFI_Elements!B1028</f>
        <v>13</v>
      </c>
      <c r="B1025">
        <f>RFI_Elements!C1028</f>
        <v>415</v>
      </c>
      <c r="C1025">
        <v>1027</v>
      </c>
      <c r="D1025" s="128">
        <v>43101.003472164353</v>
      </c>
      <c r="E1025" t="e">
        <f>VLOOKUP(VLOOKUP(B1025,SuiteCatSubElem!$G$2:$G$667,2,0),'SA Q4 18 VR'!$A$33:$O$193,1+MATCH(VLOOKUP(A1025,Vendors!$A$2:$B$15,2,0),'SA Q4 18 VR'!$B$24:$O$24,0),0)</f>
        <v>#REF!</v>
      </c>
      <c r="F1025" s="27">
        <v>1</v>
      </c>
      <c r="G1025">
        <f>RFI_Elements!N1028</f>
        <v>1027</v>
      </c>
      <c r="I1025" t="e">
        <f>VLOOKUP(B1025,SuiteCatSubElem!$G$2:$G$667,2,0)</f>
        <v>#REF!</v>
      </c>
    </row>
    <row r="1026" spans="1:9">
      <c r="A1026">
        <f>RFI_Elements!B1029</f>
        <v>13</v>
      </c>
      <c r="B1026">
        <f>RFI_Elements!C1029</f>
        <v>416</v>
      </c>
      <c r="C1026">
        <v>1028</v>
      </c>
      <c r="D1026" s="128">
        <v>43101.003472164353</v>
      </c>
      <c r="E1026" t="e">
        <f>VLOOKUP(VLOOKUP(B1026,SuiteCatSubElem!$G$2:$G$667,2,0),'SA Q4 18 VR'!$A$33:$O$193,1+MATCH(VLOOKUP(A1026,Vendors!$A$2:$B$15,2,0),'SA Q4 18 VR'!$B$24:$O$24,0),0)</f>
        <v>#REF!</v>
      </c>
      <c r="F1026" s="27">
        <v>1</v>
      </c>
      <c r="G1026">
        <f>RFI_Elements!N1029</f>
        <v>1028</v>
      </c>
      <c r="I1026" t="e">
        <f>VLOOKUP(B1026,SuiteCatSubElem!$G$2:$G$667,2,0)</f>
        <v>#REF!</v>
      </c>
    </row>
    <row r="1027" spans="1:9">
      <c r="A1027">
        <f>RFI_Elements!B1030</f>
        <v>13</v>
      </c>
      <c r="B1027">
        <f>RFI_Elements!C1030</f>
        <v>417</v>
      </c>
      <c r="C1027">
        <v>1029</v>
      </c>
      <c r="D1027" s="128">
        <v>43101.003472164353</v>
      </c>
      <c r="E1027" t="e">
        <f>VLOOKUP(VLOOKUP(B1027,SuiteCatSubElem!$G$2:$G$667,2,0),'SA Q4 18 VR'!$A$33:$O$193,1+MATCH(VLOOKUP(A1027,Vendors!$A$2:$B$15,2,0),'SA Q4 18 VR'!$B$24:$O$24,0),0)</f>
        <v>#REF!</v>
      </c>
      <c r="F1027" s="27">
        <v>1</v>
      </c>
      <c r="G1027">
        <f>RFI_Elements!N1030</f>
        <v>1029</v>
      </c>
      <c r="I1027" t="e">
        <f>VLOOKUP(B1027,SuiteCatSubElem!$G$2:$G$667,2,0)</f>
        <v>#REF!</v>
      </c>
    </row>
    <row r="1028" spans="1:9">
      <c r="A1028">
        <f>RFI_Elements!B1031</f>
        <v>13</v>
      </c>
      <c r="B1028">
        <f>RFI_Elements!C1031</f>
        <v>418</v>
      </c>
      <c r="C1028">
        <v>1030</v>
      </c>
      <c r="D1028" s="128">
        <v>43101.003472164353</v>
      </c>
      <c r="E1028" t="e">
        <f>VLOOKUP(VLOOKUP(B1028,SuiteCatSubElem!$G$2:$G$667,2,0),'SA Q4 18 VR'!$A$33:$O$193,1+MATCH(VLOOKUP(A1028,Vendors!$A$2:$B$15,2,0),'SA Q4 18 VR'!$B$24:$O$24,0),0)</f>
        <v>#REF!</v>
      </c>
      <c r="F1028" s="27">
        <v>1</v>
      </c>
      <c r="G1028">
        <f>RFI_Elements!N1031</f>
        <v>1030</v>
      </c>
      <c r="I1028" t="e">
        <f>VLOOKUP(B1028,SuiteCatSubElem!$G$2:$G$667,2,0)</f>
        <v>#REF!</v>
      </c>
    </row>
    <row r="1029" spans="1:9">
      <c r="A1029">
        <f>RFI_Elements!B1032</f>
        <v>13</v>
      </c>
      <c r="B1029">
        <f>RFI_Elements!C1032</f>
        <v>419</v>
      </c>
      <c r="C1029">
        <v>1031</v>
      </c>
      <c r="D1029" s="128">
        <v>43101.003472164353</v>
      </c>
      <c r="E1029" t="e">
        <f>VLOOKUP(VLOOKUP(B1029,SuiteCatSubElem!$G$2:$G$667,2,0),'SA Q4 18 VR'!$A$33:$O$193,1+MATCH(VLOOKUP(A1029,Vendors!$A$2:$B$15,2,0),'SA Q4 18 VR'!$B$24:$O$24,0),0)</f>
        <v>#REF!</v>
      </c>
      <c r="F1029" s="27">
        <v>1</v>
      </c>
      <c r="G1029">
        <f>RFI_Elements!N1032</f>
        <v>1031</v>
      </c>
      <c r="I1029" t="e">
        <f>VLOOKUP(B1029,SuiteCatSubElem!$G$2:$G$667,2,0)</f>
        <v>#REF!</v>
      </c>
    </row>
    <row r="1030" spans="1:9">
      <c r="A1030">
        <f>RFI_Elements!B1033</f>
        <v>13</v>
      </c>
      <c r="B1030">
        <f>RFI_Elements!C1033</f>
        <v>420</v>
      </c>
      <c r="C1030">
        <v>1032</v>
      </c>
      <c r="D1030" s="128">
        <v>43101.003472164353</v>
      </c>
      <c r="E1030" t="e">
        <f>VLOOKUP(VLOOKUP(B1030,SuiteCatSubElem!$G$2:$G$667,2,0),'SA Q4 18 VR'!$A$33:$O$193,1+MATCH(VLOOKUP(A1030,Vendors!$A$2:$B$15,2,0),'SA Q4 18 VR'!$B$24:$O$24,0),0)</f>
        <v>#REF!</v>
      </c>
      <c r="F1030" s="27">
        <v>1</v>
      </c>
      <c r="G1030">
        <f>RFI_Elements!N1033</f>
        <v>1032</v>
      </c>
      <c r="I1030" t="e">
        <f>VLOOKUP(B1030,SuiteCatSubElem!$G$2:$G$667,2,0)</f>
        <v>#REF!</v>
      </c>
    </row>
    <row r="1031" spans="1:9">
      <c r="A1031">
        <f>RFI_Elements!B1034</f>
        <v>13</v>
      </c>
      <c r="B1031">
        <f>RFI_Elements!C1034</f>
        <v>421</v>
      </c>
      <c r="C1031">
        <v>1033</v>
      </c>
      <c r="D1031" s="128">
        <v>43101.003472164353</v>
      </c>
      <c r="E1031" t="e">
        <f>VLOOKUP(VLOOKUP(B1031,SuiteCatSubElem!$G$2:$G$667,2,0),'SA Q4 18 VR'!$A$33:$O$193,1+MATCH(VLOOKUP(A1031,Vendors!$A$2:$B$15,2,0),'SA Q4 18 VR'!$B$24:$O$24,0),0)</f>
        <v>#REF!</v>
      </c>
      <c r="F1031" s="27">
        <v>1</v>
      </c>
      <c r="G1031">
        <f>RFI_Elements!N1034</f>
        <v>1033</v>
      </c>
      <c r="I1031" t="e">
        <f>VLOOKUP(B1031,SuiteCatSubElem!$G$2:$G$667,2,0)</f>
        <v>#REF!</v>
      </c>
    </row>
    <row r="1032" spans="1:9">
      <c r="A1032">
        <f>RFI_Elements!B1035</f>
        <v>13</v>
      </c>
      <c r="B1032">
        <f>RFI_Elements!C1035</f>
        <v>422</v>
      </c>
      <c r="C1032">
        <v>1034</v>
      </c>
      <c r="D1032" s="128">
        <v>43101.003472164353</v>
      </c>
      <c r="E1032" t="e">
        <f>VLOOKUP(VLOOKUP(B1032,SuiteCatSubElem!$G$2:$G$667,2,0),'SA Q4 18 VR'!$A$33:$O$193,1+MATCH(VLOOKUP(A1032,Vendors!$A$2:$B$15,2,0),'SA Q4 18 VR'!$B$24:$O$24,0),0)</f>
        <v>#REF!</v>
      </c>
      <c r="F1032" s="27">
        <v>1</v>
      </c>
      <c r="G1032">
        <f>RFI_Elements!N1035</f>
        <v>1034</v>
      </c>
      <c r="I1032" t="e">
        <f>VLOOKUP(B1032,SuiteCatSubElem!$G$2:$G$667,2,0)</f>
        <v>#REF!</v>
      </c>
    </row>
    <row r="1033" spans="1:9">
      <c r="A1033">
        <f>RFI_Elements!B1036</f>
        <v>13</v>
      </c>
      <c r="B1033">
        <f>RFI_Elements!C1036</f>
        <v>423</v>
      </c>
      <c r="C1033">
        <v>1035</v>
      </c>
      <c r="D1033" s="128">
        <v>43101.003472164353</v>
      </c>
      <c r="E1033" t="e">
        <f>VLOOKUP(VLOOKUP(B1033,SuiteCatSubElem!$G$2:$G$667,2,0),'SA Q4 18 VR'!$A$33:$O$193,1+MATCH(VLOOKUP(A1033,Vendors!$A$2:$B$15,2,0),'SA Q4 18 VR'!$B$24:$O$24,0),0)</f>
        <v>#REF!</v>
      </c>
      <c r="F1033" s="27">
        <v>1</v>
      </c>
      <c r="G1033">
        <f>RFI_Elements!N1036</f>
        <v>1035</v>
      </c>
      <c r="I1033" t="e">
        <f>VLOOKUP(B1033,SuiteCatSubElem!$G$2:$G$667,2,0)</f>
        <v>#REF!</v>
      </c>
    </row>
    <row r="1034" spans="1:9">
      <c r="A1034">
        <f>RFI_Elements!B1037</f>
        <v>13</v>
      </c>
      <c r="B1034">
        <f>RFI_Elements!C1037</f>
        <v>424</v>
      </c>
      <c r="C1034">
        <v>1036</v>
      </c>
      <c r="D1034" s="128">
        <v>43101.003472164353</v>
      </c>
      <c r="E1034" t="e">
        <f>VLOOKUP(VLOOKUP(B1034,SuiteCatSubElem!$G$2:$G$667,2,0),'SA Q4 18 VR'!$A$33:$O$193,1+MATCH(VLOOKUP(A1034,Vendors!$A$2:$B$15,2,0),'SA Q4 18 VR'!$B$24:$O$24,0),0)</f>
        <v>#REF!</v>
      </c>
      <c r="F1034" s="27">
        <v>1</v>
      </c>
      <c r="G1034">
        <f>RFI_Elements!N1037</f>
        <v>1036</v>
      </c>
      <c r="I1034" t="e">
        <f>VLOOKUP(B1034,SuiteCatSubElem!$G$2:$G$667,2,0)</f>
        <v>#REF!</v>
      </c>
    </row>
    <row r="1035" spans="1:9">
      <c r="A1035">
        <f>RFI_Elements!B1038</f>
        <v>13</v>
      </c>
      <c r="B1035">
        <f>RFI_Elements!C1038</f>
        <v>425</v>
      </c>
      <c r="C1035">
        <v>1037</v>
      </c>
      <c r="D1035" s="128">
        <v>43101.003472164353</v>
      </c>
      <c r="E1035" t="e">
        <f>VLOOKUP(VLOOKUP(B1035,SuiteCatSubElem!$G$2:$G$667,2,0),'SA Q4 18 VR'!$A$33:$O$193,1+MATCH(VLOOKUP(A1035,Vendors!$A$2:$B$15,2,0),'SA Q4 18 VR'!$B$24:$O$24,0),0)</f>
        <v>#REF!</v>
      </c>
      <c r="F1035" s="27">
        <v>1</v>
      </c>
      <c r="G1035">
        <f>RFI_Elements!N1038</f>
        <v>1037</v>
      </c>
      <c r="I1035" t="e">
        <f>VLOOKUP(B1035,SuiteCatSubElem!$G$2:$G$667,2,0)</f>
        <v>#REF!</v>
      </c>
    </row>
    <row r="1036" spans="1:9">
      <c r="A1036">
        <f>RFI_Elements!B1039</f>
        <v>13</v>
      </c>
      <c r="B1036">
        <f>RFI_Elements!C1039</f>
        <v>426</v>
      </c>
      <c r="C1036">
        <v>1038</v>
      </c>
      <c r="D1036" s="128">
        <v>43101.003472164353</v>
      </c>
      <c r="E1036" t="e">
        <f>VLOOKUP(VLOOKUP(B1036,SuiteCatSubElem!$G$2:$G$667,2,0),'SA Q4 18 VR'!$A$33:$O$193,1+MATCH(VLOOKUP(A1036,Vendors!$A$2:$B$15,2,0),'SA Q4 18 VR'!$B$24:$O$24,0),0)</f>
        <v>#REF!</v>
      </c>
      <c r="F1036" s="27">
        <v>1</v>
      </c>
      <c r="G1036">
        <f>RFI_Elements!N1039</f>
        <v>1038</v>
      </c>
      <c r="I1036" t="e">
        <f>VLOOKUP(B1036,SuiteCatSubElem!$G$2:$G$667,2,0)</f>
        <v>#REF!</v>
      </c>
    </row>
    <row r="1037" spans="1:9">
      <c r="A1037">
        <f>RFI_Elements!B1040</f>
        <v>13</v>
      </c>
      <c r="B1037">
        <f>RFI_Elements!C1040</f>
        <v>427</v>
      </c>
      <c r="C1037">
        <v>1039</v>
      </c>
      <c r="D1037" s="128">
        <v>43101.003472164353</v>
      </c>
      <c r="E1037" t="e">
        <f>VLOOKUP(VLOOKUP(B1037,SuiteCatSubElem!$G$2:$G$667,2,0),'SA Q4 18 VR'!$A$33:$O$193,1+MATCH(VLOOKUP(A1037,Vendors!$A$2:$B$15,2,0),'SA Q4 18 VR'!$B$24:$O$24,0),0)</f>
        <v>#REF!</v>
      </c>
      <c r="F1037" s="27">
        <v>1</v>
      </c>
      <c r="G1037">
        <f>RFI_Elements!N1040</f>
        <v>1039</v>
      </c>
      <c r="I1037" t="e">
        <f>VLOOKUP(B1037,SuiteCatSubElem!$G$2:$G$667,2,0)</f>
        <v>#REF!</v>
      </c>
    </row>
    <row r="1038" spans="1:9">
      <c r="A1038">
        <f>RFI_Elements!B1041</f>
        <v>13</v>
      </c>
      <c r="B1038">
        <f>RFI_Elements!C1041</f>
        <v>428</v>
      </c>
      <c r="C1038">
        <v>1040</v>
      </c>
      <c r="D1038" s="128">
        <v>43101.003472164353</v>
      </c>
      <c r="E1038" t="e">
        <f>VLOOKUP(VLOOKUP(B1038,SuiteCatSubElem!$G$2:$G$667,2,0),'SA Q4 18 VR'!$A$33:$O$193,1+MATCH(VLOOKUP(A1038,Vendors!$A$2:$B$15,2,0),'SA Q4 18 VR'!$B$24:$O$24,0),0)</f>
        <v>#REF!</v>
      </c>
      <c r="F1038" s="27">
        <v>1</v>
      </c>
      <c r="G1038">
        <f>RFI_Elements!N1041</f>
        <v>1040</v>
      </c>
      <c r="I1038" t="e">
        <f>VLOOKUP(B1038,SuiteCatSubElem!$G$2:$G$667,2,0)</f>
        <v>#REF!</v>
      </c>
    </row>
    <row r="1039" spans="1:9">
      <c r="A1039">
        <f>RFI_Elements!B1042</f>
        <v>13</v>
      </c>
      <c r="B1039">
        <f>RFI_Elements!C1042</f>
        <v>429</v>
      </c>
      <c r="C1039">
        <v>1041</v>
      </c>
      <c r="D1039" s="128">
        <v>43101.003472164353</v>
      </c>
      <c r="E1039" t="e">
        <f>VLOOKUP(VLOOKUP(B1039,SuiteCatSubElem!$G$2:$G$667,2,0),'SA Q4 18 VR'!$A$33:$O$193,1+MATCH(VLOOKUP(A1039,Vendors!$A$2:$B$15,2,0),'SA Q4 18 VR'!$B$24:$O$24,0),0)</f>
        <v>#REF!</v>
      </c>
      <c r="F1039" s="27">
        <v>1</v>
      </c>
      <c r="G1039">
        <f>RFI_Elements!N1042</f>
        <v>1041</v>
      </c>
      <c r="I1039" t="e">
        <f>VLOOKUP(B1039,SuiteCatSubElem!$G$2:$G$667,2,0)</f>
        <v>#REF!</v>
      </c>
    </row>
    <row r="1040" spans="1:9">
      <c r="A1040">
        <f>RFI_Elements!B1043</f>
        <v>13</v>
      </c>
      <c r="B1040">
        <f>RFI_Elements!C1043</f>
        <v>430</v>
      </c>
      <c r="C1040">
        <v>1042</v>
      </c>
      <c r="D1040" s="128">
        <v>43101.003472164353</v>
      </c>
      <c r="E1040" t="e">
        <f>VLOOKUP(VLOOKUP(B1040,SuiteCatSubElem!$G$2:$G$667,2,0),'SA Q4 18 VR'!$A$33:$O$193,1+MATCH(VLOOKUP(A1040,Vendors!$A$2:$B$15,2,0),'SA Q4 18 VR'!$B$24:$O$24,0),0)</f>
        <v>#REF!</v>
      </c>
      <c r="F1040" s="27">
        <v>1</v>
      </c>
      <c r="G1040">
        <f>RFI_Elements!N1043</f>
        <v>1042</v>
      </c>
      <c r="I1040" t="e">
        <f>VLOOKUP(B1040,SuiteCatSubElem!$G$2:$G$667,2,0)</f>
        <v>#REF!</v>
      </c>
    </row>
    <row r="1041" spans="1:9">
      <c r="A1041">
        <f>RFI_Elements!B1044</f>
        <v>13</v>
      </c>
      <c r="B1041">
        <f>RFI_Elements!C1044</f>
        <v>431</v>
      </c>
      <c r="C1041">
        <v>1043</v>
      </c>
      <c r="D1041" s="128">
        <v>43101.003472164353</v>
      </c>
      <c r="E1041" t="e">
        <f>VLOOKUP(VLOOKUP(B1041,SuiteCatSubElem!$G$2:$G$667,2,0),'SA Q4 18 VR'!$A$33:$O$193,1+MATCH(VLOOKUP(A1041,Vendors!$A$2:$B$15,2,0),'SA Q4 18 VR'!$B$24:$O$24,0),0)</f>
        <v>#REF!</v>
      </c>
      <c r="F1041" s="27">
        <v>1</v>
      </c>
      <c r="G1041">
        <f>RFI_Elements!N1044</f>
        <v>1043</v>
      </c>
      <c r="I1041" t="e">
        <f>VLOOKUP(B1041,SuiteCatSubElem!$G$2:$G$667,2,0)</f>
        <v>#REF!</v>
      </c>
    </row>
    <row r="1042" spans="1:9">
      <c r="A1042">
        <f>RFI_Elements!B1045</f>
        <v>13</v>
      </c>
      <c r="B1042">
        <f>RFI_Elements!C1045</f>
        <v>432</v>
      </c>
      <c r="C1042">
        <v>1044</v>
      </c>
      <c r="D1042" s="128">
        <v>43101.003472164353</v>
      </c>
      <c r="E1042" t="e">
        <f>VLOOKUP(VLOOKUP(B1042,SuiteCatSubElem!$G$2:$G$667,2,0),'SA Q4 18 VR'!$A$33:$O$193,1+MATCH(VLOOKUP(A1042,Vendors!$A$2:$B$15,2,0),'SA Q4 18 VR'!$B$24:$O$24,0),0)</f>
        <v>#REF!</v>
      </c>
      <c r="F1042" s="27">
        <v>1</v>
      </c>
      <c r="G1042">
        <f>RFI_Elements!N1045</f>
        <v>1044</v>
      </c>
      <c r="I1042" t="e">
        <f>VLOOKUP(B1042,SuiteCatSubElem!$G$2:$G$667,2,0)</f>
        <v>#REF!</v>
      </c>
    </row>
    <row r="1043" spans="1:9">
      <c r="A1043">
        <f>RFI_Elements!B1046</f>
        <v>13</v>
      </c>
      <c r="B1043">
        <f>RFI_Elements!C1046</f>
        <v>433</v>
      </c>
      <c r="C1043">
        <v>1045</v>
      </c>
      <c r="D1043" s="128">
        <v>43101.003472164353</v>
      </c>
      <c r="E1043" t="e">
        <f>VLOOKUP(VLOOKUP(B1043,SuiteCatSubElem!$G$2:$G$667,2,0),'SA Q4 18 VR'!$A$33:$O$193,1+MATCH(VLOOKUP(A1043,Vendors!$A$2:$B$15,2,0),'SA Q4 18 VR'!$B$24:$O$24,0),0)</f>
        <v>#REF!</v>
      </c>
      <c r="F1043" s="27">
        <v>1</v>
      </c>
      <c r="G1043">
        <f>RFI_Elements!N1046</f>
        <v>1045</v>
      </c>
      <c r="I1043" t="e">
        <f>VLOOKUP(B1043,SuiteCatSubElem!$G$2:$G$667,2,0)</f>
        <v>#REF!</v>
      </c>
    </row>
    <row r="1044" spans="1:9">
      <c r="A1044">
        <f>RFI_Elements!B1047</f>
        <v>13</v>
      </c>
      <c r="B1044">
        <f>RFI_Elements!C1047</f>
        <v>434</v>
      </c>
      <c r="C1044">
        <v>1046</v>
      </c>
      <c r="D1044" s="128">
        <v>43101.003472164353</v>
      </c>
      <c r="E1044" t="e">
        <f>VLOOKUP(VLOOKUP(B1044,SuiteCatSubElem!$G$2:$G$667,2,0),'SA Q4 18 VR'!$A$33:$O$193,1+MATCH(VLOOKUP(A1044,Vendors!$A$2:$B$15,2,0),'SA Q4 18 VR'!$B$24:$O$24,0),0)</f>
        <v>#REF!</v>
      </c>
      <c r="F1044" s="27">
        <v>1</v>
      </c>
      <c r="G1044">
        <f>RFI_Elements!N1047</f>
        <v>1046</v>
      </c>
      <c r="I1044" t="e">
        <f>VLOOKUP(B1044,SuiteCatSubElem!$G$2:$G$667,2,0)</f>
        <v>#REF!</v>
      </c>
    </row>
    <row r="1045" spans="1:9">
      <c r="A1045">
        <f>RFI_Elements!B1048</f>
        <v>13</v>
      </c>
      <c r="B1045">
        <f>RFI_Elements!C1048</f>
        <v>435</v>
      </c>
      <c r="C1045">
        <v>1047</v>
      </c>
      <c r="D1045" s="128">
        <v>43101.003472164353</v>
      </c>
      <c r="E1045" t="e">
        <f>VLOOKUP(VLOOKUP(B1045,SuiteCatSubElem!$G$2:$G$667,2,0),'SA Q4 18 VR'!$A$33:$O$193,1+MATCH(VLOOKUP(A1045,Vendors!$A$2:$B$15,2,0),'SA Q4 18 VR'!$B$24:$O$24,0),0)</f>
        <v>#REF!</v>
      </c>
      <c r="F1045" s="27">
        <v>1</v>
      </c>
      <c r="G1045">
        <f>RFI_Elements!N1048</f>
        <v>1047</v>
      </c>
      <c r="I1045" t="e">
        <f>VLOOKUP(B1045,SuiteCatSubElem!$G$2:$G$667,2,0)</f>
        <v>#REF!</v>
      </c>
    </row>
    <row r="1046" spans="1:9">
      <c r="A1046">
        <f>RFI_Elements!B1049</f>
        <v>13</v>
      </c>
      <c r="B1046">
        <f>RFI_Elements!C1049</f>
        <v>436</v>
      </c>
      <c r="C1046">
        <v>1048</v>
      </c>
      <c r="D1046" s="128">
        <v>43101.003472164353</v>
      </c>
      <c r="E1046" t="e">
        <f>VLOOKUP(VLOOKUP(B1046,SuiteCatSubElem!$G$2:$G$667,2,0),'SA Q4 18 VR'!$A$33:$O$193,1+MATCH(VLOOKUP(A1046,Vendors!$A$2:$B$15,2,0),'SA Q4 18 VR'!$B$24:$O$24,0),0)</f>
        <v>#REF!</v>
      </c>
      <c r="F1046" s="27">
        <v>1</v>
      </c>
      <c r="G1046">
        <f>RFI_Elements!N1049</f>
        <v>1048</v>
      </c>
      <c r="I1046" t="e">
        <f>VLOOKUP(B1046,SuiteCatSubElem!$G$2:$G$667,2,0)</f>
        <v>#REF!</v>
      </c>
    </row>
    <row r="1047" spans="1:9">
      <c r="A1047">
        <f>RFI_Elements!B1050</f>
        <v>13</v>
      </c>
      <c r="B1047">
        <f>RFI_Elements!C1050</f>
        <v>437</v>
      </c>
      <c r="C1047">
        <v>1049</v>
      </c>
      <c r="D1047" s="128">
        <v>43101.003472164353</v>
      </c>
      <c r="E1047" t="e">
        <f>VLOOKUP(VLOOKUP(B1047,SuiteCatSubElem!$G$2:$G$667,2,0),'SA Q4 18 VR'!$A$33:$O$193,1+MATCH(VLOOKUP(A1047,Vendors!$A$2:$B$15,2,0),'SA Q4 18 VR'!$B$24:$O$24,0),0)</f>
        <v>#REF!</v>
      </c>
      <c r="F1047" s="27">
        <v>1</v>
      </c>
      <c r="G1047">
        <f>RFI_Elements!N1050</f>
        <v>1049</v>
      </c>
      <c r="I1047" t="e">
        <f>VLOOKUP(B1047,SuiteCatSubElem!$G$2:$G$667,2,0)</f>
        <v>#REF!</v>
      </c>
    </row>
    <row r="1048" spans="1:9">
      <c r="A1048">
        <f>RFI_Elements!B1051</f>
        <v>13</v>
      </c>
      <c r="B1048">
        <f>RFI_Elements!C1051</f>
        <v>438</v>
      </c>
      <c r="C1048">
        <v>1050</v>
      </c>
      <c r="D1048" s="128">
        <v>43101.003472164353</v>
      </c>
      <c r="E1048" t="e">
        <f>VLOOKUP(VLOOKUP(B1048,SuiteCatSubElem!$G$2:$G$667,2,0),'SA Q4 18 VR'!$A$33:$O$193,1+MATCH(VLOOKUP(A1048,Vendors!$A$2:$B$15,2,0),'SA Q4 18 VR'!$B$24:$O$24,0),0)</f>
        <v>#REF!</v>
      </c>
      <c r="F1048" s="27">
        <v>1</v>
      </c>
      <c r="G1048">
        <f>RFI_Elements!N1051</f>
        <v>1050</v>
      </c>
      <c r="I1048" t="e">
        <f>VLOOKUP(B1048,SuiteCatSubElem!$G$2:$G$667,2,0)</f>
        <v>#REF!</v>
      </c>
    </row>
    <row r="1049" spans="1:9">
      <c r="A1049">
        <f>RFI_Elements!B1052</f>
        <v>13</v>
      </c>
      <c r="B1049">
        <f>RFI_Elements!C1052</f>
        <v>439</v>
      </c>
      <c r="C1049">
        <v>1051</v>
      </c>
      <c r="D1049" s="128">
        <v>43101.003472164353</v>
      </c>
      <c r="E1049" t="e">
        <f>VLOOKUP(VLOOKUP(B1049,SuiteCatSubElem!$G$2:$G$667,2,0),'SA Q4 18 VR'!$A$33:$O$193,1+MATCH(VLOOKUP(A1049,Vendors!$A$2:$B$15,2,0),'SA Q4 18 VR'!$B$24:$O$24,0),0)</f>
        <v>#REF!</v>
      </c>
      <c r="F1049" s="27">
        <v>1</v>
      </c>
      <c r="G1049">
        <f>RFI_Elements!N1052</f>
        <v>1051</v>
      </c>
      <c r="I1049" t="e">
        <f>VLOOKUP(B1049,SuiteCatSubElem!$G$2:$G$667,2,0)</f>
        <v>#REF!</v>
      </c>
    </row>
    <row r="1050" spans="1:9">
      <c r="A1050">
        <f>RFI_Elements!B1053</f>
        <v>13</v>
      </c>
      <c r="B1050">
        <f>RFI_Elements!C1053</f>
        <v>440</v>
      </c>
      <c r="C1050">
        <v>1052</v>
      </c>
      <c r="D1050" s="128">
        <v>43101.003472164353</v>
      </c>
      <c r="E1050" t="e">
        <f>VLOOKUP(VLOOKUP(B1050,SuiteCatSubElem!$G$2:$G$667,2,0),'SA Q4 18 VR'!$A$33:$O$193,1+MATCH(VLOOKUP(A1050,Vendors!$A$2:$B$15,2,0),'SA Q4 18 VR'!$B$24:$O$24,0),0)</f>
        <v>#REF!</v>
      </c>
      <c r="F1050" s="27">
        <v>1</v>
      </c>
      <c r="G1050">
        <f>RFI_Elements!N1053</f>
        <v>1052</v>
      </c>
      <c r="I1050" t="e">
        <f>VLOOKUP(B1050,SuiteCatSubElem!$G$2:$G$667,2,0)</f>
        <v>#REF!</v>
      </c>
    </row>
    <row r="1051" spans="1:9">
      <c r="A1051">
        <f>RFI_Elements!B1054</f>
        <v>13</v>
      </c>
      <c r="B1051">
        <f>RFI_Elements!C1054</f>
        <v>441</v>
      </c>
      <c r="C1051">
        <v>1053</v>
      </c>
      <c r="D1051" s="128">
        <v>43101.003472164353</v>
      </c>
      <c r="E1051" t="e">
        <f>VLOOKUP(VLOOKUP(B1051,SuiteCatSubElem!$G$2:$G$667,2,0),'SA Q4 18 VR'!$A$33:$O$193,1+MATCH(VLOOKUP(A1051,Vendors!$A$2:$B$15,2,0),'SA Q4 18 VR'!$B$24:$O$24,0),0)</f>
        <v>#REF!</v>
      </c>
      <c r="F1051" s="27">
        <v>1</v>
      </c>
      <c r="G1051">
        <f>RFI_Elements!N1054</f>
        <v>1053</v>
      </c>
      <c r="I1051" t="e">
        <f>VLOOKUP(B1051,SuiteCatSubElem!$G$2:$G$667,2,0)</f>
        <v>#REF!</v>
      </c>
    </row>
    <row r="1052" spans="1:9">
      <c r="A1052">
        <f>RFI_Elements!B1055</f>
        <v>13</v>
      </c>
      <c r="B1052">
        <f>RFI_Elements!C1055</f>
        <v>442</v>
      </c>
      <c r="C1052">
        <v>1054</v>
      </c>
      <c r="D1052" s="128">
        <v>43101.003472164353</v>
      </c>
      <c r="E1052" t="e">
        <f>VLOOKUP(VLOOKUP(B1052,SuiteCatSubElem!$G$2:$G$667,2,0),'SA Q4 18 VR'!$A$33:$O$193,1+MATCH(VLOOKUP(A1052,Vendors!$A$2:$B$15,2,0),'SA Q4 18 VR'!$B$24:$O$24,0),0)</f>
        <v>#REF!</v>
      </c>
      <c r="F1052" s="27">
        <v>1</v>
      </c>
      <c r="G1052">
        <f>RFI_Elements!N1055</f>
        <v>1054</v>
      </c>
      <c r="I1052" t="e">
        <f>VLOOKUP(B1052,SuiteCatSubElem!$G$2:$G$667,2,0)</f>
        <v>#REF!</v>
      </c>
    </row>
    <row r="1053" spans="1:9">
      <c r="A1053">
        <f>RFI_Elements!B1056</f>
        <v>13</v>
      </c>
      <c r="B1053">
        <f>RFI_Elements!C1056</f>
        <v>443</v>
      </c>
      <c r="C1053">
        <v>1055</v>
      </c>
      <c r="D1053" s="128">
        <v>43101.003472164353</v>
      </c>
      <c r="E1053" t="e">
        <f>VLOOKUP(VLOOKUP(B1053,SuiteCatSubElem!$G$2:$G$667,2,0),'SA Q4 18 VR'!$A$33:$O$193,1+MATCH(VLOOKUP(A1053,Vendors!$A$2:$B$15,2,0),'SA Q4 18 VR'!$B$24:$O$24,0),0)</f>
        <v>#REF!</v>
      </c>
      <c r="F1053" s="27">
        <v>1</v>
      </c>
      <c r="G1053">
        <f>RFI_Elements!N1056</f>
        <v>1055</v>
      </c>
      <c r="I1053" t="e">
        <f>VLOOKUP(B1053,SuiteCatSubElem!$G$2:$G$667,2,0)</f>
        <v>#REF!</v>
      </c>
    </row>
    <row r="1054" spans="1:9">
      <c r="A1054">
        <f>RFI_Elements!B1057</f>
        <v>13</v>
      </c>
      <c r="B1054">
        <f>RFI_Elements!C1057</f>
        <v>444</v>
      </c>
      <c r="C1054">
        <v>1056</v>
      </c>
      <c r="D1054" s="128">
        <v>43101.003472164353</v>
      </c>
      <c r="E1054" t="e">
        <f>VLOOKUP(VLOOKUP(B1054,SuiteCatSubElem!$G$2:$G$667,2,0),'SA Q4 18 VR'!$A$33:$O$193,1+MATCH(VLOOKUP(A1054,Vendors!$A$2:$B$15,2,0),'SA Q4 18 VR'!$B$24:$O$24,0),0)</f>
        <v>#REF!</v>
      </c>
      <c r="F1054" s="27">
        <v>1</v>
      </c>
      <c r="G1054">
        <f>RFI_Elements!N1057</f>
        <v>1056</v>
      </c>
      <c r="I1054" t="e">
        <f>VLOOKUP(B1054,SuiteCatSubElem!$G$2:$G$667,2,0)</f>
        <v>#REF!</v>
      </c>
    </row>
    <row r="1055" spans="1:9">
      <c r="A1055">
        <f>RFI_Elements!B1058</f>
        <v>13</v>
      </c>
      <c r="B1055">
        <f>RFI_Elements!C1058</f>
        <v>445</v>
      </c>
      <c r="C1055">
        <v>1057</v>
      </c>
      <c r="D1055" s="128">
        <v>43101.003472164353</v>
      </c>
      <c r="E1055" t="e">
        <f>VLOOKUP(VLOOKUP(B1055,SuiteCatSubElem!$G$2:$G$667,2,0),'SA Q4 18 VR'!$A$33:$O$193,1+MATCH(VLOOKUP(A1055,Vendors!$A$2:$B$15,2,0),'SA Q4 18 VR'!$B$24:$O$24,0),0)</f>
        <v>#REF!</v>
      </c>
      <c r="F1055" s="27">
        <v>1</v>
      </c>
      <c r="G1055">
        <f>RFI_Elements!N1058</f>
        <v>1057</v>
      </c>
      <c r="I1055" t="e">
        <f>VLOOKUP(B1055,SuiteCatSubElem!$G$2:$G$667,2,0)</f>
        <v>#REF!</v>
      </c>
    </row>
    <row r="1056" spans="1:9">
      <c r="A1056">
        <f>RFI_Elements!B1059</f>
        <v>13</v>
      </c>
      <c r="B1056">
        <f>RFI_Elements!C1059</f>
        <v>446</v>
      </c>
      <c r="C1056">
        <v>1058</v>
      </c>
      <c r="D1056" s="128">
        <v>43101.003472164353</v>
      </c>
      <c r="E1056" t="e">
        <f>VLOOKUP(VLOOKUP(B1056,SuiteCatSubElem!$G$2:$G$667,2,0),'SA Q4 18 VR'!$A$33:$O$193,1+MATCH(VLOOKUP(A1056,Vendors!$A$2:$B$15,2,0),'SA Q4 18 VR'!$B$24:$O$24,0),0)</f>
        <v>#REF!</v>
      </c>
      <c r="F1056" s="27">
        <v>1</v>
      </c>
      <c r="G1056">
        <f>RFI_Elements!N1059</f>
        <v>1058</v>
      </c>
      <c r="I1056" t="e">
        <f>VLOOKUP(B1056,SuiteCatSubElem!$G$2:$G$667,2,0)</f>
        <v>#REF!</v>
      </c>
    </row>
    <row r="1057" spans="1:9">
      <c r="A1057">
        <f>RFI_Elements!B1060</f>
        <v>13</v>
      </c>
      <c r="B1057">
        <f>RFI_Elements!C1060</f>
        <v>447</v>
      </c>
      <c r="C1057">
        <v>1059</v>
      </c>
      <c r="D1057" s="128">
        <v>43101.003472164353</v>
      </c>
      <c r="E1057" t="e">
        <f>VLOOKUP(VLOOKUP(B1057,SuiteCatSubElem!$G$2:$G$667,2,0),'SA Q4 18 VR'!$A$33:$O$193,1+MATCH(VLOOKUP(A1057,Vendors!$A$2:$B$15,2,0),'SA Q4 18 VR'!$B$24:$O$24,0),0)</f>
        <v>#REF!</v>
      </c>
      <c r="F1057" s="27">
        <v>1</v>
      </c>
      <c r="G1057">
        <f>RFI_Elements!N1060</f>
        <v>1059</v>
      </c>
      <c r="I1057" t="e">
        <f>VLOOKUP(B1057,SuiteCatSubElem!$G$2:$G$667,2,0)</f>
        <v>#REF!</v>
      </c>
    </row>
    <row r="1058" spans="1:9">
      <c r="A1058">
        <f>RFI_Elements!B1061</f>
        <v>13</v>
      </c>
      <c r="B1058">
        <f>RFI_Elements!C1061</f>
        <v>448</v>
      </c>
      <c r="C1058">
        <v>1060</v>
      </c>
      <c r="D1058" s="128">
        <v>43101.003472164353</v>
      </c>
      <c r="E1058" t="e">
        <f>VLOOKUP(VLOOKUP(B1058,SuiteCatSubElem!$G$2:$G$667,2,0),'SA Q4 18 VR'!$A$33:$O$193,1+MATCH(VLOOKUP(A1058,Vendors!$A$2:$B$15,2,0),'SA Q4 18 VR'!$B$24:$O$24,0),0)</f>
        <v>#REF!</v>
      </c>
      <c r="F1058" s="27">
        <v>1</v>
      </c>
      <c r="G1058">
        <f>RFI_Elements!N1061</f>
        <v>1060</v>
      </c>
      <c r="I1058" t="e">
        <f>VLOOKUP(B1058,SuiteCatSubElem!$G$2:$G$667,2,0)</f>
        <v>#REF!</v>
      </c>
    </row>
    <row r="1059" spans="1:9">
      <c r="A1059">
        <f>RFI_Elements!B1062</f>
        <v>13</v>
      </c>
      <c r="B1059">
        <f>RFI_Elements!C1062</f>
        <v>449</v>
      </c>
      <c r="C1059">
        <v>1061</v>
      </c>
      <c r="D1059" s="128">
        <v>43101.003472164353</v>
      </c>
      <c r="E1059" t="e">
        <f>VLOOKUP(VLOOKUP(B1059,SuiteCatSubElem!$G$2:$G$667,2,0),'SA Q4 18 VR'!$A$33:$O$193,1+MATCH(VLOOKUP(A1059,Vendors!$A$2:$B$15,2,0),'SA Q4 18 VR'!$B$24:$O$24,0),0)</f>
        <v>#REF!</v>
      </c>
      <c r="F1059" s="27">
        <v>1</v>
      </c>
      <c r="G1059">
        <f>RFI_Elements!N1062</f>
        <v>1061</v>
      </c>
      <c r="I1059" t="e">
        <f>VLOOKUP(B1059,SuiteCatSubElem!$G$2:$G$667,2,0)</f>
        <v>#REF!</v>
      </c>
    </row>
    <row r="1060" spans="1:9">
      <c r="A1060">
        <f>RFI_Elements!B1063</f>
        <v>13</v>
      </c>
      <c r="B1060">
        <f>RFI_Elements!C1063</f>
        <v>450</v>
      </c>
      <c r="C1060">
        <v>1062</v>
      </c>
      <c r="D1060" s="128">
        <v>43101.003472164353</v>
      </c>
      <c r="E1060" t="e">
        <f>VLOOKUP(VLOOKUP(B1060,SuiteCatSubElem!$G$2:$G$667,2,0),'SA Q4 18 VR'!$A$33:$O$193,1+MATCH(VLOOKUP(A1060,Vendors!$A$2:$B$15,2,0),'SA Q4 18 VR'!$B$24:$O$24,0),0)</f>
        <v>#REF!</v>
      </c>
      <c r="F1060" s="27">
        <v>1</v>
      </c>
      <c r="G1060">
        <f>RFI_Elements!N1063</f>
        <v>1062</v>
      </c>
      <c r="I1060" t="e">
        <f>VLOOKUP(B1060,SuiteCatSubElem!$G$2:$G$667,2,0)</f>
        <v>#REF!</v>
      </c>
    </row>
    <row r="1061" spans="1:9">
      <c r="A1061">
        <f>RFI_Elements!B1064</f>
        <v>13</v>
      </c>
      <c r="B1061">
        <f>RFI_Elements!C1064</f>
        <v>451</v>
      </c>
      <c r="C1061">
        <v>1063</v>
      </c>
      <c r="D1061" s="128">
        <v>43101.003472164353</v>
      </c>
      <c r="E1061" t="e">
        <f>VLOOKUP(VLOOKUP(B1061,SuiteCatSubElem!$G$2:$G$667,2,0),'SA Q4 18 VR'!$A$33:$O$193,1+MATCH(VLOOKUP(A1061,Vendors!$A$2:$B$15,2,0),'SA Q4 18 VR'!$B$24:$O$24,0),0)</f>
        <v>#REF!</v>
      </c>
      <c r="F1061" s="27">
        <v>1</v>
      </c>
      <c r="G1061">
        <f>RFI_Elements!N1064</f>
        <v>1063</v>
      </c>
      <c r="I1061" t="e">
        <f>VLOOKUP(B1061,SuiteCatSubElem!$G$2:$G$667,2,0)</f>
        <v>#REF!</v>
      </c>
    </row>
    <row r="1062" spans="1:9">
      <c r="A1062">
        <f>RFI_Elements!B1065</f>
        <v>13</v>
      </c>
      <c r="B1062">
        <f>RFI_Elements!C1065</f>
        <v>452</v>
      </c>
      <c r="C1062">
        <v>1064</v>
      </c>
      <c r="D1062" s="128">
        <v>43101.003472164353</v>
      </c>
      <c r="E1062" t="e">
        <f>VLOOKUP(VLOOKUP(B1062,SuiteCatSubElem!$G$2:$G$667,2,0),'SA Q4 18 VR'!$A$33:$O$193,1+MATCH(VLOOKUP(A1062,Vendors!$A$2:$B$15,2,0),'SA Q4 18 VR'!$B$24:$O$24,0),0)</f>
        <v>#REF!</v>
      </c>
      <c r="F1062" s="27">
        <v>1</v>
      </c>
      <c r="G1062">
        <f>RFI_Elements!N1065</f>
        <v>1064</v>
      </c>
      <c r="I1062" t="e">
        <f>VLOOKUP(B1062,SuiteCatSubElem!$G$2:$G$667,2,0)</f>
        <v>#REF!</v>
      </c>
    </row>
    <row r="1063" spans="1:9">
      <c r="A1063">
        <f>RFI_Elements!B1066</f>
        <v>13</v>
      </c>
      <c r="B1063">
        <f>RFI_Elements!C1066</f>
        <v>453</v>
      </c>
      <c r="C1063">
        <v>1065</v>
      </c>
      <c r="D1063" s="128">
        <v>43101.003472164353</v>
      </c>
      <c r="E1063" t="e">
        <f>VLOOKUP(VLOOKUP(B1063,SuiteCatSubElem!$G$2:$G$667,2,0),'SA Q4 18 VR'!$A$33:$O$193,1+MATCH(VLOOKUP(A1063,Vendors!$A$2:$B$15,2,0),'SA Q4 18 VR'!$B$24:$O$24,0),0)</f>
        <v>#REF!</v>
      </c>
      <c r="F1063" s="27">
        <v>1</v>
      </c>
      <c r="G1063">
        <f>RFI_Elements!N1066</f>
        <v>1065</v>
      </c>
      <c r="I1063" t="e">
        <f>VLOOKUP(B1063,SuiteCatSubElem!$G$2:$G$667,2,0)</f>
        <v>#REF!</v>
      </c>
    </row>
    <row r="1064" spans="1:9">
      <c r="A1064">
        <f>RFI_Elements!B1067</f>
        <v>13</v>
      </c>
      <c r="B1064">
        <f>RFI_Elements!C1067</f>
        <v>454</v>
      </c>
      <c r="C1064">
        <v>1066</v>
      </c>
      <c r="D1064" s="128">
        <v>43101.003472164353</v>
      </c>
      <c r="E1064" t="e">
        <f>VLOOKUP(VLOOKUP(B1064,SuiteCatSubElem!$G$2:$G$667,2,0),'SA Q4 18 VR'!$A$33:$O$193,1+MATCH(VLOOKUP(A1064,Vendors!$A$2:$B$15,2,0),'SA Q4 18 VR'!$B$24:$O$24,0),0)</f>
        <v>#REF!</v>
      </c>
      <c r="F1064" s="27">
        <v>1</v>
      </c>
      <c r="G1064">
        <f>RFI_Elements!N1067</f>
        <v>1066</v>
      </c>
      <c r="I1064" t="e">
        <f>VLOOKUP(B1064,SuiteCatSubElem!$G$2:$G$667,2,0)</f>
        <v>#REF!</v>
      </c>
    </row>
    <row r="1065" spans="1:9">
      <c r="A1065">
        <f>RFI_Elements!B1068</f>
        <v>13</v>
      </c>
      <c r="B1065">
        <f>RFI_Elements!C1068</f>
        <v>455</v>
      </c>
      <c r="C1065">
        <v>1067</v>
      </c>
      <c r="D1065" s="128">
        <v>43101.003472164353</v>
      </c>
      <c r="E1065" t="e">
        <f>VLOOKUP(VLOOKUP(B1065,SuiteCatSubElem!$G$2:$G$667,2,0),'SA Q4 18 VR'!$A$33:$O$193,1+MATCH(VLOOKUP(A1065,Vendors!$A$2:$B$15,2,0),'SA Q4 18 VR'!$B$24:$O$24,0),0)</f>
        <v>#REF!</v>
      </c>
      <c r="F1065" s="27">
        <v>1</v>
      </c>
      <c r="G1065">
        <f>RFI_Elements!N1068</f>
        <v>1067</v>
      </c>
      <c r="I1065" t="e">
        <f>VLOOKUP(B1065,SuiteCatSubElem!$G$2:$G$667,2,0)</f>
        <v>#REF!</v>
      </c>
    </row>
    <row r="1066" spans="1:9">
      <c r="A1066">
        <f>RFI_Elements!B1069</f>
        <v>13</v>
      </c>
      <c r="B1066">
        <f>RFI_Elements!C1069</f>
        <v>456</v>
      </c>
      <c r="C1066">
        <v>1068</v>
      </c>
      <c r="D1066" s="128">
        <v>43101.003472164353</v>
      </c>
      <c r="E1066" t="e">
        <f>VLOOKUP(VLOOKUP(B1066,SuiteCatSubElem!$G$2:$G$667,2,0),'SA Q4 18 VR'!$A$33:$O$193,1+MATCH(VLOOKUP(A1066,Vendors!$A$2:$B$15,2,0),'SA Q4 18 VR'!$B$24:$O$24,0),0)</f>
        <v>#REF!</v>
      </c>
      <c r="F1066" s="27">
        <v>1</v>
      </c>
      <c r="G1066">
        <f>RFI_Elements!N1069</f>
        <v>1068</v>
      </c>
      <c r="I1066" t="e">
        <f>VLOOKUP(B1066,SuiteCatSubElem!$G$2:$G$667,2,0)</f>
        <v>#REF!</v>
      </c>
    </row>
    <row r="1067" spans="1:9">
      <c r="A1067">
        <f>RFI_Elements!B1070</f>
        <v>13</v>
      </c>
      <c r="B1067">
        <f>RFI_Elements!C1070</f>
        <v>457</v>
      </c>
      <c r="C1067">
        <v>1069</v>
      </c>
      <c r="D1067" s="128">
        <v>43101.003472164353</v>
      </c>
      <c r="E1067" t="e">
        <f>VLOOKUP(VLOOKUP(B1067,SuiteCatSubElem!$G$2:$G$667,2,0),'SA Q4 18 VR'!$A$33:$O$193,1+MATCH(VLOOKUP(A1067,Vendors!$A$2:$B$15,2,0),'SA Q4 18 VR'!$B$24:$O$24,0),0)</f>
        <v>#REF!</v>
      </c>
      <c r="F1067" s="27">
        <v>1</v>
      </c>
      <c r="G1067">
        <f>RFI_Elements!N1070</f>
        <v>1069</v>
      </c>
      <c r="I1067" t="e">
        <f>VLOOKUP(B1067,SuiteCatSubElem!$G$2:$G$667,2,0)</f>
        <v>#REF!</v>
      </c>
    </row>
    <row r="1068" spans="1:9">
      <c r="A1068">
        <f>RFI_Elements!B1071</f>
        <v>13</v>
      </c>
      <c r="B1068">
        <f>RFI_Elements!C1071</f>
        <v>458</v>
      </c>
      <c r="C1068">
        <v>1070</v>
      </c>
      <c r="D1068" s="128">
        <v>43101.003472164353</v>
      </c>
      <c r="E1068" t="e">
        <f>VLOOKUP(VLOOKUP(B1068,SuiteCatSubElem!$G$2:$G$667,2,0),'SA Q4 18 VR'!$A$33:$O$193,1+MATCH(VLOOKUP(A1068,Vendors!$A$2:$B$15,2,0),'SA Q4 18 VR'!$B$24:$O$24,0),0)</f>
        <v>#REF!</v>
      </c>
      <c r="F1068" s="27">
        <v>1</v>
      </c>
      <c r="G1068">
        <f>RFI_Elements!N1071</f>
        <v>1070</v>
      </c>
      <c r="I1068" t="e">
        <f>VLOOKUP(B1068,SuiteCatSubElem!$G$2:$G$667,2,0)</f>
        <v>#REF!</v>
      </c>
    </row>
    <row r="1069" spans="1:9">
      <c r="A1069">
        <f>RFI_Elements!B1072</f>
        <v>13</v>
      </c>
      <c r="B1069">
        <f>RFI_Elements!C1072</f>
        <v>459</v>
      </c>
      <c r="C1069">
        <v>1071</v>
      </c>
      <c r="D1069" s="128">
        <v>43101.003472164353</v>
      </c>
      <c r="E1069" t="e">
        <f>VLOOKUP(VLOOKUP(B1069,SuiteCatSubElem!$G$2:$G$667,2,0),'SA Q4 18 VR'!$A$33:$O$193,1+MATCH(VLOOKUP(A1069,Vendors!$A$2:$B$15,2,0),'SA Q4 18 VR'!$B$24:$O$24,0),0)</f>
        <v>#REF!</v>
      </c>
      <c r="F1069" s="27">
        <v>1</v>
      </c>
      <c r="G1069">
        <f>RFI_Elements!N1072</f>
        <v>1071</v>
      </c>
      <c r="I1069" t="e">
        <f>VLOOKUP(B1069,SuiteCatSubElem!$G$2:$G$667,2,0)</f>
        <v>#REF!</v>
      </c>
    </row>
    <row r="1070" spans="1:9">
      <c r="A1070">
        <f>RFI_Elements!B1073</f>
        <v>13</v>
      </c>
      <c r="B1070">
        <f>RFI_Elements!C1073</f>
        <v>460</v>
      </c>
      <c r="C1070">
        <v>1072</v>
      </c>
      <c r="D1070" s="128">
        <v>43101.003472164353</v>
      </c>
      <c r="E1070" t="e">
        <f>VLOOKUP(VLOOKUP(B1070,SuiteCatSubElem!$G$2:$G$667,2,0),'SA Q4 18 VR'!$A$33:$O$193,1+MATCH(VLOOKUP(A1070,Vendors!$A$2:$B$15,2,0),'SA Q4 18 VR'!$B$24:$O$24,0),0)</f>
        <v>#REF!</v>
      </c>
      <c r="F1070" s="27">
        <v>1</v>
      </c>
      <c r="G1070">
        <f>RFI_Elements!N1073</f>
        <v>1072</v>
      </c>
      <c r="I1070" t="e">
        <f>VLOOKUP(B1070,SuiteCatSubElem!$G$2:$G$667,2,0)</f>
        <v>#REF!</v>
      </c>
    </row>
    <row r="1071" spans="1:9">
      <c r="A1071">
        <f>RFI_Elements!B1074</f>
        <v>13</v>
      </c>
      <c r="B1071">
        <f>RFI_Elements!C1074</f>
        <v>461</v>
      </c>
      <c r="C1071">
        <v>1073</v>
      </c>
      <c r="D1071" s="128">
        <v>43101.003472164353</v>
      </c>
      <c r="E1071" t="e">
        <f>VLOOKUP(VLOOKUP(B1071,SuiteCatSubElem!$G$2:$G$667,2,0),'SA Q4 18 VR'!$A$33:$O$193,1+MATCH(VLOOKUP(A1071,Vendors!$A$2:$B$15,2,0),'SA Q4 18 VR'!$B$24:$O$24,0),0)</f>
        <v>#REF!</v>
      </c>
      <c r="F1071" s="27">
        <v>1</v>
      </c>
      <c r="G1071">
        <f>RFI_Elements!N1074</f>
        <v>1073</v>
      </c>
      <c r="I1071" t="e">
        <f>VLOOKUP(B1071,SuiteCatSubElem!$G$2:$G$667,2,0)</f>
        <v>#REF!</v>
      </c>
    </row>
    <row r="1072" spans="1:9">
      <c r="A1072">
        <f>RFI_Elements!B1075</f>
        <v>13</v>
      </c>
      <c r="B1072">
        <f>RFI_Elements!C1075</f>
        <v>462</v>
      </c>
      <c r="C1072">
        <v>1074</v>
      </c>
      <c r="D1072" s="128">
        <v>43101.003472164353</v>
      </c>
      <c r="E1072" t="e">
        <f>VLOOKUP(VLOOKUP(B1072,SuiteCatSubElem!$G$2:$G$667,2,0),'SA Q4 18 VR'!$A$33:$O$193,1+MATCH(VLOOKUP(A1072,Vendors!$A$2:$B$15,2,0),'SA Q4 18 VR'!$B$24:$O$24,0),0)</f>
        <v>#REF!</v>
      </c>
      <c r="F1072" s="27">
        <v>1</v>
      </c>
      <c r="G1072">
        <f>RFI_Elements!N1075</f>
        <v>1074</v>
      </c>
      <c r="I1072" t="e">
        <f>VLOOKUP(B1072,SuiteCatSubElem!$G$2:$G$667,2,0)</f>
        <v>#REF!</v>
      </c>
    </row>
    <row r="1073" spans="1:9">
      <c r="A1073">
        <f>RFI_Elements!B1076</f>
        <v>13</v>
      </c>
      <c r="B1073">
        <f>RFI_Elements!C1076</f>
        <v>463</v>
      </c>
      <c r="C1073">
        <v>1075</v>
      </c>
      <c r="D1073" s="128">
        <v>43101.003472164353</v>
      </c>
      <c r="E1073" t="e">
        <f>VLOOKUP(VLOOKUP(B1073,SuiteCatSubElem!$G$2:$G$667,2,0),'SA Q4 18 VR'!$A$33:$O$193,1+MATCH(VLOOKUP(A1073,Vendors!$A$2:$B$15,2,0),'SA Q4 18 VR'!$B$24:$O$24,0),0)</f>
        <v>#REF!</v>
      </c>
      <c r="F1073" s="27">
        <v>1</v>
      </c>
      <c r="G1073">
        <f>RFI_Elements!N1076</f>
        <v>1075</v>
      </c>
      <c r="I1073" t="e">
        <f>VLOOKUP(B1073,SuiteCatSubElem!$G$2:$G$667,2,0)</f>
        <v>#REF!</v>
      </c>
    </row>
    <row r="1074" spans="1:9">
      <c r="A1074">
        <f>RFI_Elements!B1077</f>
        <v>13</v>
      </c>
      <c r="B1074">
        <f>RFI_Elements!C1077</f>
        <v>464</v>
      </c>
      <c r="C1074">
        <v>1076</v>
      </c>
      <c r="D1074" s="128">
        <v>43101.003472164353</v>
      </c>
      <c r="E1074" t="e">
        <f>VLOOKUP(VLOOKUP(B1074,SuiteCatSubElem!$G$2:$G$667,2,0),'SA Q4 18 VR'!$A$33:$O$193,1+MATCH(VLOOKUP(A1074,Vendors!$A$2:$B$15,2,0),'SA Q4 18 VR'!$B$24:$O$24,0),0)</f>
        <v>#REF!</v>
      </c>
      <c r="F1074" s="27">
        <v>1</v>
      </c>
      <c r="G1074">
        <f>RFI_Elements!N1077</f>
        <v>1076</v>
      </c>
      <c r="I1074" t="e">
        <f>VLOOKUP(B1074,SuiteCatSubElem!$G$2:$G$667,2,0)</f>
        <v>#REF!</v>
      </c>
    </row>
    <row r="1075" spans="1:9">
      <c r="A1075">
        <f>RFI_Elements!B1078</f>
        <v>13</v>
      </c>
      <c r="B1075">
        <f>RFI_Elements!C1078</f>
        <v>465</v>
      </c>
      <c r="C1075">
        <v>1077</v>
      </c>
      <c r="D1075" s="128">
        <v>43101.003472164353</v>
      </c>
      <c r="E1075" t="e">
        <f>VLOOKUP(VLOOKUP(B1075,SuiteCatSubElem!$G$2:$G$667,2,0),'SA Q4 18 VR'!$A$33:$O$193,1+MATCH(VLOOKUP(A1075,Vendors!$A$2:$B$15,2,0),'SA Q4 18 VR'!$B$24:$O$24,0),0)</f>
        <v>#REF!</v>
      </c>
      <c r="F1075" s="27">
        <v>1</v>
      </c>
      <c r="G1075">
        <f>RFI_Elements!N1078</f>
        <v>1077</v>
      </c>
      <c r="I1075" t="e">
        <f>VLOOKUP(B1075,SuiteCatSubElem!$G$2:$G$667,2,0)</f>
        <v>#REF!</v>
      </c>
    </row>
    <row r="1076" spans="1:9">
      <c r="A1076">
        <f>RFI_Elements!B1079</f>
        <v>13</v>
      </c>
      <c r="B1076">
        <f>RFI_Elements!C1079</f>
        <v>466</v>
      </c>
      <c r="C1076">
        <v>1078</v>
      </c>
      <c r="D1076" s="128">
        <v>43101.003472164353</v>
      </c>
      <c r="E1076" t="e">
        <f>VLOOKUP(VLOOKUP(B1076,SuiteCatSubElem!$G$2:$G$667,2,0),'SA Q4 18 VR'!$A$33:$O$193,1+MATCH(VLOOKUP(A1076,Vendors!$A$2:$B$15,2,0),'SA Q4 18 VR'!$B$24:$O$24,0),0)</f>
        <v>#REF!</v>
      </c>
      <c r="F1076" s="27">
        <v>1</v>
      </c>
      <c r="G1076">
        <f>RFI_Elements!N1079</f>
        <v>1078</v>
      </c>
      <c r="I1076" t="e">
        <f>VLOOKUP(B1076,SuiteCatSubElem!$G$2:$G$667,2,0)</f>
        <v>#REF!</v>
      </c>
    </row>
    <row r="1077" spans="1:9">
      <c r="A1077">
        <f>RFI_Elements!B1080</f>
        <v>13</v>
      </c>
      <c r="B1077">
        <f>RFI_Elements!C1080</f>
        <v>467</v>
      </c>
      <c r="C1077">
        <v>1079</v>
      </c>
      <c r="D1077" s="128">
        <v>43101.003472164353</v>
      </c>
      <c r="E1077" t="e">
        <f>VLOOKUP(VLOOKUP(B1077,SuiteCatSubElem!$G$2:$G$667,2,0),'SA Q4 18 VR'!$A$33:$O$193,1+MATCH(VLOOKUP(A1077,Vendors!$A$2:$B$15,2,0),'SA Q4 18 VR'!$B$24:$O$24,0),0)</f>
        <v>#REF!</v>
      </c>
      <c r="F1077" s="27">
        <v>1</v>
      </c>
      <c r="G1077">
        <f>RFI_Elements!N1080</f>
        <v>1079</v>
      </c>
      <c r="I1077" t="e">
        <f>VLOOKUP(B1077,SuiteCatSubElem!$G$2:$G$667,2,0)</f>
        <v>#REF!</v>
      </c>
    </row>
    <row r="1078" spans="1:9">
      <c r="A1078">
        <f>RFI_Elements!B1081</f>
        <v>13</v>
      </c>
      <c r="B1078">
        <f>RFI_Elements!C1081</f>
        <v>468</v>
      </c>
      <c r="C1078">
        <v>1080</v>
      </c>
      <c r="D1078" s="128">
        <v>43101.003472164353</v>
      </c>
      <c r="E1078" t="e">
        <f>VLOOKUP(VLOOKUP(B1078,SuiteCatSubElem!$G$2:$G$667,2,0),'SA Q4 18 VR'!$A$33:$O$193,1+MATCH(VLOOKUP(A1078,Vendors!$A$2:$B$15,2,0),'SA Q4 18 VR'!$B$24:$O$24,0),0)</f>
        <v>#REF!</v>
      </c>
      <c r="F1078" s="27">
        <v>1</v>
      </c>
      <c r="G1078">
        <f>RFI_Elements!N1081</f>
        <v>1080</v>
      </c>
      <c r="I1078" t="e">
        <f>VLOOKUP(B1078,SuiteCatSubElem!$G$2:$G$667,2,0)</f>
        <v>#REF!</v>
      </c>
    </row>
    <row r="1079" spans="1:9">
      <c r="A1079">
        <f>RFI_Elements!B1082</f>
        <v>13</v>
      </c>
      <c r="B1079">
        <f>RFI_Elements!C1082</f>
        <v>469</v>
      </c>
      <c r="C1079">
        <v>1081</v>
      </c>
      <c r="D1079" s="128">
        <v>43101.003472164353</v>
      </c>
      <c r="E1079" t="e">
        <f>VLOOKUP(VLOOKUP(B1079,SuiteCatSubElem!$G$2:$G$667,2,0),'SA Q4 18 VR'!$A$33:$O$193,1+MATCH(VLOOKUP(A1079,Vendors!$A$2:$B$15,2,0),'SA Q4 18 VR'!$B$24:$O$24,0),0)</f>
        <v>#REF!</v>
      </c>
      <c r="F1079" s="27">
        <v>1</v>
      </c>
      <c r="G1079">
        <f>RFI_Elements!N1082</f>
        <v>1081</v>
      </c>
      <c r="I1079" t="e">
        <f>VLOOKUP(B1079,SuiteCatSubElem!$G$2:$G$667,2,0)</f>
        <v>#REF!</v>
      </c>
    </row>
    <row r="1080" spans="1:9">
      <c r="A1080">
        <f>RFI_Elements!B1083</f>
        <v>13</v>
      </c>
      <c r="B1080">
        <f>RFI_Elements!C1083</f>
        <v>470</v>
      </c>
      <c r="C1080">
        <v>1082</v>
      </c>
      <c r="D1080" s="128">
        <v>43101.003472164353</v>
      </c>
      <c r="E1080" t="e">
        <f>VLOOKUP(VLOOKUP(B1080,SuiteCatSubElem!$G$2:$G$667,2,0),'SA Q4 18 VR'!$A$33:$O$193,1+MATCH(VLOOKUP(A1080,Vendors!$A$2:$B$15,2,0),'SA Q4 18 VR'!$B$24:$O$24,0),0)</f>
        <v>#REF!</v>
      </c>
      <c r="F1080" s="27">
        <v>1</v>
      </c>
      <c r="G1080">
        <f>RFI_Elements!N1083</f>
        <v>1082</v>
      </c>
      <c r="I1080" t="e">
        <f>VLOOKUP(B1080,SuiteCatSubElem!$G$2:$G$667,2,0)</f>
        <v>#REF!</v>
      </c>
    </row>
    <row r="1081" spans="1:9">
      <c r="A1081">
        <f>RFI_Elements!B1084</f>
        <v>13</v>
      </c>
      <c r="B1081">
        <f>RFI_Elements!C1084</f>
        <v>471</v>
      </c>
      <c r="C1081">
        <v>1083</v>
      </c>
      <c r="D1081" s="128">
        <v>43101.003472164353</v>
      </c>
      <c r="E1081" t="e">
        <f>VLOOKUP(VLOOKUP(B1081,SuiteCatSubElem!$G$2:$G$667,2,0),'SA Q4 18 VR'!$A$33:$O$193,1+MATCH(VLOOKUP(A1081,Vendors!$A$2:$B$15,2,0),'SA Q4 18 VR'!$B$24:$O$24,0),0)</f>
        <v>#REF!</v>
      </c>
      <c r="F1081" s="27">
        <v>1</v>
      </c>
      <c r="G1081">
        <f>RFI_Elements!N1084</f>
        <v>1083</v>
      </c>
      <c r="I1081" t="e">
        <f>VLOOKUP(B1081,SuiteCatSubElem!$G$2:$G$667,2,0)</f>
        <v>#REF!</v>
      </c>
    </row>
    <row r="1082" spans="1:9">
      <c r="A1082">
        <f>RFI_Elements!B1085</f>
        <v>13</v>
      </c>
      <c r="B1082">
        <f>RFI_Elements!C1085</f>
        <v>472</v>
      </c>
      <c r="C1082">
        <v>1084</v>
      </c>
      <c r="D1082" s="128">
        <v>43101.003472164353</v>
      </c>
      <c r="E1082" t="e">
        <f>VLOOKUP(VLOOKUP(B1082,SuiteCatSubElem!$G$2:$G$667,2,0),'SA Q4 18 VR'!$A$33:$O$193,1+MATCH(VLOOKUP(A1082,Vendors!$A$2:$B$15,2,0),'SA Q4 18 VR'!$B$24:$O$24,0),0)</f>
        <v>#REF!</v>
      </c>
      <c r="F1082" s="27">
        <v>1</v>
      </c>
      <c r="G1082">
        <f>RFI_Elements!N1085</f>
        <v>1084</v>
      </c>
      <c r="I1082" t="e">
        <f>VLOOKUP(B1082,SuiteCatSubElem!$G$2:$G$667,2,0)</f>
        <v>#REF!</v>
      </c>
    </row>
    <row r="1083" spans="1:9">
      <c r="A1083">
        <f>RFI_Elements!B1086</f>
        <v>13</v>
      </c>
      <c r="B1083">
        <f>RFI_Elements!C1086</f>
        <v>473</v>
      </c>
      <c r="C1083">
        <v>1085</v>
      </c>
      <c r="D1083" s="128">
        <v>43101.003472164353</v>
      </c>
      <c r="E1083" t="e">
        <f>VLOOKUP(VLOOKUP(B1083,SuiteCatSubElem!$G$2:$G$667,2,0),'SA Q4 18 VR'!$A$33:$O$193,1+MATCH(VLOOKUP(A1083,Vendors!$A$2:$B$15,2,0),'SA Q4 18 VR'!$B$24:$O$24,0),0)</f>
        <v>#REF!</v>
      </c>
      <c r="F1083" s="27">
        <v>1</v>
      </c>
      <c r="G1083">
        <f>RFI_Elements!N1086</f>
        <v>1085</v>
      </c>
      <c r="I1083" t="e">
        <f>VLOOKUP(B1083,SuiteCatSubElem!$G$2:$G$667,2,0)</f>
        <v>#REF!</v>
      </c>
    </row>
    <row r="1084" spans="1:9">
      <c r="A1084">
        <f>RFI_Elements!B1087</f>
        <v>13</v>
      </c>
      <c r="B1084">
        <f>RFI_Elements!C1087</f>
        <v>474</v>
      </c>
      <c r="C1084">
        <v>1086</v>
      </c>
      <c r="D1084" s="128">
        <v>43101.003472164353</v>
      </c>
      <c r="E1084" t="e">
        <f>VLOOKUP(VLOOKUP(B1084,SuiteCatSubElem!$G$2:$G$667,2,0),'SA Q4 18 VR'!$A$33:$O$193,1+MATCH(VLOOKUP(A1084,Vendors!$A$2:$B$15,2,0),'SA Q4 18 VR'!$B$24:$O$24,0),0)</f>
        <v>#REF!</v>
      </c>
      <c r="F1084" s="27">
        <v>1</v>
      </c>
      <c r="G1084">
        <f>RFI_Elements!N1087</f>
        <v>1086</v>
      </c>
      <c r="I1084" t="e">
        <f>VLOOKUP(B1084,SuiteCatSubElem!$G$2:$G$667,2,0)</f>
        <v>#REF!</v>
      </c>
    </row>
    <row r="1085" spans="1:9">
      <c r="A1085">
        <f>RFI_Elements!B1088</f>
        <v>13</v>
      </c>
      <c r="B1085">
        <f>RFI_Elements!C1088</f>
        <v>475</v>
      </c>
      <c r="C1085">
        <v>1087</v>
      </c>
      <c r="D1085" s="128">
        <v>43101.003472164353</v>
      </c>
      <c r="E1085" t="e">
        <f>VLOOKUP(VLOOKUP(B1085,SuiteCatSubElem!$G$2:$G$667,2,0),'SA Q4 18 VR'!$A$33:$O$193,1+MATCH(VLOOKUP(A1085,Vendors!$A$2:$B$15,2,0),'SA Q4 18 VR'!$B$24:$O$24,0),0)</f>
        <v>#REF!</v>
      </c>
      <c r="F1085" s="27">
        <v>1</v>
      </c>
      <c r="G1085">
        <f>RFI_Elements!N1088</f>
        <v>1087</v>
      </c>
      <c r="I1085" t="e">
        <f>VLOOKUP(B1085,SuiteCatSubElem!$G$2:$G$667,2,0)</f>
        <v>#REF!</v>
      </c>
    </row>
    <row r="1086" spans="1:9">
      <c r="A1086">
        <f>RFI_Elements!B1089</f>
        <v>13</v>
      </c>
      <c r="B1086">
        <f>RFI_Elements!C1089</f>
        <v>476</v>
      </c>
      <c r="C1086">
        <v>1088</v>
      </c>
      <c r="D1086" s="128">
        <v>43101.003472164353</v>
      </c>
      <c r="E1086" t="e">
        <f>VLOOKUP(VLOOKUP(B1086,SuiteCatSubElem!$G$2:$G$667,2,0),'SA Q4 18 VR'!$A$33:$O$193,1+MATCH(VLOOKUP(A1086,Vendors!$A$2:$B$15,2,0),'SA Q4 18 VR'!$B$24:$O$24,0),0)</f>
        <v>#REF!</v>
      </c>
      <c r="F1086" s="27">
        <v>1</v>
      </c>
      <c r="G1086">
        <f>RFI_Elements!N1089</f>
        <v>1088</v>
      </c>
      <c r="I1086" t="e">
        <f>VLOOKUP(B1086,SuiteCatSubElem!$G$2:$G$667,2,0)</f>
        <v>#REF!</v>
      </c>
    </row>
    <row r="1087" spans="1:9">
      <c r="A1087">
        <f>RFI_Elements!B1090</f>
        <v>13</v>
      </c>
      <c r="B1087">
        <f>RFI_Elements!C1090</f>
        <v>477</v>
      </c>
      <c r="C1087">
        <v>1089</v>
      </c>
      <c r="D1087" s="128">
        <v>43101.003472164353</v>
      </c>
      <c r="E1087" t="e">
        <f>VLOOKUP(VLOOKUP(B1087,SuiteCatSubElem!$G$2:$G$667,2,0),'SA Q4 18 VR'!$A$33:$O$193,1+MATCH(VLOOKUP(A1087,Vendors!$A$2:$B$15,2,0),'SA Q4 18 VR'!$B$24:$O$24,0),0)</f>
        <v>#REF!</v>
      </c>
      <c r="F1087" s="27">
        <v>1</v>
      </c>
      <c r="G1087">
        <f>RFI_Elements!N1090</f>
        <v>1089</v>
      </c>
      <c r="I1087" t="e">
        <f>VLOOKUP(B1087,SuiteCatSubElem!$G$2:$G$667,2,0)</f>
        <v>#REF!</v>
      </c>
    </row>
    <row r="1088" spans="1:9">
      <c r="A1088">
        <f>RFI_Elements!B1091</f>
        <v>13</v>
      </c>
      <c r="B1088">
        <f>RFI_Elements!C1091</f>
        <v>478</v>
      </c>
      <c r="C1088">
        <v>1090</v>
      </c>
      <c r="D1088" s="128">
        <v>43101.003472164353</v>
      </c>
      <c r="E1088" t="e">
        <f>VLOOKUP(VLOOKUP(B1088,SuiteCatSubElem!$G$2:$G$667,2,0),'SA Q4 18 VR'!$A$33:$O$193,1+MATCH(VLOOKUP(A1088,Vendors!$A$2:$B$15,2,0),'SA Q4 18 VR'!$B$24:$O$24,0),0)</f>
        <v>#REF!</v>
      </c>
      <c r="F1088" s="27">
        <v>1</v>
      </c>
      <c r="G1088">
        <f>RFI_Elements!N1091</f>
        <v>1090</v>
      </c>
      <c r="I1088" t="e">
        <f>VLOOKUP(B1088,SuiteCatSubElem!$G$2:$G$667,2,0)</f>
        <v>#REF!</v>
      </c>
    </row>
    <row r="1089" spans="1:9">
      <c r="A1089">
        <f>RFI_Elements!B1092</f>
        <v>13</v>
      </c>
      <c r="B1089">
        <f>RFI_Elements!C1092</f>
        <v>479</v>
      </c>
      <c r="C1089">
        <v>1091</v>
      </c>
      <c r="D1089" s="128">
        <v>43101.003472164353</v>
      </c>
      <c r="E1089" t="e">
        <f>VLOOKUP(VLOOKUP(B1089,SuiteCatSubElem!$G$2:$G$667,2,0),'SA Q4 18 VR'!$A$33:$O$193,1+MATCH(VLOOKUP(A1089,Vendors!$A$2:$B$15,2,0),'SA Q4 18 VR'!$B$24:$O$24,0),0)</f>
        <v>#REF!</v>
      </c>
      <c r="F1089" s="27">
        <v>1</v>
      </c>
      <c r="G1089">
        <f>RFI_Elements!N1092</f>
        <v>1091</v>
      </c>
      <c r="I1089" t="e">
        <f>VLOOKUP(B1089,SuiteCatSubElem!$G$2:$G$667,2,0)</f>
        <v>#REF!</v>
      </c>
    </row>
    <row r="1090" spans="1:9">
      <c r="A1090">
        <f>RFI_Elements!B1093</f>
        <v>13</v>
      </c>
      <c r="B1090">
        <f>RFI_Elements!C1093</f>
        <v>480</v>
      </c>
      <c r="C1090">
        <v>1092</v>
      </c>
      <c r="D1090" s="128">
        <v>43101.003472164353</v>
      </c>
      <c r="E1090" t="e">
        <f>VLOOKUP(VLOOKUP(B1090,SuiteCatSubElem!$G$2:$G$667,2,0),'SA Q4 18 VR'!$A$33:$O$193,1+MATCH(VLOOKUP(A1090,Vendors!$A$2:$B$15,2,0),'SA Q4 18 VR'!$B$24:$O$24,0),0)</f>
        <v>#REF!</v>
      </c>
      <c r="F1090" s="27">
        <v>1</v>
      </c>
      <c r="G1090">
        <f>RFI_Elements!N1093</f>
        <v>1092</v>
      </c>
      <c r="I1090" t="e">
        <f>VLOOKUP(B1090,SuiteCatSubElem!$G$2:$G$667,2,0)</f>
        <v>#REF!</v>
      </c>
    </row>
    <row r="1091" spans="1:9">
      <c r="A1091">
        <f>RFI_Elements!B1094</f>
        <v>13</v>
      </c>
      <c r="B1091">
        <f>RFI_Elements!C1094</f>
        <v>481</v>
      </c>
      <c r="C1091">
        <v>1093</v>
      </c>
      <c r="D1091" s="128">
        <v>43101.003472164353</v>
      </c>
      <c r="E1091" t="e">
        <f>VLOOKUP(VLOOKUP(B1091,SuiteCatSubElem!$G$2:$G$667,2,0),'SA Q4 18 VR'!$A$33:$O$193,1+MATCH(VLOOKUP(A1091,Vendors!$A$2:$B$15,2,0),'SA Q4 18 VR'!$B$24:$O$24,0),0)</f>
        <v>#REF!</v>
      </c>
      <c r="F1091" s="27">
        <v>1</v>
      </c>
      <c r="G1091">
        <f>RFI_Elements!N1094</f>
        <v>1093</v>
      </c>
      <c r="I1091" t="e">
        <f>VLOOKUP(B1091,SuiteCatSubElem!$G$2:$G$667,2,0)</f>
        <v>#REF!</v>
      </c>
    </row>
    <row r="1092" spans="1:9">
      <c r="A1092">
        <f>RFI_Elements!B1095</f>
        <v>13</v>
      </c>
      <c r="B1092">
        <f>RFI_Elements!C1095</f>
        <v>482</v>
      </c>
      <c r="C1092">
        <v>1094</v>
      </c>
      <c r="D1092" s="128">
        <v>43101.003472164353</v>
      </c>
      <c r="E1092" t="e">
        <f>VLOOKUP(VLOOKUP(B1092,SuiteCatSubElem!$G$2:$G$667,2,0),'SA Q4 18 VR'!$A$33:$O$193,1+MATCH(VLOOKUP(A1092,Vendors!$A$2:$B$15,2,0),'SA Q4 18 VR'!$B$24:$O$24,0),0)</f>
        <v>#REF!</v>
      </c>
      <c r="F1092" s="27">
        <v>1</v>
      </c>
      <c r="G1092">
        <f>RFI_Elements!N1095</f>
        <v>1094</v>
      </c>
      <c r="I1092" t="e">
        <f>VLOOKUP(B1092,SuiteCatSubElem!$G$2:$G$667,2,0)</f>
        <v>#REF!</v>
      </c>
    </row>
    <row r="1093" spans="1:9">
      <c r="A1093">
        <f>RFI_Elements!B1096</f>
        <v>13</v>
      </c>
      <c r="B1093">
        <f>RFI_Elements!C1096</f>
        <v>483</v>
      </c>
      <c r="C1093">
        <v>1095</v>
      </c>
      <c r="D1093" s="128">
        <v>43101.003472164353</v>
      </c>
      <c r="E1093" t="e">
        <f>VLOOKUP(VLOOKUP(B1093,SuiteCatSubElem!$G$2:$G$667,2,0),'SA Q4 18 VR'!$A$33:$O$193,1+MATCH(VLOOKUP(A1093,Vendors!$A$2:$B$15,2,0),'SA Q4 18 VR'!$B$24:$O$24,0),0)</f>
        <v>#REF!</v>
      </c>
      <c r="F1093" s="27">
        <v>1</v>
      </c>
      <c r="G1093">
        <f>RFI_Elements!N1096</f>
        <v>1095</v>
      </c>
      <c r="I1093" t="e">
        <f>VLOOKUP(B1093,SuiteCatSubElem!$G$2:$G$667,2,0)</f>
        <v>#REF!</v>
      </c>
    </row>
    <row r="1094" spans="1:9">
      <c r="A1094">
        <f>RFI_Elements!B1097</f>
        <v>13</v>
      </c>
      <c r="B1094">
        <f>RFI_Elements!C1097</f>
        <v>484</v>
      </c>
      <c r="C1094">
        <v>1096</v>
      </c>
      <c r="D1094" s="128">
        <v>43101.003472164353</v>
      </c>
      <c r="E1094" t="e">
        <f>VLOOKUP(VLOOKUP(B1094,SuiteCatSubElem!$G$2:$G$667,2,0),'SA Q4 18 VR'!$A$33:$O$193,1+MATCH(VLOOKUP(A1094,Vendors!$A$2:$B$15,2,0),'SA Q4 18 VR'!$B$24:$O$24,0),0)</f>
        <v>#REF!</v>
      </c>
      <c r="F1094" s="27">
        <v>1</v>
      </c>
      <c r="G1094">
        <f>RFI_Elements!N1097</f>
        <v>1096</v>
      </c>
      <c r="I1094" t="e">
        <f>VLOOKUP(B1094,SuiteCatSubElem!$G$2:$G$667,2,0)</f>
        <v>#REF!</v>
      </c>
    </row>
    <row r="1095" spans="1:9">
      <c r="A1095">
        <f>RFI_Elements!B1098</f>
        <v>13</v>
      </c>
      <c r="B1095">
        <f>RFI_Elements!C1098</f>
        <v>485</v>
      </c>
      <c r="C1095">
        <v>1097</v>
      </c>
      <c r="D1095" s="128">
        <v>43101.003472164353</v>
      </c>
      <c r="E1095" t="e">
        <f>VLOOKUP(VLOOKUP(B1095,SuiteCatSubElem!$G$2:$G$667,2,0),'SA Q4 18 VR'!$A$33:$O$193,1+MATCH(VLOOKUP(A1095,Vendors!$A$2:$B$15,2,0),'SA Q4 18 VR'!$B$24:$O$24,0),0)</f>
        <v>#REF!</v>
      </c>
      <c r="F1095" s="27">
        <v>1</v>
      </c>
      <c r="G1095">
        <f>RFI_Elements!N1098</f>
        <v>1097</v>
      </c>
      <c r="I1095" t="e">
        <f>VLOOKUP(B1095,SuiteCatSubElem!$G$2:$G$667,2,0)</f>
        <v>#REF!</v>
      </c>
    </row>
    <row r="1096" spans="1:9">
      <c r="A1096">
        <f>RFI_Elements!B1099</f>
        <v>13</v>
      </c>
      <c r="B1096">
        <f>RFI_Elements!C1099</f>
        <v>486</v>
      </c>
      <c r="C1096">
        <v>1098</v>
      </c>
      <c r="D1096" s="128">
        <v>43101.003472164353</v>
      </c>
      <c r="E1096" t="e">
        <f>VLOOKUP(VLOOKUP(B1096,SuiteCatSubElem!$G$2:$G$667,2,0),'SA Q4 18 VR'!$A$33:$O$193,1+MATCH(VLOOKUP(A1096,Vendors!$A$2:$B$15,2,0),'SA Q4 18 VR'!$B$24:$O$24,0),0)</f>
        <v>#REF!</v>
      </c>
      <c r="F1096" s="27">
        <v>1</v>
      </c>
      <c r="G1096">
        <f>RFI_Elements!N1099</f>
        <v>1098</v>
      </c>
      <c r="I1096" t="e">
        <f>VLOOKUP(B1096,SuiteCatSubElem!$G$2:$G$667,2,0)</f>
        <v>#REF!</v>
      </c>
    </row>
    <row r="1097" spans="1:9">
      <c r="A1097">
        <f>RFI_Elements!B1100</f>
        <v>13</v>
      </c>
      <c r="B1097">
        <f>RFI_Elements!C1100</f>
        <v>487</v>
      </c>
      <c r="C1097">
        <v>1099</v>
      </c>
      <c r="D1097" s="128">
        <v>43101.003472164353</v>
      </c>
      <c r="E1097" t="e">
        <f>VLOOKUP(VLOOKUP(B1097,SuiteCatSubElem!$G$2:$G$667,2,0),'SA Q4 18 VR'!$A$33:$O$193,1+MATCH(VLOOKUP(A1097,Vendors!$A$2:$B$15,2,0),'SA Q4 18 VR'!$B$24:$O$24,0),0)</f>
        <v>#REF!</v>
      </c>
      <c r="F1097" s="27">
        <v>1</v>
      </c>
      <c r="G1097">
        <f>RFI_Elements!N1100</f>
        <v>1099</v>
      </c>
      <c r="I1097" t="e">
        <f>VLOOKUP(B1097,SuiteCatSubElem!$G$2:$G$667,2,0)</f>
        <v>#REF!</v>
      </c>
    </row>
    <row r="1098" spans="1:9">
      <c r="A1098">
        <f>RFI_Elements!B1101</f>
        <v>13</v>
      </c>
      <c r="B1098">
        <f>RFI_Elements!C1101</f>
        <v>488</v>
      </c>
      <c r="C1098">
        <v>1100</v>
      </c>
      <c r="D1098" s="128">
        <v>43101.003472164353</v>
      </c>
      <c r="E1098" t="e">
        <f>VLOOKUP(VLOOKUP(B1098,SuiteCatSubElem!$G$2:$G$667,2,0),'SA Q4 18 VR'!$A$33:$O$193,1+MATCH(VLOOKUP(A1098,Vendors!$A$2:$B$15,2,0),'SA Q4 18 VR'!$B$24:$O$24,0),0)</f>
        <v>#REF!</v>
      </c>
      <c r="F1098" s="27">
        <v>1</v>
      </c>
      <c r="G1098">
        <f>RFI_Elements!N1101</f>
        <v>1100</v>
      </c>
      <c r="I1098" t="e">
        <f>VLOOKUP(B1098,SuiteCatSubElem!$G$2:$G$667,2,0)</f>
        <v>#REF!</v>
      </c>
    </row>
    <row r="1099" spans="1:9">
      <c r="A1099">
        <f>RFI_Elements!B1102</f>
        <v>13</v>
      </c>
      <c r="B1099">
        <f>RFI_Elements!C1102</f>
        <v>489</v>
      </c>
      <c r="C1099">
        <v>1101</v>
      </c>
      <c r="D1099" s="128">
        <v>43101.003472164353</v>
      </c>
      <c r="E1099" t="e">
        <f>VLOOKUP(VLOOKUP(B1099,SuiteCatSubElem!$G$2:$G$667,2,0),'SA Q4 18 VR'!$A$33:$O$193,1+MATCH(VLOOKUP(A1099,Vendors!$A$2:$B$15,2,0),'SA Q4 18 VR'!$B$24:$O$24,0),0)</f>
        <v>#REF!</v>
      </c>
      <c r="F1099" s="27">
        <v>1</v>
      </c>
      <c r="G1099">
        <f>RFI_Elements!N1102</f>
        <v>1101</v>
      </c>
      <c r="I1099" t="e">
        <f>VLOOKUP(B1099,SuiteCatSubElem!$G$2:$G$667,2,0)</f>
        <v>#REF!</v>
      </c>
    </row>
    <row r="1100" spans="1:9">
      <c r="A1100">
        <f>RFI_Elements!B1103</f>
        <v>13</v>
      </c>
      <c r="B1100">
        <f>RFI_Elements!C1103</f>
        <v>490</v>
      </c>
      <c r="C1100">
        <v>1102</v>
      </c>
      <c r="D1100" s="128">
        <v>43101.003472164353</v>
      </c>
      <c r="E1100" t="e">
        <f>VLOOKUP(VLOOKUP(B1100,SuiteCatSubElem!$G$2:$G$667,2,0),'SA Q4 18 VR'!$A$33:$O$193,1+MATCH(VLOOKUP(A1100,Vendors!$A$2:$B$15,2,0),'SA Q4 18 VR'!$B$24:$O$24,0),0)</f>
        <v>#REF!</v>
      </c>
      <c r="F1100" s="27">
        <v>1</v>
      </c>
      <c r="G1100">
        <f>RFI_Elements!N1103</f>
        <v>1102</v>
      </c>
      <c r="I1100" t="e">
        <f>VLOOKUP(B1100,SuiteCatSubElem!$G$2:$G$667,2,0)</f>
        <v>#REF!</v>
      </c>
    </row>
    <row r="1101" spans="1:9">
      <c r="A1101">
        <f>RFI_Elements!B1104</f>
        <v>13</v>
      </c>
      <c r="B1101">
        <f>RFI_Elements!C1104</f>
        <v>491</v>
      </c>
      <c r="C1101">
        <v>1103</v>
      </c>
      <c r="D1101" s="128">
        <v>43101.003472164353</v>
      </c>
      <c r="E1101" t="e">
        <f>VLOOKUP(VLOOKUP(B1101,SuiteCatSubElem!$G$2:$G$667,2,0),'SA Q4 18 VR'!$A$33:$O$193,1+MATCH(VLOOKUP(A1101,Vendors!$A$2:$B$15,2,0),'SA Q4 18 VR'!$B$24:$O$24,0),0)</f>
        <v>#REF!</v>
      </c>
      <c r="F1101" s="27">
        <v>1</v>
      </c>
      <c r="G1101">
        <f>RFI_Elements!N1104</f>
        <v>1103</v>
      </c>
      <c r="I1101" t="e">
        <f>VLOOKUP(B1101,SuiteCatSubElem!$G$2:$G$667,2,0)</f>
        <v>#REF!</v>
      </c>
    </row>
    <row r="1102" spans="1:9">
      <c r="A1102">
        <f>RFI_Elements!B1105</f>
        <v>13</v>
      </c>
      <c r="B1102">
        <f>RFI_Elements!C1105</f>
        <v>492</v>
      </c>
      <c r="C1102">
        <v>1104</v>
      </c>
      <c r="D1102" s="128">
        <v>43101.003472164353</v>
      </c>
      <c r="E1102" t="e">
        <f>VLOOKUP(VLOOKUP(B1102,SuiteCatSubElem!$G$2:$G$667,2,0),'SA Q4 18 VR'!$A$33:$O$193,1+MATCH(VLOOKUP(A1102,Vendors!$A$2:$B$15,2,0),'SA Q4 18 VR'!$B$24:$O$24,0),0)</f>
        <v>#REF!</v>
      </c>
      <c r="F1102" s="27">
        <v>1</v>
      </c>
      <c r="G1102">
        <f>RFI_Elements!N1105</f>
        <v>1104</v>
      </c>
      <c r="I1102" t="e">
        <f>VLOOKUP(B1102,SuiteCatSubElem!$G$2:$G$667,2,0)</f>
        <v>#REF!</v>
      </c>
    </row>
    <row r="1103" spans="1:9">
      <c r="A1103">
        <f>RFI_Elements!B1106</f>
        <v>13</v>
      </c>
      <c r="B1103">
        <f>RFI_Elements!C1106</f>
        <v>493</v>
      </c>
      <c r="C1103">
        <v>1105</v>
      </c>
      <c r="D1103" s="128">
        <v>43101.003472164353</v>
      </c>
      <c r="E1103" t="e">
        <f>VLOOKUP(VLOOKUP(B1103,SuiteCatSubElem!$G$2:$G$667,2,0),'SA Q4 18 VR'!$A$33:$O$193,1+MATCH(VLOOKUP(A1103,Vendors!$A$2:$B$15,2,0),'SA Q4 18 VR'!$B$24:$O$24,0),0)</f>
        <v>#REF!</v>
      </c>
      <c r="F1103" s="27">
        <v>1</v>
      </c>
      <c r="G1103">
        <f>RFI_Elements!N1106</f>
        <v>1105</v>
      </c>
      <c r="I1103" t="e">
        <f>VLOOKUP(B1103,SuiteCatSubElem!$G$2:$G$667,2,0)</f>
        <v>#REF!</v>
      </c>
    </row>
    <row r="1104" spans="1:9">
      <c r="A1104">
        <f>RFI_Elements!B1107</f>
        <v>14</v>
      </c>
      <c r="B1104">
        <f>RFI_Elements!C1107</f>
        <v>409</v>
      </c>
      <c r="C1104">
        <v>1106</v>
      </c>
      <c r="D1104" s="128">
        <v>43101.003472164353</v>
      </c>
      <c r="E1104" t="e">
        <f>VLOOKUP(VLOOKUP(B1104,SuiteCatSubElem!$G$2:$G$667,2,0),'SA Q4 18 VR'!$A$33:$O$193,1+MATCH(VLOOKUP(A1104,Vendors!$A$2:$B$15,2,0),'SA Q4 18 VR'!$B$24:$O$24,0),0)</f>
        <v>#REF!</v>
      </c>
      <c r="F1104" s="27">
        <v>1</v>
      </c>
      <c r="G1104">
        <f>RFI_Elements!N1107</f>
        <v>1106</v>
      </c>
      <c r="I1104" t="e">
        <f>VLOOKUP(B1104,SuiteCatSubElem!$G$2:$G$667,2,0)</f>
        <v>#REF!</v>
      </c>
    </row>
    <row r="1105" spans="1:9">
      <c r="A1105">
        <f>RFI_Elements!B1108</f>
        <v>14</v>
      </c>
      <c r="B1105">
        <f>RFI_Elements!C1108</f>
        <v>410</v>
      </c>
      <c r="C1105">
        <v>1107</v>
      </c>
      <c r="D1105" s="128">
        <v>43101.003472164353</v>
      </c>
      <c r="E1105" t="e">
        <f>VLOOKUP(VLOOKUP(B1105,SuiteCatSubElem!$G$2:$G$667,2,0),'SA Q4 18 VR'!$A$33:$O$193,1+MATCH(VLOOKUP(A1105,Vendors!$A$2:$B$15,2,0),'SA Q4 18 VR'!$B$24:$O$24,0),0)</f>
        <v>#REF!</v>
      </c>
      <c r="F1105" s="27">
        <v>1</v>
      </c>
      <c r="G1105">
        <f>RFI_Elements!N1108</f>
        <v>1107</v>
      </c>
      <c r="I1105" t="e">
        <f>VLOOKUP(B1105,SuiteCatSubElem!$G$2:$G$667,2,0)</f>
        <v>#REF!</v>
      </c>
    </row>
    <row r="1106" spans="1:9">
      <c r="A1106">
        <f>RFI_Elements!B1109</f>
        <v>14</v>
      </c>
      <c r="B1106">
        <f>RFI_Elements!C1109</f>
        <v>411</v>
      </c>
      <c r="C1106">
        <v>1108</v>
      </c>
      <c r="D1106" s="128">
        <v>43101.003472164353</v>
      </c>
      <c r="E1106" t="e">
        <f>VLOOKUP(VLOOKUP(B1106,SuiteCatSubElem!$G$2:$G$667,2,0),'SA Q4 18 VR'!$A$33:$O$193,1+MATCH(VLOOKUP(A1106,Vendors!$A$2:$B$15,2,0),'SA Q4 18 VR'!$B$24:$O$24,0),0)</f>
        <v>#REF!</v>
      </c>
      <c r="F1106" s="27">
        <v>1</v>
      </c>
      <c r="G1106">
        <f>RFI_Elements!N1109</f>
        <v>1108</v>
      </c>
      <c r="I1106" t="e">
        <f>VLOOKUP(B1106,SuiteCatSubElem!$G$2:$G$667,2,0)</f>
        <v>#REF!</v>
      </c>
    </row>
    <row r="1107" spans="1:9">
      <c r="A1107">
        <f>RFI_Elements!B1110</f>
        <v>14</v>
      </c>
      <c r="B1107">
        <f>RFI_Elements!C1110</f>
        <v>412</v>
      </c>
      <c r="C1107">
        <v>1109</v>
      </c>
      <c r="D1107" s="128">
        <v>43101.003472164353</v>
      </c>
      <c r="E1107" t="e">
        <f>VLOOKUP(VLOOKUP(B1107,SuiteCatSubElem!$G$2:$G$667,2,0),'SA Q4 18 VR'!$A$33:$O$193,1+MATCH(VLOOKUP(A1107,Vendors!$A$2:$B$15,2,0),'SA Q4 18 VR'!$B$24:$O$24,0),0)</f>
        <v>#REF!</v>
      </c>
      <c r="F1107" s="27">
        <v>1</v>
      </c>
      <c r="G1107">
        <f>RFI_Elements!N1110</f>
        <v>1109</v>
      </c>
      <c r="I1107" t="e">
        <f>VLOOKUP(B1107,SuiteCatSubElem!$G$2:$G$667,2,0)</f>
        <v>#REF!</v>
      </c>
    </row>
    <row r="1108" spans="1:9">
      <c r="A1108">
        <f>RFI_Elements!B1111</f>
        <v>14</v>
      </c>
      <c r="B1108">
        <f>RFI_Elements!C1111</f>
        <v>413</v>
      </c>
      <c r="C1108">
        <v>1110</v>
      </c>
      <c r="D1108" s="128">
        <v>43101.003472164353</v>
      </c>
      <c r="E1108" t="e">
        <f>VLOOKUP(VLOOKUP(B1108,SuiteCatSubElem!$G$2:$G$667,2,0),'SA Q4 18 VR'!$A$33:$O$193,1+MATCH(VLOOKUP(A1108,Vendors!$A$2:$B$15,2,0),'SA Q4 18 VR'!$B$24:$O$24,0),0)</f>
        <v>#REF!</v>
      </c>
      <c r="F1108" s="27">
        <v>1</v>
      </c>
      <c r="G1108">
        <f>RFI_Elements!N1111</f>
        <v>1110</v>
      </c>
      <c r="I1108" t="e">
        <f>VLOOKUP(B1108,SuiteCatSubElem!$G$2:$G$667,2,0)</f>
        <v>#REF!</v>
      </c>
    </row>
    <row r="1109" spans="1:9">
      <c r="A1109">
        <f>RFI_Elements!B1112</f>
        <v>14</v>
      </c>
      <c r="B1109">
        <f>RFI_Elements!C1112</f>
        <v>414</v>
      </c>
      <c r="C1109">
        <v>1111</v>
      </c>
      <c r="D1109" s="128">
        <v>43101.003472164353</v>
      </c>
      <c r="E1109" t="e">
        <f>VLOOKUP(VLOOKUP(B1109,SuiteCatSubElem!$G$2:$G$667,2,0),'SA Q4 18 VR'!$A$33:$O$193,1+MATCH(VLOOKUP(A1109,Vendors!$A$2:$B$15,2,0),'SA Q4 18 VR'!$B$24:$O$24,0),0)</f>
        <v>#REF!</v>
      </c>
      <c r="F1109" s="27">
        <v>1</v>
      </c>
      <c r="G1109">
        <f>RFI_Elements!N1112</f>
        <v>1111</v>
      </c>
      <c r="I1109" t="e">
        <f>VLOOKUP(B1109,SuiteCatSubElem!$G$2:$G$667,2,0)</f>
        <v>#REF!</v>
      </c>
    </row>
    <row r="1110" spans="1:9">
      <c r="A1110">
        <f>RFI_Elements!B1113</f>
        <v>14</v>
      </c>
      <c r="B1110">
        <f>RFI_Elements!C1113</f>
        <v>415</v>
      </c>
      <c r="C1110">
        <v>1112</v>
      </c>
      <c r="D1110" s="128">
        <v>43101.003472164353</v>
      </c>
      <c r="E1110" t="e">
        <f>VLOOKUP(VLOOKUP(B1110,SuiteCatSubElem!$G$2:$G$667,2,0),'SA Q4 18 VR'!$A$33:$O$193,1+MATCH(VLOOKUP(A1110,Vendors!$A$2:$B$15,2,0),'SA Q4 18 VR'!$B$24:$O$24,0),0)</f>
        <v>#REF!</v>
      </c>
      <c r="F1110" s="27">
        <v>1</v>
      </c>
      <c r="G1110">
        <f>RFI_Elements!N1113</f>
        <v>1112</v>
      </c>
      <c r="I1110" t="e">
        <f>VLOOKUP(B1110,SuiteCatSubElem!$G$2:$G$667,2,0)</f>
        <v>#REF!</v>
      </c>
    </row>
    <row r="1111" spans="1:9">
      <c r="A1111">
        <f>RFI_Elements!B1114</f>
        <v>14</v>
      </c>
      <c r="B1111">
        <f>RFI_Elements!C1114</f>
        <v>416</v>
      </c>
      <c r="C1111">
        <v>1113</v>
      </c>
      <c r="D1111" s="128">
        <v>43101.003472164353</v>
      </c>
      <c r="E1111" t="e">
        <f>VLOOKUP(VLOOKUP(B1111,SuiteCatSubElem!$G$2:$G$667,2,0),'SA Q4 18 VR'!$A$33:$O$193,1+MATCH(VLOOKUP(A1111,Vendors!$A$2:$B$15,2,0),'SA Q4 18 VR'!$B$24:$O$24,0),0)</f>
        <v>#REF!</v>
      </c>
      <c r="F1111" s="27">
        <v>1</v>
      </c>
      <c r="G1111">
        <f>RFI_Elements!N1114</f>
        <v>1113</v>
      </c>
      <c r="I1111" t="e">
        <f>VLOOKUP(B1111,SuiteCatSubElem!$G$2:$G$667,2,0)</f>
        <v>#REF!</v>
      </c>
    </row>
    <row r="1112" spans="1:9">
      <c r="A1112">
        <f>RFI_Elements!B1115</f>
        <v>14</v>
      </c>
      <c r="B1112">
        <f>RFI_Elements!C1115</f>
        <v>417</v>
      </c>
      <c r="C1112">
        <v>1114</v>
      </c>
      <c r="D1112" s="128">
        <v>43101.003472164353</v>
      </c>
      <c r="E1112" t="e">
        <f>VLOOKUP(VLOOKUP(B1112,SuiteCatSubElem!$G$2:$G$667,2,0),'SA Q4 18 VR'!$A$33:$O$193,1+MATCH(VLOOKUP(A1112,Vendors!$A$2:$B$15,2,0),'SA Q4 18 VR'!$B$24:$O$24,0),0)</f>
        <v>#REF!</v>
      </c>
      <c r="F1112" s="27">
        <v>1</v>
      </c>
      <c r="G1112">
        <f>RFI_Elements!N1115</f>
        <v>1114</v>
      </c>
      <c r="I1112" t="e">
        <f>VLOOKUP(B1112,SuiteCatSubElem!$G$2:$G$667,2,0)</f>
        <v>#REF!</v>
      </c>
    </row>
    <row r="1113" spans="1:9">
      <c r="A1113">
        <f>RFI_Elements!B1116</f>
        <v>14</v>
      </c>
      <c r="B1113">
        <f>RFI_Elements!C1116</f>
        <v>418</v>
      </c>
      <c r="C1113">
        <v>1115</v>
      </c>
      <c r="D1113" s="128">
        <v>43101.003472164353</v>
      </c>
      <c r="E1113" t="e">
        <f>VLOOKUP(VLOOKUP(B1113,SuiteCatSubElem!$G$2:$G$667,2,0),'SA Q4 18 VR'!$A$33:$O$193,1+MATCH(VLOOKUP(A1113,Vendors!$A$2:$B$15,2,0),'SA Q4 18 VR'!$B$24:$O$24,0),0)</f>
        <v>#REF!</v>
      </c>
      <c r="F1113" s="27">
        <v>1</v>
      </c>
      <c r="G1113">
        <f>RFI_Elements!N1116</f>
        <v>1115</v>
      </c>
      <c r="I1113" t="e">
        <f>VLOOKUP(B1113,SuiteCatSubElem!$G$2:$G$667,2,0)</f>
        <v>#REF!</v>
      </c>
    </row>
    <row r="1114" spans="1:9">
      <c r="A1114">
        <f>RFI_Elements!B1117</f>
        <v>14</v>
      </c>
      <c r="B1114">
        <f>RFI_Elements!C1117</f>
        <v>419</v>
      </c>
      <c r="C1114">
        <v>1116</v>
      </c>
      <c r="D1114" s="128">
        <v>43101.003472164353</v>
      </c>
      <c r="E1114" t="e">
        <f>VLOOKUP(VLOOKUP(B1114,SuiteCatSubElem!$G$2:$G$667,2,0),'SA Q4 18 VR'!$A$33:$O$193,1+MATCH(VLOOKUP(A1114,Vendors!$A$2:$B$15,2,0),'SA Q4 18 VR'!$B$24:$O$24,0),0)</f>
        <v>#REF!</v>
      </c>
      <c r="F1114" s="27">
        <v>1</v>
      </c>
      <c r="G1114">
        <f>RFI_Elements!N1117</f>
        <v>1116</v>
      </c>
      <c r="I1114" t="e">
        <f>VLOOKUP(B1114,SuiteCatSubElem!$G$2:$G$667,2,0)</f>
        <v>#REF!</v>
      </c>
    </row>
    <row r="1115" spans="1:9">
      <c r="A1115">
        <f>RFI_Elements!B1118</f>
        <v>14</v>
      </c>
      <c r="B1115">
        <f>RFI_Elements!C1118</f>
        <v>420</v>
      </c>
      <c r="C1115">
        <v>1117</v>
      </c>
      <c r="D1115" s="128">
        <v>43101.003472164353</v>
      </c>
      <c r="E1115" t="e">
        <f>VLOOKUP(VLOOKUP(B1115,SuiteCatSubElem!$G$2:$G$667,2,0),'SA Q4 18 VR'!$A$33:$O$193,1+MATCH(VLOOKUP(A1115,Vendors!$A$2:$B$15,2,0),'SA Q4 18 VR'!$B$24:$O$24,0),0)</f>
        <v>#REF!</v>
      </c>
      <c r="F1115" s="27">
        <v>1</v>
      </c>
      <c r="G1115">
        <f>RFI_Elements!N1118</f>
        <v>1117</v>
      </c>
      <c r="I1115" t="e">
        <f>VLOOKUP(B1115,SuiteCatSubElem!$G$2:$G$667,2,0)</f>
        <v>#REF!</v>
      </c>
    </row>
    <row r="1116" spans="1:9">
      <c r="A1116">
        <f>RFI_Elements!B1119</f>
        <v>14</v>
      </c>
      <c r="B1116">
        <f>RFI_Elements!C1119</f>
        <v>421</v>
      </c>
      <c r="C1116">
        <v>1118</v>
      </c>
      <c r="D1116" s="128">
        <v>43101.003472164353</v>
      </c>
      <c r="E1116" t="e">
        <f>VLOOKUP(VLOOKUP(B1116,SuiteCatSubElem!$G$2:$G$667,2,0),'SA Q4 18 VR'!$A$33:$O$193,1+MATCH(VLOOKUP(A1116,Vendors!$A$2:$B$15,2,0),'SA Q4 18 VR'!$B$24:$O$24,0),0)</f>
        <v>#REF!</v>
      </c>
      <c r="F1116" s="27">
        <v>1</v>
      </c>
      <c r="G1116">
        <f>RFI_Elements!N1119</f>
        <v>1118</v>
      </c>
      <c r="I1116" t="e">
        <f>VLOOKUP(B1116,SuiteCatSubElem!$G$2:$G$667,2,0)</f>
        <v>#REF!</v>
      </c>
    </row>
    <row r="1117" spans="1:9">
      <c r="A1117">
        <f>RFI_Elements!B1120</f>
        <v>14</v>
      </c>
      <c r="B1117">
        <f>RFI_Elements!C1120</f>
        <v>422</v>
      </c>
      <c r="C1117">
        <v>1119</v>
      </c>
      <c r="D1117" s="128">
        <v>43101.003472164353</v>
      </c>
      <c r="E1117" t="e">
        <f>VLOOKUP(VLOOKUP(B1117,SuiteCatSubElem!$G$2:$G$667,2,0),'SA Q4 18 VR'!$A$33:$O$193,1+MATCH(VLOOKUP(A1117,Vendors!$A$2:$B$15,2,0),'SA Q4 18 VR'!$B$24:$O$24,0),0)</f>
        <v>#REF!</v>
      </c>
      <c r="F1117" s="27">
        <v>1</v>
      </c>
      <c r="G1117">
        <f>RFI_Elements!N1120</f>
        <v>1119</v>
      </c>
      <c r="I1117" t="e">
        <f>VLOOKUP(B1117,SuiteCatSubElem!$G$2:$G$667,2,0)</f>
        <v>#REF!</v>
      </c>
    </row>
    <row r="1118" spans="1:9">
      <c r="A1118">
        <f>RFI_Elements!B1121</f>
        <v>14</v>
      </c>
      <c r="B1118">
        <f>RFI_Elements!C1121</f>
        <v>423</v>
      </c>
      <c r="C1118">
        <v>1120</v>
      </c>
      <c r="D1118" s="128">
        <v>43101.003472164353</v>
      </c>
      <c r="E1118" t="e">
        <f>VLOOKUP(VLOOKUP(B1118,SuiteCatSubElem!$G$2:$G$667,2,0),'SA Q4 18 VR'!$A$33:$O$193,1+MATCH(VLOOKUP(A1118,Vendors!$A$2:$B$15,2,0),'SA Q4 18 VR'!$B$24:$O$24,0),0)</f>
        <v>#REF!</v>
      </c>
      <c r="F1118" s="27">
        <v>1</v>
      </c>
      <c r="G1118">
        <f>RFI_Elements!N1121</f>
        <v>1120</v>
      </c>
      <c r="I1118" t="e">
        <f>VLOOKUP(B1118,SuiteCatSubElem!$G$2:$G$667,2,0)</f>
        <v>#REF!</v>
      </c>
    </row>
    <row r="1119" spans="1:9">
      <c r="A1119">
        <f>RFI_Elements!B1122</f>
        <v>14</v>
      </c>
      <c r="B1119">
        <f>RFI_Elements!C1122</f>
        <v>424</v>
      </c>
      <c r="C1119">
        <v>1121</v>
      </c>
      <c r="D1119" s="128">
        <v>43101.003472164353</v>
      </c>
      <c r="E1119" t="e">
        <f>VLOOKUP(VLOOKUP(B1119,SuiteCatSubElem!$G$2:$G$667,2,0),'SA Q4 18 VR'!$A$33:$O$193,1+MATCH(VLOOKUP(A1119,Vendors!$A$2:$B$15,2,0),'SA Q4 18 VR'!$B$24:$O$24,0),0)</f>
        <v>#REF!</v>
      </c>
      <c r="F1119" s="27">
        <v>1</v>
      </c>
      <c r="G1119">
        <f>RFI_Elements!N1122</f>
        <v>1121</v>
      </c>
      <c r="I1119" t="e">
        <f>VLOOKUP(B1119,SuiteCatSubElem!$G$2:$G$667,2,0)</f>
        <v>#REF!</v>
      </c>
    </row>
    <row r="1120" spans="1:9">
      <c r="A1120">
        <f>RFI_Elements!B1123</f>
        <v>14</v>
      </c>
      <c r="B1120">
        <f>RFI_Elements!C1123</f>
        <v>425</v>
      </c>
      <c r="C1120">
        <v>1122</v>
      </c>
      <c r="D1120" s="128">
        <v>43101.003472164353</v>
      </c>
      <c r="E1120" t="e">
        <f>VLOOKUP(VLOOKUP(B1120,SuiteCatSubElem!$G$2:$G$667,2,0),'SA Q4 18 VR'!$A$33:$O$193,1+MATCH(VLOOKUP(A1120,Vendors!$A$2:$B$15,2,0),'SA Q4 18 VR'!$B$24:$O$24,0),0)</f>
        <v>#REF!</v>
      </c>
      <c r="F1120" s="27">
        <v>1</v>
      </c>
      <c r="G1120">
        <f>RFI_Elements!N1123</f>
        <v>1122</v>
      </c>
      <c r="I1120" t="e">
        <f>VLOOKUP(B1120,SuiteCatSubElem!$G$2:$G$667,2,0)</f>
        <v>#REF!</v>
      </c>
    </row>
    <row r="1121" spans="1:9">
      <c r="A1121">
        <f>RFI_Elements!B1124</f>
        <v>14</v>
      </c>
      <c r="B1121">
        <f>RFI_Elements!C1124</f>
        <v>426</v>
      </c>
      <c r="C1121">
        <v>1123</v>
      </c>
      <c r="D1121" s="128">
        <v>43101.003472164353</v>
      </c>
      <c r="E1121" t="e">
        <f>VLOOKUP(VLOOKUP(B1121,SuiteCatSubElem!$G$2:$G$667,2,0),'SA Q4 18 VR'!$A$33:$O$193,1+MATCH(VLOOKUP(A1121,Vendors!$A$2:$B$15,2,0),'SA Q4 18 VR'!$B$24:$O$24,0),0)</f>
        <v>#REF!</v>
      </c>
      <c r="F1121" s="27">
        <v>1</v>
      </c>
      <c r="G1121">
        <f>RFI_Elements!N1124</f>
        <v>1123</v>
      </c>
      <c r="I1121" t="e">
        <f>VLOOKUP(B1121,SuiteCatSubElem!$G$2:$G$667,2,0)</f>
        <v>#REF!</v>
      </c>
    </row>
    <row r="1122" spans="1:9">
      <c r="A1122">
        <f>RFI_Elements!B1125</f>
        <v>14</v>
      </c>
      <c r="B1122">
        <f>RFI_Elements!C1125</f>
        <v>427</v>
      </c>
      <c r="C1122">
        <v>1124</v>
      </c>
      <c r="D1122" s="128">
        <v>43101.003472164353</v>
      </c>
      <c r="E1122" t="e">
        <f>VLOOKUP(VLOOKUP(B1122,SuiteCatSubElem!$G$2:$G$667,2,0),'SA Q4 18 VR'!$A$33:$O$193,1+MATCH(VLOOKUP(A1122,Vendors!$A$2:$B$15,2,0),'SA Q4 18 VR'!$B$24:$O$24,0),0)</f>
        <v>#REF!</v>
      </c>
      <c r="F1122" s="27">
        <v>1</v>
      </c>
      <c r="G1122">
        <f>RFI_Elements!N1125</f>
        <v>1124</v>
      </c>
      <c r="I1122" t="e">
        <f>VLOOKUP(B1122,SuiteCatSubElem!$G$2:$G$667,2,0)</f>
        <v>#REF!</v>
      </c>
    </row>
    <row r="1123" spans="1:9">
      <c r="A1123">
        <f>RFI_Elements!B1126</f>
        <v>14</v>
      </c>
      <c r="B1123">
        <f>RFI_Elements!C1126</f>
        <v>428</v>
      </c>
      <c r="C1123">
        <v>1125</v>
      </c>
      <c r="D1123" s="128">
        <v>43101.003472164353</v>
      </c>
      <c r="E1123" t="e">
        <f>VLOOKUP(VLOOKUP(B1123,SuiteCatSubElem!$G$2:$G$667,2,0),'SA Q4 18 VR'!$A$33:$O$193,1+MATCH(VLOOKUP(A1123,Vendors!$A$2:$B$15,2,0),'SA Q4 18 VR'!$B$24:$O$24,0),0)</f>
        <v>#REF!</v>
      </c>
      <c r="F1123" s="27">
        <v>1</v>
      </c>
      <c r="G1123">
        <f>RFI_Elements!N1126</f>
        <v>1125</v>
      </c>
      <c r="I1123" t="e">
        <f>VLOOKUP(B1123,SuiteCatSubElem!$G$2:$G$667,2,0)</f>
        <v>#REF!</v>
      </c>
    </row>
    <row r="1124" spans="1:9">
      <c r="A1124">
        <f>RFI_Elements!B1127</f>
        <v>14</v>
      </c>
      <c r="B1124">
        <f>RFI_Elements!C1127</f>
        <v>429</v>
      </c>
      <c r="C1124">
        <v>1126</v>
      </c>
      <c r="D1124" s="128">
        <v>43101.003472164353</v>
      </c>
      <c r="E1124" t="e">
        <f>VLOOKUP(VLOOKUP(B1124,SuiteCatSubElem!$G$2:$G$667,2,0),'SA Q4 18 VR'!$A$33:$O$193,1+MATCH(VLOOKUP(A1124,Vendors!$A$2:$B$15,2,0),'SA Q4 18 VR'!$B$24:$O$24,0),0)</f>
        <v>#REF!</v>
      </c>
      <c r="F1124" s="27">
        <v>1</v>
      </c>
      <c r="G1124">
        <f>RFI_Elements!N1127</f>
        <v>1126</v>
      </c>
      <c r="I1124" t="e">
        <f>VLOOKUP(B1124,SuiteCatSubElem!$G$2:$G$667,2,0)</f>
        <v>#REF!</v>
      </c>
    </row>
    <row r="1125" spans="1:9">
      <c r="A1125">
        <f>RFI_Elements!B1128</f>
        <v>14</v>
      </c>
      <c r="B1125">
        <f>RFI_Elements!C1128</f>
        <v>430</v>
      </c>
      <c r="C1125">
        <v>1127</v>
      </c>
      <c r="D1125" s="128">
        <v>43101.003472164353</v>
      </c>
      <c r="E1125" t="e">
        <f>VLOOKUP(VLOOKUP(B1125,SuiteCatSubElem!$G$2:$G$667,2,0),'SA Q4 18 VR'!$A$33:$O$193,1+MATCH(VLOOKUP(A1125,Vendors!$A$2:$B$15,2,0),'SA Q4 18 VR'!$B$24:$O$24,0),0)</f>
        <v>#REF!</v>
      </c>
      <c r="F1125" s="27">
        <v>1</v>
      </c>
      <c r="G1125">
        <f>RFI_Elements!N1128</f>
        <v>1127</v>
      </c>
      <c r="I1125" t="e">
        <f>VLOOKUP(B1125,SuiteCatSubElem!$G$2:$G$667,2,0)</f>
        <v>#REF!</v>
      </c>
    </row>
    <row r="1126" spans="1:9">
      <c r="A1126">
        <f>RFI_Elements!B1129</f>
        <v>14</v>
      </c>
      <c r="B1126">
        <f>RFI_Elements!C1129</f>
        <v>431</v>
      </c>
      <c r="C1126">
        <v>1128</v>
      </c>
      <c r="D1126" s="128">
        <v>43101.003472164353</v>
      </c>
      <c r="E1126" t="e">
        <f>VLOOKUP(VLOOKUP(B1126,SuiteCatSubElem!$G$2:$G$667,2,0),'SA Q4 18 VR'!$A$33:$O$193,1+MATCH(VLOOKUP(A1126,Vendors!$A$2:$B$15,2,0),'SA Q4 18 VR'!$B$24:$O$24,0),0)</f>
        <v>#REF!</v>
      </c>
      <c r="F1126" s="27">
        <v>1</v>
      </c>
      <c r="G1126">
        <f>RFI_Elements!N1129</f>
        <v>1128</v>
      </c>
      <c r="I1126" t="e">
        <f>VLOOKUP(B1126,SuiteCatSubElem!$G$2:$G$667,2,0)</f>
        <v>#REF!</v>
      </c>
    </row>
    <row r="1127" spans="1:9">
      <c r="A1127">
        <f>RFI_Elements!B1130</f>
        <v>14</v>
      </c>
      <c r="B1127">
        <f>RFI_Elements!C1130</f>
        <v>432</v>
      </c>
      <c r="C1127">
        <v>1129</v>
      </c>
      <c r="D1127" s="128">
        <v>43101.003472164353</v>
      </c>
      <c r="E1127" t="e">
        <f>VLOOKUP(VLOOKUP(B1127,SuiteCatSubElem!$G$2:$G$667,2,0),'SA Q4 18 VR'!$A$33:$O$193,1+MATCH(VLOOKUP(A1127,Vendors!$A$2:$B$15,2,0),'SA Q4 18 VR'!$B$24:$O$24,0),0)</f>
        <v>#REF!</v>
      </c>
      <c r="F1127" s="27">
        <v>1</v>
      </c>
      <c r="G1127">
        <f>RFI_Elements!N1130</f>
        <v>1129</v>
      </c>
      <c r="I1127" t="e">
        <f>VLOOKUP(B1127,SuiteCatSubElem!$G$2:$G$667,2,0)</f>
        <v>#REF!</v>
      </c>
    </row>
    <row r="1128" spans="1:9">
      <c r="A1128">
        <f>RFI_Elements!B1131</f>
        <v>14</v>
      </c>
      <c r="B1128">
        <f>RFI_Elements!C1131</f>
        <v>433</v>
      </c>
      <c r="C1128">
        <v>1130</v>
      </c>
      <c r="D1128" s="128">
        <v>43101.003472164353</v>
      </c>
      <c r="E1128" t="e">
        <f>VLOOKUP(VLOOKUP(B1128,SuiteCatSubElem!$G$2:$G$667,2,0),'SA Q4 18 VR'!$A$33:$O$193,1+MATCH(VLOOKUP(A1128,Vendors!$A$2:$B$15,2,0),'SA Q4 18 VR'!$B$24:$O$24,0),0)</f>
        <v>#REF!</v>
      </c>
      <c r="F1128" s="27">
        <v>1</v>
      </c>
      <c r="G1128">
        <f>RFI_Elements!N1131</f>
        <v>1130</v>
      </c>
      <c r="I1128" t="e">
        <f>VLOOKUP(B1128,SuiteCatSubElem!$G$2:$G$667,2,0)</f>
        <v>#REF!</v>
      </c>
    </row>
    <row r="1129" spans="1:9">
      <c r="A1129">
        <f>RFI_Elements!B1132</f>
        <v>14</v>
      </c>
      <c r="B1129">
        <f>RFI_Elements!C1132</f>
        <v>434</v>
      </c>
      <c r="C1129">
        <v>1131</v>
      </c>
      <c r="D1129" s="128">
        <v>43101.003472164353</v>
      </c>
      <c r="E1129" t="e">
        <f>VLOOKUP(VLOOKUP(B1129,SuiteCatSubElem!$G$2:$G$667,2,0),'SA Q4 18 VR'!$A$33:$O$193,1+MATCH(VLOOKUP(A1129,Vendors!$A$2:$B$15,2,0),'SA Q4 18 VR'!$B$24:$O$24,0),0)</f>
        <v>#REF!</v>
      </c>
      <c r="F1129" s="27">
        <v>1</v>
      </c>
      <c r="G1129">
        <f>RFI_Elements!N1132</f>
        <v>1131</v>
      </c>
      <c r="I1129" t="e">
        <f>VLOOKUP(B1129,SuiteCatSubElem!$G$2:$G$667,2,0)</f>
        <v>#REF!</v>
      </c>
    </row>
    <row r="1130" spans="1:9">
      <c r="A1130">
        <f>RFI_Elements!B1133</f>
        <v>14</v>
      </c>
      <c r="B1130">
        <f>RFI_Elements!C1133</f>
        <v>435</v>
      </c>
      <c r="C1130">
        <v>1132</v>
      </c>
      <c r="D1130" s="128">
        <v>43101.003472164353</v>
      </c>
      <c r="E1130" t="e">
        <f>VLOOKUP(VLOOKUP(B1130,SuiteCatSubElem!$G$2:$G$667,2,0),'SA Q4 18 VR'!$A$33:$O$193,1+MATCH(VLOOKUP(A1130,Vendors!$A$2:$B$15,2,0),'SA Q4 18 VR'!$B$24:$O$24,0),0)</f>
        <v>#REF!</v>
      </c>
      <c r="F1130" s="27">
        <v>1</v>
      </c>
      <c r="G1130">
        <f>RFI_Elements!N1133</f>
        <v>1132</v>
      </c>
      <c r="I1130" t="e">
        <f>VLOOKUP(B1130,SuiteCatSubElem!$G$2:$G$667,2,0)</f>
        <v>#REF!</v>
      </c>
    </row>
    <row r="1131" spans="1:9">
      <c r="A1131">
        <f>RFI_Elements!B1134</f>
        <v>14</v>
      </c>
      <c r="B1131">
        <f>RFI_Elements!C1134</f>
        <v>436</v>
      </c>
      <c r="C1131">
        <v>1133</v>
      </c>
      <c r="D1131" s="128">
        <v>43101.003472164353</v>
      </c>
      <c r="E1131" t="e">
        <f>VLOOKUP(VLOOKUP(B1131,SuiteCatSubElem!$G$2:$G$667,2,0),'SA Q4 18 VR'!$A$33:$O$193,1+MATCH(VLOOKUP(A1131,Vendors!$A$2:$B$15,2,0),'SA Q4 18 VR'!$B$24:$O$24,0),0)</f>
        <v>#REF!</v>
      </c>
      <c r="F1131" s="27">
        <v>1</v>
      </c>
      <c r="G1131">
        <f>RFI_Elements!N1134</f>
        <v>1133</v>
      </c>
      <c r="I1131" t="e">
        <f>VLOOKUP(B1131,SuiteCatSubElem!$G$2:$G$667,2,0)</f>
        <v>#REF!</v>
      </c>
    </row>
    <row r="1132" spans="1:9">
      <c r="A1132">
        <f>RFI_Elements!B1135</f>
        <v>14</v>
      </c>
      <c r="B1132">
        <f>RFI_Elements!C1135</f>
        <v>437</v>
      </c>
      <c r="C1132">
        <v>1134</v>
      </c>
      <c r="D1132" s="128">
        <v>43101.003472164353</v>
      </c>
      <c r="E1132" t="e">
        <f>VLOOKUP(VLOOKUP(B1132,SuiteCatSubElem!$G$2:$G$667,2,0),'SA Q4 18 VR'!$A$33:$O$193,1+MATCH(VLOOKUP(A1132,Vendors!$A$2:$B$15,2,0),'SA Q4 18 VR'!$B$24:$O$24,0),0)</f>
        <v>#REF!</v>
      </c>
      <c r="F1132" s="27">
        <v>1</v>
      </c>
      <c r="G1132">
        <f>RFI_Elements!N1135</f>
        <v>1134</v>
      </c>
      <c r="I1132" t="e">
        <f>VLOOKUP(B1132,SuiteCatSubElem!$G$2:$G$667,2,0)</f>
        <v>#REF!</v>
      </c>
    </row>
    <row r="1133" spans="1:9">
      <c r="A1133">
        <f>RFI_Elements!B1136</f>
        <v>14</v>
      </c>
      <c r="B1133">
        <f>RFI_Elements!C1136</f>
        <v>438</v>
      </c>
      <c r="C1133">
        <v>1135</v>
      </c>
      <c r="D1133" s="128">
        <v>43101.003472164353</v>
      </c>
      <c r="E1133" t="e">
        <f>VLOOKUP(VLOOKUP(B1133,SuiteCatSubElem!$G$2:$G$667,2,0),'SA Q4 18 VR'!$A$33:$O$193,1+MATCH(VLOOKUP(A1133,Vendors!$A$2:$B$15,2,0),'SA Q4 18 VR'!$B$24:$O$24,0),0)</f>
        <v>#REF!</v>
      </c>
      <c r="F1133" s="27">
        <v>1</v>
      </c>
      <c r="G1133">
        <f>RFI_Elements!N1136</f>
        <v>1135</v>
      </c>
      <c r="I1133" t="e">
        <f>VLOOKUP(B1133,SuiteCatSubElem!$G$2:$G$667,2,0)</f>
        <v>#REF!</v>
      </c>
    </row>
    <row r="1134" spans="1:9">
      <c r="A1134">
        <f>RFI_Elements!B1137</f>
        <v>14</v>
      </c>
      <c r="B1134">
        <f>RFI_Elements!C1137</f>
        <v>439</v>
      </c>
      <c r="C1134">
        <v>1136</v>
      </c>
      <c r="D1134" s="128">
        <v>43101.003472164353</v>
      </c>
      <c r="E1134" t="e">
        <f>VLOOKUP(VLOOKUP(B1134,SuiteCatSubElem!$G$2:$G$667,2,0),'SA Q4 18 VR'!$A$33:$O$193,1+MATCH(VLOOKUP(A1134,Vendors!$A$2:$B$15,2,0),'SA Q4 18 VR'!$B$24:$O$24,0),0)</f>
        <v>#REF!</v>
      </c>
      <c r="F1134" s="27">
        <v>1</v>
      </c>
      <c r="G1134">
        <f>RFI_Elements!N1137</f>
        <v>1136</v>
      </c>
      <c r="I1134" t="e">
        <f>VLOOKUP(B1134,SuiteCatSubElem!$G$2:$G$667,2,0)</f>
        <v>#REF!</v>
      </c>
    </row>
    <row r="1135" spans="1:9">
      <c r="A1135">
        <f>RFI_Elements!B1138</f>
        <v>14</v>
      </c>
      <c r="B1135">
        <f>RFI_Elements!C1138</f>
        <v>440</v>
      </c>
      <c r="C1135">
        <v>1137</v>
      </c>
      <c r="D1135" s="128">
        <v>43101.003472164353</v>
      </c>
      <c r="E1135" t="e">
        <f>VLOOKUP(VLOOKUP(B1135,SuiteCatSubElem!$G$2:$G$667,2,0),'SA Q4 18 VR'!$A$33:$O$193,1+MATCH(VLOOKUP(A1135,Vendors!$A$2:$B$15,2,0),'SA Q4 18 VR'!$B$24:$O$24,0),0)</f>
        <v>#REF!</v>
      </c>
      <c r="F1135" s="27">
        <v>1</v>
      </c>
      <c r="G1135">
        <f>RFI_Elements!N1138</f>
        <v>1137</v>
      </c>
      <c r="I1135" t="e">
        <f>VLOOKUP(B1135,SuiteCatSubElem!$G$2:$G$667,2,0)</f>
        <v>#REF!</v>
      </c>
    </row>
    <row r="1136" spans="1:9">
      <c r="A1136">
        <f>RFI_Elements!B1139</f>
        <v>14</v>
      </c>
      <c r="B1136">
        <f>RFI_Elements!C1139</f>
        <v>441</v>
      </c>
      <c r="C1136">
        <v>1138</v>
      </c>
      <c r="D1136" s="128">
        <v>43101.003472164353</v>
      </c>
      <c r="E1136" t="e">
        <f>VLOOKUP(VLOOKUP(B1136,SuiteCatSubElem!$G$2:$G$667,2,0),'SA Q4 18 VR'!$A$33:$O$193,1+MATCH(VLOOKUP(A1136,Vendors!$A$2:$B$15,2,0),'SA Q4 18 VR'!$B$24:$O$24,0),0)</f>
        <v>#REF!</v>
      </c>
      <c r="F1136" s="27">
        <v>1</v>
      </c>
      <c r="G1136">
        <f>RFI_Elements!N1139</f>
        <v>1138</v>
      </c>
      <c r="I1136" t="e">
        <f>VLOOKUP(B1136,SuiteCatSubElem!$G$2:$G$667,2,0)</f>
        <v>#REF!</v>
      </c>
    </row>
    <row r="1137" spans="1:9">
      <c r="A1137">
        <f>RFI_Elements!B1140</f>
        <v>14</v>
      </c>
      <c r="B1137">
        <f>RFI_Elements!C1140</f>
        <v>442</v>
      </c>
      <c r="C1137">
        <v>1139</v>
      </c>
      <c r="D1137" s="128">
        <v>43101.003472164353</v>
      </c>
      <c r="E1137" t="e">
        <f>VLOOKUP(VLOOKUP(B1137,SuiteCatSubElem!$G$2:$G$667,2,0),'SA Q4 18 VR'!$A$33:$O$193,1+MATCH(VLOOKUP(A1137,Vendors!$A$2:$B$15,2,0),'SA Q4 18 VR'!$B$24:$O$24,0),0)</f>
        <v>#REF!</v>
      </c>
      <c r="F1137" s="27">
        <v>1</v>
      </c>
      <c r="G1137">
        <f>RFI_Elements!N1140</f>
        <v>1139</v>
      </c>
      <c r="I1137" t="e">
        <f>VLOOKUP(B1137,SuiteCatSubElem!$G$2:$G$667,2,0)</f>
        <v>#REF!</v>
      </c>
    </row>
    <row r="1138" spans="1:9">
      <c r="A1138">
        <f>RFI_Elements!B1141</f>
        <v>14</v>
      </c>
      <c r="B1138">
        <f>RFI_Elements!C1141</f>
        <v>443</v>
      </c>
      <c r="C1138">
        <v>1140</v>
      </c>
      <c r="D1138" s="128">
        <v>43101.003472164353</v>
      </c>
      <c r="E1138" t="e">
        <f>VLOOKUP(VLOOKUP(B1138,SuiteCatSubElem!$G$2:$G$667,2,0),'SA Q4 18 VR'!$A$33:$O$193,1+MATCH(VLOOKUP(A1138,Vendors!$A$2:$B$15,2,0),'SA Q4 18 VR'!$B$24:$O$24,0),0)</f>
        <v>#REF!</v>
      </c>
      <c r="F1138" s="27">
        <v>1</v>
      </c>
      <c r="G1138">
        <f>RFI_Elements!N1141</f>
        <v>1140</v>
      </c>
      <c r="I1138" t="e">
        <f>VLOOKUP(B1138,SuiteCatSubElem!$G$2:$G$667,2,0)</f>
        <v>#REF!</v>
      </c>
    </row>
    <row r="1139" spans="1:9">
      <c r="A1139">
        <f>RFI_Elements!B1142</f>
        <v>14</v>
      </c>
      <c r="B1139">
        <f>RFI_Elements!C1142</f>
        <v>444</v>
      </c>
      <c r="C1139">
        <v>1141</v>
      </c>
      <c r="D1139" s="128">
        <v>43101.003472164353</v>
      </c>
      <c r="E1139" t="e">
        <f>VLOOKUP(VLOOKUP(B1139,SuiteCatSubElem!$G$2:$G$667,2,0),'SA Q4 18 VR'!$A$33:$O$193,1+MATCH(VLOOKUP(A1139,Vendors!$A$2:$B$15,2,0),'SA Q4 18 VR'!$B$24:$O$24,0),0)</f>
        <v>#REF!</v>
      </c>
      <c r="F1139" s="27">
        <v>1</v>
      </c>
      <c r="G1139">
        <f>RFI_Elements!N1142</f>
        <v>1141</v>
      </c>
      <c r="I1139" t="e">
        <f>VLOOKUP(B1139,SuiteCatSubElem!$G$2:$G$667,2,0)</f>
        <v>#REF!</v>
      </c>
    </row>
    <row r="1140" spans="1:9">
      <c r="A1140">
        <f>RFI_Elements!B1143</f>
        <v>14</v>
      </c>
      <c r="B1140">
        <f>RFI_Elements!C1143</f>
        <v>445</v>
      </c>
      <c r="C1140">
        <v>1142</v>
      </c>
      <c r="D1140" s="128">
        <v>43101.003472164353</v>
      </c>
      <c r="E1140" t="e">
        <f>VLOOKUP(VLOOKUP(B1140,SuiteCatSubElem!$G$2:$G$667,2,0),'SA Q4 18 VR'!$A$33:$O$193,1+MATCH(VLOOKUP(A1140,Vendors!$A$2:$B$15,2,0),'SA Q4 18 VR'!$B$24:$O$24,0),0)</f>
        <v>#REF!</v>
      </c>
      <c r="F1140" s="27">
        <v>1</v>
      </c>
      <c r="G1140">
        <f>RFI_Elements!N1143</f>
        <v>1142</v>
      </c>
      <c r="I1140" t="e">
        <f>VLOOKUP(B1140,SuiteCatSubElem!$G$2:$G$667,2,0)</f>
        <v>#REF!</v>
      </c>
    </row>
    <row r="1141" spans="1:9">
      <c r="A1141">
        <f>RFI_Elements!B1144</f>
        <v>14</v>
      </c>
      <c r="B1141">
        <f>RFI_Elements!C1144</f>
        <v>446</v>
      </c>
      <c r="C1141">
        <v>1143</v>
      </c>
      <c r="D1141" s="128">
        <v>43101.003472164353</v>
      </c>
      <c r="E1141" t="e">
        <f>VLOOKUP(VLOOKUP(B1141,SuiteCatSubElem!$G$2:$G$667,2,0),'SA Q4 18 VR'!$A$33:$O$193,1+MATCH(VLOOKUP(A1141,Vendors!$A$2:$B$15,2,0),'SA Q4 18 VR'!$B$24:$O$24,0),0)</f>
        <v>#REF!</v>
      </c>
      <c r="F1141" s="27">
        <v>1</v>
      </c>
      <c r="G1141">
        <f>RFI_Elements!N1144</f>
        <v>1143</v>
      </c>
      <c r="I1141" t="e">
        <f>VLOOKUP(B1141,SuiteCatSubElem!$G$2:$G$667,2,0)</f>
        <v>#REF!</v>
      </c>
    </row>
    <row r="1142" spans="1:9">
      <c r="A1142">
        <f>RFI_Elements!B1145</f>
        <v>14</v>
      </c>
      <c r="B1142">
        <f>RFI_Elements!C1145</f>
        <v>447</v>
      </c>
      <c r="C1142">
        <v>1144</v>
      </c>
      <c r="D1142" s="128">
        <v>43101.003472164353</v>
      </c>
      <c r="E1142" t="e">
        <f>VLOOKUP(VLOOKUP(B1142,SuiteCatSubElem!$G$2:$G$667,2,0),'SA Q4 18 VR'!$A$33:$O$193,1+MATCH(VLOOKUP(A1142,Vendors!$A$2:$B$15,2,0),'SA Q4 18 VR'!$B$24:$O$24,0),0)</f>
        <v>#REF!</v>
      </c>
      <c r="F1142" s="27">
        <v>1</v>
      </c>
      <c r="G1142">
        <f>RFI_Elements!N1145</f>
        <v>1144</v>
      </c>
      <c r="I1142" t="e">
        <f>VLOOKUP(B1142,SuiteCatSubElem!$G$2:$G$667,2,0)</f>
        <v>#REF!</v>
      </c>
    </row>
    <row r="1143" spans="1:9">
      <c r="A1143">
        <f>RFI_Elements!B1146</f>
        <v>14</v>
      </c>
      <c r="B1143">
        <f>RFI_Elements!C1146</f>
        <v>448</v>
      </c>
      <c r="C1143">
        <v>1145</v>
      </c>
      <c r="D1143" s="128">
        <v>43101.003472164353</v>
      </c>
      <c r="E1143" t="e">
        <f>VLOOKUP(VLOOKUP(B1143,SuiteCatSubElem!$G$2:$G$667,2,0),'SA Q4 18 VR'!$A$33:$O$193,1+MATCH(VLOOKUP(A1143,Vendors!$A$2:$B$15,2,0),'SA Q4 18 VR'!$B$24:$O$24,0),0)</f>
        <v>#REF!</v>
      </c>
      <c r="F1143" s="27">
        <v>1</v>
      </c>
      <c r="G1143">
        <f>RFI_Elements!N1146</f>
        <v>1145</v>
      </c>
      <c r="I1143" t="e">
        <f>VLOOKUP(B1143,SuiteCatSubElem!$G$2:$G$667,2,0)</f>
        <v>#REF!</v>
      </c>
    </row>
    <row r="1144" spans="1:9">
      <c r="A1144">
        <f>RFI_Elements!B1147</f>
        <v>14</v>
      </c>
      <c r="B1144">
        <f>RFI_Elements!C1147</f>
        <v>449</v>
      </c>
      <c r="C1144">
        <v>1146</v>
      </c>
      <c r="D1144" s="128">
        <v>43101.003472164353</v>
      </c>
      <c r="E1144" t="e">
        <f>VLOOKUP(VLOOKUP(B1144,SuiteCatSubElem!$G$2:$G$667,2,0),'SA Q4 18 VR'!$A$33:$O$193,1+MATCH(VLOOKUP(A1144,Vendors!$A$2:$B$15,2,0),'SA Q4 18 VR'!$B$24:$O$24,0),0)</f>
        <v>#REF!</v>
      </c>
      <c r="F1144" s="27">
        <v>1</v>
      </c>
      <c r="G1144">
        <f>RFI_Elements!N1147</f>
        <v>1146</v>
      </c>
      <c r="I1144" t="e">
        <f>VLOOKUP(B1144,SuiteCatSubElem!$G$2:$G$667,2,0)</f>
        <v>#REF!</v>
      </c>
    </row>
    <row r="1145" spans="1:9">
      <c r="A1145">
        <f>RFI_Elements!B1148</f>
        <v>14</v>
      </c>
      <c r="B1145">
        <f>RFI_Elements!C1148</f>
        <v>450</v>
      </c>
      <c r="C1145">
        <v>1147</v>
      </c>
      <c r="D1145" s="128">
        <v>43101.003472164353</v>
      </c>
      <c r="E1145" t="e">
        <f>VLOOKUP(VLOOKUP(B1145,SuiteCatSubElem!$G$2:$G$667,2,0),'SA Q4 18 VR'!$A$33:$O$193,1+MATCH(VLOOKUP(A1145,Vendors!$A$2:$B$15,2,0),'SA Q4 18 VR'!$B$24:$O$24,0),0)</f>
        <v>#REF!</v>
      </c>
      <c r="F1145" s="27">
        <v>1</v>
      </c>
      <c r="G1145">
        <f>RFI_Elements!N1148</f>
        <v>1147</v>
      </c>
      <c r="I1145" t="e">
        <f>VLOOKUP(B1145,SuiteCatSubElem!$G$2:$G$667,2,0)</f>
        <v>#REF!</v>
      </c>
    </row>
    <row r="1146" spans="1:9">
      <c r="A1146">
        <f>RFI_Elements!B1149</f>
        <v>14</v>
      </c>
      <c r="B1146">
        <f>RFI_Elements!C1149</f>
        <v>451</v>
      </c>
      <c r="C1146">
        <v>1148</v>
      </c>
      <c r="D1146" s="128">
        <v>43101.003472164353</v>
      </c>
      <c r="E1146" t="e">
        <f>VLOOKUP(VLOOKUP(B1146,SuiteCatSubElem!$G$2:$G$667,2,0),'SA Q4 18 VR'!$A$33:$O$193,1+MATCH(VLOOKUP(A1146,Vendors!$A$2:$B$15,2,0),'SA Q4 18 VR'!$B$24:$O$24,0),0)</f>
        <v>#REF!</v>
      </c>
      <c r="F1146" s="27">
        <v>1</v>
      </c>
      <c r="G1146">
        <f>RFI_Elements!N1149</f>
        <v>1148</v>
      </c>
      <c r="I1146" t="e">
        <f>VLOOKUP(B1146,SuiteCatSubElem!$G$2:$G$667,2,0)</f>
        <v>#REF!</v>
      </c>
    </row>
    <row r="1147" spans="1:9">
      <c r="A1147">
        <f>RFI_Elements!B1150</f>
        <v>14</v>
      </c>
      <c r="B1147">
        <f>RFI_Elements!C1150</f>
        <v>452</v>
      </c>
      <c r="C1147">
        <v>1149</v>
      </c>
      <c r="D1147" s="128">
        <v>43101.003472164353</v>
      </c>
      <c r="E1147" t="e">
        <f>VLOOKUP(VLOOKUP(B1147,SuiteCatSubElem!$G$2:$G$667,2,0),'SA Q4 18 VR'!$A$33:$O$193,1+MATCH(VLOOKUP(A1147,Vendors!$A$2:$B$15,2,0),'SA Q4 18 VR'!$B$24:$O$24,0),0)</f>
        <v>#REF!</v>
      </c>
      <c r="F1147" s="27">
        <v>1</v>
      </c>
      <c r="G1147">
        <f>RFI_Elements!N1150</f>
        <v>1149</v>
      </c>
      <c r="I1147" t="e">
        <f>VLOOKUP(B1147,SuiteCatSubElem!$G$2:$G$667,2,0)</f>
        <v>#REF!</v>
      </c>
    </row>
    <row r="1148" spans="1:9">
      <c r="A1148">
        <f>RFI_Elements!B1151</f>
        <v>14</v>
      </c>
      <c r="B1148">
        <f>RFI_Elements!C1151</f>
        <v>453</v>
      </c>
      <c r="C1148">
        <v>1150</v>
      </c>
      <c r="D1148" s="128">
        <v>43101.003472164353</v>
      </c>
      <c r="E1148" t="e">
        <f>VLOOKUP(VLOOKUP(B1148,SuiteCatSubElem!$G$2:$G$667,2,0),'SA Q4 18 VR'!$A$33:$O$193,1+MATCH(VLOOKUP(A1148,Vendors!$A$2:$B$15,2,0),'SA Q4 18 VR'!$B$24:$O$24,0),0)</f>
        <v>#REF!</v>
      </c>
      <c r="F1148" s="27">
        <v>1</v>
      </c>
      <c r="G1148">
        <f>RFI_Elements!N1151</f>
        <v>1150</v>
      </c>
      <c r="I1148" t="e">
        <f>VLOOKUP(B1148,SuiteCatSubElem!$G$2:$G$667,2,0)</f>
        <v>#REF!</v>
      </c>
    </row>
    <row r="1149" spans="1:9">
      <c r="A1149">
        <f>RFI_Elements!B1152</f>
        <v>14</v>
      </c>
      <c r="B1149">
        <f>RFI_Elements!C1152</f>
        <v>454</v>
      </c>
      <c r="C1149">
        <v>1151</v>
      </c>
      <c r="D1149" s="128">
        <v>43101.003472164353</v>
      </c>
      <c r="E1149" t="e">
        <f>VLOOKUP(VLOOKUP(B1149,SuiteCatSubElem!$G$2:$G$667,2,0),'SA Q4 18 VR'!$A$33:$O$193,1+MATCH(VLOOKUP(A1149,Vendors!$A$2:$B$15,2,0),'SA Q4 18 VR'!$B$24:$O$24,0),0)</f>
        <v>#REF!</v>
      </c>
      <c r="F1149" s="27">
        <v>1</v>
      </c>
      <c r="G1149">
        <f>RFI_Elements!N1152</f>
        <v>1151</v>
      </c>
      <c r="I1149" t="e">
        <f>VLOOKUP(B1149,SuiteCatSubElem!$G$2:$G$667,2,0)</f>
        <v>#REF!</v>
      </c>
    </row>
    <row r="1150" spans="1:9">
      <c r="A1150">
        <f>RFI_Elements!B1153</f>
        <v>14</v>
      </c>
      <c r="B1150">
        <f>RFI_Elements!C1153</f>
        <v>455</v>
      </c>
      <c r="C1150">
        <v>1152</v>
      </c>
      <c r="D1150" s="128">
        <v>43101.003472164353</v>
      </c>
      <c r="E1150" t="e">
        <f>VLOOKUP(VLOOKUP(B1150,SuiteCatSubElem!$G$2:$G$667,2,0),'SA Q4 18 VR'!$A$33:$O$193,1+MATCH(VLOOKUP(A1150,Vendors!$A$2:$B$15,2,0),'SA Q4 18 VR'!$B$24:$O$24,0),0)</f>
        <v>#REF!</v>
      </c>
      <c r="F1150" s="27">
        <v>1</v>
      </c>
      <c r="G1150">
        <f>RFI_Elements!N1153</f>
        <v>1152</v>
      </c>
      <c r="I1150" t="e">
        <f>VLOOKUP(B1150,SuiteCatSubElem!$G$2:$G$667,2,0)</f>
        <v>#REF!</v>
      </c>
    </row>
    <row r="1151" spans="1:9">
      <c r="A1151">
        <f>RFI_Elements!B1154</f>
        <v>14</v>
      </c>
      <c r="B1151">
        <f>RFI_Elements!C1154</f>
        <v>456</v>
      </c>
      <c r="C1151">
        <v>1153</v>
      </c>
      <c r="D1151" s="128">
        <v>43101.003472164353</v>
      </c>
      <c r="E1151" t="e">
        <f>VLOOKUP(VLOOKUP(B1151,SuiteCatSubElem!$G$2:$G$667,2,0),'SA Q4 18 VR'!$A$33:$O$193,1+MATCH(VLOOKUP(A1151,Vendors!$A$2:$B$15,2,0),'SA Q4 18 VR'!$B$24:$O$24,0),0)</f>
        <v>#REF!</v>
      </c>
      <c r="F1151" s="27">
        <v>1</v>
      </c>
      <c r="G1151">
        <f>RFI_Elements!N1154</f>
        <v>1153</v>
      </c>
      <c r="I1151" t="e">
        <f>VLOOKUP(B1151,SuiteCatSubElem!$G$2:$G$667,2,0)</f>
        <v>#REF!</v>
      </c>
    </row>
    <row r="1152" spans="1:9">
      <c r="A1152">
        <f>RFI_Elements!B1155</f>
        <v>14</v>
      </c>
      <c r="B1152">
        <f>RFI_Elements!C1155</f>
        <v>457</v>
      </c>
      <c r="C1152">
        <v>1154</v>
      </c>
      <c r="D1152" s="128">
        <v>43101.003472164353</v>
      </c>
      <c r="E1152" t="e">
        <f>VLOOKUP(VLOOKUP(B1152,SuiteCatSubElem!$G$2:$G$667,2,0),'SA Q4 18 VR'!$A$33:$O$193,1+MATCH(VLOOKUP(A1152,Vendors!$A$2:$B$15,2,0),'SA Q4 18 VR'!$B$24:$O$24,0),0)</f>
        <v>#REF!</v>
      </c>
      <c r="F1152" s="27">
        <v>1</v>
      </c>
      <c r="G1152">
        <f>RFI_Elements!N1155</f>
        <v>1154</v>
      </c>
      <c r="I1152" t="e">
        <f>VLOOKUP(B1152,SuiteCatSubElem!$G$2:$G$667,2,0)</f>
        <v>#REF!</v>
      </c>
    </row>
    <row r="1153" spans="1:9">
      <c r="A1153">
        <f>RFI_Elements!B1156</f>
        <v>14</v>
      </c>
      <c r="B1153">
        <f>RFI_Elements!C1156</f>
        <v>458</v>
      </c>
      <c r="C1153">
        <v>1155</v>
      </c>
      <c r="D1153" s="128">
        <v>43101.003472164353</v>
      </c>
      <c r="E1153" t="e">
        <f>VLOOKUP(VLOOKUP(B1153,SuiteCatSubElem!$G$2:$G$667,2,0),'SA Q4 18 VR'!$A$33:$O$193,1+MATCH(VLOOKUP(A1153,Vendors!$A$2:$B$15,2,0),'SA Q4 18 VR'!$B$24:$O$24,0),0)</f>
        <v>#REF!</v>
      </c>
      <c r="F1153" s="27">
        <v>1</v>
      </c>
      <c r="G1153">
        <f>RFI_Elements!N1156</f>
        <v>1155</v>
      </c>
      <c r="I1153" t="e">
        <f>VLOOKUP(B1153,SuiteCatSubElem!$G$2:$G$667,2,0)</f>
        <v>#REF!</v>
      </c>
    </row>
    <row r="1154" spans="1:9">
      <c r="A1154">
        <f>RFI_Elements!B1157</f>
        <v>14</v>
      </c>
      <c r="B1154">
        <f>RFI_Elements!C1157</f>
        <v>459</v>
      </c>
      <c r="C1154">
        <v>1156</v>
      </c>
      <c r="D1154" s="128">
        <v>43101.003472164353</v>
      </c>
      <c r="E1154" t="e">
        <f>VLOOKUP(VLOOKUP(B1154,SuiteCatSubElem!$G$2:$G$667,2,0),'SA Q4 18 VR'!$A$33:$O$193,1+MATCH(VLOOKUP(A1154,Vendors!$A$2:$B$15,2,0),'SA Q4 18 VR'!$B$24:$O$24,0),0)</f>
        <v>#REF!</v>
      </c>
      <c r="F1154" s="27">
        <v>1</v>
      </c>
      <c r="G1154">
        <f>RFI_Elements!N1157</f>
        <v>1156</v>
      </c>
      <c r="I1154" t="e">
        <f>VLOOKUP(B1154,SuiteCatSubElem!$G$2:$G$667,2,0)</f>
        <v>#REF!</v>
      </c>
    </row>
    <row r="1155" spans="1:9">
      <c r="A1155">
        <f>RFI_Elements!B1158</f>
        <v>14</v>
      </c>
      <c r="B1155">
        <f>RFI_Elements!C1158</f>
        <v>460</v>
      </c>
      <c r="C1155">
        <v>1157</v>
      </c>
      <c r="D1155" s="128">
        <v>43101.003472164353</v>
      </c>
      <c r="E1155" t="e">
        <f>VLOOKUP(VLOOKUP(B1155,SuiteCatSubElem!$G$2:$G$667,2,0),'SA Q4 18 VR'!$A$33:$O$193,1+MATCH(VLOOKUP(A1155,Vendors!$A$2:$B$15,2,0),'SA Q4 18 VR'!$B$24:$O$24,0),0)</f>
        <v>#REF!</v>
      </c>
      <c r="F1155" s="27">
        <v>1</v>
      </c>
      <c r="G1155">
        <f>RFI_Elements!N1158</f>
        <v>1157</v>
      </c>
      <c r="I1155" t="e">
        <f>VLOOKUP(B1155,SuiteCatSubElem!$G$2:$G$667,2,0)</f>
        <v>#REF!</v>
      </c>
    </row>
    <row r="1156" spans="1:9">
      <c r="A1156">
        <f>RFI_Elements!B1159</f>
        <v>14</v>
      </c>
      <c r="B1156">
        <f>RFI_Elements!C1159</f>
        <v>461</v>
      </c>
      <c r="C1156">
        <v>1158</v>
      </c>
      <c r="D1156" s="128">
        <v>43101.003472164353</v>
      </c>
      <c r="E1156" t="e">
        <f>VLOOKUP(VLOOKUP(B1156,SuiteCatSubElem!$G$2:$G$667,2,0),'SA Q4 18 VR'!$A$33:$O$193,1+MATCH(VLOOKUP(A1156,Vendors!$A$2:$B$15,2,0),'SA Q4 18 VR'!$B$24:$O$24,0),0)</f>
        <v>#REF!</v>
      </c>
      <c r="F1156" s="27">
        <v>1</v>
      </c>
      <c r="G1156">
        <f>RFI_Elements!N1159</f>
        <v>1158</v>
      </c>
      <c r="I1156" t="e">
        <f>VLOOKUP(B1156,SuiteCatSubElem!$G$2:$G$667,2,0)</f>
        <v>#REF!</v>
      </c>
    </row>
    <row r="1157" spans="1:9">
      <c r="A1157">
        <f>RFI_Elements!B1160</f>
        <v>14</v>
      </c>
      <c r="B1157">
        <f>RFI_Elements!C1160</f>
        <v>462</v>
      </c>
      <c r="C1157">
        <v>1159</v>
      </c>
      <c r="D1157" s="128">
        <v>43101.003472164353</v>
      </c>
      <c r="E1157" t="e">
        <f>VLOOKUP(VLOOKUP(B1157,SuiteCatSubElem!$G$2:$G$667,2,0),'SA Q4 18 VR'!$A$33:$O$193,1+MATCH(VLOOKUP(A1157,Vendors!$A$2:$B$15,2,0),'SA Q4 18 VR'!$B$24:$O$24,0),0)</f>
        <v>#REF!</v>
      </c>
      <c r="F1157" s="27">
        <v>1</v>
      </c>
      <c r="G1157">
        <f>RFI_Elements!N1160</f>
        <v>1159</v>
      </c>
      <c r="I1157" t="e">
        <f>VLOOKUP(B1157,SuiteCatSubElem!$G$2:$G$667,2,0)</f>
        <v>#REF!</v>
      </c>
    </row>
    <row r="1158" spans="1:9">
      <c r="A1158">
        <f>RFI_Elements!B1161</f>
        <v>14</v>
      </c>
      <c r="B1158">
        <f>RFI_Elements!C1161</f>
        <v>463</v>
      </c>
      <c r="C1158">
        <v>1160</v>
      </c>
      <c r="D1158" s="128">
        <v>43101.003472164353</v>
      </c>
      <c r="E1158" t="e">
        <f>VLOOKUP(VLOOKUP(B1158,SuiteCatSubElem!$G$2:$G$667,2,0),'SA Q4 18 VR'!$A$33:$O$193,1+MATCH(VLOOKUP(A1158,Vendors!$A$2:$B$15,2,0),'SA Q4 18 VR'!$B$24:$O$24,0),0)</f>
        <v>#REF!</v>
      </c>
      <c r="F1158" s="27">
        <v>1</v>
      </c>
      <c r="G1158">
        <f>RFI_Elements!N1161</f>
        <v>1160</v>
      </c>
      <c r="I1158" t="e">
        <f>VLOOKUP(B1158,SuiteCatSubElem!$G$2:$G$667,2,0)</f>
        <v>#REF!</v>
      </c>
    </row>
    <row r="1159" spans="1:9">
      <c r="A1159">
        <f>RFI_Elements!B1162</f>
        <v>14</v>
      </c>
      <c r="B1159">
        <f>RFI_Elements!C1162</f>
        <v>464</v>
      </c>
      <c r="C1159">
        <v>1161</v>
      </c>
      <c r="D1159" s="128">
        <v>43101.003472164353</v>
      </c>
      <c r="E1159" t="e">
        <f>VLOOKUP(VLOOKUP(B1159,SuiteCatSubElem!$G$2:$G$667,2,0),'SA Q4 18 VR'!$A$33:$O$193,1+MATCH(VLOOKUP(A1159,Vendors!$A$2:$B$15,2,0),'SA Q4 18 VR'!$B$24:$O$24,0),0)</f>
        <v>#REF!</v>
      </c>
      <c r="F1159" s="27">
        <v>1</v>
      </c>
      <c r="G1159">
        <f>RFI_Elements!N1162</f>
        <v>1161</v>
      </c>
      <c r="I1159" t="e">
        <f>VLOOKUP(B1159,SuiteCatSubElem!$G$2:$G$667,2,0)</f>
        <v>#REF!</v>
      </c>
    </row>
    <row r="1160" spans="1:9">
      <c r="A1160">
        <f>RFI_Elements!B1163</f>
        <v>14</v>
      </c>
      <c r="B1160">
        <f>RFI_Elements!C1163</f>
        <v>465</v>
      </c>
      <c r="C1160">
        <v>1162</v>
      </c>
      <c r="D1160" s="128">
        <v>43101.003472164353</v>
      </c>
      <c r="E1160" t="e">
        <f>VLOOKUP(VLOOKUP(B1160,SuiteCatSubElem!$G$2:$G$667,2,0),'SA Q4 18 VR'!$A$33:$O$193,1+MATCH(VLOOKUP(A1160,Vendors!$A$2:$B$15,2,0),'SA Q4 18 VR'!$B$24:$O$24,0),0)</f>
        <v>#REF!</v>
      </c>
      <c r="F1160" s="27">
        <v>1</v>
      </c>
      <c r="G1160">
        <f>RFI_Elements!N1163</f>
        <v>1162</v>
      </c>
      <c r="I1160" t="e">
        <f>VLOOKUP(B1160,SuiteCatSubElem!$G$2:$G$667,2,0)</f>
        <v>#REF!</v>
      </c>
    </row>
    <row r="1161" spans="1:9">
      <c r="A1161">
        <f>RFI_Elements!B1164</f>
        <v>14</v>
      </c>
      <c r="B1161">
        <f>RFI_Elements!C1164</f>
        <v>466</v>
      </c>
      <c r="C1161">
        <v>1163</v>
      </c>
      <c r="D1161" s="128">
        <v>43101.003472164353</v>
      </c>
      <c r="E1161" t="e">
        <f>VLOOKUP(VLOOKUP(B1161,SuiteCatSubElem!$G$2:$G$667,2,0),'SA Q4 18 VR'!$A$33:$O$193,1+MATCH(VLOOKUP(A1161,Vendors!$A$2:$B$15,2,0),'SA Q4 18 VR'!$B$24:$O$24,0),0)</f>
        <v>#REF!</v>
      </c>
      <c r="F1161" s="27">
        <v>1</v>
      </c>
      <c r="G1161">
        <f>RFI_Elements!N1164</f>
        <v>1163</v>
      </c>
      <c r="I1161" t="e">
        <f>VLOOKUP(B1161,SuiteCatSubElem!$G$2:$G$667,2,0)</f>
        <v>#REF!</v>
      </c>
    </row>
    <row r="1162" spans="1:9">
      <c r="A1162">
        <f>RFI_Elements!B1165</f>
        <v>14</v>
      </c>
      <c r="B1162">
        <f>RFI_Elements!C1165</f>
        <v>467</v>
      </c>
      <c r="C1162">
        <v>1164</v>
      </c>
      <c r="D1162" s="128">
        <v>43101.003472164353</v>
      </c>
      <c r="E1162" t="e">
        <f>VLOOKUP(VLOOKUP(B1162,SuiteCatSubElem!$G$2:$G$667,2,0),'SA Q4 18 VR'!$A$33:$O$193,1+MATCH(VLOOKUP(A1162,Vendors!$A$2:$B$15,2,0),'SA Q4 18 VR'!$B$24:$O$24,0),0)</f>
        <v>#REF!</v>
      </c>
      <c r="F1162" s="27">
        <v>1</v>
      </c>
      <c r="G1162">
        <f>RFI_Elements!N1165</f>
        <v>1164</v>
      </c>
      <c r="I1162" t="e">
        <f>VLOOKUP(B1162,SuiteCatSubElem!$G$2:$G$667,2,0)</f>
        <v>#REF!</v>
      </c>
    </row>
    <row r="1163" spans="1:9">
      <c r="A1163">
        <f>RFI_Elements!B1166</f>
        <v>14</v>
      </c>
      <c r="B1163">
        <f>RFI_Elements!C1166</f>
        <v>468</v>
      </c>
      <c r="C1163">
        <v>1165</v>
      </c>
      <c r="D1163" s="128">
        <v>43101.003472164353</v>
      </c>
      <c r="E1163" t="e">
        <f>VLOOKUP(VLOOKUP(B1163,SuiteCatSubElem!$G$2:$G$667,2,0),'SA Q4 18 VR'!$A$33:$O$193,1+MATCH(VLOOKUP(A1163,Vendors!$A$2:$B$15,2,0),'SA Q4 18 VR'!$B$24:$O$24,0),0)</f>
        <v>#REF!</v>
      </c>
      <c r="F1163" s="27">
        <v>1</v>
      </c>
      <c r="G1163">
        <f>RFI_Elements!N1166</f>
        <v>1165</v>
      </c>
      <c r="I1163" t="e">
        <f>VLOOKUP(B1163,SuiteCatSubElem!$G$2:$G$667,2,0)</f>
        <v>#REF!</v>
      </c>
    </row>
    <row r="1164" spans="1:9">
      <c r="A1164">
        <f>RFI_Elements!B1167</f>
        <v>14</v>
      </c>
      <c r="B1164">
        <f>RFI_Elements!C1167</f>
        <v>469</v>
      </c>
      <c r="C1164">
        <v>1166</v>
      </c>
      <c r="D1164" s="128">
        <v>43101.003472164353</v>
      </c>
      <c r="E1164" t="e">
        <f>VLOOKUP(VLOOKUP(B1164,SuiteCatSubElem!$G$2:$G$667,2,0),'SA Q4 18 VR'!$A$33:$O$193,1+MATCH(VLOOKUP(A1164,Vendors!$A$2:$B$15,2,0),'SA Q4 18 VR'!$B$24:$O$24,0),0)</f>
        <v>#REF!</v>
      </c>
      <c r="F1164" s="27">
        <v>1</v>
      </c>
      <c r="G1164">
        <f>RFI_Elements!N1167</f>
        <v>1166</v>
      </c>
      <c r="I1164" t="e">
        <f>VLOOKUP(B1164,SuiteCatSubElem!$G$2:$G$667,2,0)</f>
        <v>#REF!</v>
      </c>
    </row>
    <row r="1165" spans="1:9">
      <c r="A1165">
        <f>RFI_Elements!B1168</f>
        <v>14</v>
      </c>
      <c r="B1165">
        <f>RFI_Elements!C1168</f>
        <v>470</v>
      </c>
      <c r="C1165">
        <v>1167</v>
      </c>
      <c r="D1165" s="128">
        <v>43101.003472164353</v>
      </c>
      <c r="E1165" t="e">
        <f>VLOOKUP(VLOOKUP(B1165,SuiteCatSubElem!$G$2:$G$667,2,0),'SA Q4 18 VR'!$A$33:$O$193,1+MATCH(VLOOKUP(A1165,Vendors!$A$2:$B$15,2,0),'SA Q4 18 VR'!$B$24:$O$24,0),0)</f>
        <v>#REF!</v>
      </c>
      <c r="F1165" s="27">
        <v>1</v>
      </c>
      <c r="G1165">
        <f>RFI_Elements!N1168</f>
        <v>1167</v>
      </c>
      <c r="I1165" t="e">
        <f>VLOOKUP(B1165,SuiteCatSubElem!$G$2:$G$667,2,0)</f>
        <v>#REF!</v>
      </c>
    </row>
    <row r="1166" spans="1:9">
      <c r="A1166">
        <f>RFI_Elements!B1169</f>
        <v>14</v>
      </c>
      <c r="B1166">
        <f>RFI_Elements!C1169</f>
        <v>471</v>
      </c>
      <c r="C1166">
        <v>1168</v>
      </c>
      <c r="D1166" s="128">
        <v>43101.003472164353</v>
      </c>
      <c r="E1166" t="e">
        <f>VLOOKUP(VLOOKUP(B1166,SuiteCatSubElem!$G$2:$G$667,2,0),'SA Q4 18 VR'!$A$33:$O$193,1+MATCH(VLOOKUP(A1166,Vendors!$A$2:$B$15,2,0),'SA Q4 18 VR'!$B$24:$O$24,0),0)</f>
        <v>#REF!</v>
      </c>
      <c r="F1166" s="27">
        <v>1</v>
      </c>
      <c r="G1166">
        <f>RFI_Elements!N1169</f>
        <v>1168</v>
      </c>
      <c r="I1166" t="e">
        <f>VLOOKUP(B1166,SuiteCatSubElem!$G$2:$G$667,2,0)</f>
        <v>#REF!</v>
      </c>
    </row>
    <row r="1167" spans="1:9">
      <c r="A1167">
        <f>RFI_Elements!B1170</f>
        <v>14</v>
      </c>
      <c r="B1167">
        <f>RFI_Elements!C1170</f>
        <v>472</v>
      </c>
      <c r="C1167">
        <v>1169</v>
      </c>
      <c r="D1167" s="128">
        <v>43101.003472164353</v>
      </c>
      <c r="E1167" t="e">
        <f>VLOOKUP(VLOOKUP(B1167,SuiteCatSubElem!$G$2:$G$667,2,0),'SA Q4 18 VR'!$A$33:$O$193,1+MATCH(VLOOKUP(A1167,Vendors!$A$2:$B$15,2,0),'SA Q4 18 VR'!$B$24:$O$24,0),0)</f>
        <v>#REF!</v>
      </c>
      <c r="F1167" s="27">
        <v>1</v>
      </c>
      <c r="G1167">
        <f>RFI_Elements!N1170</f>
        <v>1169</v>
      </c>
      <c r="I1167" t="e">
        <f>VLOOKUP(B1167,SuiteCatSubElem!$G$2:$G$667,2,0)</f>
        <v>#REF!</v>
      </c>
    </row>
    <row r="1168" spans="1:9">
      <c r="A1168">
        <f>RFI_Elements!B1171</f>
        <v>14</v>
      </c>
      <c r="B1168">
        <f>RFI_Elements!C1171</f>
        <v>473</v>
      </c>
      <c r="C1168">
        <v>1170</v>
      </c>
      <c r="D1168" s="128">
        <v>43101.003472164353</v>
      </c>
      <c r="E1168" t="e">
        <f>VLOOKUP(VLOOKUP(B1168,SuiteCatSubElem!$G$2:$G$667,2,0),'SA Q4 18 VR'!$A$33:$O$193,1+MATCH(VLOOKUP(A1168,Vendors!$A$2:$B$15,2,0),'SA Q4 18 VR'!$B$24:$O$24,0),0)</f>
        <v>#REF!</v>
      </c>
      <c r="F1168" s="27">
        <v>1</v>
      </c>
      <c r="G1168">
        <f>RFI_Elements!N1171</f>
        <v>1170</v>
      </c>
      <c r="I1168" t="e">
        <f>VLOOKUP(B1168,SuiteCatSubElem!$G$2:$G$667,2,0)</f>
        <v>#REF!</v>
      </c>
    </row>
    <row r="1169" spans="1:9">
      <c r="A1169">
        <f>RFI_Elements!B1172</f>
        <v>14</v>
      </c>
      <c r="B1169">
        <f>RFI_Elements!C1172</f>
        <v>474</v>
      </c>
      <c r="C1169">
        <v>1171</v>
      </c>
      <c r="D1169" s="128">
        <v>43101.003472164353</v>
      </c>
      <c r="E1169" t="e">
        <f>VLOOKUP(VLOOKUP(B1169,SuiteCatSubElem!$G$2:$G$667,2,0),'SA Q4 18 VR'!$A$33:$O$193,1+MATCH(VLOOKUP(A1169,Vendors!$A$2:$B$15,2,0),'SA Q4 18 VR'!$B$24:$O$24,0),0)</f>
        <v>#REF!</v>
      </c>
      <c r="F1169" s="27">
        <v>1</v>
      </c>
      <c r="G1169">
        <f>RFI_Elements!N1172</f>
        <v>1171</v>
      </c>
      <c r="I1169" t="e">
        <f>VLOOKUP(B1169,SuiteCatSubElem!$G$2:$G$667,2,0)</f>
        <v>#REF!</v>
      </c>
    </row>
    <row r="1170" spans="1:9">
      <c r="A1170">
        <f>RFI_Elements!B1173</f>
        <v>14</v>
      </c>
      <c r="B1170">
        <f>RFI_Elements!C1173</f>
        <v>475</v>
      </c>
      <c r="C1170">
        <v>1172</v>
      </c>
      <c r="D1170" s="128">
        <v>43101.003472164353</v>
      </c>
      <c r="E1170" t="e">
        <f>VLOOKUP(VLOOKUP(B1170,SuiteCatSubElem!$G$2:$G$667,2,0),'SA Q4 18 VR'!$A$33:$O$193,1+MATCH(VLOOKUP(A1170,Vendors!$A$2:$B$15,2,0),'SA Q4 18 VR'!$B$24:$O$24,0),0)</f>
        <v>#REF!</v>
      </c>
      <c r="F1170" s="27">
        <v>1</v>
      </c>
      <c r="G1170">
        <f>RFI_Elements!N1173</f>
        <v>1172</v>
      </c>
      <c r="I1170" t="e">
        <f>VLOOKUP(B1170,SuiteCatSubElem!$G$2:$G$667,2,0)</f>
        <v>#REF!</v>
      </c>
    </row>
    <row r="1171" spans="1:9">
      <c r="A1171">
        <f>RFI_Elements!B1174</f>
        <v>14</v>
      </c>
      <c r="B1171">
        <f>RFI_Elements!C1174</f>
        <v>476</v>
      </c>
      <c r="C1171">
        <v>1173</v>
      </c>
      <c r="D1171" s="128">
        <v>43101.003472164353</v>
      </c>
      <c r="E1171" t="e">
        <f>VLOOKUP(VLOOKUP(B1171,SuiteCatSubElem!$G$2:$G$667,2,0),'SA Q4 18 VR'!$A$33:$O$193,1+MATCH(VLOOKUP(A1171,Vendors!$A$2:$B$15,2,0),'SA Q4 18 VR'!$B$24:$O$24,0),0)</f>
        <v>#REF!</v>
      </c>
      <c r="F1171" s="27">
        <v>1</v>
      </c>
      <c r="G1171">
        <f>RFI_Elements!N1174</f>
        <v>1173</v>
      </c>
      <c r="I1171" t="e">
        <f>VLOOKUP(B1171,SuiteCatSubElem!$G$2:$G$667,2,0)</f>
        <v>#REF!</v>
      </c>
    </row>
    <row r="1172" spans="1:9">
      <c r="A1172">
        <f>RFI_Elements!B1175</f>
        <v>14</v>
      </c>
      <c r="B1172">
        <f>RFI_Elements!C1175</f>
        <v>477</v>
      </c>
      <c r="C1172">
        <v>1174</v>
      </c>
      <c r="D1172" s="128">
        <v>43101.003472164353</v>
      </c>
      <c r="E1172" t="e">
        <f>VLOOKUP(VLOOKUP(B1172,SuiteCatSubElem!$G$2:$G$667,2,0),'SA Q4 18 VR'!$A$33:$O$193,1+MATCH(VLOOKUP(A1172,Vendors!$A$2:$B$15,2,0),'SA Q4 18 VR'!$B$24:$O$24,0),0)</f>
        <v>#REF!</v>
      </c>
      <c r="F1172" s="27">
        <v>1</v>
      </c>
      <c r="G1172">
        <f>RFI_Elements!N1175</f>
        <v>1174</v>
      </c>
      <c r="I1172" t="e">
        <f>VLOOKUP(B1172,SuiteCatSubElem!$G$2:$G$667,2,0)</f>
        <v>#REF!</v>
      </c>
    </row>
    <row r="1173" spans="1:9">
      <c r="A1173">
        <f>RFI_Elements!B1176</f>
        <v>14</v>
      </c>
      <c r="B1173">
        <f>RFI_Elements!C1176</f>
        <v>478</v>
      </c>
      <c r="C1173">
        <v>1175</v>
      </c>
      <c r="D1173" s="128">
        <v>43101.003472164353</v>
      </c>
      <c r="E1173" t="e">
        <f>VLOOKUP(VLOOKUP(B1173,SuiteCatSubElem!$G$2:$G$667,2,0),'SA Q4 18 VR'!$A$33:$O$193,1+MATCH(VLOOKUP(A1173,Vendors!$A$2:$B$15,2,0),'SA Q4 18 VR'!$B$24:$O$24,0),0)</f>
        <v>#REF!</v>
      </c>
      <c r="F1173" s="27">
        <v>1</v>
      </c>
      <c r="G1173">
        <f>RFI_Elements!N1176</f>
        <v>1175</v>
      </c>
      <c r="I1173" t="e">
        <f>VLOOKUP(B1173,SuiteCatSubElem!$G$2:$G$667,2,0)</f>
        <v>#REF!</v>
      </c>
    </row>
    <row r="1174" spans="1:9">
      <c r="A1174">
        <f>RFI_Elements!B1177</f>
        <v>14</v>
      </c>
      <c r="B1174">
        <f>RFI_Elements!C1177</f>
        <v>479</v>
      </c>
      <c r="C1174">
        <v>1176</v>
      </c>
      <c r="D1174" s="128">
        <v>43101.003472164353</v>
      </c>
      <c r="E1174" t="e">
        <f>VLOOKUP(VLOOKUP(B1174,SuiteCatSubElem!$G$2:$G$667,2,0),'SA Q4 18 VR'!$A$33:$O$193,1+MATCH(VLOOKUP(A1174,Vendors!$A$2:$B$15,2,0),'SA Q4 18 VR'!$B$24:$O$24,0),0)</f>
        <v>#REF!</v>
      </c>
      <c r="F1174" s="27">
        <v>1</v>
      </c>
      <c r="G1174">
        <f>RFI_Elements!N1177</f>
        <v>1176</v>
      </c>
      <c r="I1174" t="e">
        <f>VLOOKUP(B1174,SuiteCatSubElem!$G$2:$G$667,2,0)</f>
        <v>#REF!</v>
      </c>
    </row>
    <row r="1175" spans="1:9">
      <c r="A1175">
        <f>RFI_Elements!B1178</f>
        <v>14</v>
      </c>
      <c r="B1175">
        <f>RFI_Elements!C1178</f>
        <v>480</v>
      </c>
      <c r="C1175">
        <v>1177</v>
      </c>
      <c r="D1175" s="128">
        <v>43101.003472164353</v>
      </c>
      <c r="E1175" t="e">
        <f>VLOOKUP(VLOOKUP(B1175,SuiteCatSubElem!$G$2:$G$667,2,0),'SA Q4 18 VR'!$A$33:$O$193,1+MATCH(VLOOKUP(A1175,Vendors!$A$2:$B$15,2,0),'SA Q4 18 VR'!$B$24:$O$24,0),0)</f>
        <v>#REF!</v>
      </c>
      <c r="F1175" s="27">
        <v>1</v>
      </c>
      <c r="G1175">
        <f>RFI_Elements!N1178</f>
        <v>1177</v>
      </c>
      <c r="I1175" t="e">
        <f>VLOOKUP(B1175,SuiteCatSubElem!$G$2:$G$667,2,0)</f>
        <v>#REF!</v>
      </c>
    </row>
    <row r="1176" spans="1:9">
      <c r="A1176">
        <f>RFI_Elements!B1179</f>
        <v>14</v>
      </c>
      <c r="B1176">
        <f>RFI_Elements!C1179</f>
        <v>481</v>
      </c>
      <c r="C1176">
        <v>1178</v>
      </c>
      <c r="D1176" s="128">
        <v>43101.003472164353</v>
      </c>
      <c r="E1176" t="e">
        <f>VLOOKUP(VLOOKUP(B1176,SuiteCatSubElem!$G$2:$G$667,2,0),'SA Q4 18 VR'!$A$33:$O$193,1+MATCH(VLOOKUP(A1176,Vendors!$A$2:$B$15,2,0),'SA Q4 18 VR'!$B$24:$O$24,0),0)</f>
        <v>#REF!</v>
      </c>
      <c r="F1176" s="27">
        <v>1</v>
      </c>
      <c r="G1176">
        <f>RFI_Elements!N1179</f>
        <v>1178</v>
      </c>
      <c r="I1176" t="e">
        <f>VLOOKUP(B1176,SuiteCatSubElem!$G$2:$G$667,2,0)</f>
        <v>#REF!</v>
      </c>
    </row>
    <row r="1177" spans="1:9">
      <c r="A1177">
        <f>RFI_Elements!B1180</f>
        <v>14</v>
      </c>
      <c r="B1177">
        <f>RFI_Elements!C1180</f>
        <v>482</v>
      </c>
      <c r="C1177">
        <v>1179</v>
      </c>
      <c r="D1177" s="128">
        <v>43101.003472164353</v>
      </c>
      <c r="E1177" t="e">
        <f>VLOOKUP(VLOOKUP(B1177,SuiteCatSubElem!$G$2:$G$667,2,0),'SA Q4 18 VR'!$A$33:$O$193,1+MATCH(VLOOKUP(A1177,Vendors!$A$2:$B$15,2,0),'SA Q4 18 VR'!$B$24:$O$24,0),0)</f>
        <v>#REF!</v>
      </c>
      <c r="F1177" s="27">
        <v>1</v>
      </c>
      <c r="G1177">
        <f>RFI_Elements!N1180</f>
        <v>1179</v>
      </c>
      <c r="I1177" t="e">
        <f>VLOOKUP(B1177,SuiteCatSubElem!$G$2:$G$667,2,0)</f>
        <v>#REF!</v>
      </c>
    </row>
    <row r="1178" spans="1:9">
      <c r="A1178">
        <f>RFI_Elements!B1181</f>
        <v>14</v>
      </c>
      <c r="B1178">
        <f>RFI_Elements!C1181</f>
        <v>483</v>
      </c>
      <c r="C1178">
        <v>1180</v>
      </c>
      <c r="D1178" s="128">
        <v>43101.003472164353</v>
      </c>
      <c r="E1178" t="e">
        <f>VLOOKUP(VLOOKUP(B1178,SuiteCatSubElem!$G$2:$G$667,2,0),'SA Q4 18 VR'!$A$33:$O$193,1+MATCH(VLOOKUP(A1178,Vendors!$A$2:$B$15,2,0),'SA Q4 18 VR'!$B$24:$O$24,0),0)</f>
        <v>#REF!</v>
      </c>
      <c r="F1178" s="27">
        <v>1</v>
      </c>
      <c r="G1178">
        <f>RFI_Elements!N1181</f>
        <v>1180</v>
      </c>
      <c r="I1178" t="e">
        <f>VLOOKUP(B1178,SuiteCatSubElem!$G$2:$G$667,2,0)</f>
        <v>#REF!</v>
      </c>
    </row>
    <row r="1179" spans="1:9">
      <c r="A1179">
        <f>RFI_Elements!B1182</f>
        <v>14</v>
      </c>
      <c r="B1179">
        <f>RFI_Elements!C1182</f>
        <v>484</v>
      </c>
      <c r="C1179">
        <v>1181</v>
      </c>
      <c r="D1179" s="128">
        <v>43101.003472164353</v>
      </c>
      <c r="E1179" t="e">
        <f>VLOOKUP(VLOOKUP(B1179,SuiteCatSubElem!$G$2:$G$667,2,0),'SA Q4 18 VR'!$A$33:$O$193,1+MATCH(VLOOKUP(A1179,Vendors!$A$2:$B$15,2,0),'SA Q4 18 VR'!$B$24:$O$24,0),0)</f>
        <v>#REF!</v>
      </c>
      <c r="F1179" s="27">
        <v>1</v>
      </c>
      <c r="G1179">
        <f>RFI_Elements!N1182</f>
        <v>1181</v>
      </c>
      <c r="I1179" t="e">
        <f>VLOOKUP(B1179,SuiteCatSubElem!$G$2:$G$667,2,0)</f>
        <v>#REF!</v>
      </c>
    </row>
    <row r="1180" spans="1:9">
      <c r="A1180">
        <f>RFI_Elements!B1183</f>
        <v>14</v>
      </c>
      <c r="B1180">
        <f>RFI_Elements!C1183</f>
        <v>485</v>
      </c>
      <c r="C1180">
        <v>1182</v>
      </c>
      <c r="D1180" s="128">
        <v>43101.003472164353</v>
      </c>
      <c r="E1180" t="e">
        <f>VLOOKUP(VLOOKUP(B1180,SuiteCatSubElem!$G$2:$G$667,2,0),'SA Q4 18 VR'!$A$33:$O$193,1+MATCH(VLOOKUP(A1180,Vendors!$A$2:$B$15,2,0),'SA Q4 18 VR'!$B$24:$O$24,0),0)</f>
        <v>#REF!</v>
      </c>
      <c r="F1180" s="27">
        <v>1</v>
      </c>
      <c r="G1180">
        <f>RFI_Elements!N1183</f>
        <v>1182</v>
      </c>
      <c r="I1180" t="e">
        <f>VLOOKUP(B1180,SuiteCatSubElem!$G$2:$G$667,2,0)</f>
        <v>#REF!</v>
      </c>
    </row>
    <row r="1181" spans="1:9">
      <c r="A1181">
        <f>RFI_Elements!B1184</f>
        <v>14</v>
      </c>
      <c r="B1181">
        <f>RFI_Elements!C1184</f>
        <v>486</v>
      </c>
      <c r="C1181">
        <v>1183</v>
      </c>
      <c r="D1181" s="128">
        <v>43101.003472164353</v>
      </c>
      <c r="E1181" t="e">
        <f>VLOOKUP(VLOOKUP(B1181,SuiteCatSubElem!$G$2:$G$667,2,0),'SA Q4 18 VR'!$A$33:$O$193,1+MATCH(VLOOKUP(A1181,Vendors!$A$2:$B$15,2,0),'SA Q4 18 VR'!$B$24:$O$24,0),0)</f>
        <v>#REF!</v>
      </c>
      <c r="F1181" s="27">
        <v>1</v>
      </c>
      <c r="G1181">
        <f>RFI_Elements!N1184</f>
        <v>1183</v>
      </c>
      <c r="I1181" t="e">
        <f>VLOOKUP(B1181,SuiteCatSubElem!$G$2:$G$667,2,0)</f>
        <v>#REF!</v>
      </c>
    </row>
    <row r="1182" spans="1:9">
      <c r="A1182">
        <f>RFI_Elements!B1185</f>
        <v>14</v>
      </c>
      <c r="B1182">
        <f>RFI_Elements!C1185</f>
        <v>487</v>
      </c>
      <c r="C1182">
        <v>1184</v>
      </c>
      <c r="D1182" s="128">
        <v>43101.003472164353</v>
      </c>
      <c r="E1182" t="e">
        <f>VLOOKUP(VLOOKUP(B1182,SuiteCatSubElem!$G$2:$G$667,2,0),'SA Q4 18 VR'!$A$33:$O$193,1+MATCH(VLOOKUP(A1182,Vendors!$A$2:$B$15,2,0),'SA Q4 18 VR'!$B$24:$O$24,0),0)</f>
        <v>#REF!</v>
      </c>
      <c r="F1182" s="27">
        <v>1</v>
      </c>
      <c r="G1182">
        <f>RFI_Elements!N1185</f>
        <v>1184</v>
      </c>
      <c r="I1182" t="e">
        <f>VLOOKUP(B1182,SuiteCatSubElem!$G$2:$G$667,2,0)</f>
        <v>#REF!</v>
      </c>
    </row>
    <row r="1183" spans="1:9">
      <c r="A1183">
        <f>RFI_Elements!B1186</f>
        <v>14</v>
      </c>
      <c r="B1183">
        <f>RFI_Elements!C1186</f>
        <v>488</v>
      </c>
      <c r="C1183">
        <v>1185</v>
      </c>
      <c r="D1183" s="128">
        <v>43101.003472164353</v>
      </c>
      <c r="E1183" t="e">
        <f>VLOOKUP(VLOOKUP(B1183,SuiteCatSubElem!$G$2:$G$667,2,0),'SA Q4 18 VR'!$A$33:$O$193,1+MATCH(VLOOKUP(A1183,Vendors!$A$2:$B$15,2,0),'SA Q4 18 VR'!$B$24:$O$24,0),0)</f>
        <v>#REF!</v>
      </c>
      <c r="F1183" s="27">
        <v>1</v>
      </c>
      <c r="G1183">
        <f>RFI_Elements!N1186</f>
        <v>1185</v>
      </c>
      <c r="I1183" t="e">
        <f>VLOOKUP(B1183,SuiteCatSubElem!$G$2:$G$667,2,0)</f>
        <v>#REF!</v>
      </c>
    </row>
    <row r="1184" spans="1:9">
      <c r="A1184">
        <f>RFI_Elements!B1187</f>
        <v>14</v>
      </c>
      <c r="B1184">
        <f>RFI_Elements!C1187</f>
        <v>489</v>
      </c>
      <c r="C1184">
        <v>1186</v>
      </c>
      <c r="D1184" s="128">
        <v>43101.003472164353</v>
      </c>
      <c r="E1184" t="e">
        <f>VLOOKUP(VLOOKUP(B1184,SuiteCatSubElem!$G$2:$G$667,2,0),'SA Q4 18 VR'!$A$33:$O$193,1+MATCH(VLOOKUP(A1184,Vendors!$A$2:$B$15,2,0),'SA Q4 18 VR'!$B$24:$O$24,0),0)</f>
        <v>#REF!</v>
      </c>
      <c r="F1184" s="27">
        <v>1</v>
      </c>
      <c r="G1184">
        <f>RFI_Elements!N1187</f>
        <v>1186</v>
      </c>
      <c r="I1184" t="e">
        <f>VLOOKUP(B1184,SuiteCatSubElem!$G$2:$G$667,2,0)</f>
        <v>#REF!</v>
      </c>
    </row>
    <row r="1185" spans="1:9">
      <c r="A1185">
        <f>RFI_Elements!B1188</f>
        <v>14</v>
      </c>
      <c r="B1185">
        <f>RFI_Elements!C1188</f>
        <v>490</v>
      </c>
      <c r="C1185">
        <v>1187</v>
      </c>
      <c r="D1185" s="128">
        <v>43101.003472164353</v>
      </c>
      <c r="E1185" t="e">
        <f>VLOOKUP(VLOOKUP(B1185,SuiteCatSubElem!$G$2:$G$667,2,0),'SA Q4 18 VR'!$A$33:$O$193,1+MATCH(VLOOKUP(A1185,Vendors!$A$2:$B$15,2,0),'SA Q4 18 VR'!$B$24:$O$24,0),0)</f>
        <v>#REF!</v>
      </c>
      <c r="F1185" s="27">
        <v>1</v>
      </c>
      <c r="G1185">
        <f>RFI_Elements!N1188</f>
        <v>1187</v>
      </c>
      <c r="I1185" t="e">
        <f>VLOOKUP(B1185,SuiteCatSubElem!$G$2:$G$667,2,0)</f>
        <v>#REF!</v>
      </c>
    </row>
    <row r="1186" spans="1:9">
      <c r="A1186">
        <f>RFI_Elements!B1189</f>
        <v>14</v>
      </c>
      <c r="B1186">
        <f>RFI_Elements!C1189</f>
        <v>491</v>
      </c>
      <c r="C1186">
        <v>1188</v>
      </c>
      <c r="D1186" s="128">
        <v>43101.003472164353</v>
      </c>
      <c r="E1186" t="e">
        <f>VLOOKUP(VLOOKUP(B1186,SuiteCatSubElem!$G$2:$G$667,2,0),'SA Q4 18 VR'!$A$33:$O$193,1+MATCH(VLOOKUP(A1186,Vendors!$A$2:$B$15,2,0),'SA Q4 18 VR'!$B$24:$O$24,0),0)</f>
        <v>#REF!</v>
      </c>
      <c r="F1186" s="27">
        <v>1</v>
      </c>
      <c r="G1186">
        <f>RFI_Elements!N1189</f>
        <v>1188</v>
      </c>
      <c r="I1186" t="e">
        <f>VLOOKUP(B1186,SuiteCatSubElem!$G$2:$G$667,2,0)</f>
        <v>#REF!</v>
      </c>
    </row>
    <row r="1187" spans="1:9">
      <c r="A1187">
        <f>RFI_Elements!B1190</f>
        <v>14</v>
      </c>
      <c r="B1187">
        <f>RFI_Elements!C1190</f>
        <v>492</v>
      </c>
      <c r="C1187">
        <v>1189</v>
      </c>
      <c r="D1187" s="128">
        <v>43101.003472164353</v>
      </c>
      <c r="E1187" t="e">
        <f>VLOOKUP(VLOOKUP(B1187,SuiteCatSubElem!$G$2:$G$667,2,0),'SA Q4 18 VR'!$A$33:$O$193,1+MATCH(VLOOKUP(A1187,Vendors!$A$2:$B$15,2,0),'SA Q4 18 VR'!$B$24:$O$24,0),0)</f>
        <v>#REF!</v>
      </c>
      <c r="F1187" s="27">
        <v>1</v>
      </c>
      <c r="G1187">
        <f>RFI_Elements!N1190</f>
        <v>1189</v>
      </c>
      <c r="I1187" t="e">
        <f>VLOOKUP(B1187,SuiteCatSubElem!$G$2:$G$667,2,0)</f>
        <v>#REF!</v>
      </c>
    </row>
    <row r="1188" spans="1:9">
      <c r="A1188">
        <f>RFI_Elements!B1191</f>
        <v>14</v>
      </c>
      <c r="B1188">
        <f>RFI_Elements!C1191</f>
        <v>493</v>
      </c>
      <c r="C1188">
        <v>1190</v>
      </c>
      <c r="D1188" s="128">
        <v>43101.003472164353</v>
      </c>
      <c r="E1188" t="e">
        <f>VLOOKUP(VLOOKUP(B1188,SuiteCatSubElem!$G$2:$G$667,2,0),'SA Q4 18 VR'!$A$33:$O$193,1+MATCH(VLOOKUP(A1188,Vendors!$A$2:$B$15,2,0),'SA Q4 18 VR'!$B$24:$O$24,0),0)</f>
        <v>#REF!</v>
      </c>
      <c r="F1188" s="27">
        <v>1</v>
      </c>
      <c r="G1188">
        <f>RFI_Elements!N1191</f>
        <v>1190</v>
      </c>
      <c r="I1188" t="e">
        <f>VLOOKUP(B1188,SuiteCatSubElem!$G$2:$G$667,2,0)</f>
        <v>#REF!</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B3F02-1BD2-7847-85AA-83167A834470}">
  <sheetPr codeName="Sheet20"/>
  <dimension ref="A1"/>
  <sheetViews>
    <sheetView workbookViewId="0"/>
  </sheetViews>
  <sheetFormatPr baseColWidth="10" defaultRowHeight="16"/>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17F65-23DD-F649-B19C-026EE9C4CBF9}">
  <sheetPr codeName="Sheet19"/>
  <dimension ref="A1:AG302"/>
  <sheetViews>
    <sheetView workbookViewId="0"/>
  </sheetViews>
  <sheetFormatPr baseColWidth="10" defaultColWidth="8.83203125" defaultRowHeight="16"/>
  <cols>
    <col min="1" max="1" width="39.5" customWidth="1"/>
    <col min="2" max="2" width="16.5" style="55" customWidth="1"/>
    <col min="3" max="3" width="13.6640625" style="55" customWidth="1"/>
    <col min="4" max="15" width="16.5" style="55" customWidth="1"/>
    <col min="16" max="16" width="4.33203125" bestFit="1" customWidth="1"/>
    <col min="31" max="31" width="3.6640625" customWidth="1"/>
    <col min="32" max="32" width="8.83203125" style="55"/>
  </cols>
  <sheetData>
    <row r="1" spans="1:33">
      <c r="A1" t="s">
        <v>298</v>
      </c>
      <c r="B1" s="55">
        <v>1</v>
      </c>
      <c r="C1" s="55">
        <v>2</v>
      </c>
      <c r="D1" s="55">
        <v>3</v>
      </c>
      <c r="E1" s="55">
        <v>4</v>
      </c>
      <c r="F1" s="55">
        <v>5</v>
      </c>
      <c r="G1" s="55">
        <v>6</v>
      </c>
      <c r="H1" s="55">
        <v>7</v>
      </c>
      <c r="I1" s="55">
        <v>8</v>
      </c>
      <c r="J1" s="55">
        <v>9</v>
      </c>
      <c r="K1" s="55">
        <v>10</v>
      </c>
      <c r="L1" s="55">
        <v>11</v>
      </c>
      <c r="M1" s="55">
        <v>12</v>
      </c>
      <c r="N1" s="55">
        <v>13</v>
      </c>
      <c r="O1" s="55">
        <v>14</v>
      </c>
    </row>
    <row r="2" spans="1:33">
      <c r="A2" t="s">
        <v>298</v>
      </c>
    </row>
    <row r="3" spans="1:33" ht="48">
      <c r="A3" t="s">
        <v>298</v>
      </c>
      <c r="B3" s="53" t="s">
        <v>1231</v>
      </c>
      <c r="C3" s="53" t="s">
        <v>1232</v>
      </c>
      <c r="D3" s="53" t="s">
        <v>1233</v>
      </c>
      <c r="E3" s="53" t="s">
        <v>1234</v>
      </c>
      <c r="F3" s="53" t="s">
        <v>1235</v>
      </c>
      <c r="G3" s="53" t="s">
        <v>1236</v>
      </c>
      <c r="H3" s="53" t="s">
        <v>1237</v>
      </c>
      <c r="I3" s="53" t="s">
        <v>1238</v>
      </c>
      <c r="J3" s="53" t="s">
        <v>1239</v>
      </c>
      <c r="K3" s="53" t="s">
        <v>1240</v>
      </c>
      <c r="L3" s="53" t="s">
        <v>1241</v>
      </c>
      <c r="M3" s="56" t="s">
        <v>1289</v>
      </c>
      <c r="N3" s="56" t="s">
        <v>1290</v>
      </c>
      <c r="O3" s="56" t="s">
        <v>1291</v>
      </c>
      <c r="P3" s="57" t="s">
        <v>1292</v>
      </c>
      <c r="Q3" s="53" t="s">
        <v>1231</v>
      </c>
      <c r="R3" s="53" t="s">
        <v>1232</v>
      </c>
      <c r="S3" s="53" t="s">
        <v>1233</v>
      </c>
      <c r="T3" s="53" t="s">
        <v>1234</v>
      </c>
      <c r="U3" s="53" t="s">
        <v>1235</v>
      </c>
      <c r="V3" s="53" t="s">
        <v>1236</v>
      </c>
      <c r="W3" s="53" t="s">
        <v>1237</v>
      </c>
      <c r="X3" s="53" t="s">
        <v>1238</v>
      </c>
      <c r="Y3" s="53" t="s">
        <v>1239</v>
      </c>
      <c r="Z3" s="53" t="s">
        <v>1240</v>
      </c>
      <c r="AA3" s="53" t="s">
        <v>1241</v>
      </c>
      <c r="AB3" s="53" t="s">
        <v>1289</v>
      </c>
      <c r="AC3" s="53" t="s">
        <v>1290</v>
      </c>
      <c r="AD3" s="53" t="s">
        <v>1291</v>
      </c>
      <c r="AF3" s="58" t="s">
        <v>1293</v>
      </c>
      <c r="AG3" s="58" t="s">
        <v>1293</v>
      </c>
    </row>
    <row r="4" spans="1:33">
      <c r="A4" s="59" t="s">
        <v>1294</v>
      </c>
      <c r="B4" s="60"/>
      <c r="C4" s="60"/>
      <c r="D4" s="60"/>
      <c r="E4" s="60"/>
      <c r="F4" s="60"/>
      <c r="G4" s="60"/>
      <c r="H4" s="60"/>
      <c r="I4" s="60"/>
      <c r="J4" s="60"/>
      <c r="K4" s="60"/>
      <c r="L4" s="60"/>
      <c r="M4" s="60"/>
      <c r="N4" s="60"/>
      <c r="O4" s="60"/>
      <c r="AG4" s="55"/>
    </row>
    <row r="5" spans="1:33">
      <c r="A5" s="61" t="s">
        <v>23</v>
      </c>
      <c r="B5" s="60">
        <v>3.25</v>
      </c>
      <c r="C5" s="60">
        <v>2</v>
      </c>
      <c r="D5" s="60">
        <v>3.125</v>
      </c>
      <c r="E5" s="60">
        <v>3.375</v>
      </c>
      <c r="F5" s="60">
        <v>3</v>
      </c>
      <c r="G5" s="60">
        <v>2.125</v>
      </c>
      <c r="H5" s="60">
        <v>3.375</v>
      </c>
      <c r="I5" s="60">
        <v>1.75</v>
      </c>
      <c r="J5" s="60">
        <v>3</v>
      </c>
      <c r="K5" s="60">
        <v>2.75</v>
      </c>
      <c r="L5" s="60">
        <v>4.25</v>
      </c>
      <c r="M5" s="60">
        <v>3.875</v>
      </c>
      <c r="N5" s="60">
        <v>3.125</v>
      </c>
      <c r="O5" s="60">
        <v>3.5</v>
      </c>
      <c r="P5" s="62">
        <v>2.9090909090909092</v>
      </c>
      <c r="Q5" s="63">
        <v>7.0588235294117688E-2</v>
      </c>
      <c r="R5" s="63">
        <v>-0.34117647058823525</v>
      </c>
      <c r="S5" s="63">
        <v>2.9411764705882398E-2</v>
      </c>
      <c r="T5" s="63">
        <v>0.11176470588235299</v>
      </c>
      <c r="U5" s="63">
        <v>-1.1764705882352899E-2</v>
      </c>
      <c r="V5" s="63">
        <v>-0.3</v>
      </c>
      <c r="W5" s="63">
        <v>0.11176470588235299</v>
      </c>
      <c r="X5" s="63">
        <v>-0.42352941176470588</v>
      </c>
      <c r="Y5" s="63">
        <v>-1.1764705882352899E-2</v>
      </c>
      <c r="Z5" s="63">
        <v>-9.4117647058823486E-2</v>
      </c>
      <c r="AA5" s="63">
        <v>0.40000000000000008</v>
      </c>
      <c r="AB5" s="63">
        <v>0.27647058823529419</v>
      </c>
      <c r="AC5" s="63">
        <v>2.9411764705882398E-2</v>
      </c>
      <c r="AD5" s="63">
        <v>0.15294117647058827</v>
      </c>
      <c r="AF5" s="60">
        <v>3.0357142857142856</v>
      </c>
      <c r="AG5" s="60">
        <v>3.0357142857142856</v>
      </c>
    </row>
    <row r="6" spans="1:33">
      <c r="A6" s="61" t="s">
        <v>24</v>
      </c>
      <c r="B6" s="60">
        <v>3</v>
      </c>
      <c r="C6" s="60">
        <v>2.1111111111111112</v>
      </c>
      <c r="D6" s="60">
        <v>2.7692307692307692</v>
      </c>
      <c r="E6" s="60">
        <v>2.7407407407407409</v>
      </c>
      <c r="F6" s="60">
        <v>2.7037037037037037</v>
      </c>
      <c r="G6" s="60">
        <v>2.2962962962962963</v>
      </c>
      <c r="H6" s="60">
        <v>2.925925925925926</v>
      </c>
      <c r="I6" s="60">
        <v>1.7037037037037037</v>
      </c>
      <c r="J6" s="60">
        <v>2.9629629629629628</v>
      </c>
      <c r="K6" s="60">
        <v>2.8148148148148149</v>
      </c>
      <c r="L6" s="60">
        <v>3.1481481481481484</v>
      </c>
      <c r="M6" s="60">
        <v>2.4074074074074074</v>
      </c>
      <c r="N6" s="60">
        <v>3.0370370370370372</v>
      </c>
      <c r="O6" s="60">
        <v>2.2962962962962963</v>
      </c>
      <c r="P6" s="62">
        <v>2.6524216524216522</v>
      </c>
      <c r="Q6" s="63">
        <v>0.13767556721716309</v>
      </c>
      <c r="R6" s="63">
        <v>-0.1994134897360704</v>
      </c>
      <c r="S6" s="63">
        <v>5.0162062046612062E-2</v>
      </c>
      <c r="T6" s="63">
        <v>3.9357925605803389E-2</v>
      </c>
      <c r="U6" s="63">
        <v>2.5312548232751933E-2</v>
      </c>
      <c r="V6" s="63">
        <v>-0.12918660287081343</v>
      </c>
      <c r="W6" s="63">
        <v>0.10958481247106035</v>
      </c>
      <c r="X6" s="63">
        <v>-0.35391264083963575</v>
      </c>
      <c r="Y6" s="63">
        <v>0.12363018984411164</v>
      </c>
      <c r="Z6" s="63">
        <v>6.744868035190614E-2</v>
      </c>
      <c r="AA6" s="63">
        <v>0.19385707670936878</v>
      </c>
      <c r="AB6" s="63">
        <v>-8.7050470751659226E-2</v>
      </c>
      <c r="AC6" s="63">
        <v>0.15172094459021457</v>
      </c>
      <c r="AD6" s="63">
        <v>-0.12918660287081343</v>
      </c>
      <c r="AF6" s="60">
        <v>2.6369556369556371</v>
      </c>
      <c r="AG6" s="60">
        <v>2.6369556369556371</v>
      </c>
    </row>
    <row r="7" spans="1:33">
      <c r="A7" s="61" t="s">
        <v>25</v>
      </c>
      <c r="B7" s="60">
        <v>2.8181818181818183</v>
      </c>
      <c r="C7" s="60">
        <v>1.5</v>
      </c>
      <c r="D7" s="60">
        <v>2.2727272727272729</v>
      </c>
      <c r="E7" s="60">
        <v>2</v>
      </c>
      <c r="F7" s="60">
        <v>2.2272727272727271</v>
      </c>
      <c r="G7" s="60">
        <v>2.1818181818181817</v>
      </c>
      <c r="H7" s="60">
        <v>3.0454545454545454</v>
      </c>
      <c r="I7" s="60">
        <v>0</v>
      </c>
      <c r="J7" s="60">
        <v>1.9545454545454546</v>
      </c>
      <c r="K7" s="60">
        <v>2.1363636363636362</v>
      </c>
      <c r="L7" s="60">
        <v>1.8181818181818181</v>
      </c>
      <c r="M7" s="60">
        <v>1.0909090909090908</v>
      </c>
      <c r="N7" s="60">
        <v>2.5909090909090908</v>
      </c>
      <c r="O7" s="60">
        <v>2.2272727272727271</v>
      </c>
      <c r="P7" s="62">
        <v>1.9958677685950412</v>
      </c>
      <c r="Q7" s="63">
        <v>0.4159869494290378</v>
      </c>
      <c r="R7" s="63">
        <v>-0.24632952691680249</v>
      </c>
      <c r="S7" s="63">
        <v>0.14192495921696602</v>
      </c>
      <c r="T7" s="63">
        <v>4.8939641109300089E-3</v>
      </c>
      <c r="U7" s="63">
        <v>0.1190864600326265</v>
      </c>
      <c r="V7" s="63">
        <v>9.6247960848287198E-2</v>
      </c>
      <c r="W7" s="63">
        <v>0.53017944535073436</v>
      </c>
      <c r="X7" s="63">
        <v>-1</v>
      </c>
      <c r="Y7" s="63">
        <v>-1.794453507340929E-2</v>
      </c>
      <c r="Z7" s="63">
        <v>7.3409461663947906E-2</v>
      </c>
      <c r="AA7" s="63">
        <v>-8.6460032626427291E-2</v>
      </c>
      <c r="AB7" s="63">
        <v>-0.45187601957585638</v>
      </c>
      <c r="AC7" s="63">
        <v>0.30179445350734113</v>
      </c>
      <c r="AD7" s="63">
        <v>0.1190864600326265</v>
      </c>
      <c r="AF7" s="60">
        <v>1.99025974025974</v>
      </c>
      <c r="AG7" s="60">
        <v>1.99025974025974</v>
      </c>
    </row>
    <row r="8" spans="1:33">
      <c r="A8" s="61" t="s">
        <v>11</v>
      </c>
      <c r="B8" s="60">
        <v>2.2142857142857144</v>
      </c>
      <c r="C8" s="60">
        <v>2.0714285714285716</v>
      </c>
      <c r="D8" s="60">
        <v>1.8571428571428572</v>
      </c>
      <c r="E8" s="60">
        <v>2.5</v>
      </c>
      <c r="F8" s="60">
        <v>2</v>
      </c>
      <c r="G8" s="60">
        <v>2.5714285714285716</v>
      </c>
      <c r="H8" s="60">
        <v>1.7857142857142858</v>
      </c>
      <c r="I8" s="60">
        <v>1.5714285714285714</v>
      </c>
      <c r="J8" s="60">
        <v>2</v>
      </c>
      <c r="K8" s="60">
        <v>2.3571428571428572</v>
      </c>
      <c r="L8" s="60">
        <v>3.2857142857142856</v>
      </c>
      <c r="M8" s="60">
        <v>1.6923076923076923</v>
      </c>
      <c r="N8" s="60">
        <v>2.0714285714285716</v>
      </c>
      <c r="O8" s="60">
        <v>2.0714285714285716</v>
      </c>
      <c r="P8" s="62">
        <v>2.2012987012987013</v>
      </c>
      <c r="Q8" s="63">
        <v>3.1632839641616235E-2</v>
      </c>
      <c r="R8" s="63">
        <v>-3.492411775461704E-2</v>
      </c>
      <c r="S8" s="63">
        <v>-0.13475955384896704</v>
      </c>
      <c r="T8" s="63">
        <v>0.16474675443408279</v>
      </c>
      <c r="U8" s="63">
        <v>-6.8202596452733771E-2</v>
      </c>
      <c r="V8" s="63">
        <v>0.19802523313219952</v>
      </c>
      <c r="W8" s="63">
        <v>-0.16803803254708369</v>
      </c>
      <c r="X8" s="63">
        <v>-0.26787346864143369</v>
      </c>
      <c r="Y8" s="63">
        <v>-6.8202596452733771E-2</v>
      </c>
      <c r="Z8" s="63">
        <v>9.8189797037849511E-2</v>
      </c>
      <c r="AA8" s="63">
        <v>0.53081002011336587</v>
      </c>
      <c r="AB8" s="63">
        <v>-0.21155604315231322</v>
      </c>
      <c r="AC8" s="63">
        <v>-3.492411775461704E-2</v>
      </c>
      <c r="AD8" s="63">
        <v>-3.492411775461704E-2</v>
      </c>
      <c r="AF8" s="60">
        <v>2.146389324960754</v>
      </c>
      <c r="AG8" s="60">
        <v>2.146389324960754</v>
      </c>
    </row>
    <row r="9" spans="1:33">
      <c r="A9" s="61" t="s">
        <v>10</v>
      </c>
      <c r="B9" s="60">
        <v>3.2857142857142856</v>
      </c>
      <c r="C9" s="60">
        <v>2.4285714285714284</v>
      </c>
      <c r="D9" s="60">
        <v>3</v>
      </c>
      <c r="E9" s="60">
        <v>3.4285714285714284</v>
      </c>
      <c r="F9" s="60">
        <v>2.8571428571428572</v>
      </c>
      <c r="G9" s="60">
        <v>2.5714285714285716</v>
      </c>
      <c r="H9" s="60">
        <v>2.1428571428571428</v>
      </c>
      <c r="I9" s="60">
        <v>1.8571428571428572</v>
      </c>
      <c r="J9" s="60">
        <v>2.5714285714285716</v>
      </c>
      <c r="K9" s="60">
        <v>2.8571428571428572</v>
      </c>
      <c r="L9" s="60">
        <v>3.1428571428571428</v>
      </c>
      <c r="M9" s="60">
        <v>2</v>
      </c>
      <c r="N9" s="60">
        <v>3.1428571428571428</v>
      </c>
      <c r="O9" s="60">
        <v>2.7142857142857144</v>
      </c>
      <c r="P9" s="62">
        <v>2.7402597402597406</v>
      </c>
      <c r="Q9" s="63">
        <v>0.21052631578947339</v>
      </c>
      <c r="R9" s="63">
        <v>-0.1052631578947371</v>
      </c>
      <c r="S9" s="63">
        <v>0.10526315789473661</v>
      </c>
      <c r="T9" s="63">
        <v>0.26315789473684176</v>
      </c>
      <c r="U9" s="63">
        <v>5.2631578947368224E-2</v>
      </c>
      <c r="V9" s="63">
        <v>-5.263157894736855E-2</v>
      </c>
      <c r="W9" s="63">
        <v>-0.21052631578947387</v>
      </c>
      <c r="X9" s="63">
        <v>-0.31578947368421062</v>
      </c>
      <c r="Y9" s="63">
        <v>-5.263157894736855E-2</v>
      </c>
      <c r="Z9" s="63">
        <v>5.2631578947368224E-2</v>
      </c>
      <c r="AA9" s="63">
        <v>0.157894736842105</v>
      </c>
      <c r="AB9" s="63">
        <v>-0.26315789473684226</v>
      </c>
      <c r="AC9" s="63">
        <v>0.157894736842105</v>
      </c>
      <c r="AD9" s="63">
        <v>-1.6361181415528619E-16</v>
      </c>
      <c r="AF9" s="60">
        <v>2.7142857142857149</v>
      </c>
      <c r="AG9" s="60">
        <v>2.7142857142857149</v>
      </c>
    </row>
    <row r="10" spans="1:33">
      <c r="A10" s="61" t="s">
        <v>33</v>
      </c>
      <c r="B10" s="60">
        <v>4.166666666666667</v>
      </c>
      <c r="C10" s="60">
        <v>2.1666666666666665</v>
      </c>
      <c r="D10" s="60">
        <v>3.8333333333333335</v>
      </c>
      <c r="E10" s="60">
        <v>2</v>
      </c>
      <c r="F10" s="60">
        <v>2.6666666666666665</v>
      </c>
      <c r="G10" s="60">
        <v>3</v>
      </c>
      <c r="H10" s="60">
        <v>2.8333333333333335</v>
      </c>
      <c r="I10" s="60">
        <v>1.1666666666666667</v>
      </c>
      <c r="J10" s="60">
        <v>4.166666666666667</v>
      </c>
      <c r="K10" s="60">
        <v>3</v>
      </c>
      <c r="L10" s="60">
        <v>2.3333333333333335</v>
      </c>
      <c r="M10" s="60">
        <v>2.3333333333333335</v>
      </c>
      <c r="N10" s="60">
        <v>3.5</v>
      </c>
      <c r="O10" s="60">
        <v>2.1666666666666665</v>
      </c>
      <c r="P10" s="62">
        <v>2.8484848484848486</v>
      </c>
      <c r="Q10" s="63">
        <v>0.48305084745762711</v>
      </c>
      <c r="R10" s="63">
        <v>-0.22881355932203401</v>
      </c>
      <c r="S10" s="63">
        <v>0.36440677966101687</v>
      </c>
      <c r="T10" s="63">
        <v>-0.28813559322033905</v>
      </c>
      <c r="U10" s="63">
        <v>-5.0847457627118772E-2</v>
      </c>
      <c r="V10" s="63">
        <v>6.7796610169491442E-2</v>
      </c>
      <c r="W10" s="63">
        <v>8.4745762711864094E-3</v>
      </c>
      <c r="X10" s="63">
        <v>-0.5847457627118644</v>
      </c>
      <c r="Y10" s="63">
        <v>0.48305084745762711</v>
      </c>
      <c r="Z10" s="63">
        <v>6.7796610169491442E-2</v>
      </c>
      <c r="AA10" s="63">
        <v>-0.16949152542372883</v>
      </c>
      <c r="AB10" s="63">
        <v>-0.16949152542372883</v>
      </c>
      <c r="AC10" s="63">
        <v>0.24576271186440668</v>
      </c>
      <c r="AD10" s="63">
        <v>-0.22881355932203401</v>
      </c>
      <c r="AF10" s="60">
        <v>2.8095238095238098</v>
      </c>
      <c r="AG10" s="60">
        <v>2.8095238095238098</v>
      </c>
    </row>
    <row r="11" spans="1:33">
      <c r="A11" s="64" t="s">
        <v>1295</v>
      </c>
      <c r="B11" s="65">
        <v>3.1224747474747474</v>
      </c>
      <c r="C11" s="65">
        <v>2.0462962962962963</v>
      </c>
      <c r="D11" s="65">
        <v>2.8095723720723722</v>
      </c>
      <c r="E11" s="65">
        <v>2.674052028218695</v>
      </c>
      <c r="F11" s="65">
        <v>2.5757976591309926</v>
      </c>
      <c r="G11" s="65">
        <v>2.4576619368286035</v>
      </c>
      <c r="H11" s="65">
        <v>2.684714205547539</v>
      </c>
      <c r="I11" s="65">
        <v>1.3414902998236331</v>
      </c>
      <c r="J11" s="65">
        <v>2.7759339426006093</v>
      </c>
      <c r="K11" s="65">
        <v>2.6525773609106946</v>
      </c>
      <c r="L11" s="65">
        <v>2.9963724547057882</v>
      </c>
      <c r="M11" s="65">
        <v>2.233159587326254</v>
      </c>
      <c r="N11" s="65">
        <v>2.9112053070386401</v>
      </c>
      <c r="O11" s="65">
        <v>2.4959916626583292</v>
      </c>
      <c r="Q11" s="63">
        <v>0.22185426611098077</v>
      </c>
      <c r="R11" s="63">
        <v>-0.19926466615021046</v>
      </c>
      <c r="S11" s="63">
        <v>9.9412570603003333E-2</v>
      </c>
      <c r="T11" s="63">
        <v>4.6382162457554707E-2</v>
      </c>
      <c r="U11" s="63">
        <v>7.9342870564989461E-3</v>
      </c>
      <c r="V11" s="63">
        <v>-3.8293352219691434E-2</v>
      </c>
      <c r="W11" s="63">
        <v>5.055437453575188E-2</v>
      </c>
      <c r="X11" s="63">
        <v>-0.47506200102607526</v>
      </c>
      <c r="Y11" s="63">
        <v>8.6249531065666213E-2</v>
      </c>
      <c r="Z11" s="63">
        <v>3.7978919521862553E-2</v>
      </c>
      <c r="AA11" s="63">
        <v>0.17250923153200221</v>
      </c>
      <c r="AB11" s="63">
        <v>-0.12614327117042989</v>
      </c>
      <c r="AC11" s="63">
        <v>0.13918251118181615</v>
      </c>
      <c r="AD11" s="63">
        <v>-2.3294563498728889E-2</v>
      </c>
      <c r="AF11" s="60">
        <v>2.5555214186166566</v>
      </c>
      <c r="AG11" s="60">
        <v>2.5555214186166566</v>
      </c>
    </row>
    <row r="12" spans="1:33">
      <c r="A12" t="s">
        <v>298</v>
      </c>
      <c r="B12"/>
      <c r="C12"/>
      <c r="D12"/>
      <c r="E12"/>
      <c r="F12"/>
      <c r="G12"/>
      <c r="H12"/>
      <c r="I12"/>
      <c r="J12"/>
      <c r="K12"/>
      <c r="L12"/>
      <c r="M12"/>
      <c r="N12"/>
      <c r="O12"/>
      <c r="AF12" s="60"/>
    </row>
    <row r="13" spans="1:33">
      <c r="A13" t="s">
        <v>298</v>
      </c>
      <c r="B13"/>
      <c r="C13"/>
      <c r="D13"/>
      <c r="E13"/>
      <c r="F13"/>
      <c r="G13"/>
      <c r="H13"/>
      <c r="I13"/>
      <c r="J13"/>
      <c r="K13"/>
      <c r="L13"/>
      <c r="M13"/>
      <c r="N13"/>
      <c r="O13"/>
      <c r="AF13" s="60"/>
    </row>
    <row r="14" spans="1:33">
      <c r="A14" t="s">
        <v>298</v>
      </c>
      <c r="B14"/>
      <c r="C14"/>
      <c r="D14"/>
      <c r="E14"/>
      <c r="F14"/>
      <c r="G14"/>
      <c r="H14"/>
      <c r="I14"/>
      <c r="J14"/>
      <c r="K14"/>
      <c r="L14"/>
      <c r="M14"/>
      <c r="N14"/>
      <c r="O14"/>
      <c r="AF14" s="60"/>
    </row>
    <row r="15" spans="1:33">
      <c r="A15" t="s">
        <v>298</v>
      </c>
      <c r="B15"/>
      <c r="C15"/>
      <c r="D15"/>
      <c r="E15"/>
      <c r="F15"/>
      <c r="G15"/>
      <c r="H15"/>
      <c r="I15"/>
      <c r="J15"/>
      <c r="K15"/>
      <c r="L15"/>
      <c r="M15"/>
      <c r="N15"/>
      <c r="O15"/>
      <c r="AF15" s="60"/>
    </row>
    <row r="16" spans="1:33">
      <c r="A16" t="s">
        <v>298</v>
      </c>
      <c r="B16"/>
      <c r="C16"/>
      <c r="D16"/>
      <c r="E16"/>
      <c r="F16"/>
      <c r="G16"/>
      <c r="H16"/>
      <c r="I16"/>
      <c r="J16"/>
      <c r="K16"/>
      <c r="L16"/>
      <c r="M16"/>
      <c r="N16"/>
      <c r="O16"/>
      <c r="AF16" s="60"/>
    </row>
    <row r="17" spans="1:32">
      <c r="A17" t="s">
        <v>298</v>
      </c>
      <c r="B17"/>
      <c r="C17"/>
      <c r="D17"/>
      <c r="E17"/>
      <c r="F17"/>
      <c r="G17"/>
      <c r="H17"/>
      <c r="I17"/>
      <c r="J17"/>
      <c r="K17"/>
      <c r="L17"/>
      <c r="M17"/>
      <c r="N17"/>
      <c r="O17"/>
      <c r="AF17" s="60"/>
    </row>
    <row r="18" spans="1:32">
      <c r="A18" t="s">
        <v>298</v>
      </c>
      <c r="B18"/>
      <c r="C18"/>
      <c r="D18"/>
      <c r="E18"/>
      <c r="F18"/>
      <c r="G18"/>
      <c r="H18"/>
      <c r="I18"/>
      <c r="J18"/>
      <c r="K18"/>
      <c r="L18"/>
      <c r="M18"/>
      <c r="N18"/>
      <c r="O18"/>
      <c r="AF18" s="60"/>
    </row>
    <row r="19" spans="1:32">
      <c r="A19" t="s">
        <v>298</v>
      </c>
      <c r="B19"/>
      <c r="C19"/>
      <c r="D19"/>
      <c r="E19"/>
      <c r="F19"/>
      <c r="G19"/>
      <c r="H19"/>
      <c r="I19"/>
      <c r="J19"/>
      <c r="K19"/>
      <c r="L19"/>
      <c r="M19"/>
      <c r="N19"/>
      <c r="O19"/>
      <c r="AF19" s="60"/>
    </row>
    <row r="20" spans="1:32">
      <c r="A20" t="s">
        <v>298</v>
      </c>
      <c r="Q20" s="63"/>
      <c r="R20" s="63"/>
      <c r="S20" s="63"/>
      <c r="T20" s="63"/>
      <c r="U20" s="63"/>
      <c r="V20" s="63"/>
      <c r="W20" s="63"/>
      <c r="X20" s="63"/>
      <c r="Y20" s="63"/>
      <c r="Z20" s="63"/>
      <c r="AA20" s="63"/>
      <c r="AB20" s="63"/>
      <c r="AC20" s="63"/>
      <c r="AD20" s="63"/>
      <c r="AF20" s="60"/>
    </row>
    <row r="21" spans="1:32">
      <c r="A21" t="s">
        <v>298</v>
      </c>
      <c r="J21"/>
      <c r="Q21" s="63"/>
      <c r="R21" s="63"/>
      <c r="S21" s="63"/>
      <c r="T21" s="63"/>
      <c r="U21" s="63"/>
      <c r="V21" s="63"/>
      <c r="W21" s="63"/>
      <c r="X21" s="63"/>
      <c r="Y21" s="63"/>
      <c r="Z21" s="63"/>
      <c r="AA21" s="63"/>
      <c r="AB21" s="63"/>
      <c r="AC21" s="63"/>
      <c r="AD21" s="63"/>
      <c r="AF21" s="60"/>
    </row>
    <row r="22" spans="1:32">
      <c r="A22" t="s">
        <v>298</v>
      </c>
      <c r="Q22" s="63"/>
      <c r="R22" s="63"/>
      <c r="S22" s="63"/>
      <c r="T22" s="63"/>
      <c r="U22" s="63"/>
      <c r="V22" s="63"/>
      <c r="W22" s="63"/>
      <c r="X22" s="63"/>
      <c r="Y22" s="63"/>
      <c r="Z22" s="63"/>
      <c r="AA22" s="63"/>
      <c r="AB22" s="63"/>
      <c r="AC22" s="63"/>
      <c r="AD22" s="63"/>
      <c r="AF22" s="60"/>
    </row>
    <row r="23" spans="1:32">
      <c r="A23" t="s">
        <v>298</v>
      </c>
      <c r="Q23" s="63"/>
      <c r="R23" s="63"/>
      <c r="S23" s="63"/>
      <c r="T23" s="63"/>
      <c r="U23" s="63"/>
      <c r="V23" s="63"/>
      <c r="W23" s="63"/>
      <c r="X23" s="63"/>
      <c r="Y23" s="63"/>
      <c r="Z23" s="63"/>
      <c r="AA23" s="63"/>
      <c r="AB23" s="63"/>
      <c r="AC23" s="63"/>
      <c r="AD23" s="63"/>
      <c r="AF23" s="60"/>
    </row>
    <row r="24" spans="1:32">
      <c r="A24" t="s">
        <v>1331</v>
      </c>
      <c r="B24" s="55" t="str">
        <f>RIGHT(B31,LEN(B31)-FIND(" ",B31))</f>
        <v>BravoSolution</v>
      </c>
      <c r="C24" s="55" t="str">
        <f t="shared" ref="C24:O24" si="0">RIGHT(C31,LEN(C31)-FIND(" ",C31))</f>
        <v>Determine</v>
      </c>
      <c r="D24" s="55" t="str">
        <f t="shared" si="0"/>
        <v>GEP</v>
      </c>
      <c r="E24" s="55" t="str">
        <f t="shared" si="0"/>
        <v>iValua</v>
      </c>
      <c r="F24" s="55" t="str">
        <f t="shared" si="0"/>
        <v>Jaggaer</v>
      </c>
      <c r="G24" s="55" t="str">
        <f t="shared" si="0"/>
        <v>SAP Ariba</v>
      </c>
      <c r="H24" s="55" t="str">
        <f t="shared" si="0"/>
        <v>Sievo</v>
      </c>
      <c r="I24" s="55" t="str">
        <f t="shared" si="0"/>
        <v>Spendency</v>
      </c>
      <c r="J24" s="55" t="str">
        <f t="shared" si="0"/>
        <v>SpendHQ</v>
      </c>
      <c r="K24" s="55" t="str">
        <f t="shared" si="0"/>
        <v>Zycus</v>
      </c>
      <c r="L24" s="55" t="str">
        <f t="shared" si="0"/>
        <v>AnyData</v>
      </c>
      <c r="M24" s="55" t="str">
        <f t="shared" si="0"/>
        <v>Opera BIQ</v>
      </c>
      <c r="N24" s="55" t="str">
        <f t="shared" si="0"/>
        <v>Simfoni</v>
      </c>
      <c r="O24" s="55" t="str">
        <f t="shared" si="0"/>
        <v>Synertrade</v>
      </c>
      <c r="Q24" s="63"/>
      <c r="R24" s="63"/>
      <c r="S24" s="63"/>
      <c r="T24" s="63"/>
      <c r="U24" s="63"/>
      <c r="V24" s="63"/>
      <c r="W24" s="63"/>
      <c r="X24" s="63"/>
      <c r="Y24" s="63"/>
      <c r="Z24" s="63"/>
      <c r="AA24" s="63"/>
      <c r="AB24" s="63"/>
      <c r="AC24" s="63"/>
      <c r="AD24" s="63"/>
      <c r="AF24" s="60"/>
    </row>
    <row r="25" spans="1:32">
      <c r="A25" t="s">
        <v>298</v>
      </c>
      <c r="Q25" s="63"/>
      <c r="R25" s="63"/>
      <c r="S25" s="63"/>
      <c r="T25" s="63"/>
      <c r="U25" s="63"/>
      <c r="V25" s="63"/>
      <c r="W25" s="63"/>
      <c r="X25" s="63"/>
      <c r="Y25" s="63"/>
      <c r="Z25" s="63"/>
      <c r="AA25" s="63"/>
      <c r="AB25" s="63"/>
      <c r="AC25" s="63"/>
      <c r="AD25" s="63"/>
      <c r="AF25" s="60"/>
    </row>
    <row r="26" spans="1:32">
      <c r="A26" t="s">
        <v>298</v>
      </c>
      <c r="Q26" s="63"/>
      <c r="R26" s="63"/>
      <c r="S26" s="63"/>
      <c r="T26" s="63"/>
      <c r="U26" s="63"/>
      <c r="V26" s="63"/>
      <c r="W26" s="63"/>
      <c r="X26" s="63"/>
      <c r="Y26" s="63"/>
      <c r="Z26" s="63"/>
      <c r="AA26" s="63"/>
      <c r="AB26" s="63"/>
      <c r="AC26" s="63"/>
      <c r="AD26" s="63"/>
      <c r="AF26" s="60"/>
    </row>
    <row r="27" spans="1:32">
      <c r="A27" t="s">
        <v>298</v>
      </c>
      <c r="Q27" s="63"/>
      <c r="R27" s="63"/>
      <c r="S27" s="63"/>
      <c r="T27" s="63"/>
      <c r="U27" s="63"/>
      <c r="V27" s="63"/>
      <c r="W27" s="63"/>
      <c r="X27" s="63"/>
      <c r="Y27" s="63"/>
      <c r="Z27" s="63"/>
      <c r="AA27" s="63"/>
      <c r="AB27" s="63"/>
      <c r="AC27" s="63"/>
      <c r="AD27" s="63"/>
      <c r="AF27" s="60"/>
    </row>
    <row r="28" spans="1:32">
      <c r="A28" t="s">
        <v>298</v>
      </c>
      <c r="Q28" s="63"/>
      <c r="R28" s="63"/>
      <c r="S28" s="63"/>
      <c r="T28" s="63"/>
      <c r="U28" s="63"/>
      <c r="V28" s="63"/>
      <c r="W28" s="63"/>
      <c r="X28" s="63"/>
      <c r="Y28" s="63"/>
      <c r="Z28" s="63"/>
      <c r="AA28" s="63"/>
      <c r="AB28" s="63"/>
      <c r="AC28" s="63"/>
      <c r="AD28" s="63"/>
      <c r="AF28" s="60"/>
    </row>
    <row r="29" spans="1:32">
      <c r="A29" s="59" t="s">
        <v>1296</v>
      </c>
      <c r="Q29" s="63"/>
      <c r="R29" s="63"/>
      <c r="S29" s="63"/>
      <c r="T29" s="63"/>
      <c r="U29" s="63"/>
      <c r="V29" s="63"/>
      <c r="W29" s="63"/>
      <c r="X29" s="63"/>
      <c r="Y29" s="63"/>
      <c r="Z29" s="63"/>
      <c r="AA29" s="63"/>
      <c r="AB29" s="63"/>
      <c r="AC29" s="63"/>
      <c r="AD29" s="63"/>
      <c r="AF29" s="60"/>
    </row>
    <row r="30" spans="1:32">
      <c r="A30" t="s">
        <v>298</v>
      </c>
      <c r="Q30" s="63"/>
      <c r="R30" s="63"/>
      <c r="S30" s="63"/>
      <c r="T30" s="63"/>
      <c r="U30" s="63"/>
      <c r="V30" s="63"/>
      <c r="W30" s="63"/>
      <c r="X30" s="63"/>
      <c r="Y30" s="63"/>
      <c r="Z30" s="63"/>
      <c r="AA30" s="63"/>
      <c r="AB30" s="63"/>
      <c r="AC30" s="63"/>
      <c r="AD30" s="63"/>
      <c r="AF30" s="60"/>
    </row>
    <row r="31" spans="1:32">
      <c r="A31" s="8" t="s">
        <v>23</v>
      </c>
      <c r="B31" s="53" t="s">
        <v>1231</v>
      </c>
      <c r="C31" s="53" t="s">
        <v>1232</v>
      </c>
      <c r="D31" s="53" t="s">
        <v>1233</v>
      </c>
      <c r="E31" s="53" t="s">
        <v>1234</v>
      </c>
      <c r="F31" s="53" t="s">
        <v>1235</v>
      </c>
      <c r="G31" s="53" t="s">
        <v>1236</v>
      </c>
      <c r="H31" s="53" t="s">
        <v>1237</v>
      </c>
      <c r="I31" s="53" t="s">
        <v>1238</v>
      </c>
      <c r="J31" s="53" t="s">
        <v>1239</v>
      </c>
      <c r="K31" s="53" t="s">
        <v>1240</v>
      </c>
      <c r="L31" s="53" t="s">
        <v>1241</v>
      </c>
      <c r="M31" s="53" t="s">
        <v>1289</v>
      </c>
      <c r="N31" s="53" t="s">
        <v>1290</v>
      </c>
      <c r="O31" s="53" t="s">
        <v>1291</v>
      </c>
      <c r="Q31" s="63"/>
      <c r="R31" s="63"/>
      <c r="S31" s="63"/>
      <c r="T31" s="63"/>
      <c r="U31" s="63"/>
      <c r="V31" s="63"/>
      <c r="W31" s="63"/>
      <c r="X31" s="63"/>
      <c r="Y31" s="63"/>
      <c r="Z31" s="63"/>
      <c r="AA31" s="63"/>
      <c r="AB31" s="63"/>
      <c r="AC31" s="63"/>
      <c r="AD31" s="63"/>
      <c r="AF31" s="60"/>
    </row>
    <row r="32" spans="1:32">
      <c r="A32" t="s">
        <v>298</v>
      </c>
      <c r="B32" s="55" t="s">
        <v>298</v>
      </c>
      <c r="C32" s="55" t="s">
        <v>298</v>
      </c>
      <c r="D32" s="55" t="s">
        <v>298</v>
      </c>
      <c r="E32" s="55" t="s">
        <v>298</v>
      </c>
      <c r="F32" s="55" t="s">
        <v>298</v>
      </c>
      <c r="G32" s="55" t="s">
        <v>298</v>
      </c>
      <c r="H32" s="55" t="s">
        <v>298</v>
      </c>
      <c r="I32" s="55" t="s">
        <v>298</v>
      </c>
      <c r="J32" s="55" t="s">
        <v>298</v>
      </c>
      <c r="K32" s="55" t="s">
        <v>298</v>
      </c>
      <c r="L32" s="55" t="s">
        <v>298</v>
      </c>
      <c r="M32" s="55" t="s">
        <v>298</v>
      </c>
      <c r="N32" s="55" t="s">
        <v>298</v>
      </c>
      <c r="O32" s="55" t="s">
        <v>298</v>
      </c>
      <c r="Q32" s="63"/>
      <c r="R32" s="63"/>
      <c r="S32" s="63"/>
      <c r="T32" s="63"/>
      <c r="U32" s="63"/>
      <c r="V32" s="63"/>
      <c r="W32" s="63"/>
      <c r="X32" s="63"/>
      <c r="Y32" s="63"/>
      <c r="Z32" s="63"/>
      <c r="AA32" s="63"/>
      <c r="AB32" s="63"/>
      <c r="AC32" s="63"/>
      <c r="AD32" s="63"/>
      <c r="AF32" s="60"/>
    </row>
    <row r="33" spans="1:32">
      <c r="A33" t="s">
        <v>299</v>
      </c>
      <c r="B33" s="55">
        <v>4</v>
      </c>
      <c r="C33" s="55">
        <v>3</v>
      </c>
      <c r="D33" s="55">
        <v>4</v>
      </c>
      <c r="E33" s="55">
        <v>4</v>
      </c>
      <c r="F33" s="55">
        <v>3</v>
      </c>
      <c r="G33" s="55">
        <v>3</v>
      </c>
      <c r="H33" s="55">
        <v>4</v>
      </c>
      <c r="I33" s="55">
        <v>3</v>
      </c>
      <c r="J33" s="55">
        <v>4</v>
      </c>
      <c r="K33" s="55">
        <v>3</v>
      </c>
      <c r="L33" s="55">
        <v>5</v>
      </c>
      <c r="M33" s="55">
        <v>4</v>
      </c>
      <c r="N33" s="55">
        <v>3</v>
      </c>
      <c r="O33" s="55">
        <v>4</v>
      </c>
      <c r="Q33" s="63">
        <v>9.8039215686274522E-2</v>
      </c>
      <c r="R33" s="63">
        <v>-0.1764705882352941</v>
      </c>
      <c r="S33" s="63">
        <v>9.8039215686274522E-2</v>
      </c>
      <c r="T33" s="63">
        <v>9.8039215686274522E-2</v>
      </c>
      <c r="U33" s="63">
        <v>-0.1764705882352941</v>
      </c>
      <c r="V33" s="63">
        <v>-0.1764705882352941</v>
      </c>
      <c r="W33" s="63">
        <v>9.8039215686274522E-2</v>
      </c>
      <c r="X33" s="63">
        <v>-0.1764705882352941</v>
      </c>
      <c r="Y33" s="63">
        <v>9.8039215686274522E-2</v>
      </c>
      <c r="Z33" s="63">
        <v>-0.1764705882352941</v>
      </c>
      <c r="AA33" s="63">
        <v>0.37254901960784315</v>
      </c>
      <c r="AB33" s="63">
        <v>9.8039215686274522E-2</v>
      </c>
      <c r="AC33" s="63">
        <v>-0.1764705882352941</v>
      </c>
      <c r="AD33" s="63">
        <v>9.8039215686274522E-2</v>
      </c>
      <c r="AF33" s="60">
        <v>3.6428571428571428</v>
      </c>
    </row>
    <row r="34" spans="1:32">
      <c r="A34" t="s">
        <v>300</v>
      </c>
      <c r="B34" s="55">
        <v>3</v>
      </c>
      <c r="C34" s="55">
        <v>2</v>
      </c>
      <c r="D34" s="55">
        <v>3</v>
      </c>
      <c r="E34" s="55">
        <v>3</v>
      </c>
      <c r="F34" s="55">
        <v>3</v>
      </c>
      <c r="G34" s="55">
        <v>2</v>
      </c>
      <c r="H34" s="55">
        <v>3</v>
      </c>
      <c r="I34" s="55">
        <v>2</v>
      </c>
      <c r="J34" s="55">
        <v>4</v>
      </c>
      <c r="K34" s="55">
        <v>3</v>
      </c>
      <c r="L34" s="55">
        <v>4</v>
      </c>
      <c r="M34" s="55">
        <v>3</v>
      </c>
      <c r="N34" s="55">
        <v>3</v>
      </c>
      <c r="O34" s="55">
        <v>4</v>
      </c>
      <c r="Q34" s="63">
        <v>0</v>
      </c>
      <c r="R34" s="63">
        <v>-0.33333333333333331</v>
      </c>
      <c r="S34" s="63">
        <v>0</v>
      </c>
      <c r="T34" s="63">
        <v>0</v>
      </c>
      <c r="U34" s="63">
        <v>0</v>
      </c>
      <c r="V34" s="63">
        <v>-0.33333333333333331</v>
      </c>
      <c r="W34" s="63">
        <v>0</v>
      </c>
      <c r="X34" s="63">
        <v>-0.33333333333333331</v>
      </c>
      <c r="Y34" s="63">
        <v>0.33333333333333331</v>
      </c>
      <c r="Z34" s="63">
        <v>0</v>
      </c>
      <c r="AA34" s="63">
        <v>0.33333333333333331</v>
      </c>
      <c r="AB34" s="63">
        <v>0</v>
      </c>
      <c r="AC34" s="63">
        <v>0</v>
      </c>
      <c r="AD34" s="63">
        <v>0.33333333333333331</v>
      </c>
      <c r="AF34" s="60">
        <v>3</v>
      </c>
    </row>
    <row r="35" spans="1:32">
      <c r="A35" t="s">
        <v>301</v>
      </c>
      <c r="B35" s="55">
        <v>3</v>
      </c>
      <c r="C35" s="55">
        <v>2</v>
      </c>
      <c r="D35" s="55">
        <v>3</v>
      </c>
      <c r="E35" s="55">
        <v>4</v>
      </c>
      <c r="F35" s="55">
        <v>3</v>
      </c>
      <c r="G35" s="55">
        <v>1</v>
      </c>
      <c r="H35" s="55">
        <v>4</v>
      </c>
      <c r="I35" s="55">
        <v>3</v>
      </c>
      <c r="J35" s="55">
        <v>3</v>
      </c>
      <c r="K35" s="55">
        <v>3</v>
      </c>
      <c r="L35" s="55">
        <v>4</v>
      </c>
      <c r="M35" s="55">
        <v>4</v>
      </c>
      <c r="N35" s="55">
        <v>3</v>
      </c>
      <c r="O35" s="55">
        <v>3</v>
      </c>
      <c r="Q35" s="63">
        <v>-2.3255813953488434E-2</v>
      </c>
      <c r="R35" s="63">
        <v>-0.34883720930232565</v>
      </c>
      <c r="S35" s="63">
        <v>-2.3255813953488434E-2</v>
      </c>
      <c r="T35" s="63">
        <v>0.30232558139534876</v>
      </c>
      <c r="U35" s="63">
        <v>-2.3255813953488434E-2</v>
      </c>
      <c r="V35" s="63">
        <v>-0.67441860465116277</v>
      </c>
      <c r="W35" s="63">
        <v>0.30232558139534876</v>
      </c>
      <c r="X35" s="63">
        <v>-2.3255813953488434E-2</v>
      </c>
      <c r="Y35" s="63">
        <v>-2.3255813953488434E-2</v>
      </c>
      <c r="Z35" s="63">
        <v>-2.3255813953488434E-2</v>
      </c>
      <c r="AA35" s="63">
        <v>0.30232558139534876</v>
      </c>
      <c r="AB35" s="63">
        <v>0.30232558139534876</v>
      </c>
      <c r="AC35" s="63">
        <v>-2.3255813953488434E-2</v>
      </c>
      <c r="AD35" s="63">
        <v>-2.3255813953488434E-2</v>
      </c>
      <c r="AF35" s="60">
        <v>3.0714285714285716</v>
      </c>
    </row>
    <row r="36" spans="1:32">
      <c r="A36" t="s">
        <v>302</v>
      </c>
      <c r="B36" s="55">
        <v>3</v>
      </c>
      <c r="C36" s="55">
        <v>1</v>
      </c>
      <c r="D36" s="55">
        <v>3</v>
      </c>
      <c r="E36" s="55">
        <v>3</v>
      </c>
      <c r="F36" s="55">
        <v>3</v>
      </c>
      <c r="G36" s="55">
        <v>2</v>
      </c>
      <c r="H36" s="55">
        <v>4</v>
      </c>
      <c r="I36" s="55">
        <v>0</v>
      </c>
      <c r="J36" s="55">
        <v>2</v>
      </c>
      <c r="K36" s="55">
        <v>2</v>
      </c>
      <c r="L36" s="55">
        <v>5</v>
      </c>
      <c r="M36" s="55">
        <v>4</v>
      </c>
      <c r="N36" s="55">
        <v>4</v>
      </c>
      <c r="O36" s="55">
        <v>4</v>
      </c>
      <c r="Q36" s="63">
        <v>4.9999999999999975E-2</v>
      </c>
      <c r="R36" s="63">
        <v>-0.65</v>
      </c>
      <c r="S36" s="63">
        <v>4.9999999999999975E-2</v>
      </c>
      <c r="T36" s="63">
        <v>4.9999999999999975E-2</v>
      </c>
      <c r="U36" s="63">
        <v>4.9999999999999975E-2</v>
      </c>
      <c r="V36" s="63">
        <v>-0.3</v>
      </c>
      <c r="W36" s="63">
        <v>0.39999999999999997</v>
      </c>
      <c r="X36" s="63">
        <v>-1</v>
      </c>
      <c r="Y36" s="63">
        <v>-0.3</v>
      </c>
      <c r="Z36" s="63">
        <v>-0.3</v>
      </c>
      <c r="AA36" s="63">
        <v>0.75</v>
      </c>
      <c r="AB36" s="63">
        <v>0.39999999999999997</v>
      </c>
      <c r="AC36" s="63">
        <v>0.39999999999999997</v>
      </c>
      <c r="AD36" s="63">
        <v>0.39999999999999997</v>
      </c>
      <c r="AF36" s="60">
        <v>2.8571428571428572</v>
      </c>
    </row>
    <row r="37" spans="1:32">
      <c r="A37" t="s">
        <v>298</v>
      </c>
      <c r="Q37" s="63"/>
      <c r="R37" s="63"/>
      <c r="S37" s="63"/>
      <c r="T37" s="63"/>
      <c r="U37" s="63"/>
      <c r="V37" s="63"/>
      <c r="W37" s="63"/>
      <c r="X37" s="63"/>
      <c r="Y37" s="63"/>
      <c r="Z37" s="63"/>
      <c r="AA37" s="63"/>
      <c r="AB37" s="63"/>
      <c r="AC37" s="63"/>
      <c r="AD37" s="63"/>
      <c r="AF37" s="60" t="e">
        <v>#DIV/0!</v>
      </c>
    </row>
    <row r="38" spans="1:32">
      <c r="A38" t="s">
        <v>303</v>
      </c>
      <c r="B38" s="55">
        <v>3</v>
      </c>
      <c r="C38" s="55">
        <v>2</v>
      </c>
      <c r="D38" s="55">
        <v>3</v>
      </c>
      <c r="E38" s="55">
        <v>3</v>
      </c>
      <c r="F38" s="55">
        <v>3</v>
      </c>
      <c r="G38" s="55">
        <v>3</v>
      </c>
      <c r="H38" s="55">
        <v>3</v>
      </c>
      <c r="I38" s="55">
        <v>2</v>
      </c>
      <c r="J38" s="55">
        <v>3</v>
      </c>
      <c r="K38" s="55">
        <v>3</v>
      </c>
      <c r="L38" s="55">
        <v>4</v>
      </c>
      <c r="M38" s="55">
        <v>5</v>
      </c>
      <c r="N38" s="55">
        <v>3</v>
      </c>
      <c r="O38" s="55">
        <v>3</v>
      </c>
      <c r="Q38" s="63">
        <v>-2.3255813953488434E-2</v>
      </c>
      <c r="R38" s="63">
        <v>-0.34883720930232565</v>
      </c>
      <c r="S38" s="63">
        <v>-2.3255813953488434E-2</v>
      </c>
      <c r="T38" s="63">
        <v>-2.3255813953488434E-2</v>
      </c>
      <c r="U38" s="63">
        <v>-2.3255813953488434E-2</v>
      </c>
      <c r="V38" s="63">
        <v>-2.3255813953488434E-2</v>
      </c>
      <c r="W38" s="63">
        <v>-2.3255813953488434E-2</v>
      </c>
      <c r="X38" s="63">
        <v>-0.34883720930232565</v>
      </c>
      <c r="Y38" s="63">
        <v>-2.3255813953488434E-2</v>
      </c>
      <c r="Z38" s="63">
        <v>-2.3255813953488434E-2</v>
      </c>
      <c r="AA38" s="63">
        <v>0.30232558139534876</v>
      </c>
      <c r="AB38" s="63">
        <v>0.62790697674418594</v>
      </c>
      <c r="AC38" s="63">
        <v>-2.3255813953488434E-2</v>
      </c>
      <c r="AD38" s="63">
        <v>-2.3255813953488434E-2</v>
      </c>
      <c r="AF38" s="60">
        <v>3.0714285714285716</v>
      </c>
    </row>
    <row r="39" spans="1:32">
      <c r="A39" t="s">
        <v>298</v>
      </c>
      <c r="E39" s="55" t="s">
        <v>298</v>
      </c>
      <c r="Q39" s="63"/>
      <c r="R39" s="63"/>
      <c r="S39" s="63"/>
      <c r="T39" s="63"/>
      <c r="U39" s="63"/>
      <c r="V39" s="63"/>
      <c r="W39" s="63"/>
      <c r="X39" s="63"/>
      <c r="Y39" s="63"/>
      <c r="Z39" s="63"/>
      <c r="AA39" s="63"/>
      <c r="AB39" s="63"/>
      <c r="AC39" s="63"/>
      <c r="AD39" s="63"/>
      <c r="AF39" s="60" t="e">
        <v>#DIV/0!</v>
      </c>
    </row>
    <row r="40" spans="1:32">
      <c r="A40" t="s">
        <v>304</v>
      </c>
      <c r="B40" s="55">
        <v>3</v>
      </c>
      <c r="C40" s="55">
        <v>2</v>
      </c>
      <c r="D40" s="55">
        <v>3</v>
      </c>
      <c r="E40" s="55">
        <v>4</v>
      </c>
      <c r="F40" s="55">
        <v>3</v>
      </c>
      <c r="G40" s="55">
        <v>2</v>
      </c>
      <c r="H40" s="55">
        <v>3</v>
      </c>
      <c r="I40" s="55">
        <v>3</v>
      </c>
      <c r="J40" s="55">
        <v>3</v>
      </c>
      <c r="K40" s="55">
        <v>3</v>
      </c>
      <c r="L40" s="55">
        <v>4</v>
      </c>
      <c r="M40" s="55">
        <v>4</v>
      </c>
      <c r="N40" s="55">
        <v>3</v>
      </c>
      <c r="O40" s="55">
        <v>4</v>
      </c>
      <c r="Q40" s="63">
        <v>-4.5454545454545435E-2</v>
      </c>
      <c r="R40" s="63">
        <v>-0.36363636363636365</v>
      </c>
      <c r="S40" s="63">
        <v>-4.5454545454545435E-2</v>
      </c>
      <c r="T40" s="63">
        <v>0.27272727272727276</v>
      </c>
      <c r="U40" s="63">
        <v>-4.5454545454545435E-2</v>
      </c>
      <c r="V40" s="63">
        <v>-0.36363636363636365</v>
      </c>
      <c r="W40" s="63">
        <v>-4.5454545454545435E-2</v>
      </c>
      <c r="X40" s="63">
        <v>-4.5454545454545435E-2</v>
      </c>
      <c r="Y40" s="63">
        <v>-4.5454545454545435E-2</v>
      </c>
      <c r="Z40" s="63">
        <v>-4.5454545454545435E-2</v>
      </c>
      <c r="AA40" s="63">
        <v>0.27272727272727276</v>
      </c>
      <c r="AB40" s="63">
        <v>0.27272727272727276</v>
      </c>
      <c r="AC40" s="63">
        <v>-4.5454545454545435E-2</v>
      </c>
      <c r="AD40" s="63">
        <v>0.27272727272727276</v>
      </c>
      <c r="AF40" s="60">
        <v>3.1428571428571428</v>
      </c>
    </row>
    <row r="41" spans="1:32">
      <c r="A41" t="s">
        <v>298</v>
      </c>
      <c r="E41" s="55" t="s">
        <v>298</v>
      </c>
      <c r="Q41" s="63"/>
      <c r="R41" s="63"/>
      <c r="S41" s="63"/>
      <c r="T41" s="63"/>
      <c r="U41" s="63"/>
      <c r="V41" s="63"/>
      <c r="W41" s="63"/>
      <c r="X41" s="63"/>
      <c r="Y41" s="63"/>
      <c r="Z41" s="63"/>
      <c r="AA41" s="63"/>
      <c r="AB41" s="63"/>
      <c r="AC41" s="63"/>
      <c r="AD41" s="63"/>
      <c r="AF41" s="60" t="e">
        <v>#DIV/0!</v>
      </c>
    </row>
    <row r="42" spans="1:32">
      <c r="A42" t="s">
        <v>149</v>
      </c>
      <c r="B42" s="55">
        <v>4</v>
      </c>
      <c r="C42" s="55">
        <v>2</v>
      </c>
      <c r="D42" s="55">
        <v>3</v>
      </c>
      <c r="E42" s="55">
        <v>3</v>
      </c>
      <c r="F42" s="55">
        <v>3</v>
      </c>
      <c r="G42" s="55">
        <v>2</v>
      </c>
      <c r="H42" s="55">
        <v>3</v>
      </c>
      <c r="I42" s="55">
        <v>1</v>
      </c>
      <c r="J42" s="55">
        <v>3</v>
      </c>
      <c r="K42" s="55">
        <v>3</v>
      </c>
      <c r="L42" s="55">
        <v>4</v>
      </c>
      <c r="M42" s="55">
        <v>4</v>
      </c>
      <c r="N42" s="55">
        <v>3</v>
      </c>
      <c r="O42" s="55">
        <v>3</v>
      </c>
      <c r="Q42" s="63">
        <v>0.36585365853658547</v>
      </c>
      <c r="R42" s="63">
        <v>-0.31707317073170727</v>
      </c>
      <c r="S42" s="63">
        <v>2.4390243902439091E-2</v>
      </c>
      <c r="T42" s="63" t="e">
        <v>#REF!</v>
      </c>
      <c r="U42" s="63">
        <v>2.4390243902439091E-2</v>
      </c>
      <c r="V42" s="63">
        <v>-0.31707317073170727</v>
      </c>
      <c r="W42" s="63">
        <v>2.4390243902439091E-2</v>
      </c>
      <c r="X42" s="63">
        <v>-0.65853658536585369</v>
      </c>
      <c r="Y42" s="63">
        <v>2.4390243902439091E-2</v>
      </c>
      <c r="Z42" s="63">
        <v>2.4390243902439091E-2</v>
      </c>
      <c r="AA42" s="63">
        <v>0.36585365853658547</v>
      </c>
      <c r="AB42" s="63">
        <v>0.36585365853658547</v>
      </c>
      <c r="AC42" s="63">
        <v>2.4390243902439091E-2</v>
      </c>
      <c r="AD42" s="63">
        <v>2.4390243902439091E-2</v>
      </c>
      <c r="AF42" s="60">
        <v>2.9285714285714284</v>
      </c>
    </row>
    <row r="43" spans="1:32">
      <c r="A43" t="s">
        <v>298</v>
      </c>
      <c r="Q43" s="63"/>
      <c r="R43" s="63"/>
      <c r="S43" s="63"/>
      <c r="T43" s="63"/>
      <c r="U43" s="63"/>
      <c r="V43" s="63"/>
      <c r="W43" s="63"/>
      <c r="X43" s="63"/>
      <c r="Y43" s="63"/>
      <c r="Z43" s="63"/>
      <c r="AA43" s="63"/>
      <c r="AB43" s="63"/>
      <c r="AC43" s="63"/>
      <c r="AD43" s="63"/>
      <c r="AF43" s="60" t="e">
        <v>#DIV/0!</v>
      </c>
    </row>
    <row r="44" spans="1:32">
      <c r="A44" t="s">
        <v>305</v>
      </c>
      <c r="B44" s="55">
        <v>3</v>
      </c>
      <c r="C44" s="55">
        <v>2</v>
      </c>
      <c r="D44" s="55">
        <v>3</v>
      </c>
      <c r="E44" s="55">
        <v>3</v>
      </c>
      <c r="F44" s="55">
        <v>3</v>
      </c>
      <c r="G44" s="55">
        <v>2</v>
      </c>
      <c r="H44" s="55">
        <v>3</v>
      </c>
      <c r="I44" s="55">
        <v>0</v>
      </c>
      <c r="J44" s="55">
        <v>2</v>
      </c>
      <c r="K44" s="55">
        <v>2</v>
      </c>
      <c r="L44" s="55">
        <v>4</v>
      </c>
      <c r="M44" s="55">
        <v>3</v>
      </c>
      <c r="N44" s="55">
        <v>3</v>
      </c>
      <c r="O44" s="55">
        <v>3</v>
      </c>
      <c r="Q44" s="63">
        <v>0.16666666666666657</v>
      </c>
      <c r="R44" s="63">
        <v>-0.22222222222222229</v>
      </c>
      <c r="S44" s="63">
        <v>0.16666666666666657</v>
      </c>
      <c r="T44" s="63">
        <v>0.16666666666666657</v>
      </c>
      <c r="U44" s="63">
        <v>0.16666666666666657</v>
      </c>
      <c r="V44" s="63">
        <v>-0.22222222222222229</v>
      </c>
      <c r="W44" s="63">
        <v>0.16666666666666657</v>
      </c>
      <c r="X44" s="63">
        <v>-1</v>
      </c>
      <c r="Y44" s="63">
        <v>-0.22222222222222229</v>
      </c>
      <c r="Z44" s="63">
        <v>-0.22222222222222229</v>
      </c>
      <c r="AA44" s="63">
        <v>0.55555555555555547</v>
      </c>
      <c r="AB44" s="63">
        <v>0.16666666666666657</v>
      </c>
      <c r="AC44" s="63">
        <v>0.16666666666666657</v>
      </c>
      <c r="AD44" s="63">
        <v>0.16666666666666657</v>
      </c>
      <c r="AF44" s="60">
        <v>2.5714285714285716</v>
      </c>
    </row>
    <row r="45" spans="1:32">
      <c r="A45" s="66" t="s">
        <v>1297</v>
      </c>
      <c r="B45" s="67">
        <v>3.25</v>
      </c>
      <c r="C45" s="67">
        <v>2</v>
      </c>
      <c r="D45" s="67">
        <v>3.125</v>
      </c>
      <c r="E45" s="67">
        <v>3.375</v>
      </c>
      <c r="F45" s="67">
        <v>3</v>
      </c>
      <c r="G45" s="67">
        <v>2.125</v>
      </c>
      <c r="H45" s="67">
        <v>3.375</v>
      </c>
      <c r="I45" s="67">
        <v>1.75</v>
      </c>
      <c r="J45" s="67">
        <v>3</v>
      </c>
      <c r="K45" s="67">
        <v>2.75</v>
      </c>
      <c r="L45" s="67">
        <v>4.25</v>
      </c>
      <c r="M45" s="67">
        <v>3.875</v>
      </c>
      <c r="N45" s="67">
        <v>3.125</v>
      </c>
      <c r="O45" s="67">
        <v>3.5</v>
      </c>
      <c r="Q45" s="63">
        <v>7.0588235294117688E-2</v>
      </c>
      <c r="R45" s="63">
        <v>-0.34117647058823525</v>
      </c>
      <c r="S45" s="63">
        <v>2.9411764705882398E-2</v>
      </c>
      <c r="T45" s="63">
        <v>0.11176470588235299</v>
      </c>
      <c r="U45" s="63">
        <v>-1.1764705882352899E-2</v>
      </c>
      <c r="V45" s="63">
        <v>-0.3</v>
      </c>
      <c r="W45" s="63">
        <v>0.11176470588235299</v>
      </c>
      <c r="X45" s="63">
        <v>-0.42352941176470588</v>
      </c>
      <c r="Y45" s="63">
        <v>-1.1764705882352899E-2</v>
      </c>
      <c r="Z45" s="63">
        <v>-9.4117647058823486E-2</v>
      </c>
      <c r="AA45" s="63">
        <v>0.40000000000000008</v>
      </c>
      <c r="AB45" s="63">
        <v>0.27647058823529419</v>
      </c>
      <c r="AC45" s="63">
        <v>2.9411764705882398E-2</v>
      </c>
      <c r="AD45" s="63">
        <v>0.15294117647058827</v>
      </c>
      <c r="AF45" s="60">
        <v>3.0357142857142856</v>
      </c>
    </row>
    <row r="46" spans="1:32">
      <c r="A46" t="s">
        <v>298</v>
      </c>
      <c r="Q46" s="63"/>
      <c r="R46" s="63"/>
      <c r="S46" s="63"/>
      <c r="T46" s="63"/>
      <c r="U46" s="63"/>
      <c r="V46" s="63"/>
      <c r="W46" s="63"/>
      <c r="X46" s="63"/>
      <c r="Y46" s="63"/>
      <c r="Z46" s="63"/>
      <c r="AA46" s="63"/>
      <c r="AB46" s="63"/>
      <c r="AC46" s="63"/>
      <c r="AD46" s="63"/>
      <c r="AF46" s="60" t="e">
        <v>#DIV/0!</v>
      </c>
    </row>
    <row r="47" spans="1:32">
      <c r="A47" t="s">
        <v>298</v>
      </c>
      <c r="Q47" s="63"/>
      <c r="R47" s="63"/>
      <c r="S47" s="63"/>
      <c r="T47" s="63"/>
      <c r="U47" s="63"/>
      <c r="V47" s="63"/>
      <c r="W47" s="63"/>
      <c r="X47" s="63"/>
      <c r="Y47" s="63"/>
      <c r="Z47" s="63"/>
      <c r="AA47" s="63"/>
      <c r="AB47" s="63"/>
      <c r="AC47" s="63"/>
      <c r="AD47" s="63"/>
      <c r="AF47" s="60" t="e">
        <v>#DIV/0!</v>
      </c>
    </row>
    <row r="48" spans="1:32">
      <c r="A48" s="8" t="s">
        <v>24</v>
      </c>
      <c r="B48" s="53" t="s">
        <v>1231</v>
      </c>
      <c r="C48" s="53" t="s">
        <v>1232</v>
      </c>
      <c r="D48" s="53" t="s">
        <v>1233</v>
      </c>
      <c r="E48" s="53" t="s">
        <v>1234</v>
      </c>
      <c r="F48" s="53" t="s">
        <v>1235</v>
      </c>
      <c r="G48" s="53" t="s">
        <v>1236</v>
      </c>
      <c r="H48" s="53" t="s">
        <v>1237</v>
      </c>
      <c r="I48" s="53" t="s">
        <v>1238</v>
      </c>
      <c r="J48" s="53" t="s">
        <v>1239</v>
      </c>
      <c r="K48" s="53" t="s">
        <v>1240</v>
      </c>
      <c r="L48" s="53" t="s">
        <v>1241</v>
      </c>
      <c r="M48" s="53" t="s">
        <v>1289</v>
      </c>
      <c r="N48" s="53" t="s">
        <v>1290</v>
      </c>
      <c r="O48" s="53" t="s">
        <v>1291</v>
      </c>
      <c r="Q48" s="63"/>
      <c r="R48" s="63"/>
      <c r="S48" s="63"/>
      <c r="T48" s="63"/>
      <c r="U48" s="63"/>
      <c r="V48" s="63"/>
      <c r="W48" s="63"/>
      <c r="X48" s="63"/>
      <c r="Y48" s="63"/>
      <c r="Z48" s="63"/>
      <c r="AA48" s="63"/>
      <c r="AB48" s="63"/>
      <c r="AC48" s="63"/>
      <c r="AD48" s="63"/>
      <c r="AF48" s="60" t="e">
        <v>#DIV/0!</v>
      </c>
    </row>
    <row r="49" spans="1:32">
      <c r="A49" t="s">
        <v>298</v>
      </c>
      <c r="Q49" s="63"/>
      <c r="R49" s="63"/>
      <c r="S49" s="63"/>
      <c r="T49" s="63"/>
      <c r="U49" s="63"/>
      <c r="V49" s="63"/>
      <c r="W49" s="63"/>
      <c r="X49" s="63"/>
      <c r="Y49" s="63"/>
      <c r="Z49" s="63"/>
      <c r="AA49" s="63"/>
      <c r="AB49" s="63"/>
      <c r="AC49" s="63"/>
      <c r="AD49" s="63"/>
      <c r="AF49" s="60" t="e">
        <v>#DIV/0!</v>
      </c>
    </row>
    <row r="50" spans="1:32">
      <c r="A50" t="s">
        <v>306</v>
      </c>
      <c r="B50" s="55">
        <v>4</v>
      </c>
      <c r="C50" s="55">
        <v>3</v>
      </c>
      <c r="D50" s="55">
        <v>4</v>
      </c>
      <c r="E50" s="55">
        <v>4</v>
      </c>
      <c r="F50" s="55">
        <v>3</v>
      </c>
      <c r="G50" s="55">
        <v>3</v>
      </c>
      <c r="H50" s="55">
        <v>4</v>
      </c>
      <c r="I50" s="55">
        <v>4</v>
      </c>
      <c r="J50" s="55">
        <v>3</v>
      </c>
      <c r="K50" s="55">
        <v>3</v>
      </c>
      <c r="L50" s="55">
        <v>4</v>
      </c>
      <c r="M50" s="55">
        <v>3</v>
      </c>
      <c r="N50" s="55">
        <v>3</v>
      </c>
      <c r="O50" s="55">
        <v>3</v>
      </c>
      <c r="Q50" s="63">
        <v>0.16666666666666674</v>
      </c>
      <c r="R50" s="63">
        <v>-0.12499999999999994</v>
      </c>
      <c r="S50" s="63">
        <v>0.16666666666666674</v>
      </c>
      <c r="T50" s="63">
        <v>0.16666666666666674</v>
      </c>
      <c r="U50" s="63">
        <v>-0.12499999999999994</v>
      </c>
      <c r="V50" s="63">
        <v>-0.12499999999999994</v>
      </c>
      <c r="W50" s="63">
        <v>0.16666666666666674</v>
      </c>
      <c r="X50" s="63">
        <v>0.16666666666666674</v>
      </c>
      <c r="Y50" s="63">
        <v>-0.12499999999999994</v>
      </c>
      <c r="Z50" s="63">
        <v>-0.12499999999999994</v>
      </c>
      <c r="AA50" s="63">
        <v>0.16666666666666674</v>
      </c>
      <c r="AB50" s="63">
        <v>-0.12499999999999994</v>
      </c>
      <c r="AC50" s="63">
        <v>-0.12499999999999994</v>
      </c>
      <c r="AD50" s="63">
        <v>-0.12499999999999994</v>
      </c>
      <c r="AF50" s="60">
        <v>3.4285714285714284</v>
      </c>
    </row>
    <row r="51" spans="1:32">
      <c r="A51" t="s">
        <v>307</v>
      </c>
      <c r="B51" s="55">
        <v>3</v>
      </c>
      <c r="C51" s="55">
        <v>2</v>
      </c>
      <c r="D51" s="55">
        <v>3</v>
      </c>
      <c r="E51" s="55">
        <v>3</v>
      </c>
      <c r="F51" s="55">
        <v>3</v>
      </c>
      <c r="G51" s="55">
        <v>3</v>
      </c>
      <c r="H51" s="55">
        <v>4</v>
      </c>
      <c r="I51" s="55">
        <v>3</v>
      </c>
      <c r="J51" s="55">
        <v>2</v>
      </c>
      <c r="K51" s="55">
        <v>3</v>
      </c>
      <c r="L51" s="55">
        <v>3</v>
      </c>
      <c r="M51" s="55">
        <v>0</v>
      </c>
      <c r="N51" s="55">
        <v>3</v>
      </c>
      <c r="O51" s="55">
        <v>2</v>
      </c>
      <c r="Q51" s="63"/>
      <c r="R51" s="63"/>
      <c r="S51" s="63"/>
      <c r="T51" s="63"/>
      <c r="U51" s="63"/>
      <c r="V51" s="63"/>
      <c r="W51" s="63"/>
      <c r="X51" s="63"/>
      <c r="Y51" s="63"/>
      <c r="Z51" s="63"/>
      <c r="AA51" s="63"/>
      <c r="AB51" s="63"/>
      <c r="AC51" s="63"/>
      <c r="AD51" s="63"/>
      <c r="AF51" s="60">
        <v>2.6428571428571428</v>
      </c>
    </row>
    <row r="52" spans="1:32">
      <c r="A52" t="s">
        <v>308</v>
      </c>
      <c r="B52" s="55">
        <v>2</v>
      </c>
      <c r="C52" s="55">
        <v>2</v>
      </c>
      <c r="D52" s="55">
        <v>3</v>
      </c>
      <c r="E52" s="55">
        <v>3</v>
      </c>
      <c r="F52" s="55">
        <v>3</v>
      </c>
      <c r="G52" s="55">
        <v>3</v>
      </c>
      <c r="H52" s="55">
        <v>2</v>
      </c>
      <c r="I52" s="55">
        <v>0</v>
      </c>
      <c r="J52" s="55">
        <v>2</v>
      </c>
      <c r="K52" s="55">
        <v>3</v>
      </c>
      <c r="L52" s="55">
        <v>1</v>
      </c>
      <c r="M52" s="55">
        <v>0</v>
      </c>
      <c r="N52" s="55">
        <v>1</v>
      </c>
      <c r="O52" s="55">
        <v>2</v>
      </c>
      <c r="Q52" s="63">
        <v>3.7037037037037021E-2</v>
      </c>
      <c r="R52" s="63">
        <v>3.7037037037037021E-2</v>
      </c>
      <c r="S52" s="63">
        <v>0.55555555555555558</v>
      </c>
      <c r="T52" s="63">
        <v>0.55555555555555558</v>
      </c>
      <c r="U52" s="63">
        <v>0.55555555555555558</v>
      </c>
      <c r="V52" s="63">
        <v>0.55555555555555558</v>
      </c>
      <c r="W52" s="63">
        <v>3.7037037037037021E-2</v>
      </c>
      <c r="X52" s="63">
        <v>-1</v>
      </c>
      <c r="Y52" s="63">
        <v>3.7037037037037021E-2</v>
      </c>
      <c r="Z52" s="63">
        <v>0.55555555555555558</v>
      </c>
      <c r="AA52" s="63">
        <v>-0.48148148148148151</v>
      </c>
      <c r="AB52" s="63">
        <v>-1</v>
      </c>
      <c r="AC52" s="63">
        <v>-0.48148148148148151</v>
      </c>
      <c r="AD52" s="63">
        <v>3.7037037037037021E-2</v>
      </c>
      <c r="AF52" s="60">
        <v>1.9285714285714286</v>
      </c>
    </row>
    <row r="53" spans="1:32">
      <c r="A53" t="s">
        <v>309</v>
      </c>
      <c r="B53" s="55">
        <v>3</v>
      </c>
      <c r="C53" s="55">
        <v>2</v>
      </c>
      <c r="D53" s="55">
        <v>3</v>
      </c>
      <c r="E53" s="55">
        <v>3</v>
      </c>
      <c r="F53" s="55">
        <v>3</v>
      </c>
      <c r="G53" s="55">
        <v>2</v>
      </c>
      <c r="H53" s="55">
        <v>3</v>
      </c>
      <c r="I53" s="55">
        <v>3</v>
      </c>
      <c r="J53" s="55">
        <v>3</v>
      </c>
      <c r="K53" s="55">
        <v>3</v>
      </c>
      <c r="L53" s="55">
        <v>3</v>
      </c>
      <c r="M53" s="55">
        <v>3</v>
      </c>
      <c r="N53" s="55">
        <v>4</v>
      </c>
      <c r="O53" s="55">
        <v>3</v>
      </c>
      <c r="Q53" s="63">
        <v>2.4390243902439091E-2</v>
      </c>
      <c r="R53" s="63">
        <v>-0.31707317073170727</v>
      </c>
      <c r="S53" s="63">
        <v>2.4390243902439091E-2</v>
      </c>
      <c r="T53" s="63">
        <v>2.4390243902439091E-2</v>
      </c>
      <c r="U53" s="63">
        <v>2.4390243902439091E-2</v>
      </c>
      <c r="V53" s="63">
        <v>-0.31707317073170727</v>
      </c>
      <c r="W53" s="63">
        <v>2.4390243902439091E-2</v>
      </c>
      <c r="X53" s="63">
        <v>2.4390243902439091E-2</v>
      </c>
      <c r="Y53" s="63">
        <v>2.4390243902439091E-2</v>
      </c>
      <c r="Z53" s="63">
        <v>2.4390243902439091E-2</v>
      </c>
      <c r="AA53" s="63">
        <v>2.4390243902439091E-2</v>
      </c>
      <c r="AB53" s="63">
        <v>2.4390243902439091E-2</v>
      </c>
      <c r="AC53" s="63">
        <v>0.36585365853658547</v>
      </c>
      <c r="AD53" s="63">
        <v>2.4390243902439091E-2</v>
      </c>
      <c r="AF53" s="60">
        <v>2.9285714285714284</v>
      </c>
    </row>
    <row r="54" spans="1:32">
      <c r="A54" t="s">
        <v>310</v>
      </c>
      <c r="B54" s="55">
        <v>3</v>
      </c>
      <c r="C54" s="55">
        <v>2</v>
      </c>
      <c r="D54" s="55">
        <v>3</v>
      </c>
      <c r="E54" s="55">
        <v>3</v>
      </c>
      <c r="F54" s="55">
        <v>2</v>
      </c>
      <c r="G54" s="55">
        <v>2</v>
      </c>
      <c r="H54" s="55">
        <v>3</v>
      </c>
      <c r="I54" s="55">
        <v>0</v>
      </c>
      <c r="J54" s="55">
        <v>2</v>
      </c>
      <c r="K54" s="55">
        <v>3</v>
      </c>
      <c r="L54" s="55">
        <v>3</v>
      </c>
      <c r="M54" s="55">
        <v>3</v>
      </c>
      <c r="N54" s="55">
        <v>2</v>
      </c>
      <c r="O54" s="55">
        <v>3</v>
      </c>
      <c r="Q54" s="63">
        <v>0.23529411764705893</v>
      </c>
      <c r="R54" s="63">
        <v>-0.17647058823529405</v>
      </c>
      <c r="S54" s="63">
        <v>0.23529411764705893</v>
      </c>
      <c r="T54" s="63">
        <v>0.23529411764705893</v>
      </c>
      <c r="U54" s="63">
        <v>-0.17647058823529405</v>
      </c>
      <c r="V54" s="63">
        <v>-0.17647058823529405</v>
      </c>
      <c r="W54" s="63">
        <v>0.23529411764705893</v>
      </c>
      <c r="X54" s="63">
        <v>-1</v>
      </c>
      <c r="Y54" s="63">
        <v>-0.17647058823529405</v>
      </c>
      <c r="Z54" s="63">
        <v>0.23529411764705893</v>
      </c>
      <c r="AA54" s="63">
        <v>0.23529411764705893</v>
      </c>
      <c r="AB54" s="63">
        <v>0.23529411764705893</v>
      </c>
      <c r="AC54" s="63">
        <v>-0.17647058823529405</v>
      </c>
      <c r="AD54" s="63">
        <v>0.23529411764705893</v>
      </c>
      <c r="AF54" s="60">
        <v>2.4285714285714284</v>
      </c>
    </row>
    <row r="55" spans="1:32">
      <c r="A55" t="s">
        <v>298</v>
      </c>
      <c r="Q55" s="63"/>
      <c r="R55" s="63"/>
      <c r="S55" s="63"/>
      <c r="T55" s="63"/>
      <c r="U55" s="63"/>
      <c r="V55" s="63"/>
      <c r="W55" s="63"/>
      <c r="X55" s="63"/>
      <c r="Y55" s="63"/>
      <c r="Z55" s="63"/>
      <c r="AA55" s="63"/>
      <c r="AB55" s="63"/>
      <c r="AC55" s="63"/>
      <c r="AD55" s="63"/>
      <c r="AF55" s="60" t="e">
        <v>#DIV/0!</v>
      </c>
    </row>
    <row r="56" spans="1:32">
      <c r="A56" t="s">
        <v>311</v>
      </c>
      <c r="B56" s="55">
        <v>3</v>
      </c>
      <c r="C56" s="55">
        <v>2</v>
      </c>
      <c r="D56" s="55">
        <v>3</v>
      </c>
      <c r="E56" s="55">
        <v>3</v>
      </c>
      <c r="F56" s="55">
        <v>3</v>
      </c>
      <c r="G56" s="55">
        <v>2</v>
      </c>
      <c r="H56" s="55">
        <v>4</v>
      </c>
      <c r="I56" s="55">
        <v>0</v>
      </c>
      <c r="J56" s="55">
        <v>3</v>
      </c>
      <c r="K56" s="55">
        <v>3</v>
      </c>
      <c r="L56" s="55">
        <v>2</v>
      </c>
      <c r="M56" s="55">
        <v>2</v>
      </c>
      <c r="N56" s="55">
        <v>2</v>
      </c>
      <c r="O56" s="55">
        <v>1</v>
      </c>
      <c r="Q56" s="63">
        <v>0.27272727272727271</v>
      </c>
      <c r="R56" s="63">
        <v>-0.15151515151515155</v>
      </c>
      <c r="S56" s="63">
        <v>0.27272727272727271</v>
      </c>
      <c r="T56" s="63">
        <v>0.27272727272727271</v>
      </c>
      <c r="U56" s="63">
        <v>0.27272727272727271</v>
      </c>
      <c r="V56" s="63">
        <v>-0.15151515151515155</v>
      </c>
      <c r="W56" s="63">
        <v>0.69696969696969691</v>
      </c>
      <c r="X56" s="63">
        <v>-1</v>
      </c>
      <c r="Y56" s="63">
        <v>0.27272727272727271</v>
      </c>
      <c r="Z56" s="63">
        <v>0.27272727272727271</v>
      </c>
      <c r="AA56" s="63">
        <v>-0.15151515151515155</v>
      </c>
      <c r="AB56" s="63">
        <v>-0.15151515151515155</v>
      </c>
      <c r="AC56" s="63">
        <v>-0.15151515151515155</v>
      </c>
      <c r="AD56" s="63">
        <v>-0.5757575757575758</v>
      </c>
      <c r="AF56" s="60">
        <v>2.3571428571428572</v>
      </c>
    </row>
    <row r="57" spans="1:32">
      <c r="A57" t="s">
        <v>515</v>
      </c>
      <c r="B57" s="55">
        <v>3</v>
      </c>
      <c r="C57" s="55">
        <v>2</v>
      </c>
      <c r="D57" s="55">
        <v>3</v>
      </c>
      <c r="E57" s="55">
        <v>3</v>
      </c>
      <c r="F57" s="55">
        <v>3</v>
      </c>
      <c r="G57" s="55">
        <v>3</v>
      </c>
      <c r="H57" s="55">
        <v>3</v>
      </c>
      <c r="I57" s="55">
        <v>3</v>
      </c>
      <c r="J57" s="55">
        <v>3</v>
      </c>
      <c r="K57" s="55">
        <v>3</v>
      </c>
      <c r="L57" s="55">
        <v>2</v>
      </c>
      <c r="M57" s="55">
        <v>0</v>
      </c>
      <c r="N57" s="55">
        <v>3</v>
      </c>
      <c r="O57" s="55">
        <v>2</v>
      </c>
      <c r="Q57" s="63">
        <v>0.16666666666666657</v>
      </c>
      <c r="R57" s="63">
        <v>-0.22222222222222229</v>
      </c>
      <c r="S57" s="63">
        <v>0.16666666666666657</v>
      </c>
      <c r="T57" s="63">
        <v>0.16666666666666657</v>
      </c>
      <c r="U57" s="63">
        <v>0.16666666666666657</v>
      </c>
      <c r="V57" s="63">
        <v>0.16666666666666657</v>
      </c>
      <c r="W57" s="63">
        <v>0.16666666666666657</v>
      </c>
      <c r="X57" s="63">
        <v>0.16666666666666657</v>
      </c>
      <c r="Y57" s="63">
        <v>0.16666666666666657</v>
      </c>
      <c r="Z57" s="63">
        <v>0.16666666666666657</v>
      </c>
      <c r="AA57" s="63">
        <v>-0.22222222222222229</v>
      </c>
      <c r="AB57" s="63">
        <v>-1</v>
      </c>
      <c r="AC57" s="63">
        <v>0.16666666666666657</v>
      </c>
      <c r="AD57" s="63">
        <v>-0.22222222222222229</v>
      </c>
      <c r="AF57" s="60">
        <v>2.5714285714285716</v>
      </c>
    </row>
    <row r="58" spans="1:32">
      <c r="A58" t="s">
        <v>313</v>
      </c>
      <c r="B58" s="55">
        <v>3</v>
      </c>
      <c r="C58" s="55">
        <v>3</v>
      </c>
      <c r="D58" s="55">
        <v>4</v>
      </c>
      <c r="E58" s="55">
        <v>3</v>
      </c>
      <c r="F58" s="55">
        <v>3</v>
      </c>
      <c r="G58" s="55">
        <v>2</v>
      </c>
      <c r="H58" s="55">
        <v>4</v>
      </c>
      <c r="I58" s="55">
        <v>3</v>
      </c>
      <c r="J58" s="55">
        <v>4</v>
      </c>
      <c r="K58" s="55">
        <v>3</v>
      </c>
      <c r="L58" s="55">
        <v>4</v>
      </c>
      <c r="M58" s="55">
        <v>2</v>
      </c>
      <c r="N58" s="55">
        <v>2</v>
      </c>
      <c r="O58" s="55">
        <v>2</v>
      </c>
      <c r="Q58" s="63">
        <v>0</v>
      </c>
      <c r="R58" s="63">
        <v>0</v>
      </c>
      <c r="S58" s="63">
        <v>0.33333333333333331</v>
      </c>
      <c r="T58" s="63">
        <v>0</v>
      </c>
      <c r="U58" s="63">
        <v>0</v>
      </c>
      <c r="V58" s="63">
        <v>-0.33333333333333331</v>
      </c>
      <c r="W58" s="63">
        <v>0.33333333333333331</v>
      </c>
      <c r="X58" s="63">
        <v>0</v>
      </c>
      <c r="Y58" s="63">
        <v>0.33333333333333331</v>
      </c>
      <c r="Z58" s="63">
        <v>0</v>
      </c>
      <c r="AA58" s="63">
        <v>0.33333333333333331</v>
      </c>
      <c r="AB58" s="63">
        <v>-0.33333333333333331</v>
      </c>
      <c r="AC58" s="63">
        <v>-0.33333333333333331</v>
      </c>
      <c r="AD58" s="63">
        <v>-0.33333333333333331</v>
      </c>
      <c r="AF58" s="60">
        <v>3</v>
      </c>
    </row>
    <row r="59" spans="1:32">
      <c r="A59" t="s">
        <v>298</v>
      </c>
      <c r="Q59" s="63"/>
      <c r="R59" s="63"/>
      <c r="S59" s="63"/>
      <c r="T59" s="63"/>
      <c r="U59" s="63"/>
      <c r="V59" s="63"/>
      <c r="W59" s="63"/>
      <c r="X59" s="63"/>
      <c r="Y59" s="63"/>
      <c r="Z59" s="63"/>
      <c r="AA59" s="63"/>
      <c r="AB59" s="63"/>
      <c r="AC59" s="63"/>
      <c r="AD59" s="63"/>
      <c r="AF59" s="60" t="e">
        <v>#DIV/0!</v>
      </c>
    </row>
    <row r="60" spans="1:32">
      <c r="A60" t="s">
        <v>314</v>
      </c>
      <c r="B60" s="55">
        <v>3</v>
      </c>
      <c r="C60" s="55">
        <v>3</v>
      </c>
      <c r="D60" s="55">
        <v>3</v>
      </c>
      <c r="E60" s="55">
        <v>3</v>
      </c>
      <c r="F60" s="55">
        <v>3</v>
      </c>
      <c r="G60" s="55">
        <v>4</v>
      </c>
      <c r="H60" s="55">
        <v>4</v>
      </c>
      <c r="I60" s="55">
        <v>4</v>
      </c>
      <c r="J60" s="55">
        <v>4</v>
      </c>
      <c r="K60" s="55">
        <v>3</v>
      </c>
      <c r="L60" s="55">
        <v>4</v>
      </c>
      <c r="M60" s="55">
        <v>5</v>
      </c>
      <c r="N60" s="55">
        <v>4</v>
      </c>
      <c r="O60" s="55">
        <v>3</v>
      </c>
      <c r="Q60" s="63">
        <v>-0.16000000000000003</v>
      </c>
      <c r="R60" s="63">
        <v>-0.16000000000000003</v>
      </c>
      <c r="S60" s="63">
        <v>-0.16000000000000003</v>
      </c>
      <c r="T60" s="63">
        <v>-0.16000000000000003</v>
      </c>
      <c r="U60" s="63">
        <v>-0.16000000000000003</v>
      </c>
      <c r="V60" s="63">
        <v>0.11999999999999994</v>
      </c>
      <c r="W60" s="63">
        <v>0.11999999999999994</v>
      </c>
      <c r="X60" s="63">
        <v>0.11999999999999994</v>
      </c>
      <c r="Y60" s="63">
        <v>0.11999999999999994</v>
      </c>
      <c r="Z60" s="63">
        <v>-0.16000000000000003</v>
      </c>
      <c r="AA60" s="63">
        <v>0.11999999999999994</v>
      </c>
      <c r="AB60" s="63">
        <v>0.39999999999999991</v>
      </c>
      <c r="AC60" s="63">
        <v>0.11999999999999994</v>
      </c>
      <c r="AD60" s="63">
        <v>-0.16000000000000003</v>
      </c>
      <c r="AF60" s="60">
        <v>3.5714285714285716</v>
      </c>
    </row>
    <row r="61" spans="1:32">
      <c r="A61" t="s">
        <v>315</v>
      </c>
      <c r="B61" s="55">
        <v>3</v>
      </c>
      <c r="C61" s="55">
        <v>2</v>
      </c>
      <c r="D61" s="55">
        <v>2</v>
      </c>
      <c r="E61" s="55">
        <v>4</v>
      </c>
      <c r="F61" s="55">
        <v>3</v>
      </c>
      <c r="G61" s="55">
        <v>2</v>
      </c>
      <c r="H61" s="55">
        <v>4</v>
      </c>
      <c r="I61" s="55">
        <v>4</v>
      </c>
      <c r="J61" s="55">
        <v>2</v>
      </c>
      <c r="K61" s="55">
        <v>2</v>
      </c>
      <c r="L61" s="55">
        <v>3</v>
      </c>
      <c r="M61" s="55">
        <v>4</v>
      </c>
      <c r="N61" s="55">
        <v>3</v>
      </c>
      <c r="O61" s="55">
        <v>3</v>
      </c>
      <c r="Q61" s="63">
        <v>2.4390243902439091E-2</v>
      </c>
      <c r="R61" s="63">
        <v>-0.31707317073170727</v>
      </c>
      <c r="S61" s="63">
        <v>-0.31707317073170727</v>
      </c>
      <c r="T61" s="63">
        <v>0.36585365853658547</v>
      </c>
      <c r="U61" s="63">
        <v>2.4390243902439091E-2</v>
      </c>
      <c r="V61" s="63">
        <v>-0.31707317073170727</v>
      </c>
      <c r="W61" s="63">
        <v>0.36585365853658547</v>
      </c>
      <c r="X61" s="63">
        <v>0.36585365853658547</v>
      </c>
      <c r="Y61" s="63">
        <v>-0.31707317073170727</v>
      </c>
      <c r="Z61" s="63">
        <v>-0.31707317073170727</v>
      </c>
      <c r="AA61" s="63">
        <v>2.4390243902439091E-2</v>
      </c>
      <c r="AB61" s="63">
        <v>0.36585365853658547</v>
      </c>
      <c r="AC61" s="63">
        <v>2.4390243902439091E-2</v>
      </c>
      <c r="AD61" s="63">
        <v>2.4390243902439091E-2</v>
      </c>
      <c r="AF61" s="60">
        <v>2.9285714285714284</v>
      </c>
    </row>
    <row r="62" spans="1:32">
      <c r="A62" t="s">
        <v>316</v>
      </c>
      <c r="B62" s="55">
        <v>3</v>
      </c>
      <c r="C62" s="55">
        <v>2</v>
      </c>
      <c r="D62" s="55">
        <v>3</v>
      </c>
      <c r="E62" s="55">
        <v>3</v>
      </c>
      <c r="F62" s="55">
        <v>3</v>
      </c>
      <c r="G62" s="55">
        <v>2</v>
      </c>
      <c r="H62" s="55">
        <v>2</v>
      </c>
      <c r="I62" s="55">
        <v>3</v>
      </c>
      <c r="J62" s="55">
        <v>3</v>
      </c>
      <c r="K62" s="55">
        <v>3</v>
      </c>
      <c r="L62" s="55">
        <v>4</v>
      </c>
      <c r="M62" s="55">
        <v>3</v>
      </c>
      <c r="N62" s="55">
        <v>3</v>
      </c>
      <c r="O62" s="55">
        <v>3</v>
      </c>
      <c r="Q62" s="63">
        <v>4.9999999999999975E-2</v>
      </c>
      <c r="R62" s="63">
        <v>-0.3</v>
      </c>
      <c r="S62" s="63">
        <v>4.9999999999999975E-2</v>
      </c>
      <c r="T62" s="63">
        <v>4.9999999999999975E-2</v>
      </c>
      <c r="U62" s="63">
        <v>4.9999999999999975E-2</v>
      </c>
      <c r="V62" s="63">
        <v>-0.3</v>
      </c>
      <c r="W62" s="63">
        <v>-0.3</v>
      </c>
      <c r="X62" s="63">
        <v>4.9999999999999975E-2</v>
      </c>
      <c r="Y62" s="63">
        <v>4.9999999999999975E-2</v>
      </c>
      <c r="Z62" s="63">
        <v>4.9999999999999975E-2</v>
      </c>
      <c r="AA62" s="63">
        <v>0.39999999999999997</v>
      </c>
      <c r="AB62" s="63">
        <v>4.9999999999999975E-2</v>
      </c>
      <c r="AC62" s="63">
        <v>4.9999999999999975E-2</v>
      </c>
      <c r="AD62" s="63">
        <v>4.9999999999999975E-2</v>
      </c>
      <c r="AF62" s="60">
        <v>2.8571428571428572</v>
      </c>
    </row>
    <row r="63" spans="1:32">
      <c r="A63" t="s">
        <v>135</v>
      </c>
      <c r="B63" s="55">
        <v>3</v>
      </c>
      <c r="C63" s="55">
        <v>2</v>
      </c>
      <c r="D63" s="55">
        <v>2</v>
      </c>
      <c r="E63" s="55">
        <v>3</v>
      </c>
      <c r="F63" s="55">
        <v>4</v>
      </c>
      <c r="G63" s="55">
        <v>2</v>
      </c>
      <c r="H63" s="55">
        <v>4</v>
      </c>
      <c r="I63" s="55">
        <v>4</v>
      </c>
      <c r="J63" s="55">
        <v>3</v>
      </c>
      <c r="K63" s="55">
        <v>3</v>
      </c>
      <c r="L63" s="55">
        <v>3</v>
      </c>
      <c r="M63" s="55">
        <v>3</v>
      </c>
      <c r="N63" s="55">
        <v>2</v>
      </c>
      <c r="O63" s="55">
        <v>2</v>
      </c>
      <c r="Q63" s="63">
        <v>4.9999999999999975E-2</v>
      </c>
      <c r="R63" s="63">
        <v>-0.3</v>
      </c>
      <c r="S63" s="63">
        <v>-0.3</v>
      </c>
      <c r="T63" s="63">
        <v>4.9999999999999975E-2</v>
      </c>
      <c r="U63" s="63">
        <v>0.39999999999999997</v>
      </c>
      <c r="V63" s="63">
        <v>-0.3</v>
      </c>
      <c r="W63" s="63">
        <v>0.39999999999999997</v>
      </c>
      <c r="X63" s="63">
        <v>0.39999999999999997</v>
      </c>
      <c r="Y63" s="63">
        <v>4.9999999999999975E-2</v>
      </c>
      <c r="Z63" s="63">
        <v>4.9999999999999975E-2</v>
      </c>
      <c r="AA63" s="63">
        <v>4.9999999999999975E-2</v>
      </c>
      <c r="AB63" s="63">
        <v>4.9999999999999975E-2</v>
      </c>
      <c r="AC63" s="63">
        <v>-0.3</v>
      </c>
      <c r="AD63" s="63">
        <v>-0.3</v>
      </c>
      <c r="AF63" s="60">
        <v>2.8571428571428572</v>
      </c>
    </row>
    <row r="64" spans="1:32">
      <c r="A64" t="s">
        <v>317</v>
      </c>
      <c r="B64" s="55">
        <v>3</v>
      </c>
      <c r="C64" s="55">
        <v>2</v>
      </c>
      <c r="D64" s="55">
        <v>3</v>
      </c>
      <c r="E64" s="55">
        <v>3</v>
      </c>
      <c r="F64" s="55">
        <v>3</v>
      </c>
      <c r="G64" s="55">
        <v>1</v>
      </c>
      <c r="H64" s="55">
        <v>2</v>
      </c>
      <c r="I64" s="55">
        <v>0</v>
      </c>
      <c r="J64" s="55">
        <v>4</v>
      </c>
      <c r="K64" s="55">
        <v>3</v>
      </c>
      <c r="L64" s="55">
        <v>3</v>
      </c>
      <c r="M64" s="55">
        <v>2</v>
      </c>
      <c r="N64" s="55">
        <v>2</v>
      </c>
      <c r="O64" s="55">
        <v>3</v>
      </c>
      <c r="Q64" s="63">
        <v>0.23529411764705893</v>
      </c>
      <c r="R64" s="63">
        <v>-0.17647058823529405</v>
      </c>
      <c r="S64" s="63">
        <v>0.23529411764705893</v>
      </c>
      <c r="T64" s="63">
        <v>0.23529411764705893</v>
      </c>
      <c r="U64" s="63">
        <v>0.23529411764705893</v>
      </c>
      <c r="V64" s="63">
        <v>-0.58823529411764708</v>
      </c>
      <c r="W64" s="63">
        <v>-0.17647058823529405</v>
      </c>
      <c r="X64" s="63">
        <v>-1</v>
      </c>
      <c r="Y64" s="63">
        <v>0.64705882352941191</v>
      </c>
      <c r="Z64" s="63">
        <v>0.23529411764705893</v>
      </c>
      <c r="AA64" s="63">
        <v>0.23529411764705893</v>
      </c>
      <c r="AB64" s="63">
        <v>-0.17647058823529405</v>
      </c>
      <c r="AC64" s="63">
        <v>-0.17647058823529405</v>
      </c>
      <c r="AD64" s="63">
        <v>0.23529411764705893</v>
      </c>
      <c r="AF64" s="60">
        <v>2.4285714285714284</v>
      </c>
    </row>
    <row r="65" spans="1:32">
      <c r="A65" t="s">
        <v>177</v>
      </c>
      <c r="B65" s="55">
        <v>1</v>
      </c>
      <c r="C65" s="55">
        <v>1</v>
      </c>
      <c r="D65" s="55">
        <v>3</v>
      </c>
      <c r="E65" s="55">
        <v>0</v>
      </c>
      <c r="F65" s="55">
        <v>1</v>
      </c>
      <c r="G65" s="55">
        <v>4</v>
      </c>
      <c r="H65" s="55">
        <v>1</v>
      </c>
      <c r="I65" s="55">
        <v>1</v>
      </c>
      <c r="J65" s="55">
        <v>3</v>
      </c>
      <c r="K65" s="55">
        <v>3</v>
      </c>
      <c r="L65" s="55">
        <v>3</v>
      </c>
      <c r="M65" s="55">
        <v>2</v>
      </c>
      <c r="N65" s="55">
        <v>3</v>
      </c>
      <c r="O65" s="55">
        <v>0</v>
      </c>
      <c r="Q65" s="63">
        <v>-0.46153846153846156</v>
      </c>
      <c r="R65" s="63">
        <v>-0.46153846153846156</v>
      </c>
      <c r="S65" s="63">
        <v>0.61538461538461531</v>
      </c>
      <c r="T65" s="63">
        <v>-1</v>
      </c>
      <c r="U65" s="63">
        <v>-0.46153846153846156</v>
      </c>
      <c r="V65" s="63">
        <v>1.1538461538461537</v>
      </c>
      <c r="W65" s="63">
        <v>-0.46153846153846156</v>
      </c>
      <c r="X65" s="63">
        <v>-0.46153846153846156</v>
      </c>
      <c r="Y65" s="63">
        <v>0.61538461538461531</v>
      </c>
      <c r="Z65" s="63">
        <v>0.61538461538461531</v>
      </c>
      <c r="AA65" s="63">
        <v>0.61538461538461531</v>
      </c>
      <c r="AB65" s="63">
        <v>7.6923076923076886E-2</v>
      </c>
      <c r="AC65" s="63">
        <v>0.61538461538461531</v>
      </c>
      <c r="AD65" s="63">
        <v>-1</v>
      </c>
      <c r="AF65" s="60">
        <v>1.8571428571428572</v>
      </c>
    </row>
    <row r="66" spans="1:32">
      <c r="A66" t="s">
        <v>318</v>
      </c>
      <c r="B66" s="55">
        <v>2</v>
      </c>
      <c r="C66" s="55">
        <v>1</v>
      </c>
      <c r="D66" s="55">
        <v>2</v>
      </c>
      <c r="E66" s="55">
        <v>2</v>
      </c>
      <c r="F66" s="55">
        <v>1</v>
      </c>
      <c r="G66" s="55">
        <v>1</v>
      </c>
      <c r="H66" s="55">
        <v>1</v>
      </c>
      <c r="I66" s="55">
        <v>0</v>
      </c>
      <c r="J66" s="55">
        <v>3</v>
      </c>
      <c r="K66" s="55">
        <v>2</v>
      </c>
      <c r="L66" s="55">
        <v>3</v>
      </c>
      <c r="M66" s="55">
        <v>4</v>
      </c>
      <c r="N66" s="55">
        <v>3</v>
      </c>
      <c r="O66" s="55">
        <v>0</v>
      </c>
      <c r="Q66" s="63">
        <v>0.11999999999999994</v>
      </c>
      <c r="R66" s="63">
        <v>-0.44</v>
      </c>
      <c r="S66" s="63">
        <v>0.11999999999999994</v>
      </c>
      <c r="T66" s="63">
        <v>0.11999999999999994</v>
      </c>
      <c r="U66" s="63">
        <v>-0.44</v>
      </c>
      <c r="V66" s="63">
        <v>-0.44</v>
      </c>
      <c r="W66" s="63">
        <v>-0.44</v>
      </c>
      <c r="X66" s="63">
        <v>-1</v>
      </c>
      <c r="Y66" s="63">
        <v>0.67999999999999994</v>
      </c>
      <c r="Z66" s="63">
        <v>0.11999999999999994</v>
      </c>
      <c r="AA66" s="63">
        <v>0.67999999999999994</v>
      </c>
      <c r="AB66" s="63">
        <v>1.24</v>
      </c>
      <c r="AC66" s="63">
        <v>0.67999999999999994</v>
      </c>
      <c r="AD66" s="63">
        <v>-1</v>
      </c>
      <c r="AF66" s="60">
        <v>1.7857142857142858</v>
      </c>
    </row>
    <row r="67" spans="1:32">
      <c r="A67" t="s">
        <v>298</v>
      </c>
      <c r="Q67" s="63"/>
      <c r="R67" s="63"/>
      <c r="S67" s="63"/>
      <c r="T67" s="63"/>
      <c r="U67" s="63"/>
      <c r="V67" s="63"/>
      <c r="W67" s="63"/>
      <c r="X67" s="63"/>
      <c r="Y67" s="63"/>
      <c r="Z67" s="63"/>
      <c r="AA67" s="63"/>
      <c r="AB67" s="63"/>
      <c r="AC67" s="63"/>
      <c r="AD67" s="63"/>
      <c r="AF67" s="60" t="e">
        <v>#DIV/0!</v>
      </c>
    </row>
    <row r="68" spans="1:32">
      <c r="A68" t="s">
        <v>319</v>
      </c>
      <c r="B68" s="55">
        <v>3</v>
      </c>
      <c r="C68" s="55">
        <v>1</v>
      </c>
      <c r="D68" s="55">
        <v>2</v>
      </c>
      <c r="E68" s="55">
        <v>2</v>
      </c>
      <c r="F68" s="55">
        <v>3</v>
      </c>
      <c r="G68" s="55">
        <v>2</v>
      </c>
      <c r="H68" s="55">
        <v>3</v>
      </c>
      <c r="I68" s="55">
        <v>2</v>
      </c>
      <c r="J68" s="55">
        <v>4</v>
      </c>
      <c r="K68" s="55">
        <v>3</v>
      </c>
      <c r="L68" s="55">
        <v>3</v>
      </c>
      <c r="M68" s="55">
        <v>3</v>
      </c>
      <c r="N68" s="55">
        <v>3</v>
      </c>
      <c r="O68" s="55">
        <v>2</v>
      </c>
      <c r="Q68" s="63">
        <v>0.16666666666666657</v>
      </c>
      <c r="R68" s="63">
        <v>-0.61111111111111116</v>
      </c>
      <c r="S68" s="63">
        <v>-0.22222222222222229</v>
      </c>
      <c r="T68" s="63">
        <v>-0.22222222222222229</v>
      </c>
      <c r="U68" s="63">
        <v>0.16666666666666657</v>
      </c>
      <c r="V68" s="63">
        <v>-0.22222222222222229</v>
      </c>
      <c r="W68" s="63">
        <v>0.16666666666666657</v>
      </c>
      <c r="X68" s="63">
        <v>-0.22222222222222229</v>
      </c>
      <c r="Y68" s="63">
        <v>0.55555555555555547</v>
      </c>
      <c r="Z68" s="63">
        <v>0.16666666666666657</v>
      </c>
      <c r="AA68" s="63">
        <v>0.16666666666666657</v>
      </c>
      <c r="AB68" s="63">
        <v>0.16666666666666657</v>
      </c>
      <c r="AC68" s="63">
        <v>0.16666666666666657</v>
      </c>
      <c r="AD68" s="63">
        <v>-0.22222222222222229</v>
      </c>
      <c r="AF68" s="60">
        <v>2.5714285714285716</v>
      </c>
    </row>
    <row r="69" spans="1:32">
      <c r="A69" t="s">
        <v>320</v>
      </c>
      <c r="B69" s="55">
        <v>2</v>
      </c>
      <c r="C69" s="55">
        <v>1</v>
      </c>
      <c r="D69" s="55">
        <v>2</v>
      </c>
      <c r="E69" s="55">
        <v>1</v>
      </c>
      <c r="F69" s="55">
        <v>2</v>
      </c>
      <c r="G69" s="55">
        <v>2</v>
      </c>
      <c r="H69" s="55">
        <v>2</v>
      </c>
      <c r="I69" s="55">
        <v>0</v>
      </c>
      <c r="J69" s="55">
        <v>3</v>
      </c>
      <c r="K69" s="55">
        <v>3</v>
      </c>
      <c r="L69" s="55">
        <v>3</v>
      </c>
      <c r="M69" s="55">
        <v>2</v>
      </c>
      <c r="N69" s="55">
        <v>3</v>
      </c>
      <c r="O69" s="55">
        <v>1</v>
      </c>
      <c r="Q69" s="63">
        <v>3.7037037037037021E-2</v>
      </c>
      <c r="R69" s="63">
        <v>-0.48148148148148151</v>
      </c>
      <c r="S69" s="63">
        <v>3.7037037037037021E-2</v>
      </c>
      <c r="T69" s="63">
        <v>-0.48148148148148151</v>
      </c>
      <c r="U69" s="63">
        <v>3.7037037037037021E-2</v>
      </c>
      <c r="V69" s="63">
        <v>3.7037037037037021E-2</v>
      </c>
      <c r="W69" s="63">
        <v>3.7037037037037021E-2</v>
      </c>
      <c r="X69" s="63">
        <v>-1</v>
      </c>
      <c r="Y69" s="63">
        <v>0.55555555555555558</v>
      </c>
      <c r="Z69" s="63">
        <v>0.55555555555555558</v>
      </c>
      <c r="AA69" s="63">
        <v>0.55555555555555558</v>
      </c>
      <c r="AB69" s="63">
        <v>3.7037037037037021E-2</v>
      </c>
      <c r="AC69" s="63">
        <v>0.55555555555555558</v>
      </c>
      <c r="AD69" s="63">
        <v>-0.48148148148148151</v>
      </c>
      <c r="AF69" s="60">
        <v>1.9285714285714286</v>
      </c>
    </row>
    <row r="70" spans="1:32">
      <c r="A70" t="s">
        <v>321</v>
      </c>
      <c r="B70" s="55">
        <v>2</v>
      </c>
      <c r="C70" s="55">
        <v>2</v>
      </c>
      <c r="D70" s="55">
        <v>2</v>
      </c>
      <c r="E70" s="55">
        <v>2</v>
      </c>
      <c r="F70" s="55">
        <v>2</v>
      </c>
      <c r="G70" s="55">
        <v>2</v>
      </c>
      <c r="H70" s="55">
        <v>3</v>
      </c>
      <c r="I70" s="55">
        <v>0</v>
      </c>
      <c r="J70" s="55">
        <v>3</v>
      </c>
      <c r="K70" s="55">
        <v>3</v>
      </c>
      <c r="L70" s="55">
        <v>3</v>
      </c>
      <c r="M70" s="55">
        <v>2</v>
      </c>
      <c r="N70" s="55">
        <v>4</v>
      </c>
      <c r="O70" s="55">
        <v>1</v>
      </c>
      <c r="Q70" s="63">
        <v>-9.677419354838715E-2</v>
      </c>
      <c r="R70" s="63">
        <v>-9.677419354838715E-2</v>
      </c>
      <c r="S70" s="63">
        <v>-9.677419354838715E-2</v>
      </c>
      <c r="T70" s="63">
        <v>-9.677419354838715E-2</v>
      </c>
      <c r="U70" s="63">
        <v>-9.677419354838715E-2</v>
      </c>
      <c r="V70" s="63">
        <v>-9.677419354838715E-2</v>
      </c>
      <c r="W70" s="63">
        <v>0.35483870967741926</v>
      </c>
      <c r="X70" s="63">
        <v>-1</v>
      </c>
      <c r="Y70" s="63">
        <v>0.35483870967741926</v>
      </c>
      <c r="Z70" s="63">
        <v>0.35483870967741926</v>
      </c>
      <c r="AA70" s="63">
        <v>0.35483870967741926</v>
      </c>
      <c r="AB70" s="63">
        <v>-9.677419354838715E-2</v>
      </c>
      <c r="AC70" s="63">
        <v>0.80645161290322576</v>
      </c>
      <c r="AD70" s="63">
        <v>-0.54838709677419362</v>
      </c>
      <c r="AF70" s="60">
        <v>2.2142857142857144</v>
      </c>
    </row>
    <row r="71" spans="1:32">
      <c r="A71" t="s">
        <v>322</v>
      </c>
      <c r="B71" s="55">
        <v>3</v>
      </c>
      <c r="C71" s="55">
        <v>3</v>
      </c>
      <c r="D71" s="55">
        <v>2</v>
      </c>
      <c r="E71" s="55">
        <v>2</v>
      </c>
      <c r="F71" s="55">
        <v>2</v>
      </c>
      <c r="G71" s="55">
        <v>1</v>
      </c>
      <c r="H71" s="55">
        <v>3</v>
      </c>
      <c r="I71" s="55">
        <v>0</v>
      </c>
      <c r="J71" s="55">
        <v>4</v>
      </c>
      <c r="K71" s="55">
        <v>3</v>
      </c>
      <c r="L71" s="55">
        <v>3</v>
      </c>
      <c r="M71" s="55">
        <v>0</v>
      </c>
      <c r="N71" s="55">
        <v>3</v>
      </c>
      <c r="O71" s="55">
        <v>1</v>
      </c>
      <c r="Q71" s="63">
        <v>0.4</v>
      </c>
      <c r="R71" s="63">
        <v>0.4</v>
      </c>
      <c r="S71" s="63">
        <v>-6.6666666666666638E-2</v>
      </c>
      <c r="T71" s="63">
        <v>-6.6666666666666638E-2</v>
      </c>
      <c r="U71" s="63">
        <v>-6.6666666666666638E-2</v>
      </c>
      <c r="V71" s="63">
        <v>-0.53333333333333333</v>
      </c>
      <c r="W71" s="63">
        <v>0.4</v>
      </c>
      <c r="X71" s="63">
        <v>-1</v>
      </c>
      <c r="Y71" s="63">
        <v>0.8666666666666667</v>
      </c>
      <c r="Z71" s="63">
        <v>0.4</v>
      </c>
      <c r="AA71" s="63">
        <v>0.4</v>
      </c>
      <c r="AB71" s="63">
        <v>-1</v>
      </c>
      <c r="AC71" s="63">
        <v>0.4</v>
      </c>
      <c r="AD71" s="63">
        <v>-0.53333333333333333</v>
      </c>
      <c r="AF71" s="60">
        <v>2.1428571428571428</v>
      </c>
    </row>
    <row r="72" spans="1:32">
      <c r="A72" t="s">
        <v>298</v>
      </c>
      <c r="Q72" s="63"/>
      <c r="R72" s="63"/>
      <c r="S72" s="63"/>
      <c r="T72" s="63"/>
      <c r="U72" s="63"/>
      <c r="V72" s="63"/>
      <c r="W72" s="63"/>
      <c r="X72" s="63"/>
      <c r="Y72" s="63"/>
      <c r="Z72" s="63"/>
      <c r="AA72" s="63"/>
      <c r="AB72" s="63"/>
      <c r="AC72" s="63"/>
      <c r="AD72" s="63"/>
      <c r="AF72" s="60" t="e">
        <v>#DIV/0!</v>
      </c>
    </row>
    <row r="73" spans="1:32">
      <c r="A73" t="s">
        <v>323</v>
      </c>
      <c r="B73" s="55">
        <v>4</v>
      </c>
      <c r="C73" s="55">
        <v>3</v>
      </c>
      <c r="D73" s="55">
        <v>3</v>
      </c>
      <c r="E73" s="55">
        <v>3</v>
      </c>
      <c r="F73" s="55">
        <v>3</v>
      </c>
      <c r="G73" s="55">
        <v>3</v>
      </c>
      <c r="H73" s="55">
        <v>3</v>
      </c>
      <c r="I73" s="55">
        <v>3</v>
      </c>
      <c r="J73" s="55">
        <v>3</v>
      </c>
      <c r="K73" s="55">
        <v>3</v>
      </c>
      <c r="L73" s="55">
        <v>4</v>
      </c>
      <c r="M73" s="55">
        <v>3</v>
      </c>
      <c r="N73" s="55">
        <v>5</v>
      </c>
      <c r="O73" s="55">
        <v>3</v>
      </c>
      <c r="Q73" s="63">
        <v>0.21739130434782614</v>
      </c>
      <c r="R73" s="63">
        <v>-8.6956521739130405E-2</v>
      </c>
      <c r="S73" s="63">
        <v>-8.6956521739130405E-2</v>
      </c>
      <c r="T73" s="63">
        <v>-8.6956521739130405E-2</v>
      </c>
      <c r="U73" s="63">
        <v>-8.6956521739130405E-2</v>
      </c>
      <c r="V73" s="63">
        <v>-8.6956521739130405E-2</v>
      </c>
      <c r="W73" s="63">
        <v>-8.6956521739130405E-2</v>
      </c>
      <c r="X73" s="63">
        <v>-8.6956521739130405E-2</v>
      </c>
      <c r="Y73" s="63">
        <v>-8.6956521739130405E-2</v>
      </c>
      <c r="Z73" s="63">
        <v>-8.6956521739130405E-2</v>
      </c>
      <c r="AA73" s="63">
        <v>0.21739130434782614</v>
      </c>
      <c r="AB73" s="63">
        <v>-8.6956521739130405E-2</v>
      </c>
      <c r="AC73" s="63">
        <v>0.52173913043478271</v>
      </c>
      <c r="AD73" s="63">
        <v>-8.6956521739130405E-2</v>
      </c>
      <c r="AF73" s="60">
        <v>3.2857142857142856</v>
      </c>
    </row>
    <row r="74" spans="1:32">
      <c r="A74" t="s">
        <v>324</v>
      </c>
      <c r="B74" s="55">
        <v>4</v>
      </c>
      <c r="C74" s="55">
        <v>3</v>
      </c>
      <c r="D74" s="55">
        <v>3</v>
      </c>
      <c r="E74" s="55">
        <v>3</v>
      </c>
      <c r="F74" s="55">
        <v>3</v>
      </c>
      <c r="G74" s="55">
        <v>3</v>
      </c>
      <c r="H74" s="55">
        <v>3</v>
      </c>
      <c r="I74" s="55">
        <v>2</v>
      </c>
      <c r="J74" s="55">
        <v>4</v>
      </c>
      <c r="K74" s="55">
        <v>3</v>
      </c>
      <c r="L74" s="55">
        <v>4</v>
      </c>
      <c r="M74" s="55">
        <v>3</v>
      </c>
      <c r="N74" s="55">
        <v>4</v>
      </c>
      <c r="O74" s="55">
        <v>3</v>
      </c>
      <c r="Q74" s="63">
        <v>0.24444444444444441</v>
      </c>
      <c r="R74" s="63">
        <v>-6.6666666666666707E-2</v>
      </c>
      <c r="S74" s="63">
        <v>-6.6666666666666707E-2</v>
      </c>
      <c r="T74" s="63">
        <v>-6.6666666666666707E-2</v>
      </c>
      <c r="U74" s="63">
        <v>-6.6666666666666707E-2</v>
      </c>
      <c r="V74" s="63">
        <v>-6.6666666666666707E-2</v>
      </c>
      <c r="W74" s="63">
        <v>-6.6666666666666707E-2</v>
      </c>
      <c r="X74" s="63">
        <v>-0.37777777777777782</v>
      </c>
      <c r="Y74" s="63">
        <v>0.24444444444444441</v>
      </c>
      <c r="Z74" s="63">
        <v>-6.6666666666666707E-2</v>
      </c>
      <c r="AA74" s="63">
        <v>0.24444444444444441</v>
      </c>
      <c r="AB74" s="63">
        <v>-6.6666666666666707E-2</v>
      </c>
      <c r="AC74" s="63">
        <v>0.24444444444444441</v>
      </c>
      <c r="AD74" s="63">
        <v>-6.6666666666666707E-2</v>
      </c>
      <c r="AF74" s="60">
        <v>3.2142857142857144</v>
      </c>
    </row>
    <row r="75" spans="1:32">
      <c r="A75" t="s">
        <v>325</v>
      </c>
      <c r="B75" s="55">
        <v>4</v>
      </c>
      <c r="C75" s="55">
        <v>3</v>
      </c>
      <c r="D75" s="55">
        <v>3</v>
      </c>
      <c r="E75" s="55">
        <v>2</v>
      </c>
      <c r="F75" s="55">
        <v>4</v>
      </c>
      <c r="G75" s="55">
        <v>2</v>
      </c>
      <c r="H75" s="55">
        <v>3</v>
      </c>
      <c r="I75" s="55">
        <v>0</v>
      </c>
      <c r="J75" s="55">
        <v>3</v>
      </c>
      <c r="K75" s="55">
        <v>3</v>
      </c>
      <c r="L75" s="55">
        <v>4</v>
      </c>
      <c r="M75" s="55">
        <v>3</v>
      </c>
      <c r="N75" s="55">
        <v>3</v>
      </c>
      <c r="O75" s="55">
        <v>3</v>
      </c>
      <c r="Q75" s="63">
        <v>0.39999999999999997</v>
      </c>
      <c r="R75" s="63">
        <v>4.9999999999999975E-2</v>
      </c>
      <c r="S75" s="63">
        <v>4.9999999999999975E-2</v>
      </c>
      <c r="T75" s="63">
        <v>-0.3</v>
      </c>
      <c r="U75" s="63">
        <v>0.39999999999999997</v>
      </c>
      <c r="V75" s="63">
        <v>-0.3</v>
      </c>
      <c r="W75" s="63">
        <v>4.9999999999999975E-2</v>
      </c>
      <c r="X75" s="63">
        <v>-1</v>
      </c>
      <c r="Y75" s="63">
        <v>4.9999999999999975E-2</v>
      </c>
      <c r="Z75" s="63">
        <v>4.9999999999999975E-2</v>
      </c>
      <c r="AA75" s="63">
        <v>0.39999999999999997</v>
      </c>
      <c r="AB75" s="63">
        <v>4.9999999999999975E-2</v>
      </c>
      <c r="AC75" s="63">
        <v>4.9999999999999975E-2</v>
      </c>
      <c r="AD75" s="63">
        <v>4.9999999999999975E-2</v>
      </c>
      <c r="AF75" s="60">
        <v>2.8571428571428572</v>
      </c>
    </row>
    <row r="76" spans="1:32">
      <c r="A76" t="s">
        <v>326</v>
      </c>
      <c r="B76" s="55">
        <v>4</v>
      </c>
      <c r="C76" s="55">
        <v>3</v>
      </c>
      <c r="D76" s="55">
        <v>3</v>
      </c>
      <c r="E76" s="55">
        <v>3</v>
      </c>
      <c r="F76" s="55">
        <v>3</v>
      </c>
      <c r="G76" s="55">
        <v>3</v>
      </c>
      <c r="H76" s="55">
        <v>3</v>
      </c>
      <c r="I76" s="55">
        <v>3</v>
      </c>
      <c r="J76" s="55">
        <v>3</v>
      </c>
      <c r="K76" s="55">
        <v>3</v>
      </c>
      <c r="L76" s="55">
        <v>3</v>
      </c>
      <c r="M76" s="55">
        <v>3</v>
      </c>
      <c r="N76" s="55">
        <v>5</v>
      </c>
      <c r="O76" s="55">
        <v>3</v>
      </c>
      <c r="Q76" s="63">
        <v>0.24444444444444441</v>
      </c>
      <c r="R76" s="63">
        <v>-6.6666666666666707E-2</v>
      </c>
      <c r="S76" s="63">
        <v>-6.6666666666666707E-2</v>
      </c>
      <c r="T76" s="63">
        <v>-6.6666666666666707E-2</v>
      </c>
      <c r="U76" s="63">
        <v>-6.6666666666666707E-2</v>
      </c>
      <c r="V76" s="63">
        <v>-6.6666666666666707E-2</v>
      </c>
      <c r="W76" s="63">
        <v>-6.6666666666666707E-2</v>
      </c>
      <c r="X76" s="63">
        <v>-6.6666666666666707E-2</v>
      </c>
      <c r="Y76" s="63">
        <v>-6.6666666666666707E-2</v>
      </c>
      <c r="Z76" s="63">
        <v>-6.6666666666666707E-2</v>
      </c>
      <c r="AA76" s="63">
        <v>-6.6666666666666707E-2</v>
      </c>
      <c r="AB76" s="63">
        <v>-6.6666666666666707E-2</v>
      </c>
      <c r="AC76" s="63">
        <v>0.55555555555555547</v>
      </c>
      <c r="AD76" s="63">
        <v>-6.6666666666666707E-2</v>
      </c>
      <c r="AF76" s="60">
        <v>3.2142857142857144</v>
      </c>
    </row>
    <row r="77" spans="1:32">
      <c r="A77" t="s">
        <v>327</v>
      </c>
      <c r="B77" s="55">
        <v>4</v>
      </c>
      <c r="C77" s="55">
        <v>2</v>
      </c>
      <c r="D77" s="55">
        <v>3</v>
      </c>
      <c r="E77" s="55">
        <v>3</v>
      </c>
      <c r="F77" s="55">
        <v>3</v>
      </c>
      <c r="G77" s="55">
        <v>3</v>
      </c>
      <c r="H77" s="55">
        <v>3</v>
      </c>
      <c r="I77" s="55">
        <v>0</v>
      </c>
      <c r="J77" s="55">
        <v>2</v>
      </c>
      <c r="K77" s="55">
        <v>3</v>
      </c>
      <c r="L77" s="55">
        <v>4</v>
      </c>
      <c r="M77" s="55">
        <v>3</v>
      </c>
      <c r="N77" s="55">
        <v>4</v>
      </c>
      <c r="O77" s="55">
        <v>5</v>
      </c>
      <c r="Q77" s="63">
        <v>0.33333333333333331</v>
      </c>
      <c r="R77" s="63">
        <v>-0.33333333333333331</v>
      </c>
      <c r="S77" s="63">
        <v>0</v>
      </c>
      <c r="T77" s="63">
        <v>0</v>
      </c>
      <c r="U77" s="63">
        <v>0</v>
      </c>
      <c r="V77" s="63">
        <v>0</v>
      </c>
      <c r="W77" s="63">
        <v>0</v>
      </c>
      <c r="X77" s="63">
        <v>-1</v>
      </c>
      <c r="Y77" s="63">
        <v>-0.33333333333333331</v>
      </c>
      <c r="Z77" s="63">
        <v>0</v>
      </c>
      <c r="AA77" s="63">
        <v>0.33333333333333331</v>
      </c>
      <c r="AB77" s="63">
        <v>0</v>
      </c>
      <c r="AC77" s="63">
        <v>0.33333333333333331</v>
      </c>
      <c r="AD77" s="63">
        <v>0.66666666666666663</v>
      </c>
      <c r="AF77" s="60">
        <v>3</v>
      </c>
    </row>
    <row r="78" spans="1:32">
      <c r="A78" t="s">
        <v>298</v>
      </c>
      <c r="Q78" s="63"/>
      <c r="R78" s="63"/>
      <c r="S78" s="63"/>
      <c r="T78" s="63"/>
      <c r="U78" s="63"/>
      <c r="V78" s="63"/>
      <c r="W78" s="63"/>
      <c r="X78" s="63"/>
      <c r="Y78" s="63"/>
      <c r="Z78" s="63"/>
      <c r="AA78" s="63"/>
      <c r="AB78" s="63"/>
      <c r="AC78" s="63"/>
      <c r="AD78" s="63"/>
      <c r="AF78" s="60" t="e">
        <v>#DIV/0!</v>
      </c>
    </row>
    <row r="79" spans="1:32">
      <c r="A79" t="s">
        <v>328</v>
      </c>
      <c r="B79" s="55">
        <v>3</v>
      </c>
      <c r="C79" s="55">
        <v>2</v>
      </c>
      <c r="D79" s="55">
        <v>3</v>
      </c>
      <c r="E79" s="55">
        <v>4</v>
      </c>
      <c r="F79" s="55">
        <v>3</v>
      </c>
      <c r="G79" s="55">
        <v>2</v>
      </c>
      <c r="H79" s="55">
        <v>3</v>
      </c>
      <c r="I79" s="55">
        <v>2</v>
      </c>
      <c r="J79" s="55">
        <v>3</v>
      </c>
      <c r="K79" s="55">
        <v>2</v>
      </c>
      <c r="L79" s="55">
        <v>3</v>
      </c>
      <c r="M79" s="55">
        <v>3</v>
      </c>
      <c r="N79" s="55">
        <v>3</v>
      </c>
      <c r="O79" s="55">
        <v>3</v>
      </c>
      <c r="Q79" s="63">
        <v>7.6923076923076969E-2</v>
      </c>
      <c r="R79" s="63">
        <v>-0.28205128205128199</v>
      </c>
      <c r="S79" s="63">
        <v>7.6923076923076969E-2</v>
      </c>
      <c r="T79" s="63">
        <v>0.43589743589743596</v>
      </c>
      <c r="U79" s="63">
        <v>7.6923076923076969E-2</v>
      </c>
      <c r="V79" s="63">
        <v>-0.28205128205128199</v>
      </c>
      <c r="W79" s="63">
        <v>7.6923076923076969E-2</v>
      </c>
      <c r="X79" s="63">
        <v>-0.28205128205128199</v>
      </c>
      <c r="Y79" s="63">
        <v>7.6923076923076969E-2</v>
      </c>
      <c r="Z79" s="63">
        <v>-0.28205128205128199</v>
      </c>
      <c r="AA79" s="63">
        <v>7.6923076923076969E-2</v>
      </c>
      <c r="AB79" s="63">
        <v>7.6923076923076969E-2</v>
      </c>
      <c r="AC79" s="63">
        <v>7.6923076923076969E-2</v>
      </c>
      <c r="AD79" s="63">
        <v>7.6923076923076969E-2</v>
      </c>
      <c r="AF79" s="60">
        <v>2.7857142857142856</v>
      </c>
    </row>
    <row r="80" spans="1:32">
      <c r="A80" t="s">
        <v>329</v>
      </c>
      <c r="B80" s="55">
        <v>3</v>
      </c>
      <c r="C80" s="55">
        <v>3</v>
      </c>
      <c r="D80" s="55" t="s">
        <v>298</v>
      </c>
      <c r="E80" s="55">
        <v>3</v>
      </c>
      <c r="F80" s="55">
        <v>3</v>
      </c>
      <c r="G80" s="55">
        <v>3</v>
      </c>
      <c r="H80" s="55">
        <v>3</v>
      </c>
      <c r="I80" s="55">
        <v>2</v>
      </c>
      <c r="J80" s="55">
        <v>3</v>
      </c>
      <c r="K80" s="55">
        <v>3</v>
      </c>
      <c r="L80" s="55">
        <v>3</v>
      </c>
      <c r="M80" s="55">
        <v>3</v>
      </c>
      <c r="N80" s="55">
        <v>2</v>
      </c>
      <c r="O80" s="55">
        <v>3</v>
      </c>
      <c r="Q80" s="63">
        <v>5.4054054054054015E-2</v>
      </c>
      <c r="R80" s="63">
        <v>5.4054054054054015E-2</v>
      </c>
      <c r="S80" s="63" t="e">
        <v>#VALUE!</v>
      </c>
      <c r="T80" s="63">
        <v>5.4054054054054015E-2</v>
      </c>
      <c r="U80" s="63">
        <v>5.4054054054054015E-2</v>
      </c>
      <c r="V80" s="63">
        <v>5.4054054054054015E-2</v>
      </c>
      <c r="W80" s="63">
        <v>5.4054054054054015E-2</v>
      </c>
      <c r="X80" s="63">
        <v>-0.29729729729729731</v>
      </c>
      <c r="Y80" s="63">
        <v>5.4054054054054015E-2</v>
      </c>
      <c r="Z80" s="63">
        <v>5.4054054054054015E-2</v>
      </c>
      <c r="AA80" s="63">
        <v>5.4054054054054015E-2</v>
      </c>
      <c r="AB80" s="63">
        <v>5.4054054054054015E-2</v>
      </c>
      <c r="AC80" s="63">
        <v>-0.29729729729729731</v>
      </c>
      <c r="AD80" s="63">
        <v>5.4054054054054015E-2</v>
      </c>
      <c r="AF80" s="60">
        <v>2.8461538461538463</v>
      </c>
    </row>
    <row r="81" spans="1:33">
      <c r="A81" t="s">
        <v>330</v>
      </c>
      <c r="B81" s="55">
        <v>3</v>
      </c>
      <c r="C81" s="55">
        <v>0</v>
      </c>
      <c r="D81" s="55">
        <v>2</v>
      </c>
      <c r="E81" s="55">
        <v>3</v>
      </c>
      <c r="F81" s="55">
        <v>1</v>
      </c>
      <c r="G81" s="55">
        <v>0</v>
      </c>
      <c r="H81" s="55">
        <v>2</v>
      </c>
      <c r="I81" s="55">
        <v>0</v>
      </c>
      <c r="J81" s="55">
        <v>1</v>
      </c>
      <c r="K81" s="55">
        <v>1</v>
      </c>
      <c r="L81" s="55">
        <v>3</v>
      </c>
      <c r="M81" s="55">
        <v>1</v>
      </c>
      <c r="N81" s="55">
        <v>3</v>
      </c>
      <c r="O81" s="55">
        <v>2</v>
      </c>
      <c r="Q81" s="63">
        <v>0.90909090909090917</v>
      </c>
      <c r="R81" s="63">
        <v>-1</v>
      </c>
      <c r="S81" s="63">
        <v>0.27272727272727276</v>
      </c>
      <c r="T81" s="63">
        <v>0.90909090909090917</v>
      </c>
      <c r="U81" s="63">
        <v>-0.36363636363636365</v>
      </c>
      <c r="V81" s="63">
        <v>-1</v>
      </c>
      <c r="W81" s="63">
        <v>0.27272727272727276</v>
      </c>
      <c r="X81" s="63">
        <v>-1</v>
      </c>
      <c r="Y81" s="63">
        <v>-0.36363636363636365</v>
      </c>
      <c r="Z81" s="63">
        <v>-0.36363636363636365</v>
      </c>
      <c r="AA81" s="63">
        <v>0.90909090909090917</v>
      </c>
      <c r="AB81" s="63">
        <v>-0.36363636363636365</v>
      </c>
      <c r="AC81" s="63">
        <v>0.90909090909090917</v>
      </c>
      <c r="AD81" s="63">
        <v>0.27272727272727276</v>
      </c>
      <c r="AF81" s="60">
        <v>1.5714285714285714</v>
      </c>
    </row>
    <row r="82" spans="1:33">
      <c r="A82" s="66" t="s">
        <v>1297</v>
      </c>
      <c r="B82" s="67">
        <v>3</v>
      </c>
      <c r="C82" s="67">
        <v>2.1111111111111112</v>
      </c>
      <c r="D82" s="67">
        <v>2.7692307692307692</v>
      </c>
      <c r="E82" s="67">
        <v>2.7407407407407409</v>
      </c>
      <c r="F82" s="67">
        <v>2.7037037037037037</v>
      </c>
      <c r="G82" s="67">
        <v>2.2962962962962963</v>
      </c>
      <c r="H82" s="67">
        <v>2.925925925925926</v>
      </c>
      <c r="I82" s="67">
        <v>1.7037037037037037</v>
      </c>
      <c r="J82" s="67">
        <v>2.9629629629629628</v>
      </c>
      <c r="K82" s="67">
        <v>2.8148148148148149</v>
      </c>
      <c r="L82" s="67">
        <v>3.1481481481481484</v>
      </c>
      <c r="M82" s="67">
        <v>2.4074074074074074</v>
      </c>
      <c r="N82" s="67">
        <v>3.0370370370370372</v>
      </c>
      <c r="O82" s="67">
        <v>2.2962962962962963</v>
      </c>
      <c r="Q82" s="63">
        <v>0.13767556721716309</v>
      </c>
      <c r="R82" s="63">
        <v>-0.1994134897360704</v>
      </c>
      <c r="S82" s="63">
        <v>5.0162062046612062E-2</v>
      </c>
      <c r="T82" s="63">
        <v>3.9357925605803389E-2</v>
      </c>
      <c r="U82" s="63">
        <v>2.5312548232751933E-2</v>
      </c>
      <c r="V82" s="63">
        <v>-0.12918660287081343</v>
      </c>
      <c r="W82" s="63">
        <v>0.10958481247106035</v>
      </c>
      <c r="X82" s="63">
        <v>-0.35391264083963575</v>
      </c>
      <c r="Y82" s="63">
        <v>0.12363018984411164</v>
      </c>
      <c r="Z82" s="63">
        <v>6.744868035190614E-2</v>
      </c>
      <c r="AA82" s="63">
        <v>0.19385707670936878</v>
      </c>
      <c r="AB82" s="63">
        <v>-8.7050470751659226E-2</v>
      </c>
      <c r="AC82" s="63">
        <v>0.15172094459021457</v>
      </c>
      <c r="AD82" s="63">
        <v>-0.12918660287081343</v>
      </c>
      <c r="AF82" s="60">
        <v>2.6369556369556371</v>
      </c>
    </row>
    <row r="83" spans="1:33">
      <c r="A83" t="s">
        <v>298</v>
      </c>
      <c r="Q83" s="63"/>
      <c r="R83" s="63"/>
      <c r="S83" s="63"/>
      <c r="T83" s="63"/>
      <c r="U83" s="63"/>
      <c r="V83" s="63"/>
      <c r="W83" s="63"/>
      <c r="X83" s="63"/>
      <c r="Y83" s="63"/>
      <c r="Z83" s="63"/>
      <c r="AA83" s="63"/>
      <c r="AB83" s="63"/>
      <c r="AC83" s="63"/>
      <c r="AD83" s="63"/>
      <c r="AF83" s="60" t="e">
        <v>#DIV/0!</v>
      </c>
    </row>
    <row r="84" spans="1:33">
      <c r="A84" t="s">
        <v>298</v>
      </c>
      <c r="Q84" s="63"/>
      <c r="R84" s="63"/>
      <c r="S84" s="63"/>
      <c r="T84" s="63"/>
      <c r="U84" s="63"/>
      <c r="V84" s="63"/>
      <c r="W84" s="63"/>
      <c r="X84" s="63"/>
      <c r="Y84" s="63"/>
      <c r="Z84" s="63"/>
      <c r="AA84" s="63"/>
      <c r="AB84" s="63"/>
      <c r="AC84" s="63"/>
      <c r="AD84" s="63"/>
      <c r="AF84" s="60" t="e">
        <v>#DIV/0!</v>
      </c>
    </row>
    <row r="85" spans="1:33">
      <c r="A85" s="8" t="s">
        <v>25</v>
      </c>
      <c r="B85" s="53" t="s">
        <v>1231</v>
      </c>
      <c r="C85" s="53" t="s">
        <v>1232</v>
      </c>
      <c r="D85" s="53" t="s">
        <v>1233</v>
      </c>
      <c r="E85" s="53" t="s">
        <v>1234</v>
      </c>
      <c r="F85" s="53" t="s">
        <v>1235</v>
      </c>
      <c r="G85" s="53" t="s">
        <v>1236</v>
      </c>
      <c r="H85" s="53" t="s">
        <v>1237</v>
      </c>
      <c r="I85" s="53" t="s">
        <v>1238</v>
      </c>
      <c r="J85" s="53" t="s">
        <v>1239</v>
      </c>
      <c r="K85" s="53" t="s">
        <v>1240</v>
      </c>
      <c r="L85" s="53" t="s">
        <v>1241</v>
      </c>
      <c r="M85" s="53" t="s">
        <v>1289</v>
      </c>
      <c r="N85" s="53" t="s">
        <v>1290</v>
      </c>
      <c r="O85" s="53" t="s">
        <v>1291</v>
      </c>
      <c r="Q85" s="63"/>
      <c r="R85" s="63"/>
      <c r="S85" s="63"/>
      <c r="T85" s="63"/>
      <c r="U85" s="63"/>
      <c r="V85" s="63"/>
      <c r="W85" s="63"/>
      <c r="X85" s="63"/>
      <c r="Y85" s="63"/>
      <c r="Z85" s="63"/>
      <c r="AA85" s="63"/>
      <c r="AB85" s="63"/>
      <c r="AC85" s="63"/>
      <c r="AD85" s="63"/>
      <c r="AF85" s="60" t="e">
        <v>#DIV/0!</v>
      </c>
    </row>
    <row r="86" spans="1:33">
      <c r="A86" s="68" t="s">
        <v>331</v>
      </c>
      <c r="Q86" s="63"/>
      <c r="R86" s="63"/>
      <c r="S86" s="63"/>
      <c r="T86" s="63"/>
      <c r="U86" s="63"/>
      <c r="V86" s="63"/>
      <c r="W86" s="63"/>
      <c r="X86" s="63"/>
      <c r="Y86" s="63"/>
      <c r="Z86" s="63"/>
      <c r="AA86" s="63"/>
      <c r="AB86" s="63"/>
      <c r="AC86" s="63"/>
      <c r="AD86" s="63"/>
      <c r="AF86" s="60" t="e">
        <v>#DIV/0!</v>
      </c>
      <c r="AG86" s="69">
        <v>1.8116883116883118</v>
      </c>
    </row>
    <row r="87" spans="1:33">
      <c r="A87" t="s">
        <v>332</v>
      </c>
      <c r="B87" s="55" t="s">
        <v>298</v>
      </c>
      <c r="C87" s="55" t="s">
        <v>298</v>
      </c>
      <c r="D87" s="55" t="s">
        <v>298</v>
      </c>
      <c r="E87" s="55" t="s">
        <v>298</v>
      </c>
      <c r="F87" s="55" t="s">
        <v>298</v>
      </c>
      <c r="G87" s="55" t="s">
        <v>298</v>
      </c>
      <c r="H87" s="55" t="s">
        <v>298</v>
      </c>
      <c r="I87" s="55" t="s">
        <v>298</v>
      </c>
      <c r="J87" s="55" t="s">
        <v>298</v>
      </c>
      <c r="K87" s="55" t="s">
        <v>298</v>
      </c>
      <c r="L87" s="55" t="s">
        <v>298</v>
      </c>
      <c r="M87" s="55" t="s">
        <v>298</v>
      </c>
      <c r="N87" s="55" t="s">
        <v>298</v>
      </c>
      <c r="O87" s="55" t="s">
        <v>298</v>
      </c>
      <c r="Q87" s="63" t="e">
        <v>#VALUE!</v>
      </c>
      <c r="R87" s="63" t="e">
        <v>#VALUE!</v>
      </c>
      <c r="S87" s="63" t="e">
        <v>#VALUE!</v>
      </c>
      <c r="T87" s="63" t="e">
        <v>#VALUE!</v>
      </c>
      <c r="U87" s="63" t="e">
        <v>#VALUE!</v>
      </c>
      <c r="V87" s="63" t="e">
        <v>#VALUE!</v>
      </c>
      <c r="W87" s="63" t="e">
        <v>#VALUE!</v>
      </c>
      <c r="X87" s="63" t="e">
        <v>#VALUE!</v>
      </c>
      <c r="Y87" s="63" t="e">
        <v>#VALUE!</v>
      </c>
      <c r="Z87" s="63" t="e">
        <v>#VALUE!</v>
      </c>
      <c r="AA87" s="63" t="e">
        <v>#VALUE!</v>
      </c>
      <c r="AB87" s="63" t="e">
        <v>#VALUE!</v>
      </c>
      <c r="AC87" s="63" t="e">
        <v>#VALUE!</v>
      </c>
      <c r="AD87" s="63" t="e">
        <v>#VALUE!</v>
      </c>
      <c r="AF87" s="60" t="e">
        <v>#DIV/0!</v>
      </c>
    </row>
    <row r="88" spans="1:33">
      <c r="A88" t="s">
        <v>298</v>
      </c>
      <c r="Q88" s="63"/>
      <c r="R88" s="63"/>
      <c r="S88" s="63"/>
      <c r="T88" s="63"/>
      <c r="U88" s="63"/>
      <c r="V88" s="63"/>
      <c r="W88" s="63"/>
      <c r="X88" s="63"/>
      <c r="Y88" s="63"/>
      <c r="Z88" s="63"/>
      <c r="AA88" s="63"/>
      <c r="AB88" s="63"/>
      <c r="AC88" s="63"/>
      <c r="AD88" s="63"/>
      <c r="AF88" s="60" t="e">
        <v>#DIV/0!</v>
      </c>
    </row>
    <row r="89" spans="1:33">
      <c r="A89" t="s">
        <v>298</v>
      </c>
      <c r="Q89" s="63"/>
      <c r="R89" s="63"/>
      <c r="S89" s="63"/>
      <c r="T89" s="63"/>
      <c r="U89" s="63"/>
      <c r="V89" s="63"/>
      <c r="W89" s="63"/>
      <c r="X89" s="63"/>
      <c r="Y89" s="63"/>
      <c r="Z89" s="63"/>
      <c r="AA89" s="63"/>
      <c r="AB89" s="63"/>
      <c r="AC89" s="63"/>
      <c r="AD89" s="63"/>
      <c r="AF89" s="60" t="e">
        <v>#DIV/0!</v>
      </c>
    </row>
    <row r="90" spans="1:33">
      <c r="A90" t="s">
        <v>298</v>
      </c>
      <c r="Q90" s="63"/>
      <c r="R90" s="63"/>
      <c r="S90" s="63"/>
      <c r="T90" s="63"/>
      <c r="U90" s="63"/>
      <c r="V90" s="63"/>
      <c r="W90" s="63"/>
      <c r="X90" s="63"/>
      <c r="Y90" s="63"/>
      <c r="Z90" s="63"/>
      <c r="AA90" s="63"/>
      <c r="AB90" s="63"/>
      <c r="AC90" s="63"/>
      <c r="AD90" s="63"/>
      <c r="AF90" s="60" t="e">
        <v>#DIV/0!</v>
      </c>
    </row>
    <row r="91" spans="1:33">
      <c r="A91" t="s">
        <v>333</v>
      </c>
      <c r="B91" s="55">
        <v>1</v>
      </c>
      <c r="C91" s="55">
        <v>0</v>
      </c>
      <c r="D91" s="55">
        <v>2</v>
      </c>
      <c r="E91" s="55">
        <v>0</v>
      </c>
      <c r="F91" s="55">
        <v>0</v>
      </c>
      <c r="G91" s="55">
        <v>1</v>
      </c>
      <c r="H91" s="55">
        <v>4</v>
      </c>
      <c r="I91" s="55">
        <v>0</v>
      </c>
      <c r="J91" s="55">
        <v>3</v>
      </c>
      <c r="K91" s="55">
        <v>2</v>
      </c>
      <c r="L91" s="55">
        <v>2</v>
      </c>
      <c r="M91" s="55">
        <v>1</v>
      </c>
      <c r="N91" s="55">
        <v>1</v>
      </c>
      <c r="O91" s="55">
        <v>4</v>
      </c>
      <c r="Q91" s="63">
        <v>-0.33333333333333331</v>
      </c>
      <c r="R91" s="63">
        <v>-1</v>
      </c>
      <c r="S91" s="63">
        <v>0.33333333333333331</v>
      </c>
      <c r="T91" s="63">
        <v>-1</v>
      </c>
      <c r="U91" s="63">
        <v>-1</v>
      </c>
      <c r="V91" s="63">
        <v>-0.33333333333333331</v>
      </c>
      <c r="W91" s="63">
        <v>1.6666666666666667</v>
      </c>
      <c r="X91" s="63">
        <v>-1</v>
      </c>
      <c r="Y91" s="63">
        <v>1</v>
      </c>
      <c r="Z91" s="63">
        <v>0.33333333333333331</v>
      </c>
      <c r="AA91" s="63">
        <v>0.33333333333333331</v>
      </c>
      <c r="AB91" s="63">
        <v>-0.33333333333333331</v>
      </c>
      <c r="AC91" s="63">
        <v>-0.33333333333333331</v>
      </c>
      <c r="AD91" s="63">
        <v>1.6666666666666667</v>
      </c>
      <c r="AF91" s="60">
        <v>1.5</v>
      </c>
    </row>
    <row r="92" spans="1:33">
      <c r="A92" t="s">
        <v>298</v>
      </c>
      <c r="Q92" s="63"/>
      <c r="R92" s="63"/>
      <c r="S92" s="63"/>
      <c r="T92" s="63"/>
      <c r="U92" s="63"/>
      <c r="V92" s="63"/>
      <c r="W92" s="63"/>
      <c r="X92" s="63"/>
      <c r="Y92" s="63"/>
      <c r="Z92" s="63"/>
      <c r="AA92" s="63"/>
      <c r="AB92" s="63"/>
      <c r="AC92" s="63"/>
      <c r="AD92" s="63"/>
      <c r="AF92" s="60" t="e">
        <v>#DIV/0!</v>
      </c>
    </row>
    <row r="93" spans="1:33">
      <c r="A93" t="s">
        <v>143</v>
      </c>
      <c r="B93" s="55">
        <v>1</v>
      </c>
      <c r="C93" s="55">
        <v>0</v>
      </c>
      <c r="D93" s="55">
        <v>0</v>
      </c>
      <c r="E93" s="55">
        <v>0</v>
      </c>
      <c r="F93" s="55">
        <v>1</v>
      </c>
      <c r="G93" s="55">
        <v>1</v>
      </c>
      <c r="H93" s="55">
        <v>3</v>
      </c>
      <c r="I93" s="55">
        <v>0</v>
      </c>
      <c r="J93" s="55">
        <v>2</v>
      </c>
      <c r="K93" s="55">
        <v>2</v>
      </c>
      <c r="L93" s="55">
        <v>0</v>
      </c>
      <c r="M93" s="55">
        <v>0</v>
      </c>
      <c r="N93" s="55">
        <v>1</v>
      </c>
      <c r="O93" s="55">
        <v>0</v>
      </c>
      <c r="Q93" s="63">
        <v>0.27272727272727276</v>
      </c>
      <c r="R93" s="63">
        <v>-1</v>
      </c>
      <c r="S93" s="63">
        <v>-1</v>
      </c>
      <c r="T93" s="63">
        <v>-1</v>
      </c>
      <c r="U93" s="63">
        <v>0.27272727272727276</v>
      </c>
      <c r="V93" s="63">
        <v>0.27272727272727276</v>
      </c>
      <c r="W93" s="63">
        <v>2.8181818181818183</v>
      </c>
      <c r="X93" s="63">
        <v>-1</v>
      </c>
      <c r="Y93" s="63">
        <v>1.5454545454545456</v>
      </c>
      <c r="Z93" s="63">
        <v>1.5454545454545456</v>
      </c>
      <c r="AA93" s="63">
        <v>-1</v>
      </c>
      <c r="AB93" s="63">
        <v>-1</v>
      </c>
      <c r="AC93" s="63">
        <v>0.27272727272727276</v>
      </c>
      <c r="AD93" s="63">
        <v>-1</v>
      </c>
      <c r="AF93" s="60">
        <v>0.7857142857142857</v>
      </c>
    </row>
    <row r="94" spans="1:33">
      <c r="A94" t="s">
        <v>298</v>
      </c>
      <c r="Q94" s="63"/>
      <c r="R94" s="63"/>
      <c r="S94" s="63"/>
      <c r="T94" s="63"/>
      <c r="U94" s="63"/>
      <c r="V94" s="63"/>
      <c r="W94" s="63"/>
      <c r="X94" s="63"/>
      <c r="Y94" s="63"/>
      <c r="Z94" s="63"/>
      <c r="AA94" s="63"/>
      <c r="AB94" s="63"/>
      <c r="AC94" s="63"/>
      <c r="AD94" s="63"/>
      <c r="AF94" s="60" t="e">
        <v>#DIV/0!</v>
      </c>
    </row>
    <row r="95" spans="1:33">
      <c r="A95" t="s">
        <v>334</v>
      </c>
      <c r="B95" s="55">
        <v>1</v>
      </c>
      <c r="C95" s="55">
        <v>0</v>
      </c>
      <c r="D95" s="55">
        <v>0</v>
      </c>
      <c r="E95" s="55">
        <v>0</v>
      </c>
      <c r="F95" s="55">
        <v>0</v>
      </c>
      <c r="G95" s="55">
        <v>0</v>
      </c>
      <c r="H95" s="55">
        <v>0</v>
      </c>
      <c r="I95" s="55">
        <v>0</v>
      </c>
      <c r="J95" s="55">
        <v>0</v>
      </c>
      <c r="K95" s="55">
        <v>0</v>
      </c>
      <c r="L95" s="55">
        <v>0</v>
      </c>
      <c r="M95" s="55">
        <v>0</v>
      </c>
      <c r="N95" s="55">
        <v>0</v>
      </c>
      <c r="O95" s="55">
        <v>0</v>
      </c>
      <c r="Q95" s="63">
        <v>13.000000000000002</v>
      </c>
      <c r="R95" s="63">
        <v>-1</v>
      </c>
      <c r="S95" s="63">
        <v>-1</v>
      </c>
      <c r="T95" s="63">
        <v>-1</v>
      </c>
      <c r="U95" s="63">
        <v>-1</v>
      </c>
      <c r="V95" s="63">
        <v>-1</v>
      </c>
      <c r="W95" s="63">
        <v>-1</v>
      </c>
      <c r="X95" s="63">
        <v>-1</v>
      </c>
      <c r="Y95" s="63">
        <v>-1</v>
      </c>
      <c r="Z95" s="63">
        <v>-1</v>
      </c>
      <c r="AA95" s="63">
        <v>-1</v>
      </c>
      <c r="AB95" s="63">
        <v>-1</v>
      </c>
      <c r="AC95" s="63">
        <v>-1</v>
      </c>
      <c r="AD95" s="63">
        <v>-1</v>
      </c>
      <c r="AF95" s="60">
        <v>7.1428571428571425E-2</v>
      </c>
    </row>
    <row r="96" spans="1:33">
      <c r="A96" t="s">
        <v>298</v>
      </c>
      <c r="Q96" s="63"/>
      <c r="R96" s="63"/>
      <c r="S96" s="63"/>
      <c r="T96" s="63"/>
      <c r="U96" s="63"/>
      <c r="V96" s="63"/>
      <c r="W96" s="63"/>
      <c r="X96" s="63"/>
      <c r="Y96" s="63"/>
      <c r="Z96" s="63"/>
      <c r="AA96" s="63"/>
      <c r="AB96" s="63"/>
      <c r="AC96" s="63"/>
      <c r="AD96" s="63"/>
      <c r="AF96" s="60" t="e">
        <v>#DIV/0!</v>
      </c>
    </row>
    <row r="97" spans="1:33">
      <c r="A97" t="s">
        <v>163</v>
      </c>
      <c r="B97" s="55">
        <v>3</v>
      </c>
      <c r="C97" s="55">
        <v>3</v>
      </c>
      <c r="D97" s="55">
        <v>3</v>
      </c>
      <c r="E97" s="55">
        <v>3</v>
      </c>
      <c r="F97" s="55">
        <v>3</v>
      </c>
      <c r="G97" s="55">
        <v>3</v>
      </c>
      <c r="H97" s="55">
        <v>3</v>
      </c>
      <c r="I97" s="55">
        <v>0</v>
      </c>
      <c r="J97" s="55">
        <v>1</v>
      </c>
      <c r="K97" s="55">
        <v>3</v>
      </c>
      <c r="L97" s="55">
        <v>4</v>
      </c>
      <c r="M97" s="55">
        <v>2</v>
      </c>
      <c r="N97" s="55">
        <v>4</v>
      </c>
      <c r="O97" s="55">
        <v>3</v>
      </c>
      <c r="Q97" s="63">
        <v>0.10526315789473679</v>
      </c>
      <c r="R97" s="63">
        <v>0.10526315789473679</v>
      </c>
      <c r="S97" s="63">
        <v>0.10526315789473679</v>
      </c>
      <c r="T97" s="63">
        <v>0.10526315789473679</v>
      </c>
      <c r="U97" s="63">
        <v>0.10526315789473679</v>
      </c>
      <c r="V97" s="63">
        <v>0.10526315789473679</v>
      </c>
      <c r="W97" s="63">
        <v>0.10526315789473679</v>
      </c>
      <c r="X97" s="63">
        <v>-1</v>
      </c>
      <c r="Y97" s="63">
        <v>-0.63157894736842102</v>
      </c>
      <c r="Z97" s="63">
        <v>0.10526315789473679</v>
      </c>
      <c r="AA97" s="63">
        <v>0.47368421052631571</v>
      </c>
      <c r="AB97" s="63">
        <v>-0.26315789473684215</v>
      </c>
      <c r="AC97" s="63">
        <v>0.47368421052631571</v>
      </c>
      <c r="AD97" s="63">
        <v>0.10526315789473679</v>
      </c>
      <c r="AF97" s="60">
        <v>2.7142857142857144</v>
      </c>
    </row>
    <row r="98" spans="1:33">
      <c r="A98" t="s">
        <v>185</v>
      </c>
      <c r="B98" s="55">
        <v>3</v>
      </c>
      <c r="C98" s="55">
        <v>2</v>
      </c>
      <c r="D98" s="55">
        <v>3</v>
      </c>
      <c r="E98" s="55">
        <v>2</v>
      </c>
      <c r="F98" s="55">
        <v>3</v>
      </c>
      <c r="G98" s="55">
        <v>3</v>
      </c>
      <c r="H98" s="55">
        <v>2</v>
      </c>
      <c r="I98" s="55">
        <v>0</v>
      </c>
      <c r="J98" s="55">
        <v>0</v>
      </c>
      <c r="K98" s="55">
        <v>3</v>
      </c>
      <c r="L98" s="55">
        <v>2</v>
      </c>
      <c r="M98" s="55">
        <v>0</v>
      </c>
      <c r="N98" s="55">
        <v>3</v>
      </c>
      <c r="O98" s="55">
        <v>2</v>
      </c>
      <c r="Q98" s="63">
        <v>0.5</v>
      </c>
      <c r="R98" s="63">
        <v>0</v>
      </c>
      <c r="S98" s="63">
        <v>0.5</v>
      </c>
      <c r="T98" s="63">
        <v>0</v>
      </c>
      <c r="U98" s="63">
        <v>0.5</v>
      </c>
      <c r="V98" s="63">
        <v>0.5</v>
      </c>
      <c r="W98" s="63">
        <v>0</v>
      </c>
      <c r="X98" s="63">
        <v>-1</v>
      </c>
      <c r="Y98" s="63">
        <v>-1</v>
      </c>
      <c r="Z98" s="63">
        <v>0.5</v>
      </c>
      <c r="AA98" s="63">
        <v>0</v>
      </c>
      <c r="AB98" s="63">
        <v>-1</v>
      </c>
      <c r="AC98" s="63">
        <v>0.5</v>
      </c>
      <c r="AD98" s="63">
        <v>0</v>
      </c>
      <c r="AF98" s="60">
        <v>2</v>
      </c>
    </row>
    <row r="99" spans="1:33">
      <c r="A99" t="s">
        <v>256</v>
      </c>
      <c r="B99" s="55">
        <v>3</v>
      </c>
      <c r="C99" s="55">
        <v>2</v>
      </c>
      <c r="D99" s="55">
        <v>3</v>
      </c>
      <c r="E99" s="55">
        <v>3</v>
      </c>
      <c r="F99" s="55">
        <v>3</v>
      </c>
      <c r="G99" s="55">
        <v>3</v>
      </c>
      <c r="H99" s="55">
        <v>3</v>
      </c>
      <c r="I99" s="55">
        <v>0</v>
      </c>
      <c r="J99" s="55">
        <v>1</v>
      </c>
      <c r="K99" s="55">
        <v>3</v>
      </c>
      <c r="L99" s="55">
        <v>4</v>
      </c>
      <c r="M99" s="55">
        <v>2</v>
      </c>
      <c r="N99" s="55">
        <v>3</v>
      </c>
      <c r="O99" s="55">
        <v>3</v>
      </c>
      <c r="Q99" s="63">
        <v>0.16666666666666657</v>
      </c>
      <c r="R99" s="63">
        <v>-0.22222222222222229</v>
      </c>
      <c r="S99" s="63">
        <v>0.16666666666666657</v>
      </c>
      <c r="T99" s="63">
        <v>0.16666666666666657</v>
      </c>
      <c r="U99" s="63">
        <v>0.16666666666666657</v>
      </c>
      <c r="V99" s="63">
        <v>0.16666666666666657</v>
      </c>
      <c r="W99" s="63">
        <v>0.16666666666666657</v>
      </c>
      <c r="X99" s="63">
        <v>-1</v>
      </c>
      <c r="Y99" s="63">
        <v>-0.61111111111111116</v>
      </c>
      <c r="Z99" s="63">
        <v>0.16666666666666657</v>
      </c>
      <c r="AA99" s="63">
        <v>0.55555555555555547</v>
      </c>
      <c r="AB99" s="63">
        <v>-0.22222222222222229</v>
      </c>
      <c r="AC99" s="63">
        <v>0.16666666666666657</v>
      </c>
      <c r="AD99" s="63">
        <v>0.16666666666666657</v>
      </c>
      <c r="AF99" s="60">
        <v>2.5714285714285716</v>
      </c>
    </row>
    <row r="100" spans="1:33">
      <c r="A100" t="s">
        <v>335</v>
      </c>
      <c r="B100" s="55">
        <v>3</v>
      </c>
      <c r="C100" s="55">
        <v>3</v>
      </c>
      <c r="D100" s="55">
        <v>3</v>
      </c>
      <c r="E100" s="55">
        <v>2</v>
      </c>
      <c r="F100" s="55">
        <v>3</v>
      </c>
      <c r="G100" s="55">
        <v>3</v>
      </c>
      <c r="H100" s="55">
        <v>2</v>
      </c>
      <c r="I100" s="55">
        <v>0</v>
      </c>
      <c r="J100" s="55">
        <v>0</v>
      </c>
      <c r="K100" s="55">
        <v>2</v>
      </c>
      <c r="L100" s="55">
        <v>2</v>
      </c>
      <c r="M100" s="55">
        <v>0</v>
      </c>
      <c r="N100" s="55">
        <v>3</v>
      </c>
      <c r="O100" s="55">
        <v>2</v>
      </c>
      <c r="Q100" s="63">
        <v>0.5</v>
      </c>
      <c r="R100" s="63">
        <v>0.5</v>
      </c>
      <c r="S100" s="63">
        <v>0.5</v>
      </c>
      <c r="T100" s="63">
        <v>0</v>
      </c>
      <c r="U100" s="63">
        <v>0.5</v>
      </c>
      <c r="V100" s="63">
        <v>0.5</v>
      </c>
      <c r="W100" s="63">
        <v>0</v>
      </c>
      <c r="X100" s="63">
        <v>-1</v>
      </c>
      <c r="Y100" s="63">
        <v>-1</v>
      </c>
      <c r="Z100" s="63">
        <v>0</v>
      </c>
      <c r="AA100" s="63">
        <v>0</v>
      </c>
      <c r="AB100" s="63">
        <v>-1</v>
      </c>
      <c r="AC100" s="63">
        <v>0.5</v>
      </c>
      <c r="AD100" s="63">
        <v>0</v>
      </c>
      <c r="AF100" s="60">
        <v>2</v>
      </c>
    </row>
    <row r="101" spans="1:33">
      <c r="A101" t="s">
        <v>298</v>
      </c>
      <c r="Q101" s="63"/>
      <c r="R101" s="63"/>
      <c r="S101" s="63"/>
      <c r="T101" s="63"/>
      <c r="U101" s="63"/>
      <c r="V101" s="63"/>
      <c r="W101" s="63"/>
      <c r="X101" s="63"/>
      <c r="Y101" s="63"/>
      <c r="Z101" s="63"/>
      <c r="AA101" s="63"/>
      <c r="AB101" s="63"/>
      <c r="AC101" s="63"/>
      <c r="AD101" s="63"/>
      <c r="AF101" s="60" t="e">
        <v>#DIV/0!</v>
      </c>
    </row>
    <row r="102" spans="1:33">
      <c r="A102" t="s">
        <v>147</v>
      </c>
      <c r="B102" s="55">
        <v>3</v>
      </c>
      <c r="C102" s="55">
        <v>2</v>
      </c>
      <c r="D102" s="55">
        <v>3</v>
      </c>
      <c r="E102" s="55">
        <v>3</v>
      </c>
      <c r="F102" s="55">
        <v>2</v>
      </c>
      <c r="G102" s="55">
        <v>2</v>
      </c>
      <c r="H102" s="55">
        <v>4</v>
      </c>
      <c r="I102" s="55">
        <v>0</v>
      </c>
      <c r="J102" s="55">
        <v>0</v>
      </c>
      <c r="K102" s="55">
        <v>2</v>
      </c>
      <c r="L102" s="55">
        <v>1</v>
      </c>
      <c r="M102" s="55">
        <v>2</v>
      </c>
      <c r="N102" s="55">
        <v>2</v>
      </c>
      <c r="O102" s="55">
        <v>3</v>
      </c>
      <c r="Q102" s="63">
        <v>0.44827586206896536</v>
      </c>
      <c r="R102" s="63">
        <v>-3.4482758620689745E-2</v>
      </c>
      <c r="S102" s="63">
        <v>0.44827586206896536</v>
      </c>
      <c r="T102" s="63">
        <v>0.44827586206896536</v>
      </c>
      <c r="U102" s="63">
        <v>-3.4482758620689745E-2</v>
      </c>
      <c r="V102" s="63">
        <v>-3.4482758620689745E-2</v>
      </c>
      <c r="W102" s="63">
        <v>0.93103448275862055</v>
      </c>
      <c r="X102" s="63">
        <v>-1</v>
      </c>
      <c r="Y102" s="63">
        <v>-1</v>
      </c>
      <c r="Z102" s="63">
        <v>-3.4482758620689745E-2</v>
      </c>
      <c r="AA102" s="63">
        <v>-0.51724137931034486</v>
      </c>
      <c r="AB102" s="63">
        <v>-3.4482758620689745E-2</v>
      </c>
      <c r="AC102" s="63">
        <v>-3.4482758620689745E-2</v>
      </c>
      <c r="AD102" s="63">
        <v>0.44827586206896536</v>
      </c>
      <c r="AF102" s="60">
        <v>2.0714285714285716</v>
      </c>
    </row>
    <row r="103" spans="1:33">
      <c r="A103" t="s">
        <v>336</v>
      </c>
      <c r="B103" s="55">
        <v>2</v>
      </c>
      <c r="C103" s="55">
        <v>2</v>
      </c>
      <c r="D103" s="55">
        <v>2</v>
      </c>
      <c r="E103" s="55">
        <v>3</v>
      </c>
      <c r="F103" s="55">
        <v>2</v>
      </c>
      <c r="G103" s="55">
        <v>3</v>
      </c>
      <c r="H103" s="55">
        <v>4</v>
      </c>
      <c r="I103" s="55">
        <v>0</v>
      </c>
      <c r="J103" s="55">
        <v>0</v>
      </c>
      <c r="K103" s="55">
        <v>2</v>
      </c>
      <c r="L103" s="55">
        <v>2</v>
      </c>
      <c r="M103" s="55">
        <v>0</v>
      </c>
      <c r="N103" s="55">
        <v>2</v>
      </c>
      <c r="O103" s="55">
        <v>3</v>
      </c>
      <c r="Q103" s="63">
        <v>3.7037037037037021E-2</v>
      </c>
      <c r="R103" s="63">
        <v>3.7037037037037021E-2</v>
      </c>
      <c r="S103" s="63">
        <v>3.7037037037037021E-2</v>
      </c>
      <c r="T103" s="63">
        <v>0.55555555555555558</v>
      </c>
      <c r="U103" s="63">
        <v>3.7037037037037021E-2</v>
      </c>
      <c r="V103" s="63">
        <v>0.55555555555555558</v>
      </c>
      <c r="W103" s="63">
        <v>1.074074074074074</v>
      </c>
      <c r="X103" s="63">
        <v>-1</v>
      </c>
      <c r="Y103" s="63">
        <v>-1</v>
      </c>
      <c r="Z103" s="63">
        <v>3.7037037037037021E-2</v>
      </c>
      <c r="AA103" s="63">
        <v>3.7037037037037021E-2</v>
      </c>
      <c r="AB103" s="63">
        <v>-1</v>
      </c>
      <c r="AC103" s="63">
        <v>3.7037037037037021E-2</v>
      </c>
      <c r="AD103" s="63">
        <v>0.55555555555555558</v>
      </c>
      <c r="AF103" s="60">
        <v>1.9285714285714286</v>
      </c>
    </row>
    <row r="104" spans="1:33">
      <c r="A104" t="s">
        <v>337</v>
      </c>
      <c r="B104" s="55">
        <v>2</v>
      </c>
      <c r="C104" s="55">
        <v>0</v>
      </c>
      <c r="D104" s="55">
        <v>2</v>
      </c>
      <c r="E104" s="55">
        <v>3</v>
      </c>
      <c r="F104" s="55">
        <v>2</v>
      </c>
      <c r="G104" s="55">
        <v>2</v>
      </c>
      <c r="H104" s="55">
        <v>4</v>
      </c>
      <c r="I104" s="55">
        <v>0</v>
      </c>
      <c r="J104" s="55">
        <v>2</v>
      </c>
      <c r="K104" s="55">
        <v>2</v>
      </c>
      <c r="L104" s="55">
        <v>0</v>
      </c>
      <c r="M104" s="55">
        <v>0</v>
      </c>
      <c r="N104" s="55">
        <v>2</v>
      </c>
      <c r="O104" s="55">
        <v>3</v>
      </c>
      <c r="Q104" s="63">
        <v>0.16666666666666674</v>
      </c>
      <c r="R104" s="63">
        <v>-1</v>
      </c>
      <c r="S104" s="63">
        <v>0.16666666666666674</v>
      </c>
      <c r="T104" s="63">
        <v>0.75000000000000011</v>
      </c>
      <c r="U104" s="63">
        <v>0.16666666666666674</v>
      </c>
      <c r="V104" s="63">
        <v>0.16666666666666674</v>
      </c>
      <c r="W104" s="63">
        <v>1.3333333333333333</v>
      </c>
      <c r="X104" s="63">
        <v>-1</v>
      </c>
      <c r="Y104" s="63">
        <v>0.16666666666666674</v>
      </c>
      <c r="Z104" s="63">
        <v>0.16666666666666674</v>
      </c>
      <c r="AA104" s="63">
        <v>-1</v>
      </c>
      <c r="AB104" s="63">
        <v>-1</v>
      </c>
      <c r="AC104" s="63">
        <v>0.16666666666666674</v>
      </c>
      <c r="AD104" s="63">
        <v>0.75000000000000011</v>
      </c>
      <c r="AF104" s="60">
        <v>1.7142857142857142</v>
      </c>
    </row>
    <row r="105" spans="1:33">
      <c r="A105" t="s">
        <v>298</v>
      </c>
      <c r="Q105" s="63"/>
      <c r="R105" s="63"/>
      <c r="S105" s="63"/>
      <c r="T105" s="63"/>
      <c r="U105" s="63"/>
      <c r="V105" s="63"/>
      <c r="W105" s="63"/>
      <c r="X105" s="63"/>
      <c r="Y105" s="63"/>
      <c r="Z105" s="63"/>
      <c r="AA105" s="63"/>
      <c r="AB105" s="63"/>
      <c r="AC105" s="63"/>
      <c r="AD105" s="63"/>
      <c r="AF105" s="60" t="e">
        <v>#DIV/0!</v>
      </c>
    </row>
    <row r="106" spans="1:33">
      <c r="A106" t="s">
        <v>338</v>
      </c>
      <c r="B106" s="55">
        <v>4</v>
      </c>
      <c r="C106" s="55">
        <v>1</v>
      </c>
      <c r="D106" s="55">
        <v>3</v>
      </c>
      <c r="E106" s="55">
        <v>3</v>
      </c>
      <c r="F106" s="55">
        <v>1</v>
      </c>
      <c r="G106" s="55">
        <v>2</v>
      </c>
      <c r="H106" s="55">
        <v>4</v>
      </c>
      <c r="I106" s="55">
        <v>0</v>
      </c>
      <c r="J106" s="55">
        <v>3</v>
      </c>
      <c r="K106" s="55">
        <v>3</v>
      </c>
      <c r="L106" s="55">
        <v>3</v>
      </c>
      <c r="M106" s="55">
        <v>1</v>
      </c>
      <c r="N106" s="55">
        <v>5</v>
      </c>
      <c r="O106" s="55">
        <v>3</v>
      </c>
      <c r="Q106" s="63">
        <v>0.55555555555555547</v>
      </c>
      <c r="R106" s="63">
        <v>-0.61111111111111116</v>
      </c>
      <c r="S106" s="63">
        <v>0.16666666666666657</v>
      </c>
      <c r="T106" s="63">
        <v>0.16666666666666657</v>
      </c>
      <c r="U106" s="63">
        <v>-0.61111111111111116</v>
      </c>
      <c r="V106" s="63">
        <v>-0.22222222222222229</v>
      </c>
      <c r="W106" s="63">
        <v>0.55555555555555547</v>
      </c>
      <c r="X106" s="63">
        <v>-1</v>
      </c>
      <c r="Y106" s="63">
        <v>0.16666666666666657</v>
      </c>
      <c r="Z106" s="63">
        <v>0.16666666666666657</v>
      </c>
      <c r="AA106" s="63">
        <v>0.16666666666666657</v>
      </c>
      <c r="AB106" s="63">
        <v>-0.61111111111111116</v>
      </c>
      <c r="AC106" s="63">
        <v>0.94444444444444431</v>
      </c>
      <c r="AD106" s="63">
        <v>0.16666666666666657</v>
      </c>
      <c r="AF106" s="60">
        <v>2.5714285714285716</v>
      </c>
    </row>
    <row r="107" spans="1:33">
      <c r="A107" s="68" t="s">
        <v>255</v>
      </c>
      <c r="Q107" s="63"/>
      <c r="R107" s="63"/>
      <c r="S107" s="63"/>
      <c r="T107" s="63"/>
      <c r="U107" s="63"/>
      <c r="V107" s="63"/>
      <c r="W107" s="63"/>
      <c r="X107" s="63"/>
      <c r="Y107" s="63"/>
      <c r="Z107" s="63"/>
      <c r="AA107" s="63"/>
      <c r="AB107" s="63"/>
      <c r="AC107" s="63"/>
      <c r="AD107" s="63"/>
      <c r="AF107" s="60" t="e">
        <v>#DIV/0!</v>
      </c>
      <c r="AG107" s="69">
        <v>2.168831168831169</v>
      </c>
    </row>
    <row r="108" spans="1:33">
      <c r="A108" t="s">
        <v>339</v>
      </c>
      <c r="B108" s="55">
        <v>4</v>
      </c>
      <c r="C108" s="55">
        <v>2</v>
      </c>
      <c r="D108" s="55">
        <v>3</v>
      </c>
      <c r="E108" s="55">
        <v>3</v>
      </c>
      <c r="F108" s="55">
        <v>2</v>
      </c>
      <c r="G108" s="55">
        <v>2</v>
      </c>
      <c r="H108" s="55">
        <v>3</v>
      </c>
      <c r="I108" s="55">
        <v>0</v>
      </c>
      <c r="J108" s="55">
        <v>4</v>
      </c>
      <c r="K108" s="55">
        <v>4</v>
      </c>
      <c r="L108" s="55">
        <v>2</v>
      </c>
      <c r="M108" s="55">
        <v>2</v>
      </c>
      <c r="N108" s="55">
        <v>5</v>
      </c>
      <c r="O108" s="55">
        <v>3</v>
      </c>
      <c r="Q108" s="63">
        <v>0.43589743589743596</v>
      </c>
      <c r="R108" s="63">
        <v>-0.28205128205128199</v>
      </c>
      <c r="S108" s="63">
        <v>7.6923076923076969E-2</v>
      </c>
      <c r="T108" s="63">
        <v>7.6923076923076969E-2</v>
      </c>
      <c r="U108" s="63">
        <v>-0.28205128205128199</v>
      </c>
      <c r="V108" s="63">
        <v>-0.28205128205128199</v>
      </c>
      <c r="W108" s="63">
        <v>7.6923076923076969E-2</v>
      </c>
      <c r="X108" s="63">
        <v>-1</v>
      </c>
      <c r="Y108" s="63">
        <v>0.43589743589743596</v>
      </c>
      <c r="Z108" s="63">
        <v>0.43589743589743596</v>
      </c>
      <c r="AA108" s="63">
        <v>-0.28205128205128199</v>
      </c>
      <c r="AB108" s="63">
        <v>-0.28205128205128199</v>
      </c>
      <c r="AC108" s="63">
        <v>0.79487179487179493</v>
      </c>
      <c r="AD108" s="63">
        <v>7.6923076923076969E-2</v>
      </c>
      <c r="AF108" s="60">
        <v>2.7857142857142856</v>
      </c>
    </row>
    <row r="109" spans="1:33">
      <c r="A109" t="s">
        <v>298</v>
      </c>
      <c r="Q109" s="63"/>
      <c r="R109" s="63"/>
      <c r="S109" s="63"/>
      <c r="T109" s="63"/>
      <c r="U109" s="63"/>
      <c r="V109" s="63"/>
      <c r="W109" s="63"/>
      <c r="X109" s="63"/>
      <c r="Y109" s="63"/>
      <c r="Z109" s="63"/>
      <c r="AA109" s="63"/>
      <c r="AB109" s="63"/>
      <c r="AC109" s="63"/>
      <c r="AD109" s="63"/>
      <c r="AF109" s="60" t="e">
        <v>#DIV/0!</v>
      </c>
    </row>
    <row r="110" spans="1:33">
      <c r="A110" t="s">
        <v>340</v>
      </c>
      <c r="B110" s="55">
        <v>3</v>
      </c>
      <c r="C110" s="55">
        <v>3</v>
      </c>
      <c r="D110" s="55">
        <v>3</v>
      </c>
      <c r="E110" s="55">
        <v>4</v>
      </c>
      <c r="F110" s="55">
        <v>3</v>
      </c>
      <c r="G110" s="55">
        <v>3</v>
      </c>
      <c r="H110" s="55">
        <v>3</v>
      </c>
      <c r="I110" s="55">
        <v>0</v>
      </c>
      <c r="J110" s="55">
        <v>3</v>
      </c>
      <c r="K110" s="55">
        <v>3</v>
      </c>
      <c r="L110" s="55">
        <v>2</v>
      </c>
      <c r="M110" s="55">
        <v>2</v>
      </c>
      <c r="N110" s="55">
        <v>4</v>
      </c>
      <c r="O110" s="55">
        <v>2</v>
      </c>
      <c r="Q110" s="63">
        <v>0.10526315789473679</v>
      </c>
      <c r="R110" s="63">
        <v>0.10526315789473679</v>
      </c>
      <c r="S110" s="63">
        <v>0.10526315789473679</v>
      </c>
      <c r="T110" s="63">
        <v>0.47368421052631571</v>
      </c>
      <c r="U110" s="63">
        <v>0.10526315789473679</v>
      </c>
      <c r="V110" s="63">
        <v>0.10526315789473679</v>
      </c>
      <c r="W110" s="63">
        <v>0.10526315789473679</v>
      </c>
      <c r="X110" s="63">
        <v>-1</v>
      </c>
      <c r="Y110" s="63">
        <v>0.10526315789473679</v>
      </c>
      <c r="Z110" s="63">
        <v>0.10526315789473679</v>
      </c>
      <c r="AA110" s="63">
        <v>-0.26315789473684215</v>
      </c>
      <c r="AB110" s="63">
        <v>-0.26315789473684215</v>
      </c>
      <c r="AC110" s="63">
        <v>0.47368421052631571</v>
      </c>
      <c r="AD110" s="63">
        <v>-0.26315789473684215</v>
      </c>
      <c r="AF110" s="60">
        <v>2.7142857142857144</v>
      </c>
    </row>
    <row r="111" spans="1:33">
      <c r="A111" t="s">
        <v>298</v>
      </c>
      <c r="Q111" s="63"/>
      <c r="R111" s="63"/>
      <c r="S111" s="63"/>
      <c r="T111" s="63"/>
      <c r="U111" s="63"/>
      <c r="V111" s="63"/>
      <c r="W111" s="63"/>
      <c r="X111" s="63"/>
      <c r="Y111" s="63"/>
      <c r="Z111" s="63"/>
      <c r="AA111" s="63"/>
      <c r="AB111" s="63"/>
      <c r="AC111" s="63"/>
      <c r="AD111" s="63"/>
      <c r="AF111" s="60" t="e">
        <v>#DIV/0!</v>
      </c>
    </row>
    <row r="112" spans="1:33">
      <c r="A112" t="s">
        <v>341</v>
      </c>
      <c r="B112" s="55">
        <v>4</v>
      </c>
      <c r="C112" s="55">
        <v>2</v>
      </c>
      <c r="D112" s="55">
        <v>3</v>
      </c>
      <c r="E112" s="55">
        <v>2</v>
      </c>
      <c r="F112" s="55">
        <v>3</v>
      </c>
      <c r="G112" s="55">
        <v>3</v>
      </c>
      <c r="H112" s="55">
        <v>3</v>
      </c>
      <c r="I112" s="55">
        <v>0</v>
      </c>
      <c r="J112" s="55">
        <v>3</v>
      </c>
      <c r="K112" s="55">
        <v>2</v>
      </c>
      <c r="L112" s="55">
        <v>2</v>
      </c>
      <c r="M112" s="55">
        <v>2</v>
      </c>
      <c r="N112" s="55">
        <v>3</v>
      </c>
      <c r="O112" s="55">
        <v>2</v>
      </c>
      <c r="Q112" s="63">
        <v>0.64705882352941191</v>
      </c>
      <c r="R112" s="63">
        <v>-0.17647058823529405</v>
      </c>
      <c r="S112" s="63">
        <v>0.23529411764705893</v>
      </c>
      <c r="T112" s="63">
        <v>-0.17647058823529405</v>
      </c>
      <c r="U112" s="63">
        <v>0.23529411764705893</v>
      </c>
      <c r="V112" s="63">
        <v>0.23529411764705893</v>
      </c>
      <c r="W112" s="63">
        <v>0.23529411764705893</v>
      </c>
      <c r="X112" s="63">
        <v>-1</v>
      </c>
      <c r="Y112" s="63">
        <v>0.23529411764705893</v>
      </c>
      <c r="Z112" s="63">
        <v>-0.17647058823529405</v>
      </c>
      <c r="AA112" s="63">
        <v>-0.17647058823529405</v>
      </c>
      <c r="AB112" s="63">
        <v>-0.17647058823529405</v>
      </c>
      <c r="AC112" s="63">
        <v>0.23529411764705893</v>
      </c>
      <c r="AD112" s="63">
        <v>-0.17647058823529405</v>
      </c>
      <c r="AF112" s="60">
        <v>2.4285714285714284</v>
      </c>
    </row>
    <row r="113" spans="1:32">
      <c r="A113" t="s">
        <v>298</v>
      </c>
      <c r="Q113" s="63"/>
      <c r="R113" s="63"/>
      <c r="S113" s="63"/>
      <c r="T113" s="63"/>
      <c r="U113" s="63"/>
      <c r="V113" s="63"/>
      <c r="W113" s="63"/>
      <c r="X113" s="63"/>
      <c r="Y113" s="63"/>
      <c r="Z113" s="63"/>
      <c r="AA113" s="63"/>
      <c r="AB113" s="63"/>
      <c r="AC113" s="63"/>
      <c r="AD113" s="63"/>
      <c r="AF113" s="60" t="e">
        <v>#DIV/0!</v>
      </c>
    </row>
    <row r="114" spans="1:32">
      <c r="A114" t="s">
        <v>342</v>
      </c>
      <c r="B114" s="55">
        <v>4</v>
      </c>
      <c r="C114" s="55">
        <v>2</v>
      </c>
      <c r="D114" s="55">
        <v>3</v>
      </c>
      <c r="E114" s="55">
        <v>2</v>
      </c>
      <c r="F114" s="55">
        <v>3</v>
      </c>
      <c r="G114" s="55">
        <v>3</v>
      </c>
      <c r="H114" s="55">
        <v>5</v>
      </c>
      <c r="I114" s="55">
        <v>0</v>
      </c>
      <c r="J114" s="55">
        <v>2</v>
      </c>
      <c r="K114" s="55">
        <v>2</v>
      </c>
      <c r="L114" s="55">
        <v>3</v>
      </c>
      <c r="M114" s="55">
        <v>2</v>
      </c>
      <c r="N114" s="55">
        <v>3</v>
      </c>
      <c r="O114" s="55">
        <v>2</v>
      </c>
      <c r="Q114" s="63">
        <v>0.55555555555555547</v>
      </c>
      <c r="R114" s="63">
        <v>-0.22222222222222229</v>
      </c>
      <c r="S114" s="63">
        <v>0.16666666666666657</v>
      </c>
      <c r="T114" s="63">
        <v>-0.22222222222222229</v>
      </c>
      <c r="U114" s="63">
        <v>0.16666666666666657</v>
      </c>
      <c r="V114" s="63">
        <v>0.16666666666666657</v>
      </c>
      <c r="W114" s="63">
        <v>0.94444444444444431</v>
      </c>
      <c r="X114" s="63">
        <v>-1</v>
      </c>
      <c r="Y114" s="63">
        <v>-0.22222222222222229</v>
      </c>
      <c r="Z114" s="63">
        <v>-0.22222222222222229</v>
      </c>
      <c r="AA114" s="63">
        <v>0.16666666666666657</v>
      </c>
      <c r="AB114" s="63">
        <v>-0.22222222222222229</v>
      </c>
      <c r="AC114" s="63">
        <v>0.16666666666666657</v>
      </c>
      <c r="AD114" s="63">
        <v>-0.22222222222222229</v>
      </c>
      <c r="AF114" s="60">
        <v>2.5714285714285716</v>
      </c>
    </row>
    <row r="115" spans="1:32">
      <c r="A115" t="s">
        <v>298</v>
      </c>
      <c r="Q115" s="63"/>
      <c r="R115" s="63"/>
      <c r="S115" s="63"/>
      <c r="T115" s="63"/>
      <c r="U115" s="63"/>
      <c r="V115" s="63"/>
      <c r="W115" s="63"/>
      <c r="X115" s="63"/>
      <c r="Y115" s="63"/>
      <c r="Z115" s="63"/>
      <c r="AA115" s="63"/>
      <c r="AB115" s="63"/>
      <c r="AC115" s="63"/>
      <c r="AD115" s="63"/>
      <c r="AF115" s="60" t="e">
        <v>#DIV/0!</v>
      </c>
    </row>
    <row r="116" spans="1:32">
      <c r="A116" t="s">
        <v>343</v>
      </c>
      <c r="B116" s="55">
        <v>2</v>
      </c>
      <c r="C116" s="55">
        <v>1</v>
      </c>
      <c r="D116" s="55">
        <v>2</v>
      </c>
      <c r="E116" s="55">
        <v>2</v>
      </c>
      <c r="F116" s="55">
        <v>3</v>
      </c>
      <c r="G116" s="55">
        <v>2</v>
      </c>
      <c r="H116" s="55">
        <v>3</v>
      </c>
      <c r="I116" s="55">
        <v>0</v>
      </c>
      <c r="J116" s="55">
        <v>2</v>
      </c>
      <c r="K116" s="55">
        <v>2</v>
      </c>
      <c r="L116" s="55">
        <v>1</v>
      </c>
      <c r="M116" s="55">
        <v>1</v>
      </c>
      <c r="N116" s="55">
        <v>1</v>
      </c>
      <c r="O116" s="55">
        <v>2</v>
      </c>
      <c r="Q116" s="63">
        <v>0.16666666666666674</v>
      </c>
      <c r="R116" s="63">
        <v>-0.41666666666666663</v>
      </c>
      <c r="S116" s="63">
        <v>0.16666666666666674</v>
      </c>
      <c r="T116" s="63">
        <v>0.16666666666666674</v>
      </c>
      <c r="U116" s="63">
        <v>0.75000000000000011</v>
      </c>
      <c r="V116" s="63">
        <v>0.16666666666666674</v>
      </c>
      <c r="W116" s="63">
        <v>0.75000000000000011</v>
      </c>
      <c r="X116" s="63">
        <v>-1</v>
      </c>
      <c r="Y116" s="63">
        <v>0.16666666666666674</v>
      </c>
      <c r="Z116" s="63">
        <v>0.16666666666666674</v>
      </c>
      <c r="AA116" s="63">
        <v>-0.41666666666666663</v>
      </c>
      <c r="AB116" s="63">
        <v>-0.41666666666666663</v>
      </c>
      <c r="AC116" s="63">
        <v>-0.41666666666666663</v>
      </c>
      <c r="AD116" s="63">
        <v>0.16666666666666674</v>
      </c>
      <c r="AF116" s="60">
        <v>1.7142857142857142</v>
      </c>
    </row>
    <row r="117" spans="1:32">
      <c r="A117" t="s">
        <v>298</v>
      </c>
      <c r="Q117" s="63"/>
      <c r="R117" s="63"/>
      <c r="S117" s="63"/>
      <c r="T117" s="63"/>
      <c r="U117" s="63"/>
      <c r="V117" s="63"/>
      <c r="W117" s="63"/>
      <c r="X117" s="63"/>
      <c r="Y117" s="63"/>
      <c r="Z117" s="63"/>
      <c r="AA117" s="63"/>
      <c r="AB117" s="63"/>
      <c r="AC117" s="63"/>
      <c r="AD117" s="63"/>
      <c r="AF117" s="60" t="e">
        <v>#DIV/0!</v>
      </c>
    </row>
    <row r="118" spans="1:32">
      <c r="A118" t="s">
        <v>344</v>
      </c>
      <c r="B118" s="55">
        <v>4</v>
      </c>
      <c r="C118" s="55">
        <v>1</v>
      </c>
      <c r="D118" s="55">
        <v>2</v>
      </c>
      <c r="E118" s="55">
        <v>2</v>
      </c>
      <c r="F118" s="55">
        <v>2</v>
      </c>
      <c r="G118" s="55">
        <v>2</v>
      </c>
      <c r="H118" s="55">
        <v>2</v>
      </c>
      <c r="I118" s="55">
        <v>0</v>
      </c>
      <c r="J118" s="55">
        <v>3</v>
      </c>
      <c r="K118" s="55">
        <v>1</v>
      </c>
      <c r="L118" s="55">
        <v>1</v>
      </c>
      <c r="M118" s="55">
        <v>1</v>
      </c>
      <c r="N118" s="55">
        <v>2</v>
      </c>
      <c r="O118" s="55">
        <v>2</v>
      </c>
      <c r="Q118" s="63">
        <v>1.24</v>
      </c>
      <c r="R118" s="63">
        <v>-0.44</v>
      </c>
      <c r="S118" s="63">
        <v>0.11999999999999994</v>
      </c>
      <c r="T118" s="63">
        <v>0.11999999999999994</v>
      </c>
      <c r="U118" s="63">
        <v>0.11999999999999994</v>
      </c>
      <c r="V118" s="63">
        <v>0.11999999999999994</v>
      </c>
      <c r="W118" s="63">
        <v>0.11999999999999994</v>
      </c>
      <c r="X118" s="63">
        <v>-1</v>
      </c>
      <c r="Y118" s="63">
        <v>0.67999999999999994</v>
      </c>
      <c r="Z118" s="63">
        <v>-0.44</v>
      </c>
      <c r="AA118" s="63">
        <v>-0.44</v>
      </c>
      <c r="AB118" s="63">
        <v>-0.44</v>
      </c>
      <c r="AC118" s="63">
        <v>0.11999999999999994</v>
      </c>
      <c r="AD118" s="63">
        <v>0.11999999999999994</v>
      </c>
      <c r="AF118" s="60">
        <v>1.7857142857142858</v>
      </c>
    </row>
    <row r="119" spans="1:32">
      <c r="A119" t="s">
        <v>298</v>
      </c>
      <c r="E119" s="55" t="s">
        <v>298</v>
      </c>
      <c r="Q119" s="63"/>
      <c r="R119" s="63"/>
      <c r="S119" s="63"/>
      <c r="T119" s="63"/>
      <c r="U119" s="63"/>
      <c r="V119" s="63"/>
      <c r="W119" s="63"/>
      <c r="X119" s="63"/>
      <c r="Y119" s="63"/>
      <c r="Z119" s="63"/>
      <c r="AA119" s="63"/>
      <c r="AB119" s="63"/>
      <c r="AC119" s="63"/>
      <c r="AD119" s="63"/>
      <c r="AF119" s="60" t="e">
        <v>#DIV/0!</v>
      </c>
    </row>
    <row r="120" spans="1:32">
      <c r="A120" t="s">
        <v>345</v>
      </c>
      <c r="B120" s="55">
        <v>4</v>
      </c>
      <c r="C120" s="55">
        <v>1</v>
      </c>
      <c r="D120" s="55">
        <v>2</v>
      </c>
      <c r="E120" s="55">
        <v>2</v>
      </c>
      <c r="F120" s="55">
        <v>2</v>
      </c>
      <c r="G120" s="55">
        <v>2</v>
      </c>
      <c r="H120" s="55">
        <v>3</v>
      </c>
      <c r="I120" s="55">
        <v>0</v>
      </c>
      <c r="J120" s="55">
        <v>2</v>
      </c>
      <c r="K120" s="55">
        <v>1</v>
      </c>
      <c r="L120" s="55">
        <v>1</v>
      </c>
      <c r="M120" s="55">
        <v>0</v>
      </c>
      <c r="N120" s="55">
        <v>2</v>
      </c>
      <c r="O120" s="55">
        <v>1</v>
      </c>
      <c r="Q120" s="63">
        <v>1.4347826086956523</v>
      </c>
      <c r="R120" s="63">
        <v>-0.39130434782608692</v>
      </c>
      <c r="S120" s="63">
        <v>0.21739130434782614</v>
      </c>
      <c r="T120" s="63">
        <v>0.21739130434782614</v>
      </c>
      <c r="U120" s="63">
        <v>0.21739130434782614</v>
      </c>
      <c r="V120" s="63">
        <v>0.21739130434782614</v>
      </c>
      <c r="W120" s="63">
        <v>0.82608695652173925</v>
      </c>
      <c r="X120" s="63">
        <v>-1</v>
      </c>
      <c r="Y120" s="63">
        <v>0.21739130434782614</v>
      </c>
      <c r="Z120" s="63">
        <v>-0.39130434782608692</v>
      </c>
      <c r="AA120" s="63">
        <v>-0.39130434782608692</v>
      </c>
      <c r="AB120" s="63">
        <v>-1</v>
      </c>
      <c r="AC120" s="63">
        <v>0.21739130434782614</v>
      </c>
      <c r="AD120" s="63">
        <v>-0.39130434782608692</v>
      </c>
      <c r="AF120" s="60">
        <v>1.6428571428571428</v>
      </c>
    </row>
    <row r="121" spans="1:32">
      <c r="A121" t="s">
        <v>298</v>
      </c>
      <c r="Q121" s="63"/>
      <c r="R121" s="63"/>
      <c r="S121" s="63"/>
      <c r="T121" s="63"/>
      <c r="U121" s="63"/>
      <c r="V121" s="63"/>
      <c r="W121" s="63"/>
      <c r="X121" s="63"/>
      <c r="Y121" s="63"/>
      <c r="Z121" s="63"/>
      <c r="AA121" s="63"/>
      <c r="AB121" s="63"/>
      <c r="AC121" s="63"/>
      <c r="AD121" s="63"/>
      <c r="AF121" s="60" t="e">
        <v>#DIV/0!</v>
      </c>
    </row>
    <row r="122" spans="1:32">
      <c r="A122" t="s">
        <v>346</v>
      </c>
      <c r="B122" s="55">
        <v>2</v>
      </c>
      <c r="C122" s="55">
        <v>1</v>
      </c>
      <c r="D122" s="55">
        <v>1</v>
      </c>
      <c r="E122" s="55">
        <v>0</v>
      </c>
      <c r="F122" s="55">
        <v>3</v>
      </c>
      <c r="G122" s="55">
        <v>1</v>
      </c>
      <c r="H122" s="55">
        <v>3</v>
      </c>
      <c r="I122" s="55">
        <v>0</v>
      </c>
      <c r="J122" s="55">
        <v>3</v>
      </c>
      <c r="K122" s="55">
        <v>1</v>
      </c>
      <c r="L122" s="55">
        <v>1</v>
      </c>
      <c r="M122" s="55">
        <v>2</v>
      </c>
      <c r="N122" s="55">
        <v>3</v>
      </c>
      <c r="O122" s="55">
        <v>2</v>
      </c>
      <c r="Q122" s="63">
        <v>0.21739130434782614</v>
      </c>
      <c r="R122" s="63">
        <v>-0.39130434782608692</v>
      </c>
      <c r="S122" s="63">
        <v>-0.39130434782608692</v>
      </c>
      <c r="T122" s="63">
        <v>-1</v>
      </c>
      <c r="U122" s="63">
        <v>0.82608695652173925</v>
      </c>
      <c r="V122" s="63">
        <v>-0.39130434782608692</v>
      </c>
      <c r="W122" s="63">
        <v>0.82608695652173925</v>
      </c>
      <c r="X122" s="63">
        <v>-1</v>
      </c>
      <c r="Y122" s="63">
        <v>0.82608695652173925</v>
      </c>
      <c r="Z122" s="63">
        <v>-0.39130434782608692</v>
      </c>
      <c r="AA122" s="63">
        <v>-0.39130434782608692</v>
      </c>
      <c r="AB122" s="63">
        <v>0.21739130434782614</v>
      </c>
      <c r="AC122" s="63">
        <v>0.82608695652173925</v>
      </c>
      <c r="AD122" s="63">
        <v>0.21739130434782614</v>
      </c>
      <c r="AF122" s="60">
        <v>1.6428571428571428</v>
      </c>
    </row>
    <row r="123" spans="1:32">
      <c r="A123" t="s">
        <v>298</v>
      </c>
      <c r="Q123" s="63"/>
      <c r="R123" s="63"/>
      <c r="S123" s="63"/>
      <c r="T123" s="63"/>
      <c r="U123" s="63"/>
      <c r="V123" s="63"/>
      <c r="W123" s="63"/>
      <c r="X123" s="63"/>
      <c r="Y123" s="63"/>
      <c r="Z123" s="63"/>
      <c r="AA123" s="63"/>
      <c r="AB123" s="63"/>
      <c r="AC123" s="63"/>
      <c r="AD123" s="63"/>
      <c r="AF123" s="60" t="e">
        <v>#DIV/0!</v>
      </c>
    </row>
    <row r="124" spans="1:32">
      <c r="A124" t="s">
        <v>347</v>
      </c>
      <c r="B124" s="55">
        <v>3</v>
      </c>
      <c r="C124" s="55">
        <v>1</v>
      </c>
      <c r="D124" s="55">
        <v>2</v>
      </c>
      <c r="E124" s="55">
        <v>0</v>
      </c>
      <c r="F124" s="55">
        <v>3</v>
      </c>
      <c r="G124" s="55">
        <v>1</v>
      </c>
      <c r="H124" s="55">
        <v>3</v>
      </c>
      <c r="I124" s="55">
        <v>0</v>
      </c>
      <c r="J124" s="55">
        <v>3</v>
      </c>
      <c r="K124" s="55">
        <v>1</v>
      </c>
      <c r="L124" s="55">
        <v>1</v>
      </c>
      <c r="M124" s="55">
        <v>1</v>
      </c>
      <c r="N124" s="55">
        <v>3</v>
      </c>
      <c r="O124" s="55">
        <v>2</v>
      </c>
      <c r="Q124" s="63">
        <v>0.75000000000000011</v>
      </c>
      <c r="R124" s="63">
        <v>-0.41666666666666663</v>
      </c>
      <c r="S124" s="63">
        <v>0.16666666666666674</v>
      </c>
      <c r="T124" s="63">
        <v>-1</v>
      </c>
      <c r="U124" s="63">
        <v>0.75000000000000011</v>
      </c>
      <c r="V124" s="63">
        <v>-0.41666666666666663</v>
      </c>
      <c r="W124" s="63">
        <v>0.75000000000000011</v>
      </c>
      <c r="X124" s="63">
        <v>-1</v>
      </c>
      <c r="Y124" s="63">
        <v>0.75000000000000011</v>
      </c>
      <c r="Z124" s="63">
        <v>-0.41666666666666663</v>
      </c>
      <c r="AA124" s="63">
        <v>-0.41666666666666663</v>
      </c>
      <c r="AB124" s="63">
        <v>-0.41666666666666663</v>
      </c>
      <c r="AC124" s="63">
        <v>0.75000000000000011</v>
      </c>
      <c r="AD124" s="63">
        <v>0.16666666666666674</v>
      </c>
      <c r="AF124" s="60">
        <v>1.7142857142857142</v>
      </c>
    </row>
    <row r="125" spans="1:32">
      <c r="A125" t="s">
        <v>298</v>
      </c>
      <c r="Q125" s="63"/>
      <c r="R125" s="63"/>
      <c r="S125" s="63"/>
      <c r="T125" s="63"/>
      <c r="U125" s="63"/>
      <c r="V125" s="63"/>
      <c r="W125" s="63"/>
      <c r="X125" s="63"/>
      <c r="Y125" s="63"/>
      <c r="Z125" s="63"/>
      <c r="AA125" s="63"/>
      <c r="AB125" s="63"/>
      <c r="AC125" s="63"/>
      <c r="AD125" s="63"/>
      <c r="AF125" s="60" t="e">
        <v>#DIV/0!</v>
      </c>
    </row>
    <row r="126" spans="1:32">
      <c r="A126" t="s">
        <v>348</v>
      </c>
      <c r="B126" s="55">
        <v>4</v>
      </c>
      <c r="C126" s="55">
        <v>3</v>
      </c>
      <c r="D126" s="55">
        <v>3</v>
      </c>
      <c r="E126" s="55">
        <v>3</v>
      </c>
      <c r="F126" s="55">
        <v>3</v>
      </c>
      <c r="G126" s="55">
        <v>2</v>
      </c>
      <c r="H126" s="55">
        <v>3</v>
      </c>
      <c r="I126" s="55">
        <v>0</v>
      </c>
      <c r="J126" s="55">
        <v>4</v>
      </c>
      <c r="K126" s="55">
        <v>4</v>
      </c>
      <c r="L126" s="55">
        <v>3</v>
      </c>
      <c r="M126" s="55">
        <v>2</v>
      </c>
      <c r="N126" s="55">
        <v>3</v>
      </c>
      <c r="O126" s="55">
        <v>3</v>
      </c>
      <c r="Q126" s="63">
        <v>0.39999999999999997</v>
      </c>
      <c r="R126" s="63">
        <v>4.9999999999999975E-2</v>
      </c>
      <c r="S126" s="63">
        <v>4.9999999999999975E-2</v>
      </c>
      <c r="T126" s="63">
        <v>4.9999999999999975E-2</v>
      </c>
      <c r="U126" s="63">
        <v>4.9999999999999975E-2</v>
      </c>
      <c r="V126" s="63">
        <v>-0.3</v>
      </c>
      <c r="W126" s="63">
        <v>4.9999999999999975E-2</v>
      </c>
      <c r="X126" s="63">
        <v>-1</v>
      </c>
      <c r="Y126" s="63">
        <v>0.39999999999999997</v>
      </c>
      <c r="Z126" s="63">
        <v>0.39999999999999997</v>
      </c>
      <c r="AA126" s="63">
        <v>4.9999999999999975E-2</v>
      </c>
      <c r="AB126" s="63">
        <v>-0.3</v>
      </c>
      <c r="AC126" s="63">
        <v>4.9999999999999975E-2</v>
      </c>
      <c r="AD126" s="63">
        <v>4.9999999999999975E-2</v>
      </c>
      <c r="AF126" s="60">
        <v>2.8571428571428572</v>
      </c>
    </row>
    <row r="127" spans="1:32">
      <c r="A127" t="s">
        <v>298</v>
      </c>
      <c r="Q127" s="63"/>
      <c r="R127" s="63"/>
      <c r="S127" s="63"/>
      <c r="T127" s="63"/>
      <c r="U127" s="63"/>
      <c r="V127" s="63"/>
      <c r="W127" s="63"/>
      <c r="X127" s="63"/>
      <c r="Y127" s="63"/>
      <c r="Z127" s="63"/>
      <c r="AA127" s="63"/>
      <c r="AB127" s="63"/>
      <c r="AC127" s="63"/>
      <c r="AD127" s="63"/>
      <c r="AF127" s="60" t="e">
        <v>#DIV/0!</v>
      </c>
    </row>
    <row r="128" spans="1:32">
      <c r="A128" t="s">
        <v>349</v>
      </c>
      <c r="B128" s="55">
        <v>2</v>
      </c>
      <c r="C128" s="55">
        <v>1</v>
      </c>
      <c r="D128" s="55">
        <v>2</v>
      </c>
      <c r="E128" s="55">
        <v>2</v>
      </c>
      <c r="F128" s="55">
        <v>2</v>
      </c>
      <c r="G128" s="55">
        <v>4</v>
      </c>
      <c r="H128" s="55">
        <v>3</v>
      </c>
      <c r="I128" s="55">
        <v>0</v>
      </c>
      <c r="J128" s="55">
        <v>2</v>
      </c>
      <c r="K128" s="55">
        <v>2</v>
      </c>
      <c r="L128" s="55">
        <v>3</v>
      </c>
      <c r="M128" s="55">
        <v>1</v>
      </c>
      <c r="N128" s="55">
        <v>2</v>
      </c>
      <c r="O128" s="55">
        <v>2</v>
      </c>
      <c r="Q128" s="63">
        <v>0</v>
      </c>
      <c r="R128" s="63">
        <v>-0.5</v>
      </c>
      <c r="S128" s="63">
        <v>0</v>
      </c>
      <c r="T128" s="63">
        <v>0</v>
      </c>
      <c r="U128" s="63">
        <v>0</v>
      </c>
      <c r="V128" s="63">
        <v>1</v>
      </c>
      <c r="W128" s="63">
        <v>0.5</v>
      </c>
      <c r="X128" s="63">
        <v>-1</v>
      </c>
      <c r="Y128" s="63">
        <v>0</v>
      </c>
      <c r="Z128" s="63">
        <v>0</v>
      </c>
      <c r="AA128" s="63">
        <v>0.5</v>
      </c>
      <c r="AB128" s="63">
        <v>-0.5</v>
      </c>
      <c r="AC128" s="63">
        <v>0</v>
      </c>
      <c r="AD128" s="63">
        <v>0</v>
      </c>
      <c r="AF128" s="60">
        <v>2</v>
      </c>
    </row>
    <row r="129" spans="1:32">
      <c r="A129" s="66" t="s">
        <v>1297</v>
      </c>
      <c r="B129" s="67">
        <v>2.8181818181818183</v>
      </c>
      <c r="C129" s="67">
        <v>1.5</v>
      </c>
      <c r="D129" s="67">
        <v>2.2727272727272729</v>
      </c>
      <c r="E129" s="67">
        <v>2</v>
      </c>
      <c r="F129" s="67">
        <v>2.2272727272727271</v>
      </c>
      <c r="G129" s="67">
        <v>2.1818181818181817</v>
      </c>
      <c r="H129" s="67">
        <v>3.0454545454545454</v>
      </c>
      <c r="I129" s="67">
        <v>0</v>
      </c>
      <c r="J129" s="67">
        <v>1.9545454545454546</v>
      </c>
      <c r="K129" s="67">
        <v>2.1363636363636362</v>
      </c>
      <c r="L129" s="67">
        <v>1.8181818181818181</v>
      </c>
      <c r="M129" s="67">
        <v>1.0909090909090908</v>
      </c>
      <c r="N129" s="67">
        <v>2.5909090909090908</v>
      </c>
      <c r="O129" s="67">
        <v>2.2272727272727271</v>
      </c>
      <c r="Q129" s="63">
        <v>0.4159869494290378</v>
      </c>
      <c r="R129" s="63">
        <v>-0.24632952691680249</v>
      </c>
      <c r="S129" s="63">
        <v>0.14192495921696602</v>
      </c>
      <c r="T129" s="63">
        <v>4.8939641109300089E-3</v>
      </c>
      <c r="U129" s="63">
        <v>0.1190864600326265</v>
      </c>
      <c r="V129" s="63">
        <v>9.6247960848287198E-2</v>
      </c>
      <c r="W129" s="63">
        <v>0.53017944535073436</v>
      </c>
      <c r="X129" s="63">
        <v>-1</v>
      </c>
      <c r="Y129" s="63">
        <v>-1.794453507340929E-2</v>
      </c>
      <c r="Z129" s="63">
        <v>7.3409461663947906E-2</v>
      </c>
      <c r="AA129" s="63">
        <v>-8.6460032626427291E-2</v>
      </c>
      <c r="AB129" s="63">
        <v>-0.45187601957585638</v>
      </c>
      <c r="AC129" s="63">
        <v>0.30179445350734113</v>
      </c>
      <c r="AD129" s="63">
        <v>0.1190864600326265</v>
      </c>
      <c r="AF129" s="60">
        <v>1.99025974025974</v>
      </c>
    </row>
    <row r="130" spans="1:32">
      <c r="A130" t="s">
        <v>298</v>
      </c>
      <c r="Q130" s="63"/>
      <c r="R130" s="63"/>
      <c r="S130" s="63"/>
      <c r="T130" s="63"/>
      <c r="U130" s="63"/>
      <c r="V130" s="63"/>
      <c r="W130" s="63"/>
      <c r="X130" s="63"/>
      <c r="Y130" s="63"/>
      <c r="Z130" s="63"/>
      <c r="AA130" s="63"/>
      <c r="AB130" s="63"/>
      <c r="AC130" s="63"/>
      <c r="AD130" s="63"/>
      <c r="AF130" s="60" t="e">
        <v>#DIV/0!</v>
      </c>
    </row>
    <row r="131" spans="1:32">
      <c r="A131" t="s">
        <v>298</v>
      </c>
      <c r="Q131" s="63"/>
      <c r="R131" s="63"/>
      <c r="S131" s="63"/>
      <c r="T131" s="63"/>
      <c r="U131" s="63"/>
      <c r="V131" s="63"/>
      <c r="W131" s="63"/>
      <c r="X131" s="63"/>
      <c r="Y131" s="63"/>
      <c r="Z131" s="63"/>
      <c r="AA131" s="63"/>
      <c r="AB131" s="63"/>
      <c r="AC131" s="63"/>
      <c r="AD131" s="63"/>
      <c r="AF131" s="60" t="e">
        <v>#DIV/0!</v>
      </c>
    </row>
    <row r="132" spans="1:32">
      <c r="A132" s="8" t="s">
        <v>11</v>
      </c>
      <c r="B132" s="53" t="s">
        <v>1231</v>
      </c>
      <c r="C132" s="53" t="s">
        <v>1232</v>
      </c>
      <c r="D132" s="53" t="s">
        <v>1233</v>
      </c>
      <c r="E132" s="53" t="s">
        <v>1234</v>
      </c>
      <c r="F132" s="53" t="s">
        <v>1235</v>
      </c>
      <c r="G132" s="53" t="s">
        <v>1236</v>
      </c>
      <c r="H132" s="53" t="s">
        <v>1237</v>
      </c>
      <c r="I132" s="53" t="s">
        <v>1238</v>
      </c>
      <c r="J132" s="53" t="s">
        <v>1239</v>
      </c>
      <c r="K132" s="53" t="s">
        <v>1240</v>
      </c>
      <c r="L132" s="53" t="s">
        <v>1241</v>
      </c>
      <c r="M132" s="53" t="s">
        <v>1289</v>
      </c>
      <c r="N132" s="53" t="s">
        <v>1290</v>
      </c>
      <c r="O132" s="53" t="s">
        <v>1291</v>
      </c>
      <c r="Q132" s="63"/>
      <c r="R132" s="63"/>
      <c r="S132" s="63"/>
      <c r="T132" s="63"/>
      <c r="U132" s="63"/>
      <c r="V132" s="63"/>
      <c r="W132" s="63"/>
      <c r="X132" s="63"/>
      <c r="Y132" s="63"/>
      <c r="Z132" s="63"/>
      <c r="AA132" s="63"/>
      <c r="AB132" s="63"/>
      <c r="AC132" s="63"/>
      <c r="AD132" s="63"/>
      <c r="AF132" s="60" t="e">
        <v>#DIV/0!</v>
      </c>
    </row>
    <row r="133" spans="1:32">
      <c r="A133" t="s">
        <v>298</v>
      </c>
      <c r="Q133" s="63"/>
      <c r="R133" s="63"/>
      <c r="S133" s="63"/>
      <c r="T133" s="63"/>
      <c r="U133" s="63"/>
      <c r="V133" s="63"/>
      <c r="W133" s="63"/>
      <c r="X133" s="63"/>
      <c r="Y133" s="63"/>
      <c r="Z133" s="63"/>
      <c r="AA133" s="63"/>
      <c r="AB133" s="63"/>
      <c r="AC133" s="63"/>
      <c r="AD133" s="63"/>
      <c r="AF133" s="60" t="e">
        <v>#DIV/0!</v>
      </c>
    </row>
    <row r="134" spans="1:32">
      <c r="A134" t="s">
        <v>350</v>
      </c>
      <c r="B134" s="55">
        <v>4</v>
      </c>
      <c r="C134" s="55">
        <v>3</v>
      </c>
      <c r="D134" s="55">
        <v>3</v>
      </c>
      <c r="E134" s="55">
        <v>3</v>
      </c>
      <c r="F134" s="55">
        <v>3</v>
      </c>
      <c r="G134" s="55">
        <v>2</v>
      </c>
      <c r="H134" s="55">
        <v>3</v>
      </c>
      <c r="I134" s="55">
        <v>0</v>
      </c>
      <c r="J134" s="55">
        <v>3</v>
      </c>
      <c r="K134" s="55">
        <v>3</v>
      </c>
      <c r="L134" s="55">
        <v>4</v>
      </c>
      <c r="M134" s="55">
        <v>2</v>
      </c>
      <c r="N134" s="55">
        <v>3</v>
      </c>
      <c r="O134" s="55">
        <v>3</v>
      </c>
      <c r="Q134" s="63">
        <v>0.43589743589743596</v>
      </c>
      <c r="R134" s="63">
        <v>7.6923076923076969E-2</v>
      </c>
      <c r="S134" s="63">
        <v>7.6923076923076969E-2</v>
      </c>
      <c r="T134" s="63">
        <v>7.6923076923076969E-2</v>
      </c>
      <c r="U134" s="63">
        <v>7.6923076923076969E-2</v>
      </c>
      <c r="V134" s="63">
        <v>-0.28205128205128199</v>
      </c>
      <c r="W134" s="63">
        <v>7.6923076923076969E-2</v>
      </c>
      <c r="X134" s="63">
        <v>-1</v>
      </c>
      <c r="Y134" s="63">
        <v>7.6923076923076969E-2</v>
      </c>
      <c r="Z134" s="63">
        <v>7.6923076923076969E-2</v>
      </c>
      <c r="AA134" s="63">
        <v>0.43589743589743596</v>
      </c>
      <c r="AB134" s="63">
        <v>-0.28205128205128199</v>
      </c>
      <c r="AC134" s="63">
        <v>7.6923076923076969E-2</v>
      </c>
      <c r="AD134" s="63">
        <v>7.6923076923076969E-2</v>
      </c>
      <c r="AF134" s="60">
        <v>2.7857142857142856</v>
      </c>
    </row>
    <row r="135" spans="1:32">
      <c r="A135" t="s">
        <v>298</v>
      </c>
      <c r="Q135" s="63"/>
      <c r="R135" s="63"/>
      <c r="S135" s="63"/>
      <c r="T135" s="63"/>
      <c r="U135" s="63"/>
      <c r="V135" s="63"/>
      <c r="W135" s="63"/>
      <c r="X135" s="63"/>
      <c r="Y135" s="63"/>
      <c r="Z135" s="63"/>
      <c r="AA135" s="63"/>
      <c r="AB135" s="63"/>
      <c r="AC135" s="63"/>
      <c r="AD135" s="63"/>
      <c r="AF135" s="60" t="e">
        <v>#DIV/0!</v>
      </c>
    </row>
    <row r="136" spans="1:32">
      <c r="A136" t="s">
        <v>351</v>
      </c>
      <c r="B136" s="55">
        <v>3</v>
      </c>
      <c r="C136" s="55">
        <v>4</v>
      </c>
      <c r="D136" s="55">
        <v>3</v>
      </c>
      <c r="E136" s="55">
        <v>3</v>
      </c>
      <c r="F136" s="55">
        <v>4</v>
      </c>
      <c r="G136" s="55">
        <v>3</v>
      </c>
      <c r="H136" s="55">
        <v>3</v>
      </c>
      <c r="I136" s="55">
        <v>3</v>
      </c>
      <c r="J136" s="55">
        <v>4</v>
      </c>
      <c r="K136" s="55">
        <v>3</v>
      </c>
      <c r="L136" s="55">
        <v>4</v>
      </c>
      <c r="M136" s="55">
        <v>2</v>
      </c>
      <c r="N136" s="55">
        <v>3</v>
      </c>
      <c r="O136" s="55">
        <v>3</v>
      </c>
      <c r="Q136" s="63">
        <v>-6.6666666666666707E-2</v>
      </c>
      <c r="R136" s="63">
        <v>0.24444444444444441</v>
      </c>
      <c r="S136" s="63">
        <v>-6.6666666666666707E-2</v>
      </c>
      <c r="T136" s="63">
        <v>-6.6666666666666707E-2</v>
      </c>
      <c r="U136" s="63">
        <v>0.24444444444444441</v>
      </c>
      <c r="V136" s="63">
        <v>-6.6666666666666707E-2</v>
      </c>
      <c r="W136" s="63">
        <v>-6.6666666666666707E-2</v>
      </c>
      <c r="X136" s="63">
        <v>-6.6666666666666707E-2</v>
      </c>
      <c r="Y136" s="63">
        <v>0.24444444444444441</v>
      </c>
      <c r="Z136" s="63">
        <v>-6.6666666666666707E-2</v>
      </c>
      <c r="AA136" s="63">
        <v>0.24444444444444441</v>
      </c>
      <c r="AB136" s="63">
        <v>-0.37777777777777782</v>
      </c>
      <c r="AC136" s="63">
        <v>-6.6666666666666707E-2</v>
      </c>
      <c r="AD136" s="63">
        <v>-6.6666666666666707E-2</v>
      </c>
      <c r="AF136" s="60">
        <v>3.2142857142857144</v>
      </c>
    </row>
    <row r="137" spans="1:32">
      <c r="A137" t="s">
        <v>298</v>
      </c>
      <c r="Q137" s="63"/>
      <c r="R137" s="63"/>
      <c r="S137" s="63"/>
      <c r="T137" s="63"/>
      <c r="U137" s="63"/>
      <c r="V137" s="63"/>
      <c r="W137" s="63"/>
      <c r="X137" s="63"/>
      <c r="Y137" s="63"/>
      <c r="Z137" s="63"/>
      <c r="AA137" s="63"/>
      <c r="AB137" s="63"/>
      <c r="AC137" s="63"/>
      <c r="AD137" s="63"/>
      <c r="AF137" s="60" t="e">
        <v>#DIV/0!</v>
      </c>
    </row>
    <row r="138" spans="1:32">
      <c r="A138" t="s">
        <v>47</v>
      </c>
      <c r="B138" s="55">
        <v>4</v>
      </c>
      <c r="C138" s="55">
        <v>2</v>
      </c>
      <c r="D138" s="55">
        <v>0</v>
      </c>
      <c r="E138" s="55">
        <v>4</v>
      </c>
      <c r="F138" s="55">
        <v>0</v>
      </c>
      <c r="G138" s="55">
        <v>2</v>
      </c>
      <c r="H138" s="55">
        <v>0</v>
      </c>
      <c r="I138" s="55">
        <v>0</v>
      </c>
      <c r="J138" s="55">
        <v>0</v>
      </c>
      <c r="K138" s="55">
        <v>0</v>
      </c>
      <c r="L138" s="55">
        <v>4</v>
      </c>
      <c r="M138" s="55">
        <v>3</v>
      </c>
      <c r="N138" s="55">
        <v>2</v>
      </c>
      <c r="O138" s="55">
        <v>4</v>
      </c>
      <c r="Q138" s="63">
        <v>1.24</v>
      </c>
      <c r="R138" s="63">
        <v>0.11999999999999994</v>
      </c>
      <c r="S138" s="63">
        <v>-1</v>
      </c>
      <c r="T138" s="63">
        <v>1.24</v>
      </c>
      <c r="U138" s="63">
        <v>-1</v>
      </c>
      <c r="V138" s="63">
        <v>0.11999999999999994</v>
      </c>
      <c r="W138" s="63">
        <v>-1</v>
      </c>
      <c r="X138" s="63">
        <v>-1</v>
      </c>
      <c r="Y138" s="63">
        <v>-1</v>
      </c>
      <c r="Z138" s="63">
        <v>-1</v>
      </c>
      <c r="AA138" s="63">
        <v>1.24</v>
      </c>
      <c r="AB138" s="63">
        <v>0.67999999999999994</v>
      </c>
      <c r="AC138" s="63">
        <v>0.11999999999999994</v>
      </c>
      <c r="AD138" s="63">
        <v>1.24</v>
      </c>
      <c r="AF138" s="60">
        <v>1.7857142857142858</v>
      </c>
    </row>
    <row r="139" spans="1:32">
      <c r="A139" t="s">
        <v>298</v>
      </c>
      <c r="Q139" s="63"/>
      <c r="R139" s="63"/>
      <c r="S139" s="63"/>
      <c r="T139" s="63"/>
      <c r="U139" s="63"/>
      <c r="V139" s="63"/>
      <c r="W139" s="63"/>
      <c r="X139" s="63"/>
      <c r="Y139" s="63"/>
      <c r="Z139" s="63"/>
      <c r="AA139" s="63"/>
      <c r="AB139" s="63"/>
      <c r="AC139" s="63"/>
      <c r="AD139" s="63"/>
      <c r="AF139" s="60" t="e">
        <v>#DIV/0!</v>
      </c>
    </row>
    <row r="140" spans="1:32">
      <c r="A140" t="s">
        <v>352</v>
      </c>
      <c r="B140" s="55">
        <v>2</v>
      </c>
      <c r="C140" s="55">
        <v>1</v>
      </c>
      <c r="D140" s="55">
        <v>3</v>
      </c>
      <c r="E140" s="55">
        <v>1</v>
      </c>
      <c r="F140" s="55">
        <v>0</v>
      </c>
      <c r="G140" s="55">
        <v>4</v>
      </c>
      <c r="H140" s="55">
        <v>0</v>
      </c>
      <c r="I140" s="55">
        <v>0</v>
      </c>
      <c r="J140" s="55">
        <v>3</v>
      </c>
      <c r="K140" s="55">
        <v>3</v>
      </c>
      <c r="L140" s="55">
        <v>3</v>
      </c>
      <c r="M140" s="55">
        <v>2</v>
      </c>
      <c r="N140" s="55">
        <v>2</v>
      </c>
      <c r="O140" s="55">
        <v>0</v>
      </c>
      <c r="Q140" s="63">
        <v>0.16666666666666674</v>
      </c>
      <c r="R140" s="63">
        <v>-0.41666666666666663</v>
      </c>
      <c r="S140" s="63">
        <v>0.75000000000000011</v>
      </c>
      <c r="T140" s="63">
        <v>-0.41666666666666663</v>
      </c>
      <c r="U140" s="63">
        <v>-1</v>
      </c>
      <c r="V140" s="63">
        <v>1.3333333333333333</v>
      </c>
      <c r="W140" s="63">
        <v>-1</v>
      </c>
      <c r="X140" s="63">
        <v>-1</v>
      </c>
      <c r="Y140" s="63">
        <v>0.75000000000000011</v>
      </c>
      <c r="Z140" s="63">
        <v>0.75000000000000011</v>
      </c>
      <c r="AA140" s="63">
        <v>0.75000000000000011</v>
      </c>
      <c r="AB140" s="63">
        <v>0.16666666666666674</v>
      </c>
      <c r="AC140" s="63">
        <v>0.16666666666666674</v>
      </c>
      <c r="AD140" s="63">
        <v>-1</v>
      </c>
      <c r="AF140" s="60">
        <v>1.7142857142857142</v>
      </c>
    </row>
    <row r="141" spans="1:32">
      <c r="A141" t="s">
        <v>298</v>
      </c>
      <c r="Q141" s="63"/>
      <c r="R141" s="63"/>
      <c r="S141" s="63"/>
      <c r="T141" s="63"/>
      <c r="U141" s="63"/>
      <c r="V141" s="63"/>
      <c r="W141" s="63"/>
      <c r="X141" s="63"/>
      <c r="Y141" s="63"/>
      <c r="Z141" s="63"/>
      <c r="AA141" s="63"/>
      <c r="AB141" s="63"/>
      <c r="AC141" s="63"/>
      <c r="AD141" s="63"/>
      <c r="AF141" s="60" t="e">
        <v>#DIV/0!</v>
      </c>
    </row>
    <row r="142" spans="1:32">
      <c r="A142" t="s">
        <v>353</v>
      </c>
      <c r="B142" s="55">
        <v>2</v>
      </c>
      <c r="C142" s="55">
        <v>2</v>
      </c>
      <c r="D142" s="55">
        <v>2</v>
      </c>
      <c r="E142" s="55">
        <v>2</v>
      </c>
      <c r="F142" s="55">
        <v>3</v>
      </c>
      <c r="G142" s="55">
        <v>3</v>
      </c>
      <c r="H142" s="55">
        <v>3</v>
      </c>
      <c r="I142" s="55">
        <v>3</v>
      </c>
      <c r="J142" s="55">
        <v>3</v>
      </c>
      <c r="K142" s="55">
        <v>2</v>
      </c>
      <c r="L142" s="55">
        <v>4</v>
      </c>
      <c r="M142" s="55">
        <v>3</v>
      </c>
      <c r="N142" s="55">
        <v>3</v>
      </c>
      <c r="O142" s="55">
        <v>3</v>
      </c>
      <c r="Q142" s="63">
        <v>-0.26315789473684215</v>
      </c>
      <c r="R142" s="63">
        <v>-0.26315789473684215</v>
      </c>
      <c r="S142" s="63">
        <v>-0.26315789473684215</v>
      </c>
      <c r="T142" s="63">
        <v>-0.26315789473684215</v>
      </c>
      <c r="U142" s="63">
        <v>0.10526315789473679</v>
      </c>
      <c r="V142" s="63">
        <v>0.10526315789473679</v>
      </c>
      <c r="W142" s="63">
        <v>0.10526315789473679</v>
      </c>
      <c r="X142" s="63">
        <v>0.10526315789473679</v>
      </c>
      <c r="Y142" s="63">
        <v>0.10526315789473679</v>
      </c>
      <c r="Z142" s="63">
        <v>-0.26315789473684215</v>
      </c>
      <c r="AA142" s="63">
        <v>0.47368421052631571</v>
      </c>
      <c r="AB142" s="63">
        <v>0.10526315789473679</v>
      </c>
      <c r="AC142" s="63">
        <v>0.10526315789473679</v>
      </c>
      <c r="AD142" s="63">
        <v>0.10526315789473679</v>
      </c>
      <c r="AF142" s="60">
        <v>2.7142857142857144</v>
      </c>
    </row>
    <row r="143" spans="1:32">
      <c r="A143" t="s">
        <v>298</v>
      </c>
      <c r="Q143" s="63"/>
      <c r="R143" s="63"/>
      <c r="S143" s="63"/>
      <c r="T143" s="63"/>
      <c r="U143" s="63"/>
      <c r="V143" s="63"/>
      <c r="W143" s="63"/>
      <c r="X143" s="63"/>
      <c r="Y143" s="63"/>
      <c r="Z143" s="63"/>
      <c r="AA143" s="63"/>
      <c r="AB143" s="63"/>
      <c r="AC143" s="63"/>
      <c r="AD143" s="63"/>
      <c r="AF143" s="60" t="e">
        <v>#DIV/0!</v>
      </c>
    </row>
    <row r="144" spans="1:32">
      <c r="A144" t="s">
        <v>354</v>
      </c>
      <c r="B144" s="55">
        <v>0</v>
      </c>
      <c r="C144" s="55">
        <v>0</v>
      </c>
      <c r="D144" s="55">
        <v>0</v>
      </c>
      <c r="E144" s="55">
        <v>0</v>
      </c>
      <c r="F144" s="55">
        <v>0</v>
      </c>
      <c r="G144" s="55">
        <v>2</v>
      </c>
      <c r="H144" s="55">
        <v>0</v>
      </c>
      <c r="I144" s="55">
        <v>0</v>
      </c>
      <c r="J144" s="55">
        <v>0</v>
      </c>
      <c r="K144" s="55">
        <v>0</v>
      </c>
      <c r="L144" s="55">
        <v>0</v>
      </c>
      <c r="M144" s="55">
        <v>0</v>
      </c>
      <c r="N144" s="55">
        <v>0</v>
      </c>
      <c r="O144" s="55">
        <v>0</v>
      </c>
      <c r="Q144" s="63">
        <v>-1</v>
      </c>
      <c r="R144" s="63">
        <v>-1</v>
      </c>
      <c r="S144" s="63">
        <v>-1</v>
      </c>
      <c r="T144" s="63">
        <v>-1</v>
      </c>
      <c r="U144" s="63">
        <v>-1</v>
      </c>
      <c r="V144" s="63">
        <v>13.000000000000002</v>
      </c>
      <c r="W144" s="63">
        <v>-1</v>
      </c>
      <c r="X144" s="63">
        <v>-1</v>
      </c>
      <c r="Y144" s="63">
        <v>-1</v>
      </c>
      <c r="Z144" s="63">
        <v>-1</v>
      </c>
      <c r="AA144" s="63">
        <v>-1</v>
      </c>
      <c r="AB144" s="63">
        <v>-1</v>
      </c>
      <c r="AC144" s="63">
        <v>-1</v>
      </c>
      <c r="AD144" s="63">
        <v>-1</v>
      </c>
      <c r="AF144" s="60">
        <v>0.14285714285714285</v>
      </c>
    </row>
    <row r="145" spans="1:32">
      <c r="A145" t="s">
        <v>298</v>
      </c>
      <c r="Q145" s="63"/>
      <c r="R145" s="63"/>
      <c r="S145" s="63"/>
      <c r="T145" s="63"/>
      <c r="U145" s="63"/>
      <c r="V145" s="63"/>
      <c r="W145" s="63"/>
      <c r="X145" s="63"/>
      <c r="Y145" s="63"/>
      <c r="Z145" s="63"/>
      <c r="AA145" s="63"/>
      <c r="AB145" s="63"/>
      <c r="AC145" s="63"/>
      <c r="AD145" s="63"/>
      <c r="AF145" s="60" t="e">
        <v>#DIV/0!</v>
      </c>
    </row>
    <row r="146" spans="1:32">
      <c r="A146" t="s">
        <v>355</v>
      </c>
      <c r="B146" s="55">
        <v>2</v>
      </c>
      <c r="C146" s="55">
        <v>2</v>
      </c>
      <c r="D146" s="55">
        <v>3</v>
      </c>
      <c r="E146" s="55">
        <v>3</v>
      </c>
      <c r="F146" s="55">
        <v>3</v>
      </c>
      <c r="G146" s="55">
        <v>3</v>
      </c>
      <c r="H146" s="55">
        <v>2</v>
      </c>
      <c r="I146" s="55">
        <v>3</v>
      </c>
      <c r="J146" s="55">
        <v>3</v>
      </c>
      <c r="K146" s="55">
        <v>3</v>
      </c>
      <c r="L146" s="55">
        <v>4</v>
      </c>
      <c r="M146" s="55">
        <v>0</v>
      </c>
      <c r="N146" s="55">
        <v>5</v>
      </c>
      <c r="O146" s="55">
        <v>2</v>
      </c>
      <c r="Q146" s="63">
        <v>-0.26315789473684215</v>
      </c>
      <c r="R146" s="63">
        <v>-0.26315789473684215</v>
      </c>
      <c r="S146" s="63">
        <v>0.10526315789473679</v>
      </c>
      <c r="T146" s="63">
        <v>0.10526315789473679</v>
      </c>
      <c r="U146" s="63">
        <v>0.10526315789473679</v>
      </c>
      <c r="V146" s="63">
        <v>0.10526315789473679</v>
      </c>
      <c r="W146" s="63">
        <v>-0.26315789473684215</v>
      </c>
      <c r="X146" s="63">
        <v>0.10526315789473679</v>
      </c>
      <c r="Y146" s="63">
        <v>0.10526315789473679</v>
      </c>
      <c r="Z146" s="63">
        <v>0.10526315789473679</v>
      </c>
      <c r="AA146" s="63">
        <v>0.47368421052631571</v>
      </c>
      <c r="AB146" s="63">
        <v>-1</v>
      </c>
      <c r="AC146" s="63">
        <v>0.84210526315789469</v>
      </c>
      <c r="AD146" s="63">
        <v>-0.26315789473684215</v>
      </c>
      <c r="AF146" s="60">
        <v>2.7142857142857144</v>
      </c>
    </row>
    <row r="147" spans="1:32">
      <c r="A147" t="s">
        <v>298</v>
      </c>
      <c r="Q147" s="63"/>
      <c r="R147" s="63"/>
      <c r="S147" s="63"/>
      <c r="T147" s="63"/>
      <c r="U147" s="63"/>
      <c r="V147" s="63"/>
      <c r="W147" s="63"/>
      <c r="X147" s="63"/>
      <c r="Y147" s="63"/>
      <c r="Z147" s="63"/>
      <c r="AA147" s="63"/>
      <c r="AB147" s="63"/>
      <c r="AC147" s="63"/>
      <c r="AD147" s="63"/>
      <c r="AF147" s="60" t="e">
        <v>#DIV/0!</v>
      </c>
    </row>
    <row r="148" spans="1:32">
      <c r="A148" t="s">
        <v>356</v>
      </c>
      <c r="B148" s="55">
        <v>1</v>
      </c>
      <c r="C148" s="55">
        <v>1</v>
      </c>
      <c r="D148" s="55">
        <v>1</v>
      </c>
      <c r="E148" s="55">
        <v>1</v>
      </c>
      <c r="F148" s="55">
        <v>1</v>
      </c>
      <c r="G148" s="55">
        <v>1</v>
      </c>
      <c r="H148" s="55">
        <v>1</v>
      </c>
      <c r="I148" s="55">
        <v>2</v>
      </c>
      <c r="J148" s="55">
        <v>2</v>
      </c>
      <c r="K148" s="55">
        <v>2</v>
      </c>
      <c r="L148" s="55">
        <v>4</v>
      </c>
      <c r="M148" s="55">
        <v>3</v>
      </c>
      <c r="N148" s="55">
        <v>3</v>
      </c>
      <c r="O148" s="55">
        <v>0</v>
      </c>
      <c r="Q148" s="63">
        <v>-0.39130434782608692</v>
      </c>
      <c r="R148" s="63">
        <v>-0.39130434782608692</v>
      </c>
      <c r="S148" s="63">
        <v>-0.39130434782608692</v>
      </c>
      <c r="T148" s="63">
        <v>-0.39130434782608692</v>
      </c>
      <c r="U148" s="63">
        <v>-0.39130434782608692</v>
      </c>
      <c r="V148" s="63">
        <v>-0.39130434782608692</v>
      </c>
      <c r="W148" s="63">
        <v>-0.39130434782608692</v>
      </c>
      <c r="X148" s="63">
        <v>0.21739130434782614</v>
      </c>
      <c r="Y148" s="63">
        <v>0.21739130434782614</v>
      </c>
      <c r="Z148" s="63">
        <v>0.21739130434782614</v>
      </c>
      <c r="AA148" s="63">
        <v>1.4347826086956523</v>
      </c>
      <c r="AB148" s="63">
        <v>0.82608695652173925</v>
      </c>
      <c r="AC148" s="63">
        <v>0.82608695652173925</v>
      </c>
      <c r="AD148" s="63">
        <v>-1</v>
      </c>
      <c r="AF148" s="60">
        <v>1.6428571428571428</v>
      </c>
    </row>
    <row r="149" spans="1:32">
      <c r="A149" t="s">
        <v>298</v>
      </c>
      <c r="I149" s="55" t="s">
        <v>298</v>
      </c>
      <c r="Q149" s="63"/>
      <c r="R149" s="63"/>
      <c r="S149" s="63"/>
      <c r="T149" s="63"/>
      <c r="U149" s="63"/>
      <c r="V149" s="63"/>
      <c r="W149" s="63"/>
      <c r="X149" s="63"/>
      <c r="Y149" s="63"/>
      <c r="Z149" s="63"/>
      <c r="AA149" s="63"/>
      <c r="AB149" s="63"/>
      <c r="AC149" s="63"/>
      <c r="AD149" s="63"/>
      <c r="AF149" s="60" t="e">
        <v>#DIV/0!</v>
      </c>
    </row>
    <row r="150" spans="1:32">
      <c r="A150" t="s">
        <v>357</v>
      </c>
      <c r="B150" s="55">
        <v>0</v>
      </c>
      <c r="C150" s="55">
        <v>3</v>
      </c>
      <c r="D150" s="55">
        <v>1</v>
      </c>
      <c r="E150" s="55">
        <v>3</v>
      </c>
      <c r="F150" s="55">
        <v>1</v>
      </c>
      <c r="G150" s="55">
        <v>3</v>
      </c>
      <c r="H150" s="55">
        <v>0</v>
      </c>
      <c r="I150" s="55">
        <v>0</v>
      </c>
      <c r="J150" s="55">
        <v>0</v>
      </c>
      <c r="K150" s="55">
        <v>3</v>
      </c>
      <c r="L150" s="55">
        <v>4</v>
      </c>
      <c r="M150" s="55">
        <v>0</v>
      </c>
      <c r="N150" s="55">
        <v>2</v>
      </c>
      <c r="O150" s="55">
        <v>3</v>
      </c>
      <c r="Q150" s="63">
        <v>-1</v>
      </c>
      <c r="R150" s="63">
        <v>0.82608695652173925</v>
      </c>
      <c r="S150" s="63">
        <v>-0.39130434782608692</v>
      </c>
      <c r="T150" s="63">
        <v>0.82608695652173925</v>
      </c>
      <c r="U150" s="63">
        <v>-0.39130434782608692</v>
      </c>
      <c r="V150" s="63">
        <v>0.82608695652173925</v>
      </c>
      <c r="W150" s="63">
        <v>-1</v>
      </c>
      <c r="X150" s="63">
        <v>-1</v>
      </c>
      <c r="Y150" s="63">
        <v>-1</v>
      </c>
      <c r="Z150" s="63">
        <v>0.82608695652173925</v>
      </c>
      <c r="AA150" s="63">
        <v>1.4347826086956523</v>
      </c>
      <c r="AB150" s="63">
        <v>-1</v>
      </c>
      <c r="AC150" s="63">
        <v>0.21739130434782614</v>
      </c>
      <c r="AD150" s="63">
        <v>0.82608695652173925</v>
      </c>
      <c r="AF150" s="60">
        <v>1.6428571428571428</v>
      </c>
    </row>
    <row r="151" spans="1:32">
      <c r="A151" t="s">
        <v>298</v>
      </c>
      <c r="I151" s="55" t="s">
        <v>298</v>
      </c>
      <c r="Q151" s="63"/>
      <c r="R151" s="63"/>
      <c r="S151" s="63"/>
      <c r="T151" s="63"/>
      <c r="U151" s="63"/>
      <c r="V151" s="63"/>
      <c r="W151" s="63"/>
      <c r="X151" s="63"/>
      <c r="Y151" s="63"/>
      <c r="Z151" s="63"/>
      <c r="AA151" s="63"/>
      <c r="AB151" s="63"/>
      <c r="AC151" s="63"/>
      <c r="AD151" s="63"/>
      <c r="AF151" s="60" t="e">
        <v>#DIV/0!</v>
      </c>
    </row>
    <row r="152" spans="1:32">
      <c r="A152" t="s">
        <v>112</v>
      </c>
      <c r="B152" s="55">
        <v>0</v>
      </c>
      <c r="C152" s="55">
        <v>0</v>
      </c>
      <c r="D152" s="55">
        <v>0</v>
      </c>
      <c r="E152" s="55">
        <v>0</v>
      </c>
      <c r="F152" s="55">
        <v>1</v>
      </c>
      <c r="G152" s="55">
        <v>0</v>
      </c>
      <c r="H152" s="55">
        <v>0</v>
      </c>
      <c r="I152" s="55">
        <v>1</v>
      </c>
      <c r="J152" s="55">
        <v>0</v>
      </c>
      <c r="K152" s="55">
        <v>2</v>
      </c>
      <c r="L152" s="55">
        <v>0</v>
      </c>
      <c r="M152" s="55">
        <v>1</v>
      </c>
      <c r="N152" s="55">
        <v>0</v>
      </c>
      <c r="O152" s="55">
        <v>0</v>
      </c>
      <c r="Q152" s="63">
        <v>-1</v>
      </c>
      <c r="R152" s="63">
        <v>-1</v>
      </c>
      <c r="S152" s="63">
        <v>-1</v>
      </c>
      <c r="T152" s="63">
        <v>-1</v>
      </c>
      <c r="U152" s="63">
        <v>1.7999999999999998</v>
      </c>
      <c r="V152" s="63">
        <v>-1</v>
      </c>
      <c r="W152" s="63">
        <v>-1</v>
      </c>
      <c r="X152" s="63">
        <v>1.7999999999999998</v>
      </c>
      <c r="Y152" s="63">
        <v>-1</v>
      </c>
      <c r="Z152" s="63">
        <v>4.5999999999999996</v>
      </c>
      <c r="AA152" s="63">
        <v>-1</v>
      </c>
      <c r="AB152" s="63">
        <v>1.7999999999999998</v>
      </c>
      <c r="AC152" s="63">
        <v>-1</v>
      </c>
      <c r="AD152" s="63">
        <v>-1</v>
      </c>
      <c r="AF152" s="60">
        <v>0.35714285714285715</v>
      </c>
    </row>
    <row r="153" spans="1:32">
      <c r="A153" t="s">
        <v>298</v>
      </c>
      <c r="Q153" s="63"/>
      <c r="R153" s="63"/>
      <c r="S153" s="63"/>
      <c r="T153" s="63"/>
      <c r="U153" s="63"/>
      <c r="V153" s="63"/>
      <c r="W153" s="63"/>
      <c r="X153" s="63"/>
      <c r="Y153" s="63"/>
      <c r="Z153" s="63"/>
      <c r="AA153" s="63"/>
      <c r="AB153" s="63"/>
      <c r="AC153" s="63"/>
      <c r="AD153" s="63"/>
      <c r="AF153" s="60" t="e">
        <v>#DIV/0!</v>
      </c>
    </row>
    <row r="154" spans="1:32">
      <c r="A154" t="s">
        <v>114</v>
      </c>
      <c r="B154" s="55">
        <v>4</v>
      </c>
      <c r="C154" s="55">
        <v>1</v>
      </c>
      <c r="D154" s="55">
        <v>2</v>
      </c>
      <c r="E154" s="55">
        <v>4</v>
      </c>
      <c r="F154" s="55">
        <v>3</v>
      </c>
      <c r="G154" s="55">
        <v>3</v>
      </c>
      <c r="H154" s="55">
        <v>3</v>
      </c>
      <c r="I154" s="55">
        <v>3</v>
      </c>
      <c r="J154" s="55">
        <v>3</v>
      </c>
      <c r="K154" s="55">
        <v>3</v>
      </c>
      <c r="L154" s="55">
        <v>4</v>
      </c>
      <c r="M154" s="55">
        <v>3</v>
      </c>
      <c r="N154" s="55">
        <v>3</v>
      </c>
      <c r="O154" s="55">
        <v>3</v>
      </c>
      <c r="Q154" s="63">
        <v>0.33333333333333331</v>
      </c>
      <c r="R154" s="63">
        <v>-0.66666666666666663</v>
      </c>
      <c r="S154" s="63">
        <v>-0.33333333333333331</v>
      </c>
      <c r="T154" s="63">
        <v>0.33333333333333331</v>
      </c>
      <c r="U154" s="63">
        <v>0</v>
      </c>
      <c r="V154" s="63">
        <v>0</v>
      </c>
      <c r="W154" s="63">
        <v>0</v>
      </c>
      <c r="X154" s="63">
        <v>0</v>
      </c>
      <c r="Y154" s="63">
        <v>0</v>
      </c>
      <c r="Z154" s="63">
        <v>0</v>
      </c>
      <c r="AA154" s="63">
        <v>0.33333333333333331</v>
      </c>
      <c r="AB154" s="63">
        <v>0</v>
      </c>
      <c r="AC154" s="63">
        <v>0</v>
      </c>
      <c r="AD154" s="63">
        <v>0</v>
      </c>
      <c r="AF154" s="60">
        <v>3</v>
      </c>
    </row>
    <row r="155" spans="1:32">
      <c r="A155" t="s">
        <v>298</v>
      </c>
      <c r="E155" s="55" t="s">
        <v>298</v>
      </c>
      <c r="Q155" s="63"/>
      <c r="R155" s="63"/>
      <c r="S155" s="63"/>
      <c r="T155" s="63"/>
      <c r="U155" s="63"/>
      <c r="V155" s="63"/>
      <c r="W155" s="63"/>
      <c r="X155" s="63"/>
      <c r="Y155" s="63"/>
      <c r="Z155" s="63"/>
      <c r="AA155" s="63"/>
      <c r="AB155" s="63"/>
      <c r="AC155" s="63"/>
      <c r="AD155" s="63"/>
      <c r="AF155" s="60" t="e">
        <v>#DIV/0!</v>
      </c>
    </row>
    <row r="156" spans="1:32">
      <c r="A156" t="s">
        <v>115</v>
      </c>
      <c r="B156" s="55">
        <v>3</v>
      </c>
      <c r="C156" s="55">
        <v>3</v>
      </c>
      <c r="D156" s="55">
        <v>2</v>
      </c>
      <c r="E156" s="55">
        <v>3</v>
      </c>
      <c r="F156" s="55">
        <v>3</v>
      </c>
      <c r="G156" s="55">
        <v>3</v>
      </c>
      <c r="H156" s="55">
        <v>3</v>
      </c>
      <c r="I156" s="55">
        <v>3</v>
      </c>
      <c r="J156" s="55" t="s">
        <v>298</v>
      </c>
      <c r="K156" s="55">
        <v>3</v>
      </c>
      <c r="L156" s="55">
        <v>3</v>
      </c>
      <c r="M156" s="55" t="s">
        <v>298</v>
      </c>
      <c r="N156" s="55">
        <v>0</v>
      </c>
      <c r="O156" s="55">
        <v>2</v>
      </c>
      <c r="Q156" s="63">
        <v>0.1612903225806451</v>
      </c>
      <c r="R156" s="63">
        <v>0.1612903225806451</v>
      </c>
      <c r="S156" s="63">
        <v>-0.22580645161290328</v>
      </c>
      <c r="T156" s="63">
        <v>0.1612903225806451</v>
      </c>
      <c r="U156" s="63">
        <v>0.1612903225806451</v>
      </c>
      <c r="V156" s="63">
        <v>0.1612903225806451</v>
      </c>
      <c r="W156" s="63">
        <v>0.1612903225806451</v>
      </c>
      <c r="X156" s="63">
        <v>0.1612903225806451</v>
      </c>
      <c r="Y156" s="63" t="e">
        <v>#VALUE!</v>
      </c>
      <c r="Z156" s="63">
        <v>0.1612903225806451</v>
      </c>
      <c r="AA156" s="63">
        <v>0.1612903225806451</v>
      </c>
      <c r="AB156" s="63" t="e">
        <v>#VALUE!</v>
      </c>
      <c r="AC156" s="63">
        <v>-1</v>
      </c>
      <c r="AD156" s="63">
        <v>-0.22580645161290328</v>
      </c>
      <c r="AF156" s="60">
        <v>2.5833333333333335</v>
      </c>
    </row>
    <row r="157" spans="1:32">
      <c r="A157" t="s">
        <v>298</v>
      </c>
      <c r="E157" s="55" t="s">
        <v>298</v>
      </c>
      <c r="Q157" s="63"/>
      <c r="R157" s="63"/>
      <c r="S157" s="63"/>
      <c r="T157" s="63"/>
      <c r="U157" s="63"/>
      <c r="V157" s="63"/>
      <c r="W157" s="63"/>
      <c r="X157" s="63"/>
      <c r="Y157" s="63"/>
      <c r="Z157" s="63"/>
      <c r="AA157" s="63"/>
      <c r="AB157" s="63"/>
      <c r="AC157" s="63"/>
      <c r="AD157" s="63"/>
      <c r="AF157" s="60" t="e">
        <v>#DIV/0!</v>
      </c>
    </row>
    <row r="158" spans="1:32">
      <c r="A158" t="s">
        <v>116</v>
      </c>
      <c r="B158" s="55">
        <v>3</v>
      </c>
      <c r="C158" s="55">
        <v>4</v>
      </c>
      <c r="D158" s="55">
        <v>3</v>
      </c>
      <c r="E158" s="55">
        <v>4</v>
      </c>
      <c r="F158" s="55">
        <v>3</v>
      </c>
      <c r="G158" s="55">
        <v>4</v>
      </c>
      <c r="H158" s="55">
        <v>4</v>
      </c>
      <c r="I158" s="55">
        <v>2</v>
      </c>
      <c r="J158" s="55">
        <v>3</v>
      </c>
      <c r="K158" s="55">
        <v>3</v>
      </c>
      <c r="L158" s="55">
        <v>4</v>
      </c>
      <c r="M158" s="55">
        <v>2</v>
      </c>
      <c r="N158" s="55">
        <v>0</v>
      </c>
      <c r="O158" s="55">
        <v>3</v>
      </c>
      <c r="Q158" s="63">
        <v>0</v>
      </c>
      <c r="R158" s="63">
        <v>0.33333333333333331</v>
      </c>
      <c r="S158" s="63">
        <v>0</v>
      </c>
      <c r="T158" s="63">
        <v>0.33333333333333331</v>
      </c>
      <c r="U158" s="63">
        <v>0</v>
      </c>
      <c r="V158" s="63">
        <v>0.33333333333333331</v>
      </c>
      <c r="W158" s="63">
        <v>0.33333333333333331</v>
      </c>
      <c r="X158" s="63">
        <v>-0.33333333333333331</v>
      </c>
      <c r="Y158" s="63">
        <v>0</v>
      </c>
      <c r="Z158" s="63">
        <v>0</v>
      </c>
      <c r="AA158" s="63">
        <v>0.33333333333333331</v>
      </c>
      <c r="AB158" s="63">
        <v>-0.33333333333333331</v>
      </c>
      <c r="AC158" s="63">
        <v>-1</v>
      </c>
      <c r="AD158" s="63">
        <v>0</v>
      </c>
      <c r="AF158" s="60">
        <v>3</v>
      </c>
    </row>
    <row r="159" spans="1:32">
      <c r="A159" t="s">
        <v>298</v>
      </c>
      <c r="E159" s="55" t="s">
        <v>298</v>
      </c>
      <c r="Q159" s="63"/>
      <c r="R159" s="63"/>
      <c r="S159" s="63"/>
      <c r="T159" s="63"/>
      <c r="U159" s="63"/>
      <c r="V159" s="63"/>
      <c r="W159" s="63"/>
      <c r="X159" s="63"/>
      <c r="Y159" s="63"/>
      <c r="Z159" s="63"/>
      <c r="AA159" s="63"/>
      <c r="AB159" s="63"/>
      <c r="AC159" s="63"/>
      <c r="AD159" s="63"/>
      <c r="AF159" s="60" t="e">
        <v>#DIV/0!</v>
      </c>
    </row>
    <row r="160" spans="1:32">
      <c r="A160" t="s">
        <v>358</v>
      </c>
      <c r="B160" s="55">
        <v>3</v>
      </c>
      <c r="C160" s="55">
        <v>3</v>
      </c>
      <c r="D160" s="55">
        <v>3</v>
      </c>
      <c r="E160" s="55">
        <v>4</v>
      </c>
      <c r="F160" s="55">
        <v>3</v>
      </c>
      <c r="G160" s="55">
        <v>3</v>
      </c>
      <c r="H160" s="55">
        <v>3</v>
      </c>
      <c r="I160" s="55">
        <v>2</v>
      </c>
      <c r="J160" s="55">
        <v>2</v>
      </c>
      <c r="K160" s="55">
        <v>3</v>
      </c>
      <c r="L160" s="55">
        <v>4</v>
      </c>
      <c r="M160" s="55">
        <v>1</v>
      </c>
      <c r="N160" s="55">
        <v>3</v>
      </c>
      <c r="O160" s="55">
        <v>3</v>
      </c>
      <c r="Q160" s="63">
        <v>4.9999999999999975E-2</v>
      </c>
      <c r="R160" s="63">
        <v>4.9999999999999975E-2</v>
      </c>
      <c r="S160" s="63">
        <v>4.9999999999999975E-2</v>
      </c>
      <c r="T160" s="63">
        <v>0.39999999999999997</v>
      </c>
      <c r="U160" s="63">
        <v>4.9999999999999975E-2</v>
      </c>
      <c r="V160" s="63">
        <v>4.9999999999999975E-2</v>
      </c>
      <c r="W160" s="63">
        <v>4.9999999999999975E-2</v>
      </c>
      <c r="X160" s="63">
        <v>-0.3</v>
      </c>
      <c r="Y160" s="63">
        <v>-0.3</v>
      </c>
      <c r="Z160" s="63">
        <v>4.9999999999999975E-2</v>
      </c>
      <c r="AA160" s="63">
        <v>0.39999999999999997</v>
      </c>
      <c r="AB160" s="63">
        <v>-0.65</v>
      </c>
      <c r="AC160" s="63">
        <v>4.9999999999999975E-2</v>
      </c>
      <c r="AD160" s="63">
        <v>4.9999999999999975E-2</v>
      </c>
      <c r="AF160" s="60">
        <v>2.8571428571428572</v>
      </c>
    </row>
    <row r="161" spans="1:32">
      <c r="A161" s="66" t="s">
        <v>1297</v>
      </c>
      <c r="B161" s="67">
        <v>2.2142857142857144</v>
      </c>
      <c r="C161" s="67">
        <v>2.0714285714285716</v>
      </c>
      <c r="D161" s="67">
        <v>1.8571428571428572</v>
      </c>
      <c r="E161" s="67">
        <v>2.5</v>
      </c>
      <c r="F161" s="67">
        <v>2</v>
      </c>
      <c r="G161" s="67">
        <v>2.5714285714285716</v>
      </c>
      <c r="H161" s="67">
        <v>1.7857142857142858</v>
      </c>
      <c r="I161" s="67">
        <v>1.5714285714285714</v>
      </c>
      <c r="J161" s="67">
        <v>2</v>
      </c>
      <c r="K161" s="67">
        <v>2.3571428571428572</v>
      </c>
      <c r="L161" s="67">
        <v>3.2857142857142856</v>
      </c>
      <c r="M161" s="67">
        <v>1.6923076923076923</v>
      </c>
      <c r="N161" s="67">
        <v>2.0714285714285716</v>
      </c>
      <c r="O161" s="67">
        <v>2.0714285714285716</v>
      </c>
      <c r="Q161" s="63">
        <v>3.1632839641616235E-2</v>
      </c>
      <c r="R161" s="63">
        <v>-3.492411775461704E-2</v>
      </c>
      <c r="S161" s="63">
        <v>-0.13475955384896704</v>
      </c>
      <c r="T161" s="63">
        <v>0.16474675443408279</v>
      </c>
      <c r="U161" s="63">
        <v>-6.8202596452733771E-2</v>
      </c>
      <c r="V161" s="63">
        <v>0.19802523313219952</v>
      </c>
      <c r="W161" s="63">
        <v>-0.16803803254708369</v>
      </c>
      <c r="X161" s="63">
        <v>-0.26787346864143369</v>
      </c>
      <c r="Y161" s="63">
        <v>-6.8202596452733771E-2</v>
      </c>
      <c r="Z161" s="63">
        <v>9.8189797037849511E-2</v>
      </c>
      <c r="AA161" s="63">
        <v>0.53081002011336587</v>
      </c>
      <c r="AB161" s="63">
        <v>-0.21155604315231322</v>
      </c>
      <c r="AC161" s="63">
        <v>-3.492411775461704E-2</v>
      </c>
      <c r="AD161" s="63">
        <v>-3.492411775461704E-2</v>
      </c>
      <c r="AF161" s="60">
        <v>2.146389324960754</v>
      </c>
    </row>
    <row r="162" spans="1:32">
      <c r="A162" t="s">
        <v>298</v>
      </c>
      <c r="Q162" s="63"/>
      <c r="R162" s="63"/>
      <c r="S162" s="63"/>
      <c r="T162" s="63"/>
      <c r="U162" s="63"/>
      <c r="V162" s="63"/>
      <c r="W162" s="63"/>
      <c r="X162" s="63"/>
      <c r="Y162" s="63"/>
      <c r="Z162" s="63"/>
      <c r="AA162" s="63"/>
      <c r="AB162" s="63"/>
      <c r="AC162" s="63"/>
      <c r="AD162" s="63"/>
      <c r="AF162" s="60" t="e">
        <v>#DIV/0!</v>
      </c>
    </row>
    <row r="163" spans="1:32">
      <c r="A163" t="s">
        <v>298</v>
      </c>
      <c r="Q163" s="63"/>
      <c r="R163" s="63"/>
      <c r="S163" s="63"/>
      <c r="T163" s="63"/>
      <c r="U163" s="63"/>
      <c r="V163" s="63"/>
      <c r="W163" s="63"/>
      <c r="X163" s="63"/>
      <c r="Y163" s="63"/>
      <c r="Z163" s="63"/>
      <c r="AA163" s="63"/>
      <c r="AB163" s="63"/>
      <c r="AC163" s="63"/>
      <c r="AD163" s="63"/>
      <c r="AF163" s="60" t="e">
        <v>#DIV/0!</v>
      </c>
    </row>
    <row r="164" spans="1:32">
      <c r="A164" s="8" t="s">
        <v>10</v>
      </c>
      <c r="B164" s="53" t="s">
        <v>1231</v>
      </c>
      <c r="C164" s="53" t="s">
        <v>1232</v>
      </c>
      <c r="D164" s="53" t="s">
        <v>1233</v>
      </c>
      <c r="E164" s="53" t="s">
        <v>1234</v>
      </c>
      <c r="F164" s="53" t="s">
        <v>1235</v>
      </c>
      <c r="G164" s="53" t="s">
        <v>1236</v>
      </c>
      <c r="H164" s="53" t="s">
        <v>1237</v>
      </c>
      <c r="I164" s="53" t="s">
        <v>1238</v>
      </c>
      <c r="J164" s="53" t="s">
        <v>1239</v>
      </c>
      <c r="K164" s="53" t="s">
        <v>1240</v>
      </c>
      <c r="L164" s="53" t="s">
        <v>1241</v>
      </c>
      <c r="M164" s="53" t="s">
        <v>1289</v>
      </c>
      <c r="N164" s="53" t="s">
        <v>1290</v>
      </c>
      <c r="O164" s="53" t="s">
        <v>1291</v>
      </c>
      <c r="Q164" s="63"/>
      <c r="R164" s="63"/>
      <c r="S164" s="63"/>
      <c r="T164" s="63"/>
      <c r="U164" s="63"/>
      <c r="V164" s="63"/>
      <c r="W164" s="63"/>
      <c r="X164" s="63"/>
      <c r="Y164" s="63"/>
      <c r="Z164" s="63"/>
      <c r="AA164" s="63"/>
      <c r="AB164" s="63"/>
      <c r="AC164" s="63"/>
      <c r="AD164" s="63"/>
      <c r="AF164" s="60" t="e">
        <v>#DIV/0!</v>
      </c>
    </row>
    <row r="165" spans="1:32">
      <c r="A165" t="s">
        <v>298</v>
      </c>
      <c r="Q165" s="63"/>
      <c r="R165" s="63"/>
      <c r="S165" s="63"/>
      <c r="T165" s="63"/>
      <c r="U165" s="63"/>
      <c r="V165" s="63"/>
      <c r="W165" s="63"/>
      <c r="X165" s="63"/>
      <c r="Y165" s="63"/>
      <c r="Z165" s="63"/>
      <c r="AA165" s="63"/>
      <c r="AB165" s="63"/>
      <c r="AC165" s="63"/>
      <c r="AD165" s="63"/>
      <c r="AF165" s="60" t="e">
        <v>#DIV/0!</v>
      </c>
    </row>
    <row r="166" spans="1:32">
      <c r="A166" t="s">
        <v>359</v>
      </c>
      <c r="B166" s="55">
        <v>3</v>
      </c>
      <c r="C166" s="55">
        <v>2</v>
      </c>
      <c r="D166" s="55">
        <v>3</v>
      </c>
      <c r="E166" s="55">
        <v>3</v>
      </c>
      <c r="F166" s="55">
        <v>3</v>
      </c>
      <c r="G166" s="55">
        <v>2</v>
      </c>
      <c r="H166" s="55">
        <v>3</v>
      </c>
      <c r="I166" s="55">
        <v>3</v>
      </c>
      <c r="J166" s="55">
        <v>3</v>
      </c>
      <c r="K166" s="55">
        <v>3</v>
      </c>
      <c r="L166" s="55">
        <v>4</v>
      </c>
      <c r="M166" s="55">
        <v>3</v>
      </c>
      <c r="N166" s="55">
        <v>3</v>
      </c>
      <c r="O166" s="55">
        <v>3</v>
      </c>
      <c r="Q166" s="63">
        <v>2.4390243902439091E-2</v>
      </c>
      <c r="R166" s="63">
        <v>-0.31707317073170727</v>
      </c>
      <c r="S166" s="63">
        <v>2.4390243902439091E-2</v>
      </c>
      <c r="T166" s="63">
        <v>2.4390243902439091E-2</v>
      </c>
      <c r="U166" s="63">
        <v>2.4390243902439091E-2</v>
      </c>
      <c r="V166" s="63">
        <v>-0.31707317073170727</v>
      </c>
      <c r="W166" s="63">
        <v>2.4390243902439091E-2</v>
      </c>
      <c r="X166" s="63">
        <v>2.4390243902439091E-2</v>
      </c>
      <c r="Y166" s="63">
        <v>2.4390243902439091E-2</v>
      </c>
      <c r="Z166" s="63">
        <v>2.4390243902439091E-2</v>
      </c>
      <c r="AA166" s="63">
        <v>0.36585365853658547</v>
      </c>
      <c r="AB166" s="63">
        <v>2.4390243902439091E-2</v>
      </c>
      <c r="AC166" s="63">
        <v>2.4390243902439091E-2</v>
      </c>
      <c r="AD166" s="63">
        <v>2.4390243902439091E-2</v>
      </c>
      <c r="AF166" s="60">
        <v>2.9285714285714284</v>
      </c>
    </row>
    <row r="167" spans="1:32">
      <c r="A167" t="s">
        <v>298</v>
      </c>
      <c r="Q167" s="63"/>
      <c r="R167" s="63"/>
      <c r="S167" s="63"/>
      <c r="T167" s="63"/>
      <c r="U167" s="63"/>
      <c r="V167" s="63"/>
      <c r="W167" s="63"/>
      <c r="X167" s="63"/>
      <c r="Y167" s="63"/>
      <c r="Z167" s="63"/>
      <c r="AA167" s="63"/>
      <c r="AB167" s="63"/>
      <c r="AC167" s="63"/>
      <c r="AD167" s="63"/>
      <c r="AF167" s="60" t="e">
        <v>#DIV/0!</v>
      </c>
    </row>
    <row r="168" spans="1:32">
      <c r="A168" t="s">
        <v>360</v>
      </c>
      <c r="B168" s="55">
        <v>3</v>
      </c>
      <c r="C168" s="55">
        <v>2</v>
      </c>
      <c r="D168" s="55">
        <v>3</v>
      </c>
      <c r="E168" s="55">
        <v>4</v>
      </c>
      <c r="F168" s="55">
        <v>3</v>
      </c>
      <c r="G168" s="55">
        <v>3</v>
      </c>
      <c r="H168" s="55">
        <v>1</v>
      </c>
      <c r="I168" s="55">
        <v>0</v>
      </c>
      <c r="J168" s="55">
        <v>3</v>
      </c>
      <c r="K168" s="55">
        <v>3</v>
      </c>
      <c r="L168" s="55">
        <v>4</v>
      </c>
      <c r="M168" s="55">
        <v>4</v>
      </c>
      <c r="N168" s="55">
        <v>3</v>
      </c>
      <c r="O168" s="55">
        <v>3</v>
      </c>
      <c r="Q168" s="63">
        <v>7.6923076923076969E-2</v>
      </c>
      <c r="R168" s="63">
        <v>-0.28205128205128199</v>
      </c>
      <c r="S168" s="63">
        <v>7.6923076923076969E-2</v>
      </c>
      <c r="T168" s="63">
        <v>0.43589743589743596</v>
      </c>
      <c r="U168" s="63">
        <v>7.6923076923076969E-2</v>
      </c>
      <c r="V168" s="63">
        <v>7.6923076923076969E-2</v>
      </c>
      <c r="W168" s="63">
        <v>-0.64102564102564097</v>
      </c>
      <c r="X168" s="63">
        <v>-1</v>
      </c>
      <c r="Y168" s="63">
        <v>7.6923076923076969E-2</v>
      </c>
      <c r="Z168" s="63">
        <v>7.6923076923076969E-2</v>
      </c>
      <c r="AA168" s="63">
        <v>0.43589743589743596</v>
      </c>
      <c r="AB168" s="63">
        <v>0.43589743589743596</v>
      </c>
      <c r="AC168" s="63">
        <v>7.6923076923076969E-2</v>
      </c>
      <c r="AD168" s="63">
        <v>7.6923076923076969E-2</v>
      </c>
      <c r="AF168" s="60">
        <v>2.7857142857142856</v>
      </c>
    </row>
    <row r="169" spans="1:32">
      <c r="A169" t="s">
        <v>298</v>
      </c>
      <c r="Q169" s="63"/>
      <c r="R169" s="63"/>
      <c r="S169" s="63"/>
      <c r="T169" s="63"/>
      <c r="U169" s="63"/>
      <c r="V169" s="63"/>
      <c r="W169" s="63"/>
      <c r="X169" s="63"/>
      <c r="Y169" s="63"/>
      <c r="Z169" s="63"/>
      <c r="AA169" s="63"/>
      <c r="AB169" s="63"/>
      <c r="AC169" s="63"/>
      <c r="AD169" s="63"/>
      <c r="AF169" s="60" t="e">
        <v>#DIV/0!</v>
      </c>
    </row>
    <row r="170" spans="1:32">
      <c r="A170" t="s">
        <v>361</v>
      </c>
      <c r="B170" s="55">
        <v>4</v>
      </c>
      <c r="C170" s="55">
        <v>3</v>
      </c>
      <c r="D170" s="55">
        <v>3</v>
      </c>
      <c r="E170" s="55">
        <v>3</v>
      </c>
      <c r="F170" s="55">
        <v>3</v>
      </c>
      <c r="G170" s="55">
        <v>2</v>
      </c>
      <c r="H170" s="55">
        <v>3</v>
      </c>
      <c r="I170" s="55">
        <v>3</v>
      </c>
      <c r="J170" s="55">
        <v>3</v>
      </c>
      <c r="K170" s="55">
        <v>2</v>
      </c>
      <c r="L170" s="55">
        <v>4</v>
      </c>
      <c r="M170" s="55">
        <v>2</v>
      </c>
      <c r="N170" s="55">
        <v>4</v>
      </c>
      <c r="O170" s="55">
        <v>3</v>
      </c>
      <c r="Q170" s="63">
        <v>0.33333333333333331</v>
      </c>
      <c r="R170" s="63">
        <v>0</v>
      </c>
      <c r="S170" s="63">
        <v>0</v>
      </c>
      <c r="T170" s="63">
        <v>0</v>
      </c>
      <c r="U170" s="63">
        <v>0</v>
      </c>
      <c r="V170" s="63">
        <v>-0.33333333333333331</v>
      </c>
      <c r="W170" s="63">
        <v>0</v>
      </c>
      <c r="X170" s="63">
        <v>0</v>
      </c>
      <c r="Y170" s="63">
        <v>0</v>
      </c>
      <c r="Z170" s="63">
        <v>-0.33333333333333331</v>
      </c>
      <c r="AA170" s="63">
        <v>0.33333333333333331</v>
      </c>
      <c r="AB170" s="63">
        <v>-0.33333333333333331</v>
      </c>
      <c r="AC170" s="63">
        <v>0.33333333333333331</v>
      </c>
      <c r="AD170" s="63">
        <v>0</v>
      </c>
      <c r="AF170" s="60">
        <v>3</v>
      </c>
    </row>
    <row r="171" spans="1:32">
      <c r="A171" t="s">
        <v>298</v>
      </c>
      <c r="Q171" s="63"/>
      <c r="R171" s="63"/>
      <c r="S171" s="63"/>
      <c r="T171" s="63"/>
      <c r="U171" s="63"/>
      <c r="V171" s="63"/>
      <c r="W171" s="63"/>
      <c r="X171" s="63"/>
      <c r="Y171" s="63"/>
      <c r="Z171" s="63"/>
      <c r="AA171" s="63"/>
      <c r="AB171" s="63"/>
      <c r="AC171" s="63"/>
      <c r="AD171" s="63"/>
      <c r="AF171" s="60" t="e">
        <v>#DIV/0!</v>
      </c>
    </row>
    <row r="172" spans="1:32">
      <c r="A172" t="s">
        <v>362</v>
      </c>
      <c r="B172" s="55">
        <v>3</v>
      </c>
      <c r="C172" s="55">
        <v>1</v>
      </c>
      <c r="D172" s="55">
        <v>3</v>
      </c>
      <c r="E172" s="55">
        <v>4</v>
      </c>
      <c r="F172" s="55">
        <v>2</v>
      </c>
      <c r="G172" s="55">
        <v>2</v>
      </c>
      <c r="H172" s="55">
        <v>2</v>
      </c>
      <c r="I172" s="55">
        <v>0</v>
      </c>
      <c r="J172" s="55">
        <v>2</v>
      </c>
      <c r="K172" s="55">
        <v>3</v>
      </c>
      <c r="L172" s="55">
        <v>4</v>
      </c>
      <c r="M172" s="55">
        <v>0</v>
      </c>
      <c r="N172" s="55">
        <v>3</v>
      </c>
      <c r="O172" s="55">
        <v>2</v>
      </c>
      <c r="Q172" s="63">
        <v>0.35483870967741926</v>
      </c>
      <c r="R172" s="63">
        <v>-0.54838709677419362</v>
      </c>
      <c r="S172" s="63">
        <v>0.35483870967741926</v>
      </c>
      <c r="T172" s="63">
        <v>0.80645161290322576</v>
      </c>
      <c r="U172" s="63">
        <v>-9.677419354838715E-2</v>
      </c>
      <c r="V172" s="63">
        <v>-9.677419354838715E-2</v>
      </c>
      <c r="W172" s="63">
        <v>-9.677419354838715E-2</v>
      </c>
      <c r="X172" s="63">
        <v>-1</v>
      </c>
      <c r="Y172" s="63">
        <v>-9.677419354838715E-2</v>
      </c>
      <c r="Z172" s="63">
        <v>0.35483870967741926</v>
      </c>
      <c r="AA172" s="63">
        <v>0.80645161290322576</v>
      </c>
      <c r="AB172" s="63">
        <v>-1</v>
      </c>
      <c r="AC172" s="63">
        <v>0.35483870967741926</v>
      </c>
      <c r="AD172" s="63">
        <v>-9.677419354838715E-2</v>
      </c>
      <c r="AF172" s="60">
        <v>2.2142857142857144</v>
      </c>
    </row>
    <row r="173" spans="1:32">
      <c r="A173" t="s">
        <v>298</v>
      </c>
      <c r="Q173" s="63"/>
      <c r="R173" s="63"/>
      <c r="S173" s="63"/>
      <c r="T173" s="63"/>
      <c r="U173" s="63"/>
      <c r="V173" s="63"/>
      <c r="W173" s="63"/>
      <c r="X173" s="63"/>
      <c r="Y173" s="63"/>
      <c r="Z173" s="63"/>
      <c r="AA173" s="63"/>
      <c r="AB173" s="63"/>
      <c r="AC173" s="63"/>
      <c r="AD173" s="63"/>
      <c r="AF173" s="60" t="e">
        <v>#DIV/0!</v>
      </c>
    </row>
    <row r="174" spans="1:32">
      <c r="A174" t="s">
        <v>285</v>
      </c>
      <c r="B174" s="55">
        <v>3</v>
      </c>
      <c r="C174" s="55">
        <v>3</v>
      </c>
      <c r="D174" s="55">
        <v>3</v>
      </c>
      <c r="E174" s="55">
        <v>3</v>
      </c>
      <c r="F174" s="55">
        <v>3</v>
      </c>
      <c r="G174" s="55">
        <v>3</v>
      </c>
      <c r="H174" s="55">
        <v>2</v>
      </c>
      <c r="I174" s="55">
        <v>2</v>
      </c>
      <c r="J174" s="55">
        <v>2</v>
      </c>
      <c r="K174" s="55">
        <v>3</v>
      </c>
      <c r="L174" s="55">
        <v>2</v>
      </c>
      <c r="M174" s="55">
        <v>1</v>
      </c>
      <c r="N174" s="55">
        <v>3</v>
      </c>
      <c r="O174" s="55">
        <v>2</v>
      </c>
      <c r="Q174" s="63">
        <v>0.2</v>
      </c>
      <c r="R174" s="63">
        <v>0.2</v>
      </c>
      <c r="S174" s="63">
        <v>0.2</v>
      </c>
      <c r="T174" s="63">
        <v>0.2</v>
      </c>
      <c r="U174" s="63">
        <v>0.2</v>
      </c>
      <c r="V174" s="63">
        <v>0.2</v>
      </c>
      <c r="W174" s="63">
        <v>-0.2</v>
      </c>
      <c r="X174" s="63">
        <v>-0.2</v>
      </c>
      <c r="Y174" s="63">
        <v>-0.2</v>
      </c>
      <c r="Z174" s="63">
        <v>0.2</v>
      </c>
      <c r="AA174" s="63">
        <v>-0.2</v>
      </c>
      <c r="AB174" s="63">
        <v>-0.6</v>
      </c>
      <c r="AC174" s="63">
        <v>0.2</v>
      </c>
      <c r="AD174" s="63">
        <v>-0.2</v>
      </c>
      <c r="AF174" s="60">
        <v>2.5</v>
      </c>
    </row>
    <row r="175" spans="1:32">
      <c r="A175" t="s">
        <v>286</v>
      </c>
      <c r="B175" s="55">
        <v>4</v>
      </c>
      <c r="C175" s="55">
        <v>3</v>
      </c>
      <c r="D175" s="55">
        <v>3</v>
      </c>
      <c r="E175" s="55">
        <v>4</v>
      </c>
      <c r="F175" s="55">
        <v>3</v>
      </c>
      <c r="G175" s="55">
        <v>3</v>
      </c>
      <c r="H175" s="55">
        <v>3</v>
      </c>
      <c r="I175" s="55">
        <v>2</v>
      </c>
      <c r="J175" s="55">
        <v>3</v>
      </c>
      <c r="K175" s="55">
        <v>3</v>
      </c>
      <c r="L175" s="55">
        <v>2</v>
      </c>
      <c r="M175" s="55">
        <v>2</v>
      </c>
      <c r="N175" s="55">
        <v>3</v>
      </c>
      <c r="O175" s="55">
        <v>3</v>
      </c>
      <c r="Q175" s="63">
        <v>0.36585365853658547</v>
      </c>
      <c r="R175" s="63">
        <v>2.4390243902439091E-2</v>
      </c>
      <c r="S175" s="63">
        <v>2.4390243902439091E-2</v>
      </c>
      <c r="T175" s="63">
        <v>0.36585365853658547</v>
      </c>
      <c r="U175" s="63">
        <v>2.4390243902439091E-2</v>
      </c>
      <c r="V175" s="63">
        <v>2.4390243902439091E-2</v>
      </c>
      <c r="W175" s="63">
        <v>2.4390243902439091E-2</v>
      </c>
      <c r="X175" s="63">
        <v>-0.31707317073170727</v>
      </c>
      <c r="Y175" s="63">
        <v>2.4390243902439091E-2</v>
      </c>
      <c r="Z175" s="63">
        <v>2.4390243902439091E-2</v>
      </c>
      <c r="AA175" s="63">
        <v>-0.31707317073170727</v>
      </c>
      <c r="AB175" s="63">
        <v>-0.31707317073170727</v>
      </c>
      <c r="AC175" s="63">
        <v>2.4390243902439091E-2</v>
      </c>
      <c r="AD175" s="63">
        <v>2.4390243902439091E-2</v>
      </c>
      <c r="AF175" s="60">
        <v>2.9285714285714284</v>
      </c>
    </row>
    <row r="176" spans="1:32">
      <c r="A176" t="s">
        <v>287</v>
      </c>
      <c r="B176" s="55">
        <v>3</v>
      </c>
      <c r="C176" s="55">
        <v>3</v>
      </c>
      <c r="D176" s="55">
        <v>3</v>
      </c>
      <c r="E176" s="55">
        <v>3</v>
      </c>
      <c r="F176" s="55">
        <v>3</v>
      </c>
      <c r="G176" s="55">
        <v>3</v>
      </c>
      <c r="H176" s="55">
        <v>1</v>
      </c>
      <c r="I176" s="55">
        <v>3</v>
      </c>
      <c r="J176" s="55">
        <v>2</v>
      </c>
      <c r="K176" s="55">
        <v>3</v>
      </c>
      <c r="L176" s="55">
        <v>2</v>
      </c>
      <c r="M176" s="55">
        <v>2</v>
      </c>
      <c r="N176" s="55">
        <v>3</v>
      </c>
      <c r="O176" s="55">
        <v>3</v>
      </c>
      <c r="Q176" s="63">
        <v>0.13513513513513517</v>
      </c>
      <c r="R176" s="63">
        <v>0.13513513513513517</v>
      </c>
      <c r="S176" s="63">
        <v>0.13513513513513517</v>
      </c>
      <c r="T176" s="63">
        <v>0.13513513513513517</v>
      </c>
      <c r="U176" s="63">
        <v>0.13513513513513517</v>
      </c>
      <c r="V176" s="63">
        <v>0.13513513513513517</v>
      </c>
      <c r="W176" s="63">
        <v>-0.6216216216216216</v>
      </c>
      <c r="X176" s="63">
        <v>0.13513513513513517</v>
      </c>
      <c r="Y176" s="63">
        <v>-0.24324324324324323</v>
      </c>
      <c r="Z176" s="63">
        <v>0.13513513513513517</v>
      </c>
      <c r="AA176" s="63">
        <v>-0.24324324324324323</v>
      </c>
      <c r="AB176" s="63">
        <v>-0.24324324324324323</v>
      </c>
      <c r="AC176" s="63">
        <v>0.13513513513513517</v>
      </c>
      <c r="AD176" s="63">
        <v>0.13513513513513517</v>
      </c>
      <c r="AF176" s="60">
        <v>2.6428571428571428</v>
      </c>
    </row>
    <row r="177" spans="1:32">
      <c r="A177" s="66" t="s">
        <v>1297</v>
      </c>
      <c r="B177" s="67">
        <v>3.2857142857142856</v>
      </c>
      <c r="C177" s="67">
        <v>2.4285714285714284</v>
      </c>
      <c r="D177" s="67">
        <v>3</v>
      </c>
      <c r="E177" s="67">
        <v>3.4285714285714284</v>
      </c>
      <c r="F177" s="67">
        <v>2.8571428571428572</v>
      </c>
      <c r="G177" s="67">
        <v>2.5714285714285716</v>
      </c>
      <c r="H177" s="67">
        <v>2.1428571428571428</v>
      </c>
      <c r="I177" s="67">
        <v>1.8571428571428572</v>
      </c>
      <c r="J177" s="67">
        <v>2.5714285714285716</v>
      </c>
      <c r="K177" s="67">
        <v>2.8571428571428572</v>
      </c>
      <c r="L177" s="67">
        <v>3.1428571428571428</v>
      </c>
      <c r="M177" s="67">
        <v>2</v>
      </c>
      <c r="N177" s="67">
        <v>3.1428571428571428</v>
      </c>
      <c r="O177" s="67">
        <v>2.7142857142857144</v>
      </c>
      <c r="Q177" s="63">
        <v>0.21052631578947339</v>
      </c>
      <c r="R177" s="63">
        <v>-0.1052631578947371</v>
      </c>
      <c r="S177" s="63">
        <v>0.10526315789473661</v>
      </c>
      <c r="T177" s="63">
        <v>0.26315789473684176</v>
      </c>
      <c r="U177" s="63">
        <v>5.2631578947368224E-2</v>
      </c>
      <c r="V177" s="63">
        <v>-5.263157894736855E-2</v>
      </c>
      <c r="W177" s="63">
        <v>-0.21052631578947387</v>
      </c>
      <c r="X177" s="63">
        <v>-0.31578947368421062</v>
      </c>
      <c r="Y177" s="63">
        <v>-5.263157894736855E-2</v>
      </c>
      <c r="Z177" s="63">
        <v>5.2631578947368224E-2</v>
      </c>
      <c r="AA177" s="63">
        <v>0.157894736842105</v>
      </c>
      <c r="AB177" s="63">
        <v>-0.26315789473684226</v>
      </c>
      <c r="AC177" s="63">
        <v>0.157894736842105</v>
      </c>
      <c r="AD177" s="63">
        <v>-1.6361181415528619E-16</v>
      </c>
      <c r="AF177" s="60">
        <v>2.7142857142857149</v>
      </c>
    </row>
    <row r="178" spans="1:32">
      <c r="A178" t="s">
        <v>298</v>
      </c>
      <c r="Q178" s="63"/>
      <c r="R178" s="63"/>
      <c r="S178" s="63"/>
      <c r="T178" s="63"/>
      <c r="U178" s="63"/>
      <c r="V178" s="63"/>
      <c r="W178" s="63"/>
      <c r="X178" s="63"/>
      <c r="Y178" s="63"/>
      <c r="Z178" s="63"/>
      <c r="AA178" s="63"/>
      <c r="AB178" s="63"/>
      <c r="AC178" s="63"/>
      <c r="AD178" s="63"/>
      <c r="AF178" s="60" t="e">
        <v>#DIV/0!</v>
      </c>
    </row>
    <row r="179" spans="1:32">
      <c r="A179" t="s">
        <v>298</v>
      </c>
      <c r="Q179" s="63"/>
      <c r="R179" s="63"/>
      <c r="S179" s="63"/>
      <c r="T179" s="63"/>
      <c r="U179" s="63"/>
      <c r="V179" s="63"/>
      <c r="W179" s="63"/>
      <c r="X179" s="63"/>
      <c r="Y179" s="63"/>
      <c r="Z179" s="63"/>
      <c r="AA179" s="63"/>
      <c r="AB179" s="63"/>
      <c r="AC179" s="63"/>
      <c r="AD179" s="63"/>
      <c r="AF179" s="60" t="e">
        <v>#DIV/0!</v>
      </c>
    </row>
    <row r="180" spans="1:32">
      <c r="A180" s="8" t="s">
        <v>33</v>
      </c>
      <c r="B180" s="53" t="s">
        <v>1231</v>
      </c>
      <c r="C180" s="53" t="s">
        <v>1232</v>
      </c>
      <c r="D180" s="53" t="s">
        <v>1233</v>
      </c>
      <c r="E180" s="53" t="s">
        <v>1234</v>
      </c>
      <c r="F180" s="53" t="s">
        <v>1235</v>
      </c>
      <c r="G180" s="53" t="s">
        <v>1236</v>
      </c>
      <c r="H180" s="53" t="s">
        <v>1237</v>
      </c>
      <c r="I180" s="53" t="s">
        <v>1238</v>
      </c>
      <c r="J180" s="53" t="s">
        <v>1239</v>
      </c>
      <c r="K180" s="53" t="s">
        <v>1240</v>
      </c>
      <c r="L180" s="53" t="s">
        <v>1241</v>
      </c>
      <c r="M180" s="53" t="s">
        <v>1289</v>
      </c>
      <c r="N180" s="53" t="s">
        <v>1290</v>
      </c>
      <c r="O180" s="53" t="s">
        <v>1291</v>
      </c>
      <c r="Q180" s="63"/>
      <c r="R180" s="63"/>
      <c r="S180" s="63"/>
      <c r="T180" s="63"/>
      <c r="U180" s="63"/>
      <c r="V180" s="63"/>
      <c r="W180" s="63"/>
      <c r="X180" s="63"/>
      <c r="Y180" s="63"/>
      <c r="Z180" s="63"/>
      <c r="AA180" s="63"/>
      <c r="AB180" s="63"/>
      <c r="AC180" s="63"/>
      <c r="AD180" s="63"/>
      <c r="AF180" s="60" t="e">
        <v>#DIV/0!</v>
      </c>
    </row>
    <row r="181" spans="1:32">
      <c r="A181" t="s">
        <v>298</v>
      </c>
      <c r="Q181" s="63"/>
      <c r="R181" s="63"/>
      <c r="S181" s="63"/>
      <c r="T181" s="63"/>
      <c r="U181" s="63"/>
      <c r="V181" s="63"/>
      <c r="W181" s="63"/>
      <c r="X181" s="63"/>
      <c r="Y181" s="63"/>
      <c r="Z181" s="63"/>
      <c r="AA181" s="63"/>
      <c r="AB181" s="63"/>
      <c r="AC181" s="63"/>
      <c r="AD181" s="63"/>
      <c r="AF181" s="60" t="e">
        <v>#DIV/0!</v>
      </c>
    </row>
    <row r="182" spans="1:32">
      <c r="A182" t="s">
        <v>364</v>
      </c>
      <c r="B182" s="55">
        <v>4</v>
      </c>
      <c r="C182" s="55">
        <v>3</v>
      </c>
      <c r="D182" s="55">
        <v>4</v>
      </c>
      <c r="E182" s="55">
        <v>3</v>
      </c>
      <c r="F182" s="55">
        <v>4</v>
      </c>
      <c r="G182" s="55">
        <v>4</v>
      </c>
      <c r="H182" s="55">
        <v>5</v>
      </c>
      <c r="I182" s="55">
        <v>1</v>
      </c>
      <c r="J182" s="55">
        <v>3</v>
      </c>
      <c r="K182" s="55">
        <v>4</v>
      </c>
      <c r="L182" s="55">
        <v>3</v>
      </c>
      <c r="M182" s="55">
        <v>3</v>
      </c>
      <c r="N182" s="55">
        <v>3</v>
      </c>
      <c r="O182" s="55">
        <v>3</v>
      </c>
      <c r="Q182" s="63">
        <v>0.19148936170212763</v>
      </c>
      <c r="R182" s="63">
        <v>-0.10638297872340427</v>
      </c>
      <c r="S182" s="63">
        <v>0.19148936170212763</v>
      </c>
      <c r="T182" s="63">
        <v>-0.10638297872340427</v>
      </c>
      <c r="U182" s="63">
        <v>0.19148936170212763</v>
      </c>
      <c r="V182" s="63">
        <v>0.19148936170212763</v>
      </c>
      <c r="W182" s="63">
        <v>0.48936170212765956</v>
      </c>
      <c r="X182" s="63">
        <v>-0.7021276595744681</v>
      </c>
      <c r="Y182" s="63">
        <v>-0.10638297872340427</v>
      </c>
      <c r="Z182" s="63">
        <v>0.19148936170212763</v>
      </c>
      <c r="AA182" s="63">
        <v>-0.10638297872340427</v>
      </c>
      <c r="AB182" s="63">
        <v>-0.10638297872340427</v>
      </c>
      <c r="AC182" s="63">
        <v>-0.10638297872340427</v>
      </c>
      <c r="AD182" s="63">
        <v>-0.10638297872340427</v>
      </c>
      <c r="AF182" s="60">
        <v>3.3571428571428572</v>
      </c>
    </row>
    <row r="183" spans="1:32">
      <c r="A183" t="s">
        <v>298</v>
      </c>
      <c r="Q183" s="63"/>
      <c r="R183" s="63"/>
      <c r="S183" s="63"/>
      <c r="T183" s="63"/>
      <c r="U183" s="63"/>
      <c r="V183" s="63"/>
      <c r="W183" s="63"/>
      <c r="X183" s="63"/>
      <c r="Y183" s="63"/>
      <c r="Z183" s="63"/>
      <c r="AA183" s="63"/>
      <c r="AB183" s="63"/>
      <c r="AC183" s="63"/>
      <c r="AD183" s="63"/>
      <c r="AF183" s="60" t="e">
        <v>#DIV/0!</v>
      </c>
    </row>
    <row r="184" spans="1:32">
      <c r="A184" t="s">
        <v>365</v>
      </c>
      <c r="B184" s="55">
        <v>4</v>
      </c>
      <c r="C184" s="55">
        <v>3</v>
      </c>
      <c r="D184" s="55">
        <v>4</v>
      </c>
      <c r="E184" s="55">
        <v>3</v>
      </c>
      <c r="F184" s="55">
        <v>4</v>
      </c>
      <c r="G184" s="55">
        <v>4</v>
      </c>
      <c r="H184" s="55">
        <v>5</v>
      </c>
      <c r="I184" s="55">
        <v>3</v>
      </c>
      <c r="J184" s="55">
        <v>4</v>
      </c>
      <c r="K184" s="55">
        <v>4</v>
      </c>
      <c r="L184" s="55">
        <v>3</v>
      </c>
      <c r="M184" s="55">
        <v>3</v>
      </c>
      <c r="N184" s="55">
        <v>3</v>
      </c>
      <c r="O184" s="55">
        <v>3</v>
      </c>
      <c r="Q184" s="63">
        <v>0.11999999999999994</v>
      </c>
      <c r="R184" s="63">
        <v>-0.16000000000000003</v>
      </c>
      <c r="S184" s="63">
        <v>0.11999999999999994</v>
      </c>
      <c r="T184" s="63">
        <v>-0.16000000000000003</v>
      </c>
      <c r="U184" s="63">
        <v>0.11999999999999994</v>
      </c>
      <c r="V184" s="63">
        <v>0.11999999999999994</v>
      </c>
      <c r="W184" s="63">
        <v>0.39999999999999991</v>
      </c>
      <c r="X184" s="63">
        <v>-0.16000000000000003</v>
      </c>
      <c r="Y184" s="63">
        <v>0.11999999999999994</v>
      </c>
      <c r="Z184" s="63">
        <v>0.11999999999999994</v>
      </c>
      <c r="AA184" s="63">
        <v>-0.16000000000000003</v>
      </c>
      <c r="AB184" s="63">
        <v>-0.16000000000000003</v>
      </c>
      <c r="AC184" s="63">
        <v>-0.16000000000000003</v>
      </c>
      <c r="AD184" s="63">
        <v>-0.16000000000000003</v>
      </c>
      <c r="AF184" s="60">
        <v>3.5714285714285716</v>
      </c>
    </row>
    <row r="185" spans="1:32">
      <c r="A185" t="s">
        <v>298</v>
      </c>
      <c r="Q185" s="63"/>
      <c r="R185" s="63"/>
      <c r="S185" s="63"/>
      <c r="T185" s="63"/>
      <c r="U185" s="63"/>
      <c r="V185" s="63"/>
      <c r="W185" s="63"/>
      <c r="X185" s="63"/>
      <c r="Y185" s="63"/>
      <c r="Z185" s="63"/>
      <c r="AA185" s="63"/>
      <c r="AB185" s="63"/>
      <c r="AC185" s="63"/>
      <c r="AD185" s="63"/>
      <c r="AF185" s="60" t="e">
        <v>#DIV/0!</v>
      </c>
    </row>
    <row r="186" spans="1:32">
      <c r="A186" t="s">
        <v>117</v>
      </c>
      <c r="B186" s="55">
        <v>4</v>
      </c>
      <c r="C186" s="55">
        <v>3</v>
      </c>
      <c r="D186" s="55">
        <v>4</v>
      </c>
      <c r="E186" s="55">
        <v>3</v>
      </c>
      <c r="F186" s="55">
        <v>4</v>
      </c>
      <c r="G186" s="55">
        <v>4</v>
      </c>
      <c r="H186" s="55">
        <v>5</v>
      </c>
      <c r="I186" s="55">
        <v>3</v>
      </c>
      <c r="J186" s="55">
        <v>5</v>
      </c>
      <c r="K186" s="55">
        <v>4</v>
      </c>
      <c r="L186" s="55">
        <v>4</v>
      </c>
      <c r="M186" s="55">
        <v>3</v>
      </c>
      <c r="N186" s="55">
        <v>3</v>
      </c>
      <c r="O186" s="55">
        <v>3</v>
      </c>
      <c r="Q186" s="63">
        <v>7.6923076923076886E-2</v>
      </c>
      <c r="R186" s="63">
        <v>-0.19230769230769235</v>
      </c>
      <c r="S186" s="63">
        <v>7.6923076923076886E-2</v>
      </c>
      <c r="T186" s="63">
        <v>-0.19230769230769235</v>
      </c>
      <c r="U186" s="63">
        <v>7.6923076923076886E-2</v>
      </c>
      <c r="V186" s="63">
        <v>7.6923076923076886E-2</v>
      </c>
      <c r="W186" s="63">
        <v>0.34615384615384609</v>
      </c>
      <c r="X186" s="63">
        <v>-0.19230769230769235</v>
      </c>
      <c r="Y186" s="63">
        <v>0.34615384615384609</v>
      </c>
      <c r="Z186" s="63">
        <v>7.6923076923076886E-2</v>
      </c>
      <c r="AA186" s="63">
        <v>7.6923076923076886E-2</v>
      </c>
      <c r="AB186" s="63">
        <v>-0.19230769230769235</v>
      </c>
      <c r="AC186" s="63">
        <v>-0.19230769230769235</v>
      </c>
      <c r="AD186" s="63">
        <v>-0.19230769230769235</v>
      </c>
      <c r="AF186" s="60">
        <v>3.7142857142857144</v>
      </c>
    </row>
    <row r="187" spans="1:32">
      <c r="A187" t="s">
        <v>298</v>
      </c>
      <c r="Q187" s="63"/>
      <c r="R187" s="63"/>
      <c r="S187" s="63"/>
      <c r="T187" s="63"/>
      <c r="U187" s="63"/>
      <c r="V187" s="63"/>
      <c r="W187" s="63"/>
      <c r="X187" s="63"/>
      <c r="Y187" s="63"/>
      <c r="Z187" s="63"/>
      <c r="AA187" s="63"/>
      <c r="AB187" s="63"/>
      <c r="AC187" s="63"/>
      <c r="AD187" s="63"/>
      <c r="AF187" s="60" t="e">
        <v>#DIV/0!</v>
      </c>
    </row>
    <row r="188" spans="1:32">
      <c r="A188" t="s">
        <v>366</v>
      </c>
      <c r="B188" s="55">
        <v>4</v>
      </c>
      <c r="C188" s="55">
        <v>1</v>
      </c>
      <c r="D188" s="55">
        <v>2</v>
      </c>
      <c r="E188" s="55">
        <v>1</v>
      </c>
      <c r="F188" s="55">
        <v>1</v>
      </c>
      <c r="G188" s="55">
        <v>2</v>
      </c>
      <c r="H188" s="55">
        <v>1</v>
      </c>
      <c r="I188" s="55">
        <v>0</v>
      </c>
      <c r="J188" s="55">
        <v>3</v>
      </c>
      <c r="K188" s="55">
        <v>3</v>
      </c>
      <c r="L188" s="55">
        <v>2</v>
      </c>
      <c r="M188" s="55">
        <v>3</v>
      </c>
      <c r="N188" s="55">
        <v>4</v>
      </c>
      <c r="O188" s="55">
        <v>0</v>
      </c>
      <c r="Q188" s="63">
        <v>1.074074074074074</v>
      </c>
      <c r="R188" s="63">
        <v>-0.48148148148148151</v>
      </c>
      <c r="S188" s="63">
        <v>3.7037037037037021E-2</v>
      </c>
      <c r="T188" s="63">
        <v>-0.48148148148148151</v>
      </c>
      <c r="U188" s="63">
        <v>-0.48148148148148151</v>
      </c>
      <c r="V188" s="63">
        <v>3.7037037037037021E-2</v>
      </c>
      <c r="W188" s="63">
        <v>-0.48148148148148151</v>
      </c>
      <c r="X188" s="63">
        <v>-1</v>
      </c>
      <c r="Y188" s="63">
        <v>0.55555555555555558</v>
      </c>
      <c r="Z188" s="63">
        <v>0.55555555555555558</v>
      </c>
      <c r="AA188" s="63">
        <v>3.7037037037037021E-2</v>
      </c>
      <c r="AB188" s="63">
        <v>0.55555555555555558</v>
      </c>
      <c r="AC188" s="63">
        <v>1.074074074074074</v>
      </c>
      <c r="AD188" s="63">
        <v>-1</v>
      </c>
      <c r="AF188" s="60">
        <v>1.9285714285714286</v>
      </c>
    </row>
    <row r="189" spans="1:32">
      <c r="A189" t="s">
        <v>298</v>
      </c>
      <c r="Q189" s="63"/>
      <c r="R189" s="63"/>
      <c r="S189" s="63"/>
      <c r="T189" s="63"/>
      <c r="U189" s="63"/>
      <c r="V189" s="63"/>
      <c r="W189" s="63"/>
      <c r="X189" s="63"/>
      <c r="Y189" s="63"/>
      <c r="Z189" s="63"/>
      <c r="AA189" s="63"/>
      <c r="AB189" s="63"/>
      <c r="AC189" s="63"/>
      <c r="AD189" s="63"/>
      <c r="AF189" s="60" t="e">
        <v>#DIV/0!</v>
      </c>
    </row>
    <row r="190" spans="1:32">
      <c r="A190" t="s">
        <v>367</v>
      </c>
      <c r="B190" s="55">
        <v>5</v>
      </c>
      <c r="C190" s="55">
        <v>1</v>
      </c>
      <c r="D190" s="55">
        <v>5</v>
      </c>
      <c r="E190" s="55">
        <v>1</v>
      </c>
      <c r="F190" s="55">
        <v>1</v>
      </c>
      <c r="G190" s="55">
        <v>1</v>
      </c>
      <c r="H190" s="55">
        <v>0</v>
      </c>
      <c r="I190" s="55">
        <v>0</v>
      </c>
      <c r="J190" s="55">
        <v>5</v>
      </c>
      <c r="K190" s="55">
        <v>1</v>
      </c>
      <c r="L190" s="55">
        <v>1</v>
      </c>
      <c r="M190" s="55">
        <v>1</v>
      </c>
      <c r="N190" s="55">
        <v>4</v>
      </c>
      <c r="O190" s="55">
        <v>3</v>
      </c>
      <c r="Q190" s="63">
        <v>1.4137931034482756</v>
      </c>
      <c r="R190" s="63">
        <v>-0.51724137931034486</v>
      </c>
      <c r="S190" s="63">
        <v>1.4137931034482756</v>
      </c>
      <c r="T190" s="63">
        <v>-0.51724137931034486</v>
      </c>
      <c r="U190" s="63">
        <v>-0.51724137931034486</v>
      </c>
      <c r="V190" s="63">
        <v>-0.51724137931034486</v>
      </c>
      <c r="W190" s="63">
        <v>-1</v>
      </c>
      <c r="X190" s="63">
        <v>-1</v>
      </c>
      <c r="Y190" s="63">
        <v>1.4137931034482756</v>
      </c>
      <c r="Z190" s="63">
        <v>-0.51724137931034486</v>
      </c>
      <c r="AA190" s="63">
        <v>-0.51724137931034486</v>
      </c>
      <c r="AB190" s="63">
        <v>-0.51724137931034486</v>
      </c>
      <c r="AC190" s="63">
        <v>0.93103448275862055</v>
      </c>
      <c r="AD190" s="63">
        <v>0.44827586206896536</v>
      </c>
      <c r="AF190" s="60">
        <v>2.0714285714285716</v>
      </c>
    </row>
    <row r="191" spans="1:32">
      <c r="A191" t="s">
        <v>298</v>
      </c>
      <c r="Q191" s="63"/>
      <c r="R191" s="63"/>
      <c r="S191" s="63"/>
      <c r="T191" s="63"/>
      <c r="U191" s="63"/>
      <c r="V191" s="63"/>
      <c r="W191" s="63"/>
      <c r="X191" s="63"/>
      <c r="Y191" s="63"/>
      <c r="Z191" s="63"/>
      <c r="AA191" s="63"/>
      <c r="AB191" s="63"/>
      <c r="AC191" s="63"/>
      <c r="AD191" s="63"/>
      <c r="AF191" s="60" t="e">
        <v>#DIV/0!</v>
      </c>
    </row>
    <row r="192" spans="1:32">
      <c r="A192" t="s">
        <v>119</v>
      </c>
      <c r="B192" s="55">
        <v>4</v>
      </c>
      <c r="C192" s="55">
        <v>2</v>
      </c>
      <c r="D192" s="55">
        <v>4</v>
      </c>
      <c r="E192" s="55">
        <v>1</v>
      </c>
      <c r="F192" s="55">
        <v>2</v>
      </c>
      <c r="G192" s="55">
        <v>3</v>
      </c>
      <c r="H192" s="55">
        <v>1</v>
      </c>
      <c r="I192" s="55">
        <v>0</v>
      </c>
      <c r="J192" s="55">
        <v>5</v>
      </c>
      <c r="K192" s="55">
        <v>2</v>
      </c>
      <c r="L192" s="55">
        <v>1</v>
      </c>
      <c r="M192" s="55">
        <v>1</v>
      </c>
      <c r="N192" s="55">
        <v>4</v>
      </c>
      <c r="O192" s="55">
        <v>1</v>
      </c>
      <c r="Q192" s="63">
        <v>0.80645161290322576</v>
      </c>
      <c r="R192" s="63">
        <v>-9.677419354838715E-2</v>
      </c>
      <c r="S192" s="63">
        <v>0.80645161290322576</v>
      </c>
      <c r="T192" s="63">
        <v>-0.54838709677419362</v>
      </c>
      <c r="U192" s="63">
        <v>-9.677419354838715E-2</v>
      </c>
      <c r="V192" s="63">
        <v>0.35483870967741926</v>
      </c>
      <c r="W192" s="63">
        <v>-0.54838709677419362</v>
      </c>
      <c r="X192" s="63">
        <v>-1</v>
      </c>
      <c r="Y192" s="63">
        <v>1.258064516129032</v>
      </c>
      <c r="Z192" s="63">
        <v>-9.677419354838715E-2</v>
      </c>
      <c r="AA192" s="63">
        <v>-0.54838709677419362</v>
      </c>
      <c r="AB192" s="63">
        <v>-0.54838709677419362</v>
      </c>
      <c r="AC192" s="63">
        <v>0.80645161290322576</v>
      </c>
      <c r="AD192" s="63">
        <v>-0.54838709677419362</v>
      </c>
      <c r="AF192" s="60">
        <v>2.2142857142857144</v>
      </c>
    </row>
    <row r="193" spans="1:32">
      <c r="A193" s="66" t="s">
        <v>1297</v>
      </c>
      <c r="B193" s="67">
        <v>4.166666666666667</v>
      </c>
      <c r="C193" s="67">
        <v>2.1666666666666665</v>
      </c>
      <c r="D193" s="67">
        <v>3.8333333333333335</v>
      </c>
      <c r="E193" s="67">
        <v>2</v>
      </c>
      <c r="F193" s="67">
        <v>2.6666666666666665</v>
      </c>
      <c r="G193" s="67">
        <v>3</v>
      </c>
      <c r="H193" s="67">
        <v>2.8333333333333335</v>
      </c>
      <c r="I193" s="67">
        <v>1.1666666666666667</v>
      </c>
      <c r="J193" s="67">
        <v>4.166666666666667</v>
      </c>
      <c r="K193" s="67">
        <v>3</v>
      </c>
      <c r="L193" s="67">
        <v>2.3333333333333335</v>
      </c>
      <c r="M193" s="67">
        <v>2.3333333333333335</v>
      </c>
      <c r="N193" s="67">
        <v>3.5</v>
      </c>
      <c r="O193" s="67">
        <v>2.1666666666666665</v>
      </c>
      <c r="Q193" s="63">
        <v>0.48305084745762711</v>
      </c>
      <c r="R193" s="63">
        <v>-0.22881355932203401</v>
      </c>
      <c r="S193" s="63">
        <v>0.36440677966101687</v>
      </c>
      <c r="T193" s="63">
        <v>-0.28813559322033905</v>
      </c>
      <c r="U193" s="63">
        <v>-5.0847457627118772E-2</v>
      </c>
      <c r="V193" s="63">
        <v>6.7796610169491442E-2</v>
      </c>
      <c r="W193" s="63">
        <v>8.4745762711864094E-3</v>
      </c>
      <c r="X193" s="63">
        <v>-0.5847457627118644</v>
      </c>
      <c r="Y193" s="63">
        <v>0.48305084745762711</v>
      </c>
      <c r="Z193" s="63">
        <v>6.7796610169491442E-2</v>
      </c>
      <c r="AA193" s="63">
        <v>-0.16949152542372883</v>
      </c>
      <c r="AB193" s="63">
        <v>-0.16949152542372883</v>
      </c>
      <c r="AC193" s="63">
        <v>0.24576271186440668</v>
      </c>
      <c r="AD193" s="63">
        <v>-0.22881355932203401</v>
      </c>
      <c r="AF193" s="60">
        <v>2.8095238095238098</v>
      </c>
    </row>
    <row r="194" spans="1:32">
      <c r="A194" t="s">
        <v>298</v>
      </c>
      <c r="Q194" s="63"/>
      <c r="R194" s="63"/>
      <c r="S194" s="63"/>
      <c r="T194" s="63"/>
      <c r="U194" s="63"/>
      <c r="V194" s="63"/>
      <c r="W194" s="63"/>
      <c r="X194" s="63"/>
      <c r="Y194" s="63"/>
      <c r="Z194" s="63"/>
      <c r="AA194" s="63"/>
      <c r="AB194" s="63"/>
      <c r="AC194" s="63"/>
      <c r="AD194" s="63"/>
      <c r="AF194" s="60" t="e">
        <v>#DIV/0!</v>
      </c>
    </row>
    <row r="195" spans="1:32">
      <c r="A195" t="s">
        <v>298</v>
      </c>
      <c r="Q195" s="63"/>
      <c r="R195" s="63"/>
      <c r="S195" s="63"/>
      <c r="T195" s="63"/>
      <c r="U195" s="63"/>
      <c r="V195" s="63"/>
      <c r="W195" s="63"/>
      <c r="X195" s="63"/>
      <c r="Y195" s="63"/>
      <c r="Z195" s="63"/>
      <c r="AA195" s="63"/>
      <c r="AB195" s="63"/>
      <c r="AC195" s="63"/>
      <c r="AD195" s="63"/>
      <c r="AF195" s="60" t="e">
        <v>#DIV/0!</v>
      </c>
    </row>
    <row r="196" spans="1:32">
      <c r="A196" s="8" t="s">
        <v>1298</v>
      </c>
      <c r="B196" s="53" t="s">
        <v>1231</v>
      </c>
      <c r="C196" s="53" t="s">
        <v>1232</v>
      </c>
      <c r="D196" s="53" t="s">
        <v>1233</v>
      </c>
      <c r="E196" s="53" t="s">
        <v>1234</v>
      </c>
      <c r="F196" s="53" t="s">
        <v>1235</v>
      </c>
      <c r="G196" s="53" t="s">
        <v>1236</v>
      </c>
      <c r="H196" s="53" t="s">
        <v>1237</v>
      </c>
      <c r="I196" s="53" t="s">
        <v>1238</v>
      </c>
      <c r="J196" s="53" t="s">
        <v>1239</v>
      </c>
      <c r="K196" s="53" t="s">
        <v>1240</v>
      </c>
      <c r="L196" s="70" t="s">
        <v>1241</v>
      </c>
      <c r="M196" s="70" t="s">
        <v>1289</v>
      </c>
      <c r="N196" s="70" t="s">
        <v>1290</v>
      </c>
      <c r="O196" s="70" t="s">
        <v>1291</v>
      </c>
      <c r="Q196" s="63"/>
      <c r="R196" s="63"/>
      <c r="S196" s="63"/>
      <c r="T196" s="63"/>
      <c r="U196" s="63"/>
      <c r="V196" s="63"/>
      <c r="W196" s="63"/>
      <c r="X196" s="63"/>
      <c r="Y196" s="63"/>
      <c r="Z196" s="63"/>
      <c r="AA196" s="63"/>
      <c r="AB196" s="63"/>
      <c r="AC196" s="63"/>
      <c r="AD196" s="63"/>
      <c r="AF196" s="60" t="e">
        <v>#DIV/0!</v>
      </c>
    </row>
    <row r="197" spans="1:32">
      <c r="A197" s="71" t="s">
        <v>1306</v>
      </c>
      <c r="B197" s="72">
        <v>8.1999998092651367</v>
      </c>
      <c r="C197" s="72">
        <v>8</v>
      </c>
      <c r="D197" s="72">
        <v>8</v>
      </c>
      <c r="E197" s="72">
        <v>8.8000001907348633</v>
      </c>
      <c r="F197" s="72">
        <v>8.6999998092651367</v>
      </c>
      <c r="G197" s="72">
        <v>9.3000001907348633</v>
      </c>
      <c r="H197" s="72">
        <v>9.1999998092651367</v>
      </c>
      <c r="I197" s="72">
        <v>9.8000001907348633</v>
      </c>
      <c r="J197" s="72">
        <v>8.3999996185302734</v>
      </c>
      <c r="K197" s="72">
        <v>8</v>
      </c>
      <c r="L197" s="72">
        <v>9.6999998092651367</v>
      </c>
      <c r="M197" s="72">
        <v>9</v>
      </c>
      <c r="N197" s="72">
        <v>8.8999996185302734</v>
      </c>
      <c r="O197" s="72">
        <v>8.6999998092651367</v>
      </c>
      <c r="Q197" s="63">
        <v>-6.4384691112969281E-2</v>
      </c>
      <c r="R197" s="63">
        <v>-8.7204555463639019E-2</v>
      </c>
      <c r="S197" s="63">
        <v>-8.7204555463639019E-2</v>
      </c>
      <c r="T197" s="63">
        <v>4.0750107527363693E-3</v>
      </c>
      <c r="U197" s="63">
        <v>-7.3349758294467228E-3</v>
      </c>
      <c r="V197" s="63">
        <v>6.1124726036258931E-2</v>
      </c>
      <c r="W197" s="63">
        <v>4.971473945407584E-2</v>
      </c>
      <c r="X197" s="63">
        <v>0.1181744413197815</v>
      </c>
      <c r="Y197" s="63">
        <v>-4.1564826762299549E-2</v>
      </c>
      <c r="Z197" s="63">
        <v>-8.7204555463639019E-2</v>
      </c>
      <c r="AA197" s="63">
        <v>0.10676445473759839</v>
      </c>
      <c r="AB197" s="63">
        <v>2.6894875103406105E-2</v>
      </c>
      <c r="AC197" s="63">
        <v>1.5484888521223011E-2</v>
      </c>
      <c r="AD197" s="63">
        <v>-7.3349758294467228E-3</v>
      </c>
      <c r="AF197" s="60">
        <v>8.7642856325422009</v>
      </c>
    </row>
    <row r="198" spans="1:32">
      <c r="A198" s="71" t="s">
        <v>1307</v>
      </c>
      <c r="B198" s="72">
        <v>7.3000001907348633</v>
      </c>
      <c r="C198" s="72">
        <v>8</v>
      </c>
      <c r="D198" s="72">
        <v>7.5</v>
      </c>
      <c r="E198" s="72">
        <v>8.6000003814697266</v>
      </c>
      <c r="F198" s="72">
        <v>6.3000001907348633</v>
      </c>
      <c r="G198" s="72">
        <v>9</v>
      </c>
      <c r="H198" s="72">
        <v>8.8000001907348633</v>
      </c>
      <c r="I198" s="72">
        <v>8.8999996185302734</v>
      </c>
      <c r="J198" s="72">
        <v>8.1999998092651367</v>
      </c>
      <c r="K198" s="72">
        <v>7.5999999046325684</v>
      </c>
      <c r="L198" s="72">
        <v>9.3000001907348633</v>
      </c>
      <c r="M198" s="72">
        <v>8.3000001907348633</v>
      </c>
      <c r="N198" s="72">
        <v>7.9000000953674316</v>
      </c>
      <c r="O198" s="72">
        <v>8.6999998092651367</v>
      </c>
      <c r="Q198" s="63">
        <v>-0.10664333777005859</v>
      </c>
      <c r="R198" s="63">
        <v>-2.0979025875876765E-2</v>
      </c>
      <c r="S198" s="63">
        <v>-8.2167836758634469E-2</v>
      </c>
      <c r="T198" s="63">
        <v>5.244759386679039E-2</v>
      </c>
      <c r="U198" s="63">
        <v>-0.229020959535574</v>
      </c>
      <c r="V198" s="63">
        <v>0.10139859588963863</v>
      </c>
      <c r="W198" s="63">
        <v>7.6923094878214512E-2</v>
      </c>
      <c r="X198" s="63">
        <v>8.9160787029729183E-2</v>
      </c>
      <c r="Y198" s="63">
        <v>3.49647513554736E-3</v>
      </c>
      <c r="Z198" s="63">
        <v>-6.9930086252922408E-2</v>
      </c>
      <c r="AA198" s="63">
        <v>0.13811190576097221</v>
      </c>
      <c r="AB198" s="63">
        <v>1.5734283995456812E-2</v>
      </c>
      <c r="AC198" s="63">
        <v>-3.3216776381588826E-2</v>
      </c>
      <c r="AD198" s="63">
        <v>6.468528601830506E-2</v>
      </c>
      <c r="AF198" s="60">
        <v>8.1714286123003284</v>
      </c>
    </row>
    <row r="199" spans="1:32">
      <c r="A199" s="71" t="s">
        <v>1308</v>
      </c>
      <c r="B199" s="72">
        <v>7.5</v>
      </c>
      <c r="C199" s="72">
        <v>7.5</v>
      </c>
      <c r="D199" s="72">
        <v>7.5</v>
      </c>
      <c r="E199" s="72">
        <v>8.1000003814697266</v>
      </c>
      <c r="F199" s="72">
        <v>8.6999998092651367</v>
      </c>
      <c r="G199" s="72">
        <v>9.3000001907348633</v>
      </c>
      <c r="H199" s="72">
        <v>9</v>
      </c>
      <c r="I199" s="72">
        <v>9.3999996185302734</v>
      </c>
      <c r="J199" s="72">
        <v>8.3000001907348633</v>
      </c>
      <c r="K199" s="72">
        <v>7.1999998092651367</v>
      </c>
      <c r="L199" s="72">
        <v>8.5</v>
      </c>
      <c r="M199" s="72">
        <v>8.6999998092651367</v>
      </c>
      <c r="N199" s="72">
        <v>8.8000001907348633</v>
      </c>
      <c r="O199" s="72">
        <v>8.3000001907348633</v>
      </c>
      <c r="Q199" s="63">
        <v>-0.10102739872829977</v>
      </c>
      <c r="R199" s="63">
        <v>-0.10102739872829977</v>
      </c>
      <c r="S199" s="63">
        <v>-0.10102739872829977</v>
      </c>
      <c r="T199" s="63">
        <v>-2.9109544902452763E-2</v>
      </c>
      <c r="U199" s="63">
        <v>4.2808194613116773E-2</v>
      </c>
      <c r="V199" s="63">
        <v>0.11472604843896378</v>
      </c>
      <c r="W199" s="63">
        <v>7.8767121526040276E-2</v>
      </c>
      <c r="X199" s="63">
        <v>0.12671228120308664</v>
      </c>
      <c r="Y199" s="63">
        <v>-5.136965063929585E-3</v>
      </c>
      <c r="Z199" s="63">
        <v>-0.13698632564122326</v>
      </c>
      <c r="AA199" s="63">
        <v>1.8835614774593595E-2</v>
      </c>
      <c r="AB199" s="63">
        <v>4.2808194613116773E-2</v>
      </c>
      <c r="AC199" s="63">
        <v>5.4794541687517094E-2</v>
      </c>
      <c r="AD199" s="63">
        <v>-5.136965063929585E-3</v>
      </c>
      <c r="AF199" s="60">
        <v>8.3428571564810614</v>
      </c>
    </row>
    <row r="200" spans="1:32">
      <c r="A200" s="71" t="s">
        <v>1309</v>
      </c>
      <c r="B200" s="72">
        <v>7.5999999046325684</v>
      </c>
      <c r="C200" s="72">
        <v>7.5</v>
      </c>
      <c r="D200" s="72">
        <v>7.5</v>
      </c>
      <c r="E200" s="72">
        <v>8.1999998092651367</v>
      </c>
      <c r="F200" s="72">
        <v>7.3000001907348633</v>
      </c>
      <c r="G200" s="72">
        <v>8.3000001907348633</v>
      </c>
      <c r="H200" s="72">
        <v>8.8000001907348633</v>
      </c>
      <c r="I200" s="72">
        <v>9.3000001907348633</v>
      </c>
      <c r="J200" s="72">
        <v>8.1000003814697266</v>
      </c>
      <c r="K200" s="72">
        <v>7.1999998092651367</v>
      </c>
      <c r="L200" s="72">
        <v>8.5</v>
      </c>
      <c r="M200" s="72">
        <v>8.3000001907348633</v>
      </c>
      <c r="N200" s="72">
        <v>8.5</v>
      </c>
      <c r="O200" s="72">
        <v>8.3000001907348633</v>
      </c>
      <c r="Q200" s="63">
        <v>-6.1728415515256728E-2</v>
      </c>
      <c r="R200" s="63">
        <v>-7.4074082639638009E-2</v>
      </c>
      <c r="S200" s="63">
        <v>-7.4074082639638009E-2</v>
      </c>
      <c r="T200" s="63">
        <v>1.234564609981535E-2</v>
      </c>
      <c r="U200" s="63">
        <v>-9.8765416888400556E-2</v>
      </c>
      <c r="V200" s="63">
        <v>2.4691372092981046E-2</v>
      </c>
      <c r="W200" s="63">
        <v>8.6419766583671842E-2</v>
      </c>
      <c r="X200" s="63">
        <v>0.14814816107436266</v>
      </c>
      <c r="Y200" s="63">
        <v>3.7844218492262192E-8</v>
      </c>
      <c r="Z200" s="63">
        <v>-0.11111114288156625</v>
      </c>
      <c r="AA200" s="63">
        <v>4.9382706341743597E-2</v>
      </c>
      <c r="AB200" s="63">
        <v>2.4691372092981046E-2</v>
      </c>
      <c r="AC200" s="63">
        <v>4.9382706341743597E-2</v>
      </c>
      <c r="AD200" s="63">
        <v>2.4691372092981046E-2</v>
      </c>
      <c r="AF200" s="60">
        <v>8.1000000749315539</v>
      </c>
    </row>
    <row r="201" spans="1:32">
      <c r="A201" s="71" t="s">
        <v>298</v>
      </c>
      <c r="B201" s="72"/>
      <c r="C201" s="72"/>
      <c r="D201" s="72"/>
      <c r="E201" s="72"/>
      <c r="F201" s="72"/>
      <c r="G201" s="72"/>
      <c r="H201" s="72"/>
      <c r="I201" s="72"/>
      <c r="J201" s="72"/>
      <c r="K201" s="72"/>
      <c r="L201" s="72"/>
      <c r="M201" s="72"/>
      <c r="N201" s="72"/>
      <c r="O201" s="72"/>
      <c r="Q201" s="63"/>
      <c r="R201" s="63"/>
      <c r="S201" s="63"/>
      <c r="T201" s="63"/>
      <c r="U201" s="63"/>
      <c r="V201" s="63"/>
      <c r="W201" s="63"/>
      <c r="X201" s="63"/>
      <c r="Y201" s="63"/>
      <c r="Z201" s="63"/>
      <c r="AA201" s="63"/>
      <c r="AB201" s="63"/>
      <c r="AC201" s="63"/>
      <c r="AD201" s="63"/>
      <c r="AF201" s="60" t="e">
        <v>#DIV/0!</v>
      </c>
    </row>
    <row r="202" spans="1:32">
      <c r="A202" s="71" t="s">
        <v>1310</v>
      </c>
      <c r="B202" s="72">
        <v>6.6999998092651367</v>
      </c>
      <c r="C202" s="72">
        <v>7</v>
      </c>
      <c r="D202" s="72">
        <v>8</v>
      </c>
      <c r="E202" s="72">
        <v>8.3999996185302734</v>
      </c>
      <c r="F202" s="72">
        <v>6.3000001907348633</v>
      </c>
      <c r="G202" s="72">
        <v>7.3000001907348633</v>
      </c>
      <c r="H202" s="72">
        <v>7.6999998092651367</v>
      </c>
      <c r="I202" s="72">
        <v>10</v>
      </c>
      <c r="J202" s="72">
        <v>8.1000003814697266</v>
      </c>
      <c r="K202" s="72">
        <v>8.3999996185302734</v>
      </c>
      <c r="L202" s="72">
        <v>8.5</v>
      </c>
      <c r="M202" s="72">
        <v>7.3000001907348633</v>
      </c>
      <c r="N202" s="72">
        <v>8.6000003814697266</v>
      </c>
      <c r="O202" s="72">
        <v>9</v>
      </c>
      <c r="Q202" s="63">
        <v>-0.15723272983857312</v>
      </c>
      <c r="R202" s="63">
        <v>-0.11949685685483064</v>
      </c>
      <c r="S202" s="63">
        <v>6.2893064516221309E-3</v>
      </c>
      <c r="T202" s="63">
        <v>5.6603723790589915E-2</v>
      </c>
      <c r="U202" s="63">
        <v>-0.20754714717754091</v>
      </c>
      <c r="V202" s="63">
        <v>-8.1760983871088141E-2</v>
      </c>
      <c r="W202" s="63">
        <v>-3.1446566532120357E-2</v>
      </c>
      <c r="X202" s="63">
        <v>0.25786163306452764</v>
      </c>
      <c r="Y202" s="63">
        <v>1.8867970765880728E-2</v>
      </c>
      <c r="Z202" s="63">
        <v>5.6603723790589915E-2</v>
      </c>
      <c r="AA202" s="63">
        <v>6.9182388104848516E-2</v>
      </c>
      <c r="AB202" s="63">
        <v>-8.1760983871088141E-2</v>
      </c>
      <c r="AC202" s="63">
        <v>8.1761052419107111E-2</v>
      </c>
      <c r="AD202" s="63">
        <v>0.13207546975807491</v>
      </c>
      <c r="AF202" s="60">
        <v>7.9500000136239191</v>
      </c>
    </row>
    <row r="203" spans="1:32">
      <c r="A203" s="71" t="s">
        <v>1311</v>
      </c>
      <c r="B203" s="72">
        <v>7.0999999046325684</v>
      </c>
      <c r="C203" s="72">
        <v>8</v>
      </c>
      <c r="D203" s="72">
        <v>8.5</v>
      </c>
      <c r="E203" s="72">
        <v>7.9000000953674316</v>
      </c>
      <c r="F203" s="72">
        <v>8.6999998092651367</v>
      </c>
      <c r="G203" s="72">
        <v>7.6999998092651367</v>
      </c>
      <c r="H203" s="72">
        <v>8.8000001907348633</v>
      </c>
      <c r="I203" s="72">
        <v>9.8000001907348633</v>
      </c>
      <c r="J203" s="72">
        <v>8.1999998092651367</v>
      </c>
      <c r="K203" s="72">
        <v>7.1999998092651367</v>
      </c>
      <c r="L203" s="72">
        <v>9</v>
      </c>
      <c r="M203" s="72">
        <v>7</v>
      </c>
      <c r="N203" s="72">
        <v>9.1999998092651367</v>
      </c>
      <c r="O203" s="72">
        <v>8.5</v>
      </c>
      <c r="Q203" s="63">
        <v>-0.14013841559798698</v>
      </c>
      <c r="R203" s="63">
        <v>-3.1141863716392076E-2</v>
      </c>
      <c r="S203" s="63">
        <v>2.9411769801333417E-2</v>
      </c>
      <c r="T203" s="63">
        <v>-4.3252578870248165E-2</v>
      </c>
      <c r="U203" s="63">
        <v>5.3633200109045598E-2</v>
      </c>
      <c r="V203" s="63">
        <v>-6.7474066926405396E-2</v>
      </c>
      <c r="W203" s="63">
        <v>6.574397301134674E-2</v>
      </c>
      <c r="X203" s="63">
        <v>0.18685124004679773</v>
      </c>
      <c r="Y203" s="63">
        <v>-6.9204334086798991E-3</v>
      </c>
      <c r="Z203" s="63">
        <v>-0.12802770044413089</v>
      </c>
      <c r="AA203" s="63">
        <v>8.9965403319058918E-2</v>
      </c>
      <c r="AB203" s="63">
        <v>-0.15224913075184307</v>
      </c>
      <c r="AC203" s="63">
        <v>0.11418683362677109</v>
      </c>
      <c r="AD203" s="63">
        <v>2.9411769801333417E-2</v>
      </c>
      <c r="AF203" s="60">
        <v>8.2571428162711005</v>
      </c>
    </row>
    <row r="204" spans="1:32">
      <c r="A204" s="71" t="s">
        <v>1312</v>
      </c>
      <c r="B204" s="72">
        <v>6.9000000953674316</v>
      </c>
      <c r="C204" s="72" t="s">
        <v>1313</v>
      </c>
      <c r="D204" s="72">
        <v>5.5</v>
      </c>
      <c r="E204" s="72">
        <v>8.6000003814697266</v>
      </c>
      <c r="F204" s="72">
        <v>8</v>
      </c>
      <c r="G204" s="72">
        <v>7.6999998092651367</v>
      </c>
      <c r="H204" s="72">
        <v>8.1000003814697266</v>
      </c>
      <c r="I204" s="72">
        <v>8.6000003814697266</v>
      </c>
      <c r="J204" s="72">
        <v>7.4000000953674316</v>
      </c>
      <c r="K204" s="72">
        <v>6</v>
      </c>
      <c r="L204" s="72">
        <v>7.8000001907348633</v>
      </c>
      <c r="M204" s="72">
        <v>8</v>
      </c>
      <c r="N204" s="72">
        <v>8.3999996185302734</v>
      </c>
      <c r="O204" s="72">
        <v>8.5</v>
      </c>
      <c r="Q204" s="63">
        <v>-9.8492458492140528E-2</v>
      </c>
      <c r="R204" s="63" t="e">
        <v>#VALUE!</v>
      </c>
      <c r="S204" s="63">
        <v>-0.28140704206335326</v>
      </c>
      <c r="T204" s="63">
        <v>0.12361812952302199</v>
      </c>
      <c r="U204" s="63">
        <v>4.5226120635122498E-2</v>
      </c>
      <c r="V204" s="63">
        <v>6.0301161911727498E-3</v>
      </c>
      <c r="W204" s="63">
        <v>5.8291496983326835E-2</v>
      </c>
      <c r="X204" s="63">
        <v>0.12361812952302199</v>
      </c>
      <c r="Y204" s="63">
        <v>-3.3165825952445369E-2</v>
      </c>
      <c r="Z204" s="63">
        <v>-0.21608040952365812</v>
      </c>
      <c r="AA204" s="63">
        <v>1.9095492539377087E-2</v>
      </c>
      <c r="AB204" s="63">
        <v>4.5226120635122498E-2</v>
      </c>
      <c r="AC204" s="63">
        <v>9.748737682661332E-2</v>
      </c>
      <c r="AD204" s="63">
        <v>0.11055275317481765</v>
      </c>
      <c r="AF204" s="60">
        <v>7.6538462272057171</v>
      </c>
    </row>
    <row r="205" spans="1:32">
      <c r="A205" s="71" t="s">
        <v>1314</v>
      </c>
      <c r="B205" s="72">
        <v>6.6999998092651367</v>
      </c>
      <c r="C205" s="72" t="s">
        <v>1313</v>
      </c>
      <c r="D205" s="72">
        <v>5</v>
      </c>
      <c r="E205" s="72">
        <v>9</v>
      </c>
      <c r="F205" s="72">
        <v>9</v>
      </c>
      <c r="G205" s="72">
        <v>8.6999998092651367</v>
      </c>
      <c r="H205" s="72">
        <v>8.8999996185302734</v>
      </c>
      <c r="I205" s="72">
        <v>8.8000001907348633</v>
      </c>
      <c r="J205" s="72">
        <v>8</v>
      </c>
      <c r="K205" s="72">
        <v>6</v>
      </c>
      <c r="L205" s="72">
        <v>8.1999998092651367</v>
      </c>
      <c r="M205" s="72">
        <v>8.3000001907348633</v>
      </c>
      <c r="N205" s="72">
        <v>9</v>
      </c>
      <c r="O205" s="72">
        <v>8.5</v>
      </c>
      <c r="Q205" s="63">
        <v>-0.1633045341094356</v>
      </c>
      <c r="R205" s="63" t="e">
        <v>#VALUE!</v>
      </c>
      <c r="S205" s="63">
        <v>-0.37560038081379132</v>
      </c>
      <c r="T205" s="63">
        <v>0.12391931453517559</v>
      </c>
      <c r="U205" s="63">
        <v>0.12391931453517559</v>
      </c>
      <c r="V205" s="63">
        <v>8.6455313565047862E-2</v>
      </c>
      <c r="W205" s="63">
        <v>0.11143127451354101</v>
      </c>
      <c r="X205" s="63">
        <v>9.8943353586682437E-2</v>
      </c>
      <c r="Y205" s="63">
        <v>-9.6060930206614658E-4</v>
      </c>
      <c r="Z205" s="63">
        <v>-0.2507204569765496</v>
      </c>
      <c r="AA205" s="63">
        <v>2.4015351646426999E-2</v>
      </c>
      <c r="AB205" s="63">
        <v>3.6503391668061574E-2</v>
      </c>
      <c r="AC205" s="63">
        <v>0.12391931453517559</v>
      </c>
      <c r="AD205" s="63">
        <v>6.1479352616554718E-2</v>
      </c>
      <c r="AF205" s="60">
        <v>8.0076922636765708</v>
      </c>
    </row>
    <row r="206" spans="1:32">
      <c r="A206" s="71" t="s">
        <v>1315</v>
      </c>
      <c r="B206" s="72">
        <v>6.8000001907348633</v>
      </c>
      <c r="C206" s="72">
        <v>7</v>
      </c>
      <c r="D206" s="72">
        <v>7.5</v>
      </c>
      <c r="E206" s="72">
        <v>9.1000003814697266</v>
      </c>
      <c r="F206" s="72">
        <v>8.3000001907348633</v>
      </c>
      <c r="G206" s="72">
        <v>7.3000001907348633</v>
      </c>
      <c r="H206" s="72">
        <v>8.1999998092651367</v>
      </c>
      <c r="I206" s="72">
        <v>9.5</v>
      </c>
      <c r="J206" s="72">
        <v>7.6999998092651367</v>
      </c>
      <c r="K206" s="72">
        <v>7.5</v>
      </c>
      <c r="L206" s="72">
        <v>7.8000001907348633</v>
      </c>
      <c r="M206" s="72" t="s">
        <v>1313</v>
      </c>
      <c r="N206" s="72">
        <v>8.6000003814697266</v>
      </c>
      <c r="O206" s="72">
        <v>9</v>
      </c>
      <c r="Q206" s="63"/>
      <c r="R206" s="63"/>
      <c r="S206" s="63"/>
      <c r="T206" s="63"/>
      <c r="U206" s="63"/>
      <c r="V206" s="63"/>
      <c r="W206" s="63"/>
      <c r="X206" s="63"/>
      <c r="Y206" s="63"/>
      <c r="Z206" s="63"/>
      <c r="AA206" s="63"/>
      <c r="AB206" s="63"/>
      <c r="AC206" s="63"/>
      <c r="AD206" s="63"/>
      <c r="AF206" s="60"/>
    </row>
    <row r="207" spans="1:32">
      <c r="A207" s="71" t="s">
        <v>1316</v>
      </c>
      <c r="B207" s="72">
        <v>6.6999998092651367</v>
      </c>
      <c r="C207" s="72">
        <v>7</v>
      </c>
      <c r="D207" s="72">
        <v>7.5</v>
      </c>
      <c r="E207" s="72">
        <v>9</v>
      </c>
      <c r="F207" s="72">
        <v>10</v>
      </c>
      <c r="G207" s="72">
        <v>7.3000001907348633</v>
      </c>
      <c r="H207" s="72">
        <v>7.8000001907348633</v>
      </c>
      <c r="I207" s="72">
        <v>9.3000001907348633</v>
      </c>
      <c r="J207" s="72">
        <v>7</v>
      </c>
      <c r="K207" s="72">
        <v>8</v>
      </c>
      <c r="L207" s="72">
        <v>8</v>
      </c>
      <c r="M207" s="72" t="s">
        <v>1313</v>
      </c>
      <c r="N207" s="72">
        <v>8.8999996185302734</v>
      </c>
      <c r="O207" s="72">
        <v>8.6999998092651367</v>
      </c>
      <c r="Q207" s="63"/>
      <c r="R207" s="63"/>
      <c r="S207" s="63"/>
      <c r="T207" s="63"/>
      <c r="U207" s="63"/>
      <c r="V207" s="63"/>
      <c r="W207" s="63"/>
      <c r="X207" s="63"/>
      <c r="Y207" s="63"/>
      <c r="Z207" s="63"/>
      <c r="AA207" s="63"/>
      <c r="AB207" s="63"/>
      <c r="AC207" s="63"/>
      <c r="AD207" s="63"/>
      <c r="AF207" s="60"/>
    </row>
    <row r="208" spans="1:32">
      <c r="A208" s="71" t="s">
        <v>1317</v>
      </c>
      <c r="B208" s="72">
        <v>7.3000001907348633</v>
      </c>
      <c r="C208" s="72">
        <v>7</v>
      </c>
      <c r="D208" s="72">
        <v>6</v>
      </c>
      <c r="E208" s="72">
        <v>8.8000001907348633</v>
      </c>
      <c r="F208" s="72">
        <v>8</v>
      </c>
      <c r="G208" s="72">
        <v>9</v>
      </c>
      <c r="H208" s="72">
        <v>8.5</v>
      </c>
      <c r="I208" s="72">
        <v>9</v>
      </c>
      <c r="J208" s="72">
        <v>8</v>
      </c>
      <c r="K208" s="72">
        <v>7.1999998092651367</v>
      </c>
      <c r="L208" s="72">
        <v>8.5</v>
      </c>
      <c r="M208" s="72">
        <v>8.5</v>
      </c>
      <c r="N208" s="72">
        <v>9</v>
      </c>
      <c r="O208" s="72">
        <v>9</v>
      </c>
      <c r="Q208" s="63">
        <v>-0.101933194209179</v>
      </c>
      <c r="R208" s="63">
        <v>-0.13884007174211974</v>
      </c>
      <c r="S208" s="63">
        <v>-0.26186291863610262</v>
      </c>
      <c r="T208" s="63">
        <v>8.2601076131795348E-2</v>
      </c>
      <c r="U208" s="63">
        <v>-1.5817224848136854E-2</v>
      </c>
      <c r="V208" s="63">
        <v>0.10720562204584604</v>
      </c>
      <c r="W208" s="63">
        <v>4.5694198598854589E-2</v>
      </c>
      <c r="X208" s="63">
        <v>0.10720562204584604</v>
      </c>
      <c r="Y208" s="63">
        <v>-1.5817224848136854E-2</v>
      </c>
      <c r="Z208" s="63">
        <v>-0.11423552582806905</v>
      </c>
      <c r="AA208" s="63">
        <v>4.5694198598854589E-2</v>
      </c>
      <c r="AB208" s="63">
        <v>4.5694198598854589E-2</v>
      </c>
      <c r="AC208" s="63">
        <v>0.10720562204584604</v>
      </c>
      <c r="AD208" s="63">
        <v>0.10720562204584604</v>
      </c>
      <c r="AF208" s="60">
        <v>8.1285714421953479</v>
      </c>
    </row>
    <row r="209" spans="1:32">
      <c r="A209" s="71" t="s">
        <v>1318</v>
      </c>
      <c r="B209" s="72">
        <v>7.0999999046325684</v>
      </c>
      <c r="C209" s="72">
        <v>7</v>
      </c>
      <c r="D209" s="72" t="s">
        <v>1313</v>
      </c>
      <c r="E209" s="72">
        <v>9</v>
      </c>
      <c r="F209" s="72">
        <v>5</v>
      </c>
      <c r="G209" s="72">
        <v>9.6999998092651367</v>
      </c>
      <c r="H209" s="72">
        <v>7.1999998092651367</v>
      </c>
      <c r="I209" s="72">
        <v>8.5</v>
      </c>
      <c r="J209" s="72">
        <v>6.4000000953674316</v>
      </c>
      <c r="K209" s="72">
        <v>5.8000001907348633</v>
      </c>
      <c r="L209" s="72">
        <v>3.5</v>
      </c>
      <c r="M209" s="72">
        <v>9</v>
      </c>
      <c r="N209" s="72">
        <v>7.3000001907348633</v>
      </c>
      <c r="O209" s="72">
        <v>8.1999998092651367</v>
      </c>
      <c r="Q209" s="63">
        <v>-1.4941313253912264E-2</v>
      </c>
      <c r="R209" s="63">
        <v>-2.8815366219436856E-2</v>
      </c>
      <c r="S209" s="63" t="e">
        <v>#VALUE!</v>
      </c>
      <c r="T209" s="63">
        <v>0.2486659577178669</v>
      </c>
      <c r="U209" s="63">
        <v>-0.3062966901567406</v>
      </c>
      <c r="V209" s="63">
        <v>0.34578439463324201</v>
      </c>
      <c r="W209" s="63">
        <v>-1.0672602883876722E-3</v>
      </c>
      <c r="X209" s="63">
        <v>0.17929562673354096</v>
      </c>
      <c r="Y209" s="63">
        <v>-0.11205975016928739</v>
      </c>
      <c r="Z209" s="63">
        <v>-0.19530413411913791</v>
      </c>
      <c r="AA209" s="63">
        <v>-0.51440768310971841</v>
      </c>
      <c r="AB209" s="63">
        <v>0.2486659577178669</v>
      </c>
      <c r="AC209" s="63">
        <v>1.2806858833839899E-2</v>
      </c>
      <c r="AD209" s="63">
        <v>0.13767340168026421</v>
      </c>
      <c r="AF209" s="60">
        <v>7.2076922930203953</v>
      </c>
    </row>
    <row r="210" spans="1:32">
      <c r="A210" s="71" t="s">
        <v>1319</v>
      </c>
      <c r="B210" s="72">
        <v>6.5</v>
      </c>
      <c r="C210" s="72">
        <v>8.5</v>
      </c>
      <c r="D210" s="72">
        <v>6.5</v>
      </c>
      <c r="E210" s="72">
        <v>8.5</v>
      </c>
      <c r="F210" s="72">
        <v>8.3000001907348633</v>
      </c>
      <c r="G210" s="72">
        <v>8.3000001907348633</v>
      </c>
      <c r="H210" s="72">
        <v>9.1000003814697266</v>
      </c>
      <c r="I210" s="72">
        <v>9.8000001907348633</v>
      </c>
      <c r="J210" s="72">
        <v>9</v>
      </c>
      <c r="K210" s="72">
        <v>8</v>
      </c>
      <c r="L210" s="72">
        <v>8.1999998092651367</v>
      </c>
      <c r="M210" s="72">
        <v>9</v>
      </c>
      <c r="N210" s="72">
        <v>8.8999996185302734</v>
      </c>
      <c r="O210" s="72">
        <v>7.8000001907348633</v>
      </c>
      <c r="Q210" s="63">
        <v>-0.21821306226238896</v>
      </c>
      <c r="R210" s="63">
        <v>2.2336764733799062E-2</v>
      </c>
      <c r="S210" s="63">
        <v>-0.21821306226238896</v>
      </c>
      <c r="T210" s="63">
        <v>2.2336764733799062E-2</v>
      </c>
      <c r="U210" s="63">
        <v>-1.718195025200557E-3</v>
      </c>
      <c r="V210" s="63">
        <v>-1.718195025200557E-3</v>
      </c>
      <c r="W210" s="63">
        <v>9.4501758713893838E-2</v>
      </c>
      <c r="X210" s="63">
        <v>0.17869417522194045</v>
      </c>
      <c r="Y210" s="63">
        <v>8.2474221482846069E-2</v>
      </c>
      <c r="Z210" s="63">
        <v>-3.7800692015247939E-2</v>
      </c>
      <c r="AA210" s="63">
        <v>-1.3745732256248321E-2</v>
      </c>
      <c r="AB210" s="63">
        <v>8.2474221482846069E-2</v>
      </c>
      <c r="AC210" s="63">
        <v>7.04466842517983E-2</v>
      </c>
      <c r="AD210" s="63">
        <v>-6.185565177424756E-2</v>
      </c>
      <c r="AF210" s="60">
        <v>8.3142857551574707</v>
      </c>
    </row>
    <row r="211" spans="1:32">
      <c r="A211" s="71" t="s">
        <v>1320</v>
      </c>
      <c r="B211" s="72">
        <v>6.6999998092651367</v>
      </c>
      <c r="C211" s="72">
        <v>9</v>
      </c>
      <c r="D211" s="72">
        <v>5.5</v>
      </c>
      <c r="E211" s="72">
        <v>8.1999998092651367</v>
      </c>
      <c r="F211" s="72">
        <v>8</v>
      </c>
      <c r="G211" s="72">
        <v>8</v>
      </c>
      <c r="H211" s="72">
        <v>9</v>
      </c>
      <c r="I211" s="72">
        <v>8.6999998092651367</v>
      </c>
      <c r="J211" s="72">
        <v>7.3000001907348633</v>
      </c>
      <c r="K211" s="72">
        <v>7.1999998092651367</v>
      </c>
      <c r="L211" s="72">
        <v>8.5</v>
      </c>
      <c r="M211" s="72">
        <v>8</v>
      </c>
      <c r="N211" s="72">
        <v>7.4000000953674316</v>
      </c>
      <c r="O211" s="72">
        <v>10</v>
      </c>
      <c r="Q211" s="63">
        <v>-0.15874441496992078</v>
      </c>
      <c r="R211" s="63">
        <v>0.13004484788203918</v>
      </c>
      <c r="S211" s="63">
        <v>-0.30941703740542048</v>
      </c>
      <c r="T211" s="63">
        <v>2.9596393010419074E-2</v>
      </c>
      <c r="U211" s="63">
        <v>4.4843092284792656E-3</v>
      </c>
      <c r="V211" s="63">
        <v>4.4843092284792656E-3</v>
      </c>
      <c r="W211" s="63">
        <v>0.13004484788203918</v>
      </c>
      <c r="X211" s="63">
        <v>9.2376662337199031E-2</v>
      </c>
      <c r="Y211" s="63">
        <v>-8.3408043880240493E-2</v>
      </c>
      <c r="Z211" s="63">
        <v>-9.5964145643140833E-2</v>
      </c>
      <c r="AA211" s="63">
        <v>6.7264578555259219E-2</v>
      </c>
      <c r="AB211" s="63">
        <v>4.4843092284792656E-3</v>
      </c>
      <c r="AC211" s="63">
        <v>-7.0852001989270594E-2</v>
      </c>
      <c r="AD211" s="63">
        <v>0.25560538653559906</v>
      </c>
      <c r="AF211" s="60">
        <v>7.9642856802259177</v>
      </c>
    </row>
    <row r="212" spans="1:32">
      <c r="A212" s="71" t="s">
        <v>1321</v>
      </c>
      <c r="B212" s="72" t="s">
        <v>1313</v>
      </c>
      <c r="C212" s="72" t="s">
        <v>1313</v>
      </c>
      <c r="D212" s="72" t="s">
        <v>1313</v>
      </c>
      <c r="E212" s="72" t="s">
        <v>1313</v>
      </c>
      <c r="F212" s="72" t="s">
        <v>1313</v>
      </c>
      <c r="G212" s="72" t="s">
        <v>1313</v>
      </c>
      <c r="H212" s="72">
        <v>9.5</v>
      </c>
      <c r="I212" s="72">
        <v>10</v>
      </c>
      <c r="J212" s="72">
        <v>7.8000001907348633</v>
      </c>
      <c r="K212" s="72" t="s">
        <v>1313</v>
      </c>
      <c r="L212" s="72" t="s">
        <v>1313</v>
      </c>
      <c r="M212" s="72">
        <v>10</v>
      </c>
      <c r="N212" s="72">
        <v>8.6000003814697266</v>
      </c>
      <c r="O212" s="72">
        <v>8.1999998092651367</v>
      </c>
      <c r="Q212" s="63" t="e">
        <v>#VALUE!</v>
      </c>
      <c r="R212" s="63" t="e">
        <v>#VALUE!</v>
      </c>
      <c r="S212" s="63" t="e">
        <v>#VALUE!</v>
      </c>
      <c r="T212" s="63" t="e">
        <v>#VALUE!</v>
      </c>
      <c r="U212" s="63" t="e">
        <v>#VALUE!</v>
      </c>
      <c r="V212" s="63" t="e">
        <v>#VALUE!</v>
      </c>
      <c r="W212" s="63">
        <v>5.3604428800033327E-2</v>
      </c>
      <c r="X212" s="63">
        <v>0.10905729347371929</v>
      </c>
      <c r="Y212" s="63">
        <v>-0.13493528993690984</v>
      </c>
      <c r="Z212" s="63" t="e">
        <v>#VALUE!</v>
      </c>
      <c r="AA212" s="63" t="e">
        <v>#VALUE!</v>
      </c>
      <c r="AB212" s="63">
        <v>0.10905729347371929</v>
      </c>
      <c r="AC212" s="63">
        <v>-4.621068530542316E-2</v>
      </c>
      <c r="AD212" s="63">
        <v>-9.0573040505139313E-2</v>
      </c>
      <c r="AF212" s="60">
        <v>9.016666730244955</v>
      </c>
    </row>
    <row r="213" spans="1:32">
      <c r="A213" s="71" t="s">
        <v>1322</v>
      </c>
      <c r="B213" s="72" t="s">
        <v>1313</v>
      </c>
      <c r="C213" s="72" t="s">
        <v>1313</v>
      </c>
      <c r="D213" s="72" t="s">
        <v>1313</v>
      </c>
      <c r="E213" s="72" t="s">
        <v>1313</v>
      </c>
      <c r="F213" s="72" t="s">
        <v>1313</v>
      </c>
      <c r="G213" s="72" t="s">
        <v>1313</v>
      </c>
      <c r="H213" s="72">
        <v>6.5</v>
      </c>
      <c r="I213" s="72">
        <v>10</v>
      </c>
      <c r="J213" s="72">
        <v>6.3000001907348633</v>
      </c>
      <c r="K213" s="72" t="s">
        <v>1313</v>
      </c>
      <c r="L213" s="72" t="s">
        <v>1313</v>
      </c>
      <c r="M213" s="72" t="s">
        <v>1313</v>
      </c>
      <c r="N213" s="72">
        <v>7.1999998092651367</v>
      </c>
      <c r="O213" s="72">
        <v>9.5</v>
      </c>
      <c r="Q213" s="63" t="e">
        <v>#VALUE!</v>
      </c>
      <c r="R213" s="63" t="e">
        <v>#VALUE!</v>
      </c>
      <c r="S213" s="63" t="e">
        <v>#VALUE!</v>
      </c>
      <c r="T213" s="63" t="e">
        <v>#VALUE!</v>
      </c>
      <c r="U213" s="63" t="e">
        <v>#VALUE!</v>
      </c>
      <c r="V213" s="63" t="e">
        <v>#VALUE!</v>
      </c>
      <c r="W213" s="63">
        <v>-0.17721518987341775</v>
      </c>
      <c r="X213" s="63">
        <v>0.2658227848101265</v>
      </c>
      <c r="Y213" s="63">
        <v>-0.2025316214259667</v>
      </c>
      <c r="Z213" s="63" t="e">
        <v>#VALUE!</v>
      </c>
      <c r="AA213" s="63" t="e">
        <v>#VALUE!</v>
      </c>
      <c r="AB213" s="63" t="e">
        <v>#VALUE!</v>
      </c>
      <c r="AC213" s="63">
        <v>-8.8607619080362479E-2</v>
      </c>
      <c r="AD213" s="63">
        <v>0.20253164556962019</v>
      </c>
      <c r="AF213" s="60">
        <v>7.9</v>
      </c>
    </row>
    <row r="214" spans="1:32">
      <c r="A214" s="71" t="s">
        <v>1323</v>
      </c>
      <c r="B214" s="72">
        <v>6.5</v>
      </c>
      <c r="C214" s="72">
        <v>8</v>
      </c>
      <c r="D214" s="72">
        <v>8</v>
      </c>
      <c r="E214" s="72">
        <v>8.3999996185302734</v>
      </c>
      <c r="F214" s="72">
        <v>7</v>
      </c>
      <c r="G214" s="72">
        <v>8.3000001907348633</v>
      </c>
      <c r="H214" s="72">
        <v>8.3000001907348633</v>
      </c>
      <c r="I214" s="72">
        <v>8.1999998092651367</v>
      </c>
      <c r="J214" s="72">
        <v>8.3000001907348633</v>
      </c>
      <c r="K214" s="72">
        <v>6.1999998092651367</v>
      </c>
      <c r="L214" s="72">
        <v>9.3000001907348633</v>
      </c>
      <c r="M214" s="72" t="s">
        <v>1313</v>
      </c>
      <c r="N214" s="72">
        <v>8.5</v>
      </c>
      <c r="O214" s="72">
        <v>10</v>
      </c>
      <c r="Q214" s="63">
        <v>-0.19523809523809521</v>
      </c>
      <c r="R214" s="63">
        <v>-9.52380952380949E-3</v>
      </c>
      <c r="S214" s="63">
        <v>-9.52380952380949E-3</v>
      </c>
      <c r="T214" s="63">
        <v>3.9999952770414841E-2</v>
      </c>
      <c r="U214" s="63">
        <v>-0.1333333333333333</v>
      </c>
      <c r="V214" s="63">
        <v>2.7619071233840251E-2</v>
      </c>
      <c r="W214" s="63">
        <v>2.7619071233840251E-2</v>
      </c>
      <c r="X214" s="63">
        <v>1.5238071623302676E-2</v>
      </c>
      <c r="Y214" s="63">
        <v>2.7619071233840251E-2</v>
      </c>
      <c r="Z214" s="63">
        <v>-0.23238097599574495</v>
      </c>
      <c r="AA214" s="63">
        <v>0.15142859504336406</v>
      </c>
      <c r="AB214" s="63" t="e">
        <v>#VALUE!</v>
      </c>
      <c r="AC214" s="63">
        <v>5.2380952380952417E-2</v>
      </c>
      <c r="AD214" s="63">
        <v>0.23809523809523814</v>
      </c>
      <c r="AF214" s="60">
        <v>8.0769230769230766</v>
      </c>
    </row>
    <row r="215" spans="1:32">
      <c r="A215" s="71" t="s">
        <v>1324</v>
      </c>
      <c r="B215" s="72">
        <v>6.8000001907348633</v>
      </c>
      <c r="C215" s="72">
        <v>8</v>
      </c>
      <c r="D215" s="72">
        <v>7</v>
      </c>
      <c r="E215" s="72">
        <v>7.1999998092651367</v>
      </c>
      <c r="F215" s="72" t="s">
        <v>1313</v>
      </c>
      <c r="G215" s="72">
        <v>7.3000001907348633</v>
      </c>
      <c r="H215" s="72">
        <v>8.6000003814697266</v>
      </c>
      <c r="I215" s="72">
        <v>8.8999996185302734</v>
      </c>
      <c r="J215" s="72">
        <v>7.3000001907348633</v>
      </c>
      <c r="K215" s="72">
        <v>6.1999998092651367</v>
      </c>
      <c r="L215" s="72">
        <v>5</v>
      </c>
      <c r="M215" s="72">
        <v>10</v>
      </c>
      <c r="N215" s="72">
        <v>8.8999996185302734</v>
      </c>
      <c r="O215" s="72">
        <v>10</v>
      </c>
      <c r="Q215" s="63">
        <v>-0.12648218729087427</v>
      </c>
      <c r="R215" s="63">
        <v>2.7667986126601922E-2</v>
      </c>
      <c r="S215" s="63">
        <v>-0.10079051213922331</v>
      </c>
      <c r="T215" s="63">
        <v>-7.5098836987572373E-2</v>
      </c>
      <c r="U215" s="63" t="e">
        <v>#VALUE!</v>
      </c>
      <c r="V215" s="63">
        <v>-6.2252938157961638E-2</v>
      </c>
      <c r="W215" s="63">
        <v>0.10474313408912528</v>
      </c>
      <c r="X215" s="63">
        <v>0.14328058556281642</v>
      </c>
      <c r="Y215" s="63">
        <v>-6.2252938157961638E-2</v>
      </c>
      <c r="Z215" s="63">
        <v>-0.20355733525339761</v>
      </c>
      <c r="AA215" s="63">
        <v>-0.35770750867087381</v>
      </c>
      <c r="AB215" s="63">
        <v>0.28458498265825238</v>
      </c>
      <c r="AC215" s="63">
        <v>0.14328058556281642</v>
      </c>
      <c r="AD215" s="63">
        <v>0.28458498265825238</v>
      </c>
      <c r="AF215" s="60">
        <v>7.7846153699434719</v>
      </c>
    </row>
    <row r="216" spans="1:32">
      <c r="A216" s="71" t="s">
        <v>1325</v>
      </c>
      <c r="B216" s="72">
        <v>7.5</v>
      </c>
      <c r="C216" s="72">
        <v>8.5</v>
      </c>
      <c r="D216" s="72">
        <v>7</v>
      </c>
      <c r="E216" s="72">
        <v>6.8000001907348633</v>
      </c>
      <c r="F216" s="72">
        <v>8.8000001907348633</v>
      </c>
      <c r="G216" s="72">
        <v>6.8000001907348633</v>
      </c>
      <c r="H216" s="72">
        <v>7.9000000953674316</v>
      </c>
      <c r="I216" s="72">
        <v>8.8999996185302734</v>
      </c>
      <c r="J216" s="72">
        <v>8.1000003814697266</v>
      </c>
      <c r="K216" s="72">
        <v>6.5999999046325684</v>
      </c>
      <c r="L216" s="72">
        <v>8.5</v>
      </c>
      <c r="M216" s="72" t="s">
        <v>1313</v>
      </c>
      <c r="N216" s="72">
        <v>8.6999998092651367</v>
      </c>
      <c r="O216" s="72">
        <v>10</v>
      </c>
      <c r="Q216" s="63">
        <v>-6.3400579801002152E-2</v>
      </c>
      <c r="R216" s="63">
        <v>6.1479342892197551E-2</v>
      </c>
      <c r="S216" s="63">
        <v>-0.12584054114760201</v>
      </c>
      <c r="T216" s="63">
        <v>-0.15081650186728698</v>
      </c>
      <c r="U216" s="63">
        <v>9.8943343519112451E-2</v>
      </c>
      <c r="V216" s="63">
        <v>-0.15081650186728698</v>
      </c>
      <c r="W216" s="63">
        <v>-1.3448598814244784E-2</v>
      </c>
      <c r="X216" s="63">
        <v>0.11143126433156747</v>
      </c>
      <c r="Y216" s="63">
        <v>1.1527421452827631E-2</v>
      </c>
      <c r="Z216" s="63">
        <v>-0.17579252213435939</v>
      </c>
      <c r="AA216" s="63">
        <v>6.1479342892197551E-2</v>
      </c>
      <c r="AB216" s="63" t="e">
        <v>#VALUE!</v>
      </c>
      <c r="AC216" s="63">
        <v>8.6455303611882514E-2</v>
      </c>
      <c r="AD216" s="63">
        <v>0.24879922693199713</v>
      </c>
      <c r="AF216" s="60">
        <v>8.0076923370361328</v>
      </c>
    </row>
    <row r="217" spans="1:32">
      <c r="A217" s="71" t="s">
        <v>1326</v>
      </c>
      <c r="B217" s="72">
        <v>7.5</v>
      </c>
      <c r="C217" s="72">
        <v>8</v>
      </c>
      <c r="D217" s="72">
        <v>7</v>
      </c>
      <c r="E217" s="72">
        <v>8.5</v>
      </c>
      <c r="F217" s="72">
        <v>7.5</v>
      </c>
      <c r="G217" s="72">
        <v>8.6999998092651367</v>
      </c>
      <c r="H217" s="72">
        <v>8.1999998092651367</v>
      </c>
      <c r="I217" s="72">
        <v>8</v>
      </c>
      <c r="J217" s="72">
        <v>8.3999996185302734</v>
      </c>
      <c r="K217" s="72">
        <v>7.8000001907348633</v>
      </c>
      <c r="L217" s="72">
        <v>7.8000001907348633</v>
      </c>
      <c r="M217" s="72" t="s">
        <v>1313</v>
      </c>
      <c r="N217" s="72">
        <v>8.3999996185302734</v>
      </c>
      <c r="O217" s="72">
        <v>9</v>
      </c>
      <c r="Q217" s="63">
        <v>-6.9656481776757845E-2</v>
      </c>
      <c r="R217" s="63">
        <v>-7.6335805618750301E-3</v>
      </c>
      <c r="S217" s="63">
        <v>-0.13167938299164064</v>
      </c>
      <c r="T217" s="63">
        <v>5.4389320653007778E-2</v>
      </c>
      <c r="U217" s="63">
        <v>-6.9656481776757845E-2</v>
      </c>
      <c r="V217" s="63">
        <v>7.9198457479101744E-2</v>
      </c>
      <c r="W217" s="63">
        <v>1.7175556264218926E-2</v>
      </c>
      <c r="X217" s="63">
        <v>-7.6335805618750301E-3</v>
      </c>
      <c r="Y217" s="63">
        <v>4.1984693090312886E-2</v>
      </c>
      <c r="Z217" s="63">
        <v>-3.2442717387968986E-2</v>
      </c>
      <c r="AA217" s="63">
        <v>-3.2442717387968986E-2</v>
      </c>
      <c r="AB217" s="63" t="e">
        <v>#VALUE!</v>
      </c>
      <c r="AC217" s="63">
        <v>4.1984693090312886E-2</v>
      </c>
      <c r="AD217" s="63">
        <v>0.11641222186789059</v>
      </c>
      <c r="AF217" s="60">
        <v>8.061538402850811</v>
      </c>
    </row>
    <row r="218" spans="1:32">
      <c r="A218" s="71" t="s">
        <v>1327</v>
      </c>
      <c r="B218" s="72">
        <v>7.3000001907348633</v>
      </c>
      <c r="C218" s="72">
        <v>7.5</v>
      </c>
      <c r="D218" s="72">
        <v>7</v>
      </c>
      <c r="E218" s="72">
        <v>8.6000003814697266</v>
      </c>
      <c r="F218" s="72">
        <v>7</v>
      </c>
      <c r="G218" s="72">
        <v>9.6999998092651367</v>
      </c>
      <c r="H218" s="72">
        <v>7.8000001907348633</v>
      </c>
      <c r="I218" s="72">
        <v>7.1999998092651367</v>
      </c>
      <c r="J218" s="72">
        <v>7.4000000953674316</v>
      </c>
      <c r="K218" s="72">
        <v>7.8000001907348633</v>
      </c>
      <c r="L218" s="72">
        <v>9</v>
      </c>
      <c r="M218" s="72" t="s">
        <v>1313</v>
      </c>
      <c r="N218" s="72">
        <v>8.1000003814697266</v>
      </c>
      <c r="O218" s="72">
        <v>10</v>
      </c>
      <c r="Q218" s="63">
        <v>-9.0996153965802351E-2</v>
      </c>
      <c r="R218" s="63">
        <v>-6.6091963407169774E-2</v>
      </c>
      <c r="S218" s="63">
        <v>-0.12835249918002511</v>
      </c>
      <c r="T218" s="63">
        <v>7.0881262794131109E-2</v>
      </c>
      <c r="U218" s="63">
        <v>-0.12835249918002511</v>
      </c>
      <c r="V218" s="63">
        <v>0.2078543702428842</v>
      </c>
      <c r="W218" s="63">
        <v>-2.8735618192947007E-2</v>
      </c>
      <c r="X218" s="63">
        <v>-0.10344830862139254</v>
      </c>
      <c r="Y218" s="63">
        <v>-7.8544058686486062E-2</v>
      </c>
      <c r="Z218" s="63">
        <v>-2.8735618192947007E-2</v>
      </c>
      <c r="AA218" s="63">
        <v>0.12068964391139628</v>
      </c>
      <c r="AB218" s="63" t="e">
        <v>#VALUE!</v>
      </c>
      <c r="AC218" s="63">
        <v>8.6207270212757606E-3</v>
      </c>
      <c r="AD218" s="63">
        <v>0.24521071545710696</v>
      </c>
      <c r="AF218" s="60">
        <v>8.0307693114647503</v>
      </c>
    </row>
    <row r="219" spans="1:32">
      <c r="A219" s="71" t="s">
        <v>1328</v>
      </c>
      <c r="B219" s="72">
        <v>7.8000001907348633</v>
      </c>
      <c r="C219" s="72">
        <v>8</v>
      </c>
      <c r="D219" s="72">
        <v>6</v>
      </c>
      <c r="E219" s="72">
        <v>7.4000000953674316</v>
      </c>
      <c r="F219" s="72">
        <v>9</v>
      </c>
      <c r="G219" s="72">
        <v>9.3000001907348633</v>
      </c>
      <c r="H219" s="72">
        <v>8.3000001907348633</v>
      </c>
      <c r="I219" s="72">
        <v>8.5</v>
      </c>
      <c r="J219" s="72">
        <v>7.5999999046325684</v>
      </c>
      <c r="K219" s="72">
        <v>7.4000000953674316</v>
      </c>
      <c r="L219" s="72">
        <v>8.6999998092651367</v>
      </c>
      <c r="M219" s="72" t="s">
        <v>1313</v>
      </c>
      <c r="N219" s="72">
        <v>8.1999998092651367</v>
      </c>
      <c r="O219" s="72">
        <v>8.3000001907348633</v>
      </c>
      <c r="Q219" s="63">
        <v>-2.9665052470225162E-2</v>
      </c>
      <c r="R219" s="63">
        <v>-4.7846935364175263E-3</v>
      </c>
      <c r="S219" s="63">
        <v>-0.25358852015231315</v>
      </c>
      <c r="T219" s="63">
        <v>-7.9425829657295249E-2</v>
      </c>
      <c r="U219" s="63">
        <v>0.11961721977153028</v>
      </c>
      <c r="V219" s="63">
        <v>0.15693781749169655</v>
      </c>
      <c r="W219" s="63">
        <v>3.2535904183748743E-2</v>
      </c>
      <c r="X219" s="63">
        <v>5.7416263117556376E-2</v>
      </c>
      <c r="Y219" s="63">
        <v>-5.4545470723487616E-2</v>
      </c>
      <c r="Z219" s="63">
        <v>-7.9425829657295249E-2</v>
      </c>
      <c r="AA219" s="63">
        <v>8.229662205136401E-2</v>
      </c>
      <c r="AB219" s="63" t="e">
        <v>#VALUE!</v>
      </c>
      <c r="AC219" s="63">
        <v>2.0095665397390109E-2</v>
      </c>
      <c r="AD219" s="63">
        <v>3.2535904183748743E-2</v>
      </c>
      <c r="AF219" s="60">
        <v>8.0384615751413193</v>
      </c>
    </row>
    <row r="220" spans="1:32">
      <c r="A220" s="71" t="s">
        <v>1329</v>
      </c>
      <c r="B220" s="72">
        <v>7.3000001907348633</v>
      </c>
      <c r="C220" s="72">
        <v>8</v>
      </c>
      <c r="D220" s="72">
        <v>8</v>
      </c>
      <c r="E220" s="72">
        <v>8.3999996185302734</v>
      </c>
      <c r="F220" s="72">
        <v>6</v>
      </c>
      <c r="G220" s="72">
        <v>9.3000001907348633</v>
      </c>
      <c r="H220" s="72">
        <v>8.6999998092651367</v>
      </c>
      <c r="I220" s="72">
        <v>9</v>
      </c>
      <c r="J220" s="72">
        <v>8.5</v>
      </c>
      <c r="K220" s="72">
        <v>7.1999998092651367</v>
      </c>
      <c r="L220" s="72">
        <v>9.3000001907348633</v>
      </c>
      <c r="M220" s="72">
        <v>8.5</v>
      </c>
      <c r="N220" s="72">
        <v>8.8999996185302734</v>
      </c>
      <c r="O220" s="72">
        <v>8.6999998092651367</v>
      </c>
      <c r="Q220" s="63">
        <v>-0.11744383986506914</v>
      </c>
      <c r="R220" s="63">
        <v>-3.2815192246084271E-2</v>
      </c>
      <c r="S220" s="63">
        <v>-3.2815192246084271E-2</v>
      </c>
      <c r="T220" s="63">
        <v>1.5544002022645997E-2</v>
      </c>
      <c r="U220" s="63">
        <v>-0.27461139418456321</v>
      </c>
      <c r="V220" s="63">
        <v>0.1243523620734098</v>
      </c>
      <c r="W220" s="63">
        <v>5.1813455372900594E-2</v>
      </c>
      <c r="X220" s="63">
        <v>8.808290872315519E-2</v>
      </c>
      <c r="Y220" s="63">
        <v>2.7633858238535463E-2</v>
      </c>
      <c r="Z220" s="63">
        <v>-0.1295336960809586</v>
      </c>
      <c r="AA220" s="63">
        <v>0.1243523620734098</v>
      </c>
      <c r="AB220" s="63">
        <v>2.7633858238535463E-2</v>
      </c>
      <c r="AC220" s="63">
        <v>7.5993052507265735E-2</v>
      </c>
      <c r="AD220" s="63">
        <v>5.1813455372900594E-2</v>
      </c>
      <c r="AF220" s="60">
        <v>8.2714285169328967</v>
      </c>
    </row>
    <row r="221" spans="1:32">
      <c r="A221" s="71" t="s">
        <v>10</v>
      </c>
      <c r="B221" s="72">
        <v>7.6999998092651367</v>
      </c>
      <c r="C221" s="72">
        <v>8</v>
      </c>
      <c r="D221" s="72">
        <v>6.5</v>
      </c>
      <c r="E221" s="72">
        <v>9.1000003814697266</v>
      </c>
      <c r="F221" s="72">
        <v>8.6999998092651367</v>
      </c>
      <c r="G221" s="72">
        <v>9.6999998092651367</v>
      </c>
      <c r="H221" s="72">
        <v>8.8000001907348633</v>
      </c>
      <c r="I221" s="72">
        <v>8.6999998092651367</v>
      </c>
      <c r="J221" s="72">
        <v>8</v>
      </c>
      <c r="K221" s="72">
        <v>6.8000001907348633</v>
      </c>
      <c r="L221" s="72">
        <v>8</v>
      </c>
      <c r="M221" s="72">
        <v>8</v>
      </c>
      <c r="N221" s="72">
        <v>9.1000003814697266</v>
      </c>
      <c r="O221" s="72">
        <v>9</v>
      </c>
      <c r="Q221" s="63">
        <v>-7.1490120796610643E-2</v>
      </c>
      <c r="R221" s="63">
        <v>-3.5314387321260611E-2</v>
      </c>
      <c r="S221" s="63">
        <v>-0.21619293969852424</v>
      </c>
      <c r="T221" s="63">
        <v>9.7329930421860666E-2</v>
      </c>
      <c r="U221" s="63">
        <v>4.9095580788231778E-2</v>
      </c>
      <c r="V221" s="63">
        <v>0.1696812823730742</v>
      </c>
      <c r="W221" s="63">
        <v>6.1154196946510635E-2</v>
      </c>
      <c r="X221" s="63">
        <v>4.9095580788231778E-2</v>
      </c>
      <c r="Y221" s="63">
        <v>-3.5314387321260611E-2</v>
      </c>
      <c r="Z221" s="63">
        <v>-0.18001720622317421</v>
      </c>
      <c r="AA221" s="63">
        <v>-3.5314387321260611E-2</v>
      </c>
      <c r="AB221" s="63">
        <v>-3.5314387321260611E-2</v>
      </c>
      <c r="AC221" s="63">
        <v>9.7329930421860666E-2</v>
      </c>
      <c r="AD221" s="63">
        <v>8.527131426358181E-2</v>
      </c>
      <c r="AF221" s="60">
        <v>8.2928571701049805</v>
      </c>
    </row>
    <row r="222" spans="1:32">
      <c r="A222" s="71" t="s">
        <v>1330</v>
      </c>
      <c r="B222" s="72">
        <v>7.5999999046325684</v>
      </c>
      <c r="C222" s="72">
        <v>8</v>
      </c>
      <c r="D222" s="72">
        <v>8</v>
      </c>
      <c r="E222" s="72">
        <v>9.1000003814697266</v>
      </c>
      <c r="F222" s="72">
        <v>5</v>
      </c>
      <c r="G222" s="72">
        <v>9.3000001907348633</v>
      </c>
      <c r="H222" s="72">
        <v>8.6999998092651367</v>
      </c>
      <c r="I222" s="72">
        <v>8.3999996185302734</v>
      </c>
      <c r="J222" s="72">
        <v>8.3000001907348633</v>
      </c>
      <c r="K222" s="72">
        <v>6.5</v>
      </c>
      <c r="L222" s="72">
        <v>8</v>
      </c>
      <c r="M222" s="72">
        <v>8</v>
      </c>
      <c r="N222" s="72">
        <v>9.5</v>
      </c>
      <c r="O222" s="72">
        <v>7.8000001907348633</v>
      </c>
      <c r="Q222" s="63">
        <v>-5.1693418952377349E-2</v>
      </c>
      <c r="R222" s="63">
        <v>-1.782533739681952E-3</v>
      </c>
      <c r="S222" s="63">
        <v>-1.782533739681952E-3</v>
      </c>
      <c r="T222" s="63">
        <v>0.13547241546982977</v>
      </c>
      <c r="U222" s="63">
        <v>-0.3761140835873012</v>
      </c>
      <c r="V222" s="63">
        <v>0.16042782832697872</v>
      </c>
      <c r="W222" s="63">
        <v>8.5561470758736879E-2</v>
      </c>
      <c r="X222" s="63">
        <v>4.8128291974615961E-2</v>
      </c>
      <c r="Y222" s="63">
        <v>3.5650645044438968E-2</v>
      </c>
      <c r="Z222" s="63">
        <v>-0.18894830866349158</v>
      </c>
      <c r="AA222" s="63">
        <v>-1.782533739681952E-3</v>
      </c>
      <c r="AB222" s="63">
        <v>-1.782533739681952E-3</v>
      </c>
      <c r="AC222" s="63">
        <v>0.18538324118412769</v>
      </c>
      <c r="AD222" s="63">
        <v>-2.673794659683091E-2</v>
      </c>
      <c r="AF222" s="60">
        <v>8.014285734721593</v>
      </c>
    </row>
    <row r="223" spans="1:32">
      <c r="A223" s="66" t="s">
        <v>1297</v>
      </c>
      <c r="B223" s="67">
        <v>7.3644736722895967</v>
      </c>
      <c r="C223" s="67">
        <v>7.7720588235294112</v>
      </c>
      <c r="D223" s="67">
        <v>7.2993421052631575</v>
      </c>
      <c r="E223" s="67">
        <v>8.4230264362535969</v>
      </c>
      <c r="F223" s="67">
        <v>7.7250000105963812</v>
      </c>
      <c r="G223" s="67">
        <v>8.6822369286888517</v>
      </c>
      <c r="H223" s="67">
        <v>8.6454545801336113</v>
      </c>
      <c r="I223" s="67">
        <v>9.170454480431296</v>
      </c>
      <c r="J223" s="67">
        <v>7.968181848526001</v>
      </c>
      <c r="K223" s="67">
        <v>7.2710525518969487</v>
      </c>
      <c r="L223" s="67">
        <v>8.4894736942492024</v>
      </c>
      <c r="M223" s="67">
        <v>8.502884653898386</v>
      </c>
      <c r="N223" s="67">
        <v>8.5339285390717645</v>
      </c>
      <c r="O223" s="67">
        <v>8.7190476145063123</v>
      </c>
    </row>
    <row r="224" spans="1:32">
      <c r="A224" t="s">
        <v>298</v>
      </c>
      <c r="B224" s="60"/>
      <c r="C224" s="60"/>
      <c r="D224" s="60"/>
      <c r="E224" s="60"/>
      <c r="F224" s="60"/>
      <c r="G224" s="60"/>
      <c r="H224" s="60"/>
      <c r="I224" s="60"/>
      <c r="J224" s="60"/>
      <c r="K224" s="60"/>
      <c r="L224" s="60"/>
      <c r="M224" s="60"/>
      <c r="N224" s="60"/>
      <c r="O224" s="60"/>
    </row>
    <row r="225" spans="1:32">
      <c r="A225" s="73" t="s">
        <v>1299</v>
      </c>
      <c r="B225" s="60"/>
      <c r="C225"/>
      <c r="D225"/>
      <c r="E225"/>
      <c r="F225"/>
      <c r="G225"/>
      <c r="H225"/>
      <c r="I225"/>
      <c r="J225"/>
      <c r="K225"/>
      <c r="L225"/>
      <c r="M225"/>
      <c r="N225"/>
      <c r="O225"/>
      <c r="AF225"/>
    </row>
    <row r="226" spans="1:32">
      <c r="A226" t="s">
        <v>23</v>
      </c>
      <c r="B226" s="55">
        <v>0</v>
      </c>
      <c r="C226" s="55">
        <v>0</v>
      </c>
      <c r="D226" s="55">
        <v>0</v>
      </c>
      <c r="E226" s="55">
        <v>0</v>
      </c>
      <c r="F226" s="55">
        <v>0</v>
      </c>
      <c r="G226" s="55">
        <v>0</v>
      </c>
      <c r="H226" s="55">
        <v>0</v>
      </c>
      <c r="I226" s="55">
        <v>0</v>
      </c>
      <c r="J226" s="55">
        <v>0</v>
      </c>
      <c r="K226" s="55">
        <v>0</v>
      </c>
      <c r="L226" s="55">
        <v>2</v>
      </c>
      <c r="AF226"/>
    </row>
    <row r="227" spans="1:32" ht="15" customHeight="1">
      <c r="A227" t="s">
        <v>24</v>
      </c>
      <c r="B227" s="55">
        <v>0</v>
      </c>
      <c r="C227" s="55">
        <v>0</v>
      </c>
      <c r="D227" s="55">
        <v>0</v>
      </c>
      <c r="E227" s="55">
        <v>0</v>
      </c>
      <c r="F227" s="55">
        <v>0</v>
      </c>
      <c r="G227" s="55">
        <v>0</v>
      </c>
      <c r="H227" s="55">
        <v>0</v>
      </c>
      <c r="I227" s="55">
        <v>0</v>
      </c>
      <c r="J227" s="55">
        <v>0</v>
      </c>
      <c r="K227" s="55">
        <v>0</v>
      </c>
      <c r="L227" s="55">
        <v>0</v>
      </c>
      <c r="AF227"/>
    </row>
    <row r="228" spans="1:32" ht="15" customHeight="1">
      <c r="A228" t="s">
        <v>25</v>
      </c>
      <c r="B228" s="55">
        <v>0</v>
      </c>
      <c r="C228" s="55">
        <v>0</v>
      </c>
      <c r="D228" s="55">
        <v>0</v>
      </c>
      <c r="E228" s="55">
        <v>0</v>
      </c>
      <c r="F228" s="55">
        <v>0</v>
      </c>
      <c r="G228" s="55">
        <v>0</v>
      </c>
      <c r="H228" s="55">
        <v>1</v>
      </c>
      <c r="I228" s="55">
        <v>0</v>
      </c>
      <c r="J228" s="55">
        <v>0</v>
      </c>
      <c r="K228" s="55">
        <v>0</v>
      </c>
      <c r="L228" s="55">
        <v>0</v>
      </c>
      <c r="AF228"/>
    </row>
    <row r="229" spans="1:32" ht="15" customHeight="1">
      <c r="A229" t="s">
        <v>11</v>
      </c>
      <c r="B229" s="55">
        <v>0</v>
      </c>
      <c r="C229" s="55">
        <v>0</v>
      </c>
      <c r="D229" s="55">
        <v>0</v>
      </c>
      <c r="E229" s="55">
        <v>0</v>
      </c>
      <c r="F229" s="55">
        <v>0</v>
      </c>
      <c r="G229" s="55">
        <v>0</v>
      </c>
      <c r="H229" s="55">
        <v>0</v>
      </c>
      <c r="I229" s="55">
        <v>0</v>
      </c>
      <c r="J229" s="55">
        <v>0</v>
      </c>
      <c r="K229" s="55">
        <v>0</v>
      </c>
      <c r="L229" s="55">
        <v>0</v>
      </c>
      <c r="AF229"/>
    </row>
    <row r="230" spans="1:32" ht="15" customHeight="1">
      <c r="A230" t="s">
        <v>10</v>
      </c>
      <c r="B230" s="55">
        <v>0</v>
      </c>
      <c r="C230" s="55">
        <v>0</v>
      </c>
      <c r="D230" s="55">
        <v>0</v>
      </c>
      <c r="E230" s="55">
        <v>0</v>
      </c>
      <c r="F230" s="55">
        <v>0</v>
      </c>
      <c r="G230" s="55">
        <v>0</v>
      </c>
      <c r="H230" s="55">
        <v>0</v>
      </c>
      <c r="I230" s="55">
        <v>0</v>
      </c>
      <c r="J230" s="55">
        <v>0</v>
      </c>
      <c r="K230" s="55">
        <v>0</v>
      </c>
      <c r="L230" s="55">
        <v>0</v>
      </c>
    </row>
    <row r="231" spans="1:32" ht="15" customHeight="1">
      <c r="A231" t="s">
        <v>33</v>
      </c>
      <c r="B231" s="55">
        <v>1</v>
      </c>
      <c r="C231" s="55">
        <v>0</v>
      </c>
      <c r="D231" s="55">
        <v>1</v>
      </c>
      <c r="E231" s="55">
        <v>0</v>
      </c>
      <c r="F231" s="55">
        <v>0</v>
      </c>
      <c r="G231" s="55">
        <v>0</v>
      </c>
      <c r="H231" s="55">
        <v>3</v>
      </c>
      <c r="I231" s="55">
        <v>0</v>
      </c>
      <c r="J231" s="55">
        <v>3</v>
      </c>
      <c r="K231" s="55">
        <v>0</v>
      </c>
      <c r="L231" s="55">
        <v>0</v>
      </c>
    </row>
    <row r="232" spans="1:32" s="73" customFormat="1" ht="15" customHeight="1">
      <c r="A232" s="74" t="s">
        <v>1300</v>
      </c>
      <c r="B232" s="75">
        <v>1</v>
      </c>
      <c r="C232" s="75">
        <v>0</v>
      </c>
      <c r="D232" s="75">
        <v>1</v>
      </c>
      <c r="E232" s="75">
        <v>0</v>
      </c>
      <c r="F232" s="75">
        <v>0</v>
      </c>
      <c r="G232" s="75">
        <v>0</v>
      </c>
      <c r="H232" s="75">
        <v>4</v>
      </c>
      <c r="I232" s="75">
        <v>0</v>
      </c>
      <c r="J232" s="75">
        <v>3</v>
      </c>
      <c r="K232" s="75">
        <v>0</v>
      </c>
      <c r="L232" s="75">
        <v>2</v>
      </c>
      <c r="M232" s="75"/>
      <c r="N232" s="75"/>
      <c r="O232" s="75"/>
      <c r="P232" s="75">
        <v>11</v>
      </c>
      <c r="AF232" s="75"/>
    </row>
    <row r="233" spans="1:32">
      <c r="A233" t="s">
        <v>298</v>
      </c>
    </row>
    <row r="234" spans="1:32" ht="15" customHeight="1">
      <c r="A234" s="73" t="s">
        <v>1301</v>
      </c>
    </row>
    <row r="235" spans="1:32" ht="15" customHeight="1">
      <c r="A235" t="s">
        <v>23</v>
      </c>
      <c r="B235" s="55">
        <v>2</v>
      </c>
      <c r="C235" s="55">
        <v>0</v>
      </c>
      <c r="D235" s="55">
        <v>1</v>
      </c>
      <c r="E235" s="55">
        <v>3</v>
      </c>
      <c r="F235" s="55">
        <v>0</v>
      </c>
      <c r="G235" s="55">
        <v>0</v>
      </c>
      <c r="H235" s="55">
        <v>3</v>
      </c>
      <c r="I235" s="55">
        <v>0</v>
      </c>
      <c r="J235" s="55">
        <v>2</v>
      </c>
      <c r="K235" s="55">
        <v>0</v>
      </c>
      <c r="L235" s="55">
        <v>6</v>
      </c>
    </row>
    <row r="236" spans="1:32" ht="15" customHeight="1">
      <c r="A236" t="s">
        <v>24</v>
      </c>
      <c r="B236" s="55">
        <v>6</v>
      </c>
      <c r="C236" s="55">
        <v>0</v>
      </c>
      <c r="D236" s="55">
        <v>2</v>
      </c>
      <c r="E236" s="55">
        <v>3</v>
      </c>
      <c r="F236" s="55">
        <v>2</v>
      </c>
      <c r="G236" s="55">
        <v>2</v>
      </c>
      <c r="H236" s="55">
        <v>7</v>
      </c>
      <c r="I236" s="55">
        <v>4</v>
      </c>
      <c r="J236" s="55">
        <v>6</v>
      </c>
      <c r="K236" s="55">
        <v>0</v>
      </c>
      <c r="L236" s="55">
        <v>8</v>
      </c>
    </row>
    <row r="237" spans="1:32" ht="15" customHeight="1">
      <c r="A237" t="s">
        <v>25</v>
      </c>
      <c r="B237" s="55">
        <v>7</v>
      </c>
      <c r="C237" s="55">
        <v>0</v>
      </c>
      <c r="D237" s="55">
        <v>0</v>
      </c>
      <c r="E237" s="55">
        <v>1</v>
      </c>
      <c r="F237" s="55">
        <v>0</v>
      </c>
      <c r="G237" s="55">
        <v>1</v>
      </c>
      <c r="H237" s="55">
        <v>5</v>
      </c>
      <c r="I237" s="55">
        <v>0</v>
      </c>
      <c r="J237" s="55">
        <v>2</v>
      </c>
      <c r="K237" s="55">
        <v>2</v>
      </c>
      <c r="L237" s="55">
        <v>2</v>
      </c>
    </row>
    <row r="238" spans="1:32" ht="15" customHeight="1">
      <c r="A238" t="s">
        <v>11</v>
      </c>
      <c r="B238" s="55">
        <v>3</v>
      </c>
      <c r="C238" s="55">
        <v>2</v>
      </c>
      <c r="D238" s="55">
        <v>0</v>
      </c>
      <c r="E238" s="55">
        <v>4</v>
      </c>
      <c r="F238" s="55">
        <v>1</v>
      </c>
      <c r="G238" s="55">
        <v>2</v>
      </c>
      <c r="H238" s="55">
        <v>1</v>
      </c>
      <c r="I238" s="55">
        <v>0</v>
      </c>
      <c r="J238" s="55">
        <v>1</v>
      </c>
      <c r="K238" s="55">
        <v>0</v>
      </c>
      <c r="L238" s="55">
        <v>10</v>
      </c>
    </row>
    <row r="239" spans="1:32" ht="15" customHeight="1">
      <c r="A239" t="s">
        <v>10</v>
      </c>
      <c r="B239" s="55">
        <v>2</v>
      </c>
      <c r="C239" s="55">
        <v>0</v>
      </c>
      <c r="D239" s="55">
        <v>0</v>
      </c>
      <c r="E239" s="55">
        <v>3</v>
      </c>
      <c r="F239" s="55">
        <v>0</v>
      </c>
      <c r="G239" s="55">
        <v>0</v>
      </c>
      <c r="H239" s="55">
        <v>0</v>
      </c>
      <c r="I239" s="55">
        <v>0</v>
      </c>
      <c r="J239" s="55">
        <v>0</v>
      </c>
      <c r="K239" s="55">
        <v>0</v>
      </c>
      <c r="L239" s="55">
        <v>4</v>
      </c>
    </row>
    <row r="240" spans="1:32" ht="15" customHeight="1">
      <c r="A240" t="s">
        <v>33</v>
      </c>
      <c r="B240" s="55">
        <v>5</v>
      </c>
      <c r="C240" s="55">
        <v>0</v>
      </c>
      <c r="D240" s="55">
        <v>4</v>
      </c>
      <c r="E240" s="55">
        <v>0</v>
      </c>
      <c r="F240" s="55">
        <v>3</v>
      </c>
      <c r="G240" s="55">
        <v>3</v>
      </c>
      <c r="H240" s="55">
        <v>0</v>
      </c>
      <c r="I240" s="55">
        <v>0</v>
      </c>
      <c r="J240" s="55">
        <v>1</v>
      </c>
      <c r="K240" s="55">
        <v>3</v>
      </c>
      <c r="L240" s="55">
        <v>1</v>
      </c>
    </row>
    <row r="241" spans="1:32" s="73" customFormat="1" ht="15" customHeight="1">
      <c r="A241" s="74" t="s">
        <v>1300</v>
      </c>
      <c r="B241" s="75">
        <v>25</v>
      </c>
      <c r="C241" s="75">
        <v>2</v>
      </c>
      <c r="D241" s="75">
        <v>7</v>
      </c>
      <c r="E241" s="75">
        <v>14</v>
      </c>
      <c r="F241" s="75">
        <v>6</v>
      </c>
      <c r="G241" s="75">
        <v>8</v>
      </c>
      <c r="H241" s="75">
        <v>16</v>
      </c>
      <c r="I241" s="75">
        <v>4</v>
      </c>
      <c r="J241" s="75">
        <v>12</v>
      </c>
      <c r="K241" s="75">
        <v>5</v>
      </c>
      <c r="L241" s="75">
        <v>31</v>
      </c>
      <c r="M241" s="75"/>
      <c r="N241" s="75"/>
      <c r="O241" s="75"/>
      <c r="P241" s="75">
        <v>130</v>
      </c>
      <c r="AF241" s="75"/>
    </row>
    <row r="242" spans="1:32">
      <c r="A242" t="s">
        <v>298</v>
      </c>
    </row>
    <row r="243" spans="1:32" ht="15" customHeight="1">
      <c r="A243" s="73" t="s">
        <v>1302</v>
      </c>
    </row>
    <row r="244" spans="1:32" ht="15" customHeight="1">
      <c r="A244" t="s">
        <v>23</v>
      </c>
      <c r="B244" s="55">
        <v>6</v>
      </c>
      <c r="C244" s="55">
        <v>1</v>
      </c>
      <c r="D244" s="55">
        <v>7</v>
      </c>
      <c r="E244" s="55">
        <v>5</v>
      </c>
      <c r="F244" s="55">
        <v>8</v>
      </c>
      <c r="G244" s="55">
        <v>2</v>
      </c>
      <c r="H244" s="55">
        <v>5</v>
      </c>
      <c r="I244" s="55">
        <v>3</v>
      </c>
      <c r="J244" s="55">
        <v>4</v>
      </c>
      <c r="K244" s="55">
        <v>6</v>
      </c>
      <c r="L244" s="55">
        <v>0</v>
      </c>
    </row>
    <row r="245" spans="1:32" ht="15" customHeight="1">
      <c r="A245" t="s">
        <v>24</v>
      </c>
      <c r="B245" s="55">
        <v>16</v>
      </c>
      <c r="C245" s="55">
        <v>9</v>
      </c>
      <c r="D245" s="55">
        <v>16</v>
      </c>
      <c r="E245" s="55">
        <v>17</v>
      </c>
      <c r="F245" s="55">
        <v>18</v>
      </c>
      <c r="G245" s="55">
        <v>9</v>
      </c>
      <c r="H245" s="55">
        <v>13</v>
      </c>
      <c r="I245" s="55">
        <v>7</v>
      </c>
      <c r="J245" s="55">
        <v>15</v>
      </c>
      <c r="K245" s="55">
        <v>23</v>
      </c>
      <c r="L245" s="55">
        <v>16</v>
      </c>
    </row>
    <row r="246" spans="1:32" ht="15" customHeight="1">
      <c r="A246" t="s">
        <v>25</v>
      </c>
      <c r="B246" s="55">
        <v>7</v>
      </c>
      <c r="C246" s="55">
        <v>4</v>
      </c>
      <c r="D246" s="55">
        <v>11</v>
      </c>
      <c r="E246" s="55">
        <v>8</v>
      </c>
      <c r="F246" s="55">
        <v>11</v>
      </c>
      <c r="G246" s="55">
        <v>8</v>
      </c>
      <c r="H246" s="55">
        <v>12</v>
      </c>
      <c r="I246" s="55">
        <v>0</v>
      </c>
      <c r="J246" s="55">
        <v>7</v>
      </c>
      <c r="K246" s="55">
        <v>5</v>
      </c>
      <c r="L246" s="55">
        <v>4</v>
      </c>
    </row>
    <row r="247" spans="1:32" ht="15" customHeight="1">
      <c r="A247" t="s">
        <v>11</v>
      </c>
      <c r="B247" s="55">
        <v>4</v>
      </c>
      <c r="C247" s="55">
        <v>4</v>
      </c>
      <c r="D247" s="55">
        <v>6</v>
      </c>
      <c r="E247" s="55">
        <v>5</v>
      </c>
      <c r="F247" s="55">
        <v>7</v>
      </c>
      <c r="G247" s="55">
        <v>7</v>
      </c>
      <c r="H247" s="55">
        <v>6</v>
      </c>
      <c r="I247" s="55">
        <v>5</v>
      </c>
      <c r="J247" s="55">
        <v>6</v>
      </c>
      <c r="K247" s="55">
        <v>9</v>
      </c>
      <c r="L247" s="55">
        <v>2</v>
      </c>
    </row>
    <row r="248" spans="1:32" ht="15" customHeight="1">
      <c r="A248" t="s">
        <v>10</v>
      </c>
      <c r="B248" s="55">
        <v>5</v>
      </c>
      <c r="C248" s="55">
        <v>4</v>
      </c>
      <c r="D248" s="55">
        <v>7</v>
      </c>
      <c r="E248" s="55">
        <v>4</v>
      </c>
      <c r="F248" s="55">
        <v>6</v>
      </c>
      <c r="G248" s="55">
        <v>4</v>
      </c>
      <c r="H248" s="55">
        <v>3</v>
      </c>
      <c r="I248" s="55">
        <v>3</v>
      </c>
      <c r="J248" s="55">
        <v>4</v>
      </c>
      <c r="K248" s="55">
        <v>6</v>
      </c>
      <c r="L248" s="55">
        <v>0</v>
      </c>
    </row>
    <row r="249" spans="1:32" s="73" customFormat="1" ht="15" customHeight="1">
      <c r="A249" s="73" t="s">
        <v>33</v>
      </c>
      <c r="B249" s="75">
        <v>0</v>
      </c>
      <c r="C249" s="75">
        <v>3</v>
      </c>
      <c r="D249" s="75">
        <v>0</v>
      </c>
      <c r="E249" s="75">
        <v>3</v>
      </c>
      <c r="F249" s="75">
        <v>0</v>
      </c>
      <c r="G249" s="75">
        <v>1</v>
      </c>
      <c r="H249" s="75">
        <v>0</v>
      </c>
      <c r="I249" s="75">
        <v>2</v>
      </c>
      <c r="J249" s="75">
        <v>2</v>
      </c>
      <c r="K249" s="75">
        <v>1</v>
      </c>
      <c r="L249" s="75">
        <v>2</v>
      </c>
      <c r="M249" s="75"/>
      <c r="N249" s="75"/>
      <c r="O249" s="75"/>
      <c r="AF249" s="75"/>
    </row>
    <row r="250" spans="1:32" ht="15" customHeight="1">
      <c r="A250" s="74" t="s">
        <v>1300</v>
      </c>
      <c r="B250" s="55">
        <v>38</v>
      </c>
      <c r="C250" s="55">
        <v>25</v>
      </c>
      <c r="D250" s="55">
        <v>47</v>
      </c>
      <c r="E250" s="55">
        <v>42</v>
      </c>
      <c r="F250" s="55">
        <v>50</v>
      </c>
      <c r="G250" s="55">
        <v>31</v>
      </c>
      <c r="H250" s="55">
        <v>39</v>
      </c>
      <c r="I250" s="55">
        <v>20</v>
      </c>
      <c r="J250" s="55">
        <v>38</v>
      </c>
      <c r="K250" s="55">
        <v>50</v>
      </c>
      <c r="L250" s="55">
        <v>24</v>
      </c>
      <c r="P250" s="55">
        <v>404</v>
      </c>
    </row>
    <row r="251" spans="1:32">
      <c r="A251" t="s">
        <v>298</v>
      </c>
    </row>
    <row r="252" spans="1:32" ht="15" customHeight="1">
      <c r="A252" s="73" t="s">
        <v>1303</v>
      </c>
    </row>
    <row r="253" spans="1:32" ht="15" customHeight="1">
      <c r="A253" t="s">
        <v>23</v>
      </c>
      <c r="B253" s="55">
        <v>0</v>
      </c>
      <c r="C253" s="55">
        <v>6</v>
      </c>
      <c r="D253" s="55">
        <v>0</v>
      </c>
      <c r="E253" s="55">
        <v>0</v>
      </c>
      <c r="F253" s="55">
        <v>0</v>
      </c>
      <c r="G253" s="55">
        <v>5</v>
      </c>
      <c r="H253" s="55">
        <v>0</v>
      </c>
      <c r="I253" s="55">
        <v>2</v>
      </c>
      <c r="J253" s="55">
        <v>2</v>
      </c>
      <c r="K253" s="55">
        <v>2</v>
      </c>
      <c r="L253" s="55">
        <v>0</v>
      </c>
    </row>
    <row r="254" spans="1:32" ht="15" customHeight="1">
      <c r="A254" t="s">
        <v>24</v>
      </c>
      <c r="B254" s="55">
        <v>4</v>
      </c>
      <c r="C254" s="55">
        <v>13</v>
      </c>
      <c r="D254" s="55">
        <v>8</v>
      </c>
      <c r="E254" s="55">
        <v>5</v>
      </c>
      <c r="F254" s="55">
        <v>4</v>
      </c>
      <c r="G254" s="55">
        <v>12</v>
      </c>
      <c r="H254" s="55">
        <v>5</v>
      </c>
      <c r="I254" s="55">
        <v>4</v>
      </c>
      <c r="J254" s="55">
        <v>5</v>
      </c>
      <c r="K254" s="55">
        <v>3</v>
      </c>
      <c r="L254" s="55">
        <v>2</v>
      </c>
    </row>
    <row r="255" spans="1:32" ht="15" customHeight="1">
      <c r="A255" t="s">
        <v>25</v>
      </c>
      <c r="B255" s="55">
        <v>5</v>
      </c>
      <c r="C255" s="55">
        <v>7</v>
      </c>
      <c r="D255" s="55">
        <v>8</v>
      </c>
      <c r="E255" s="55">
        <v>8</v>
      </c>
      <c r="F255" s="55">
        <v>7</v>
      </c>
      <c r="G255" s="55">
        <v>8</v>
      </c>
      <c r="H255" s="55">
        <v>3</v>
      </c>
      <c r="I255" s="55">
        <v>0</v>
      </c>
      <c r="J255" s="55">
        <v>6</v>
      </c>
      <c r="K255" s="55">
        <v>10</v>
      </c>
      <c r="L255" s="55">
        <v>7</v>
      </c>
    </row>
    <row r="256" spans="1:32" ht="15" customHeight="1">
      <c r="A256" t="s">
        <v>11</v>
      </c>
      <c r="B256" s="55">
        <v>3</v>
      </c>
      <c r="C256" s="55">
        <v>3</v>
      </c>
      <c r="D256" s="55">
        <v>3</v>
      </c>
      <c r="E256" s="55">
        <v>1</v>
      </c>
      <c r="F256" s="55">
        <v>0</v>
      </c>
      <c r="G256" s="55">
        <v>3</v>
      </c>
      <c r="H256" s="55">
        <v>1</v>
      </c>
      <c r="I256" s="55">
        <v>3</v>
      </c>
      <c r="J256" s="55">
        <v>2</v>
      </c>
      <c r="K256" s="55">
        <v>3</v>
      </c>
      <c r="L256" s="55">
        <v>0</v>
      </c>
    </row>
    <row r="257" spans="1:32" ht="15" customHeight="1">
      <c r="A257" t="s">
        <v>10</v>
      </c>
      <c r="B257" s="55">
        <v>0</v>
      </c>
      <c r="C257" s="55">
        <v>2</v>
      </c>
      <c r="D257" s="55">
        <v>0</v>
      </c>
      <c r="E257" s="55">
        <v>0</v>
      </c>
      <c r="F257" s="55">
        <v>1</v>
      </c>
      <c r="G257" s="55">
        <v>3</v>
      </c>
      <c r="H257" s="55">
        <v>2</v>
      </c>
      <c r="I257" s="55">
        <v>2</v>
      </c>
      <c r="J257" s="55">
        <v>3</v>
      </c>
      <c r="K257" s="55">
        <v>1</v>
      </c>
      <c r="L257" s="55">
        <v>3</v>
      </c>
    </row>
    <row r="258" spans="1:32" ht="15" customHeight="1">
      <c r="A258" t="s">
        <v>33</v>
      </c>
      <c r="B258" s="55">
        <v>0</v>
      </c>
      <c r="C258" s="55">
        <v>1</v>
      </c>
      <c r="D258" s="55">
        <v>1</v>
      </c>
      <c r="E258" s="55">
        <v>0</v>
      </c>
      <c r="F258" s="55">
        <v>1</v>
      </c>
      <c r="G258" s="55">
        <v>1</v>
      </c>
      <c r="H258" s="55">
        <v>0</v>
      </c>
      <c r="I258" s="55">
        <v>0</v>
      </c>
      <c r="J258" s="55">
        <v>0</v>
      </c>
      <c r="K258" s="55">
        <v>1</v>
      </c>
      <c r="L258" s="55">
        <v>1</v>
      </c>
    </row>
    <row r="259" spans="1:32" s="73" customFormat="1" ht="15" customHeight="1">
      <c r="A259" s="74" t="s">
        <v>1300</v>
      </c>
      <c r="B259" s="75">
        <v>12</v>
      </c>
      <c r="C259" s="75">
        <v>32</v>
      </c>
      <c r="D259" s="75">
        <v>20</v>
      </c>
      <c r="E259" s="75">
        <v>14</v>
      </c>
      <c r="F259" s="75">
        <v>13</v>
      </c>
      <c r="G259" s="75">
        <v>32</v>
      </c>
      <c r="H259" s="75">
        <v>11</v>
      </c>
      <c r="I259" s="75">
        <v>11</v>
      </c>
      <c r="J259" s="75">
        <v>18</v>
      </c>
      <c r="K259" s="75">
        <v>20</v>
      </c>
      <c r="L259" s="75">
        <v>13</v>
      </c>
      <c r="M259" s="75"/>
      <c r="N259" s="75"/>
      <c r="O259" s="75"/>
      <c r="P259" s="75">
        <v>196</v>
      </c>
      <c r="AF259" s="75"/>
    </row>
    <row r="260" spans="1:32">
      <c r="A260" t="s">
        <v>298</v>
      </c>
    </row>
    <row r="261" spans="1:32" ht="15" customHeight="1">
      <c r="A261" s="73" t="s">
        <v>1304</v>
      </c>
    </row>
    <row r="262" spans="1:32" ht="15" customHeight="1">
      <c r="A262" t="s">
        <v>23</v>
      </c>
      <c r="B262" s="55">
        <v>0</v>
      </c>
      <c r="C262" s="55">
        <v>1</v>
      </c>
      <c r="D262" s="55">
        <v>0</v>
      </c>
      <c r="E262" s="55">
        <v>0</v>
      </c>
      <c r="F262" s="55">
        <v>0</v>
      </c>
      <c r="G262" s="55">
        <v>1</v>
      </c>
      <c r="H262" s="55">
        <v>0</v>
      </c>
      <c r="I262" s="55">
        <v>1</v>
      </c>
      <c r="J262" s="55">
        <v>0</v>
      </c>
      <c r="K262" s="55">
        <v>0</v>
      </c>
      <c r="L262" s="55">
        <v>0</v>
      </c>
    </row>
    <row r="263" spans="1:32" ht="15" customHeight="1">
      <c r="A263" t="s">
        <v>24</v>
      </c>
      <c r="B263" s="55">
        <v>1</v>
      </c>
      <c r="C263" s="55">
        <v>4</v>
      </c>
      <c r="D263" s="55">
        <v>0</v>
      </c>
      <c r="E263" s="55">
        <v>1</v>
      </c>
      <c r="F263" s="55">
        <v>3</v>
      </c>
      <c r="G263" s="55">
        <v>3</v>
      </c>
      <c r="H263" s="55">
        <v>2</v>
      </c>
      <c r="I263" s="55">
        <v>1</v>
      </c>
      <c r="J263" s="55">
        <v>1</v>
      </c>
      <c r="K263" s="55">
        <v>1</v>
      </c>
      <c r="L263" s="55">
        <v>1</v>
      </c>
    </row>
    <row r="264" spans="1:32" ht="15" customHeight="1">
      <c r="A264" t="s">
        <v>25</v>
      </c>
      <c r="B264" s="55">
        <v>3</v>
      </c>
      <c r="C264" s="55">
        <v>7</v>
      </c>
      <c r="D264" s="55">
        <v>1</v>
      </c>
      <c r="E264" s="55">
        <v>0</v>
      </c>
      <c r="F264" s="55">
        <v>2</v>
      </c>
      <c r="G264" s="55">
        <v>4</v>
      </c>
      <c r="H264" s="55">
        <v>0</v>
      </c>
      <c r="I264" s="55">
        <v>0</v>
      </c>
      <c r="J264" s="55">
        <v>2</v>
      </c>
      <c r="K264" s="55">
        <v>4</v>
      </c>
      <c r="L264" s="55">
        <v>6</v>
      </c>
    </row>
    <row r="265" spans="1:32" ht="15" customHeight="1">
      <c r="A265" t="s">
        <v>11</v>
      </c>
      <c r="B265" s="55">
        <v>1</v>
      </c>
      <c r="C265" s="55">
        <v>3</v>
      </c>
      <c r="D265" s="55">
        <v>2</v>
      </c>
      <c r="E265" s="55">
        <v>2</v>
      </c>
      <c r="F265" s="55">
        <v>3</v>
      </c>
      <c r="G265" s="55">
        <v>1</v>
      </c>
      <c r="H265" s="55">
        <v>1</v>
      </c>
      <c r="I265" s="55">
        <v>1</v>
      </c>
      <c r="J265" s="55">
        <v>0</v>
      </c>
      <c r="K265" s="55">
        <v>0</v>
      </c>
      <c r="L265" s="55">
        <v>0</v>
      </c>
    </row>
    <row r="266" spans="1:32" ht="15" customHeight="1">
      <c r="A266" t="s">
        <v>10</v>
      </c>
      <c r="B266" s="55">
        <v>0</v>
      </c>
      <c r="C266" s="55">
        <v>1</v>
      </c>
      <c r="D266" s="55">
        <v>0</v>
      </c>
      <c r="E266" s="55">
        <v>0</v>
      </c>
      <c r="F266" s="55">
        <v>0</v>
      </c>
      <c r="G266" s="55">
        <v>0</v>
      </c>
      <c r="H266" s="55">
        <v>2</v>
      </c>
      <c r="I266" s="55">
        <v>0</v>
      </c>
      <c r="J266" s="55">
        <v>0</v>
      </c>
      <c r="K266" s="55">
        <v>0</v>
      </c>
      <c r="L266" s="55">
        <v>0</v>
      </c>
    </row>
    <row r="267" spans="1:32" ht="15" customHeight="1">
      <c r="A267" t="s">
        <v>33</v>
      </c>
      <c r="B267" s="55">
        <v>0</v>
      </c>
      <c r="C267" s="55">
        <v>2</v>
      </c>
      <c r="D267" s="55">
        <v>0</v>
      </c>
      <c r="E267" s="55">
        <v>3</v>
      </c>
      <c r="F267" s="55">
        <v>2</v>
      </c>
      <c r="G267" s="55">
        <v>1</v>
      </c>
      <c r="H267" s="55">
        <v>2</v>
      </c>
      <c r="I267" s="55">
        <v>1</v>
      </c>
      <c r="J267" s="55">
        <v>0</v>
      </c>
      <c r="K267" s="55">
        <v>1</v>
      </c>
      <c r="L267" s="55">
        <v>2</v>
      </c>
    </row>
    <row r="268" spans="1:32" s="73" customFormat="1" ht="15" customHeight="1">
      <c r="A268" s="74" t="s">
        <v>1300</v>
      </c>
      <c r="B268" s="75">
        <v>5</v>
      </c>
      <c r="C268" s="75">
        <v>18</v>
      </c>
      <c r="D268" s="75">
        <v>3</v>
      </c>
      <c r="E268" s="75">
        <v>6</v>
      </c>
      <c r="F268" s="75">
        <v>10</v>
      </c>
      <c r="G268" s="75">
        <v>10</v>
      </c>
      <c r="H268" s="75">
        <v>7</v>
      </c>
      <c r="I268" s="75">
        <v>4</v>
      </c>
      <c r="J268" s="75">
        <v>3</v>
      </c>
      <c r="K268" s="75">
        <v>6</v>
      </c>
      <c r="L268" s="75">
        <v>9</v>
      </c>
      <c r="M268" s="75"/>
      <c r="N268" s="75"/>
      <c r="O268" s="75"/>
      <c r="P268" s="75">
        <v>81</v>
      </c>
      <c r="AF268" s="75"/>
    </row>
    <row r="269" spans="1:32">
      <c r="A269" t="s">
        <v>298</v>
      </c>
    </row>
    <row r="270" spans="1:32" ht="15" customHeight="1">
      <c r="A270" s="73" t="s">
        <v>1305</v>
      </c>
    </row>
    <row r="271" spans="1:32" ht="15" customHeight="1">
      <c r="A271" t="s">
        <v>23</v>
      </c>
      <c r="B271" s="55">
        <v>0</v>
      </c>
      <c r="C271" s="55">
        <v>0</v>
      </c>
      <c r="D271" s="55">
        <v>0</v>
      </c>
      <c r="E271" s="55">
        <v>0</v>
      </c>
      <c r="F271" s="55">
        <v>0</v>
      </c>
      <c r="G271" s="55">
        <v>0</v>
      </c>
      <c r="H271" s="55">
        <v>0</v>
      </c>
      <c r="I271" s="55">
        <v>2</v>
      </c>
      <c r="J271" s="55">
        <v>0</v>
      </c>
      <c r="K271" s="55">
        <v>0</v>
      </c>
      <c r="L271" s="55">
        <v>0</v>
      </c>
    </row>
    <row r="272" spans="1:32">
      <c r="A272" t="s">
        <v>24</v>
      </c>
      <c r="B272" s="55">
        <v>0</v>
      </c>
      <c r="C272" s="55">
        <v>1</v>
      </c>
      <c r="D272" s="55">
        <v>0</v>
      </c>
      <c r="E272" s="55">
        <v>1</v>
      </c>
      <c r="F272" s="55">
        <v>0</v>
      </c>
      <c r="G272" s="55">
        <v>1</v>
      </c>
      <c r="H272" s="55">
        <v>0</v>
      </c>
      <c r="I272" s="55">
        <v>11</v>
      </c>
      <c r="J272" s="55">
        <v>0</v>
      </c>
      <c r="K272" s="55">
        <v>0</v>
      </c>
      <c r="L272" s="55">
        <v>0</v>
      </c>
    </row>
    <row r="273" spans="1:32">
      <c r="A273" t="s">
        <v>25</v>
      </c>
      <c r="B273" s="55">
        <v>0</v>
      </c>
      <c r="C273" s="55">
        <v>4</v>
      </c>
      <c r="D273" s="55">
        <v>2</v>
      </c>
      <c r="E273" s="55">
        <v>5</v>
      </c>
      <c r="F273" s="55">
        <v>2</v>
      </c>
      <c r="G273" s="55">
        <v>1</v>
      </c>
      <c r="H273" s="55">
        <v>1</v>
      </c>
      <c r="I273" s="55">
        <v>22</v>
      </c>
      <c r="J273" s="55">
        <v>5</v>
      </c>
      <c r="K273" s="55">
        <v>1</v>
      </c>
      <c r="L273" s="55">
        <v>3</v>
      </c>
    </row>
    <row r="274" spans="1:32">
      <c r="A274" t="s">
        <v>11</v>
      </c>
      <c r="B274" s="55">
        <v>3</v>
      </c>
      <c r="C274" s="55">
        <v>2</v>
      </c>
      <c r="D274" s="55">
        <v>3</v>
      </c>
      <c r="E274" s="55">
        <v>2</v>
      </c>
      <c r="F274" s="55">
        <v>3</v>
      </c>
      <c r="G274" s="55">
        <v>1</v>
      </c>
      <c r="H274" s="55">
        <v>5</v>
      </c>
      <c r="I274" s="55">
        <v>5</v>
      </c>
      <c r="J274" s="55">
        <v>4</v>
      </c>
      <c r="K274" s="55">
        <v>2</v>
      </c>
      <c r="L274" s="55">
        <v>2</v>
      </c>
    </row>
    <row r="275" spans="1:32">
      <c r="A275" t="s">
        <v>10</v>
      </c>
      <c r="B275" s="55">
        <v>0</v>
      </c>
      <c r="C275" s="55">
        <v>0</v>
      </c>
      <c r="D275" s="55">
        <v>0</v>
      </c>
      <c r="E275" s="55">
        <v>0</v>
      </c>
      <c r="F275" s="55">
        <v>0</v>
      </c>
      <c r="G275" s="55">
        <v>0</v>
      </c>
      <c r="H275" s="55">
        <v>0</v>
      </c>
      <c r="I275" s="55">
        <v>2</v>
      </c>
      <c r="J275" s="55">
        <v>0</v>
      </c>
      <c r="K275" s="55">
        <v>0</v>
      </c>
      <c r="L275" s="55">
        <v>0</v>
      </c>
    </row>
    <row r="276" spans="1:32">
      <c r="A276" t="s">
        <v>33</v>
      </c>
      <c r="B276" s="55">
        <v>0</v>
      </c>
      <c r="C276" s="55">
        <v>0</v>
      </c>
      <c r="D276" s="55">
        <v>0</v>
      </c>
      <c r="E276" s="55">
        <v>0</v>
      </c>
      <c r="F276" s="55">
        <v>0</v>
      </c>
      <c r="G276" s="55">
        <v>0</v>
      </c>
      <c r="H276" s="55">
        <v>1</v>
      </c>
      <c r="I276" s="55">
        <v>3</v>
      </c>
      <c r="J276" s="55">
        <v>0</v>
      </c>
      <c r="K276" s="55">
        <v>0</v>
      </c>
      <c r="L276" s="55">
        <v>0</v>
      </c>
    </row>
    <row r="277" spans="1:32" s="73" customFormat="1" ht="15">
      <c r="A277" s="74" t="s">
        <v>1300</v>
      </c>
      <c r="B277" s="75">
        <v>3</v>
      </c>
      <c r="C277" s="75">
        <v>7</v>
      </c>
      <c r="D277" s="75">
        <v>5</v>
      </c>
      <c r="E277" s="75">
        <v>8</v>
      </c>
      <c r="F277" s="75">
        <v>5</v>
      </c>
      <c r="G277" s="75">
        <v>3</v>
      </c>
      <c r="H277" s="75">
        <v>7</v>
      </c>
      <c r="I277" s="75">
        <v>45</v>
      </c>
      <c r="J277" s="75">
        <v>9</v>
      </c>
      <c r="K277" s="75">
        <v>3</v>
      </c>
      <c r="L277" s="75">
        <v>5</v>
      </c>
      <c r="M277" s="75"/>
      <c r="N277" s="75"/>
      <c r="O277" s="75"/>
      <c r="P277" s="75">
        <v>100</v>
      </c>
      <c r="AF277" s="75"/>
    </row>
    <row r="278" spans="1:32">
      <c r="A278" t="s">
        <v>298</v>
      </c>
    </row>
    <row r="279" spans="1:32" s="73" customFormat="1" ht="15">
      <c r="A279" s="74" t="s">
        <v>1300</v>
      </c>
      <c r="B279" s="75">
        <v>84</v>
      </c>
      <c r="C279" s="75">
        <v>84</v>
      </c>
      <c r="D279" s="75">
        <v>83</v>
      </c>
      <c r="E279" s="75">
        <v>84</v>
      </c>
      <c r="F279" s="75">
        <v>84</v>
      </c>
      <c r="G279" s="75">
        <v>84</v>
      </c>
      <c r="H279" s="75">
        <v>84</v>
      </c>
      <c r="I279" s="75">
        <v>84</v>
      </c>
      <c r="J279" s="75">
        <v>83</v>
      </c>
      <c r="K279" s="75">
        <v>84</v>
      </c>
      <c r="L279" s="75">
        <v>84</v>
      </c>
      <c r="M279" s="75"/>
      <c r="N279" s="75"/>
      <c r="O279" s="75"/>
      <c r="P279" s="75"/>
      <c r="AF279" s="75"/>
    </row>
    <row r="280" spans="1:32">
      <c r="A280" t="s">
        <v>298</v>
      </c>
    </row>
    <row r="281" spans="1:32">
      <c r="A281" t="s">
        <v>298</v>
      </c>
    </row>
    <row r="282" spans="1:32">
      <c r="A282" t="s">
        <v>298</v>
      </c>
    </row>
    <row r="283" spans="1:32">
      <c r="A283" t="s">
        <v>298</v>
      </c>
    </row>
    <row r="284" spans="1:32">
      <c r="A284" t="s">
        <v>298</v>
      </c>
    </row>
    <row r="285" spans="1:32">
      <c r="A285" t="s">
        <v>298</v>
      </c>
    </row>
    <row r="286" spans="1:32">
      <c r="A286" t="s">
        <v>298</v>
      </c>
    </row>
    <row r="287" spans="1:32">
      <c r="A287" t="s">
        <v>298</v>
      </c>
    </row>
    <row r="288" spans="1:32">
      <c r="A288" t="s">
        <v>298</v>
      </c>
    </row>
    <row r="289" spans="1:32">
      <c r="A289" t="s">
        <v>298</v>
      </c>
    </row>
    <row r="290" spans="1:32">
      <c r="A290" t="s">
        <v>298</v>
      </c>
    </row>
    <row r="291" spans="1:32">
      <c r="A291" t="s">
        <v>298</v>
      </c>
      <c r="B291"/>
      <c r="C291"/>
      <c r="D291"/>
      <c r="E291"/>
      <c r="F291"/>
      <c r="G291"/>
      <c r="H291"/>
      <c r="I291"/>
      <c r="J291"/>
      <c r="K291"/>
      <c r="L291"/>
      <c r="M291"/>
      <c r="N291"/>
      <c r="O291"/>
      <c r="AF291"/>
    </row>
    <row r="292" spans="1:32">
      <c r="A292" t="s">
        <v>298</v>
      </c>
    </row>
    <row r="293" spans="1:32">
      <c r="A293" t="s">
        <v>298</v>
      </c>
    </row>
    <row r="294" spans="1:32">
      <c r="A294" t="s">
        <v>298</v>
      </c>
    </row>
    <row r="295" spans="1:32">
      <c r="A295" t="s">
        <v>298</v>
      </c>
    </row>
    <row r="296" spans="1:32">
      <c r="A296" t="s">
        <v>298</v>
      </c>
    </row>
    <row r="297" spans="1:32">
      <c r="A297" t="s">
        <v>298</v>
      </c>
    </row>
    <row r="298" spans="1:32">
      <c r="A298" t="s">
        <v>298</v>
      </c>
    </row>
    <row r="299" spans="1:32">
      <c r="A299" t="s">
        <v>298</v>
      </c>
    </row>
    <row r="300" spans="1:32">
      <c r="A300" t="s">
        <v>298</v>
      </c>
    </row>
    <row r="301" spans="1:32">
      <c r="A301" t="s">
        <v>298</v>
      </c>
    </row>
    <row r="302" spans="1:32">
      <c r="A302" t="s">
        <v>298</v>
      </c>
    </row>
  </sheetData>
  <conditionalFormatting sqref="Q5:AD11 Q20:AD222">
    <cfRule type="colorScale" priority="1">
      <colorScale>
        <cfvo type="num" val="-1"/>
        <cfvo type="num" val="0"/>
        <cfvo type="num" val="1"/>
        <color rgb="FFFF0000"/>
        <color rgb="FFFFFF00"/>
        <color rgb="FF00B050"/>
      </colorScale>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07EE9-6DEC-6548-9DD1-171E8C9DCDD3}">
  <sheetPr codeName="Sheet21"/>
  <dimension ref="A1:F1002"/>
  <sheetViews>
    <sheetView workbookViewId="0"/>
  </sheetViews>
  <sheetFormatPr baseColWidth="10" defaultRowHeight="16"/>
  <cols>
    <col min="1" max="1" width="42.5" style="88" bestFit="1" customWidth="1"/>
    <col min="2" max="6" width="14.6640625" style="88" customWidth="1"/>
  </cols>
  <sheetData>
    <row r="1" spans="1:6" ht="17" thickBot="1">
      <c r="A1" s="76" t="s">
        <v>1332</v>
      </c>
      <c r="B1" s="89" t="s">
        <v>1333</v>
      </c>
      <c r="C1" s="90"/>
      <c r="D1" s="90"/>
      <c r="E1" s="90"/>
      <c r="F1" s="91"/>
    </row>
    <row r="2" spans="1:6" ht="17" thickBot="1">
      <c r="A2" s="76"/>
      <c r="B2" s="77"/>
      <c r="C2" s="77"/>
      <c r="D2" s="77"/>
      <c r="E2" s="77"/>
      <c r="F2" s="77"/>
    </row>
    <row r="3" spans="1:6" ht="17" thickBot="1">
      <c r="A3" s="76"/>
      <c r="B3" s="89" t="s">
        <v>1334</v>
      </c>
      <c r="C3" s="90"/>
      <c r="D3" s="90"/>
      <c r="E3" s="90"/>
      <c r="F3" s="91"/>
    </row>
    <row r="4" spans="1:6">
      <c r="A4" s="78" t="s">
        <v>1335</v>
      </c>
      <c r="B4" s="54" t="s">
        <v>1255</v>
      </c>
      <c r="C4" s="54" t="s">
        <v>1256</v>
      </c>
      <c r="D4" s="54" t="s">
        <v>1257</v>
      </c>
      <c r="E4" s="54" t="s">
        <v>1258</v>
      </c>
      <c r="F4" s="54" t="s">
        <v>1259</v>
      </c>
    </row>
    <row r="5" spans="1:6">
      <c r="A5" s="79" t="s">
        <v>23</v>
      </c>
      <c r="B5" s="80">
        <v>0.37500000000000006</v>
      </c>
      <c r="C5" s="80">
        <v>0.88750000000000007</v>
      </c>
      <c r="D5" s="80">
        <v>0.63749999999999996</v>
      </c>
      <c r="E5" s="80">
        <v>0.9</v>
      </c>
      <c r="F5" s="80">
        <v>0.44999999999999996</v>
      </c>
    </row>
    <row r="6" spans="1:6">
      <c r="A6" s="79" t="s">
        <v>24</v>
      </c>
      <c r="B6" s="80">
        <v>0.45384615384615373</v>
      </c>
      <c r="C6" s="80">
        <v>0.81153846153846154</v>
      </c>
      <c r="D6" s="80">
        <v>0.70000000000000007</v>
      </c>
      <c r="E6" s="80">
        <v>0.84999999999999987</v>
      </c>
      <c r="F6" s="80">
        <v>0.49230769230769234</v>
      </c>
    </row>
    <row r="7" spans="1:6">
      <c r="A7" s="79" t="s">
        <v>25</v>
      </c>
      <c r="B7" s="80">
        <v>0.26956521739130429</v>
      </c>
      <c r="C7" s="80">
        <v>0.71304347826086956</v>
      </c>
      <c r="D7" s="80">
        <v>0.65217391304347838</v>
      </c>
      <c r="E7" s="80">
        <v>0.73913043478260898</v>
      </c>
      <c r="F7" s="80">
        <v>0.23478260869565215</v>
      </c>
    </row>
    <row r="8" spans="1:6">
      <c r="A8" s="79" t="s">
        <v>11</v>
      </c>
      <c r="B8" s="80">
        <v>0.22857142857142862</v>
      </c>
      <c r="C8" s="80">
        <v>0.63571428571428579</v>
      </c>
      <c r="D8" s="80">
        <v>0.35000000000000003</v>
      </c>
      <c r="E8" s="80">
        <v>0.5714285714285714</v>
      </c>
      <c r="F8" s="80">
        <v>0.45</v>
      </c>
    </row>
    <row r="9" spans="1:6">
      <c r="A9" s="79" t="s">
        <v>10</v>
      </c>
      <c r="B9" s="80">
        <v>0.25714285714285717</v>
      </c>
      <c r="C9" s="80">
        <v>0.90000000000000013</v>
      </c>
      <c r="D9" s="80">
        <v>0.55714285714285716</v>
      </c>
      <c r="E9" s="80">
        <v>0.98571428571428577</v>
      </c>
      <c r="F9" s="80">
        <v>0.55714285714285716</v>
      </c>
    </row>
    <row r="10" spans="1:6">
      <c r="A10" s="79" t="s">
        <v>33</v>
      </c>
      <c r="B10" s="80">
        <v>0.28333333333333338</v>
      </c>
      <c r="C10" s="80">
        <v>0.44999999999999996</v>
      </c>
      <c r="D10" s="80">
        <v>0.8666666666666667</v>
      </c>
      <c r="E10" s="80">
        <v>0.3833333333333333</v>
      </c>
      <c r="F10" s="80">
        <v>0.26666666666666666</v>
      </c>
    </row>
    <row r="11" spans="1:6">
      <c r="A11" s="81" t="s">
        <v>1336</v>
      </c>
      <c r="B11" s="80">
        <v>0.37599999999999989</v>
      </c>
      <c r="C11" s="80">
        <v>0.60000000000000009</v>
      </c>
      <c r="D11" s="80">
        <v>0.70400000000000018</v>
      </c>
      <c r="E11" s="80">
        <v>0.64800000000000002</v>
      </c>
      <c r="F11" s="80">
        <v>0.4</v>
      </c>
    </row>
    <row r="12" spans="1:6">
      <c r="A12" s="82" t="s">
        <v>1295</v>
      </c>
      <c r="B12" s="83">
        <v>0.32049414146929678</v>
      </c>
      <c r="C12" s="83">
        <v>0.71397088935908826</v>
      </c>
      <c r="D12" s="83">
        <v>0.63821191955042889</v>
      </c>
      <c r="E12" s="83">
        <v>0.72537237503697127</v>
      </c>
      <c r="F12" s="83">
        <v>0.40727140354469549</v>
      </c>
    </row>
    <row r="13" spans="1:6">
      <c r="A13" s="76"/>
      <c r="B13" s="77"/>
      <c r="C13" s="77"/>
      <c r="D13" s="77"/>
      <c r="E13" s="77"/>
      <c r="F13" s="77"/>
    </row>
    <row r="14" spans="1:6">
      <c r="A14" s="76"/>
      <c r="B14" s="77"/>
      <c r="C14" s="77"/>
      <c r="D14" s="77"/>
      <c r="E14" s="77"/>
      <c r="F14" s="77"/>
    </row>
    <row r="15" spans="1:6">
      <c r="A15" s="76"/>
      <c r="B15" s="77"/>
      <c r="C15" s="77"/>
      <c r="D15" s="77"/>
      <c r="E15" s="77"/>
      <c r="F15" s="77"/>
    </row>
    <row r="16" spans="1:6">
      <c r="A16" s="76"/>
      <c r="B16" s="77"/>
      <c r="C16" s="77"/>
      <c r="D16" s="77"/>
      <c r="E16" s="77"/>
      <c r="F16" s="77"/>
    </row>
    <row r="17" spans="1:6">
      <c r="A17" s="76"/>
      <c r="B17" s="77"/>
      <c r="C17" s="77"/>
      <c r="D17" s="77"/>
      <c r="E17" s="77"/>
      <c r="F17" s="77"/>
    </row>
    <row r="18" spans="1:6">
      <c r="A18" s="76"/>
      <c r="B18" s="77"/>
      <c r="C18" s="77"/>
      <c r="D18" s="77"/>
      <c r="E18" s="77"/>
      <c r="F18" s="77"/>
    </row>
    <row r="19" spans="1:6">
      <c r="A19" s="76"/>
      <c r="B19" s="77"/>
      <c r="C19" s="77"/>
      <c r="D19" s="77"/>
      <c r="E19" s="77"/>
      <c r="F19" s="77"/>
    </row>
    <row r="20" spans="1:6">
      <c r="A20" s="76"/>
      <c r="B20" s="77"/>
      <c r="C20" s="77"/>
      <c r="D20" s="77"/>
      <c r="E20" s="77"/>
      <c r="F20" s="77"/>
    </row>
    <row r="21" spans="1:6">
      <c r="A21" s="76"/>
      <c r="B21" s="77"/>
      <c r="C21" s="77"/>
      <c r="D21" s="77"/>
      <c r="E21" s="77"/>
      <c r="F21" s="77"/>
    </row>
    <row r="22" spans="1:6">
      <c r="A22" s="76"/>
      <c r="B22" s="77"/>
      <c r="C22" s="77"/>
      <c r="D22" s="77"/>
      <c r="E22" s="77"/>
      <c r="F22" s="77"/>
    </row>
    <row r="23" spans="1:6">
      <c r="A23" s="76"/>
      <c r="B23" s="77"/>
      <c r="C23" s="77"/>
      <c r="D23" s="77"/>
      <c r="E23" s="77"/>
      <c r="F23" s="77"/>
    </row>
    <row r="24" spans="1:6">
      <c r="A24" s="76"/>
      <c r="B24" s="77"/>
      <c r="C24" s="77"/>
      <c r="D24" s="77"/>
      <c r="E24" s="77"/>
      <c r="F24" s="77"/>
    </row>
    <row r="25" spans="1:6">
      <c r="A25" s="76"/>
      <c r="B25" s="77"/>
      <c r="C25" s="77"/>
      <c r="D25" s="77"/>
      <c r="E25" s="77"/>
      <c r="F25" s="77"/>
    </row>
    <row r="26" spans="1:6">
      <c r="A26" s="76"/>
      <c r="B26" s="77"/>
      <c r="C26" s="77"/>
      <c r="D26" s="77"/>
      <c r="E26" s="77"/>
      <c r="F26" s="77"/>
    </row>
    <row r="27" spans="1:6">
      <c r="A27" s="76"/>
      <c r="B27" s="77"/>
      <c r="C27" s="77"/>
      <c r="D27" s="77"/>
      <c r="E27" s="77"/>
      <c r="F27" s="77"/>
    </row>
    <row r="28" spans="1:6">
      <c r="A28" s="76"/>
      <c r="B28" s="77"/>
      <c r="C28" s="77"/>
      <c r="D28" s="77"/>
      <c r="E28" s="77"/>
      <c r="F28" s="77"/>
    </row>
    <row r="29" spans="1:6">
      <c r="A29" s="78" t="s">
        <v>1337</v>
      </c>
      <c r="B29" s="77"/>
      <c r="C29" s="77"/>
      <c r="D29" s="77"/>
      <c r="E29" s="77"/>
      <c r="F29" s="77"/>
    </row>
    <row r="30" spans="1:6">
      <c r="A30" s="76"/>
      <c r="B30" s="77"/>
      <c r="C30" s="77"/>
      <c r="D30" s="77"/>
      <c r="E30" s="77"/>
      <c r="F30" s="77"/>
    </row>
    <row r="31" spans="1:6">
      <c r="A31" s="8" t="s">
        <v>23</v>
      </c>
      <c r="B31" s="77"/>
      <c r="C31" s="77"/>
      <c r="D31" s="77"/>
      <c r="E31" s="77"/>
      <c r="F31" s="77"/>
    </row>
    <row r="32" spans="1:6">
      <c r="A32" t="s">
        <v>298</v>
      </c>
      <c r="B32" s="76"/>
      <c r="C32" s="76"/>
      <c r="D32" s="76"/>
      <c r="E32" s="76"/>
      <c r="F32" s="76"/>
    </row>
    <row r="33" spans="1:6">
      <c r="A33" t="s">
        <v>299</v>
      </c>
      <c r="B33" s="80">
        <v>0.6</v>
      </c>
      <c r="C33" s="80">
        <v>1</v>
      </c>
      <c r="D33" s="80">
        <v>0.7</v>
      </c>
      <c r="E33" s="80">
        <v>1</v>
      </c>
      <c r="F33" s="80">
        <v>0.6</v>
      </c>
    </row>
    <row r="34" spans="1:6">
      <c r="A34" t="s">
        <v>300</v>
      </c>
      <c r="B34" s="80">
        <v>0.6</v>
      </c>
      <c r="C34" s="80">
        <v>0.7</v>
      </c>
      <c r="D34" s="80">
        <v>1</v>
      </c>
      <c r="E34" s="80">
        <v>0.6</v>
      </c>
      <c r="F34" s="80">
        <v>0.2</v>
      </c>
    </row>
    <row r="35" spans="1:6">
      <c r="A35" t="s">
        <v>301</v>
      </c>
      <c r="B35" s="80">
        <v>0</v>
      </c>
      <c r="C35" s="80">
        <v>1</v>
      </c>
      <c r="D35" s="80">
        <v>0.4</v>
      </c>
      <c r="E35" s="80">
        <v>1</v>
      </c>
      <c r="F35" s="80">
        <v>0.5</v>
      </c>
    </row>
    <row r="36" spans="1:6">
      <c r="A36" t="s">
        <v>302</v>
      </c>
      <c r="B36" s="80">
        <v>0.1</v>
      </c>
      <c r="C36" s="80">
        <v>0.8</v>
      </c>
      <c r="D36" s="80">
        <v>0.5</v>
      </c>
      <c r="E36" s="80">
        <v>0.9</v>
      </c>
      <c r="F36" s="80">
        <v>0.3</v>
      </c>
    </row>
    <row r="37" spans="1:6">
      <c r="A37" t="s">
        <v>298</v>
      </c>
      <c r="B37" s="76"/>
      <c r="C37" s="76"/>
      <c r="D37" s="76"/>
      <c r="E37" s="76"/>
      <c r="F37" s="76"/>
    </row>
    <row r="38" spans="1:6">
      <c r="A38" t="s">
        <v>303</v>
      </c>
      <c r="B38" s="80">
        <v>0.7</v>
      </c>
      <c r="C38" s="80">
        <v>1</v>
      </c>
      <c r="D38" s="80">
        <v>0.7</v>
      </c>
      <c r="E38" s="80">
        <v>1</v>
      </c>
      <c r="F38" s="80">
        <v>0.7</v>
      </c>
    </row>
    <row r="39" spans="1:6">
      <c r="A39" t="s">
        <v>298</v>
      </c>
      <c r="B39" s="76"/>
      <c r="C39" s="76"/>
      <c r="D39" s="76"/>
      <c r="E39" s="76"/>
      <c r="F39" s="76"/>
    </row>
    <row r="40" spans="1:6">
      <c r="A40" t="s">
        <v>304</v>
      </c>
      <c r="B40" s="80">
        <v>0.6</v>
      </c>
      <c r="C40" s="80">
        <v>0.9</v>
      </c>
      <c r="D40" s="80">
        <v>0.8</v>
      </c>
      <c r="E40" s="80">
        <v>1</v>
      </c>
      <c r="F40" s="80">
        <v>0.5</v>
      </c>
    </row>
    <row r="41" spans="1:6">
      <c r="A41" t="s">
        <v>298</v>
      </c>
      <c r="B41" s="76"/>
      <c r="C41" s="76"/>
      <c r="D41" s="76"/>
      <c r="E41" s="76"/>
      <c r="F41" s="76"/>
    </row>
    <row r="42" spans="1:6">
      <c r="A42" t="s">
        <v>149</v>
      </c>
      <c r="B42" s="80">
        <v>0.2</v>
      </c>
      <c r="C42" s="80">
        <v>0.8</v>
      </c>
      <c r="D42" s="80">
        <v>0.6</v>
      </c>
      <c r="E42" s="80">
        <v>0.9</v>
      </c>
      <c r="F42" s="80">
        <v>0.3</v>
      </c>
    </row>
    <row r="43" spans="1:6">
      <c r="A43" t="s">
        <v>298</v>
      </c>
      <c r="B43" s="76"/>
      <c r="C43" s="76"/>
      <c r="D43" s="76"/>
      <c r="E43" s="76"/>
      <c r="F43" s="76"/>
    </row>
    <row r="44" spans="1:6">
      <c r="A44" t="s">
        <v>305</v>
      </c>
      <c r="B44" s="80">
        <v>0.2</v>
      </c>
      <c r="C44" s="80">
        <v>0.9</v>
      </c>
      <c r="D44" s="80">
        <v>0.4</v>
      </c>
      <c r="E44" s="80">
        <v>0.8</v>
      </c>
      <c r="F44" s="80">
        <v>0.5</v>
      </c>
    </row>
    <row r="45" spans="1:6">
      <c r="A45" s="66" t="s">
        <v>1297</v>
      </c>
      <c r="B45" s="83">
        <v>0.37500000000000006</v>
      </c>
      <c r="C45" s="83">
        <v>0.88750000000000007</v>
      </c>
      <c r="D45" s="83">
        <v>0.63749999999999996</v>
      </c>
      <c r="E45" s="83">
        <v>0.9</v>
      </c>
      <c r="F45" s="83">
        <v>0.44999999999999996</v>
      </c>
    </row>
    <row r="46" spans="1:6">
      <c r="A46" t="s">
        <v>298</v>
      </c>
      <c r="B46" s="76"/>
      <c r="C46" s="76"/>
      <c r="D46" s="76"/>
      <c r="E46" s="76"/>
      <c r="F46" s="76"/>
    </row>
    <row r="47" spans="1:6">
      <c r="A47" t="s">
        <v>298</v>
      </c>
      <c r="B47" s="76"/>
      <c r="C47" s="76"/>
      <c r="D47" s="76"/>
      <c r="E47" s="76"/>
      <c r="F47" s="76"/>
    </row>
    <row r="48" spans="1:6">
      <c r="A48" s="8" t="s">
        <v>24</v>
      </c>
      <c r="B48" s="85"/>
      <c r="C48" s="85"/>
      <c r="D48" s="85"/>
      <c r="E48" s="85"/>
      <c r="F48" s="85"/>
    </row>
    <row r="49" spans="1:6">
      <c r="A49" t="s">
        <v>298</v>
      </c>
      <c r="B49" s="76"/>
      <c r="C49" s="76"/>
      <c r="D49" s="76"/>
      <c r="E49" s="76"/>
      <c r="F49" s="76"/>
    </row>
    <row r="50" spans="1:6">
      <c r="A50" t="s">
        <v>306</v>
      </c>
      <c r="B50" s="80">
        <v>0.8</v>
      </c>
      <c r="C50" s="80">
        <v>0.9</v>
      </c>
      <c r="D50" s="80">
        <v>0.9</v>
      </c>
      <c r="E50" s="80">
        <v>1</v>
      </c>
      <c r="F50" s="80">
        <v>0.8</v>
      </c>
    </row>
    <row r="51" spans="1:6">
      <c r="A51" t="s">
        <v>307</v>
      </c>
      <c r="B51" s="76"/>
      <c r="C51" s="76"/>
      <c r="D51" s="76"/>
      <c r="E51" s="76"/>
      <c r="F51" s="76"/>
    </row>
    <row r="52" spans="1:6">
      <c r="A52" t="s">
        <v>308</v>
      </c>
      <c r="B52" s="80">
        <v>0.6</v>
      </c>
      <c r="C52" s="80">
        <v>0.8</v>
      </c>
      <c r="D52" s="80">
        <v>0.8</v>
      </c>
      <c r="E52" s="80">
        <v>0.5</v>
      </c>
      <c r="F52" s="80">
        <v>0.3</v>
      </c>
    </row>
    <row r="53" spans="1:6">
      <c r="A53" t="s">
        <v>309</v>
      </c>
      <c r="B53" s="80">
        <v>0.5</v>
      </c>
      <c r="C53" s="80">
        <v>0.8</v>
      </c>
      <c r="D53" s="80">
        <v>0.7</v>
      </c>
      <c r="E53" s="80">
        <v>0.7</v>
      </c>
      <c r="F53" s="80">
        <v>0.6</v>
      </c>
    </row>
    <row r="54" spans="1:6">
      <c r="A54" t="s">
        <v>310</v>
      </c>
      <c r="B54" s="80">
        <v>0.3</v>
      </c>
      <c r="C54" s="80">
        <v>0.8</v>
      </c>
      <c r="D54" s="80">
        <v>0.6</v>
      </c>
      <c r="E54" s="80">
        <v>0.7</v>
      </c>
      <c r="F54" s="80">
        <v>0.4</v>
      </c>
    </row>
    <row r="55" spans="1:6">
      <c r="A55" t="s">
        <v>298</v>
      </c>
      <c r="B55" s="76"/>
      <c r="C55" s="76"/>
      <c r="D55" s="76"/>
      <c r="E55" s="76"/>
      <c r="F55" s="76"/>
    </row>
    <row r="56" spans="1:6">
      <c r="A56" t="s">
        <v>311</v>
      </c>
      <c r="B56" s="80">
        <v>0.6</v>
      </c>
      <c r="C56" s="80">
        <v>0.9</v>
      </c>
      <c r="D56" s="80">
        <v>0.9</v>
      </c>
      <c r="E56" s="80">
        <v>0.9</v>
      </c>
      <c r="F56" s="80">
        <v>0.6</v>
      </c>
    </row>
    <row r="57" spans="1:6">
      <c r="A57" t="s">
        <v>515</v>
      </c>
      <c r="B57" s="80">
        <v>0.7</v>
      </c>
      <c r="C57" s="80">
        <v>0.9</v>
      </c>
      <c r="D57" s="80">
        <v>0.9</v>
      </c>
      <c r="E57" s="80">
        <v>0.9</v>
      </c>
      <c r="F57" s="80">
        <v>0.9</v>
      </c>
    </row>
    <row r="58" spans="1:6">
      <c r="A58" t="s">
        <v>313</v>
      </c>
      <c r="B58" s="80">
        <v>0.3</v>
      </c>
      <c r="C58" s="80">
        <v>0.8</v>
      </c>
      <c r="D58" s="80">
        <v>0.6</v>
      </c>
      <c r="E58" s="80">
        <v>0.8</v>
      </c>
      <c r="F58" s="80">
        <v>0.5</v>
      </c>
    </row>
    <row r="59" spans="1:6">
      <c r="A59" t="s">
        <v>298</v>
      </c>
      <c r="B59" s="76"/>
      <c r="C59" s="76"/>
      <c r="D59" s="76"/>
      <c r="E59" s="76"/>
      <c r="F59" s="76"/>
    </row>
    <row r="60" spans="1:6">
      <c r="A60" t="s">
        <v>314</v>
      </c>
      <c r="B60" s="80">
        <v>0.7</v>
      </c>
      <c r="C60" s="80">
        <v>0.9</v>
      </c>
      <c r="D60" s="80">
        <v>0.9</v>
      </c>
      <c r="E60" s="80">
        <v>1</v>
      </c>
      <c r="F60" s="80">
        <v>0.5</v>
      </c>
    </row>
    <row r="61" spans="1:6">
      <c r="A61" t="s">
        <v>315</v>
      </c>
      <c r="B61" s="80">
        <v>0.5</v>
      </c>
      <c r="C61" s="80">
        <v>0.9</v>
      </c>
      <c r="D61" s="80">
        <v>0.8</v>
      </c>
      <c r="E61" s="80">
        <v>1</v>
      </c>
      <c r="F61" s="80">
        <v>0.4</v>
      </c>
    </row>
    <row r="62" spans="1:6">
      <c r="A62" t="s">
        <v>316</v>
      </c>
      <c r="B62" s="80">
        <v>0.3</v>
      </c>
      <c r="C62" s="80">
        <v>0.9</v>
      </c>
      <c r="D62" s="80">
        <v>0.8</v>
      </c>
      <c r="E62" s="80">
        <v>1</v>
      </c>
      <c r="F62" s="80">
        <v>0.3</v>
      </c>
    </row>
    <row r="63" spans="1:6">
      <c r="A63" t="s">
        <v>135</v>
      </c>
      <c r="B63" s="80">
        <v>0.4</v>
      </c>
      <c r="C63" s="80">
        <v>0.8</v>
      </c>
      <c r="D63" s="80">
        <v>0.9</v>
      </c>
      <c r="E63" s="80">
        <v>1</v>
      </c>
      <c r="F63" s="80">
        <v>0.2</v>
      </c>
    </row>
    <row r="64" spans="1:6">
      <c r="A64" t="s">
        <v>317</v>
      </c>
      <c r="B64" s="80">
        <v>0.6</v>
      </c>
      <c r="C64" s="80">
        <v>0.9</v>
      </c>
      <c r="D64" s="80">
        <v>0.8</v>
      </c>
      <c r="E64" s="80">
        <v>1</v>
      </c>
      <c r="F64" s="80">
        <v>0.5</v>
      </c>
    </row>
    <row r="65" spans="1:6">
      <c r="A65" t="s">
        <v>177</v>
      </c>
      <c r="B65" s="80">
        <v>0.6</v>
      </c>
      <c r="C65" s="80">
        <v>0.6</v>
      </c>
      <c r="D65" s="80">
        <v>0.5</v>
      </c>
      <c r="E65" s="80">
        <v>0.5</v>
      </c>
      <c r="F65" s="80">
        <v>0.3</v>
      </c>
    </row>
    <row r="66" spans="1:6">
      <c r="A66" t="s">
        <v>318</v>
      </c>
      <c r="B66" s="80">
        <v>0.4</v>
      </c>
      <c r="C66" s="80">
        <v>0.4</v>
      </c>
      <c r="D66" s="80">
        <v>0.4</v>
      </c>
      <c r="E66" s="80">
        <v>0.4</v>
      </c>
      <c r="F66" s="80">
        <v>0.2</v>
      </c>
    </row>
    <row r="67" spans="1:6">
      <c r="A67" t="s">
        <v>298</v>
      </c>
      <c r="B67" s="76"/>
      <c r="C67" s="76"/>
      <c r="D67" s="76"/>
      <c r="E67" s="76"/>
      <c r="F67" s="76"/>
    </row>
    <row r="68" spans="1:6">
      <c r="A68" t="s">
        <v>319</v>
      </c>
      <c r="B68" s="80">
        <v>0.5</v>
      </c>
      <c r="C68" s="80">
        <v>0.9</v>
      </c>
      <c r="D68" s="80">
        <v>0.7</v>
      </c>
      <c r="E68" s="80">
        <v>0.8</v>
      </c>
      <c r="F68" s="80">
        <v>0.7</v>
      </c>
    </row>
    <row r="69" spans="1:6">
      <c r="A69" t="s">
        <v>320</v>
      </c>
      <c r="B69" s="80">
        <v>0.3</v>
      </c>
      <c r="C69" s="80">
        <v>0.9</v>
      </c>
      <c r="D69" s="80">
        <v>0.7</v>
      </c>
      <c r="E69" s="80">
        <v>0.8</v>
      </c>
      <c r="F69" s="80">
        <v>0.5</v>
      </c>
    </row>
    <row r="70" spans="1:6">
      <c r="A70" t="s">
        <v>321</v>
      </c>
      <c r="B70" s="80">
        <v>0.2</v>
      </c>
      <c r="C70" s="80">
        <v>0.7</v>
      </c>
      <c r="D70" s="80">
        <v>0.4</v>
      </c>
      <c r="E70" s="80">
        <v>0.7</v>
      </c>
      <c r="F70" s="80">
        <v>0.1</v>
      </c>
    </row>
    <row r="71" spans="1:6">
      <c r="A71" t="s">
        <v>322</v>
      </c>
      <c r="B71" s="80">
        <v>0.2</v>
      </c>
      <c r="C71" s="80">
        <v>0.7</v>
      </c>
      <c r="D71" s="80">
        <v>0.3</v>
      </c>
      <c r="E71" s="80">
        <v>0.7</v>
      </c>
      <c r="F71" s="80">
        <v>0.1</v>
      </c>
    </row>
    <row r="72" spans="1:6">
      <c r="A72" t="s">
        <v>298</v>
      </c>
      <c r="B72" s="76"/>
      <c r="C72" s="76"/>
      <c r="D72" s="76"/>
      <c r="E72" s="76"/>
      <c r="F72" s="76"/>
    </row>
    <row r="73" spans="1:6">
      <c r="A73" t="s">
        <v>323</v>
      </c>
      <c r="B73" s="80">
        <v>0.7</v>
      </c>
      <c r="C73" s="80">
        <v>0.9</v>
      </c>
      <c r="D73" s="80">
        <v>0.8</v>
      </c>
      <c r="E73" s="80">
        <v>1</v>
      </c>
      <c r="F73" s="80">
        <v>0.5</v>
      </c>
    </row>
    <row r="74" spans="1:6">
      <c r="A74" t="s">
        <v>324</v>
      </c>
      <c r="B74" s="80">
        <v>0.5</v>
      </c>
      <c r="C74" s="80">
        <v>0.8</v>
      </c>
      <c r="D74" s="80">
        <v>0.6</v>
      </c>
      <c r="E74" s="80">
        <v>1</v>
      </c>
      <c r="F74" s="80">
        <v>0.3</v>
      </c>
    </row>
    <row r="75" spans="1:6">
      <c r="A75" t="s">
        <v>325</v>
      </c>
      <c r="B75" s="80">
        <v>0.2</v>
      </c>
      <c r="C75" s="80">
        <v>0.8</v>
      </c>
      <c r="D75" s="80">
        <v>0.6</v>
      </c>
      <c r="E75" s="80">
        <v>1</v>
      </c>
      <c r="F75" s="80">
        <v>0.3</v>
      </c>
    </row>
    <row r="76" spans="1:6">
      <c r="A76" t="s">
        <v>326</v>
      </c>
      <c r="B76" s="80">
        <v>0.5</v>
      </c>
      <c r="C76" s="80">
        <v>0.9</v>
      </c>
      <c r="D76" s="80">
        <v>0.8</v>
      </c>
      <c r="E76" s="80">
        <v>1</v>
      </c>
      <c r="F76" s="80">
        <v>0.4</v>
      </c>
    </row>
    <row r="77" spans="1:6">
      <c r="A77" t="s">
        <v>327</v>
      </c>
      <c r="B77" s="80">
        <v>0.4</v>
      </c>
      <c r="C77" s="80">
        <v>0.9</v>
      </c>
      <c r="D77" s="80">
        <v>0.8</v>
      </c>
      <c r="E77" s="80">
        <v>1</v>
      </c>
      <c r="F77" s="80">
        <v>0.4</v>
      </c>
    </row>
    <row r="78" spans="1:6">
      <c r="A78" t="s">
        <v>298</v>
      </c>
      <c r="B78" s="76"/>
      <c r="C78" s="76"/>
      <c r="D78" s="76"/>
      <c r="E78" s="76"/>
      <c r="F78" s="76"/>
    </row>
    <row r="79" spans="1:6">
      <c r="A79" t="s">
        <v>328</v>
      </c>
      <c r="B79" s="80">
        <v>0.4</v>
      </c>
      <c r="C79" s="80">
        <v>0.9</v>
      </c>
      <c r="D79" s="80">
        <v>0.8</v>
      </c>
      <c r="E79" s="80">
        <v>1</v>
      </c>
      <c r="F79" s="80">
        <v>1</v>
      </c>
    </row>
    <row r="80" spans="1:6">
      <c r="A80" t="s">
        <v>329</v>
      </c>
      <c r="B80" s="80">
        <v>0.4</v>
      </c>
      <c r="C80" s="80">
        <v>0.8</v>
      </c>
      <c r="D80" s="80">
        <v>0.7</v>
      </c>
      <c r="E80" s="80">
        <v>0.8</v>
      </c>
      <c r="F80" s="80">
        <v>1</v>
      </c>
    </row>
    <row r="81" spans="1:6">
      <c r="A81" t="s">
        <v>330</v>
      </c>
      <c r="B81" s="80">
        <v>0.2</v>
      </c>
      <c r="C81" s="80">
        <v>0.6</v>
      </c>
      <c r="D81" s="80">
        <v>0.5</v>
      </c>
      <c r="E81" s="80">
        <v>0.9</v>
      </c>
      <c r="F81" s="80">
        <v>1</v>
      </c>
    </row>
    <row r="82" spans="1:6">
      <c r="A82" s="66" t="s">
        <v>1297</v>
      </c>
      <c r="B82" s="83">
        <v>0.45384615384615373</v>
      </c>
      <c r="C82" s="83">
        <v>0.81153846153846154</v>
      </c>
      <c r="D82" s="83">
        <v>0.70000000000000007</v>
      </c>
      <c r="E82" s="83">
        <v>0.84999999999999987</v>
      </c>
      <c r="F82" s="83">
        <v>0.49230769230769234</v>
      </c>
    </row>
    <row r="83" spans="1:6">
      <c r="A83" t="s">
        <v>298</v>
      </c>
      <c r="B83" s="85"/>
      <c r="C83" s="85"/>
      <c r="D83" s="85"/>
      <c r="E83" s="85"/>
      <c r="F83" s="85"/>
    </row>
    <row r="84" spans="1:6">
      <c r="A84" t="s">
        <v>298</v>
      </c>
      <c r="B84" s="85"/>
      <c r="C84" s="85"/>
      <c r="D84" s="85"/>
      <c r="E84" s="85"/>
      <c r="F84" s="85"/>
    </row>
    <row r="85" spans="1:6">
      <c r="A85" s="8" t="s">
        <v>25</v>
      </c>
      <c r="B85" s="85"/>
      <c r="C85" s="85"/>
      <c r="D85" s="85"/>
      <c r="E85" s="85"/>
      <c r="F85" s="85"/>
    </row>
    <row r="86" spans="1:6">
      <c r="A86" s="68" t="s">
        <v>331</v>
      </c>
      <c r="B86" s="76"/>
      <c r="C86" s="76"/>
      <c r="D86" s="76"/>
      <c r="E86" s="76"/>
      <c r="F86" s="76"/>
    </row>
    <row r="87" spans="1:6">
      <c r="A87" t="s">
        <v>332</v>
      </c>
      <c r="B87" s="80">
        <v>0.6</v>
      </c>
      <c r="C87" s="80">
        <v>1</v>
      </c>
      <c r="D87" s="80">
        <v>0.8</v>
      </c>
      <c r="E87" s="80">
        <v>1</v>
      </c>
      <c r="F87" s="80">
        <v>0.6</v>
      </c>
    </row>
    <row r="88" spans="1:6">
      <c r="A88" t="s">
        <v>298</v>
      </c>
      <c r="B88" s="76"/>
      <c r="C88" s="76"/>
      <c r="D88" s="76"/>
      <c r="E88" s="76"/>
      <c r="F88" s="76"/>
    </row>
    <row r="89" spans="1:6">
      <c r="A89" t="s">
        <v>298</v>
      </c>
      <c r="B89" s="76"/>
      <c r="C89" s="76"/>
      <c r="D89" s="76"/>
      <c r="E89" s="76"/>
      <c r="F89" s="76"/>
    </row>
    <row r="90" spans="1:6">
      <c r="A90" t="s">
        <v>298</v>
      </c>
      <c r="B90" s="76"/>
      <c r="C90" s="76"/>
      <c r="D90" s="76"/>
      <c r="E90" s="76"/>
      <c r="F90" s="76"/>
    </row>
    <row r="91" spans="1:6">
      <c r="A91" t="s">
        <v>333</v>
      </c>
      <c r="B91" s="80">
        <v>0.2</v>
      </c>
      <c r="C91" s="80">
        <v>1</v>
      </c>
      <c r="D91" s="80">
        <v>0.5</v>
      </c>
      <c r="E91" s="80">
        <v>1</v>
      </c>
      <c r="F91" s="80">
        <v>0.2</v>
      </c>
    </row>
    <row r="92" spans="1:6">
      <c r="A92" t="s">
        <v>298</v>
      </c>
      <c r="B92" s="76"/>
      <c r="C92" s="76"/>
      <c r="D92" s="76"/>
      <c r="E92" s="76"/>
      <c r="F92" s="76"/>
    </row>
    <row r="93" spans="1:6">
      <c r="A93" t="s">
        <v>143</v>
      </c>
      <c r="B93" s="80">
        <v>0</v>
      </c>
      <c r="C93" s="80">
        <v>0.7</v>
      </c>
      <c r="D93" s="80">
        <v>0.3</v>
      </c>
      <c r="E93" s="80">
        <v>0.6</v>
      </c>
      <c r="F93" s="80">
        <v>0</v>
      </c>
    </row>
    <row r="94" spans="1:6">
      <c r="A94" t="s">
        <v>298</v>
      </c>
      <c r="B94" s="76"/>
      <c r="C94" s="76"/>
      <c r="D94" s="76"/>
      <c r="E94" s="76"/>
      <c r="F94" s="76"/>
    </row>
    <row r="95" spans="1:6">
      <c r="A95" t="s">
        <v>334</v>
      </c>
      <c r="B95" s="80">
        <v>0</v>
      </c>
      <c r="C95" s="80">
        <v>0.5</v>
      </c>
      <c r="D95" s="80">
        <v>0.1</v>
      </c>
      <c r="E95" s="80">
        <v>0.4</v>
      </c>
      <c r="F95" s="80">
        <v>0</v>
      </c>
    </row>
    <row r="96" spans="1:6">
      <c r="A96" t="s">
        <v>298</v>
      </c>
      <c r="B96" s="76"/>
      <c r="C96" s="76"/>
      <c r="D96" s="76"/>
      <c r="E96" s="76"/>
      <c r="F96" s="76"/>
    </row>
    <row r="97" spans="1:6">
      <c r="A97" t="s">
        <v>163</v>
      </c>
      <c r="B97" s="80">
        <v>0.5</v>
      </c>
      <c r="C97" s="80">
        <v>1</v>
      </c>
      <c r="D97" s="80">
        <v>0.6</v>
      </c>
      <c r="E97" s="80">
        <v>1</v>
      </c>
      <c r="F97" s="80">
        <v>0.6</v>
      </c>
    </row>
    <row r="98" spans="1:6">
      <c r="A98" t="s">
        <v>185</v>
      </c>
      <c r="B98" s="80">
        <v>0.6</v>
      </c>
      <c r="C98" s="80">
        <v>0.6</v>
      </c>
      <c r="D98" s="80">
        <v>1</v>
      </c>
      <c r="E98" s="80">
        <v>0.5</v>
      </c>
      <c r="F98" s="80">
        <v>0.3</v>
      </c>
    </row>
    <row r="99" spans="1:6">
      <c r="A99" t="s">
        <v>256</v>
      </c>
      <c r="B99" s="80">
        <v>0.4</v>
      </c>
      <c r="C99" s="80">
        <v>1</v>
      </c>
      <c r="D99" s="80">
        <v>0.6</v>
      </c>
      <c r="E99" s="80">
        <v>1</v>
      </c>
      <c r="F99" s="80">
        <v>0.6</v>
      </c>
    </row>
    <row r="100" spans="1:6">
      <c r="A100" t="s">
        <v>335</v>
      </c>
      <c r="B100" s="80">
        <v>0.4</v>
      </c>
      <c r="C100" s="80">
        <v>0.6</v>
      </c>
      <c r="D100" s="80">
        <v>1</v>
      </c>
      <c r="E100" s="80">
        <v>0.5</v>
      </c>
      <c r="F100" s="80">
        <v>0.3</v>
      </c>
    </row>
    <row r="101" spans="1:6">
      <c r="A101" t="s">
        <v>298</v>
      </c>
      <c r="B101" s="76"/>
      <c r="C101" s="76"/>
      <c r="D101" s="76"/>
      <c r="E101" s="76"/>
      <c r="F101" s="76"/>
    </row>
    <row r="102" spans="1:6">
      <c r="A102" t="s">
        <v>147</v>
      </c>
      <c r="B102" s="80">
        <v>0.5</v>
      </c>
      <c r="C102" s="80">
        <v>0.6</v>
      </c>
      <c r="D102" s="80">
        <v>1</v>
      </c>
      <c r="E102" s="80">
        <v>0.6</v>
      </c>
      <c r="F102" s="80">
        <v>0.3</v>
      </c>
    </row>
    <row r="103" spans="1:6">
      <c r="A103" t="s">
        <v>336</v>
      </c>
      <c r="B103" s="80">
        <v>0.3</v>
      </c>
      <c r="C103" s="80">
        <v>0.5</v>
      </c>
      <c r="D103" s="80">
        <v>1</v>
      </c>
      <c r="E103" s="80">
        <v>0.4</v>
      </c>
      <c r="F103" s="80">
        <v>0.2</v>
      </c>
    </row>
    <row r="104" spans="1:6">
      <c r="A104" t="s">
        <v>337</v>
      </c>
      <c r="B104" s="80">
        <v>0.3</v>
      </c>
      <c r="C104" s="80">
        <v>0.5</v>
      </c>
      <c r="D104" s="80">
        <v>1</v>
      </c>
      <c r="E104" s="80">
        <v>0.4</v>
      </c>
      <c r="F104" s="80">
        <v>0.2</v>
      </c>
    </row>
    <row r="105" spans="1:6">
      <c r="A105" t="s">
        <v>298</v>
      </c>
      <c r="B105" s="76"/>
      <c r="C105" s="76"/>
      <c r="D105" s="76"/>
      <c r="E105" s="76"/>
      <c r="F105" s="76"/>
    </row>
    <row r="106" spans="1:6">
      <c r="A106" t="s">
        <v>338</v>
      </c>
      <c r="B106" s="80">
        <v>0.3</v>
      </c>
      <c r="C106" s="80">
        <v>0.8</v>
      </c>
      <c r="D106" s="80">
        <v>0.6</v>
      </c>
      <c r="E106" s="80">
        <v>0.8</v>
      </c>
      <c r="F106" s="80">
        <v>0.4</v>
      </c>
    </row>
    <row r="107" spans="1:6">
      <c r="A107" s="68" t="s">
        <v>255</v>
      </c>
      <c r="B107" s="76"/>
      <c r="C107" s="76"/>
      <c r="D107" s="76"/>
      <c r="E107" s="76"/>
      <c r="F107" s="76"/>
    </row>
    <row r="108" spans="1:6">
      <c r="A108" t="s">
        <v>339</v>
      </c>
      <c r="B108" s="80">
        <v>0.8</v>
      </c>
      <c r="C108" s="80">
        <v>1</v>
      </c>
      <c r="D108" s="80">
        <v>1</v>
      </c>
      <c r="E108" s="80">
        <v>0.8</v>
      </c>
      <c r="F108" s="80">
        <v>0.3</v>
      </c>
    </row>
    <row r="109" spans="1:6">
      <c r="A109" t="s">
        <v>298</v>
      </c>
      <c r="B109" s="76"/>
      <c r="C109" s="76"/>
      <c r="D109" s="76"/>
      <c r="E109" s="76"/>
      <c r="F109" s="76"/>
    </row>
    <row r="110" spans="1:6">
      <c r="A110" t="s">
        <v>340</v>
      </c>
      <c r="B110" s="80">
        <v>0.5</v>
      </c>
      <c r="C110" s="80">
        <v>1</v>
      </c>
      <c r="D110" s="80">
        <v>1</v>
      </c>
      <c r="E110" s="80">
        <v>0.8</v>
      </c>
      <c r="F110" s="80">
        <v>0.3</v>
      </c>
    </row>
    <row r="111" spans="1:6">
      <c r="A111" t="s">
        <v>298</v>
      </c>
      <c r="B111" s="76"/>
      <c r="C111" s="76"/>
      <c r="D111" s="76"/>
      <c r="E111" s="76"/>
      <c r="F111" s="76"/>
    </row>
    <row r="112" spans="1:6">
      <c r="A112" t="s">
        <v>341</v>
      </c>
      <c r="B112" s="80">
        <v>0.3</v>
      </c>
      <c r="C112" s="80">
        <v>0.8</v>
      </c>
      <c r="D112" s="80">
        <v>1</v>
      </c>
      <c r="E112" s="80">
        <v>0.8</v>
      </c>
      <c r="F112" s="80">
        <v>0.3</v>
      </c>
    </row>
    <row r="113" spans="1:6">
      <c r="A113" t="s">
        <v>298</v>
      </c>
      <c r="B113" s="76"/>
      <c r="C113" s="76"/>
      <c r="D113" s="76"/>
      <c r="E113" s="76"/>
      <c r="F113" s="76"/>
    </row>
    <row r="114" spans="1:6">
      <c r="A114" t="s">
        <v>342</v>
      </c>
      <c r="B114" s="80">
        <v>0.2</v>
      </c>
      <c r="C114" s="80">
        <v>0.9</v>
      </c>
      <c r="D114" s="80">
        <v>1</v>
      </c>
      <c r="E114" s="80">
        <v>0.8</v>
      </c>
      <c r="F114" s="80">
        <v>0.3</v>
      </c>
    </row>
    <row r="115" spans="1:6">
      <c r="A115" t="s">
        <v>298</v>
      </c>
      <c r="B115" s="76"/>
      <c r="C115" s="76"/>
      <c r="D115" s="76"/>
      <c r="E115" s="76"/>
      <c r="F115" s="76"/>
    </row>
    <row r="116" spans="1:6">
      <c r="A116" t="s">
        <v>343</v>
      </c>
      <c r="B116" s="80">
        <v>0</v>
      </c>
      <c r="C116" s="80">
        <v>0.5</v>
      </c>
      <c r="D116" s="80">
        <v>0.3</v>
      </c>
      <c r="E116" s="80">
        <v>0.8</v>
      </c>
      <c r="F116" s="80">
        <v>0</v>
      </c>
    </row>
    <row r="117" spans="1:6">
      <c r="A117" t="s">
        <v>298</v>
      </c>
      <c r="B117" s="76"/>
      <c r="C117" s="76"/>
      <c r="D117" s="76"/>
      <c r="E117" s="76"/>
      <c r="F117" s="76"/>
    </row>
    <row r="118" spans="1:6">
      <c r="A118" t="s">
        <v>344</v>
      </c>
      <c r="B118" s="80">
        <v>0</v>
      </c>
      <c r="C118" s="80">
        <v>0.6</v>
      </c>
      <c r="D118" s="80">
        <v>0.3</v>
      </c>
      <c r="E118" s="80">
        <v>0.8</v>
      </c>
      <c r="F118" s="80">
        <v>0</v>
      </c>
    </row>
    <row r="119" spans="1:6">
      <c r="A119" t="s">
        <v>298</v>
      </c>
      <c r="B119" s="76"/>
      <c r="C119" s="76"/>
      <c r="D119" s="76"/>
      <c r="E119" s="76"/>
      <c r="F119" s="76"/>
    </row>
    <row r="120" spans="1:6">
      <c r="A120" t="s">
        <v>345</v>
      </c>
      <c r="B120" s="80">
        <v>0</v>
      </c>
      <c r="C120" s="80">
        <v>0.6</v>
      </c>
      <c r="D120" s="80">
        <v>0.3</v>
      </c>
      <c r="E120" s="80">
        <v>0.8</v>
      </c>
      <c r="F120" s="80">
        <v>0</v>
      </c>
    </row>
    <row r="121" spans="1:6">
      <c r="A121" t="s">
        <v>298</v>
      </c>
      <c r="B121" s="76"/>
      <c r="C121" s="76"/>
      <c r="D121" s="76"/>
      <c r="E121" s="76"/>
      <c r="F121" s="76"/>
    </row>
    <row r="122" spans="1:6">
      <c r="A122" t="s">
        <v>346</v>
      </c>
      <c r="B122" s="80">
        <v>0</v>
      </c>
      <c r="C122" s="80">
        <v>0.5</v>
      </c>
      <c r="D122" s="80">
        <v>0.3</v>
      </c>
      <c r="E122" s="80">
        <v>0.8</v>
      </c>
      <c r="F122" s="80">
        <v>0</v>
      </c>
    </row>
    <row r="123" spans="1:6">
      <c r="A123" t="s">
        <v>298</v>
      </c>
      <c r="B123" s="76"/>
      <c r="C123" s="76"/>
      <c r="D123" s="76"/>
      <c r="E123" s="76"/>
      <c r="F123" s="76"/>
    </row>
    <row r="124" spans="1:6">
      <c r="A124" t="s">
        <v>347</v>
      </c>
      <c r="B124" s="80">
        <v>0</v>
      </c>
      <c r="C124" s="80">
        <v>0.4</v>
      </c>
      <c r="D124" s="80">
        <v>0.2</v>
      </c>
      <c r="E124" s="80">
        <v>0.8</v>
      </c>
      <c r="F124" s="80">
        <v>0</v>
      </c>
    </row>
    <row r="125" spans="1:6">
      <c r="A125" t="s">
        <v>298</v>
      </c>
      <c r="B125" s="76"/>
      <c r="C125" s="76"/>
      <c r="D125" s="76"/>
      <c r="E125" s="76"/>
      <c r="F125" s="76"/>
    </row>
    <row r="126" spans="1:6">
      <c r="A126" t="s">
        <v>348</v>
      </c>
      <c r="B126" s="80">
        <v>0.3</v>
      </c>
      <c r="C126" s="80">
        <v>0.9</v>
      </c>
      <c r="D126" s="80">
        <v>0.7</v>
      </c>
      <c r="E126" s="80">
        <v>0.8</v>
      </c>
      <c r="F126" s="80">
        <v>0.2</v>
      </c>
    </row>
    <row r="127" spans="1:6">
      <c r="A127" t="s">
        <v>298</v>
      </c>
      <c r="B127" s="76"/>
      <c r="C127" s="76"/>
      <c r="D127" s="76"/>
      <c r="E127" s="76"/>
      <c r="F127" s="76"/>
    </row>
    <row r="128" spans="1:6">
      <c r="A128" t="s">
        <v>349</v>
      </c>
      <c r="B128" s="80">
        <v>0</v>
      </c>
      <c r="C128" s="80">
        <v>0.4</v>
      </c>
      <c r="D128" s="80">
        <v>0.4</v>
      </c>
      <c r="E128" s="80">
        <v>0.8</v>
      </c>
      <c r="F128" s="80">
        <v>0.3</v>
      </c>
    </row>
    <row r="129" spans="1:6">
      <c r="A129" s="66" t="s">
        <v>1297</v>
      </c>
      <c r="B129" s="83">
        <v>0.26956521739130429</v>
      </c>
      <c r="C129" s="83">
        <v>0.71304347826086956</v>
      </c>
      <c r="D129" s="83">
        <v>0.65217391304347838</v>
      </c>
      <c r="E129" s="83">
        <v>0.73913043478260898</v>
      </c>
      <c r="F129" s="83">
        <v>0.23478260869565215</v>
      </c>
    </row>
    <row r="130" spans="1:6">
      <c r="A130" t="s">
        <v>298</v>
      </c>
      <c r="B130" s="85"/>
      <c r="C130" s="85"/>
      <c r="D130" s="85"/>
      <c r="E130" s="85"/>
      <c r="F130" s="85"/>
    </row>
    <row r="131" spans="1:6">
      <c r="A131" t="s">
        <v>298</v>
      </c>
      <c r="B131" s="85"/>
      <c r="C131" s="85"/>
      <c r="D131" s="85"/>
      <c r="E131" s="85"/>
      <c r="F131" s="85"/>
    </row>
    <row r="132" spans="1:6">
      <c r="A132" s="8" t="s">
        <v>11</v>
      </c>
      <c r="B132" s="85"/>
      <c r="C132" s="85"/>
      <c r="D132" s="85"/>
      <c r="E132" s="85"/>
      <c r="F132" s="85"/>
    </row>
    <row r="133" spans="1:6">
      <c r="A133" t="s">
        <v>298</v>
      </c>
      <c r="B133" s="76"/>
      <c r="C133" s="76"/>
      <c r="D133" s="76"/>
      <c r="E133" s="76"/>
      <c r="F133" s="76"/>
    </row>
    <row r="134" spans="1:6">
      <c r="A134" t="s">
        <v>350</v>
      </c>
      <c r="B134" s="80">
        <v>0.5</v>
      </c>
      <c r="C134" s="80">
        <v>1</v>
      </c>
      <c r="D134" s="80">
        <v>0.4</v>
      </c>
      <c r="E134" s="80">
        <v>1</v>
      </c>
      <c r="F134" s="80">
        <v>1</v>
      </c>
    </row>
    <row r="135" spans="1:6">
      <c r="A135" t="s">
        <v>298</v>
      </c>
      <c r="B135" s="76"/>
      <c r="C135" s="76"/>
      <c r="D135" s="76"/>
      <c r="E135" s="76"/>
      <c r="F135" s="76"/>
    </row>
    <row r="136" spans="1:6">
      <c r="A136" t="s">
        <v>351</v>
      </c>
      <c r="B136" s="80">
        <v>0.9</v>
      </c>
      <c r="C136" s="80">
        <v>1</v>
      </c>
      <c r="D136" s="80">
        <v>0.8</v>
      </c>
      <c r="E136" s="80">
        <v>1</v>
      </c>
      <c r="F136" s="80">
        <v>0.8</v>
      </c>
    </row>
    <row r="137" spans="1:6">
      <c r="A137" t="s">
        <v>298</v>
      </c>
      <c r="B137" s="76"/>
      <c r="C137" s="76"/>
      <c r="D137" s="76"/>
      <c r="E137" s="76"/>
      <c r="F137" s="76"/>
    </row>
    <row r="138" spans="1:6">
      <c r="A138" t="s">
        <v>47</v>
      </c>
      <c r="B138" s="80">
        <v>0</v>
      </c>
      <c r="C138" s="80">
        <v>0.5</v>
      </c>
      <c r="D138" s="80">
        <v>0</v>
      </c>
      <c r="E138" s="80">
        <v>0.7</v>
      </c>
      <c r="F138" s="80">
        <v>1</v>
      </c>
    </row>
    <row r="139" spans="1:6">
      <c r="A139" t="s">
        <v>298</v>
      </c>
      <c r="B139" s="76"/>
      <c r="C139" s="76"/>
      <c r="D139" s="76"/>
      <c r="E139" s="76"/>
      <c r="F139" s="76"/>
    </row>
    <row r="140" spans="1:6">
      <c r="A140" t="s">
        <v>352</v>
      </c>
      <c r="B140" s="80">
        <v>0.5</v>
      </c>
      <c r="C140" s="80">
        <v>0.6</v>
      </c>
      <c r="D140" s="80">
        <v>0.6</v>
      </c>
      <c r="E140" s="80">
        <v>0</v>
      </c>
      <c r="F140" s="80">
        <v>0</v>
      </c>
    </row>
    <row r="141" spans="1:6">
      <c r="A141" t="s">
        <v>298</v>
      </c>
      <c r="B141" s="76"/>
      <c r="C141" s="76"/>
      <c r="D141" s="76"/>
      <c r="E141" s="76"/>
      <c r="F141" s="76"/>
    </row>
    <row r="142" spans="1:6">
      <c r="A142" t="s">
        <v>353</v>
      </c>
      <c r="B142" s="80">
        <v>0</v>
      </c>
      <c r="C142" s="80">
        <v>0.6</v>
      </c>
      <c r="D142" s="80">
        <v>0.3</v>
      </c>
      <c r="E142" s="80">
        <v>0.3</v>
      </c>
      <c r="F142" s="80">
        <v>0.5</v>
      </c>
    </row>
    <row r="143" spans="1:6">
      <c r="A143" t="s">
        <v>298</v>
      </c>
      <c r="B143" s="76"/>
      <c r="C143" s="76"/>
      <c r="D143" s="76"/>
      <c r="E143" s="76"/>
      <c r="F143" s="76"/>
    </row>
    <row r="144" spans="1:6">
      <c r="A144" t="s">
        <v>354</v>
      </c>
      <c r="B144" s="80">
        <v>0</v>
      </c>
      <c r="C144" s="80">
        <v>0</v>
      </c>
      <c r="D144" s="80">
        <v>0</v>
      </c>
      <c r="E144" s="80">
        <v>0</v>
      </c>
      <c r="F144" s="80">
        <v>0.1</v>
      </c>
    </row>
    <row r="145" spans="1:6">
      <c r="A145" t="s">
        <v>298</v>
      </c>
      <c r="B145" s="76"/>
      <c r="C145" s="76"/>
      <c r="D145" s="76"/>
      <c r="E145" s="76"/>
      <c r="F145" s="76"/>
    </row>
    <row r="146" spans="1:6">
      <c r="A146" t="s">
        <v>355</v>
      </c>
      <c r="B146" s="80">
        <v>0.2</v>
      </c>
      <c r="C146" s="80">
        <v>0.5</v>
      </c>
      <c r="D146" s="80">
        <v>0.3</v>
      </c>
      <c r="E146" s="80">
        <v>0.4</v>
      </c>
      <c r="F146" s="80">
        <v>0</v>
      </c>
    </row>
    <row r="147" spans="1:6">
      <c r="A147" t="s">
        <v>298</v>
      </c>
      <c r="B147" s="76"/>
      <c r="C147" s="76"/>
      <c r="D147" s="76"/>
      <c r="E147" s="76"/>
      <c r="F147" s="76"/>
    </row>
    <row r="148" spans="1:6">
      <c r="A148" t="s">
        <v>356</v>
      </c>
      <c r="B148" s="80">
        <v>0.1</v>
      </c>
      <c r="C148" s="80">
        <v>0.7</v>
      </c>
      <c r="D148" s="80">
        <v>0.1</v>
      </c>
      <c r="E148" s="80">
        <v>0.4</v>
      </c>
      <c r="F148" s="80">
        <v>0.3</v>
      </c>
    </row>
    <row r="149" spans="1:6">
      <c r="A149" t="s">
        <v>298</v>
      </c>
      <c r="B149" s="76"/>
      <c r="C149" s="76"/>
      <c r="D149" s="76"/>
      <c r="E149" s="76"/>
      <c r="F149" s="76"/>
    </row>
    <row r="150" spans="1:6">
      <c r="A150" t="s">
        <v>357</v>
      </c>
      <c r="B150" s="80">
        <v>0</v>
      </c>
      <c r="C150" s="80">
        <v>0.4</v>
      </c>
      <c r="D150" s="80">
        <v>0.2</v>
      </c>
      <c r="E150" s="80">
        <v>0.4</v>
      </c>
      <c r="F150" s="80">
        <v>0</v>
      </c>
    </row>
    <row r="151" spans="1:6">
      <c r="A151" t="s">
        <v>298</v>
      </c>
      <c r="B151" s="76"/>
      <c r="C151" s="76"/>
      <c r="D151" s="76"/>
      <c r="E151" s="76"/>
      <c r="F151" s="76"/>
    </row>
    <row r="152" spans="1:6">
      <c r="A152" t="s">
        <v>112</v>
      </c>
      <c r="B152" s="80">
        <v>0.1</v>
      </c>
      <c r="C152" s="80">
        <v>0.3</v>
      </c>
      <c r="D152" s="80">
        <v>0.2</v>
      </c>
      <c r="E152" s="80">
        <v>0.2</v>
      </c>
      <c r="F152" s="80">
        <v>0.1</v>
      </c>
    </row>
    <row r="153" spans="1:6">
      <c r="A153" t="s">
        <v>298</v>
      </c>
      <c r="B153" s="76"/>
      <c r="C153" s="76"/>
      <c r="D153" s="76"/>
      <c r="E153" s="76"/>
      <c r="F153" s="76"/>
    </row>
    <row r="154" spans="1:6">
      <c r="A154" t="s">
        <v>114</v>
      </c>
      <c r="B154" s="80">
        <v>0.1</v>
      </c>
      <c r="C154" s="80">
        <v>0.7</v>
      </c>
      <c r="D154" s="80">
        <v>0.4</v>
      </c>
      <c r="E154" s="80">
        <v>1</v>
      </c>
      <c r="F154" s="80">
        <v>0.1</v>
      </c>
    </row>
    <row r="155" spans="1:6">
      <c r="A155" t="s">
        <v>298</v>
      </c>
      <c r="B155" s="76"/>
      <c r="C155" s="76"/>
      <c r="D155" s="76"/>
      <c r="E155" s="76"/>
      <c r="F155" s="76"/>
    </row>
    <row r="156" spans="1:6">
      <c r="A156" t="s">
        <v>115</v>
      </c>
      <c r="B156" s="80">
        <v>0.1</v>
      </c>
      <c r="C156" s="80">
        <v>0.7</v>
      </c>
      <c r="D156" s="80">
        <v>0.3</v>
      </c>
      <c r="E156" s="80">
        <v>0.6</v>
      </c>
      <c r="F156" s="80">
        <v>0.8</v>
      </c>
    </row>
    <row r="157" spans="1:6">
      <c r="A157" t="s">
        <v>298</v>
      </c>
      <c r="B157" s="76"/>
      <c r="C157" s="76"/>
      <c r="D157" s="76"/>
      <c r="E157" s="76"/>
      <c r="F157" s="76"/>
    </row>
    <row r="158" spans="1:6">
      <c r="A158" t="s">
        <v>116</v>
      </c>
      <c r="B158" s="80">
        <v>0.5</v>
      </c>
      <c r="C158" s="80">
        <v>1</v>
      </c>
      <c r="D158" s="80">
        <v>0.8</v>
      </c>
      <c r="E158" s="80">
        <v>1</v>
      </c>
      <c r="F158" s="80">
        <v>1</v>
      </c>
    </row>
    <row r="159" spans="1:6">
      <c r="A159" t="s">
        <v>298</v>
      </c>
      <c r="B159" s="76"/>
      <c r="C159" s="76"/>
      <c r="D159" s="76"/>
      <c r="E159" s="76"/>
      <c r="F159" s="76"/>
    </row>
    <row r="160" spans="1:6">
      <c r="A160" t="s">
        <v>358</v>
      </c>
      <c r="B160" s="80">
        <v>0.2</v>
      </c>
      <c r="C160" s="80">
        <v>0.9</v>
      </c>
      <c r="D160" s="80">
        <v>0.5</v>
      </c>
      <c r="E160" s="80">
        <v>1</v>
      </c>
      <c r="F160" s="80">
        <v>0.6</v>
      </c>
    </row>
    <row r="161" spans="1:6">
      <c r="A161" s="66" t="s">
        <v>1297</v>
      </c>
      <c r="B161" s="83">
        <v>0.22857142857142862</v>
      </c>
      <c r="C161" s="83">
        <v>0.63571428571428579</v>
      </c>
      <c r="D161" s="83">
        <v>0.35000000000000003</v>
      </c>
      <c r="E161" s="83">
        <v>0.5714285714285714</v>
      </c>
      <c r="F161" s="83">
        <v>0.45</v>
      </c>
    </row>
    <row r="162" spans="1:6">
      <c r="A162" t="s">
        <v>298</v>
      </c>
      <c r="B162" s="85"/>
      <c r="C162" s="85"/>
      <c r="D162" s="85"/>
      <c r="E162" s="85"/>
      <c r="F162" s="85"/>
    </row>
    <row r="163" spans="1:6">
      <c r="A163" t="s">
        <v>298</v>
      </c>
      <c r="B163" s="85"/>
      <c r="C163" s="85"/>
      <c r="D163" s="85"/>
      <c r="E163" s="85"/>
      <c r="F163" s="85"/>
    </row>
    <row r="164" spans="1:6">
      <c r="A164" s="8" t="s">
        <v>10</v>
      </c>
      <c r="B164" s="85"/>
      <c r="C164" s="85"/>
      <c r="D164" s="85"/>
      <c r="E164" s="85"/>
      <c r="F164" s="85"/>
    </row>
    <row r="165" spans="1:6">
      <c r="A165" t="s">
        <v>298</v>
      </c>
      <c r="B165" s="76"/>
      <c r="C165" s="76"/>
      <c r="D165" s="76"/>
      <c r="E165" s="76"/>
      <c r="F165" s="76"/>
    </row>
    <row r="166" spans="1:6">
      <c r="A166" t="s">
        <v>359</v>
      </c>
      <c r="B166" s="80">
        <v>0.3</v>
      </c>
      <c r="C166" s="80">
        <v>0.9</v>
      </c>
      <c r="D166" s="80">
        <v>0.6</v>
      </c>
      <c r="E166" s="80">
        <v>1</v>
      </c>
      <c r="F166" s="80">
        <v>0.6</v>
      </c>
    </row>
    <row r="167" spans="1:6">
      <c r="A167" t="s">
        <v>298</v>
      </c>
      <c r="B167" s="76"/>
      <c r="C167" s="76"/>
      <c r="D167" s="76"/>
      <c r="E167" s="76"/>
      <c r="F167" s="76"/>
    </row>
    <row r="168" spans="1:6">
      <c r="A168" t="s">
        <v>360</v>
      </c>
      <c r="B168" s="80">
        <v>0.3</v>
      </c>
      <c r="C168" s="80">
        <v>0.9</v>
      </c>
      <c r="D168" s="80">
        <v>0.4</v>
      </c>
      <c r="E168" s="80">
        <v>0.9</v>
      </c>
      <c r="F168" s="80">
        <v>0.3</v>
      </c>
    </row>
    <row r="169" spans="1:6">
      <c r="A169" t="s">
        <v>298</v>
      </c>
      <c r="B169" s="76"/>
      <c r="C169" s="76"/>
      <c r="D169" s="76"/>
      <c r="E169" s="76"/>
      <c r="F169" s="76"/>
    </row>
    <row r="170" spans="1:6">
      <c r="A170" t="s">
        <v>361</v>
      </c>
      <c r="B170" s="80">
        <v>0.5</v>
      </c>
      <c r="C170" s="80">
        <v>0.9</v>
      </c>
      <c r="D170" s="80">
        <v>0.6</v>
      </c>
      <c r="E170" s="80">
        <v>1</v>
      </c>
      <c r="F170" s="80">
        <v>0.7</v>
      </c>
    </row>
    <row r="171" spans="1:6">
      <c r="A171" t="s">
        <v>298</v>
      </c>
      <c r="B171" s="76"/>
      <c r="C171" s="76"/>
      <c r="D171" s="76"/>
      <c r="E171" s="76"/>
      <c r="F171" s="76"/>
    </row>
    <row r="172" spans="1:6">
      <c r="A172" t="s">
        <v>362</v>
      </c>
      <c r="B172" s="80">
        <v>0.3</v>
      </c>
      <c r="C172" s="80">
        <v>0.9</v>
      </c>
      <c r="D172" s="80">
        <v>0.5</v>
      </c>
      <c r="E172" s="80">
        <v>1</v>
      </c>
      <c r="F172" s="80">
        <v>0.3</v>
      </c>
    </row>
    <row r="173" spans="1:6">
      <c r="A173" t="s">
        <v>298</v>
      </c>
      <c r="B173" s="76"/>
      <c r="C173" s="76"/>
      <c r="D173" s="76"/>
      <c r="E173" s="76"/>
      <c r="F173" s="76"/>
    </row>
    <row r="174" spans="1:6">
      <c r="A174" t="s">
        <v>285</v>
      </c>
      <c r="B174" s="80">
        <v>0.1</v>
      </c>
      <c r="C174" s="80">
        <v>0.9</v>
      </c>
      <c r="D174" s="80">
        <v>0.6</v>
      </c>
      <c r="E174" s="80">
        <v>1</v>
      </c>
      <c r="F174" s="80">
        <v>0.7</v>
      </c>
    </row>
    <row r="175" spans="1:6">
      <c r="A175" t="s">
        <v>286</v>
      </c>
      <c r="B175" s="80">
        <v>0.2</v>
      </c>
      <c r="C175" s="80">
        <v>0.9</v>
      </c>
      <c r="D175" s="80">
        <v>0.6</v>
      </c>
      <c r="E175" s="80">
        <v>1</v>
      </c>
      <c r="F175" s="80">
        <v>0.7</v>
      </c>
    </row>
    <row r="176" spans="1:6">
      <c r="A176" t="s">
        <v>287</v>
      </c>
      <c r="B176" s="80">
        <v>0.1</v>
      </c>
      <c r="C176" s="80">
        <v>0.9</v>
      </c>
      <c r="D176" s="80">
        <v>0.6</v>
      </c>
      <c r="E176" s="80">
        <v>1</v>
      </c>
      <c r="F176" s="80">
        <v>0.6</v>
      </c>
    </row>
    <row r="177" spans="1:6">
      <c r="A177" s="66" t="s">
        <v>1297</v>
      </c>
      <c r="B177" s="83">
        <v>0.25714285714285717</v>
      </c>
      <c r="C177" s="83">
        <v>0.90000000000000013</v>
      </c>
      <c r="D177" s="83">
        <v>0.55714285714285716</v>
      </c>
      <c r="E177" s="83">
        <v>0.98571428571428577</v>
      </c>
      <c r="F177" s="83">
        <v>0.55714285714285716</v>
      </c>
    </row>
    <row r="178" spans="1:6">
      <c r="A178" t="s">
        <v>298</v>
      </c>
      <c r="B178" s="85"/>
      <c r="C178" s="85"/>
      <c r="D178" s="85"/>
      <c r="E178" s="85"/>
      <c r="F178" s="85"/>
    </row>
    <row r="179" spans="1:6">
      <c r="A179" t="s">
        <v>298</v>
      </c>
      <c r="B179" s="85"/>
      <c r="C179" s="85"/>
      <c r="D179" s="85"/>
      <c r="E179" s="85"/>
      <c r="F179" s="85"/>
    </row>
    <row r="180" spans="1:6">
      <c r="A180" s="8" t="s">
        <v>33</v>
      </c>
      <c r="B180" s="85"/>
      <c r="C180" s="85"/>
      <c r="D180" s="85"/>
      <c r="E180" s="85"/>
      <c r="F180" s="85"/>
    </row>
    <row r="181" spans="1:6">
      <c r="A181" t="s">
        <v>298</v>
      </c>
      <c r="B181" s="76"/>
      <c r="C181" s="76"/>
      <c r="D181" s="76"/>
      <c r="E181" s="76"/>
      <c r="F181" s="76"/>
    </row>
    <row r="182" spans="1:6">
      <c r="A182" t="s">
        <v>364</v>
      </c>
      <c r="B182" s="80">
        <v>0.5</v>
      </c>
      <c r="C182" s="80">
        <v>0.6</v>
      </c>
      <c r="D182" s="80">
        <v>1</v>
      </c>
      <c r="E182" s="80">
        <v>0.5</v>
      </c>
      <c r="F182" s="80">
        <v>0.4</v>
      </c>
    </row>
    <row r="183" spans="1:6">
      <c r="A183" t="s">
        <v>298</v>
      </c>
      <c r="B183" s="76"/>
      <c r="C183" s="76"/>
      <c r="D183" s="76"/>
      <c r="E183" s="76"/>
      <c r="F183" s="76"/>
    </row>
    <row r="184" spans="1:6">
      <c r="A184" t="s">
        <v>365</v>
      </c>
      <c r="B184" s="80">
        <v>0.8</v>
      </c>
      <c r="C184" s="80">
        <v>0.8</v>
      </c>
      <c r="D184" s="80">
        <v>1</v>
      </c>
      <c r="E184" s="80">
        <v>0.5</v>
      </c>
      <c r="F184" s="80">
        <v>0.5</v>
      </c>
    </row>
    <row r="185" spans="1:6">
      <c r="A185" t="s">
        <v>298</v>
      </c>
      <c r="B185" s="76"/>
      <c r="C185" s="76"/>
      <c r="D185" s="76"/>
      <c r="E185" s="76"/>
      <c r="F185" s="76"/>
    </row>
    <row r="186" spans="1:6">
      <c r="A186" t="s">
        <v>117</v>
      </c>
      <c r="B186" s="80">
        <v>0.4</v>
      </c>
      <c r="C186" s="80">
        <v>0.7</v>
      </c>
      <c r="D186" s="80">
        <v>1</v>
      </c>
      <c r="E186" s="80">
        <v>0.4</v>
      </c>
      <c r="F186" s="80">
        <v>0.5</v>
      </c>
    </row>
    <row r="187" spans="1:6">
      <c r="A187" t="s">
        <v>298</v>
      </c>
      <c r="B187" s="76"/>
      <c r="C187" s="76"/>
      <c r="D187" s="76"/>
      <c r="E187" s="76"/>
      <c r="F187" s="76"/>
    </row>
    <row r="188" spans="1:6">
      <c r="A188" t="s">
        <v>366</v>
      </c>
      <c r="B188" s="80">
        <v>0</v>
      </c>
      <c r="C188" s="80">
        <v>0.6</v>
      </c>
      <c r="D188" s="80">
        <v>0.4</v>
      </c>
      <c r="E188" s="80">
        <v>0.4</v>
      </c>
      <c r="F188" s="80">
        <v>0.2</v>
      </c>
    </row>
    <row r="189" spans="1:6">
      <c r="A189" t="s">
        <v>298</v>
      </c>
      <c r="B189" s="76"/>
      <c r="C189" s="76"/>
      <c r="D189" s="76"/>
      <c r="E189" s="76"/>
      <c r="F189" s="76"/>
    </row>
    <row r="190" spans="1:6">
      <c r="A190" t="s">
        <v>367</v>
      </c>
      <c r="B190" s="80">
        <v>0</v>
      </c>
      <c r="C190" s="80">
        <v>0</v>
      </c>
      <c r="D190" s="80">
        <v>0.9</v>
      </c>
      <c r="E190" s="80">
        <v>0.2</v>
      </c>
      <c r="F190" s="80">
        <v>0</v>
      </c>
    </row>
    <row r="191" spans="1:6">
      <c r="A191" t="s">
        <v>298</v>
      </c>
      <c r="B191" s="76"/>
      <c r="C191" s="76"/>
      <c r="D191" s="76"/>
      <c r="E191" s="76"/>
      <c r="F191" s="76"/>
    </row>
    <row r="192" spans="1:6">
      <c r="A192" t="s">
        <v>119</v>
      </c>
      <c r="B192" s="80">
        <v>0</v>
      </c>
      <c r="C192" s="80">
        <v>0</v>
      </c>
      <c r="D192" s="80">
        <v>0.9</v>
      </c>
      <c r="E192" s="80">
        <v>0.3</v>
      </c>
      <c r="F192" s="80">
        <v>0</v>
      </c>
    </row>
    <row r="193" spans="1:6">
      <c r="A193" s="66" t="s">
        <v>1297</v>
      </c>
      <c r="B193" s="83">
        <v>0.28333333333333338</v>
      </c>
      <c r="C193" s="83">
        <v>0.44999999999999996</v>
      </c>
      <c r="D193" s="83">
        <v>0.8666666666666667</v>
      </c>
      <c r="E193" s="83">
        <v>0.3833333333333333</v>
      </c>
      <c r="F193" s="83">
        <v>0.26666666666666666</v>
      </c>
    </row>
    <row r="194" spans="1:6">
      <c r="A194" s="76"/>
      <c r="B194" s="85"/>
      <c r="C194" s="85"/>
      <c r="D194" s="85"/>
      <c r="E194" s="85"/>
      <c r="F194" s="85"/>
    </row>
    <row r="195" spans="1:6">
      <c r="A195" s="76"/>
      <c r="B195" s="85"/>
      <c r="C195" s="85"/>
      <c r="D195" s="85"/>
      <c r="E195" s="85"/>
      <c r="F195" s="85"/>
    </row>
    <row r="196" spans="1:6">
      <c r="A196" s="84" t="s">
        <v>1298</v>
      </c>
      <c r="B196" s="85"/>
      <c r="C196" s="85"/>
      <c r="D196" s="85"/>
      <c r="E196" s="85"/>
      <c r="F196" s="85"/>
    </row>
    <row r="197" spans="1:6">
      <c r="A197" s="76" t="s">
        <v>1306</v>
      </c>
      <c r="B197" s="80">
        <v>1</v>
      </c>
      <c r="C197" s="80">
        <v>1</v>
      </c>
      <c r="D197" s="80">
        <v>1</v>
      </c>
      <c r="E197" s="80">
        <v>1</v>
      </c>
      <c r="F197" s="80">
        <v>1</v>
      </c>
    </row>
    <row r="198" spans="1:6">
      <c r="A198" s="76" t="s">
        <v>1307</v>
      </c>
      <c r="B198" s="80">
        <v>0.6</v>
      </c>
      <c r="C198" s="80">
        <v>0.4</v>
      </c>
      <c r="D198" s="80">
        <v>1</v>
      </c>
      <c r="E198" s="80">
        <v>0.6</v>
      </c>
      <c r="F198" s="80">
        <v>0.2</v>
      </c>
    </row>
    <row r="199" spans="1:6">
      <c r="A199" s="76" t="s">
        <v>1308</v>
      </c>
      <c r="B199" s="80">
        <v>0.2</v>
      </c>
      <c r="C199" s="80">
        <v>1</v>
      </c>
      <c r="D199" s="80">
        <v>0.6</v>
      </c>
      <c r="E199" s="80">
        <v>1</v>
      </c>
      <c r="F199" s="80">
        <v>0.8</v>
      </c>
    </row>
    <row r="200" spans="1:6">
      <c r="A200" s="76" t="s">
        <v>1309</v>
      </c>
      <c r="B200" s="80">
        <v>1</v>
      </c>
      <c r="C200" s="80">
        <v>0.6</v>
      </c>
      <c r="D200" s="80">
        <v>1</v>
      </c>
      <c r="E200" s="80">
        <v>0.6</v>
      </c>
      <c r="F200" s="80">
        <v>0.6</v>
      </c>
    </row>
    <row r="201" spans="1:6">
      <c r="A201" s="76"/>
      <c r="B201" s="76"/>
      <c r="C201" s="76"/>
      <c r="D201" s="76"/>
      <c r="E201" s="76"/>
      <c r="F201" s="76"/>
    </row>
    <row r="202" spans="1:6">
      <c r="A202" s="76" t="s">
        <v>1310</v>
      </c>
      <c r="B202" s="80">
        <v>1</v>
      </c>
      <c r="C202" s="80">
        <v>0</v>
      </c>
      <c r="D202" s="80">
        <v>0.6</v>
      </c>
      <c r="E202" s="80">
        <v>0</v>
      </c>
      <c r="F202" s="80">
        <v>0</v>
      </c>
    </row>
    <row r="203" spans="1:6">
      <c r="A203" s="76" t="s">
        <v>1311</v>
      </c>
      <c r="B203" s="80">
        <v>1</v>
      </c>
      <c r="C203" s="80">
        <v>0</v>
      </c>
      <c r="D203" s="80">
        <v>1</v>
      </c>
      <c r="E203" s="80">
        <v>0.8</v>
      </c>
      <c r="F203" s="80">
        <v>0</v>
      </c>
    </row>
    <row r="204" spans="1:6">
      <c r="A204" s="76" t="s">
        <v>1312</v>
      </c>
      <c r="B204" s="80">
        <v>0.6</v>
      </c>
      <c r="C204" s="80">
        <v>1</v>
      </c>
      <c r="D204" s="80">
        <v>1</v>
      </c>
      <c r="E204" s="80">
        <v>0.6</v>
      </c>
      <c r="F204" s="80">
        <v>0</v>
      </c>
    </row>
    <row r="205" spans="1:6">
      <c r="A205" s="76" t="s">
        <v>1314</v>
      </c>
      <c r="B205" s="80">
        <v>0.4</v>
      </c>
      <c r="C205" s="80">
        <v>1</v>
      </c>
      <c r="D205" s="80">
        <v>1</v>
      </c>
      <c r="E205" s="80">
        <v>0.6</v>
      </c>
      <c r="F205" s="80">
        <v>0</v>
      </c>
    </row>
    <row r="206" spans="1:6">
      <c r="A206" s="76" t="s">
        <v>1315</v>
      </c>
      <c r="B206" s="80">
        <v>1</v>
      </c>
      <c r="C206" s="80">
        <v>0.4</v>
      </c>
      <c r="D206" s="80">
        <v>0.8</v>
      </c>
      <c r="E206" s="80">
        <v>0.2</v>
      </c>
      <c r="F206" s="80">
        <v>0.6</v>
      </c>
    </row>
    <row r="207" spans="1:6">
      <c r="A207" s="76" t="s">
        <v>1316</v>
      </c>
      <c r="B207" s="80">
        <v>0</v>
      </c>
      <c r="C207" s="80">
        <v>0.4</v>
      </c>
      <c r="D207" s="80">
        <v>0.8</v>
      </c>
      <c r="E207" s="80">
        <v>0.2</v>
      </c>
      <c r="F207" s="80">
        <v>1</v>
      </c>
    </row>
    <row r="208" spans="1:6">
      <c r="A208" s="76" t="s">
        <v>1317</v>
      </c>
      <c r="B208" s="80">
        <v>0.4</v>
      </c>
      <c r="C208" s="80">
        <v>0.6</v>
      </c>
      <c r="D208" s="80">
        <v>1</v>
      </c>
      <c r="E208" s="80">
        <v>0.4</v>
      </c>
      <c r="F208" s="80">
        <v>0</v>
      </c>
    </row>
    <row r="209" spans="1:6">
      <c r="A209" s="76" t="s">
        <v>1318</v>
      </c>
      <c r="B209" s="80">
        <v>0</v>
      </c>
      <c r="C209" s="80">
        <v>0.4</v>
      </c>
      <c r="D209" s="80">
        <v>1</v>
      </c>
      <c r="E209" s="80">
        <v>0.4</v>
      </c>
      <c r="F209" s="80">
        <v>0</v>
      </c>
    </row>
    <row r="210" spans="1:6">
      <c r="A210" s="76" t="s">
        <v>1319</v>
      </c>
      <c r="B210" s="80">
        <v>1</v>
      </c>
      <c r="C210" s="80">
        <v>0.4</v>
      </c>
      <c r="D210" s="80">
        <v>0.8</v>
      </c>
      <c r="E210" s="80">
        <v>0.6</v>
      </c>
      <c r="F210" s="80">
        <v>0.2</v>
      </c>
    </row>
    <row r="211" spans="1:6">
      <c r="A211" s="76" t="s">
        <v>1320</v>
      </c>
      <c r="B211" s="80">
        <v>0</v>
      </c>
      <c r="C211" s="80">
        <v>0.8</v>
      </c>
      <c r="D211" s="80">
        <v>0.6</v>
      </c>
      <c r="E211" s="80">
        <v>1</v>
      </c>
      <c r="F211" s="80">
        <v>0.4</v>
      </c>
    </row>
    <row r="212" spans="1:6">
      <c r="A212" s="86" t="s">
        <v>1321</v>
      </c>
      <c r="B212" s="87">
        <v>0</v>
      </c>
      <c r="C212" s="87">
        <v>0</v>
      </c>
      <c r="D212" s="87">
        <v>0</v>
      </c>
      <c r="E212" s="87">
        <v>0</v>
      </c>
      <c r="F212" s="87">
        <v>0</v>
      </c>
    </row>
    <row r="213" spans="1:6">
      <c r="A213" s="86" t="s">
        <v>1322</v>
      </c>
      <c r="B213" s="87">
        <v>0</v>
      </c>
      <c r="C213" s="87">
        <v>0</v>
      </c>
      <c r="D213" s="87">
        <v>0</v>
      </c>
      <c r="E213" s="87">
        <v>0</v>
      </c>
      <c r="F213" s="87">
        <v>0</v>
      </c>
    </row>
    <row r="214" spans="1:6">
      <c r="A214" s="88" t="s">
        <v>1338</v>
      </c>
      <c r="B214" s="80">
        <v>0</v>
      </c>
      <c r="C214" s="80">
        <v>0.8</v>
      </c>
      <c r="D214" s="80">
        <v>0.6</v>
      </c>
      <c r="E214" s="80">
        <v>1</v>
      </c>
      <c r="F214" s="80">
        <v>0.6</v>
      </c>
    </row>
    <row r="215" spans="1:6">
      <c r="A215" s="76" t="s">
        <v>1324</v>
      </c>
      <c r="B215" s="80">
        <v>0.2</v>
      </c>
      <c r="C215" s="80">
        <v>0.6</v>
      </c>
      <c r="D215" s="80">
        <v>0.8</v>
      </c>
      <c r="E215" s="80">
        <v>1</v>
      </c>
      <c r="F215" s="80">
        <v>0</v>
      </c>
    </row>
    <row r="216" spans="1:6">
      <c r="A216" s="76" t="s">
        <v>1325</v>
      </c>
      <c r="B216" s="80">
        <v>0</v>
      </c>
      <c r="C216" s="80">
        <v>0.6</v>
      </c>
      <c r="D216" s="80">
        <v>0.8</v>
      </c>
      <c r="E216" s="80">
        <v>1</v>
      </c>
      <c r="F216" s="80">
        <v>0.6</v>
      </c>
    </row>
    <row r="217" spans="1:6">
      <c r="A217" s="76" t="s">
        <v>1326</v>
      </c>
      <c r="B217" s="80">
        <v>0</v>
      </c>
      <c r="C217" s="80">
        <v>0.8</v>
      </c>
      <c r="D217" s="80">
        <v>0.6</v>
      </c>
      <c r="E217" s="80">
        <v>1</v>
      </c>
      <c r="F217" s="80">
        <v>0.8</v>
      </c>
    </row>
    <row r="218" spans="1:6">
      <c r="A218" s="76" t="s">
        <v>1327</v>
      </c>
      <c r="B218" s="80">
        <v>0</v>
      </c>
      <c r="C218" s="80">
        <v>0.6</v>
      </c>
      <c r="D218" s="80">
        <v>0.4</v>
      </c>
      <c r="E218" s="80">
        <v>0.6</v>
      </c>
      <c r="F218" s="80">
        <v>0.8</v>
      </c>
    </row>
    <row r="219" spans="1:6">
      <c r="A219" s="76" t="s">
        <v>1328</v>
      </c>
      <c r="B219" s="80">
        <v>0.4</v>
      </c>
      <c r="C219" s="80">
        <v>1</v>
      </c>
      <c r="D219" s="80">
        <v>0.4</v>
      </c>
      <c r="E219" s="80">
        <v>0.6</v>
      </c>
      <c r="F219" s="80">
        <v>0.2</v>
      </c>
    </row>
    <row r="220" spans="1:6">
      <c r="A220" s="76" t="s">
        <v>1329</v>
      </c>
      <c r="B220" s="80">
        <v>0.2</v>
      </c>
      <c r="C220" s="80">
        <v>0.6</v>
      </c>
      <c r="D220" s="80">
        <v>0.4</v>
      </c>
      <c r="E220" s="80">
        <v>1</v>
      </c>
      <c r="F220" s="80">
        <v>0.6</v>
      </c>
    </row>
    <row r="221" spans="1:6">
      <c r="A221" s="76" t="s">
        <v>10</v>
      </c>
      <c r="B221" s="80">
        <v>0.2</v>
      </c>
      <c r="C221" s="80">
        <v>1</v>
      </c>
      <c r="D221" s="80">
        <v>0.6</v>
      </c>
      <c r="E221" s="80">
        <v>1</v>
      </c>
      <c r="F221" s="80">
        <v>0.6</v>
      </c>
    </row>
    <row r="222" spans="1:6">
      <c r="A222" s="76" t="s">
        <v>1330</v>
      </c>
      <c r="B222" s="80">
        <v>0.2</v>
      </c>
      <c r="C222" s="80">
        <v>1</v>
      </c>
      <c r="D222" s="80">
        <v>0.8</v>
      </c>
      <c r="E222" s="80">
        <v>1</v>
      </c>
      <c r="F222" s="80">
        <v>1</v>
      </c>
    </row>
    <row r="223" spans="1:6">
      <c r="A223" s="82" t="s">
        <v>1297</v>
      </c>
      <c r="B223" s="83">
        <v>0.37599999999999989</v>
      </c>
      <c r="C223" s="83">
        <v>0.60000000000000009</v>
      </c>
      <c r="D223" s="83">
        <v>0.70400000000000018</v>
      </c>
      <c r="E223" s="83">
        <v>0.64800000000000002</v>
      </c>
      <c r="F223" s="83">
        <v>0.4</v>
      </c>
    </row>
    <row r="224" spans="1:6">
      <c r="A224" s="76"/>
      <c r="B224" s="77"/>
      <c r="C224" s="77"/>
      <c r="D224" s="77"/>
      <c r="E224" s="77"/>
      <c r="F224" s="77"/>
    </row>
    <row r="225" spans="1:6">
      <c r="A225" s="76"/>
      <c r="B225" s="77"/>
      <c r="C225" s="77"/>
      <c r="D225" s="77"/>
      <c r="E225" s="77"/>
      <c r="F225" s="77"/>
    </row>
    <row r="226" spans="1:6">
      <c r="A226" s="76"/>
      <c r="B226" s="77"/>
      <c r="C226" s="77"/>
      <c r="D226" s="77"/>
      <c r="E226" s="77"/>
      <c r="F226" s="77"/>
    </row>
    <row r="227" spans="1:6">
      <c r="A227" s="76"/>
      <c r="B227" s="77"/>
      <c r="C227" s="77"/>
      <c r="D227" s="77"/>
      <c r="E227" s="77"/>
      <c r="F227" s="77"/>
    </row>
    <row r="228" spans="1:6">
      <c r="A228" s="76"/>
      <c r="B228" s="77"/>
      <c r="C228" s="77"/>
      <c r="D228" s="77"/>
      <c r="E228" s="77"/>
      <c r="F228" s="77"/>
    </row>
    <row r="229" spans="1:6">
      <c r="A229" s="76"/>
      <c r="B229" s="77"/>
      <c r="C229" s="77"/>
      <c r="D229" s="77"/>
      <c r="E229" s="77"/>
      <c r="F229" s="77"/>
    </row>
    <row r="230" spans="1:6">
      <c r="A230" s="76"/>
      <c r="B230" s="77"/>
      <c r="C230" s="77"/>
      <c r="D230" s="77"/>
      <c r="E230" s="77"/>
      <c r="F230" s="77"/>
    </row>
    <row r="231" spans="1:6">
      <c r="A231" s="76"/>
      <c r="B231" s="77"/>
      <c r="C231" s="77"/>
      <c r="D231" s="77"/>
      <c r="E231" s="77"/>
      <c r="F231" s="77"/>
    </row>
    <row r="232" spans="1:6">
      <c r="A232" s="76"/>
      <c r="B232" s="77"/>
      <c r="C232" s="77"/>
      <c r="D232" s="77"/>
      <c r="E232" s="77"/>
      <c r="F232" s="77"/>
    </row>
    <row r="233" spans="1:6">
      <c r="A233" s="76"/>
      <c r="B233" s="77"/>
      <c r="C233" s="77"/>
      <c r="D233" s="77"/>
      <c r="E233" s="77"/>
      <c r="F233" s="77"/>
    </row>
    <row r="234" spans="1:6">
      <c r="A234" s="76"/>
      <c r="B234" s="77"/>
      <c r="C234" s="77"/>
      <c r="D234" s="77"/>
      <c r="E234" s="77"/>
      <c r="F234" s="77"/>
    </row>
    <row r="235" spans="1:6">
      <c r="A235" s="76"/>
      <c r="B235" s="77"/>
      <c r="C235" s="77"/>
      <c r="D235" s="77"/>
      <c r="E235" s="77"/>
      <c r="F235" s="77"/>
    </row>
    <row r="236" spans="1:6">
      <c r="A236" s="76"/>
      <c r="B236" s="77"/>
      <c r="C236" s="77"/>
      <c r="D236" s="77"/>
      <c r="E236" s="77"/>
      <c r="F236" s="77"/>
    </row>
    <row r="237" spans="1:6">
      <c r="A237" s="76"/>
      <c r="B237" s="77"/>
      <c r="C237" s="77"/>
      <c r="D237" s="77"/>
      <c r="E237" s="77"/>
      <c r="F237" s="77"/>
    </row>
    <row r="238" spans="1:6">
      <c r="A238" s="76"/>
      <c r="B238" s="77"/>
      <c r="C238" s="77"/>
      <c r="D238" s="77"/>
      <c r="E238" s="77"/>
      <c r="F238" s="77"/>
    </row>
    <row r="239" spans="1:6">
      <c r="A239" s="76"/>
      <c r="B239" s="77"/>
      <c r="C239" s="77"/>
      <c r="D239" s="77"/>
      <c r="E239" s="77"/>
      <c r="F239" s="77"/>
    </row>
    <row r="240" spans="1:6">
      <c r="A240" s="76"/>
      <c r="B240" s="77"/>
      <c r="C240" s="77"/>
      <c r="D240" s="77"/>
      <c r="E240" s="77"/>
      <c r="F240" s="77"/>
    </row>
    <row r="241" spans="1:6">
      <c r="A241" s="76"/>
      <c r="B241" s="77"/>
      <c r="C241" s="77"/>
      <c r="D241" s="77"/>
      <c r="E241" s="77"/>
      <c r="F241" s="77"/>
    </row>
    <row r="242" spans="1:6">
      <c r="A242" s="76"/>
      <c r="B242" s="77"/>
      <c r="C242" s="77"/>
      <c r="D242" s="77"/>
      <c r="E242" s="77"/>
      <c r="F242" s="77"/>
    </row>
    <row r="243" spans="1:6">
      <c r="A243" s="76"/>
      <c r="B243" s="77"/>
      <c r="C243" s="77"/>
      <c r="D243" s="77"/>
      <c r="E243" s="77"/>
      <c r="F243" s="77"/>
    </row>
    <row r="244" spans="1:6">
      <c r="A244" s="76"/>
      <c r="B244" s="77"/>
      <c r="C244" s="77"/>
      <c r="D244" s="77"/>
      <c r="E244" s="77"/>
      <c r="F244" s="77"/>
    </row>
    <row r="245" spans="1:6">
      <c r="A245" s="76"/>
      <c r="B245" s="77"/>
      <c r="C245" s="77"/>
      <c r="D245" s="77"/>
      <c r="E245" s="77"/>
      <c r="F245" s="77"/>
    </row>
    <row r="246" spans="1:6">
      <c r="A246" s="76"/>
      <c r="B246" s="77"/>
      <c r="C246" s="77"/>
      <c r="D246" s="77"/>
      <c r="E246" s="77"/>
      <c r="F246" s="77"/>
    </row>
    <row r="247" spans="1:6">
      <c r="A247" s="76"/>
      <c r="B247" s="77"/>
      <c r="C247" s="77"/>
      <c r="D247" s="77"/>
      <c r="E247" s="77"/>
      <c r="F247" s="77"/>
    </row>
    <row r="248" spans="1:6">
      <c r="A248" s="76"/>
      <c r="B248" s="77"/>
      <c r="C248" s="77"/>
      <c r="D248" s="77"/>
      <c r="E248" s="77"/>
      <c r="F248" s="77"/>
    </row>
    <row r="249" spans="1:6">
      <c r="A249" s="76"/>
      <c r="B249" s="77"/>
      <c r="C249" s="77"/>
      <c r="D249" s="77"/>
      <c r="E249" s="77"/>
      <c r="F249" s="77"/>
    </row>
    <row r="250" spans="1:6">
      <c r="A250" s="76"/>
      <c r="B250" s="77"/>
      <c r="C250" s="77"/>
      <c r="D250" s="77"/>
      <c r="E250" s="77"/>
      <c r="F250" s="77"/>
    </row>
    <row r="251" spans="1:6">
      <c r="A251" s="76"/>
      <c r="B251" s="77"/>
      <c r="C251" s="77"/>
      <c r="D251" s="77"/>
      <c r="E251" s="77"/>
      <c r="F251" s="77"/>
    </row>
    <row r="252" spans="1:6">
      <c r="A252" s="76"/>
      <c r="B252" s="77"/>
      <c r="C252" s="77"/>
      <c r="D252" s="77"/>
      <c r="E252" s="77"/>
      <c r="F252" s="77"/>
    </row>
    <row r="253" spans="1:6">
      <c r="A253" s="76"/>
      <c r="B253" s="77"/>
      <c r="C253" s="77"/>
      <c r="D253" s="77"/>
      <c r="E253" s="77"/>
      <c r="F253" s="77"/>
    </row>
    <row r="254" spans="1:6">
      <c r="A254" s="76"/>
      <c r="B254" s="77"/>
      <c r="C254" s="77"/>
      <c r="D254" s="77"/>
      <c r="E254" s="77"/>
      <c r="F254" s="77"/>
    </row>
    <row r="255" spans="1:6">
      <c r="A255" s="76"/>
      <c r="B255" s="77"/>
      <c r="C255" s="77"/>
      <c r="D255" s="77"/>
      <c r="E255" s="77"/>
      <c r="F255" s="77"/>
    </row>
    <row r="256" spans="1:6">
      <c r="A256" s="76"/>
      <c r="B256" s="77"/>
      <c r="C256" s="77"/>
      <c r="D256" s="77"/>
      <c r="E256" s="77"/>
      <c r="F256" s="77"/>
    </row>
    <row r="257" spans="1:6">
      <c r="A257" s="76"/>
      <c r="B257" s="77"/>
      <c r="C257" s="77"/>
      <c r="D257" s="77"/>
      <c r="E257" s="77"/>
      <c r="F257" s="77"/>
    </row>
    <row r="258" spans="1:6">
      <c r="A258" s="76"/>
      <c r="B258" s="77"/>
      <c r="C258" s="77"/>
      <c r="D258" s="77"/>
      <c r="E258" s="77"/>
      <c r="F258" s="77"/>
    </row>
    <row r="259" spans="1:6">
      <c r="A259" s="76"/>
      <c r="B259" s="77"/>
      <c r="C259" s="77"/>
      <c r="D259" s="77"/>
      <c r="E259" s="77"/>
      <c r="F259" s="77"/>
    </row>
    <row r="260" spans="1:6">
      <c r="A260" s="76"/>
      <c r="B260" s="77"/>
      <c r="C260" s="77"/>
      <c r="D260" s="77"/>
      <c r="E260" s="77"/>
      <c r="F260" s="77"/>
    </row>
    <row r="261" spans="1:6">
      <c r="A261" s="76"/>
      <c r="B261" s="77"/>
      <c r="C261" s="77"/>
      <c r="D261" s="77"/>
      <c r="E261" s="77"/>
      <c r="F261" s="77"/>
    </row>
    <row r="262" spans="1:6">
      <c r="A262" s="76"/>
      <c r="B262" s="77"/>
      <c r="C262" s="77"/>
      <c r="D262" s="77"/>
      <c r="E262" s="77"/>
      <c r="F262" s="77"/>
    </row>
    <row r="263" spans="1:6">
      <c r="A263" s="76"/>
      <c r="B263" s="77"/>
      <c r="C263" s="77"/>
      <c r="D263" s="77"/>
      <c r="E263" s="77"/>
      <c r="F263" s="77"/>
    </row>
    <row r="264" spans="1:6">
      <c r="A264" s="76"/>
      <c r="B264" s="77"/>
      <c r="C264" s="77"/>
      <c r="D264" s="77"/>
      <c r="E264" s="77"/>
      <c r="F264" s="77"/>
    </row>
    <row r="265" spans="1:6">
      <c r="A265" s="76"/>
      <c r="B265" s="77"/>
      <c r="C265" s="77"/>
      <c r="D265" s="77"/>
      <c r="E265" s="77"/>
      <c r="F265" s="77"/>
    </row>
    <row r="266" spans="1:6">
      <c r="A266" s="76"/>
      <c r="B266" s="77"/>
      <c r="C266" s="77"/>
      <c r="D266" s="77"/>
      <c r="E266" s="77"/>
      <c r="F266" s="77"/>
    </row>
    <row r="267" spans="1:6">
      <c r="A267" s="76"/>
      <c r="B267" s="77"/>
      <c r="C267" s="77"/>
      <c r="D267" s="77"/>
      <c r="E267" s="77"/>
      <c r="F267" s="77"/>
    </row>
    <row r="268" spans="1:6">
      <c r="A268" s="76"/>
      <c r="B268" s="77"/>
      <c r="C268" s="77"/>
      <c r="D268" s="77"/>
      <c r="E268" s="77"/>
      <c r="F268" s="77"/>
    </row>
    <row r="269" spans="1:6">
      <c r="A269" s="76"/>
      <c r="B269" s="77"/>
      <c r="C269" s="77"/>
      <c r="D269" s="77"/>
      <c r="E269" s="77"/>
      <c r="F269" s="77"/>
    </row>
    <row r="270" spans="1:6">
      <c r="A270" s="76"/>
      <c r="B270" s="77"/>
      <c r="C270" s="77"/>
      <c r="D270" s="77"/>
      <c r="E270" s="77"/>
      <c r="F270" s="77"/>
    </row>
    <row r="271" spans="1:6">
      <c r="A271" s="76"/>
      <c r="B271" s="77"/>
      <c r="C271" s="77"/>
      <c r="D271" s="77"/>
      <c r="E271" s="77"/>
      <c r="F271" s="77"/>
    </row>
    <row r="272" spans="1:6">
      <c r="A272" s="76"/>
      <c r="B272" s="77"/>
      <c r="C272" s="77"/>
      <c r="D272" s="77"/>
      <c r="E272" s="77"/>
      <c r="F272" s="77"/>
    </row>
    <row r="273" spans="1:6">
      <c r="A273" s="76"/>
      <c r="B273" s="77"/>
      <c r="C273" s="77"/>
      <c r="D273" s="77"/>
      <c r="E273" s="77"/>
      <c r="F273" s="77"/>
    </row>
    <row r="274" spans="1:6">
      <c r="A274" s="76"/>
      <c r="B274" s="77"/>
      <c r="C274" s="77"/>
      <c r="D274" s="77"/>
      <c r="E274" s="77"/>
      <c r="F274" s="77"/>
    </row>
    <row r="275" spans="1:6">
      <c r="A275" s="76"/>
      <c r="B275" s="77"/>
      <c r="C275" s="77"/>
      <c r="D275" s="77"/>
      <c r="E275" s="77"/>
      <c r="F275" s="77"/>
    </row>
    <row r="276" spans="1:6">
      <c r="A276" s="76"/>
      <c r="B276" s="77"/>
      <c r="C276" s="77"/>
      <c r="D276" s="77"/>
      <c r="E276" s="77"/>
      <c r="F276" s="77"/>
    </row>
    <row r="277" spans="1:6">
      <c r="A277" s="76"/>
      <c r="B277" s="77"/>
      <c r="C277" s="77"/>
      <c r="D277" s="77"/>
      <c r="E277" s="77"/>
      <c r="F277" s="77"/>
    </row>
    <row r="278" spans="1:6">
      <c r="A278" s="76"/>
      <c r="B278" s="77"/>
      <c r="C278" s="77"/>
      <c r="D278" s="77"/>
      <c r="E278" s="77"/>
      <c r="F278" s="77"/>
    </row>
    <row r="279" spans="1:6">
      <c r="A279" s="76"/>
      <c r="B279" s="77"/>
      <c r="C279" s="77"/>
      <c r="D279" s="77"/>
      <c r="E279" s="77"/>
      <c r="F279" s="77"/>
    </row>
    <row r="280" spans="1:6">
      <c r="A280" s="76"/>
      <c r="B280" s="77"/>
      <c r="C280" s="77"/>
      <c r="D280" s="77"/>
      <c r="E280" s="77"/>
      <c r="F280" s="77"/>
    </row>
    <row r="281" spans="1:6">
      <c r="A281" s="76"/>
      <c r="B281" s="77"/>
      <c r="C281" s="77"/>
      <c r="D281" s="77"/>
      <c r="E281" s="77"/>
      <c r="F281" s="77"/>
    </row>
    <row r="282" spans="1:6">
      <c r="A282" s="76"/>
      <c r="B282" s="77"/>
      <c r="C282" s="77"/>
      <c r="D282" s="77"/>
      <c r="E282" s="77"/>
      <c r="F282" s="77"/>
    </row>
    <row r="283" spans="1:6">
      <c r="A283" s="76"/>
      <c r="B283" s="77"/>
      <c r="C283" s="77"/>
      <c r="D283" s="77"/>
      <c r="E283" s="77"/>
      <c r="F283" s="77"/>
    </row>
    <row r="284" spans="1:6">
      <c r="A284" s="76"/>
      <c r="B284" s="77"/>
      <c r="C284" s="77"/>
      <c r="D284" s="77"/>
      <c r="E284" s="77"/>
      <c r="F284" s="77"/>
    </row>
    <row r="285" spans="1:6">
      <c r="A285" s="76"/>
      <c r="B285" s="77"/>
      <c r="C285" s="77"/>
      <c r="D285" s="77"/>
      <c r="E285" s="77"/>
      <c r="F285" s="77"/>
    </row>
    <row r="286" spans="1:6">
      <c r="A286" s="76"/>
      <c r="B286" s="77"/>
      <c r="C286" s="77"/>
      <c r="D286" s="77"/>
      <c r="E286" s="77"/>
      <c r="F286" s="77"/>
    </row>
    <row r="287" spans="1:6">
      <c r="A287" s="76"/>
      <c r="B287" s="77"/>
      <c r="C287" s="77"/>
      <c r="D287" s="77"/>
      <c r="E287" s="77"/>
      <c r="F287" s="77"/>
    </row>
    <row r="288" spans="1:6">
      <c r="A288" s="76"/>
      <c r="B288" s="77"/>
      <c r="C288" s="77"/>
      <c r="D288" s="77"/>
      <c r="E288" s="77"/>
      <c r="F288" s="77"/>
    </row>
    <row r="289" spans="1:6">
      <c r="A289" s="76"/>
      <c r="B289" s="77"/>
      <c r="C289" s="77"/>
      <c r="D289" s="77"/>
      <c r="E289" s="77"/>
      <c r="F289" s="77"/>
    </row>
    <row r="290" spans="1:6">
      <c r="A290" s="76"/>
      <c r="B290" s="77"/>
      <c r="C290" s="77"/>
      <c r="D290" s="77"/>
      <c r="E290" s="77"/>
      <c r="F290" s="77"/>
    </row>
    <row r="291" spans="1:6">
      <c r="A291" s="76"/>
      <c r="B291" s="77"/>
      <c r="C291" s="77"/>
      <c r="D291" s="77"/>
      <c r="E291" s="77"/>
      <c r="F291" s="77"/>
    </row>
    <row r="292" spans="1:6">
      <c r="A292" s="76"/>
      <c r="B292" s="77"/>
      <c r="C292" s="77"/>
      <c r="D292" s="77"/>
      <c r="E292" s="77"/>
      <c r="F292" s="77"/>
    </row>
    <row r="293" spans="1:6">
      <c r="A293" s="76"/>
      <c r="B293" s="77"/>
      <c r="C293" s="77"/>
      <c r="D293" s="77"/>
      <c r="E293" s="77"/>
      <c r="F293" s="77"/>
    </row>
    <row r="294" spans="1:6">
      <c r="A294" s="76"/>
      <c r="B294" s="77"/>
      <c r="C294" s="77"/>
      <c r="D294" s="77"/>
      <c r="E294" s="77"/>
      <c r="F294" s="77"/>
    </row>
    <row r="295" spans="1:6">
      <c r="A295" s="76"/>
      <c r="B295" s="77"/>
      <c r="C295" s="77"/>
      <c r="D295" s="77"/>
      <c r="E295" s="77"/>
      <c r="F295" s="77"/>
    </row>
    <row r="296" spans="1:6">
      <c r="A296" s="76"/>
      <c r="B296" s="77"/>
      <c r="C296" s="77"/>
      <c r="D296" s="77"/>
      <c r="E296" s="77"/>
      <c r="F296" s="77"/>
    </row>
    <row r="297" spans="1:6">
      <c r="A297" s="76"/>
      <c r="B297" s="77"/>
      <c r="C297" s="77"/>
      <c r="D297" s="77"/>
      <c r="E297" s="77"/>
      <c r="F297" s="77"/>
    </row>
    <row r="298" spans="1:6">
      <c r="A298" s="76"/>
      <c r="B298" s="77"/>
      <c r="C298" s="77"/>
      <c r="D298" s="77"/>
      <c r="E298" s="77"/>
      <c r="F298" s="77"/>
    </row>
    <row r="299" spans="1:6">
      <c r="A299" s="76"/>
      <c r="B299" s="77"/>
      <c r="C299" s="77"/>
      <c r="D299" s="77"/>
      <c r="E299" s="77"/>
      <c r="F299" s="77"/>
    </row>
    <row r="300" spans="1:6">
      <c r="A300" s="76"/>
      <c r="B300" s="77"/>
      <c r="C300" s="77"/>
      <c r="D300" s="77"/>
      <c r="E300" s="77"/>
      <c r="F300" s="77"/>
    </row>
    <row r="301" spans="1:6">
      <c r="A301" s="76"/>
      <c r="B301" s="77"/>
      <c r="C301" s="77"/>
      <c r="D301" s="77"/>
      <c r="E301" s="77"/>
      <c r="F301" s="77"/>
    </row>
    <row r="302" spans="1:6">
      <c r="A302" s="76"/>
      <c r="B302" s="77"/>
      <c r="C302" s="77"/>
      <c r="D302" s="77"/>
      <c r="E302" s="77"/>
      <c r="F302" s="77"/>
    </row>
    <row r="303" spans="1:6">
      <c r="A303" s="76"/>
      <c r="B303" s="77"/>
      <c r="C303" s="77"/>
      <c r="D303" s="77"/>
      <c r="E303" s="77"/>
      <c r="F303" s="77"/>
    </row>
    <row r="304" spans="1:6">
      <c r="A304" s="76"/>
      <c r="B304" s="77"/>
      <c r="C304" s="77"/>
      <c r="D304" s="77"/>
      <c r="E304" s="77"/>
      <c r="F304" s="77"/>
    </row>
    <row r="305" spans="1:6">
      <c r="A305" s="76"/>
      <c r="B305" s="77"/>
      <c r="C305" s="77"/>
      <c r="D305" s="77"/>
      <c r="E305" s="77"/>
      <c r="F305" s="77"/>
    </row>
    <row r="306" spans="1:6">
      <c r="A306" s="76"/>
      <c r="B306" s="77"/>
      <c r="C306" s="77"/>
      <c r="D306" s="77"/>
      <c r="E306" s="77"/>
      <c r="F306" s="77"/>
    </row>
    <row r="307" spans="1:6">
      <c r="A307" s="76"/>
      <c r="B307" s="77"/>
      <c r="C307" s="77"/>
      <c r="D307" s="77"/>
      <c r="E307" s="77"/>
      <c r="F307" s="77"/>
    </row>
    <row r="308" spans="1:6">
      <c r="A308" s="76"/>
      <c r="B308" s="77"/>
      <c r="C308" s="77"/>
      <c r="D308" s="77"/>
      <c r="E308" s="77"/>
      <c r="F308" s="77"/>
    </row>
    <row r="309" spans="1:6">
      <c r="A309" s="76"/>
      <c r="B309" s="77"/>
      <c r="C309" s="77"/>
      <c r="D309" s="77"/>
      <c r="E309" s="77"/>
      <c r="F309" s="77"/>
    </row>
    <row r="310" spans="1:6">
      <c r="A310" s="76"/>
      <c r="B310" s="77"/>
      <c r="C310" s="77"/>
      <c r="D310" s="77"/>
      <c r="E310" s="77"/>
      <c r="F310" s="77"/>
    </row>
    <row r="311" spans="1:6">
      <c r="A311" s="76"/>
      <c r="B311" s="77"/>
      <c r="C311" s="77"/>
      <c r="D311" s="77"/>
      <c r="E311" s="77"/>
      <c r="F311" s="77"/>
    </row>
    <row r="312" spans="1:6">
      <c r="A312" s="76"/>
      <c r="B312" s="77"/>
      <c r="C312" s="77"/>
      <c r="D312" s="77"/>
      <c r="E312" s="77"/>
      <c r="F312" s="77"/>
    </row>
    <row r="313" spans="1:6">
      <c r="A313" s="76"/>
      <c r="B313" s="77"/>
      <c r="C313" s="77"/>
      <c r="D313" s="77"/>
      <c r="E313" s="77"/>
      <c r="F313" s="77"/>
    </row>
    <row r="314" spans="1:6">
      <c r="A314" s="76"/>
      <c r="B314" s="77"/>
      <c r="C314" s="77"/>
      <c r="D314" s="77"/>
      <c r="E314" s="77"/>
      <c r="F314" s="77"/>
    </row>
    <row r="315" spans="1:6">
      <c r="A315" s="76"/>
      <c r="B315" s="77"/>
      <c r="C315" s="77"/>
      <c r="D315" s="77"/>
      <c r="E315" s="77"/>
      <c r="F315" s="77"/>
    </row>
    <row r="316" spans="1:6">
      <c r="A316" s="76"/>
      <c r="B316" s="77"/>
      <c r="C316" s="77"/>
      <c r="D316" s="77"/>
      <c r="E316" s="77"/>
      <c r="F316" s="77"/>
    </row>
    <row r="317" spans="1:6">
      <c r="A317" s="76"/>
      <c r="B317" s="77"/>
      <c r="C317" s="77"/>
      <c r="D317" s="77"/>
      <c r="E317" s="77"/>
      <c r="F317" s="77"/>
    </row>
    <row r="318" spans="1:6">
      <c r="A318" s="76"/>
      <c r="B318" s="77"/>
      <c r="C318" s="77"/>
      <c r="D318" s="77"/>
      <c r="E318" s="77"/>
      <c r="F318" s="77"/>
    </row>
    <row r="319" spans="1:6">
      <c r="A319" s="76"/>
      <c r="B319" s="77"/>
      <c r="C319" s="77"/>
      <c r="D319" s="77"/>
      <c r="E319" s="77"/>
      <c r="F319" s="77"/>
    </row>
    <row r="320" spans="1:6">
      <c r="A320" s="76"/>
      <c r="B320" s="77"/>
      <c r="C320" s="77"/>
      <c r="D320" s="77"/>
      <c r="E320" s="77"/>
      <c r="F320" s="77"/>
    </row>
    <row r="321" spans="1:6">
      <c r="A321" s="76"/>
      <c r="B321" s="77"/>
      <c r="C321" s="77"/>
      <c r="D321" s="77"/>
      <c r="E321" s="77"/>
      <c r="F321" s="77"/>
    </row>
    <row r="322" spans="1:6">
      <c r="A322" s="76"/>
      <c r="B322" s="77"/>
      <c r="C322" s="77"/>
      <c r="D322" s="77"/>
      <c r="E322" s="77"/>
      <c r="F322" s="77"/>
    </row>
    <row r="323" spans="1:6">
      <c r="A323" s="76"/>
      <c r="B323" s="77"/>
      <c r="C323" s="77"/>
      <c r="D323" s="77"/>
      <c r="E323" s="77"/>
      <c r="F323" s="77"/>
    </row>
    <row r="324" spans="1:6">
      <c r="A324" s="76"/>
      <c r="B324" s="77"/>
      <c r="C324" s="77"/>
      <c r="D324" s="77"/>
      <c r="E324" s="77"/>
      <c r="F324" s="77"/>
    </row>
    <row r="325" spans="1:6">
      <c r="A325" s="76"/>
      <c r="B325" s="77"/>
      <c r="C325" s="77"/>
      <c r="D325" s="77"/>
      <c r="E325" s="77"/>
      <c r="F325" s="77"/>
    </row>
    <row r="326" spans="1:6">
      <c r="A326" s="76"/>
      <c r="B326" s="77"/>
      <c r="C326" s="77"/>
      <c r="D326" s="77"/>
      <c r="E326" s="77"/>
      <c r="F326" s="77"/>
    </row>
    <row r="327" spans="1:6">
      <c r="A327" s="76"/>
      <c r="B327" s="77"/>
      <c r="C327" s="77"/>
      <c r="D327" s="77"/>
      <c r="E327" s="77"/>
      <c r="F327" s="77"/>
    </row>
    <row r="328" spans="1:6">
      <c r="A328" s="76"/>
      <c r="B328" s="77"/>
      <c r="C328" s="77"/>
      <c r="D328" s="77"/>
      <c r="E328" s="77"/>
      <c r="F328" s="77"/>
    </row>
    <row r="329" spans="1:6">
      <c r="A329" s="76"/>
      <c r="B329" s="77"/>
      <c r="C329" s="77"/>
      <c r="D329" s="77"/>
      <c r="E329" s="77"/>
      <c r="F329" s="77"/>
    </row>
    <row r="330" spans="1:6">
      <c r="A330" s="76"/>
      <c r="B330" s="77"/>
      <c r="C330" s="77"/>
      <c r="D330" s="77"/>
      <c r="E330" s="77"/>
      <c r="F330" s="77"/>
    </row>
    <row r="331" spans="1:6">
      <c r="A331" s="76"/>
      <c r="B331" s="77"/>
      <c r="C331" s="77"/>
      <c r="D331" s="77"/>
      <c r="E331" s="77"/>
      <c r="F331" s="77"/>
    </row>
    <row r="332" spans="1:6">
      <c r="A332" s="76"/>
      <c r="B332" s="77"/>
      <c r="C332" s="77"/>
      <c r="D332" s="77"/>
      <c r="E332" s="77"/>
      <c r="F332" s="77"/>
    </row>
    <row r="333" spans="1:6">
      <c r="A333" s="76"/>
      <c r="B333" s="77"/>
      <c r="C333" s="77"/>
      <c r="D333" s="77"/>
      <c r="E333" s="77"/>
      <c r="F333" s="77"/>
    </row>
    <row r="334" spans="1:6">
      <c r="A334" s="76"/>
      <c r="B334" s="77"/>
      <c r="C334" s="77"/>
      <c r="D334" s="77"/>
      <c r="E334" s="77"/>
      <c r="F334" s="77"/>
    </row>
    <row r="335" spans="1:6">
      <c r="A335" s="76"/>
      <c r="B335" s="77"/>
      <c r="C335" s="77"/>
      <c r="D335" s="77"/>
      <c r="E335" s="77"/>
      <c r="F335" s="77"/>
    </row>
    <row r="336" spans="1:6">
      <c r="A336" s="76"/>
      <c r="B336" s="77"/>
      <c r="C336" s="77"/>
      <c r="D336" s="77"/>
      <c r="E336" s="77"/>
      <c r="F336" s="77"/>
    </row>
    <row r="337" spans="1:6">
      <c r="A337" s="76"/>
      <c r="B337" s="77"/>
      <c r="C337" s="77"/>
      <c r="D337" s="77"/>
      <c r="E337" s="77"/>
      <c r="F337" s="77"/>
    </row>
    <row r="338" spans="1:6">
      <c r="A338" s="76"/>
      <c r="B338" s="77"/>
      <c r="C338" s="77"/>
      <c r="D338" s="77"/>
      <c r="E338" s="77"/>
      <c r="F338" s="77"/>
    </row>
    <row r="339" spans="1:6">
      <c r="A339" s="76"/>
      <c r="B339" s="77"/>
      <c r="C339" s="77"/>
      <c r="D339" s="77"/>
      <c r="E339" s="77"/>
      <c r="F339" s="77"/>
    </row>
    <row r="340" spans="1:6">
      <c r="A340" s="76"/>
      <c r="B340" s="77"/>
      <c r="C340" s="77"/>
      <c r="D340" s="77"/>
      <c r="E340" s="77"/>
      <c r="F340" s="77"/>
    </row>
    <row r="341" spans="1:6">
      <c r="A341" s="76"/>
      <c r="B341" s="77"/>
      <c r="C341" s="77"/>
      <c r="D341" s="77"/>
      <c r="E341" s="77"/>
      <c r="F341" s="77"/>
    </row>
    <row r="342" spans="1:6">
      <c r="A342" s="76"/>
      <c r="B342" s="77"/>
      <c r="C342" s="77"/>
      <c r="D342" s="77"/>
      <c r="E342" s="77"/>
      <c r="F342" s="77"/>
    </row>
    <row r="343" spans="1:6">
      <c r="A343" s="76"/>
      <c r="B343" s="77"/>
      <c r="C343" s="77"/>
      <c r="D343" s="77"/>
      <c r="E343" s="77"/>
      <c r="F343" s="77"/>
    </row>
    <row r="344" spans="1:6">
      <c r="A344" s="76"/>
      <c r="B344" s="77"/>
      <c r="C344" s="77"/>
      <c r="D344" s="77"/>
      <c r="E344" s="77"/>
      <c r="F344" s="77"/>
    </row>
    <row r="345" spans="1:6">
      <c r="A345" s="76"/>
      <c r="B345" s="77"/>
      <c r="C345" s="77"/>
      <c r="D345" s="77"/>
      <c r="E345" s="77"/>
      <c r="F345" s="77"/>
    </row>
    <row r="346" spans="1:6">
      <c r="A346" s="76"/>
      <c r="B346" s="77"/>
      <c r="C346" s="77"/>
      <c r="D346" s="77"/>
      <c r="E346" s="77"/>
      <c r="F346" s="77"/>
    </row>
    <row r="347" spans="1:6">
      <c r="A347" s="76"/>
      <c r="B347" s="77"/>
      <c r="C347" s="77"/>
      <c r="D347" s="77"/>
      <c r="E347" s="77"/>
      <c r="F347" s="77"/>
    </row>
    <row r="348" spans="1:6">
      <c r="A348" s="76"/>
      <c r="B348" s="77"/>
      <c r="C348" s="77"/>
      <c r="D348" s="77"/>
      <c r="E348" s="77"/>
      <c r="F348" s="77"/>
    </row>
    <row r="349" spans="1:6">
      <c r="A349" s="76"/>
      <c r="B349" s="77"/>
      <c r="C349" s="77"/>
      <c r="D349" s="77"/>
      <c r="E349" s="77"/>
      <c r="F349" s="77"/>
    </row>
    <row r="350" spans="1:6">
      <c r="A350" s="76"/>
      <c r="B350" s="77"/>
      <c r="C350" s="77"/>
      <c r="D350" s="77"/>
      <c r="E350" s="77"/>
      <c r="F350" s="77"/>
    </row>
    <row r="351" spans="1:6">
      <c r="A351" s="76"/>
      <c r="B351" s="77"/>
      <c r="C351" s="77"/>
      <c r="D351" s="77"/>
      <c r="E351" s="77"/>
      <c r="F351" s="77"/>
    </row>
    <row r="352" spans="1:6">
      <c r="A352" s="76"/>
      <c r="B352" s="77"/>
      <c r="C352" s="77"/>
      <c r="D352" s="77"/>
      <c r="E352" s="77"/>
      <c r="F352" s="77"/>
    </row>
    <row r="353" spans="1:6">
      <c r="A353" s="76"/>
      <c r="B353" s="77"/>
      <c r="C353" s="77"/>
      <c r="D353" s="77"/>
      <c r="E353" s="77"/>
      <c r="F353" s="77"/>
    </row>
    <row r="354" spans="1:6">
      <c r="A354" s="76"/>
      <c r="B354" s="77"/>
      <c r="C354" s="77"/>
      <c r="D354" s="77"/>
      <c r="E354" s="77"/>
      <c r="F354" s="77"/>
    </row>
    <row r="355" spans="1:6">
      <c r="A355" s="76"/>
      <c r="B355" s="77"/>
      <c r="C355" s="77"/>
      <c r="D355" s="77"/>
      <c r="E355" s="77"/>
      <c r="F355" s="77"/>
    </row>
    <row r="356" spans="1:6">
      <c r="A356" s="76"/>
      <c r="B356" s="77"/>
      <c r="C356" s="77"/>
      <c r="D356" s="77"/>
      <c r="E356" s="77"/>
      <c r="F356" s="77"/>
    </row>
    <row r="357" spans="1:6">
      <c r="A357" s="76"/>
      <c r="B357" s="77"/>
      <c r="C357" s="77"/>
      <c r="D357" s="77"/>
      <c r="E357" s="77"/>
      <c r="F357" s="77"/>
    </row>
    <row r="358" spans="1:6">
      <c r="A358" s="76"/>
      <c r="B358" s="77"/>
      <c r="C358" s="77"/>
      <c r="D358" s="77"/>
      <c r="E358" s="77"/>
      <c r="F358" s="77"/>
    </row>
    <row r="359" spans="1:6">
      <c r="A359" s="76"/>
      <c r="B359" s="77"/>
      <c r="C359" s="77"/>
      <c r="D359" s="77"/>
      <c r="E359" s="77"/>
      <c r="F359" s="77"/>
    </row>
    <row r="360" spans="1:6">
      <c r="A360" s="76"/>
      <c r="B360" s="77"/>
      <c r="C360" s="77"/>
      <c r="D360" s="77"/>
      <c r="E360" s="77"/>
      <c r="F360" s="77"/>
    </row>
    <row r="361" spans="1:6">
      <c r="A361" s="76"/>
      <c r="B361" s="77"/>
      <c r="C361" s="77"/>
      <c r="D361" s="77"/>
      <c r="E361" s="77"/>
      <c r="F361" s="77"/>
    </row>
    <row r="362" spans="1:6">
      <c r="A362" s="76"/>
      <c r="B362" s="77"/>
      <c r="C362" s="77"/>
      <c r="D362" s="77"/>
      <c r="E362" s="77"/>
      <c r="F362" s="77"/>
    </row>
    <row r="363" spans="1:6">
      <c r="A363" s="76"/>
      <c r="B363" s="77"/>
      <c r="C363" s="77"/>
      <c r="D363" s="77"/>
      <c r="E363" s="77"/>
      <c r="F363" s="77"/>
    </row>
    <row r="364" spans="1:6">
      <c r="A364" s="76"/>
      <c r="B364" s="77"/>
      <c r="C364" s="77"/>
      <c r="D364" s="77"/>
      <c r="E364" s="77"/>
      <c r="F364" s="77"/>
    </row>
    <row r="365" spans="1:6">
      <c r="A365" s="76"/>
      <c r="B365" s="77"/>
      <c r="C365" s="77"/>
      <c r="D365" s="77"/>
      <c r="E365" s="77"/>
      <c r="F365" s="77"/>
    </row>
    <row r="366" spans="1:6">
      <c r="A366" s="76"/>
      <c r="B366" s="77"/>
      <c r="C366" s="77"/>
      <c r="D366" s="77"/>
      <c r="E366" s="77"/>
      <c r="F366" s="77"/>
    </row>
    <row r="367" spans="1:6">
      <c r="A367" s="76"/>
      <c r="B367" s="77"/>
      <c r="C367" s="77"/>
      <c r="D367" s="77"/>
      <c r="E367" s="77"/>
      <c r="F367" s="77"/>
    </row>
    <row r="368" spans="1:6">
      <c r="A368" s="76"/>
      <c r="B368" s="77"/>
      <c r="C368" s="77"/>
      <c r="D368" s="77"/>
      <c r="E368" s="77"/>
      <c r="F368" s="77"/>
    </row>
    <row r="369" spans="1:6">
      <c r="A369" s="76"/>
      <c r="B369" s="77"/>
      <c r="C369" s="77"/>
      <c r="D369" s="77"/>
      <c r="E369" s="77"/>
      <c r="F369" s="77"/>
    </row>
    <row r="370" spans="1:6">
      <c r="A370" s="76"/>
      <c r="B370" s="77"/>
      <c r="C370" s="77"/>
      <c r="D370" s="77"/>
      <c r="E370" s="77"/>
      <c r="F370" s="77"/>
    </row>
    <row r="371" spans="1:6">
      <c r="A371" s="76"/>
      <c r="B371" s="77"/>
      <c r="C371" s="77"/>
      <c r="D371" s="77"/>
      <c r="E371" s="77"/>
      <c r="F371" s="77"/>
    </row>
    <row r="372" spans="1:6">
      <c r="A372" s="76"/>
      <c r="B372" s="77"/>
      <c r="C372" s="77"/>
      <c r="D372" s="77"/>
      <c r="E372" s="77"/>
      <c r="F372" s="77"/>
    </row>
    <row r="373" spans="1:6">
      <c r="A373" s="76"/>
      <c r="B373" s="77"/>
      <c r="C373" s="77"/>
      <c r="D373" s="77"/>
      <c r="E373" s="77"/>
      <c r="F373" s="77"/>
    </row>
    <row r="374" spans="1:6">
      <c r="A374" s="76"/>
      <c r="B374" s="77"/>
      <c r="C374" s="77"/>
      <c r="D374" s="77"/>
      <c r="E374" s="77"/>
      <c r="F374" s="77"/>
    </row>
    <row r="375" spans="1:6">
      <c r="A375" s="76"/>
      <c r="B375" s="77"/>
      <c r="C375" s="77"/>
      <c r="D375" s="77"/>
      <c r="E375" s="77"/>
      <c r="F375" s="77"/>
    </row>
    <row r="376" spans="1:6">
      <c r="A376" s="76"/>
      <c r="B376" s="77"/>
      <c r="C376" s="77"/>
      <c r="D376" s="77"/>
      <c r="E376" s="77"/>
      <c r="F376" s="77"/>
    </row>
    <row r="377" spans="1:6">
      <c r="A377" s="76"/>
      <c r="B377" s="77"/>
      <c r="C377" s="77"/>
      <c r="D377" s="77"/>
      <c r="E377" s="77"/>
      <c r="F377" s="77"/>
    </row>
    <row r="378" spans="1:6">
      <c r="A378" s="76"/>
      <c r="B378" s="77"/>
      <c r="C378" s="77"/>
      <c r="D378" s="77"/>
      <c r="E378" s="77"/>
      <c r="F378" s="77"/>
    </row>
    <row r="379" spans="1:6">
      <c r="A379" s="76"/>
      <c r="B379" s="77"/>
      <c r="C379" s="77"/>
      <c r="D379" s="77"/>
      <c r="E379" s="77"/>
      <c r="F379" s="77"/>
    </row>
    <row r="380" spans="1:6">
      <c r="A380" s="76"/>
      <c r="B380" s="77"/>
      <c r="C380" s="77"/>
      <c r="D380" s="77"/>
      <c r="E380" s="77"/>
      <c r="F380" s="77"/>
    </row>
    <row r="381" spans="1:6">
      <c r="A381" s="76"/>
      <c r="B381" s="77"/>
      <c r="C381" s="77"/>
      <c r="D381" s="77"/>
      <c r="E381" s="77"/>
      <c r="F381" s="77"/>
    </row>
    <row r="382" spans="1:6">
      <c r="A382" s="76"/>
      <c r="B382" s="77"/>
      <c r="C382" s="77"/>
      <c r="D382" s="77"/>
      <c r="E382" s="77"/>
      <c r="F382" s="77"/>
    </row>
    <row r="383" spans="1:6">
      <c r="A383" s="76"/>
      <c r="B383" s="77"/>
      <c r="C383" s="77"/>
      <c r="D383" s="77"/>
      <c r="E383" s="77"/>
      <c r="F383" s="77"/>
    </row>
    <row r="384" spans="1:6">
      <c r="A384" s="76"/>
      <c r="B384" s="77"/>
      <c r="C384" s="77"/>
      <c r="D384" s="77"/>
      <c r="E384" s="77"/>
      <c r="F384" s="77"/>
    </row>
    <row r="385" spans="1:6">
      <c r="A385" s="76"/>
      <c r="B385" s="77"/>
      <c r="C385" s="77"/>
      <c r="D385" s="77"/>
      <c r="E385" s="77"/>
      <c r="F385" s="77"/>
    </row>
    <row r="386" spans="1:6">
      <c r="A386" s="76"/>
      <c r="B386" s="77"/>
      <c r="C386" s="77"/>
      <c r="D386" s="77"/>
      <c r="E386" s="77"/>
      <c r="F386" s="77"/>
    </row>
    <row r="387" spans="1:6">
      <c r="A387" s="76"/>
      <c r="B387" s="77"/>
      <c r="C387" s="77"/>
      <c r="D387" s="77"/>
      <c r="E387" s="77"/>
      <c r="F387" s="77"/>
    </row>
    <row r="388" spans="1:6">
      <c r="A388" s="76"/>
      <c r="B388" s="77"/>
      <c r="C388" s="77"/>
      <c r="D388" s="77"/>
      <c r="E388" s="77"/>
      <c r="F388" s="77"/>
    </row>
    <row r="389" spans="1:6">
      <c r="A389" s="76"/>
      <c r="B389" s="77"/>
      <c r="C389" s="77"/>
      <c r="D389" s="77"/>
      <c r="E389" s="77"/>
      <c r="F389" s="77"/>
    </row>
    <row r="390" spans="1:6">
      <c r="A390" s="76"/>
      <c r="B390" s="77"/>
      <c r="C390" s="77"/>
      <c r="D390" s="77"/>
      <c r="E390" s="77"/>
      <c r="F390" s="77"/>
    </row>
    <row r="391" spans="1:6">
      <c r="A391" s="76"/>
      <c r="B391" s="77"/>
      <c r="C391" s="77"/>
      <c r="D391" s="77"/>
      <c r="E391" s="77"/>
      <c r="F391" s="77"/>
    </row>
    <row r="392" spans="1:6">
      <c r="A392" s="76"/>
      <c r="B392" s="77"/>
      <c r="C392" s="77"/>
      <c r="D392" s="77"/>
      <c r="E392" s="77"/>
      <c r="F392" s="77"/>
    </row>
    <row r="393" spans="1:6">
      <c r="A393" s="76"/>
      <c r="B393" s="77"/>
      <c r="C393" s="77"/>
      <c r="D393" s="77"/>
      <c r="E393" s="77"/>
      <c r="F393" s="77"/>
    </row>
    <row r="394" spans="1:6">
      <c r="A394" s="76"/>
      <c r="B394" s="77"/>
      <c r="C394" s="77"/>
      <c r="D394" s="77"/>
      <c r="E394" s="77"/>
      <c r="F394" s="77"/>
    </row>
    <row r="395" spans="1:6">
      <c r="A395" s="76"/>
      <c r="B395" s="77"/>
      <c r="C395" s="77"/>
      <c r="D395" s="77"/>
      <c r="E395" s="77"/>
      <c r="F395" s="77"/>
    </row>
    <row r="396" spans="1:6">
      <c r="A396" s="76"/>
      <c r="B396" s="77"/>
      <c r="C396" s="77"/>
      <c r="D396" s="77"/>
      <c r="E396" s="77"/>
      <c r="F396" s="77"/>
    </row>
    <row r="397" spans="1:6">
      <c r="A397" s="76"/>
      <c r="B397" s="77"/>
      <c r="C397" s="77"/>
      <c r="D397" s="77"/>
      <c r="E397" s="77"/>
      <c r="F397" s="77"/>
    </row>
    <row r="398" spans="1:6">
      <c r="A398" s="76"/>
      <c r="B398" s="77"/>
      <c r="C398" s="77"/>
      <c r="D398" s="77"/>
      <c r="E398" s="77"/>
      <c r="F398" s="77"/>
    </row>
    <row r="399" spans="1:6">
      <c r="A399" s="76"/>
      <c r="B399" s="77"/>
      <c r="C399" s="77"/>
      <c r="D399" s="77"/>
      <c r="E399" s="77"/>
      <c r="F399" s="77"/>
    </row>
    <row r="400" spans="1:6">
      <c r="A400" s="76"/>
      <c r="B400" s="77"/>
      <c r="C400" s="77"/>
      <c r="D400" s="77"/>
      <c r="E400" s="77"/>
      <c r="F400" s="77"/>
    </row>
    <row r="401" spans="1:6">
      <c r="A401" s="76"/>
      <c r="B401" s="77"/>
      <c r="C401" s="77"/>
      <c r="D401" s="77"/>
      <c r="E401" s="77"/>
      <c r="F401" s="77"/>
    </row>
    <row r="402" spans="1:6">
      <c r="A402" s="76"/>
      <c r="B402" s="77"/>
      <c r="C402" s="77"/>
      <c r="D402" s="77"/>
      <c r="E402" s="77"/>
      <c r="F402" s="77"/>
    </row>
    <row r="403" spans="1:6">
      <c r="A403" s="76"/>
      <c r="B403" s="77"/>
      <c r="C403" s="77"/>
      <c r="D403" s="77"/>
      <c r="E403" s="77"/>
      <c r="F403" s="77"/>
    </row>
    <row r="404" spans="1:6">
      <c r="A404" s="76"/>
      <c r="B404" s="77"/>
      <c r="C404" s="77"/>
      <c r="D404" s="77"/>
      <c r="E404" s="77"/>
      <c r="F404" s="77"/>
    </row>
    <row r="405" spans="1:6">
      <c r="A405" s="76"/>
      <c r="B405" s="77"/>
      <c r="C405" s="77"/>
      <c r="D405" s="77"/>
      <c r="E405" s="77"/>
      <c r="F405" s="77"/>
    </row>
    <row r="406" spans="1:6">
      <c r="A406" s="76"/>
      <c r="B406" s="77"/>
      <c r="C406" s="77"/>
      <c r="D406" s="77"/>
      <c r="E406" s="77"/>
      <c r="F406" s="77"/>
    </row>
    <row r="407" spans="1:6">
      <c r="A407" s="76"/>
      <c r="B407" s="77"/>
      <c r="C407" s="77"/>
      <c r="D407" s="77"/>
      <c r="E407" s="77"/>
      <c r="F407" s="77"/>
    </row>
    <row r="408" spans="1:6">
      <c r="A408" s="76"/>
      <c r="B408" s="77"/>
      <c r="C408" s="77"/>
      <c r="D408" s="77"/>
      <c r="E408" s="77"/>
      <c r="F408" s="77"/>
    </row>
    <row r="409" spans="1:6">
      <c r="A409" s="76"/>
      <c r="B409" s="77"/>
      <c r="C409" s="77"/>
      <c r="D409" s="77"/>
      <c r="E409" s="77"/>
      <c r="F409" s="77"/>
    </row>
    <row r="410" spans="1:6">
      <c r="A410" s="76"/>
      <c r="B410" s="77"/>
      <c r="C410" s="77"/>
      <c r="D410" s="77"/>
      <c r="E410" s="77"/>
      <c r="F410" s="77"/>
    </row>
    <row r="411" spans="1:6">
      <c r="A411" s="76"/>
      <c r="B411" s="77"/>
      <c r="C411" s="77"/>
      <c r="D411" s="77"/>
      <c r="E411" s="77"/>
      <c r="F411" s="77"/>
    </row>
    <row r="412" spans="1:6">
      <c r="A412" s="76"/>
      <c r="B412" s="77"/>
      <c r="C412" s="77"/>
      <c r="D412" s="77"/>
      <c r="E412" s="77"/>
      <c r="F412" s="77"/>
    </row>
    <row r="413" spans="1:6">
      <c r="A413" s="76"/>
      <c r="B413" s="77"/>
      <c r="C413" s="77"/>
      <c r="D413" s="77"/>
      <c r="E413" s="77"/>
      <c r="F413" s="77"/>
    </row>
    <row r="414" spans="1:6">
      <c r="A414" s="76"/>
      <c r="B414" s="77"/>
      <c r="C414" s="77"/>
      <c r="D414" s="77"/>
      <c r="E414" s="77"/>
      <c r="F414" s="77"/>
    </row>
    <row r="415" spans="1:6">
      <c r="A415" s="76"/>
      <c r="B415" s="77"/>
      <c r="C415" s="77"/>
      <c r="D415" s="77"/>
      <c r="E415" s="77"/>
      <c r="F415" s="77"/>
    </row>
    <row r="416" spans="1:6">
      <c r="A416" s="76"/>
      <c r="B416" s="77"/>
      <c r="C416" s="77"/>
      <c r="D416" s="77"/>
      <c r="E416" s="77"/>
      <c r="F416" s="77"/>
    </row>
    <row r="417" spans="1:6">
      <c r="A417" s="76"/>
      <c r="B417" s="77"/>
      <c r="C417" s="77"/>
      <c r="D417" s="77"/>
      <c r="E417" s="77"/>
      <c r="F417" s="77"/>
    </row>
    <row r="418" spans="1:6">
      <c r="A418" s="76"/>
      <c r="B418" s="77"/>
      <c r="C418" s="77"/>
      <c r="D418" s="77"/>
      <c r="E418" s="77"/>
      <c r="F418" s="77"/>
    </row>
    <row r="419" spans="1:6">
      <c r="A419" s="76"/>
      <c r="B419" s="77"/>
      <c r="C419" s="77"/>
      <c r="D419" s="77"/>
      <c r="E419" s="77"/>
      <c r="F419" s="77"/>
    </row>
    <row r="420" spans="1:6">
      <c r="A420" s="76"/>
      <c r="B420" s="77"/>
      <c r="C420" s="77"/>
      <c r="D420" s="77"/>
      <c r="E420" s="77"/>
      <c r="F420" s="77"/>
    </row>
    <row r="421" spans="1:6">
      <c r="A421" s="76"/>
      <c r="B421" s="77"/>
      <c r="C421" s="77"/>
      <c r="D421" s="77"/>
      <c r="E421" s="77"/>
      <c r="F421" s="77"/>
    </row>
    <row r="422" spans="1:6">
      <c r="A422" s="76"/>
      <c r="B422" s="77"/>
      <c r="C422" s="77"/>
      <c r="D422" s="77"/>
      <c r="E422" s="77"/>
      <c r="F422" s="77"/>
    </row>
    <row r="423" spans="1:6">
      <c r="A423" s="76"/>
      <c r="B423" s="77"/>
      <c r="C423" s="77"/>
      <c r="D423" s="77"/>
      <c r="E423" s="77"/>
      <c r="F423" s="77"/>
    </row>
    <row r="424" spans="1:6">
      <c r="A424" s="76"/>
      <c r="B424" s="77"/>
      <c r="C424" s="77"/>
      <c r="D424" s="77"/>
      <c r="E424" s="77"/>
      <c r="F424" s="77"/>
    </row>
    <row r="425" spans="1:6">
      <c r="A425" s="76"/>
      <c r="B425" s="77"/>
      <c r="C425" s="77"/>
      <c r="D425" s="77"/>
      <c r="E425" s="77"/>
      <c r="F425" s="77"/>
    </row>
    <row r="426" spans="1:6">
      <c r="A426" s="76"/>
      <c r="B426" s="77"/>
      <c r="C426" s="77"/>
      <c r="D426" s="77"/>
      <c r="E426" s="77"/>
      <c r="F426" s="77"/>
    </row>
    <row r="427" spans="1:6">
      <c r="A427" s="76"/>
      <c r="B427" s="77"/>
      <c r="C427" s="77"/>
      <c r="D427" s="77"/>
      <c r="E427" s="77"/>
      <c r="F427" s="77"/>
    </row>
    <row r="428" spans="1:6">
      <c r="A428" s="76"/>
      <c r="B428" s="77"/>
      <c r="C428" s="77"/>
      <c r="D428" s="77"/>
      <c r="E428" s="77"/>
      <c r="F428" s="77"/>
    </row>
    <row r="429" spans="1:6">
      <c r="A429" s="76"/>
      <c r="B429" s="77"/>
      <c r="C429" s="77"/>
      <c r="D429" s="77"/>
      <c r="E429" s="77"/>
      <c r="F429" s="77"/>
    </row>
    <row r="430" spans="1:6">
      <c r="A430" s="76"/>
      <c r="B430" s="77"/>
      <c r="C430" s="77"/>
      <c r="D430" s="77"/>
      <c r="E430" s="77"/>
      <c r="F430" s="77"/>
    </row>
    <row r="431" spans="1:6">
      <c r="A431" s="76"/>
      <c r="B431" s="77"/>
      <c r="C431" s="77"/>
      <c r="D431" s="77"/>
      <c r="E431" s="77"/>
      <c r="F431" s="77"/>
    </row>
    <row r="432" spans="1:6">
      <c r="A432" s="76"/>
      <c r="B432" s="77"/>
      <c r="C432" s="77"/>
      <c r="D432" s="77"/>
      <c r="E432" s="77"/>
      <c r="F432" s="77"/>
    </row>
    <row r="433" spans="1:6">
      <c r="A433" s="76"/>
      <c r="B433" s="77"/>
      <c r="C433" s="77"/>
      <c r="D433" s="77"/>
      <c r="E433" s="77"/>
      <c r="F433" s="77"/>
    </row>
    <row r="434" spans="1:6">
      <c r="A434" s="76"/>
      <c r="B434" s="77"/>
      <c r="C434" s="77"/>
      <c r="D434" s="77"/>
      <c r="E434" s="77"/>
      <c r="F434" s="77"/>
    </row>
    <row r="435" spans="1:6">
      <c r="A435" s="76"/>
      <c r="B435" s="77"/>
      <c r="C435" s="77"/>
      <c r="D435" s="77"/>
      <c r="E435" s="77"/>
      <c r="F435" s="77"/>
    </row>
    <row r="436" spans="1:6">
      <c r="A436" s="76"/>
      <c r="B436" s="77"/>
      <c r="C436" s="77"/>
      <c r="D436" s="77"/>
      <c r="E436" s="77"/>
      <c r="F436" s="77"/>
    </row>
    <row r="437" spans="1:6">
      <c r="A437" s="76"/>
      <c r="B437" s="77"/>
      <c r="C437" s="77"/>
      <c r="D437" s="77"/>
      <c r="E437" s="77"/>
      <c r="F437" s="77"/>
    </row>
    <row r="438" spans="1:6">
      <c r="A438" s="76"/>
      <c r="B438" s="77"/>
      <c r="C438" s="77"/>
      <c r="D438" s="77"/>
      <c r="E438" s="77"/>
      <c r="F438" s="77"/>
    </row>
    <row r="439" spans="1:6">
      <c r="A439" s="76"/>
      <c r="B439" s="77"/>
      <c r="C439" s="77"/>
      <c r="D439" s="77"/>
      <c r="E439" s="77"/>
      <c r="F439" s="77"/>
    </row>
    <row r="440" spans="1:6">
      <c r="A440" s="76"/>
      <c r="B440" s="77"/>
      <c r="C440" s="77"/>
      <c r="D440" s="77"/>
      <c r="E440" s="77"/>
      <c r="F440" s="77"/>
    </row>
    <row r="441" spans="1:6">
      <c r="A441" s="76"/>
      <c r="B441" s="77"/>
      <c r="C441" s="77"/>
      <c r="D441" s="77"/>
      <c r="E441" s="77"/>
      <c r="F441" s="77"/>
    </row>
    <row r="442" spans="1:6">
      <c r="A442" s="76"/>
      <c r="B442" s="77"/>
      <c r="C442" s="77"/>
      <c r="D442" s="77"/>
      <c r="E442" s="77"/>
      <c r="F442" s="77"/>
    </row>
    <row r="443" spans="1:6">
      <c r="A443" s="76"/>
      <c r="B443" s="77"/>
      <c r="C443" s="77"/>
      <c r="D443" s="77"/>
      <c r="E443" s="77"/>
      <c r="F443" s="77"/>
    </row>
    <row r="444" spans="1:6">
      <c r="A444" s="76"/>
      <c r="B444" s="77"/>
      <c r="C444" s="77"/>
      <c r="D444" s="77"/>
      <c r="E444" s="77"/>
      <c r="F444" s="77"/>
    </row>
    <row r="445" spans="1:6">
      <c r="A445" s="76"/>
      <c r="B445" s="77"/>
      <c r="C445" s="77"/>
      <c r="D445" s="77"/>
      <c r="E445" s="77"/>
      <c r="F445" s="77"/>
    </row>
    <row r="446" spans="1:6">
      <c r="A446" s="76"/>
      <c r="B446" s="77"/>
      <c r="C446" s="77"/>
      <c r="D446" s="77"/>
      <c r="E446" s="77"/>
      <c r="F446" s="77"/>
    </row>
    <row r="447" spans="1:6">
      <c r="A447" s="76"/>
      <c r="B447" s="77"/>
      <c r="C447" s="77"/>
      <c r="D447" s="77"/>
      <c r="E447" s="77"/>
      <c r="F447" s="77"/>
    </row>
    <row r="448" spans="1:6">
      <c r="A448" s="76"/>
      <c r="B448" s="77"/>
      <c r="C448" s="77"/>
      <c r="D448" s="77"/>
      <c r="E448" s="77"/>
      <c r="F448" s="77"/>
    </row>
    <row r="449" spans="1:6">
      <c r="A449" s="76"/>
      <c r="B449" s="77"/>
      <c r="C449" s="77"/>
      <c r="D449" s="77"/>
      <c r="E449" s="77"/>
      <c r="F449" s="77"/>
    </row>
    <row r="450" spans="1:6">
      <c r="A450" s="76"/>
      <c r="B450" s="77"/>
      <c r="C450" s="77"/>
      <c r="D450" s="77"/>
      <c r="E450" s="77"/>
      <c r="F450" s="77"/>
    </row>
    <row r="451" spans="1:6">
      <c r="A451" s="76"/>
      <c r="B451" s="77"/>
      <c r="C451" s="77"/>
      <c r="D451" s="77"/>
      <c r="E451" s="77"/>
      <c r="F451" s="77"/>
    </row>
    <row r="452" spans="1:6">
      <c r="A452" s="76"/>
      <c r="B452" s="77"/>
      <c r="C452" s="77"/>
      <c r="D452" s="77"/>
      <c r="E452" s="77"/>
      <c r="F452" s="77"/>
    </row>
    <row r="453" spans="1:6">
      <c r="A453" s="76"/>
      <c r="B453" s="77"/>
      <c r="C453" s="77"/>
      <c r="D453" s="77"/>
      <c r="E453" s="77"/>
      <c r="F453" s="77"/>
    </row>
    <row r="454" spans="1:6">
      <c r="A454" s="76"/>
      <c r="B454" s="77"/>
      <c r="C454" s="77"/>
      <c r="D454" s="77"/>
      <c r="E454" s="77"/>
      <c r="F454" s="77"/>
    </row>
    <row r="455" spans="1:6">
      <c r="A455" s="76"/>
      <c r="B455" s="77"/>
      <c r="C455" s="77"/>
      <c r="D455" s="77"/>
      <c r="E455" s="77"/>
      <c r="F455" s="77"/>
    </row>
    <row r="456" spans="1:6">
      <c r="A456" s="76"/>
      <c r="B456" s="77"/>
      <c r="C456" s="77"/>
      <c r="D456" s="77"/>
      <c r="E456" s="77"/>
      <c r="F456" s="77"/>
    </row>
    <row r="457" spans="1:6">
      <c r="A457" s="76"/>
      <c r="B457" s="77"/>
      <c r="C457" s="77"/>
      <c r="D457" s="77"/>
      <c r="E457" s="77"/>
      <c r="F457" s="77"/>
    </row>
    <row r="458" spans="1:6">
      <c r="A458" s="76"/>
      <c r="B458" s="77"/>
      <c r="C458" s="77"/>
      <c r="D458" s="77"/>
      <c r="E458" s="77"/>
      <c r="F458" s="77"/>
    </row>
    <row r="459" spans="1:6">
      <c r="A459" s="76"/>
      <c r="B459" s="77"/>
      <c r="C459" s="77"/>
      <c r="D459" s="77"/>
      <c r="E459" s="77"/>
      <c r="F459" s="77"/>
    </row>
    <row r="460" spans="1:6">
      <c r="A460" s="76"/>
      <c r="B460" s="77"/>
      <c r="C460" s="77"/>
      <c r="D460" s="77"/>
      <c r="E460" s="77"/>
      <c r="F460" s="77"/>
    </row>
    <row r="461" spans="1:6">
      <c r="A461" s="76"/>
      <c r="B461" s="77"/>
      <c r="C461" s="77"/>
      <c r="D461" s="77"/>
      <c r="E461" s="77"/>
      <c r="F461" s="77"/>
    </row>
    <row r="462" spans="1:6">
      <c r="A462" s="76"/>
      <c r="B462" s="77"/>
      <c r="C462" s="77"/>
      <c r="D462" s="77"/>
      <c r="E462" s="77"/>
      <c r="F462" s="77"/>
    </row>
    <row r="463" spans="1:6">
      <c r="A463" s="76"/>
      <c r="B463" s="77"/>
      <c r="C463" s="77"/>
      <c r="D463" s="77"/>
      <c r="E463" s="77"/>
      <c r="F463" s="77"/>
    </row>
    <row r="464" spans="1:6">
      <c r="A464" s="76"/>
      <c r="B464" s="77"/>
      <c r="C464" s="77"/>
      <c r="D464" s="77"/>
      <c r="E464" s="77"/>
      <c r="F464" s="77"/>
    </row>
    <row r="465" spans="1:6">
      <c r="A465" s="76"/>
      <c r="B465" s="77"/>
      <c r="C465" s="77"/>
      <c r="D465" s="77"/>
      <c r="E465" s="77"/>
      <c r="F465" s="77"/>
    </row>
    <row r="466" spans="1:6">
      <c r="A466" s="76"/>
      <c r="B466" s="77"/>
      <c r="C466" s="77"/>
      <c r="D466" s="77"/>
      <c r="E466" s="77"/>
      <c r="F466" s="77"/>
    </row>
    <row r="467" spans="1:6">
      <c r="A467" s="76"/>
      <c r="B467" s="77"/>
      <c r="C467" s="77"/>
      <c r="D467" s="77"/>
      <c r="E467" s="77"/>
      <c r="F467" s="77"/>
    </row>
    <row r="468" spans="1:6">
      <c r="A468" s="76"/>
      <c r="B468" s="77"/>
      <c r="C468" s="77"/>
      <c r="D468" s="77"/>
      <c r="E468" s="77"/>
      <c r="F468" s="77"/>
    </row>
    <row r="469" spans="1:6">
      <c r="A469" s="76"/>
      <c r="B469" s="77"/>
      <c r="C469" s="77"/>
      <c r="D469" s="77"/>
      <c r="E469" s="77"/>
      <c r="F469" s="77"/>
    </row>
    <row r="470" spans="1:6">
      <c r="A470" s="76"/>
      <c r="B470" s="77"/>
      <c r="C470" s="77"/>
      <c r="D470" s="77"/>
      <c r="E470" s="77"/>
      <c r="F470" s="77"/>
    </row>
    <row r="471" spans="1:6">
      <c r="A471" s="76"/>
      <c r="B471" s="77"/>
      <c r="C471" s="77"/>
      <c r="D471" s="77"/>
      <c r="E471" s="77"/>
      <c r="F471" s="77"/>
    </row>
    <row r="472" spans="1:6">
      <c r="A472" s="76"/>
      <c r="B472" s="77"/>
      <c r="C472" s="77"/>
      <c r="D472" s="77"/>
      <c r="E472" s="77"/>
      <c r="F472" s="77"/>
    </row>
    <row r="473" spans="1:6">
      <c r="A473" s="76"/>
      <c r="B473" s="77"/>
      <c r="C473" s="77"/>
      <c r="D473" s="77"/>
      <c r="E473" s="77"/>
      <c r="F473" s="77"/>
    </row>
    <row r="474" spans="1:6">
      <c r="A474" s="76"/>
      <c r="B474" s="77"/>
      <c r="C474" s="77"/>
      <c r="D474" s="77"/>
      <c r="E474" s="77"/>
      <c r="F474" s="77"/>
    </row>
    <row r="475" spans="1:6">
      <c r="A475" s="76"/>
      <c r="B475" s="77"/>
      <c r="C475" s="77"/>
      <c r="D475" s="77"/>
      <c r="E475" s="77"/>
      <c r="F475" s="77"/>
    </row>
    <row r="476" spans="1:6">
      <c r="A476" s="76"/>
      <c r="B476" s="77"/>
      <c r="C476" s="77"/>
      <c r="D476" s="77"/>
      <c r="E476" s="77"/>
      <c r="F476" s="77"/>
    </row>
    <row r="477" spans="1:6">
      <c r="A477" s="76"/>
      <c r="B477" s="77"/>
      <c r="C477" s="77"/>
      <c r="D477" s="77"/>
      <c r="E477" s="77"/>
      <c r="F477" s="77"/>
    </row>
    <row r="478" spans="1:6">
      <c r="A478" s="76"/>
      <c r="B478" s="77"/>
      <c r="C478" s="77"/>
      <c r="D478" s="77"/>
      <c r="E478" s="77"/>
      <c r="F478" s="77"/>
    </row>
    <row r="479" spans="1:6">
      <c r="A479" s="76"/>
      <c r="B479" s="77"/>
      <c r="C479" s="77"/>
      <c r="D479" s="77"/>
      <c r="E479" s="77"/>
      <c r="F479" s="77"/>
    </row>
    <row r="480" spans="1:6">
      <c r="A480" s="76"/>
      <c r="B480" s="77"/>
      <c r="C480" s="77"/>
      <c r="D480" s="77"/>
      <c r="E480" s="77"/>
      <c r="F480" s="77"/>
    </row>
    <row r="481" spans="1:6">
      <c r="A481" s="76"/>
      <c r="B481" s="77"/>
      <c r="C481" s="77"/>
      <c r="D481" s="77"/>
      <c r="E481" s="77"/>
      <c r="F481" s="77"/>
    </row>
    <row r="482" spans="1:6">
      <c r="A482" s="76"/>
      <c r="B482" s="77"/>
      <c r="C482" s="77"/>
      <c r="D482" s="77"/>
      <c r="E482" s="77"/>
      <c r="F482" s="77"/>
    </row>
    <row r="483" spans="1:6">
      <c r="A483" s="76"/>
      <c r="B483" s="77"/>
      <c r="C483" s="77"/>
      <c r="D483" s="77"/>
      <c r="E483" s="77"/>
      <c r="F483" s="77"/>
    </row>
    <row r="484" spans="1:6">
      <c r="A484" s="76"/>
      <c r="B484" s="77"/>
      <c r="C484" s="77"/>
      <c r="D484" s="77"/>
      <c r="E484" s="77"/>
      <c r="F484" s="77"/>
    </row>
    <row r="485" spans="1:6">
      <c r="A485" s="76"/>
      <c r="B485" s="77"/>
      <c r="C485" s="77"/>
      <c r="D485" s="77"/>
      <c r="E485" s="77"/>
      <c r="F485" s="77"/>
    </row>
    <row r="486" spans="1:6">
      <c r="A486" s="76"/>
      <c r="B486" s="77"/>
      <c r="C486" s="77"/>
      <c r="D486" s="77"/>
      <c r="E486" s="77"/>
      <c r="F486" s="77"/>
    </row>
    <row r="487" spans="1:6">
      <c r="A487" s="76"/>
      <c r="B487" s="77"/>
      <c r="C487" s="77"/>
      <c r="D487" s="77"/>
      <c r="E487" s="77"/>
      <c r="F487" s="77"/>
    </row>
    <row r="488" spans="1:6">
      <c r="A488" s="76"/>
      <c r="B488" s="77"/>
      <c r="C488" s="77"/>
      <c r="D488" s="77"/>
      <c r="E488" s="77"/>
      <c r="F488" s="77"/>
    </row>
    <row r="489" spans="1:6">
      <c r="A489" s="76"/>
      <c r="B489" s="77"/>
      <c r="C489" s="77"/>
      <c r="D489" s="77"/>
      <c r="E489" s="77"/>
      <c r="F489" s="77"/>
    </row>
    <row r="490" spans="1:6">
      <c r="A490" s="76"/>
      <c r="B490" s="77"/>
      <c r="C490" s="77"/>
      <c r="D490" s="77"/>
      <c r="E490" s="77"/>
      <c r="F490" s="77"/>
    </row>
    <row r="491" spans="1:6">
      <c r="A491" s="76"/>
      <c r="B491" s="77"/>
      <c r="C491" s="77"/>
      <c r="D491" s="77"/>
      <c r="E491" s="77"/>
      <c r="F491" s="77"/>
    </row>
    <row r="492" spans="1:6">
      <c r="A492" s="76"/>
      <c r="B492" s="77"/>
      <c r="C492" s="77"/>
      <c r="D492" s="77"/>
      <c r="E492" s="77"/>
      <c r="F492" s="77"/>
    </row>
    <row r="493" spans="1:6">
      <c r="A493" s="76"/>
      <c r="B493" s="77"/>
      <c r="C493" s="77"/>
      <c r="D493" s="77"/>
      <c r="E493" s="77"/>
      <c r="F493" s="77"/>
    </row>
    <row r="494" spans="1:6">
      <c r="A494" s="76"/>
      <c r="B494" s="77"/>
      <c r="C494" s="77"/>
      <c r="D494" s="77"/>
      <c r="E494" s="77"/>
      <c r="F494" s="77"/>
    </row>
    <row r="495" spans="1:6">
      <c r="A495" s="76"/>
      <c r="B495" s="77"/>
      <c r="C495" s="77"/>
      <c r="D495" s="77"/>
      <c r="E495" s="77"/>
      <c r="F495" s="77"/>
    </row>
    <row r="496" spans="1:6">
      <c r="A496" s="76"/>
      <c r="B496" s="77"/>
      <c r="C496" s="77"/>
      <c r="D496" s="77"/>
      <c r="E496" s="77"/>
      <c r="F496" s="77"/>
    </row>
    <row r="497" spans="1:6">
      <c r="A497" s="76"/>
      <c r="B497" s="77"/>
      <c r="C497" s="77"/>
      <c r="D497" s="77"/>
      <c r="E497" s="77"/>
      <c r="F497" s="77"/>
    </row>
    <row r="498" spans="1:6">
      <c r="A498" s="76"/>
      <c r="B498" s="77"/>
      <c r="C498" s="77"/>
      <c r="D498" s="77"/>
      <c r="E498" s="77"/>
      <c r="F498" s="77"/>
    </row>
    <row r="499" spans="1:6">
      <c r="A499" s="76"/>
      <c r="B499" s="77"/>
      <c r="C499" s="77"/>
      <c r="D499" s="77"/>
      <c r="E499" s="77"/>
      <c r="F499" s="77"/>
    </row>
    <row r="500" spans="1:6">
      <c r="A500" s="76"/>
      <c r="B500" s="77"/>
      <c r="C500" s="77"/>
      <c r="D500" s="77"/>
      <c r="E500" s="77"/>
      <c r="F500" s="77"/>
    </row>
    <row r="501" spans="1:6">
      <c r="A501" s="76"/>
      <c r="B501" s="77"/>
      <c r="C501" s="77"/>
      <c r="D501" s="77"/>
      <c r="E501" s="77"/>
      <c r="F501" s="77"/>
    </row>
    <row r="502" spans="1:6">
      <c r="A502" s="76"/>
      <c r="B502" s="77"/>
      <c r="C502" s="77"/>
      <c r="D502" s="77"/>
      <c r="E502" s="77"/>
      <c r="F502" s="77"/>
    </row>
    <row r="503" spans="1:6">
      <c r="A503" s="76"/>
      <c r="B503" s="77"/>
      <c r="C503" s="77"/>
      <c r="D503" s="77"/>
      <c r="E503" s="77"/>
      <c r="F503" s="77"/>
    </row>
    <row r="504" spans="1:6">
      <c r="A504" s="76"/>
      <c r="B504" s="77"/>
      <c r="C504" s="77"/>
      <c r="D504" s="77"/>
      <c r="E504" s="77"/>
      <c r="F504" s="77"/>
    </row>
    <row r="505" spans="1:6">
      <c r="A505" s="76"/>
      <c r="B505" s="77"/>
      <c r="C505" s="77"/>
      <c r="D505" s="77"/>
      <c r="E505" s="77"/>
      <c r="F505" s="77"/>
    </row>
    <row r="506" spans="1:6">
      <c r="A506" s="76"/>
      <c r="B506" s="77"/>
      <c r="C506" s="77"/>
      <c r="D506" s="77"/>
      <c r="E506" s="77"/>
      <c r="F506" s="77"/>
    </row>
    <row r="507" spans="1:6">
      <c r="A507" s="76"/>
      <c r="B507" s="77"/>
      <c r="C507" s="77"/>
      <c r="D507" s="77"/>
      <c r="E507" s="77"/>
      <c r="F507" s="77"/>
    </row>
    <row r="508" spans="1:6">
      <c r="A508" s="76"/>
      <c r="B508" s="77"/>
      <c r="C508" s="77"/>
      <c r="D508" s="77"/>
      <c r="E508" s="77"/>
      <c r="F508" s="77"/>
    </row>
    <row r="509" spans="1:6">
      <c r="A509" s="76"/>
      <c r="B509" s="77"/>
      <c r="C509" s="77"/>
      <c r="D509" s="77"/>
      <c r="E509" s="77"/>
      <c r="F509" s="77"/>
    </row>
    <row r="510" spans="1:6">
      <c r="A510" s="76"/>
      <c r="B510" s="77"/>
      <c r="C510" s="77"/>
      <c r="D510" s="77"/>
      <c r="E510" s="77"/>
      <c r="F510" s="77"/>
    </row>
    <row r="511" spans="1:6">
      <c r="A511" s="76"/>
      <c r="B511" s="77"/>
      <c r="C511" s="77"/>
      <c r="D511" s="77"/>
      <c r="E511" s="77"/>
      <c r="F511" s="77"/>
    </row>
    <row r="512" spans="1:6">
      <c r="A512" s="76"/>
      <c r="B512" s="77"/>
      <c r="C512" s="77"/>
      <c r="D512" s="77"/>
      <c r="E512" s="77"/>
      <c r="F512" s="77"/>
    </row>
    <row r="513" spans="1:6">
      <c r="A513" s="76"/>
      <c r="B513" s="77"/>
      <c r="C513" s="77"/>
      <c r="D513" s="77"/>
      <c r="E513" s="77"/>
      <c r="F513" s="77"/>
    </row>
    <row r="514" spans="1:6">
      <c r="A514" s="76"/>
      <c r="B514" s="77"/>
      <c r="C514" s="77"/>
      <c r="D514" s="77"/>
      <c r="E514" s="77"/>
      <c r="F514" s="77"/>
    </row>
    <row r="515" spans="1:6">
      <c r="A515" s="76"/>
      <c r="B515" s="77"/>
      <c r="C515" s="77"/>
      <c r="D515" s="77"/>
      <c r="E515" s="77"/>
      <c r="F515" s="77"/>
    </row>
    <row r="516" spans="1:6">
      <c r="A516" s="76"/>
      <c r="B516" s="77"/>
      <c r="C516" s="77"/>
      <c r="D516" s="77"/>
      <c r="E516" s="77"/>
      <c r="F516" s="77"/>
    </row>
    <row r="517" spans="1:6">
      <c r="A517" s="76"/>
      <c r="B517" s="77"/>
      <c r="C517" s="77"/>
      <c r="D517" s="77"/>
      <c r="E517" s="77"/>
      <c r="F517" s="77"/>
    </row>
    <row r="518" spans="1:6">
      <c r="A518" s="76"/>
      <c r="B518" s="77"/>
      <c r="C518" s="77"/>
      <c r="D518" s="77"/>
      <c r="E518" s="77"/>
      <c r="F518" s="77"/>
    </row>
    <row r="519" spans="1:6">
      <c r="A519" s="76"/>
      <c r="B519" s="77"/>
      <c r="C519" s="77"/>
      <c r="D519" s="77"/>
      <c r="E519" s="77"/>
      <c r="F519" s="77"/>
    </row>
    <row r="520" spans="1:6">
      <c r="A520" s="76"/>
      <c r="B520" s="77"/>
      <c r="C520" s="77"/>
      <c r="D520" s="77"/>
      <c r="E520" s="77"/>
      <c r="F520" s="77"/>
    </row>
    <row r="521" spans="1:6">
      <c r="A521" s="76"/>
      <c r="B521" s="77"/>
      <c r="C521" s="77"/>
      <c r="D521" s="77"/>
      <c r="E521" s="77"/>
      <c r="F521" s="77"/>
    </row>
    <row r="522" spans="1:6">
      <c r="A522" s="76"/>
      <c r="B522" s="77"/>
      <c r="C522" s="77"/>
      <c r="D522" s="77"/>
      <c r="E522" s="77"/>
      <c r="F522" s="77"/>
    </row>
    <row r="523" spans="1:6">
      <c r="A523" s="76"/>
      <c r="B523" s="77"/>
      <c r="C523" s="77"/>
      <c r="D523" s="77"/>
      <c r="E523" s="77"/>
      <c r="F523" s="77"/>
    </row>
    <row r="524" spans="1:6">
      <c r="A524" s="76"/>
      <c r="B524" s="77"/>
      <c r="C524" s="77"/>
      <c r="D524" s="77"/>
      <c r="E524" s="77"/>
      <c r="F524" s="77"/>
    </row>
    <row r="525" spans="1:6">
      <c r="A525" s="76"/>
      <c r="B525" s="77"/>
      <c r="C525" s="77"/>
      <c r="D525" s="77"/>
      <c r="E525" s="77"/>
      <c r="F525" s="77"/>
    </row>
    <row r="526" spans="1:6">
      <c r="A526" s="76"/>
      <c r="B526" s="77"/>
      <c r="C526" s="77"/>
      <c r="D526" s="77"/>
      <c r="E526" s="77"/>
      <c r="F526" s="77"/>
    </row>
    <row r="527" spans="1:6">
      <c r="A527" s="76"/>
      <c r="B527" s="77"/>
      <c r="C527" s="77"/>
      <c r="D527" s="77"/>
      <c r="E527" s="77"/>
      <c r="F527" s="77"/>
    </row>
    <row r="528" spans="1:6">
      <c r="A528" s="76"/>
      <c r="B528" s="77"/>
      <c r="C528" s="77"/>
      <c r="D528" s="77"/>
      <c r="E528" s="77"/>
      <c r="F528" s="77"/>
    </row>
    <row r="529" spans="1:6">
      <c r="A529" s="76"/>
      <c r="B529" s="77"/>
      <c r="C529" s="77"/>
      <c r="D529" s="77"/>
      <c r="E529" s="77"/>
      <c r="F529" s="77"/>
    </row>
    <row r="530" spans="1:6">
      <c r="A530" s="76"/>
      <c r="B530" s="77"/>
      <c r="C530" s="77"/>
      <c r="D530" s="77"/>
      <c r="E530" s="77"/>
      <c r="F530" s="77"/>
    </row>
    <row r="531" spans="1:6">
      <c r="A531" s="76"/>
      <c r="B531" s="77"/>
      <c r="C531" s="77"/>
      <c r="D531" s="77"/>
      <c r="E531" s="77"/>
      <c r="F531" s="77"/>
    </row>
    <row r="532" spans="1:6">
      <c r="A532" s="76"/>
      <c r="B532" s="77"/>
      <c r="C532" s="77"/>
      <c r="D532" s="77"/>
      <c r="E532" s="77"/>
      <c r="F532" s="77"/>
    </row>
    <row r="533" spans="1:6">
      <c r="A533" s="76"/>
      <c r="B533" s="77"/>
      <c r="C533" s="77"/>
      <c r="D533" s="77"/>
      <c r="E533" s="77"/>
      <c r="F533" s="77"/>
    </row>
    <row r="534" spans="1:6">
      <c r="A534" s="76"/>
      <c r="B534" s="77"/>
      <c r="C534" s="77"/>
      <c r="D534" s="77"/>
      <c r="E534" s="77"/>
      <c r="F534" s="77"/>
    </row>
    <row r="535" spans="1:6">
      <c r="A535" s="76"/>
      <c r="B535" s="77"/>
      <c r="C535" s="77"/>
      <c r="D535" s="77"/>
      <c r="E535" s="77"/>
      <c r="F535" s="77"/>
    </row>
    <row r="536" spans="1:6">
      <c r="A536" s="76"/>
      <c r="B536" s="77"/>
      <c r="C536" s="77"/>
      <c r="D536" s="77"/>
      <c r="E536" s="77"/>
      <c r="F536" s="77"/>
    </row>
    <row r="537" spans="1:6">
      <c r="A537" s="76"/>
      <c r="B537" s="77"/>
      <c r="C537" s="77"/>
      <c r="D537" s="77"/>
      <c r="E537" s="77"/>
      <c r="F537" s="77"/>
    </row>
    <row r="538" spans="1:6">
      <c r="A538" s="76"/>
      <c r="B538" s="77"/>
      <c r="C538" s="77"/>
      <c r="D538" s="77"/>
      <c r="E538" s="77"/>
      <c r="F538" s="77"/>
    </row>
    <row r="539" spans="1:6">
      <c r="A539" s="76"/>
      <c r="B539" s="77"/>
      <c r="C539" s="77"/>
      <c r="D539" s="77"/>
      <c r="E539" s="77"/>
      <c r="F539" s="77"/>
    </row>
    <row r="540" spans="1:6">
      <c r="A540" s="76"/>
      <c r="B540" s="77"/>
      <c r="C540" s="77"/>
      <c r="D540" s="77"/>
      <c r="E540" s="77"/>
      <c r="F540" s="77"/>
    </row>
    <row r="541" spans="1:6">
      <c r="A541" s="76"/>
      <c r="B541" s="77"/>
      <c r="C541" s="77"/>
      <c r="D541" s="77"/>
      <c r="E541" s="77"/>
      <c r="F541" s="77"/>
    </row>
    <row r="542" spans="1:6">
      <c r="A542" s="76"/>
      <c r="B542" s="77"/>
      <c r="C542" s="77"/>
      <c r="D542" s="77"/>
      <c r="E542" s="77"/>
      <c r="F542" s="77"/>
    </row>
    <row r="543" spans="1:6">
      <c r="A543" s="76"/>
      <c r="B543" s="77"/>
      <c r="C543" s="77"/>
      <c r="D543" s="77"/>
      <c r="E543" s="77"/>
      <c r="F543" s="77"/>
    </row>
    <row r="544" spans="1:6">
      <c r="A544" s="76"/>
      <c r="B544" s="77"/>
      <c r="C544" s="77"/>
      <c r="D544" s="77"/>
      <c r="E544" s="77"/>
      <c r="F544" s="77"/>
    </row>
    <row r="545" spans="1:6">
      <c r="A545" s="76"/>
      <c r="B545" s="77"/>
      <c r="C545" s="77"/>
      <c r="D545" s="77"/>
      <c r="E545" s="77"/>
      <c r="F545" s="77"/>
    </row>
    <row r="546" spans="1:6">
      <c r="A546" s="76"/>
      <c r="B546" s="77"/>
      <c r="C546" s="77"/>
      <c r="D546" s="77"/>
      <c r="E546" s="77"/>
      <c r="F546" s="77"/>
    </row>
    <row r="547" spans="1:6">
      <c r="A547" s="76"/>
      <c r="B547" s="77"/>
      <c r="C547" s="77"/>
      <c r="D547" s="77"/>
      <c r="E547" s="77"/>
      <c r="F547" s="77"/>
    </row>
    <row r="548" spans="1:6">
      <c r="A548" s="76"/>
      <c r="B548" s="77"/>
      <c r="C548" s="77"/>
      <c r="D548" s="77"/>
      <c r="E548" s="77"/>
      <c r="F548" s="77"/>
    </row>
    <row r="549" spans="1:6">
      <c r="A549" s="76"/>
      <c r="B549" s="77"/>
      <c r="C549" s="77"/>
      <c r="D549" s="77"/>
      <c r="E549" s="77"/>
      <c r="F549" s="77"/>
    </row>
    <row r="550" spans="1:6">
      <c r="A550" s="76"/>
      <c r="B550" s="77"/>
      <c r="C550" s="77"/>
      <c r="D550" s="77"/>
      <c r="E550" s="77"/>
      <c r="F550" s="77"/>
    </row>
    <row r="551" spans="1:6">
      <c r="A551" s="76"/>
      <c r="B551" s="77"/>
      <c r="C551" s="77"/>
      <c r="D551" s="77"/>
      <c r="E551" s="77"/>
      <c r="F551" s="77"/>
    </row>
    <row r="552" spans="1:6">
      <c r="A552" s="76"/>
      <c r="B552" s="77"/>
      <c r="C552" s="77"/>
      <c r="D552" s="77"/>
      <c r="E552" s="77"/>
      <c r="F552" s="77"/>
    </row>
    <row r="553" spans="1:6">
      <c r="A553" s="76"/>
      <c r="B553" s="77"/>
      <c r="C553" s="77"/>
      <c r="D553" s="77"/>
      <c r="E553" s="77"/>
      <c r="F553" s="77"/>
    </row>
    <row r="554" spans="1:6">
      <c r="A554" s="76"/>
      <c r="B554" s="77"/>
      <c r="C554" s="77"/>
      <c r="D554" s="77"/>
      <c r="E554" s="77"/>
      <c r="F554" s="77"/>
    </row>
    <row r="555" spans="1:6">
      <c r="A555" s="76"/>
      <c r="B555" s="77"/>
      <c r="C555" s="77"/>
      <c r="D555" s="77"/>
      <c r="E555" s="77"/>
      <c r="F555" s="77"/>
    </row>
    <row r="556" spans="1:6">
      <c r="A556" s="76"/>
      <c r="B556" s="77"/>
      <c r="C556" s="77"/>
      <c r="D556" s="77"/>
      <c r="E556" s="77"/>
      <c r="F556" s="77"/>
    </row>
    <row r="557" spans="1:6">
      <c r="A557" s="76"/>
      <c r="B557" s="77"/>
      <c r="C557" s="77"/>
      <c r="D557" s="77"/>
      <c r="E557" s="77"/>
      <c r="F557" s="77"/>
    </row>
    <row r="558" spans="1:6">
      <c r="A558" s="76"/>
      <c r="B558" s="77"/>
      <c r="C558" s="77"/>
      <c r="D558" s="77"/>
      <c r="E558" s="77"/>
      <c r="F558" s="77"/>
    </row>
    <row r="559" spans="1:6">
      <c r="A559" s="76"/>
      <c r="B559" s="77"/>
      <c r="C559" s="77"/>
      <c r="D559" s="77"/>
      <c r="E559" s="77"/>
      <c r="F559" s="77"/>
    </row>
    <row r="560" spans="1:6">
      <c r="A560" s="76"/>
      <c r="B560" s="77"/>
      <c r="C560" s="77"/>
      <c r="D560" s="77"/>
      <c r="E560" s="77"/>
      <c r="F560" s="77"/>
    </row>
    <row r="561" spans="1:6">
      <c r="A561" s="76"/>
      <c r="B561" s="77"/>
      <c r="C561" s="77"/>
      <c r="D561" s="77"/>
      <c r="E561" s="77"/>
      <c r="F561" s="77"/>
    </row>
    <row r="562" spans="1:6">
      <c r="A562" s="76"/>
      <c r="B562" s="77"/>
      <c r="C562" s="77"/>
      <c r="D562" s="77"/>
      <c r="E562" s="77"/>
      <c r="F562" s="77"/>
    </row>
    <row r="563" spans="1:6">
      <c r="A563" s="76"/>
      <c r="B563" s="77"/>
      <c r="C563" s="77"/>
      <c r="D563" s="77"/>
      <c r="E563" s="77"/>
      <c r="F563" s="77"/>
    </row>
    <row r="564" spans="1:6">
      <c r="A564" s="76"/>
      <c r="B564" s="77"/>
      <c r="C564" s="77"/>
      <c r="D564" s="77"/>
      <c r="E564" s="77"/>
      <c r="F564" s="77"/>
    </row>
    <row r="565" spans="1:6">
      <c r="A565" s="76"/>
      <c r="B565" s="77"/>
      <c r="C565" s="77"/>
      <c r="D565" s="77"/>
      <c r="E565" s="77"/>
      <c r="F565" s="77"/>
    </row>
    <row r="566" spans="1:6">
      <c r="A566" s="76"/>
      <c r="B566" s="77"/>
      <c r="C566" s="77"/>
      <c r="D566" s="77"/>
      <c r="E566" s="77"/>
      <c r="F566" s="77"/>
    </row>
    <row r="567" spans="1:6">
      <c r="A567" s="76"/>
      <c r="B567" s="77"/>
      <c r="C567" s="77"/>
      <c r="D567" s="77"/>
      <c r="E567" s="77"/>
      <c r="F567" s="77"/>
    </row>
    <row r="568" spans="1:6">
      <c r="A568" s="76"/>
      <c r="B568" s="77"/>
      <c r="C568" s="77"/>
      <c r="D568" s="77"/>
      <c r="E568" s="77"/>
      <c r="F568" s="77"/>
    </row>
    <row r="569" spans="1:6">
      <c r="A569" s="76"/>
      <c r="B569" s="77"/>
      <c r="C569" s="77"/>
      <c r="D569" s="77"/>
      <c r="E569" s="77"/>
      <c r="F569" s="77"/>
    </row>
    <row r="570" spans="1:6">
      <c r="A570" s="76"/>
      <c r="B570" s="77"/>
      <c r="C570" s="77"/>
      <c r="D570" s="77"/>
      <c r="E570" s="77"/>
      <c r="F570" s="77"/>
    </row>
    <row r="571" spans="1:6">
      <c r="A571" s="76"/>
      <c r="B571" s="77"/>
      <c r="C571" s="77"/>
      <c r="D571" s="77"/>
      <c r="E571" s="77"/>
      <c r="F571" s="77"/>
    </row>
    <row r="572" spans="1:6">
      <c r="A572" s="76"/>
      <c r="B572" s="77"/>
      <c r="C572" s="77"/>
      <c r="D572" s="77"/>
      <c r="E572" s="77"/>
      <c r="F572" s="77"/>
    </row>
    <row r="573" spans="1:6">
      <c r="A573" s="76"/>
      <c r="B573" s="77"/>
      <c r="C573" s="77"/>
      <c r="D573" s="77"/>
      <c r="E573" s="77"/>
      <c r="F573" s="77"/>
    </row>
    <row r="574" spans="1:6">
      <c r="A574" s="76"/>
      <c r="B574" s="77"/>
      <c r="C574" s="77"/>
      <c r="D574" s="77"/>
      <c r="E574" s="77"/>
      <c r="F574" s="77"/>
    </row>
    <row r="575" spans="1:6">
      <c r="A575" s="76"/>
      <c r="B575" s="77"/>
      <c r="C575" s="77"/>
      <c r="D575" s="77"/>
      <c r="E575" s="77"/>
      <c r="F575" s="77"/>
    </row>
    <row r="576" spans="1:6">
      <c r="A576" s="76"/>
      <c r="B576" s="77"/>
      <c r="C576" s="77"/>
      <c r="D576" s="77"/>
      <c r="E576" s="77"/>
      <c r="F576" s="77"/>
    </row>
    <row r="577" spans="1:6">
      <c r="A577" s="76"/>
      <c r="B577" s="77"/>
      <c r="C577" s="77"/>
      <c r="D577" s="77"/>
      <c r="E577" s="77"/>
      <c r="F577" s="77"/>
    </row>
    <row r="578" spans="1:6">
      <c r="A578" s="76"/>
      <c r="B578" s="77"/>
      <c r="C578" s="77"/>
      <c r="D578" s="77"/>
      <c r="E578" s="77"/>
      <c r="F578" s="77"/>
    </row>
    <row r="579" spans="1:6">
      <c r="A579" s="76"/>
      <c r="B579" s="77"/>
      <c r="C579" s="77"/>
      <c r="D579" s="77"/>
      <c r="E579" s="77"/>
      <c r="F579" s="77"/>
    </row>
    <row r="580" spans="1:6">
      <c r="A580" s="76"/>
      <c r="B580" s="77"/>
      <c r="C580" s="77"/>
      <c r="D580" s="77"/>
      <c r="E580" s="77"/>
      <c r="F580" s="77"/>
    </row>
    <row r="581" spans="1:6">
      <c r="A581" s="76"/>
      <c r="B581" s="77"/>
      <c r="C581" s="77"/>
      <c r="D581" s="77"/>
      <c r="E581" s="77"/>
      <c r="F581" s="77"/>
    </row>
    <row r="582" spans="1:6">
      <c r="A582" s="76"/>
      <c r="B582" s="77"/>
      <c r="C582" s="77"/>
      <c r="D582" s="77"/>
      <c r="E582" s="77"/>
      <c r="F582" s="77"/>
    </row>
    <row r="583" spans="1:6">
      <c r="A583" s="76"/>
      <c r="B583" s="77"/>
      <c r="C583" s="77"/>
      <c r="D583" s="77"/>
      <c r="E583" s="77"/>
      <c r="F583" s="77"/>
    </row>
    <row r="584" spans="1:6">
      <c r="A584" s="76"/>
      <c r="B584" s="77"/>
      <c r="C584" s="77"/>
      <c r="D584" s="77"/>
      <c r="E584" s="77"/>
      <c r="F584" s="77"/>
    </row>
    <row r="585" spans="1:6">
      <c r="A585" s="76"/>
      <c r="B585" s="77"/>
      <c r="C585" s="77"/>
      <c r="D585" s="77"/>
      <c r="E585" s="77"/>
      <c r="F585" s="77"/>
    </row>
    <row r="586" spans="1:6">
      <c r="A586" s="76"/>
      <c r="B586" s="77"/>
      <c r="C586" s="77"/>
      <c r="D586" s="77"/>
      <c r="E586" s="77"/>
      <c r="F586" s="77"/>
    </row>
    <row r="587" spans="1:6">
      <c r="A587" s="76"/>
      <c r="B587" s="77"/>
      <c r="C587" s="77"/>
      <c r="D587" s="77"/>
      <c r="E587" s="77"/>
      <c r="F587" s="77"/>
    </row>
    <row r="588" spans="1:6">
      <c r="A588" s="76"/>
      <c r="B588" s="77"/>
      <c r="C588" s="77"/>
      <c r="D588" s="77"/>
      <c r="E588" s="77"/>
      <c r="F588" s="77"/>
    </row>
    <row r="589" spans="1:6">
      <c r="A589" s="76"/>
      <c r="B589" s="77"/>
      <c r="C589" s="77"/>
      <c r="D589" s="77"/>
      <c r="E589" s="77"/>
      <c r="F589" s="77"/>
    </row>
    <row r="590" spans="1:6">
      <c r="A590" s="76"/>
      <c r="B590" s="77"/>
      <c r="C590" s="77"/>
      <c r="D590" s="77"/>
      <c r="E590" s="77"/>
      <c r="F590" s="77"/>
    </row>
    <row r="591" spans="1:6">
      <c r="A591" s="76"/>
      <c r="B591" s="77"/>
      <c r="C591" s="77"/>
      <c r="D591" s="77"/>
      <c r="E591" s="77"/>
      <c r="F591" s="77"/>
    </row>
    <row r="592" spans="1:6">
      <c r="A592" s="76"/>
      <c r="B592" s="77"/>
      <c r="C592" s="77"/>
      <c r="D592" s="77"/>
      <c r="E592" s="77"/>
      <c r="F592" s="77"/>
    </row>
    <row r="593" spans="1:6">
      <c r="A593" s="76"/>
      <c r="B593" s="77"/>
      <c r="C593" s="77"/>
      <c r="D593" s="77"/>
      <c r="E593" s="77"/>
      <c r="F593" s="77"/>
    </row>
    <row r="594" spans="1:6">
      <c r="A594" s="76"/>
      <c r="B594" s="77"/>
      <c r="C594" s="77"/>
      <c r="D594" s="77"/>
      <c r="E594" s="77"/>
      <c r="F594" s="77"/>
    </row>
    <row r="595" spans="1:6">
      <c r="A595" s="76"/>
      <c r="B595" s="77"/>
      <c r="C595" s="77"/>
      <c r="D595" s="77"/>
      <c r="E595" s="77"/>
      <c r="F595" s="77"/>
    </row>
    <row r="596" spans="1:6">
      <c r="A596" s="76"/>
      <c r="B596" s="77"/>
      <c r="C596" s="77"/>
      <c r="D596" s="77"/>
      <c r="E596" s="77"/>
      <c r="F596" s="77"/>
    </row>
    <row r="597" spans="1:6">
      <c r="A597" s="76"/>
      <c r="B597" s="77"/>
      <c r="C597" s="77"/>
      <c r="D597" s="77"/>
      <c r="E597" s="77"/>
      <c r="F597" s="77"/>
    </row>
    <row r="598" spans="1:6">
      <c r="A598" s="76"/>
      <c r="B598" s="77"/>
      <c r="C598" s="77"/>
      <c r="D598" s="77"/>
      <c r="E598" s="77"/>
      <c r="F598" s="77"/>
    </row>
    <row r="599" spans="1:6">
      <c r="A599" s="76"/>
      <c r="B599" s="77"/>
      <c r="C599" s="77"/>
      <c r="D599" s="77"/>
      <c r="E599" s="77"/>
      <c r="F599" s="77"/>
    </row>
    <row r="600" spans="1:6">
      <c r="A600" s="76"/>
      <c r="B600" s="77"/>
      <c r="C600" s="77"/>
      <c r="D600" s="77"/>
      <c r="E600" s="77"/>
      <c r="F600" s="77"/>
    </row>
    <row r="601" spans="1:6">
      <c r="A601" s="76"/>
      <c r="B601" s="77"/>
      <c r="C601" s="77"/>
      <c r="D601" s="77"/>
      <c r="E601" s="77"/>
      <c r="F601" s="77"/>
    </row>
    <row r="602" spans="1:6">
      <c r="A602" s="76"/>
      <c r="B602" s="77"/>
      <c r="C602" s="77"/>
      <c r="D602" s="77"/>
      <c r="E602" s="77"/>
      <c r="F602" s="77"/>
    </row>
    <row r="603" spans="1:6">
      <c r="A603" s="76"/>
      <c r="B603" s="77"/>
      <c r="C603" s="77"/>
      <c r="D603" s="77"/>
      <c r="E603" s="77"/>
      <c r="F603" s="77"/>
    </row>
    <row r="604" spans="1:6">
      <c r="A604" s="76"/>
      <c r="B604" s="77"/>
      <c r="C604" s="77"/>
      <c r="D604" s="77"/>
      <c r="E604" s="77"/>
      <c r="F604" s="77"/>
    </row>
    <row r="605" spans="1:6">
      <c r="A605" s="76"/>
      <c r="B605" s="77"/>
      <c r="C605" s="77"/>
      <c r="D605" s="77"/>
      <c r="E605" s="77"/>
      <c r="F605" s="77"/>
    </row>
    <row r="606" spans="1:6">
      <c r="A606" s="76"/>
      <c r="B606" s="77"/>
      <c r="C606" s="77"/>
      <c r="D606" s="77"/>
      <c r="E606" s="77"/>
      <c r="F606" s="77"/>
    </row>
    <row r="607" spans="1:6">
      <c r="A607" s="76"/>
      <c r="B607" s="77"/>
      <c r="C607" s="77"/>
      <c r="D607" s="77"/>
      <c r="E607" s="77"/>
      <c r="F607" s="77"/>
    </row>
    <row r="608" spans="1:6">
      <c r="A608" s="76"/>
      <c r="B608" s="77"/>
      <c r="C608" s="77"/>
      <c r="D608" s="77"/>
      <c r="E608" s="77"/>
      <c r="F608" s="77"/>
    </row>
    <row r="609" spans="1:6">
      <c r="A609" s="76"/>
      <c r="B609" s="77"/>
      <c r="C609" s="77"/>
      <c r="D609" s="77"/>
      <c r="E609" s="77"/>
      <c r="F609" s="77"/>
    </row>
    <row r="610" spans="1:6">
      <c r="A610" s="76"/>
      <c r="B610" s="77"/>
      <c r="C610" s="77"/>
      <c r="D610" s="77"/>
      <c r="E610" s="77"/>
      <c r="F610" s="77"/>
    </row>
    <row r="611" spans="1:6">
      <c r="A611" s="76"/>
      <c r="B611" s="77"/>
      <c r="C611" s="77"/>
      <c r="D611" s="77"/>
      <c r="E611" s="77"/>
      <c r="F611" s="77"/>
    </row>
    <row r="612" spans="1:6">
      <c r="A612" s="76"/>
      <c r="B612" s="77"/>
      <c r="C612" s="77"/>
      <c r="D612" s="77"/>
      <c r="E612" s="77"/>
      <c r="F612" s="77"/>
    </row>
    <row r="613" spans="1:6">
      <c r="A613" s="76"/>
      <c r="B613" s="77"/>
      <c r="C613" s="77"/>
      <c r="D613" s="77"/>
      <c r="E613" s="77"/>
      <c r="F613" s="77"/>
    </row>
    <row r="614" spans="1:6">
      <c r="A614" s="76"/>
      <c r="B614" s="77"/>
      <c r="C614" s="77"/>
      <c r="D614" s="77"/>
      <c r="E614" s="77"/>
      <c r="F614" s="77"/>
    </row>
    <row r="615" spans="1:6">
      <c r="A615" s="76"/>
      <c r="B615" s="77"/>
      <c r="C615" s="77"/>
      <c r="D615" s="77"/>
      <c r="E615" s="77"/>
      <c r="F615" s="77"/>
    </row>
    <row r="616" spans="1:6">
      <c r="A616" s="76"/>
      <c r="B616" s="77"/>
      <c r="C616" s="77"/>
      <c r="D616" s="77"/>
      <c r="E616" s="77"/>
      <c r="F616" s="77"/>
    </row>
    <row r="617" spans="1:6">
      <c r="A617" s="76"/>
      <c r="B617" s="77"/>
      <c r="C617" s="77"/>
      <c r="D617" s="77"/>
      <c r="E617" s="77"/>
      <c r="F617" s="77"/>
    </row>
    <row r="618" spans="1:6">
      <c r="A618" s="76"/>
      <c r="B618" s="77"/>
      <c r="C618" s="77"/>
      <c r="D618" s="77"/>
      <c r="E618" s="77"/>
      <c r="F618" s="77"/>
    </row>
    <row r="619" spans="1:6">
      <c r="A619" s="76"/>
      <c r="B619" s="77"/>
      <c r="C619" s="77"/>
      <c r="D619" s="77"/>
      <c r="E619" s="77"/>
      <c r="F619" s="77"/>
    </row>
    <row r="620" spans="1:6">
      <c r="A620" s="76"/>
      <c r="B620" s="77"/>
      <c r="C620" s="77"/>
      <c r="D620" s="77"/>
      <c r="E620" s="77"/>
      <c r="F620" s="77"/>
    </row>
    <row r="621" spans="1:6">
      <c r="A621" s="76"/>
      <c r="B621" s="77"/>
      <c r="C621" s="77"/>
      <c r="D621" s="77"/>
      <c r="E621" s="77"/>
      <c r="F621" s="77"/>
    </row>
    <row r="622" spans="1:6">
      <c r="A622" s="76"/>
      <c r="B622" s="77"/>
      <c r="C622" s="77"/>
      <c r="D622" s="77"/>
      <c r="E622" s="77"/>
      <c r="F622" s="77"/>
    </row>
    <row r="623" spans="1:6">
      <c r="A623" s="76"/>
      <c r="B623" s="77"/>
      <c r="C623" s="77"/>
      <c r="D623" s="77"/>
      <c r="E623" s="77"/>
      <c r="F623" s="77"/>
    </row>
    <row r="624" spans="1:6">
      <c r="A624" s="76"/>
      <c r="B624" s="77"/>
      <c r="C624" s="77"/>
      <c r="D624" s="77"/>
      <c r="E624" s="77"/>
      <c r="F624" s="77"/>
    </row>
    <row r="625" spans="1:6">
      <c r="A625" s="76"/>
      <c r="B625" s="77"/>
      <c r="C625" s="77"/>
      <c r="D625" s="77"/>
      <c r="E625" s="77"/>
      <c r="F625" s="77"/>
    </row>
    <row r="626" spans="1:6">
      <c r="A626" s="76"/>
      <c r="B626" s="77"/>
      <c r="C626" s="77"/>
      <c r="D626" s="77"/>
      <c r="E626" s="77"/>
      <c r="F626" s="77"/>
    </row>
    <row r="627" spans="1:6">
      <c r="A627" s="76"/>
      <c r="B627" s="77"/>
      <c r="C627" s="77"/>
      <c r="D627" s="77"/>
      <c r="E627" s="77"/>
      <c r="F627" s="77"/>
    </row>
    <row r="628" spans="1:6">
      <c r="A628" s="76"/>
      <c r="B628" s="77"/>
      <c r="C628" s="77"/>
      <c r="D628" s="77"/>
      <c r="E628" s="77"/>
      <c r="F628" s="77"/>
    </row>
    <row r="629" spans="1:6">
      <c r="A629" s="76"/>
      <c r="B629" s="77"/>
      <c r="C629" s="77"/>
      <c r="D629" s="77"/>
      <c r="E629" s="77"/>
      <c r="F629" s="77"/>
    </row>
    <row r="630" spans="1:6">
      <c r="A630" s="76"/>
      <c r="B630" s="77"/>
      <c r="C630" s="77"/>
      <c r="D630" s="77"/>
      <c r="E630" s="77"/>
      <c r="F630" s="77"/>
    </row>
    <row r="631" spans="1:6">
      <c r="A631" s="76"/>
      <c r="B631" s="77"/>
      <c r="C631" s="77"/>
      <c r="D631" s="77"/>
      <c r="E631" s="77"/>
      <c r="F631" s="77"/>
    </row>
    <row r="632" spans="1:6">
      <c r="A632" s="76"/>
      <c r="B632" s="77"/>
      <c r="C632" s="77"/>
      <c r="D632" s="77"/>
      <c r="E632" s="77"/>
      <c r="F632" s="77"/>
    </row>
    <row r="633" spans="1:6">
      <c r="A633" s="76"/>
      <c r="B633" s="77"/>
      <c r="C633" s="77"/>
      <c r="D633" s="77"/>
      <c r="E633" s="77"/>
      <c r="F633" s="77"/>
    </row>
    <row r="634" spans="1:6">
      <c r="A634" s="76"/>
      <c r="B634" s="77"/>
      <c r="C634" s="77"/>
      <c r="D634" s="77"/>
      <c r="E634" s="77"/>
      <c r="F634" s="77"/>
    </row>
    <row r="635" spans="1:6">
      <c r="A635" s="76"/>
      <c r="B635" s="77"/>
      <c r="C635" s="77"/>
      <c r="D635" s="77"/>
      <c r="E635" s="77"/>
      <c r="F635" s="77"/>
    </row>
    <row r="636" spans="1:6">
      <c r="A636" s="76"/>
      <c r="B636" s="77"/>
      <c r="C636" s="77"/>
      <c r="D636" s="77"/>
      <c r="E636" s="77"/>
      <c r="F636" s="77"/>
    </row>
    <row r="637" spans="1:6">
      <c r="A637" s="76"/>
      <c r="B637" s="77"/>
      <c r="C637" s="77"/>
      <c r="D637" s="77"/>
      <c r="E637" s="77"/>
      <c r="F637" s="77"/>
    </row>
    <row r="638" spans="1:6">
      <c r="A638" s="76"/>
      <c r="B638" s="77"/>
      <c r="C638" s="77"/>
      <c r="D638" s="77"/>
      <c r="E638" s="77"/>
      <c r="F638" s="77"/>
    </row>
    <row r="639" spans="1:6">
      <c r="A639" s="76"/>
      <c r="B639" s="77"/>
      <c r="C639" s="77"/>
      <c r="D639" s="77"/>
      <c r="E639" s="77"/>
      <c r="F639" s="77"/>
    </row>
    <row r="640" spans="1:6">
      <c r="A640" s="76"/>
      <c r="B640" s="77"/>
      <c r="C640" s="77"/>
      <c r="D640" s="77"/>
      <c r="E640" s="77"/>
      <c r="F640" s="77"/>
    </row>
    <row r="641" spans="1:6">
      <c r="A641" s="76"/>
      <c r="B641" s="77"/>
      <c r="C641" s="77"/>
      <c r="D641" s="77"/>
      <c r="E641" s="77"/>
      <c r="F641" s="77"/>
    </row>
    <row r="642" spans="1:6">
      <c r="A642" s="76"/>
      <c r="B642" s="77"/>
      <c r="C642" s="77"/>
      <c r="D642" s="77"/>
      <c r="E642" s="77"/>
      <c r="F642" s="77"/>
    </row>
    <row r="643" spans="1:6">
      <c r="A643" s="76"/>
      <c r="B643" s="77"/>
      <c r="C643" s="77"/>
      <c r="D643" s="77"/>
      <c r="E643" s="77"/>
      <c r="F643" s="77"/>
    </row>
    <row r="644" spans="1:6">
      <c r="A644" s="76"/>
      <c r="B644" s="77"/>
      <c r="C644" s="77"/>
      <c r="D644" s="77"/>
      <c r="E644" s="77"/>
      <c r="F644" s="77"/>
    </row>
    <row r="645" spans="1:6">
      <c r="A645" s="76"/>
      <c r="B645" s="77"/>
      <c r="C645" s="77"/>
      <c r="D645" s="77"/>
      <c r="E645" s="77"/>
      <c r="F645" s="77"/>
    </row>
    <row r="646" spans="1:6">
      <c r="A646" s="76"/>
      <c r="B646" s="77"/>
      <c r="C646" s="77"/>
      <c r="D646" s="77"/>
      <c r="E646" s="77"/>
      <c r="F646" s="77"/>
    </row>
    <row r="647" spans="1:6">
      <c r="A647" s="76"/>
      <c r="B647" s="77"/>
      <c r="C647" s="77"/>
      <c r="D647" s="77"/>
      <c r="E647" s="77"/>
      <c r="F647" s="77"/>
    </row>
    <row r="648" spans="1:6">
      <c r="A648" s="76"/>
      <c r="B648" s="77"/>
      <c r="C648" s="77"/>
      <c r="D648" s="77"/>
      <c r="E648" s="77"/>
      <c r="F648" s="77"/>
    </row>
    <row r="649" spans="1:6">
      <c r="A649" s="76"/>
      <c r="B649" s="77"/>
      <c r="C649" s="77"/>
      <c r="D649" s="77"/>
      <c r="E649" s="77"/>
      <c r="F649" s="77"/>
    </row>
    <row r="650" spans="1:6">
      <c r="A650" s="76"/>
      <c r="B650" s="77"/>
      <c r="C650" s="77"/>
      <c r="D650" s="77"/>
      <c r="E650" s="77"/>
      <c r="F650" s="77"/>
    </row>
    <row r="651" spans="1:6">
      <c r="A651" s="76"/>
      <c r="B651" s="77"/>
      <c r="C651" s="77"/>
      <c r="D651" s="77"/>
      <c r="E651" s="77"/>
      <c r="F651" s="77"/>
    </row>
    <row r="652" spans="1:6">
      <c r="A652" s="76"/>
      <c r="B652" s="77"/>
      <c r="C652" s="77"/>
      <c r="D652" s="77"/>
      <c r="E652" s="77"/>
      <c r="F652" s="77"/>
    </row>
    <row r="653" spans="1:6">
      <c r="A653" s="76"/>
      <c r="B653" s="77"/>
      <c r="C653" s="77"/>
      <c r="D653" s="77"/>
      <c r="E653" s="77"/>
      <c r="F653" s="77"/>
    </row>
    <row r="654" spans="1:6">
      <c r="A654" s="76"/>
      <c r="B654" s="77"/>
      <c r="C654" s="77"/>
      <c r="D654" s="77"/>
      <c r="E654" s="77"/>
      <c r="F654" s="77"/>
    </row>
    <row r="655" spans="1:6">
      <c r="A655" s="76"/>
      <c r="B655" s="77"/>
      <c r="C655" s="77"/>
      <c r="D655" s="77"/>
      <c r="E655" s="77"/>
      <c r="F655" s="77"/>
    </row>
    <row r="656" spans="1:6">
      <c r="A656" s="76"/>
      <c r="B656" s="77"/>
      <c r="C656" s="77"/>
      <c r="D656" s="77"/>
      <c r="E656" s="77"/>
      <c r="F656" s="77"/>
    </row>
    <row r="657" spans="1:6">
      <c r="A657" s="76"/>
      <c r="B657" s="77"/>
      <c r="C657" s="77"/>
      <c r="D657" s="77"/>
      <c r="E657" s="77"/>
      <c r="F657" s="77"/>
    </row>
    <row r="658" spans="1:6">
      <c r="A658" s="76"/>
      <c r="B658" s="77"/>
      <c r="C658" s="77"/>
      <c r="D658" s="77"/>
      <c r="E658" s="77"/>
      <c r="F658" s="77"/>
    </row>
    <row r="659" spans="1:6">
      <c r="A659" s="76"/>
      <c r="B659" s="77"/>
      <c r="C659" s="77"/>
      <c r="D659" s="77"/>
      <c r="E659" s="77"/>
      <c r="F659" s="77"/>
    </row>
    <row r="660" spans="1:6">
      <c r="A660" s="76"/>
      <c r="B660" s="77"/>
      <c r="C660" s="77"/>
      <c r="D660" s="77"/>
      <c r="E660" s="77"/>
      <c r="F660" s="77"/>
    </row>
    <row r="661" spans="1:6">
      <c r="A661" s="76"/>
      <c r="B661" s="77"/>
      <c r="C661" s="77"/>
      <c r="D661" s="77"/>
      <c r="E661" s="77"/>
      <c r="F661" s="77"/>
    </row>
    <row r="662" spans="1:6">
      <c r="A662" s="76"/>
      <c r="B662" s="77"/>
      <c r="C662" s="77"/>
      <c r="D662" s="77"/>
      <c r="E662" s="77"/>
      <c r="F662" s="77"/>
    </row>
    <row r="663" spans="1:6">
      <c r="A663" s="76"/>
      <c r="B663" s="77"/>
      <c r="C663" s="77"/>
      <c r="D663" s="77"/>
      <c r="E663" s="77"/>
      <c r="F663" s="77"/>
    </row>
    <row r="664" spans="1:6">
      <c r="A664" s="76"/>
      <c r="B664" s="77"/>
      <c r="C664" s="77"/>
      <c r="D664" s="77"/>
      <c r="E664" s="77"/>
      <c r="F664" s="77"/>
    </row>
    <row r="665" spans="1:6">
      <c r="A665" s="76"/>
      <c r="B665" s="77"/>
      <c r="C665" s="77"/>
      <c r="D665" s="77"/>
      <c r="E665" s="77"/>
      <c r="F665" s="77"/>
    </row>
    <row r="666" spans="1:6">
      <c r="A666" s="76"/>
      <c r="B666" s="77"/>
      <c r="C666" s="77"/>
      <c r="D666" s="77"/>
      <c r="E666" s="77"/>
      <c r="F666" s="77"/>
    </row>
    <row r="667" spans="1:6">
      <c r="A667" s="76"/>
      <c r="B667" s="77"/>
      <c r="C667" s="77"/>
      <c r="D667" s="77"/>
      <c r="E667" s="77"/>
      <c r="F667" s="77"/>
    </row>
    <row r="668" spans="1:6">
      <c r="A668" s="76"/>
      <c r="B668" s="77"/>
      <c r="C668" s="77"/>
      <c r="D668" s="77"/>
      <c r="E668" s="77"/>
      <c r="F668" s="77"/>
    </row>
    <row r="669" spans="1:6">
      <c r="A669" s="76"/>
      <c r="B669" s="77"/>
      <c r="C669" s="77"/>
      <c r="D669" s="77"/>
      <c r="E669" s="77"/>
      <c r="F669" s="77"/>
    </row>
    <row r="670" spans="1:6">
      <c r="A670" s="76"/>
      <c r="B670" s="77"/>
      <c r="C670" s="77"/>
      <c r="D670" s="77"/>
      <c r="E670" s="77"/>
      <c r="F670" s="77"/>
    </row>
    <row r="671" spans="1:6">
      <c r="A671" s="76"/>
      <c r="B671" s="77"/>
      <c r="C671" s="77"/>
      <c r="D671" s="77"/>
      <c r="E671" s="77"/>
      <c r="F671" s="77"/>
    </row>
    <row r="672" spans="1:6">
      <c r="A672" s="76"/>
      <c r="B672" s="77"/>
      <c r="C672" s="77"/>
      <c r="D672" s="77"/>
      <c r="E672" s="77"/>
      <c r="F672" s="77"/>
    </row>
    <row r="673" spans="1:6">
      <c r="A673" s="76"/>
      <c r="B673" s="77"/>
      <c r="C673" s="77"/>
      <c r="D673" s="77"/>
      <c r="E673" s="77"/>
      <c r="F673" s="77"/>
    </row>
    <row r="674" spans="1:6">
      <c r="A674" s="76"/>
      <c r="B674" s="77"/>
      <c r="C674" s="77"/>
      <c r="D674" s="77"/>
      <c r="E674" s="77"/>
      <c r="F674" s="77"/>
    </row>
    <row r="675" spans="1:6">
      <c r="A675" s="76"/>
      <c r="B675" s="77"/>
      <c r="C675" s="77"/>
      <c r="D675" s="77"/>
      <c r="E675" s="77"/>
      <c r="F675" s="77"/>
    </row>
    <row r="676" spans="1:6">
      <c r="A676" s="76"/>
      <c r="B676" s="77"/>
      <c r="C676" s="77"/>
      <c r="D676" s="77"/>
      <c r="E676" s="77"/>
      <c r="F676" s="77"/>
    </row>
    <row r="677" spans="1:6">
      <c r="A677" s="76"/>
      <c r="B677" s="77"/>
      <c r="C677" s="77"/>
      <c r="D677" s="77"/>
      <c r="E677" s="77"/>
      <c r="F677" s="77"/>
    </row>
    <row r="678" spans="1:6">
      <c r="A678" s="76"/>
      <c r="B678" s="77"/>
      <c r="C678" s="77"/>
      <c r="D678" s="77"/>
      <c r="E678" s="77"/>
      <c r="F678" s="77"/>
    </row>
    <row r="679" spans="1:6">
      <c r="A679" s="76"/>
      <c r="B679" s="77"/>
      <c r="C679" s="77"/>
      <c r="D679" s="77"/>
      <c r="E679" s="77"/>
      <c r="F679" s="77"/>
    </row>
    <row r="680" spans="1:6">
      <c r="A680" s="76"/>
      <c r="B680" s="77"/>
      <c r="C680" s="77"/>
      <c r="D680" s="77"/>
      <c r="E680" s="77"/>
      <c r="F680" s="77"/>
    </row>
    <row r="681" spans="1:6">
      <c r="A681" s="76"/>
      <c r="B681" s="77"/>
      <c r="C681" s="77"/>
      <c r="D681" s="77"/>
      <c r="E681" s="77"/>
      <c r="F681" s="77"/>
    </row>
    <row r="682" spans="1:6">
      <c r="A682" s="76"/>
      <c r="B682" s="77"/>
      <c r="C682" s="77"/>
      <c r="D682" s="77"/>
      <c r="E682" s="77"/>
      <c r="F682" s="77"/>
    </row>
    <row r="683" spans="1:6">
      <c r="A683" s="76"/>
      <c r="B683" s="77"/>
      <c r="C683" s="77"/>
      <c r="D683" s="77"/>
      <c r="E683" s="77"/>
      <c r="F683" s="77"/>
    </row>
    <row r="684" spans="1:6">
      <c r="A684" s="76"/>
      <c r="B684" s="77"/>
      <c r="C684" s="77"/>
      <c r="D684" s="77"/>
      <c r="E684" s="77"/>
      <c r="F684" s="77"/>
    </row>
    <row r="685" spans="1:6">
      <c r="A685" s="76"/>
      <c r="B685" s="77"/>
      <c r="C685" s="77"/>
      <c r="D685" s="77"/>
      <c r="E685" s="77"/>
      <c r="F685" s="77"/>
    </row>
    <row r="686" spans="1:6">
      <c r="A686" s="76"/>
      <c r="B686" s="77"/>
      <c r="C686" s="77"/>
      <c r="D686" s="77"/>
      <c r="E686" s="77"/>
      <c r="F686" s="77"/>
    </row>
    <row r="687" spans="1:6">
      <c r="A687" s="76"/>
      <c r="B687" s="77"/>
      <c r="C687" s="77"/>
      <c r="D687" s="77"/>
      <c r="E687" s="77"/>
      <c r="F687" s="77"/>
    </row>
    <row r="688" spans="1:6">
      <c r="A688" s="76"/>
      <c r="B688" s="77"/>
      <c r="C688" s="77"/>
      <c r="D688" s="77"/>
      <c r="E688" s="77"/>
      <c r="F688" s="77"/>
    </row>
    <row r="689" spans="1:6">
      <c r="A689" s="76"/>
      <c r="B689" s="77"/>
      <c r="C689" s="77"/>
      <c r="D689" s="77"/>
      <c r="E689" s="77"/>
      <c r="F689" s="77"/>
    </row>
    <row r="690" spans="1:6">
      <c r="A690" s="76"/>
      <c r="B690" s="77"/>
      <c r="C690" s="77"/>
      <c r="D690" s="77"/>
      <c r="E690" s="77"/>
      <c r="F690" s="77"/>
    </row>
    <row r="691" spans="1:6">
      <c r="A691" s="76"/>
      <c r="B691" s="77"/>
      <c r="C691" s="77"/>
      <c r="D691" s="77"/>
      <c r="E691" s="77"/>
      <c r="F691" s="77"/>
    </row>
    <row r="692" spans="1:6">
      <c r="A692" s="76"/>
      <c r="B692" s="77"/>
      <c r="C692" s="77"/>
      <c r="D692" s="77"/>
      <c r="E692" s="77"/>
      <c r="F692" s="77"/>
    </row>
    <row r="693" spans="1:6">
      <c r="A693" s="76"/>
      <c r="B693" s="77"/>
      <c r="C693" s="77"/>
      <c r="D693" s="77"/>
      <c r="E693" s="77"/>
      <c r="F693" s="77"/>
    </row>
    <row r="694" spans="1:6">
      <c r="A694" s="76"/>
      <c r="B694" s="77"/>
      <c r="C694" s="77"/>
      <c r="D694" s="77"/>
      <c r="E694" s="77"/>
      <c r="F694" s="77"/>
    </row>
    <row r="695" spans="1:6">
      <c r="A695" s="76"/>
      <c r="B695" s="77"/>
      <c r="C695" s="77"/>
      <c r="D695" s="77"/>
      <c r="E695" s="77"/>
      <c r="F695" s="77"/>
    </row>
    <row r="696" spans="1:6">
      <c r="A696" s="76"/>
      <c r="B696" s="77"/>
      <c r="C696" s="77"/>
      <c r="D696" s="77"/>
      <c r="E696" s="77"/>
      <c r="F696" s="77"/>
    </row>
    <row r="697" spans="1:6">
      <c r="A697" s="76"/>
      <c r="B697" s="77"/>
      <c r="C697" s="77"/>
      <c r="D697" s="77"/>
      <c r="E697" s="77"/>
      <c r="F697" s="77"/>
    </row>
    <row r="698" spans="1:6">
      <c r="A698" s="76"/>
      <c r="B698" s="77"/>
      <c r="C698" s="77"/>
      <c r="D698" s="77"/>
      <c r="E698" s="77"/>
      <c r="F698" s="77"/>
    </row>
    <row r="699" spans="1:6">
      <c r="A699" s="76"/>
      <c r="B699" s="77"/>
      <c r="C699" s="77"/>
      <c r="D699" s="77"/>
      <c r="E699" s="77"/>
      <c r="F699" s="77"/>
    </row>
    <row r="700" spans="1:6">
      <c r="A700" s="76"/>
      <c r="B700" s="77"/>
      <c r="C700" s="77"/>
      <c r="D700" s="77"/>
      <c r="E700" s="77"/>
      <c r="F700" s="77"/>
    </row>
    <row r="701" spans="1:6">
      <c r="A701" s="76"/>
      <c r="B701" s="77"/>
      <c r="C701" s="77"/>
      <c r="D701" s="77"/>
      <c r="E701" s="77"/>
      <c r="F701" s="77"/>
    </row>
    <row r="702" spans="1:6">
      <c r="A702" s="76"/>
      <c r="B702" s="77"/>
      <c r="C702" s="77"/>
      <c r="D702" s="77"/>
      <c r="E702" s="77"/>
      <c r="F702" s="77"/>
    </row>
    <row r="703" spans="1:6">
      <c r="A703" s="76"/>
      <c r="B703" s="77"/>
      <c r="C703" s="77"/>
      <c r="D703" s="77"/>
      <c r="E703" s="77"/>
      <c r="F703" s="77"/>
    </row>
    <row r="704" spans="1:6">
      <c r="A704" s="76"/>
      <c r="B704" s="77"/>
      <c r="C704" s="77"/>
      <c r="D704" s="77"/>
      <c r="E704" s="77"/>
      <c r="F704" s="77"/>
    </row>
    <row r="705" spans="1:6">
      <c r="A705" s="76"/>
      <c r="B705" s="77"/>
      <c r="C705" s="77"/>
      <c r="D705" s="77"/>
      <c r="E705" s="77"/>
      <c r="F705" s="77"/>
    </row>
    <row r="706" spans="1:6">
      <c r="A706" s="76"/>
      <c r="B706" s="77"/>
      <c r="C706" s="77"/>
      <c r="D706" s="77"/>
      <c r="E706" s="77"/>
      <c r="F706" s="77"/>
    </row>
    <row r="707" spans="1:6">
      <c r="A707" s="76"/>
      <c r="B707" s="77"/>
      <c r="C707" s="77"/>
      <c r="D707" s="77"/>
      <c r="E707" s="77"/>
      <c r="F707" s="77"/>
    </row>
    <row r="708" spans="1:6">
      <c r="A708" s="76"/>
      <c r="B708" s="77"/>
      <c r="C708" s="77"/>
      <c r="D708" s="77"/>
      <c r="E708" s="77"/>
      <c r="F708" s="77"/>
    </row>
    <row r="709" spans="1:6">
      <c r="A709" s="76"/>
      <c r="B709" s="77"/>
      <c r="C709" s="77"/>
      <c r="D709" s="77"/>
      <c r="E709" s="77"/>
      <c r="F709" s="77"/>
    </row>
    <row r="710" spans="1:6">
      <c r="A710" s="76"/>
      <c r="B710" s="77"/>
      <c r="C710" s="77"/>
      <c r="D710" s="77"/>
      <c r="E710" s="77"/>
      <c r="F710" s="77"/>
    </row>
    <row r="711" spans="1:6">
      <c r="A711" s="76"/>
      <c r="B711" s="77"/>
      <c r="C711" s="77"/>
      <c r="D711" s="77"/>
      <c r="E711" s="77"/>
      <c r="F711" s="77"/>
    </row>
    <row r="712" spans="1:6">
      <c r="A712" s="76"/>
      <c r="B712" s="77"/>
      <c r="C712" s="77"/>
      <c r="D712" s="77"/>
      <c r="E712" s="77"/>
      <c r="F712" s="77"/>
    </row>
    <row r="713" spans="1:6">
      <c r="A713" s="76"/>
      <c r="B713" s="77"/>
      <c r="C713" s="77"/>
      <c r="D713" s="77"/>
      <c r="E713" s="77"/>
      <c r="F713" s="77"/>
    </row>
    <row r="714" spans="1:6">
      <c r="A714" s="76"/>
      <c r="B714" s="77"/>
      <c r="C714" s="77"/>
      <c r="D714" s="77"/>
      <c r="E714" s="77"/>
      <c r="F714" s="77"/>
    </row>
    <row r="715" spans="1:6">
      <c r="A715" s="76"/>
      <c r="B715" s="77"/>
      <c r="C715" s="77"/>
      <c r="D715" s="77"/>
      <c r="E715" s="77"/>
      <c r="F715" s="77"/>
    </row>
    <row r="716" spans="1:6">
      <c r="A716" s="76"/>
      <c r="B716" s="77"/>
      <c r="C716" s="77"/>
      <c r="D716" s="77"/>
      <c r="E716" s="77"/>
      <c r="F716" s="77"/>
    </row>
    <row r="717" spans="1:6">
      <c r="A717" s="76"/>
      <c r="B717" s="77"/>
      <c r="C717" s="77"/>
      <c r="D717" s="77"/>
      <c r="E717" s="77"/>
      <c r="F717" s="77"/>
    </row>
    <row r="718" spans="1:6">
      <c r="A718" s="76"/>
      <c r="B718" s="77"/>
      <c r="C718" s="77"/>
      <c r="D718" s="77"/>
      <c r="E718" s="77"/>
      <c r="F718" s="77"/>
    </row>
    <row r="719" spans="1:6">
      <c r="A719" s="76"/>
      <c r="B719" s="77"/>
      <c r="C719" s="77"/>
      <c r="D719" s="77"/>
      <c r="E719" s="77"/>
      <c r="F719" s="77"/>
    </row>
    <row r="720" spans="1:6">
      <c r="A720" s="76"/>
      <c r="B720" s="77"/>
      <c r="C720" s="77"/>
      <c r="D720" s="77"/>
      <c r="E720" s="77"/>
      <c r="F720" s="77"/>
    </row>
    <row r="721" spans="1:6">
      <c r="A721" s="76"/>
      <c r="B721" s="77"/>
      <c r="C721" s="77"/>
      <c r="D721" s="77"/>
      <c r="E721" s="77"/>
      <c r="F721" s="77"/>
    </row>
    <row r="722" spans="1:6">
      <c r="A722" s="76"/>
      <c r="B722" s="77"/>
      <c r="C722" s="77"/>
      <c r="D722" s="77"/>
      <c r="E722" s="77"/>
      <c r="F722" s="77"/>
    </row>
    <row r="723" spans="1:6">
      <c r="A723" s="76"/>
      <c r="B723" s="77"/>
      <c r="C723" s="77"/>
      <c r="D723" s="77"/>
      <c r="E723" s="77"/>
      <c r="F723" s="77"/>
    </row>
    <row r="724" spans="1:6">
      <c r="A724" s="76"/>
      <c r="B724" s="77"/>
      <c r="C724" s="77"/>
      <c r="D724" s="77"/>
      <c r="E724" s="77"/>
      <c r="F724" s="77"/>
    </row>
    <row r="725" spans="1:6">
      <c r="A725" s="76"/>
      <c r="B725" s="77"/>
      <c r="C725" s="77"/>
      <c r="D725" s="77"/>
      <c r="E725" s="77"/>
      <c r="F725" s="77"/>
    </row>
    <row r="726" spans="1:6">
      <c r="A726" s="76"/>
      <c r="B726" s="77"/>
      <c r="C726" s="77"/>
      <c r="D726" s="77"/>
      <c r="E726" s="77"/>
      <c r="F726" s="77"/>
    </row>
    <row r="727" spans="1:6">
      <c r="A727" s="76"/>
      <c r="B727" s="77"/>
      <c r="C727" s="77"/>
      <c r="D727" s="77"/>
      <c r="E727" s="77"/>
      <c r="F727" s="77"/>
    </row>
    <row r="728" spans="1:6">
      <c r="A728" s="76"/>
      <c r="B728" s="77"/>
      <c r="C728" s="77"/>
      <c r="D728" s="77"/>
      <c r="E728" s="77"/>
      <c r="F728" s="77"/>
    </row>
    <row r="729" spans="1:6">
      <c r="A729" s="76"/>
      <c r="B729" s="77"/>
      <c r="C729" s="77"/>
      <c r="D729" s="77"/>
      <c r="E729" s="77"/>
      <c r="F729" s="77"/>
    </row>
    <row r="730" spans="1:6">
      <c r="A730" s="76"/>
      <c r="B730" s="77"/>
      <c r="C730" s="77"/>
      <c r="D730" s="77"/>
      <c r="E730" s="77"/>
      <c r="F730" s="77"/>
    </row>
    <row r="731" spans="1:6">
      <c r="A731" s="76"/>
      <c r="B731" s="77"/>
      <c r="C731" s="77"/>
      <c r="D731" s="77"/>
      <c r="E731" s="77"/>
      <c r="F731" s="77"/>
    </row>
    <row r="732" spans="1:6">
      <c r="A732" s="76"/>
      <c r="B732" s="77"/>
      <c r="C732" s="77"/>
      <c r="D732" s="77"/>
      <c r="E732" s="77"/>
      <c r="F732" s="77"/>
    </row>
    <row r="733" spans="1:6">
      <c r="A733" s="76"/>
      <c r="B733" s="77"/>
      <c r="C733" s="77"/>
      <c r="D733" s="77"/>
      <c r="E733" s="77"/>
      <c r="F733" s="77"/>
    </row>
    <row r="734" spans="1:6">
      <c r="A734" s="76"/>
      <c r="B734" s="77"/>
      <c r="C734" s="77"/>
      <c r="D734" s="77"/>
      <c r="E734" s="77"/>
      <c r="F734" s="77"/>
    </row>
    <row r="735" spans="1:6">
      <c r="A735" s="76"/>
      <c r="B735" s="77"/>
      <c r="C735" s="77"/>
      <c r="D735" s="77"/>
      <c r="E735" s="77"/>
      <c r="F735" s="77"/>
    </row>
    <row r="736" spans="1:6">
      <c r="A736" s="76"/>
      <c r="B736" s="77"/>
      <c r="C736" s="77"/>
      <c r="D736" s="77"/>
      <c r="E736" s="77"/>
      <c r="F736" s="77"/>
    </row>
    <row r="737" spans="1:6">
      <c r="A737" s="76"/>
      <c r="B737" s="77"/>
      <c r="C737" s="77"/>
      <c r="D737" s="77"/>
      <c r="E737" s="77"/>
      <c r="F737" s="77"/>
    </row>
    <row r="738" spans="1:6">
      <c r="A738" s="76"/>
      <c r="B738" s="77"/>
      <c r="C738" s="77"/>
      <c r="D738" s="77"/>
      <c r="E738" s="77"/>
      <c r="F738" s="77"/>
    </row>
    <row r="739" spans="1:6">
      <c r="A739" s="76"/>
      <c r="B739" s="77"/>
      <c r="C739" s="77"/>
      <c r="D739" s="77"/>
      <c r="E739" s="77"/>
      <c r="F739" s="77"/>
    </row>
    <row r="740" spans="1:6">
      <c r="A740" s="76"/>
      <c r="B740" s="77"/>
      <c r="C740" s="77"/>
      <c r="D740" s="77"/>
      <c r="E740" s="77"/>
      <c r="F740" s="77"/>
    </row>
    <row r="741" spans="1:6">
      <c r="A741" s="76"/>
      <c r="B741" s="77"/>
      <c r="C741" s="77"/>
      <c r="D741" s="77"/>
      <c r="E741" s="77"/>
      <c r="F741" s="77"/>
    </row>
    <row r="742" spans="1:6">
      <c r="A742" s="76"/>
      <c r="B742" s="77"/>
      <c r="C742" s="77"/>
      <c r="D742" s="77"/>
      <c r="E742" s="77"/>
      <c r="F742" s="77"/>
    </row>
    <row r="743" spans="1:6">
      <c r="A743" s="76"/>
      <c r="B743" s="77"/>
      <c r="C743" s="77"/>
      <c r="D743" s="77"/>
      <c r="E743" s="77"/>
      <c r="F743" s="77"/>
    </row>
    <row r="744" spans="1:6">
      <c r="A744" s="76"/>
      <c r="B744" s="77"/>
      <c r="C744" s="77"/>
      <c r="D744" s="77"/>
      <c r="E744" s="77"/>
      <c r="F744" s="77"/>
    </row>
    <row r="745" spans="1:6">
      <c r="A745" s="76"/>
      <c r="B745" s="77"/>
      <c r="C745" s="77"/>
      <c r="D745" s="77"/>
      <c r="E745" s="77"/>
      <c r="F745" s="77"/>
    </row>
    <row r="746" spans="1:6">
      <c r="A746" s="76"/>
      <c r="B746" s="77"/>
      <c r="C746" s="77"/>
      <c r="D746" s="77"/>
      <c r="E746" s="77"/>
      <c r="F746" s="77"/>
    </row>
    <row r="747" spans="1:6">
      <c r="A747" s="76"/>
      <c r="B747" s="77"/>
      <c r="C747" s="77"/>
      <c r="D747" s="77"/>
      <c r="E747" s="77"/>
      <c r="F747" s="77"/>
    </row>
    <row r="748" spans="1:6">
      <c r="A748" s="76"/>
      <c r="B748" s="77"/>
      <c r="C748" s="77"/>
      <c r="D748" s="77"/>
      <c r="E748" s="77"/>
      <c r="F748" s="77"/>
    </row>
    <row r="749" spans="1:6">
      <c r="A749" s="76"/>
      <c r="B749" s="77"/>
      <c r="C749" s="77"/>
      <c r="D749" s="77"/>
      <c r="E749" s="77"/>
      <c r="F749" s="77"/>
    </row>
    <row r="750" spans="1:6">
      <c r="A750" s="76"/>
      <c r="B750" s="77"/>
      <c r="C750" s="77"/>
      <c r="D750" s="77"/>
      <c r="E750" s="77"/>
      <c r="F750" s="77"/>
    </row>
    <row r="751" spans="1:6">
      <c r="A751" s="76"/>
      <c r="B751" s="77"/>
      <c r="C751" s="77"/>
      <c r="D751" s="77"/>
      <c r="E751" s="77"/>
      <c r="F751" s="77"/>
    </row>
    <row r="752" spans="1:6">
      <c r="A752" s="76"/>
      <c r="B752" s="77"/>
      <c r="C752" s="77"/>
      <c r="D752" s="77"/>
      <c r="E752" s="77"/>
      <c r="F752" s="77"/>
    </row>
    <row r="753" spans="1:6">
      <c r="A753" s="76"/>
      <c r="B753" s="77"/>
      <c r="C753" s="77"/>
      <c r="D753" s="77"/>
      <c r="E753" s="77"/>
      <c r="F753" s="77"/>
    </row>
    <row r="754" spans="1:6">
      <c r="A754" s="76"/>
      <c r="B754" s="77"/>
      <c r="C754" s="77"/>
      <c r="D754" s="77"/>
      <c r="E754" s="77"/>
      <c r="F754" s="77"/>
    </row>
    <row r="755" spans="1:6">
      <c r="A755" s="76"/>
      <c r="B755" s="77"/>
      <c r="C755" s="77"/>
      <c r="D755" s="77"/>
      <c r="E755" s="77"/>
      <c r="F755" s="77"/>
    </row>
    <row r="756" spans="1:6">
      <c r="A756" s="76"/>
      <c r="B756" s="77"/>
      <c r="C756" s="77"/>
      <c r="D756" s="77"/>
      <c r="E756" s="77"/>
      <c r="F756" s="77"/>
    </row>
    <row r="757" spans="1:6">
      <c r="A757" s="76"/>
      <c r="B757" s="77"/>
      <c r="C757" s="77"/>
      <c r="D757" s="77"/>
      <c r="E757" s="77"/>
      <c r="F757" s="77"/>
    </row>
    <row r="758" spans="1:6">
      <c r="A758" s="76"/>
      <c r="B758" s="77"/>
      <c r="C758" s="77"/>
      <c r="D758" s="77"/>
      <c r="E758" s="77"/>
      <c r="F758" s="77"/>
    </row>
    <row r="759" spans="1:6">
      <c r="A759" s="76"/>
      <c r="B759" s="77"/>
      <c r="C759" s="77"/>
      <c r="D759" s="77"/>
      <c r="E759" s="77"/>
      <c r="F759" s="77"/>
    </row>
    <row r="760" spans="1:6">
      <c r="A760" s="76"/>
      <c r="B760" s="77"/>
      <c r="C760" s="77"/>
      <c r="D760" s="77"/>
      <c r="E760" s="77"/>
      <c r="F760" s="77"/>
    </row>
    <row r="761" spans="1:6">
      <c r="A761" s="76"/>
      <c r="B761" s="77"/>
      <c r="C761" s="77"/>
      <c r="D761" s="77"/>
      <c r="E761" s="77"/>
      <c r="F761" s="77"/>
    </row>
    <row r="762" spans="1:6">
      <c r="A762" s="76"/>
      <c r="B762" s="77"/>
      <c r="C762" s="77"/>
      <c r="D762" s="77"/>
      <c r="E762" s="77"/>
      <c r="F762" s="77"/>
    </row>
    <row r="763" spans="1:6">
      <c r="A763" s="76"/>
      <c r="B763" s="77"/>
      <c r="C763" s="77"/>
      <c r="D763" s="77"/>
      <c r="E763" s="77"/>
      <c r="F763" s="77"/>
    </row>
    <row r="764" spans="1:6">
      <c r="A764" s="76"/>
      <c r="B764" s="77"/>
      <c r="C764" s="77"/>
      <c r="D764" s="77"/>
      <c r="E764" s="77"/>
      <c r="F764" s="77"/>
    </row>
    <row r="765" spans="1:6">
      <c r="A765" s="76"/>
      <c r="B765" s="77"/>
      <c r="C765" s="77"/>
      <c r="D765" s="77"/>
      <c r="E765" s="77"/>
      <c r="F765" s="77"/>
    </row>
    <row r="766" spans="1:6">
      <c r="A766" s="76"/>
      <c r="B766" s="77"/>
      <c r="C766" s="77"/>
      <c r="D766" s="77"/>
      <c r="E766" s="77"/>
      <c r="F766" s="77"/>
    </row>
    <row r="767" spans="1:6">
      <c r="A767" s="76"/>
      <c r="B767" s="77"/>
      <c r="C767" s="77"/>
      <c r="D767" s="77"/>
      <c r="E767" s="77"/>
      <c r="F767" s="77"/>
    </row>
    <row r="768" spans="1:6">
      <c r="A768" s="76"/>
      <c r="B768" s="77"/>
      <c r="C768" s="77"/>
      <c r="D768" s="77"/>
      <c r="E768" s="77"/>
      <c r="F768" s="77"/>
    </row>
    <row r="769" spans="1:6">
      <c r="A769" s="76"/>
      <c r="B769" s="77"/>
      <c r="C769" s="77"/>
      <c r="D769" s="77"/>
      <c r="E769" s="77"/>
      <c r="F769" s="77"/>
    </row>
    <row r="770" spans="1:6">
      <c r="A770" s="76"/>
      <c r="B770" s="77"/>
      <c r="C770" s="77"/>
      <c r="D770" s="77"/>
      <c r="E770" s="77"/>
      <c r="F770" s="77"/>
    </row>
    <row r="771" spans="1:6">
      <c r="A771" s="76"/>
      <c r="B771" s="77"/>
      <c r="C771" s="77"/>
      <c r="D771" s="77"/>
      <c r="E771" s="77"/>
      <c r="F771" s="77"/>
    </row>
    <row r="772" spans="1:6">
      <c r="A772" s="76"/>
      <c r="B772" s="77"/>
      <c r="C772" s="77"/>
      <c r="D772" s="77"/>
      <c r="E772" s="77"/>
      <c r="F772" s="77"/>
    </row>
    <row r="773" spans="1:6">
      <c r="A773" s="76"/>
      <c r="B773" s="77"/>
      <c r="C773" s="77"/>
      <c r="D773" s="77"/>
      <c r="E773" s="77"/>
      <c r="F773" s="77"/>
    </row>
    <row r="774" spans="1:6">
      <c r="A774" s="76"/>
      <c r="B774" s="77"/>
      <c r="C774" s="77"/>
      <c r="D774" s="77"/>
      <c r="E774" s="77"/>
      <c r="F774" s="77"/>
    </row>
    <row r="775" spans="1:6">
      <c r="A775" s="76"/>
      <c r="B775" s="77"/>
      <c r="C775" s="77"/>
      <c r="D775" s="77"/>
      <c r="E775" s="77"/>
      <c r="F775" s="77"/>
    </row>
    <row r="776" spans="1:6">
      <c r="A776" s="76"/>
      <c r="B776" s="77"/>
      <c r="C776" s="77"/>
      <c r="D776" s="77"/>
      <c r="E776" s="77"/>
      <c r="F776" s="77"/>
    </row>
    <row r="777" spans="1:6">
      <c r="A777" s="76"/>
      <c r="B777" s="77"/>
      <c r="C777" s="77"/>
      <c r="D777" s="77"/>
      <c r="E777" s="77"/>
      <c r="F777" s="77"/>
    </row>
    <row r="778" spans="1:6">
      <c r="A778" s="76"/>
      <c r="B778" s="77"/>
      <c r="C778" s="77"/>
      <c r="D778" s="77"/>
      <c r="E778" s="77"/>
      <c r="F778" s="77"/>
    </row>
    <row r="779" spans="1:6">
      <c r="A779" s="76"/>
      <c r="B779" s="77"/>
      <c r="C779" s="77"/>
      <c r="D779" s="77"/>
      <c r="E779" s="77"/>
      <c r="F779" s="77"/>
    </row>
    <row r="780" spans="1:6">
      <c r="A780" s="76"/>
      <c r="B780" s="77"/>
      <c r="C780" s="77"/>
      <c r="D780" s="77"/>
      <c r="E780" s="77"/>
      <c r="F780" s="77"/>
    </row>
    <row r="781" spans="1:6">
      <c r="A781" s="76"/>
      <c r="B781" s="77"/>
      <c r="C781" s="77"/>
      <c r="D781" s="77"/>
      <c r="E781" s="77"/>
      <c r="F781" s="77"/>
    </row>
    <row r="782" spans="1:6">
      <c r="A782" s="76"/>
      <c r="B782" s="77"/>
      <c r="C782" s="77"/>
      <c r="D782" s="77"/>
      <c r="E782" s="77"/>
      <c r="F782" s="77"/>
    </row>
    <row r="783" spans="1:6">
      <c r="A783" s="76"/>
      <c r="B783" s="77"/>
      <c r="C783" s="77"/>
      <c r="D783" s="77"/>
      <c r="E783" s="77"/>
      <c r="F783" s="77"/>
    </row>
    <row r="784" spans="1:6">
      <c r="A784" s="76"/>
      <c r="B784" s="77"/>
      <c r="C784" s="77"/>
      <c r="D784" s="77"/>
      <c r="E784" s="77"/>
      <c r="F784" s="77"/>
    </row>
    <row r="785" spans="1:6">
      <c r="A785" s="76"/>
      <c r="B785" s="77"/>
      <c r="C785" s="77"/>
      <c r="D785" s="77"/>
      <c r="E785" s="77"/>
      <c r="F785" s="77"/>
    </row>
    <row r="786" spans="1:6">
      <c r="A786" s="76"/>
      <c r="B786" s="77"/>
      <c r="C786" s="77"/>
      <c r="D786" s="77"/>
      <c r="E786" s="77"/>
      <c r="F786" s="77"/>
    </row>
    <row r="787" spans="1:6">
      <c r="A787" s="76"/>
      <c r="B787" s="77"/>
      <c r="C787" s="77"/>
      <c r="D787" s="77"/>
      <c r="E787" s="77"/>
      <c r="F787" s="77"/>
    </row>
    <row r="788" spans="1:6">
      <c r="A788" s="76"/>
      <c r="B788" s="77"/>
      <c r="C788" s="77"/>
      <c r="D788" s="77"/>
      <c r="E788" s="77"/>
      <c r="F788" s="77"/>
    </row>
    <row r="789" spans="1:6">
      <c r="A789" s="76"/>
      <c r="B789" s="77"/>
      <c r="C789" s="77"/>
      <c r="D789" s="77"/>
      <c r="E789" s="77"/>
      <c r="F789" s="77"/>
    </row>
    <row r="790" spans="1:6">
      <c r="A790" s="76"/>
      <c r="B790" s="77"/>
      <c r="C790" s="77"/>
      <c r="D790" s="77"/>
      <c r="E790" s="77"/>
      <c r="F790" s="77"/>
    </row>
    <row r="791" spans="1:6">
      <c r="A791" s="76"/>
      <c r="B791" s="77"/>
      <c r="C791" s="77"/>
      <c r="D791" s="77"/>
      <c r="E791" s="77"/>
      <c r="F791" s="77"/>
    </row>
    <row r="792" spans="1:6">
      <c r="A792" s="76"/>
      <c r="B792" s="77"/>
      <c r="C792" s="77"/>
      <c r="D792" s="77"/>
      <c r="E792" s="77"/>
      <c r="F792" s="77"/>
    </row>
    <row r="793" spans="1:6">
      <c r="A793" s="76"/>
      <c r="B793" s="77"/>
      <c r="C793" s="77"/>
      <c r="D793" s="77"/>
      <c r="E793" s="77"/>
      <c r="F793" s="77"/>
    </row>
    <row r="794" spans="1:6">
      <c r="A794" s="76"/>
      <c r="B794" s="77"/>
      <c r="C794" s="77"/>
      <c r="D794" s="77"/>
      <c r="E794" s="77"/>
      <c r="F794" s="77"/>
    </row>
    <row r="795" spans="1:6">
      <c r="A795" s="76"/>
      <c r="B795" s="77"/>
      <c r="C795" s="77"/>
      <c r="D795" s="77"/>
      <c r="E795" s="77"/>
      <c r="F795" s="77"/>
    </row>
    <row r="796" spans="1:6">
      <c r="A796" s="76"/>
      <c r="B796" s="77"/>
      <c r="C796" s="77"/>
      <c r="D796" s="77"/>
      <c r="E796" s="77"/>
      <c r="F796" s="77"/>
    </row>
    <row r="797" spans="1:6">
      <c r="A797" s="76"/>
      <c r="B797" s="77"/>
      <c r="C797" s="77"/>
      <c r="D797" s="77"/>
      <c r="E797" s="77"/>
      <c r="F797" s="77"/>
    </row>
    <row r="798" spans="1:6">
      <c r="A798" s="76"/>
      <c r="B798" s="77"/>
      <c r="C798" s="77"/>
      <c r="D798" s="77"/>
      <c r="E798" s="77"/>
      <c r="F798" s="77"/>
    </row>
    <row r="799" spans="1:6">
      <c r="A799" s="76"/>
      <c r="B799" s="77"/>
      <c r="C799" s="77"/>
      <c r="D799" s="77"/>
      <c r="E799" s="77"/>
      <c r="F799" s="77"/>
    </row>
    <row r="800" spans="1:6">
      <c r="A800" s="76"/>
      <c r="B800" s="77"/>
      <c r="C800" s="77"/>
      <c r="D800" s="77"/>
      <c r="E800" s="77"/>
      <c r="F800" s="77"/>
    </row>
    <row r="801" spans="1:6">
      <c r="A801" s="76"/>
      <c r="B801" s="77"/>
      <c r="C801" s="77"/>
      <c r="D801" s="77"/>
      <c r="E801" s="77"/>
      <c r="F801" s="77"/>
    </row>
    <row r="802" spans="1:6">
      <c r="A802" s="76"/>
      <c r="B802" s="77"/>
      <c r="C802" s="77"/>
      <c r="D802" s="77"/>
      <c r="E802" s="77"/>
      <c r="F802" s="77"/>
    </row>
    <row r="803" spans="1:6">
      <c r="A803" s="76"/>
      <c r="B803" s="77"/>
      <c r="C803" s="77"/>
      <c r="D803" s="77"/>
      <c r="E803" s="77"/>
      <c r="F803" s="77"/>
    </row>
    <row r="804" spans="1:6">
      <c r="A804" s="76"/>
      <c r="B804" s="77"/>
      <c r="C804" s="77"/>
      <c r="D804" s="77"/>
      <c r="E804" s="77"/>
      <c r="F804" s="77"/>
    </row>
    <row r="805" spans="1:6">
      <c r="A805" s="76"/>
      <c r="B805" s="77"/>
      <c r="C805" s="77"/>
      <c r="D805" s="77"/>
      <c r="E805" s="77"/>
      <c r="F805" s="77"/>
    </row>
    <row r="806" spans="1:6">
      <c r="A806" s="76"/>
      <c r="B806" s="77"/>
      <c r="C806" s="77"/>
      <c r="D806" s="77"/>
      <c r="E806" s="77"/>
      <c r="F806" s="77"/>
    </row>
    <row r="807" spans="1:6">
      <c r="A807" s="76"/>
      <c r="B807" s="77"/>
      <c r="C807" s="77"/>
      <c r="D807" s="77"/>
      <c r="E807" s="77"/>
      <c r="F807" s="77"/>
    </row>
    <row r="808" spans="1:6">
      <c r="A808" s="76"/>
      <c r="B808" s="77"/>
      <c r="C808" s="77"/>
      <c r="D808" s="77"/>
      <c r="E808" s="77"/>
      <c r="F808" s="77"/>
    </row>
    <row r="809" spans="1:6">
      <c r="A809" s="76"/>
      <c r="B809" s="77"/>
      <c r="C809" s="77"/>
      <c r="D809" s="77"/>
      <c r="E809" s="77"/>
      <c r="F809" s="77"/>
    </row>
    <row r="810" spans="1:6">
      <c r="A810" s="76"/>
      <c r="B810" s="77"/>
      <c r="C810" s="77"/>
      <c r="D810" s="77"/>
      <c r="E810" s="77"/>
      <c r="F810" s="77"/>
    </row>
    <row r="811" spans="1:6">
      <c r="A811" s="76"/>
      <c r="B811" s="77"/>
      <c r="C811" s="77"/>
      <c r="D811" s="77"/>
      <c r="E811" s="77"/>
      <c r="F811" s="77"/>
    </row>
    <row r="812" spans="1:6">
      <c r="A812" s="76"/>
      <c r="B812" s="77"/>
      <c r="C812" s="77"/>
      <c r="D812" s="77"/>
      <c r="E812" s="77"/>
      <c r="F812" s="77"/>
    </row>
    <row r="813" spans="1:6">
      <c r="A813" s="76"/>
      <c r="B813" s="77"/>
      <c r="C813" s="77"/>
      <c r="D813" s="77"/>
      <c r="E813" s="77"/>
      <c r="F813" s="77"/>
    </row>
    <row r="814" spans="1:6">
      <c r="A814" s="76"/>
      <c r="B814" s="77"/>
      <c r="C814" s="77"/>
      <c r="D814" s="77"/>
      <c r="E814" s="77"/>
      <c r="F814" s="77"/>
    </row>
    <row r="815" spans="1:6">
      <c r="A815" s="76"/>
      <c r="B815" s="77"/>
      <c r="C815" s="77"/>
      <c r="D815" s="77"/>
      <c r="E815" s="77"/>
      <c r="F815" s="77"/>
    </row>
    <row r="816" spans="1:6">
      <c r="A816" s="76"/>
      <c r="B816" s="77"/>
      <c r="C816" s="77"/>
      <c r="D816" s="77"/>
      <c r="E816" s="77"/>
      <c r="F816" s="77"/>
    </row>
    <row r="817" spans="1:6">
      <c r="A817" s="76"/>
      <c r="B817" s="77"/>
      <c r="C817" s="77"/>
      <c r="D817" s="77"/>
      <c r="E817" s="77"/>
      <c r="F817" s="77"/>
    </row>
    <row r="818" spans="1:6">
      <c r="A818" s="76"/>
      <c r="B818" s="77"/>
      <c r="C818" s="77"/>
      <c r="D818" s="77"/>
      <c r="E818" s="77"/>
      <c r="F818" s="77"/>
    </row>
    <row r="819" spans="1:6">
      <c r="A819" s="76"/>
      <c r="B819" s="77"/>
      <c r="C819" s="77"/>
      <c r="D819" s="77"/>
      <c r="E819" s="77"/>
      <c r="F819" s="77"/>
    </row>
    <row r="820" spans="1:6">
      <c r="A820" s="76"/>
      <c r="B820" s="77"/>
      <c r="C820" s="77"/>
      <c r="D820" s="77"/>
      <c r="E820" s="77"/>
      <c r="F820" s="77"/>
    </row>
    <row r="821" spans="1:6">
      <c r="A821" s="76"/>
      <c r="B821" s="77"/>
      <c r="C821" s="77"/>
      <c r="D821" s="77"/>
      <c r="E821" s="77"/>
      <c r="F821" s="77"/>
    </row>
    <row r="822" spans="1:6">
      <c r="A822" s="76"/>
      <c r="B822" s="77"/>
      <c r="C822" s="77"/>
      <c r="D822" s="77"/>
      <c r="E822" s="77"/>
      <c r="F822" s="77"/>
    </row>
    <row r="823" spans="1:6">
      <c r="A823" s="76"/>
      <c r="B823" s="77"/>
      <c r="C823" s="77"/>
      <c r="D823" s="77"/>
      <c r="E823" s="77"/>
      <c r="F823" s="77"/>
    </row>
    <row r="824" spans="1:6">
      <c r="A824" s="76"/>
      <c r="B824" s="77"/>
      <c r="C824" s="77"/>
      <c r="D824" s="77"/>
      <c r="E824" s="77"/>
      <c r="F824" s="77"/>
    </row>
    <row r="825" spans="1:6">
      <c r="A825" s="76"/>
      <c r="B825" s="77"/>
      <c r="C825" s="77"/>
      <c r="D825" s="77"/>
      <c r="E825" s="77"/>
      <c r="F825" s="77"/>
    </row>
    <row r="826" spans="1:6">
      <c r="A826" s="76"/>
      <c r="B826" s="77"/>
      <c r="C826" s="77"/>
      <c r="D826" s="77"/>
      <c r="E826" s="77"/>
      <c r="F826" s="77"/>
    </row>
    <row r="827" spans="1:6">
      <c r="A827" s="76"/>
      <c r="B827" s="77"/>
      <c r="C827" s="77"/>
      <c r="D827" s="77"/>
      <c r="E827" s="77"/>
      <c r="F827" s="77"/>
    </row>
    <row r="828" spans="1:6">
      <c r="A828" s="76"/>
      <c r="B828" s="77"/>
      <c r="C828" s="77"/>
      <c r="D828" s="77"/>
      <c r="E828" s="77"/>
      <c r="F828" s="77"/>
    </row>
    <row r="829" spans="1:6">
      <c r="A829" s="76"/>
      <c r="B829" s="77"/>
      <c r="C829" s="77"/>
      <c r="D829" s="77"/>
      <c r="E829" s="77"/>
      <c r="F829" s="77"/>
    </row>
    <row r="830" spans="1:6">
      <c r="A830" s="76"/>
      <c r="B830" s="77"/>
      <c r="C830" s="77"/>
      <c r="D830" s="77"/>
      <c r="E830" s="77"/>
      <c r="F830" s="77"/>
    </row>
    <row r="831" spans="1:6">
      <c r="A831" s="76"/>
      <c r="B831" s="77"/>
      <c r="C831" s="77"/>
      <c r="D831" s="77"/>
      <c r="E831" s="77"/>
      <c r="F831" s="77"/>
    </row>
    <row r="832" spans="1:6">
      <c r="A832" s="76"/>
      <c r="B832" s="77"/>
      <c r="C832" s="77"/>
      <c r="D832" s="77"/>
      <c r="E832" s="77"/>
      <c r="F832" s="77"/>
    </row>
    <row r="833" spans="1:6">
      <c r="A833" s="76"/>
      <c r="B833" s="77"/>
      <c r="C833" s="77"/>
      <c r="D833" s="77"/>
      <c r="E833" s="77"/>
      <c r="F833" s="77"/>
    </row>
    <row r="834" spans="1:6">
      <c r="A834" s="76"/>
      <c r="B834" s="77"/>
      <c r="C834" s="77"/>
      <c r="D834" s="77"/>
      <c r="E834" s="77"/>
      <c r="F834" s="77"/>
    </row>
    <row r="835" spans="1:6">
      <c r="A835" s="76"/>
      <c r="B835" s="77"/>
      <c r="C835" s="77"/>
      <c r="D835" s="77"/>
      <c r="E835" s="77"/>
      <c r="F835" s="77"/>
    </row>
    <row r="836" spans="1:6">
      <c r="A836" s="76"/>
      <c r="B836" s="77"/>
      <c r="C836" s="77"/>
      <c r="D836" s="77"/>
      <c r="E836" s="77"/>
      <c r="F836" s="77"/>
    </row>
    <row r="837" spans="1:6">
      <c r="A837" s="76"/>
      <c r="B837" s="77"/>
      <c r="C837" s="77"/>
      <c r="D837" s="77"/>
      <c r="E837" s="77"/>
      <c r="F837" s="77"/>
    </row>
    <row r="838" spans="1:6">
      <c r="A838" s="76"/>
      <c r="B838" s="77"/>
      <c r="C838" s="77"/>
      <c r="D838" s="77"/>
      <c r="E838" s="77"/>
      <c r="F838" s="77"/>
    </row>
    <row r="839" spans="1:6">
      <c r="A839" s="76"/>
      <c r="B839" s="77"/>
      <c r="C839" s="77"/>
      <c r="D839" s="77"/>
      <c r="E839" s="77"/>
      <c r="F839" s="77"/>
    </row>
    <row r="840" spans="1:6">
      <c r="A840" s="76"/>
      <c r="B840" s="77"/>
      <c r="C840" s="77"/>
      <c r="D840" s="77"/>
      <c r="E840" s="77"/>
      <c r="F840" s="77"/>
    </row>
    <row r="841" spans="1:6">
      <c r="A841" s="76"/>
      <c r="B841" s="77"/>
      <c r="C841" s="77"/>
      <c r="D841" s="77"/>
      <c r="E841" s="77"/>
      <c r="F841" s="77"/>
    </row>
    <row r="842" spans="1:6">
      <c r="A842" s="76"/>
      <c r="B842" s="77"/>
      <c r="C842" s="77"/>
      <c r="D842" s="77"/>
      <c r="E842" s="77"/>
      <c r="F842" s="77"/>
    </row>
    <row r="843" spans="1:6">
      <c r="A843" s="76"/>
      <c r="B843" s="77"/>
      <c r="C843" s="77"/>
      <c r="D843" s="77"/>
      <c r="E843" s="77"/>
      <c r="F843" s="77"/>
    </row>
    <row r="844" spans="1:6">
      <c r="A844" s="76"/>
      <c r="B844" s="77"/>
      <c r="C844" s="77"/>
      <c r="D844" s="77"/>
      <c r="E844" s="77"/>
      <c r="F844" s="77"/>
    </row>
    <row r="845" spans="1:6">
      <c r="A845" s="76"/>
      <c r="B845" s="77"/>
      <c r="C845" s="77"/>
      <c r="D845" s="77"/>
      <c r="E845" s="77"/>
      <c r="F845" s="77"/>
    </row>
    <row r="846" spans="1:6">
      <c r="A846" s="76"/>
      <c r="B846" s="77"/>
      <c r="C846" s="77"/>
      <c r="D846" s="77"/>
      <c r="E846" s="77"/>
      <c r="F846" s="77"/>
    </row>
    <row r="847" spans="1:6">
      <c r="A847" s="76"/>
      <c r="B847" s="77"/>
      <c r="C847" s="77"/>
      <c r="D847" s="77"/>
      <c r="E847" s="77"/>
      <c r="F847" s="77"/>
    </row>
    <row r="848" spans="1:6">
      <c r="A848" s="76"/>
      <c r="B848" s="77"/>
      <c r="C848" s="77"/>
      <c r="D848" s="77"/>
      <c r="E848" s="77"/>
      <c r="F848" s="77"/>
    </row>
    <row r="849" spans="1:6">
      <c r="A849" s="76"/>
      <c r="B849" s="77"/>
      <c r="C849" s="77"/>
      <c r="D849" s="77"/>
      <c r="E849" s="77"/>
      <c r="F849" s="77"/>
    </row>
    <row r="850" spans="1:6">
      <c r="A850" s="76"/>
      <c r="B850" s="77"/>
      <c r="C850" s="77"/>
      <c r="D850" s="77"/>
      <c r="E850" s="77"/>
      <c r="F850" s="77"/>
    </row>
    <row r="851" spans="1:6">
      <c r="A851" s="76"/>
      <c r="B851" s="77"/>
      <c r="C851" s="77"/>
      <c r="D851" s="77"/>
      <c r="E851" s="77"/>
      <c r="F851" s="77"/>
    </row>
    <row r="852" spans="1:6">
      <c r="A852" s="76"/>
      <c r="B852" s="77"/>
      <c r="C852" s="77"/>
      <c r="D852" s="77"/>
      <c r="E852" s="77"/>
      <c r="F852" s="77"/>
    </row>
    <row r="853" spans="1:6">
      <c r="A853" s="76"/>
      <c r="B853" s="77"/>
      <c r="C853" s="77"/>
      <c r="D853" s="77"/>
      <c r="E853" s="77"/>
      <c r="F853" s="77"/>
    </row>
    <row r="854" spans="1:6">
      <c r="A854" s="76"/>
      <c r="B854" s="77"/>
      <c r="C854" s="77"/>
      <c r="D854" s="77"/>
      <c r="E854" s="77"/>
      <c r="F854" s="77"/>
    </row>
    <row r="855" spans="1:6">
      <c r="A855" s="76"/>
      <c r="B855" s="77"/>
      <c r="C855" s="77"/>
      <c r="D855" s="77"/>
      <c r="E855" s="77"/>
      <c r="F855" s="77"/>
    </row>
    <row r="856" spans="1:6">
      <c r="A856" s="76"/>
      <c r="B856" s="77"/>
      <c r="C856" s="77"/>
      <c r="D856" s="77"/>
      <c r="E856" s="77"/>
      <c r="F856" s="77"/>
    </row>
    <row r="857" spans="1:6">
      <c r="A857" s="76"/>
      <c r="B857" s="77"/>
      <c r="C857" s="77"/>
      <c r="D857" s="77"/>
      <c r="E857" s="77"/>
      <c r="F857" s="77"/>
    </row>
    <row r="858" spans="1:6">
      <c r="A858" s="76"/>
      <c r="B858" s="77"/>
      <c r="C858" s="77"/>
      <c r="D858" s="77"/>
      <c r="E858" s="77"/>
      <c r="F858" s="77"/>
    </row>
    <row r="859" spans="1:6">
      <c r="A859" s="76"/>
      <c r="B859" s="77"/>
      <c r="C859" s="77"/>
      <c r="D859" s="77"/>
      <c r="E859" s="77"/>
      <c r="F859" s="77"/>
    </row>
    <row r="860" spans="1:6">
      <c r="A860" s="76"/>
      <c r="B860" s="77"/>
      <c r="C860" s="77"/>
      <c r="D860" s="77"/>
      <c r="E860" s="77"/>
      <c r="F860" s="77"/>
    </row>
    <row r="861" spans="1:6">
      <c r="A861" s="76"/>
      <c r="B861" s="77"/>
      <c r="C861" s="77"/>
      <c r="D861" s="77"/>
      <c r="E861" s="77"/>
      <c r="F861" s="77"/>
    </row>
    <row r="862" spans="1:6">
      <c r="A862" s="76"/>
      <c r="B862" s="77"/>
      <c r="C862" s="77"/>
      <c r="D862" s="77"/>
      <c r="E862" s="77"/>
      <c r="F862" s="77"/>
    </row>
    <row r="863" spans="1:6">
      <c r="A863" s="76"/>
      <c r="B863" s="77"/>
      <c r="C863" s="77"/>
      <c r="D863" s="77"/>
      <c r="E863" s="77"/>
      <c r="F863" s="77"/>
    </row>
    <row r="864" spans="1:6">
      <c r="A864" s="76"/>
      <c r="B864" s="77"/>
      <c r="C864" s="77"/>
      <c r="D864" s="77"/>
      <c r="E864" s="77"/>
      <c r="F864" s="77"/>
    </row>
    <row r="865" spans="1:6">
      <c r="A865" s="76"/>
      <c r="B865" s="77"/>
      <c r="C865" s="77"/>
      <c r="D865" s="77"/>
      <c r="E865" s="77"/>
      <c r="F865" s="77"/>
    </row>
    <row r="866" spans="1:6">
      <c r="A866" s="76"/>
      <c r="B866" s="77"/>
      <c r="C866" s="77"/>
      <c r="D866" s="77"/>
      <c r="E866" s="77"/>
      <c r="F866" s="77"/>
    </row>
    <row r="867" spans="1:6">
      <c r="A867" s="76"/>
      <c r="B867" s="77"/>
      <c r="C867" s="77"/>
      <c r="D867" s="77"/>
      <c r="E867" s="77"/>
      <c r="F867" s="77"/>
    </row>
    <row r="868" spans="1:6">
      <c r="A868" s="76"/>
      <c r="B868" s="77"/>
      <c r="C868" s="77"/>
      <c r="D868" s="77"/>
      <c r="E868" s="77"/>
      <c r="F868" s="77"/>
    </row>
    <row r="869" spans="1:6">
      <c r="A869" s="76"/>
      <c r="B869" s="77"/>
      <c r="C869" s="77"/>
      <c r="D869" s="77"/>
      <c r="E869" s="77"/>
      <c r="F869" s="77"/>
    </row>
    <row r="870" spans="1:6">
      <c r="A870" s="76"/>
      <c r="B870" s="77"/>
      <c r="C870" s="77"/>
      <c r="D870" s="77"/>
      <c r="E870" s="77"/>
      <c r="F870" s="77"/>
    </row>
    <row r="871" spans="1:6">
      <c r="A871" s="76"/>
      <c r="B871" s="77"/>
      <c r="C871" s="77"/>
      <c r="D871" s="77"/>
      <c r="E871" s="77"/>
      <c r="F871" s="77"/>
    </row>
    <row r="872" spans="1:6">
      <c r="A872" s="76"/>
      <c r="B872" s="77"/>
      <c r="C872" s="77"/>
      <c r="D872" s="77"/>
      <c r="E872" s="77"/>
      <c r="F872" s="77"/>
    </row>
    <row r="873" spans="1:6">
      <c r="A873" s="76"/>
      <c r="B873" s="77"/>
      <c r="C873" s="77"/>
      <c r="D873" s="77"/>
      <c r="E873" s="77"/>
      <c r="F873" s="77"/>
    </row>
    <row r="874" spans="1:6">
      <c r="A874" s="76"/>
      <c r="B874" s="77"/>
      <c r="C874" s="77"/>
      <c r="D874" s="77"/>
      <c r="E874" s="77"/>
      <c r="F874" s="77"/>
    </row>
    <row r="875" spans="1:6">
      <c r="A875" s="76"/>
      <c r="B875" s="77"/>
      <c r="C875" s="77"/>
      <c r="D875" s="77"/>
      <c r="E875" s="77"/>
      <c r="F875" s="77"/>
    </row>
    <row r="876" spans="1:6">
      <c r="A876" s="76"/>
      <c r="B876" s="77"/>
      <c r="C876" s="77"/>
      <c r="D876" s="77"/>
      <c r="E876" s="77"/>
      <c r="F876" s="77"/>
    </row>
    <row r="877" spans="1:6">
      <c r="A877" s="76"/>
      <c r="B877" s="77"/>
      <c r="C877" s="77"/>
      <c r="D877" s="77"/>
      <c r="E877" s="77"/>
      <c r="F877" s="77"/>
    </row>
    <row r="878" spans="1:6">
      <c r="A878" s="76"/>
      <c r="B878" s="77"/>
      <c r="C878" s="77"/>
      <c r="D878" s="77"/>
      <c r="E878" s="77"/>
      <c r="F878" s="77"/>
    </row>
    <row r="879" spans="1:6">
      <c r="A879" s="76"/>
      <c r="B879" s="77"/>
      <c r="C879" s="77"/>
      <c r="D879" s="77"/>
      <c r="E879" s="77"/>
      <c r="F879" s="77"/>
    </row>
    <row r="880" spans="1:6">
      <c r="A880" s="76"/>
      <c r="B880" s="77"/>
      <c r="C880" s="77"/>
      <c r="D880" s="77"/>
      <c r="E880" s="77"/>
      <c r="F880" s="77"/>
    </row>
    <row r="881" spans="1:6">
      <c r="A881" s="76"/>
      <c r="B881" s="77"/>
      <c r="C881" s="77"/>
      <c r="D881" s="77"/>
      <c r="E881" s="77"/>
      <c r="F881" s="77"/>
    </row>
    <row r="882" spans="1:6">
      <c r="A882" s="76"/>
      <c r="B882" s="77"/>
      <c r="C882" s="77"/>
      <c r="D882" s="77"/>
      <c r="E882" s="77"/>
      <c r="F882" s="77"/>
    </row>
    <row r="883" spans="1:6">
      <c r="A883" s="76"/>
      <c r="B883" s="77"/>
      <c r="C883" s="77"/>
      <c r="D883" s="77"/>
      <c r="E883" s="77"/>
      <c r="F883" s="77"/>
    </row>
    <row r="884" spans="1:6">
      <c r="A884" s="76"/>
      <c r="B884" s="77"/>
      <c r="C884" s="77"/>
      <c r="D884" s="77"/>
      <c r="E884" s="77"/>
      <c r="F884" s="77"/>
    </row>
    <row r="885" spans="1:6">
      <c r="A885" s="76"/>
      <c r="B885" s="77"/>
      <c r="C885" s="77"/>
      <c r="D885" s="77"/>
      <c r="E885" s="77"/>
      <c r="F885" s="77"/>
    </row>
    <row r="886" spans="1:6">
      <c r="A886" s="76"/>
      <c r="B886" s="77"/>
      <c r="C886" s="77"/>
      <c r="D886" s="77"/>
      <c r="E886" s="77"/>
      <c r="F886" s="77"/>
    </row>
    <row r="887" spans="1:6">
      <c r="A887" s="76"/>
      <c r="B887" s="77"/>
      <c r="C887" s="77"/>
      <c r="D887" s="77"/>
      <c r="E887" s="77"/>
      <c r="F887" s="77"/>
    </row>
    <row r="888" spans="1:6">
      <c r="A888" s="76"/>
      <c r="B888" s="77"/>
      <c r="C888" s="77"/>
      <c r="D888" s="77"/>
      <c r="E888" s="77"/>
      <c r="F888" s="77"/>
    </row>
    <row r="889" spans="1:6">
      <c r="A889" s="76"/>
      <c r="B889" s="77"/>
      <c r="C889" s="77"/>
      <c r="D889" s="77"/>
      <c r="E889" s="77"/>
      <c r="F889" s="77"/>
    </row>
    <row r="890" spans="1:6">
      <c r="A890" s="76"/>
      <c r="B890" s="77"/>
      <c r="C890" s="77"/>
      <c r="D890" s="77"/>
      <c r="E890" s="77"/>
      <c r="F890" s="77"/>
    </row>
    <row r="891" spans="1:6">
      <c r="A891" s="76"/>
      <c r="B891" s="77"/>
      <c r="C891" s="77"/>
      <c r="D891" s="77"/>
      <c r="E891" s="77"/>
      <c r="F891" s="77"/>
    </row>
    <row r="892" spans="1:6">
      <c r="A892" s="76"/>
      <c r="B892" s="77"/>
      <c r="C892" s="77"/>
      <c r="D892" s="77"/>
      <c r="E892" s="77"/>
      <c r="F892" s="77"/>
    </row>
    <row r="893" spans="1:6">
      <c r="A893" s="76"/>
      <c r="B893" s="77"/>
      <c r="C893" s="77"/>
      <c r="D893" s="77"/>
      <c r="E893" s="77"/>
      <c r="F893" s="77"/>
    </row>
    <row r="894" spans="1:6">
      <c r="A894" s="76"/>
      <c r="B894" s="77"/>
      <c r="C894" s="77"/>
      <c r="D894" s="77"/>
      <c r="E894" s="77"/>
      <c r="F894" s="77"/>
    </row>
    <row r="895" spans="1:6">
      <c r="A895" s="76"/>
      <c r="B895" s="77"/>
      <c r="C895" s="77"/>
      <c r="D895" s="77"/>
      <c r="E895" s="77"/>
      <c r="F895" s="77"/>
    </row>
    <row r="896" spans="1:6">
      <c r="A896" s="76"/>
      <c r="B896" s="77"/>
      <c r="C896" s="77"/>
      <c r="D896" s="77"/>
      <c r="E896" s="77"/>
      <c r="F896" s="77"/>
    </row>
    <row r="897" spans="1:6">
      <c r="A897" s="76"/>
      <c r="B897" s="77"/>
      <c r="C897" s="77"/>
      <c r="D897" s="77"/>
      <c r="E897" s="77"/>
      <c r="F897" s="77"/>
    </row>
    <row r="898" spans="1:6">
      <c r="A898" s="76"/>
      <c r="B898" s="77"/>
      <c r="C898" s="77"/>
      <c r="D898" s="77"/>
      <c r="E898" s="77"/>
      <c r="F898" s="77"/>
    </row>
    <row r="899" spans="1:6">
      <c r="A899" s="76"/>
      <c r="B899" s="77"/>
      <c r="C899" s="77"/>
      <c r="D899" s="77"/>
      <c r="E899" s="77"/>
      <c r="F899" s="77"/>
    </row>
    <row r="900" spans="1:6">
      <c r="A900" s="76"/>
      <c r="B900" s="77"/>
      <c r="C900" s="77"/>
      <c r="D900" s="77"/>
      <c r="E900" s="77"/>
      <c r="F900" s="77"/>
    </row>
    <row r="901" spans="1:6">
      <c r="A901" s="76"/>
      <c r="B901" s="77"/>
      <c r="C901" s="77"/>
      <c r="D901" s="77"/>
      <c r="E901" s="77"/>
      <c r="F901" s="77"/>
    </row>
    <row r="902" spans="1:6">
      <c r="A902" s="76"/>
      <c r="B902" s="77"/>
      <c r="C902" s="77"/>
      <c r="D902" s="77"/>
      <c r="E902" s="77"/>
      <c r="F902" s="77"/>
    </row>
    <row r="903" spans="1:6">
      <c r="A903" s="76"/>
      <c r="B903" s="77"/>
      <c r="C903" s="77"/>
      <c r="D903" s="77"/>
      <c r="E903" s="77"/>
      <c r="F903" s="77"/>
    </row>
    <row r="904" spans="1:6">
      <c r="A904" s="76"/>
      <c r="B904" s="77"/>
      <c r="C904" s="77"/>
      <c r="D904" s="77"/>
      <c r="E904" s="77"/>
      <c r="F904" s="77"/>
    </row>
    <row r="905" spans="1:6">
      <c r="A905" s="76"/>
      <c r="B905" s="77"/>
      <c r="C905" s="77"/>
      <c r="D905" s="77"/>
      <c r="E905" s="77"/>
      <c r="F905" s="77"/>
    </row>
    <row r="906" spans="1:6">
      <c r="A906" s="76"/>
      <c r="B906" s="77"/>
      <c r="C906" s="77"/>
      <c r="D906" s="77"/>
      <c r="E906" s="77"/>
      <c r="F906" s="77"/>
    </row>
    <row r="907" spans="1:6">
      <c r="A907" s="76"/>
      <c r="B907" s="77"/>
      <c r="C907" s="77"/>
      <c r="D907" s="77"/>
      <c r="E907" s="77"/>
      <c r="F907" s="77"/>
    </row>
    <row r="908" spans="1:6">
      <c r="A908" s="76"/>
      <c r="B908" s="77"/>
      <c r="C908" s="77"/>
      <c r="D908" s="77"/>
      <c r="E908" s="77"/>
      <c r="F908" s="77"/>
    </row>
    <row r="909" spans="1:6">
      <c r="A909" s="76"/>
      <c r="B909" s="77"/>
      <c r="C909" s="77"/>
      <c r="D909" s="77"/>
      <c r="E909" s="77"/>
      <c r="F909" s="77"/>
    </row>
    <row r="910" spans="1:6">
      <c r="A910" s="76"/>
      <c r="B910" s="77"/>
      <c r="C910" s="77"/>
      <c r="D910" s="77"/>
      <c r="E910" s="77"/>
      <c r="F910" s="77"/>
    </row>
    <row r="911" spans="1:6">
      <c r="A911" s="76"/>
      <c r="B911" s="77"/>
      <c r="C911" s="77"/>
      <c r="D911" s="77"/>
      <c r="E911" s="77"/>
      <c r="F911" s="77"/>
    </row>
    <row r="912" spans="1:6">
      <c r="A912" s="76"/>
      <c r="B912" s="77"/>
      <c r="C912" s="77"/>
      <c r="D912" s="77"/>
      <c r="E912" s="77"/>
      <c r="F912" s="77"/>
    </row>
    <row r="913" spans="1:6">
      <c r="A913" s="76"/>
      <c r="B913" s="77"/>
      <c r="C913" s="77"/>
      <c r="D913" s="77"/>
      <c r="E913" s="77"/>
      <c r="F913" s="77"/>
    </row>
    <row r="914" spans="1:6">
      <c r="A914" s="76"/>
      <c r="B914" s="77"/>
      <c r="C914" s="77"/>
      <c r="D914" s="77"/>
      <c r="E914" s="77"/>
      <c r="F914" s="77"/>
    </row>
    <row r="915" spans="1:6">
      <c r="A915" s="76"/>
      <c r="B915" s="77"/>
      <c r="C915" s="77"/>
      <c r="D915" s="77"/>
      <c r="E915" s="77"/>
      <c r="F915" s="77"/>
    </row>
    <row r="916" spans="1:6">
      <c r="A916" s="76"/>
      <c r="B916" s="77"/>
      <c r="C916" s="77"/>
      <c r="D916" s="77"/>
      <c r="E916" s="77"/>
      <c r="F916" s="77"/>
    </row>
    <row r="917" spans="1:6">
      <c r="A917" s="76"/>
      <c r="B917" s="77"/>
      <c r="C917" s="77"/>
      <c r="D917" s="77"/>
      <c r="E917" s="77"/>
      <c r="F917" s="77"/>
    </row>
    <row r="918" spans="1:6">
      <c r="A918" s="76"/>
      <c r="B918" s="77"/>
      <c r="C918" s="77"/>
      <c r="D918" s="77"/>
      <c r="E918" s="77"/>
      <c r="F918" s="77"/>
    </row>
    <row r="919" spans="1:6">
      <c r="A919" s="76"/>
      <c r="B919" s="77"/>
      <c r="C919" s="77"/>
      <c r="D919" s="77"/>
      <c r="E919" s="77"/>
      <c r="F919" s="77"/>
    </row>
    <row r="920" spans="1:6">
      <c r="A920" s="76"/>
      <c r="B920" s="77"/>
      <c r="C920" s="77"/>
      <c r="D920" s="77"/>
      <c r="E920" s="77"/>
      <c r="F920" s="77"/>
    </row>
    <row r="921" spans="1:6">
      <c r="A921" s="76"/>
      <c r="B921" s="77"/>
      <c r="C921" s="77"/>
      <c r="D921" s="77"/>
      <c r="E921" s="77"/>
      <c r="F921" s="77"/>
    </row>
    <row r="922" spans="1:6">
      <c r="A922" s="76"/>
      <c r="B922" s="77"/>
      <c r="C922" s="77"/>
      <c r="D922" s="77"/>
      <c r="E922" s="77"/>
      <c r="F922" s="77"/>
    </row>
    <row r="923" spans="1:6">
      <c r="A923" s="76"/>
      <c r="B923" s="77"/>
      <c r="C923" s="77"/>
      <c r="D923" s="77"/>
      <c r="E923" s="77"/>
      <c r="F923" s="77"/>
    </row>
    <row r="924" spans="1:6">
      <c r="A924" s="76"/>
      <c r="B924" s="77"/>
      <c r="C924" s="77"/>
      <c r="D924" s="77"/>
      <c r="E924" s="77"/>
      <c r="F924" s="77"/>
    </row>
    <row r="925" spans="1:6">
      <c r="A925" s="76"/>
      <c r="B925" s="77"/>
      <c r="C925" s="77"/>
      <c r="D925" s="77"/>
      <c r="E925" s="77"/>
      <c r="F925" s="77"/>
    </row>
    <row r="926" spans="1:6">
      <c r="A926" s="76"/>
      <c r="B926" s="77"/>
      <c r="C926" s="77"/>
      <c r="D926" s="77"/>
      <c r="E926" s="77"/>
      <c r="F926" s="77"/>
    </row>
    <row r="927" spans="1:6">
      <c r="A927" s="76"/>
      <c r="B927" s="77"/>
      <c r="C927" s="77"/>
      <c r="D927" s="77"/>
      <c r="E927" s="77"/>
      <c r="F927" s="77"/>
    </row>
    <row r="928" spans="1:6">
      <c r="A928" s="76"/>
      <c r="B928" s="77"/>
      <c r="C928" s="77"/>
      <c r="D928" s="77"/>
      <c r="E928" s="77"/>
      <c r="F928" s="77"/>
    </row>
    <row r="929" spans="1:6">
      <c r="A929" s="76"/>
      <c r="B929" s="77"/>
      <c r="C929" s="77"/>
      <c r="D929" s="77"/>
      <c r="E929" s="77"/>
      <c r="F929" s="77"/>
    </row>
    <row r="930" spans="1:6">
      <c r="A930" s="76"/>
      <c r="B930" s="77"/>
      <c r="C930" s="77"/>
      <c r="D930" s="77"/>
      <c r="E930" s="77"/>
      <c r="F930" s="77"/>
    </row>
    <row r="931" spans="1:6">
      <c r="A931" s="76"/>
      <c r="B931" s="77"/>
      <c r="C931" s="77"/>
      <c r="D931" s="77"/>
      <c r="E931" s="77"/>
      <c r="F931" s="77"/>
    </row>
    <row r="932" spans="1:6">
      <c r="A932" s="76"/>
      <c r="B932" s="77"/>
      <c r="C932" s="77"/>
      <c r="D932" s="77"/>
      <c r="E932" s="77"/>
      <c r="F932" s="77"/>
    </row>
    <row r="933" spans="1:6">
      <c r="A933" s="76"/>
      <c r="B933" s="77"/>
      <c r="C933" s="77"/>
      <c r="D933" s="77"/>
      <c r="E933" s="77"/>
      <c r="F933" s="77"/>
    </row>
    <row r="934" spans="1:6">
      <c r="A934" s="76"/>
      <c r="B934" s="77"/>
      <c r="C934" s="77"/>
      <c r="D934" s="77"/>
      <c r="E934" s="77"/>
      <c r="F934" s="77"/>
    </row>
    <row r="935" spans="1:6">
      <c r="A935" s="76"/>
      <c r="B935" s="77"/>
      <c r="C935" s="77"/>
      <c r="D935" s="77"/>
      <c r="E935" s="77"/>
      <c r="F935" s="77"/>
    </row>
    <row r="936" spans="1:6">
      <c r="A936" s="76"/>
      <c r="B936" s="77"/>
      <c r="C936" s="77"/>
      <c r="D936" s="77"/>
      <c r="E936" s="77"/>
      <c r="F936" s="77"/>
    </row>
    <row r="937" spans="1:6">
      <c r="A937" s="76"/>
      <c r="B937" s="77"/>
      <c r="C937" s="77"/>
      <c r="D937" s="77"/>
      <c r="E937" s="77"/>
      <c r="F937" s="77"/>
    </row>
    <row r="938" spans="1:6">
      <c r="A938" s="76"/>
      <c r="B938" s="77"/>
      <c r="C938" s="77"/>
      <c r="D938" s="77"/>
      <c r="E938" s="77"/>
      <c r="F938" s="77"/>
    </row>
    <row r="939" spans="1:6">
      <c r="A939" s="76"/>
      <c r="B939" s="77"/>
      <c r="C939" s="77"/>
      <c r="D939" s="77"/>
      <c r="E939" s="77"/>
      <c r="F939" s="77"/>
    </row>
    <row r="940" spans="1:6">
      <c r="A940" s="76"/>
      <c r="B940" s="77"/>
      <c r="C940" s="77"/>
      <c r="D940" s="77"/>
      <c r="E940" s="77"/>
      <c r="F940" s="77"/>
    </row>
    <row r="941" spans="1:6">
      <c r="A941" s="76"/>
      <c r="B941" s="77"/>
      <c r="C941" s="77"/>
      <c r="D941" s="77"/>
      <c r="E941" s="77"/>
      <c r="F941" s="77"/>
    </row>
    <row r="942" spans="1:6">
      <c r="A942" s="76"/>
      <c r="B942" s="77"/>
      <c r="C942" s="77"/>
      <c r="D942" s="77"/>
      <c r="E942" s="77"/>
      <c r="F942" s="77"/>
    </row>
    <row r="943" spans="1:6">
      <c r="A943" s="76"/>
      <c r="B943" s="77"/>
      <c r="C943" s="77"/>
      <c r="D943" s="77"/>
      <c r="E943" s="77"/>
      <c r="F943" s="77"/>
    </row>
    <row r="944" spans="1:6">
      <c r="A944" s="76"/>
      <c r="B944" s="77"/>
      <c r="C944" s="77"/>
      <c r="D944" s="77"/>
      <c r="E944" s="77"/>
      <c r="F944" s="77"/>
    </row>
    <row r="945" spans="1:6">
      <c r="A945" s="76"/>
      <c r="B945" s="77"/>
      <c r="C945" s="77"/>
      <c r="D945" s="77"/>
      <c r="E945" s="77"/>
      <c r="F945" s="77"/>
    </row>
    <row r="946" spans="1:6">
      <c r="A946" s="76"/>
      <c r="B946" s="77"/>
      <c r="C946" s="77"/>
      <c r="D946" s="77"/>
      <c r="E946" s="77"/>
      <c r="F946" s="77"/>
    </row>
    <row r="947" spans="1:6">
      <c r="A947" s="76"/>
      <c r="B947" s="77"/>
      <c r="C947" s="77"/>
      <c r="D947" s="77"/>
      <c r="E947" s="77"/>
      <c r="F947" s="77"/>
    </row>
    <row r="948" spans="1:6">
      <c r="A948" s="76"/>
      <c r="B948" s="77"/>
      <c r="C948" s="77"/>
      <c r="D948" s="77"/>
      <c r="E948" s="77"/>
      <c r="F948" s="77"/>
    </row>
    <row r="949" spans="1:6">
      <c r="A949" s="76"/>
      <c r="B949" s="77"/>
      <c r="C949" s="77"/>
      <c r="D949" s="77"/>
      <c r="E949" s="77"/>
      <c r="F949" s="77"/>
    </row>
    <row r="950" spans="1:6">
      <c r="A950" s="76"/>
      <c r="B950" s="77"/>
      <c r="C950" s="77"/>
      <c r="D950" s="77"/>
      <c r="E950" s="77"/>
      <c r="F950" s="77"/>
    </row>
    <row r="951" spans="1:6">
      <c r="A951" s="76"/>
      <c r="B951" s="77"/>
      <c r="C951" s="77"/>
      <c r="D951" s="77"/>
      <c r="E951" s="77"/>
      <c r="F951" s="77"/>
    </row>
    <row r="952" spans="1:6">
      <c r="A952" s="76"/>
      <c r="B952" s="77"/>
      <c r="C952" s="77"/>
      <c r="D952" s="77"/>
      <c r="E952" s="77"/>
      <c r="F952" s="77"/>
    </row>
    <row r="953" spans="1:6">
      <c r="A953" s="76"/>
      <c r="B953" s="77"/>
      <c r="C953" s="77"/>
      <c r="D953" s="77"/>
      <c r="E953" s="77"/>
      <c r="F953" s="77"/>
    </row>
    <row r="954" spans="1:6">
      <c r="A954" s="76"/>
      <c r="B954" s="77"/>
      <c r="C954" s="77"/>
      <c r="D954" s="77"/>
      <c r="E954" s="77"/>
      <c r="F954" s="77"/>
    </row>
    <row r="955" spans="1:6">
      <c r="A955" s="76"/>
      <c r="B955" s="77"/>
      <c r="C955" s="77"/>
      <c r="D955" s="77"/>
      <c r="E955" s="77"/>
      <c r="F955" s="77"/>
    </row>
    <row r="956" spans="1:6">
      <c r="A956" s="76"/>
      <c r="B956" s="77"/>
      <c r="C956" s="77"/>
      <c r="D956" s="77"/>
      <c r="E956" s="77"/>
      <c r="F956" s="77"/>
    </row>
    <row r="957" spans="1:6">
      <c r="A957" s="76"/>
      <c r="B957" s="77"/>
      <c r="C957" s="77"/>
      <c r="D957" s="77"/>
      <c r="E957" s="77"/>
      <c r="F957" s="77"/>
    </row>
    <row r="958" spans="1:6">
      <c r="A958" s="76"/>
      <c r="B958" s="77"/>
      <c r="C958" s="77"/>
      <c r="D958" s="77"/>
      <c r="E958" s="77"/>
      <c r="F958" s="77"/>
    </row>
    <row r="959" spans="1:6">
      <c r="A959" s="76"/>
      <c r="B959" s="77"/>
      <c r="C959" s="77"/>
      <c r="D959" s="77"/>
      <c r="E959" s="77"/>
      <c r="F959" s="77"/>
    </row>
    <row r="960" spans="1:6">
      <c r="A960" s="76"/>
      <c r="B960" s="77"/>
      <c r="C960" s="77"/>
      <c r="D960" s="77"/>
      <c r="E960" s="77"/>
      <c r="F960" s="77"/>
    </row>
    <row r="961" spans="1:6">
      <c r="A961" s="76"/>
      <c r="B961" s="77"/>
      <c r="C961" s="77"/>
      <c r="D961" s="77"/>
      <c r="E961" s="77"/>
      <c r="F961" s="77"/>
    </row>
    <row r="962" spans="1:6">
      <c r="A962" s="76"/>
      <c r="B962" s="77"/>
      <c r="C962" s="77"/>
      <c r="D962" s="77"/>
      <c r="E962" s="77"/>
      <c r="F962" s="77"/>
    </row>
    <row r="963" spans="1:6">
      <c r="A963" s="76"/>
      <c r="B963" s="77"/>
      <c r="C963" s="77"/>
      <c r="D963" s="77"/>
      <c r="E963" s="77"/>
      <c r="F963" s="77"/>
    </row>
    <row r="964" spans="1:6">
      <c r="A964" s="76"/>
      <c r="B964" s="77"/>
      <c r="C964" s="77"/>
      <c r="D964" s="77"/>
      <c r="E964" s="77"/>
      <c r="F964" s="77"/>
    </row>
    <row r="965" spans="1:6">
      <c r="A965" s="76"/>
      <c r="B965" s="77"/>
      <c r="C965" s="77"/>
      <c r="D965" s="77"/>
      <c r="E965" s="77"/>
      <c r="F965" s="77"/>
    </row>
    <row r="966" spans="1:6">
      <c r="A966" s="76"/>
      <c r="B966" s="77"/>
      <c r="C966" s="77"/>
      <c r="D966" s="77"/>
      <c r="E966" s="77"/>
      <c r="F966" s="77"/>
    </row>
    <row r="967" spans="1:6">
      <c r="A967" s="76"/>
      <c r="B967" s="77"/>
      <c r="C967" s="77"/>
      <c r="D967" s="77"/>
      <c r="E967" s="77"/>
      <c r="F967" s="77"/>
    </row>
    <row r="968" spans="1:6">
      <c r="A968" s="76"/>
      <c r="B968" s="77"/>
      <c r="C968" s="77"/>
      <c r="D968" s="77"/>
      <c r="E968" s="77"/>
      <c r="F968" s="77"/>
    </row>
    <row r="969" spans="1:6">
      <c r="A969" s="76"/>
      <c r="B969" s="77"/>
      <c r="C969" s="77"/>
      <c r="D969" s="77"/>
      <c r="E969" s="77"/>
      <c r="F969" s="77"/>
    </row>
    <row r="970" spans="1:6">
      <c r="A970" s="76"/>
      <c r="B970" s="77"/>
      <c r="C970" s="77"/>
      <c r="D970" s="77"/>
      <c r="E970" s="77"/>
      <c r="F970" s="77"/>
    </row>
    <row r="971" spans="1:6">
      <c r="A971" s="76"/>
      <c r="B971" s="77"/>
      <c r="C971" s="77"/>
      <c r="D971" s="77"/>
      <c r="E971" s="77"/>
      <c r="F971" s="77"/>
    </row>
    <row r="972" spans="1:6">
      <c r="A972" s="76"/>
      <c r="B972" s="77"/>
      <c r="C972" s="77"/>
      <c r="D972" s="77"/>
      <c r="E972" s="77"/>
      <c r="F972" s="77"/>
    </row>
    <row r="973" spans="1:6">
      <c r="A973" s="76"/>
      <c r="B973" s="77"/>
      <c r="C973" s="77"/>
      <c r="D973" s="77"/>
      <c r="E973" s="77"/>
      <c r="F973" s="77"/>
    </row>
    <row r="974" spans="1:6">
      <c r="A974" s="76"/>
      <c r="B974" s="77"/>
      <c r="C974" s="77"/>
      <c r="D974" s="77"/>
      <c r="E974" s="77"/>
      <c r="F974" s="77"/>
    </row>
    <row r="975" spans="1:6">
      <c r="A975" s="76"/>
      <c r="B975" s="77"/>
      <c r="C975" s="77"/>
      <c r="D975" s="77"/>
      <c r="E975" s="77"/>
      <c r="F975" s="77"/>
    </row>
    <row r="976" spans="1:6">
      <c r="A976" s="76"/>
      <c r="B976" s="77"/>
      <c r="C976" s="77"/>
      <c r="D976" s="77"/>
      <c r="E976" s="77"/>
      <c r="F976" s="77"/>
    </row>
    <row r="977" spans="1:6">
      <c r="A977" s="76"/>
      <c r="B977" s="77"/>
      <c r="C977" s="77"/>
      <c r="D977" s="77"/>
      <c r="E977" s="77"/>
      <c r="F977" s="77"/>
    </row>
    <row r="978" spans="1:6">
      <c r="A978" s="76"/>
      <c r="B978" s="77"/>
      <c r="C978" s="77"/>
      <c r="D978" s="77"/>
      <c r="E978" s="77"/>
      <c r="F978" s="77"/>
    </row>
    <row r="979" spans="1:6">
      <c r="A979" s="76"/>
      <c r="B979" s="77"/>
      <c r="C979" s="77"/>
      <c r="D979" s="77"/>
      <c r="E979" s="77"/>
      <c r="F979" s="77"/>
    </row>
    <row r="980" spans="1:6">
      <c r="A980" s="76"/>
      <c r="B980" s="77"/>
      <c r="C980" s="77"/>
      <c r="D980" s="77"/>
      <c r="E980" s="77"/>
      <c r="F980" s="77"/>
    </row>
    <row r="981" spans="1:6">
      <c r="A981" s="76"/>
      <c r="B981" s="77"/>
      <c r="C981" s="77"/>
      <c r="D981" s="77"/>
      <c r="E981" s="77"/>
      <c r="F981" s="77"/>
    </row>
    <row r="982" spans="1:6">
      <c r="A982" s="76"/>
      <c r="B982" s="77"/>
      <c r="C982" s="77"/>
      <c r="D982" s="77"/>
      <c r="E982" s="77"/>
      <c r="F982" s="77"/>
    </row>
    <row r="983" spans="1:6">
      <c r="A983" s="76"/>
      <c r="B983" s="77"/>
      <c r="C983" s="77"/>
      <c r="D983" s="77"/>
      <c r="E983" s="77"/>
      <c r="F983" s="77"/>
    </row>
    <row r="984" spans="1:6">
      <c r="A984" s="76"/>
      <c r="B984" s="77"/>
      <c r="C984" s="77"/>
      <c r="D984" s="77"/>
      <c r="E984" s="77"/>
      <c r="F984" s="77"/>
    </row>
    <row r="985" spans="1:6">
      <c r="A985" s="76"/>
      <c r="B985" s="77"/>
      <c r="C985" s="77"/>
      <c r="D985" s="77"/>
      <c r="E985" s="77"/>
      <c r="F985" s="77"/>
    </row>
    <row r="986" spans="1:6">
      <c r="A986" s="76"/>
      <c r="B986" s="77"/>
      <c r="C986" s="77"/>
      <c r="D986" s="77"/>
      <c r="E986" s="77"/>
      <c r="F986" s="77"/>
    </row>
    <row r="987" spans="1:6">
      <c r="A987" s="76"/>
      <c r="B987" s="77"/>
      <c r="C987" s="77"/>
      <c r="D987" s="77"/>
      <c r="E987" s="77"/>
      <c r="F987" s="77"/>
    </row>
    <row r="988" spans="1:6">
      <c r="A988" s="76"/>
      <c r="B988" s="77"/>
      <c r="C988" s="77"/>
      <c r="D988" s="77"/>
      <c r="E988" s="77"/>
      <c r="F988" s="77"/>
    </row>
    <row r="989" spans="1:6">
      <c r="A989" s="76"/>
      <c r="B989" s="77"/>
      <c r="C989" s="77"/>
      <c r="D989" s="77"/>
      <c r="E989" s="77"/>
      <c r="F989" s="77"/>
    </row>
    <row r="990" spans="1:6">
      <c r="A990" s="76"/>
      <c r="B990" s="77"/>
      <c r="C990" s="77"/>
      <c r="D990" s="77"/>
      <c r="E990" s="77"/>
      <c r="F990" s="77"/>
    </row>
    <row r="991" spans="1:6">
      <c r="A991" s="76"/>
      <c r="B991" s="77"/>
      <c r="C991" s="77"/>
      <c r="D991" s="77"/>
      <c r="E991" s="77"/>
      <c r="F991" s="77"/>
    </row>
    <row r="992" spans="1:6">
      <c r="A992" s="76"/>
      <c r="B992" s="77"/>
      <c r="C992" s="77"/>
      <c r="D992" s="77"/>
      <c r="E992" s="77"/>
      <c r="F992" s="77"/>
    </row>
    <row r="993" spans="1:6">
      <c r="A993" s="76"/>
      <c r="B993" s="77"/>
      <c r="C993" s="77"/>
      <c r="D993" s="77"/>
      <c r="E993" s="77"/>
      <c r="F993" s="77"/>
    </row>
    <row r="994" spans="1:6">
      <c r="A994" s="76"/>
      <c r="B994" s="77"/>
      <c r="C994" s="77"/>
      <c r="D994" s="77"/>
      <c r="E994" s="77"/>
      <c r="F994" s="77"/>
    </row>
    <row r="995" spans="1:6">
      <c r="A995" s="76"/>
      <c r="B995" s="77"/>
      <c r="C995" s="77"/>
      <c r="D995" s="77"/>
      <c r="E995" s="77"/>
      <c r="F995" s="77"/>
    </row>
    <row r="996" spans="1:6">
      <c r="A996" s="76"/>
      <c r="B996" s="77"/>
      <c r="C996" s="77"/>
      <c r="D996" s="77"/>
      <c r="E996" s="77"/>
      <c r="F996" s="77"/>
    </row>
    <row r="997" spans="1:6">
      <c r="A997" s="76"/>
      <c r="B997" s="77"/>
      <c r="C997" s="77"/>
      <c r="D997" s="77"/>
      <c r="E997" s="77"/>
      <c r="F997" s="77"/>
    </row>
    <row r="998" spans="1:6">
      <c r="A998" s="76"/>
      <c r="B998" s="77"/>
      <c r="C998" s="77"/>
      <c r="D998" s="77"/>
      <c r="E998" s="77"/>
      <c r="F998" s="77"/>
    </row>
    <row r="999" spans="1:6">
      <c r="A999" s="76"/>
      <c r="B999" s="77"/>
      <c r="C999" s="77"/>
      <c r="D999" s="77"/>
      <c r="E999" s="77"/>
      <c r="F999" s="77"/>
    </row>
    <row r="1000" spans="1:6">
      <c r="A1000" s="76"/>
      <c r="B1000" s="77"/>
      <c r="C1000" s="77"/>
      <c r="D1000" s="77"/>
      <c r="E1000" s="77"/>
      <c r="F1000" s="77"/>
    </row>
    <row r="1001" spans="1:6">
      <c r="A1001" s="76"/>
      <c r="B1001" s="77"/>
      <c r="C1001" s="77"/>
      <c r="D1001" s="77"/>
      <c r="E1001" s="77"/>
      <c r="F1001" s="77"/>
    </row>
    <row r="1002" spans="1:6">
      <c r="A1002" s="76"/>
      <c r="B1002" s="77"/>
      <c r="C1002" s="77"/>
      <c r="D1002" s="77"/>
      <c r="E1002" s="77"/>
      <c r="F1002" s="77"/>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36199-E1C9-0740-9FEA-33E92FF8C7C7}">
  <dimension ref="A1:Z1000"/>
  <sheetViews>
    <sheetView workbookViewId="0"/>
  </sheetViews>
  <sheetFormatPr baseColWidth="10" defaultColWidth="11.1640625" defaultRowHeight="16"/>
  <cols>
    <col min="1" max="1" width="47.5" style="88" customWidth="1"/>
    <col min="2" max="2" width="15.33203125" style="88" customWidth="1"/>
    <col min="3" max="6" width="15.83203125" style="88" customWidth="1"/>
    <col min="7" max="7" width="3.1640625" style="88" customWidth="1"/>
    <col min="8" max="9" width="7.83203125" style="88" customWidth="1"/>
    <col min="10" max="10" width="9" style="88" customWidth="1"/>
    <col min="11" max="11" width="12" style="88" customWidth="1"/>
    <col min="12" max="12" width="11.83203125" style="88" customWidth="1"/>
    <col min="13" max="13" width="3.33203125" style="88" customWidth="1"/>
    <col min="14" max="15" width="7.83203125" style="88" customWidth="1"/>
    <col min="16" max="16" width="9" style="88" customWidth="1"/>
    <col min="17" max="17" width="12" style="88" customWidth="1"/>
    <col min="18" max="18" width="11.83203125" style="88" customWidth="1"/>
    <col min="19" max="19" width="3.33203125" style="88" customWidth="1"/>
    <col min="20" max="21" width="7.83203125" style="88" customWidth="1"/>
    <col min="22" max="22" width="9" style="88" customWidth="1"/>
    <col min="23" max="23" width="12" style="88" customWidth="1"/>
    <col min="24" max="24" width="11.83203125" style="88" customWidth="1"/>
    <col min="25" max="26" width="10.5" style="88" customWidth="1"/>
    <col min="27" max="16384" width="11.1640625" style="88"/>
  </cols>
  <sheetData>
    <row r="1" spans="1:26" ht="15.75" customHeight="1" thickBot="1">
      <c r="A1" s="76" t="s">
        <v>1957</v>
      </c>
      <c r="B1" s="169" t="s">
        <v>1333</v>
      </c>
      <c r="C1" s="170"/>
      <c r="D1" s="170"/>
      <c r="E1" s="170"/>
      <c r="F1" s="171"/>
      <c r="G1" s="152"/>
      <c r="H1" s="172" t="s">
        <v>1958</v>
      </c>
      <c r="I1" s="170"/>
      <c r="J1" s="170"/>
      <c r="K1" s="170"/>
      <c r="L1" s="171"/>
      <c r="M1" s="152"/>
      <c r="N1" s="172" t="s">
        <v>1958</v>
      </c>
      <c r="O1" s="170"/>
      <c r="P1" s="170"/>
      <c r="Q1" s="170"/>
      <c r="R1" s="171"/>
      <c r="S1" s="152"/>
      <c r="T1" s="172" t="s">
        <v>1958</v>
      </c>
      <c r="U1" s="170"/>
      <c r="V1" s="170"/>
      <c r="W1" s="170"/>
      <c r="X1" s="171"/>
    </row>
    <row r="2" spans="1:26" ht="15.75" customHeight="1" thickBot="1">
      <c r="A2" s="76"/>
      <c r="B2" s="77"/>
      <c r="C2" s="77"/>
      <c r="D2" s="77"/>
      <c r="E2" s="77"/>
      <c r="F2" s="77"/>
      <c r="G2" s="152"/>
      <c r="H2" s="153"/>
      <c r="I2" s="153"/>
      <c r="J2" s="153"/>
      <c r="K2" s="153"/>
      <c r="L2" s="153"/>
      <c r="M2" s="152"/>
      <c r="N2" s="153"/>
      <c r="O2" s="153"/>
      <c r="P2" s="153"/>
      <c r="Q2" s="153"/>
      <c r="R2" s="153"/>
      <c r="S2" s="152"/>
      <c r="T2" s="153"/>
      <c r="U2" s="153"/>
      <c r="V2" s="153"/>
      <c r="W2" s="153"/>
      <c r="X2" s="153"/>
    </row>
    <row r="3" spans="1:26" ht="15.75" customHeight="1" thickBot="1">
      <c r="A3" s="76"/>
      <c r="B3" s="169" t="s">
        <v>1334</v>
      </c>
      <c r="C3" s="170"/>
      <c r="D3" s="170"/>
      <c r="E3" s="170"/>
      <c r="F3" s="171"/>
      <c r="G3" s="152"/>
      <c r="H3" s="172" t="s">
        <v>1959</v>
      </c>
      <c r="I3" s="170"/>
      <c r="J3" s="170"/>
      <c r="K3" s="170"/>
      <c r="L3" s="171"/>
      <c r="M3" s="152"/>
      <c r="N3" s="172" t="s">
        <v>1960</v>
      </c>
      <c r="O3" s="170"/>
      <c r="P3" s="170"/>
      <c r="Q3" s="170"/>
      <c r="R3" s="171"/>
      <c r="S3" s="152"/>
      <c r="T3" s="172" t="s">
        <v>1961</v>
      </c>
      <c r="U3" s="170"/>
      <c r="V3" s="170"/>
      <c r="W3" s="170"/>
      <c r="X3" s="171"/>
    </row>
    <row r="4" spans="1:26" ht="15.75" customHeight="1">
      <c r="A4" s="78" t="s">
        <v>1335</v>
      </c>
      <c r="B4" s="54" t="s">
        <v>1255</v>
      </c>
      <c r="C4" s="54" t="s">
        <v>1256</v>
      </c>
      <c r="D4" s="54" t="s">
        <v>1257</v>
      </c>
      <c r="E4" s="54" t="s">
        <v>1258</v>
      </c>
      <c r="F4" s="54" t="s">
        <v>1259</v>
      </c>
      <c r="G4" s="152"/>
      <c r="H4" s="154" t="s">
        <v>1962</v>
      </c>
      <c r="I4" s="155" t="s">
        <v>1963</v>
      </c>
      <c r="J4" s="155" t="s">
        <v>1964</v>
      </c>
      <c r="K4" s="155" t="s">
        <v>1965</v>
      </c>
      <c r="L4" s="155" t="s">
        <v>1966</v>
      </c>
      <c r="M4" s="152"/>
      <c r="N4" s="154" t="s">
        <v>1962</v>
      </c>
      <c r="O4" s="155" t="s">
        <v>1963</v>
      </c>
      <c r="P4" s="155" t="s">
        <v>1964</v>
      </c>
      <c r="Q4" s="155" t="s">
        <v>1965</v>
      </c>
      <c r="R4" s="155" t="s">
        <v>1966</v>
      </c>
      <c r="S4" s="152"/>
      <c r="T4" s="154" t="s">
        <v>1962</v>
      </c>
      <c r="U4" s="155" t="s">
        <v>1963</v>
      </c>
      <c r="V4" s="155" t="s">
        <v>1964</v>
      </c>
      <c r="W4" s="155" t="s">
        <v>1965</v>
      </c>
      <c r="X4" s="155" t="s">
        <v>1966</v>
      </c>
    </row>
    <row r="5" spans="1:26" ht="15.75" customHeight="1">
      <c r="A5" s="79" t="s">
        <v>26</v>
      </c>
      <c r="B5" s="80">
        <f t="shared" ref="B5:F5" si="0">B42</f>
        <v>0.27000000000000007</v>
      </c>
      <c r="C5" s="80">
        <f t="shared" si="0"/>
        <v>0.91000000000000014</v>
      </c>
      <c r="D5" s="80">
        <f t="shared" si="0"/>
        <v>0.52</v>
      </c>
      <c r="E5" s="80">
        <f t="shared" si="0"/>
        <v>0.92999999999999994</v>
      </c>
      <c r="F5" s="80">
        <f t="shared" si="0"/>
        <v>0.55000000000000004</v>
      </c>
      <c r="G5" s="152"/>
      <c r="H5" s="80">
        <f t="shared" ref="H5:L5" si="1">H42</f>
        <v>1.2</v>
      </c>
      <c r="I5" s="80">
        <f t="shared" si="1"/>
        <v>4.5999999999999996</v>
      </c>
      <c r="J5" s="80">
        <f t="shared" si="1"/>
        <v>2.5</v>
      </c>
      <c r="K5" s="80">
        <f t="shared" si="1"/>
        <v>4.7</v>
      </c>
      <c r="L5" s="80">
        <f t="shared" si="1"/>
        <v>3.2</v>
      </c>
      <c r="M5" s="152"/>
      <c r="N5" s="80">
        <f t="shared" ref="N5:R5" si="2">N42</f>
        <v>1.5</v>
      </c>
      <c r="O5" s="80">
        <f t="shared" si="2"/>
        <v>4.5</v>
      </c>
      <c r="P5" s="80">
        <f t="shared" si="2"/>
        <v>2.7</v>
      </c>
      <c r="Q5" s="80">
        <f t="shared" si="2"/>
        <v>4.5999999999999996</v>
      </c>
      <c r="R5" s="80">
        <f t="shared" si="2"/>
        <v>2.2999999999999998</v>
      </c>
      <c r="S5" s="152"/>
      <c r="T5" s="80" t="e">
        <f t="shared" ref="T5:X5" si="3">T42</f>
        <v>#DIV/0!</v>
      </c>
      <c r="U5" s="80" t="e">
        <f t="shared" si="3"/>
        <v>#DIV/0!</v>
      </c>
      <c r="V5" s="80" t="e">
        <f t="shared" si="3"/>
        <v>#DIV/0!</v>
      </c>
      <c r="W5" s="80" t="e">
        <f t="shared" si="3"/>
        <v>#DIV/0!</v>
      </c>
      <c r="X5" s="80" t="e">
        <f t="shared" si="3"/>
        <v>#DIV/0!</v>
      </c>
      <c r="Y5" s="85"/>
      <c r="Z5" s="85"/>
    </row>
    <row r="6" spans="1:26" ht="15.75" customHeight="1">
      <c r="A6" s="79" t="s">
        <v>27</v>
      </c>
      <c r="B6" s="80">
        <f t="shared" ref="B6:F6" si="4">B74</f>
        <v>0.34166666666666679</v>
      </c>
      <c r="C6" s="80">
        <f t="shared" si="4"/>
        <v>0.77916666666666667</v>
      </c>
      <c r="D6" s="80">
        <f t="shared" si="4"/>
        <v>0.60833333333333328</v>
      </c>
      <c r="E6" s="80">
        <f t="shared" si="4"/>
        <v>0.70416666666666672</v>
      </c>
      <c r="F6" s="80">
        <f t="shared" si="4"/>
        <v>0.41250000000000003</v>
      </c>
      <c r="G6" s="152"/>
      <c r="H6" s="80">
        <f t="shared" ref="H6:L6" si="5">H74</f>
        <v>1.7083333333333333</v>
      </c>
      <c r="I6" s="80">
        <f t="shared" si="5"/>
        <v>3.875</v>
      </c>
      <c r="J6" s="80">
        <f t="shared" si="5"/>
        <v>3.25</v>
      </c>
      <c r="K6" s="80">
        <f t="shared" si="5"/>
        <v>3.625</v>
      </c>
      <c r="L6" s="80">
        <f t="shared" si="5"/>
        <v>2.3333333333333335</v>
      </c>
      <c r="M6" s="152"/>
      <c r="N6" s="80">
        <f t="shared" ref="N6:R6" si="6">N74</f>
        <v>1.7083333333333333</v>
      </c>
      <c r="O6" s="80">
        <f t="shared" si="6"/>
        <v>3.9166666666666665</v>
      </c>
      <c r="P6" s="80">
        <f t="shared" si="6"/>
        <v>2.8333333333333335</v>
      </c>
      <c r="Q6" s="80">
        <f t="shared" si="6"/>
        <v>3.4166666666666665</v>
      </c>
      <c r="R6" s="80">
        <f t="shared" si="6"/>
        <v>1.7916666666666667</v>
      </c>
      <c r="S6" s="152"/>
      <c r="T6" s="80" t="e">
        <f t="shared" ref="T6:X6" si="7">T74</f>
        <v>#DIV/0!</v>
      </c>
      <c r="U6" s="80" t="e">
        <f t="shared" si="7"/>
        <v>#DIV/0!</v>
      </c>
      <c r="V6" s="80" t="e">
        <f t="shared" si="7"/>
        <v>#DIV/0!</v>
      </c>
      <c r="W6" s="80" t="e">
        <f t="shared" si="7"/>
        <v>#DIV/0!</v>
      </c>
      <c r="X6" s="80" t="e">
        <f t="shared" si="7"/>
        <v>#DIV/0!</v>
      </c>
      <c r="Y6" s="85"/>
      <c r="Z6" s="85"/>
    </row>
    <row r="7" spans="1:26" ht="15.75" customHeight="1">
      <c r="A7" s="79" t="s">
        <v>28</v>
      </c>
      <c r="B7" s="80">
        <f t="shared" ref="B7:F7" si="8">B118</f>
        <v>0.27647058823529402</v>
      </c>
      <c r="C7" s="80">
        <f t="shared" si="8"/>
        <v>0.82941176470588229</v>
      </c>
      <c r="D7" s="80">
        <f t="shared" si="8"/>
        <v>0.56470588235294117</v>
      </c>
      <c r="E7" s="80">
        <f t="shared" si="8"/>
        <v>0.69705882352941162</v>
      </c>
      <c r="F7" s="80">
        <f t="shared" si="8"/>
        <v>0.28823529411764703</v>
      </c>
      <c r="G7" s="152"/>
      <c r="H7" s="80">
        <f t="shared" ref="H7:L7" si="9">H118</f>
        <v>1.6470588235294117</v>
      </c>
      <c r="I7" s="80">
        <f t="shared" si="9"/>
        <v>4.3529411764705879</v>
      </c>
      <c r="J7" s="80">
        <f t="shared" si="9"/>
        <v>2.9705882352941178</v>
      </c>
      <c r="K7" s="80">
        <f t="shared" si="9"/>
        <v>3.5294117647058822</v>
      </c>
      <c r="L7" s="80">
        <f t="shared" si="9"/>
        <v>1.7058823529411764</v>
      </c>
      <c r="M7" s="152"/>
      <c r="N7" s="80">
        <f t="shared" ref="N7:R7" si="10">N118</f>
        <v>1.1176470588235294</v>
      </c>
      <c r="O7" s="80">
        <f t="shared" si="10"/>
        <v>3.9411764705882355</v>
      </c>
      <c r="P7" s="80">
        <f t="shared" si="10"/>
        <v>2.6764705882352939</v>
      </c>
      <c r="Q7" s="80">
        <f t="shared" si="10"/>
        <v>3.4411764705882355</v>
      </c>
      <c r="R7" s="80">
        <f t="shared" si="10"/>
        <v>1.1764705882352942</v>
      </c>
      <c r="S7" s="152"/>
      <c r="T7" s="80" t="e">
        <f t="shared" ref="T7:X7" si="11">T118</f>
        <v>#DIV/0!</v>
      </c>
      <c r="U7" s="80" t="e">
        <f t="shared" si="11"/>
        <v>#DIV/0!</v>
      </c>
      <c r="V7" s="80" t="e">
        <f t="shared" si="11"/>
        <v>#DIV/0!</v>
      </c>
      <c r="W7" s="80" t="e">
        <f t="shared" si="11"/>
        <v>#DIV/0!</v>
      </c>
      <c r="X7" s="80" t="e">
        <f t="shared" si="11"/>
        <v>#DIV/0!</v>
      </c>
      <c r="Y7" s="85"/>
      <c r="Z7" s="85"/>
    </row>
    <row r="8" spans="1:26" ht="15.75" customHeight="1">
      <c r="A8" s="79" t="s">
        <v>29</v>
      </c>
      <c r="B8" s="80">
        <f t="shared" ref="B8:F8" si="12">B137</f>
        <v>0.21249999999999999</v>
      </c>
      <c r="C8" s="80">
        <f t="shared" si="12"/>
        <v>0.83750000000000002</v>
      </c>
      <c r="D8" s="80">
        <f t="shared" si="12"/>
        <v>0.5</v>
      </c>
      <c r="E8" s="80">
        <f t="shared" si="12"/>
        <v>0.78750000000000009</v>
      </c>
      <c r="F8" s="80">
        <f t="shared" si="12"/>
        <v>0.27500000000000002</v>
      </c>
      <c r="G8" s="152"/>
      <c r="H8" s="80">
        <f t="shared" ref="H8:L8" si="13">H137</f>
        <v>1</v>
      </c>
      <c r="I8" s="80">
        <f t="shared" si="13"/>
        <v>4.25</v>
      </c>
      <c r="J8" s="80">
        <f t="shared" si="13"/>
        <v>2.5</v>
      </c>
      <c r="K8" s="80">
        <f t="shared" si="13"/>
        <v>4.125</v>
      </c>
      <c r="L8" s="80">
        <f t="shared" si="13"/>
        <v>1.25</v>
      </c>
      <c r="M8" s="152"/>
      <c r="N8" s="80">
        <f t="shared" ref="N8:R8" si="14">N137</f>
        <v>1.125</v>
      </c>
      <c r="O8" s="80">
        <f t="shared" si="14"/>
        <v>4.125</v>
      </c>
      <c r="P8" s="80">
        <f t="shared" si="14"/>
        <v>2.5</v>
      </c>
      <c r="Q8" s="80">
        <f t="shared" si="14"/>
        <v>3.75</v>
      </c>
      <c r="R8" s="80">
        <f t="shared" si="14"/>
        <v>1.5</v>
      </c>
      <c r="S8" s="152"/>
      <c r="T8" s="80" t="e">
        <f t="shared" ref="T8:X8" si="15">T137</f>
        <v>#DIV/0!</v>
      </c>
      <c r="U8" s="80" t="e">
        <f t="shared" si="15"/>
        <v>#DIV/0!</v>
      </c>
      <c r="V8" s="80" t="e">
        <f t="shared" si="15"/>
        <v>#DIV/0!</v>
      </c>
      <c r="W8" s="80" t="e">
        <f t="shared" si="15"/>
        <v>#DIV/0!</v>
      </c>
      <c r="X8" s="80" t="e">
        <f t="shared" si="15"/>
        <v>#DIV/0!</v>
      </c>
      <c r="Y8" s="85"/>
      <c r="Z8" s="85"/>
    </row>
    <row r="9" spans="1:26" ht="15.75" customHeight="1">
      <c r="A9" s="79" t="s">
        <v>11</v>
      </c>
      <c r="B9" s="80">
        <f t="shared" ref="B9:F9" si="16">B167</f>
        <v>0.2076923076923077</v>
      </c>
      <c r="C9" s="80">
        <f t="shared" si="16"/>
        <v>0.60769230769230775</v>
      </c>
      <c r="D9" s="80">
        <f t="shared" si="16"/>
        <v>0.42307692307692307</v>
      </c>
      <c r="E9" s="80">
        <f t="shared" si="16"/>
        <v>0.57692307692307687</v>
      </c>
      <c r="F9" s="80">
        <f t="shared" si="16"/>
        <v>0.46923076923076928</v>
      </c>
      <c r="G9" s="152"/>
      <c r="H9" s="80">
        <f t="shared" ref="H9:L9" si="17">H167</f>
        <v>0.92307692307692313</v>
      </c>
      <c r="I9" s="80">
        <f t="shared" si="17"/>
        <v>3</v>
      </c>
      <c r="J9" s="80">
        <f t="shared" si="17"/>
        <v>2.0769230769230771</v>
      </c>
      <c r="K9" s="80">
        <f t="shared" si="17"/>
        <v>2.8461538461538463</v>
      </c>
      <c r="L9" s="80">
        <f t="shared" si="17"/>
        <v>2.2307692307692308</v>
      </c>
      <c r="M9" s="152"/>
      <c r="N9" s="80">
        <f t="shared" ref="N9:R9" si="18">N167</f>
        <v>1.1538461538461537</v>
      </c>
      <c r="O9" s="80">
        <f t="shared" si="18"/>
        <v>3.0769230769230771</v>
      </c>
      <c r="P9" s="80">
        <f t="shared" si="18"/>
        <v>2.1538461538461537</v>
      </c>
      <c r="Q9" s="80">
        <f t="shared" si="18"/>
        <v>2.9230769230769229</v>
      </c>
      <c r="R9" s="80">
        <f t="shared" si="18"/>
        <v>2.4615384615384617</v>
      </c>
      <c r="S9" s="152"/>
      <c r="T9" s="80" t="e">
        <f t="shared" ref="T9:X9" si="19">T167</f>
        <v>#DIV/0!</v>
      </c>
      <c r="U9" s="80" t="e">
        <f t="shared" si="19"/>
        <v>#DIV/0!</v>
      </c>
      <c r="V9" s="80" t="e">
        <f t="shared" si="19"/>
        <v>#DIV/0!</v>
      </c>
      <c r="W9" s="80" t="e">
        <f t="shared" si="19"/>
        <v>#DIV/0!</v>
      </c>
      <c r="X9" s="80" t="e">
        <f t="shared" si="19"/>
        <v>#DIV/0!</v>
      </c>
      <c r="Y9" s="85"/>
      <c r="Z9" s="85"/>
    </row>
    <row r="10" spans="1:26" ht="15.75" customHeight="1">
      <c r="A10" s="79" t="s">
        <v>10</v>
      </c>
      <c r="B10" s="80">
        <f t="shared" ref="B10:F10" si="20">B185</f>
        <v>0.24999999999999997</v>
      </c>
      <c r="C10" s="80">
        <f t="shared" si="20"/>
        <v>0.92500000000000016</v>
      </c>
      <c r="D10" s="80">
        <f t="shared" si="20"/>
        <v>0.51249999999999996</v>
      </c>
      <c r="E10" s="80">
        <f t="shared" si="20"/>
        <v>0.91249999999999998</v>
      </c>
      <c r="F10" s="80">
        <f t="shared" si="20"/>
        <v>0.46250000000000002</v>
      </c>
      <c r="G10" s="152"/>
      <c r="H10" s="80">
        <f t="shared" ref="H10:L10" si="21">H185</f>
        <v>1.25</v>
      </c>
      <c r="I10" s="80">
        <f t="shared" si="21"/>
        <v>4.875</v>
      </c>
      <c r="J10" s="80">
        <f t="shared" si="21"/>
        <v>2.75</v>
      </c>
      <c r="K10" s="80">
        <f t="shared" si="21"/>
        <v>4.375</v>
      </c>
      <c r="L10" s="80">
        <f t="shared" si="21"/>
        <v>2.5</v>
      </c>
      <c r="M10" s="152"/>
      <c r="N10" s="80">
        <f t="shared" ref="N10:R10" si="22">N185</f>
        <v>1.25</v>
      </c>
      <c r="O10" s="80">
        <f t="shared" si="22"/>
        <v>4.375</v>
      </c>
      <c r="P10" s="80">
        <f t="shared" si="22"/>
        <v>2.375</v>
      </c>
      <c r="Q10" s="80">
        <f t="shared" si="22"/>
        <v>4.75</v>
      </c>
      <c r="R10" s="80">
        <f t="shared" si="22"/>
        <v>2.125</v>
      </c>
      <c r="S10" s="152"/>
      <c r="T10" s="80" t="e">
        <f t="shared" ref="T10:X10" si="23">T185</f>
        <v>#DIV/0!</v>
      </c>
      <c r="U10" s="80" t="e">
        <f t="shared" si="23"/>
        <v>#DIV/0!</v>
      </c>
      <c r="V10" s="80" t="e">
        <f t="shared" si="23"/>
        <v>#DIV/0!</v>
      </c>
      <c r="W10" s="80" t="e">
        <f t="shared" si="23"/>
        <v>#DIV/0!</v>
      </c>
      <c r="X10" s="80" t="e">
        <f t="shared" si="23"/>
        <v>#DIV/0!</v>
      </c>
      <c r="Y10" s="85"/>
      <c r="Z10" s="85"/>
    </row>
    <row r="11" spans="1:26" ht="15.75" customHeight="1">
      <c r="A11" s="79" t="s">
        <v>33</v>
      </c>
      <c r="B11" s="80">
        <f t="shared" ref="B11:F11" si="24">B197</f>
        <v>0.27500000000000002</v>
      </c>
      <c r="C11" s="80">
        <f t="shared" si="24"/>
        <v>0.45</v>
      </c>
      <c r="D11" s="80">
        <f t="shared" si="24"/>
        <v>0.85</v>
      </c>
      <c r="E11" s="80">
        <f t="shared" si="24"/>
        <v>0.375</v>
      </c>
      <c r="F11" s="80">
        <f t="shared" si="24"/>
        <v>0.2</v>
      </c>
      <c r="G11" s="152"/>
      <c r="H11" s="80">
        <f t="shared" ref="H11:L11" si="25">H197</f>
        <v>1.5</v>
      </c>
      <c r="I11" s="80">
        <f t="shared" si="25"/>
        <v>2</v>
      </c>
      <c r="J11" s="80">
        <f t="shared" si="25"/>
        <v>4.25</v>
      </c>
      <c r="K11" s="80">
        <f t="shared" si="25"/>
        <v>2</v>
      </c>
      <c r="L11" s="80">
        <f t="shared" si="25"/>
        <v>0.75</v>
      </c>
      <c r="M11" s="152"/>
      <c r="N11" s="80">
        <f t="shared" ref="N11:R11" si="26">N197</f>
        <v>1.25</v>
      </c>
      <c r="O11" s="80">
        <f t="shared" si="26"/>
        <v>2.5</v>
      </c>
      <c r="P11" s="80">
        <f t="shared" si="26"/>
        <v>4.25</v>
      </c>
      <c r="Q11" s="80">
        <f t="shared" si="26"/>
        <v>1.75</v>
      </c>
      <c r="R11" s="80">
        <f t="shared" si="26"/>
        <v>1.25</v>
      </c>
      <c r="S11" s="152"/>
      <c r="T11" s="80" t="e">
        <f t="shared" ref="T11:X11" si="27">T197</f>
        <v>#DIV/0!</v>
      </c>
      <c r="U11" s="80" t="e">
        <f t="shared" si="27"/>
        <v>#DIV/0!</v>
      </c>
      <c r="V11" s="80" t="e">
        <f t="shared" si="27"/>
        <v>#DIV/0!</v>
      </c>
      <c r="W11" s="80" t="e">
        <f t="shared" si="27"/>
        <v>#DIV/0!</v>
      </c>
      <c r="X11" s="80" t="e">
        <f t="shared" si="27"/>
        <v>#DIV/0!</v>
      </c>
      <c r="Y11" s="85"/>
      <c r="Z11" s="85"/>
    </row>
    <row r="12" spans="1:26" ht="15.75" customHeight="1">
      <c r="A12" s="81" t="s">
        <v>1336</v>
      </c>
      <c r="B12" s="80">
        <f t="shared" ref="B12:F12" si="28">B225</f>
        <v>0.4086956521739129</v>
      </c>
      <c r="C12" s="80">
        <f t="shared" si="28"/>
        <v>0.65217391304347838</v>
      </c>
      <c r="D12" s="80">
        <f t="shared" si="28"/>
        <v>0.76521739130434807</v>
      </c>
      <c r="E12" s="80">
        <f t="shared" si="28"/>
        <v>0.70434782608695645</v>
      </c>
      <c r="F12" s="80">
        <f t="shared" si="28"/>
        <v>0.43478260869565216</v>
      </c>
      <c r="G12" s="152"/>
      <c r="H12" s="80">
        <f t="shared" ref="H12:L12" si="29">H225</f>
        <v>2.0434782608695654</v>
      </c>
      <c r="I12" s="80">
        <f t="shared" si="29"/>
        <v>3.2608695652173911</v>
      </c>
      <c r="J12" s="80">
        <f t="shared" si="29"/>
        <v>3.8260869565217392</v>
      </c>
      <c r="K12" s="80">
        <f t="shared" si="29"/>
        <v>3.5217391304347827</v>
      </c>
      <c r="L12" s="80">
        <f t="shared" si="29"/>
        <v>2.1739130434782608</v>
      </c>
      <c r="M12" s="152"/>
      <c r="N12" s="80">
        <f t="shared" ref="N12:R12" si="30">N225</f>
        <v>2.0434782608695654</v>
      </c>
      <c r="O12" s="80">
        <f t="shared" si="30"/>
        <v>3.2608695652173911</v>
      </c>
      <c r="P12" s="80">
        <f t="shared" si="30"/>
        <v>3.8260869565217392</v>
      </c>
      <c r="Q12" s="80">
        <f t="shared" si="30"/>
        <v>3.5217391304347827</v>
      </c>
      <c r="R12" s="80">
        <f t="shared" si="30"/>
        <v>2.1739130434782608</v>
      </c>
      <c r="S12" s="152"/>
      <c r="T12" s="80" t="e">
        <f t="shared" ref="T12:X12" si="31">T225</f>
        <v>#DIV/0!</v>
      </c>
      <c r="U12" s="80" t="e">
        <f t="shared" si="31"/>
        <v>#DIV/0!</v>
      </c>
      <c r="V12" s="80" t="e">
        <f t="shared" si="31"/>
        <v>#DIV/0!</v>
      </c>
      <c r="W12" s="80" t="e">
        <f t="shared" si="31"/>
        <v>#DIV/0!</v>
      </c>
      <c r="X12" s="80" t="e">
        <f t="shared" si="31"/>
        <v>#DIV/0!</v>
      </c>
      <c r="Y12" s="85"/>
      <c r="Z12" s="85"/>
    </row>
    <row r="13" spans="1:26" ht="15.75" customHeight="1">
      <c r="A13" s="82" t="s">
        <v>1295</v>
      </c>
      <c r="B13" s="83">
        <f t="shared" ref="B13:F13" si="32">AVERAGE(B5:B12)</f>
        <v>0.28025315184602267</v>
      </c>
      <c r="C13" s="83">
        <f t="shared" si="32"/>
        <v>0.74886808151354189</v>
      </c>
      <c r="D13" s="83">
        <f t="shared" si="32"/>
        <v>0.59297919125844323</v>
      </c>
      <c r="E13" s="83">
        <f t="shared" si="32"/>
        <v>0.71093704915076394</v>
      </c>
      <c r="F13" s="83">
        <f t="shared" si="32"/>
        <v>0.38653108400550862</v>
      </c>
      <c r="G13" s="152"/>
      <c r="H13" s="83">
        <f t="shared" ref="H13:L13" si="33">AVERAGE(H5:H12)</f>
        <v>1.4089934176011543</v>
      </c>
      <c r="I13" s="83">
        <f t="shared" si="33"/>
        <v>3.7767263427109974</v>
      </c>
      <c r="J13" s="83">
        <f t="shared" si="33"/>
        <v>3.0154497835923668</v>
      </c>
      <c r="K13" s="83">
        <f t="shared" si="33"/>
        <v>3.5902880926618135</v>
      </c>
      <c r="L13" s="83">
        <f t="shared" si="33"/>
        <v>2.0179872450652501</v>
      </c>
      <c r="M13" s="152"/>
      <c r="N13" s="83">
        <f t="shared" ref="N13:R13" si="34">AVERAGE(N5:N12)</f>
        <v>1.3935381008590726</v>
      </c>
      <c r="O13" s="83">
        <f t="shared" si="34"/>
        <v>3.7119544724244213</v>
      </c>
      <c r="P13" s="83">
        <f t="shared" si="34"/>
        <v>2.914342128992065</v>
      </c>
      <c r="Q13" s="83">
        <f t="shared" si="34"/>
        <v>3.5190823988458257</v>
      </c>
      <c r="R13" s="83">
        <f t="shared" si="34"/>
        <v>1.8473235949898354</v>
      </c>
      <c r="S13" s="152"/>
      <c r="T13" s="83" t="e">
        <f t="shared" ref="T13:X13" si="35">AVERAGE(T5:T12)</f>
        <v>#DIV/0!</v>
      </c>
      <c r="U13" s="83" t="e">
        <f t="shared" si="35"/>
        <v>#DIV/0!</v>
      </c>
      <c r="V13" s="83" t="e">
        <f t="shared" si="35"/>
        <v>#DIV/0!</v>
      </c>
      <c r="W13" s="83" t="e">
        <f t="shared" si="35"/>
        <v>#DIV/0!</v>
      </c>
      <c r="X13" s="83" t="e">
        <f t="shared" si="35"/>
        <v>#DIV/0!</v>
      </c>
      <c r="Y13" s="85"/>
      <c r="Z13" s="85"/>
    </row>
    <row r="14" spans="1:26" ht="15.75" customHeight="1">
      <c r="A14" s="76"/>
      <c r="B14" s="77"/>
      <c r="C14" s="77"/>
      <c r="D14" s="77"/>
      <c r="E14" s="77"/>
      <c r="F14" s="77"/>
      <c r="G14" s="152"/>
      <c r="H14" s="153"/>
      <c r="I14" s="153"/>
      <c r="J14" s="153"/>
      <c r="K14" s="153"/>
      <c r="L14" s="153"/>
      <c r="M14" s="152"/>
      <c r="N14" s="153"/>
      <c r="O14" s="153"/>
      <c r="P14" s="153"/>
      <c r="Q14" s="153"/>
      <c r="R14" s="153"/>
      <c r="S14" s="152"/>
      <c r="T14" s="153"/>
      <c r="U14" s="153"/>
      <c r="V14" s="153"/>
      <c r="W14" s="153"/>
      <c r="X14" s="153"/>
    </row>
    <row r="15" spans="1:26" ht="15.75" customHeight="1">
      <c r="A15" s="76"/>
      <c r="B15" s="77"/>
      <c r="C15" s="77"/>
      <c r="D15" s="77"/>
      <c r="E15" s="77"/>
      <c r="F15" s="77"/>
      <c r="G15" s="152"/>
      <c r="H15" s="153"/>
      <c r="I15" s="153"/>
      <c r="J15" s="153"/>
      <c r="K15" s="153"/>
      <c r="L15" s="153"/>
      <c r="M15" s="152"/>
      <c r="N15" s="153"/>
      <c r="O15" s="153"/>
      <c r="P15" s="153"/>
      <c r="Q15" s="153"/>
      <c r="R15" s="153"/>
      <c r="S15" s="152"/>
      <c r="T15" s="153"/>
      <c r="U15" s="153"/>
      <c r="V15" s="153"/>
      <c r="W15" s="153"/>
      <c r="X15" s="153"/>
    </row>
    <row r="16" spans="1:26" ht="15.75" customHeight="1">
      <c r="A16" s="76"/>
      <c r="B16" s="77"/>
      <c r="C16" s="77"/>
      <c r="D16" s="77"/>
      <c r="E16" s="77"/>
      <c r="F16" s="77"/>
      <c r="G16" s="152"/>
      <c r="H16" s="153"/>
      <c r="I16" s="153"/>
      <c r="J16" s="153"/>
      <c r="K16" s="153"/>
      <c r="L16" s="153"/>
      <c r="M16" s="152"/>
      <c r="N16" s="153"/>
      <c r="O16" s="153"/>
      <c r="P16" s="153"/>
      <c r="Q16" s="153"/>
      <c r="R16" s="153"/>
      <c r="S16" s="152"/>
      <c r="T16" s="153"/>
      <c r="U16" s="153"/>
      <c r="V16" s="153"/>
      <c r="W16" s="153"/>
      <c r="X16" s="153"/>
    </row>
    <row r="17" spans="1:24">
      <c r="A17" s="76"/>
      <c r="B17" s="77"/>
      <c r="C17" s="77"/>
      <c r="D17" s="77"/>
      <c r="E17" s="77"/>
      <c r="F17" s="77"/>
      <c r="G17" s="152"/>
      <c r="H17" s="153"/>
      <c r="I17" s="153"/>
      <c r="J17" s="153"/>
      <c r="K17" s="153"/>
      <c r="L17" s="153"/>
      <c r="M17" s="152"/>
      <c r="N17" s="153"/>
      <c r="O17" s="153"/>
      <c r="P17" s="153"/>
      <c r="Q17" s="153"/>
      <c r="R17" s="153"/>
      <c r="S17" s="152"/>
      <c r="T17" s="153"/>
      <c r="U17" s="153"/>
      <c r="V17" s="153"/>
      <c r="W17" s="153"/>
      <c r="X17" s="153"/>
    </row>
    <row r="18" spans="1:24">
      <c r="A18" s="76"/>
      <c r="B18" s="77"/>
      <c r="C18" s="77"/>
      <c r="D18" s="77"/>
      <c r="E18" s="77"/>
      <c r="F18" s="77"/>
      <c r="G18" s="152"/>
      <c r="H18" s="153"/>
      <c r="I18" s="153"/>
      <c r="J18" s="153"/>
      <c r="K18" s="153"/>
      <c r="L18" s="153"/>
      <c r="M18" s="152"/>
      <c r="N18" s="153"/>
      <c r="O18" s="153"/>
      <c r="P18" s="153"/>
      <c r="Q18" s="153"/>
      <c r="R18" s="153"/>
      <c r="S18" s="152"/>
      <c r="T18" s="153"/>
      <c r="U18" s="153"/>
      <c r="V18" s="153"/>
      <c r="W18" s="153"/>
      <c r="X18" s="153"/>
    </row>
    <row r="19" spans="1:24">
      <c r="A19" s="76"/>
      <c r="B19" s="77"/>
      <c r="C19" s="77"/>
      <c r="D19" s="77"/>
      <c r="E19" s="77"/>
      <c r="F19" s="77"/>
      <c r="G19" s="152"/>
      <c r="H19" s="153"/>
      <c r="I19" s="153"/>
      <c r="J19" s="153"/>
      <c r="K19" s="153"/>
      <c r="L19" s="153"/>
      <c r="M19" s="152"/>
      <c r="N19" s="153"/>
      <c r="O19" s="153"/>
      <c r="P19" s="153"/>
      <c r="Q19" s="153"/>
      <c r="R19" s="153"/>
      <c r="S19" s="152"/>
      <c r="T19" s="153"/>
      <c r="U19" s="153"/>
      <c r="V19" s="153"/>
      <c r="W19" s="153"/>
      <c r="X19" s="153"/>
    </row>
    <row r="20" spans="1:24">
      <c r="A20" s="76"/>
      <c r="B20" s="77"/>
      <c r="C20" s="77"/>
      <c r="D20" s="77"/>
      <c r="E20" s="77"/>
      <c r="F20" s="77"/>
      <c r="G20" s="152"/>
      <c r="H20" s="153"/>
      <c r="I20" s="153"/>
      <c r="J20" s="153"/>
      <c r="K20" s="153"/>
      <c r="L20" s="153"/>
      <c r="M20" s="152"/>
      <c r="N20" s="153"/>
      <c r="O20" s="153"/>
      <c r="P20" s="153"/>
      <c r="Q20" s="153"/>
      <c r="R20" s="153"/>
      <c r="S20" s="152"/>
      <c r="T20" s="153"/>
      <c r="U20" s="153"/>
      <c r="V20" s="153"/>
      <c r="W20" s="153"/>
      <c r="X20" s="153"/>
    </row>
    <row r="21" spans="1:24">
      <c r="A21" s="76"/>
      <c r="B21" s="77"/>
      <c r="C21" s="77"/>
      <c r="D21" s="77"/>
      <c r="E21" s="77"/>
      <c r="F21" s="77"/>
      <c r="G21" s="152"/>
      <c r="H21" s="153"/>
      <c r="I21" s="153"/>
      <c r="J21" s="153"/>
      <c r="K21" s="153"/>
      <c r="L21" s="153"/>
      <c r="M21" s="152"/>
      <c r="N21" s="153"/>
      <c r="O21" s="153"/>
      <c r="P21" s="153"/>
      <c r="Q21" s="153"/>
      <c r="R21" s="153"/>
      <c r="S21" s="152"/>
      <c r="T21" s="153"/>
      <c r="U21" s="153"/>
      <c r="V21" s="153"/>
      <c r="W21" s="153"/>
      <c r="X21" s="153"/>
    </row>
    <row r="22" spans="1:24">
      <c r="A22" s="76"/>
      <c r="B22" s="77"/>
      <c r="C22" s="77"/>
      <c r="D22" s="77"/>
      <c r="E22" s="77"/>
      <c r="F22" s="77"/>
      <c r="G22" s="152"/>
      <c r="H22" s="153"/>
      <c r="I22" s="153"/>
      <c r="J22" s="153"/>
      <c r="K22" s="153"/>
      <c r="L22" s="153"/>
      <c r="M22" s="152"/>
      <c r="N22" s="153"/>
      <c r="O22" s="153"/>
      <c r="P22" s="153"/>
      <c r="Q22" s="153"/>
      <c r="R22" s="153"/>
      <c r="S22" s="152"/>
      <c r="T22" s="153"/>
      <c r="U22" s="153"/>
      <c r="V22" s="153"/>
      <c r="W22" s="153"/>
      <c r="X22" s="153"/>
    </row>
    <row r="23" spans="1:24">
      <c r="A23" s="76"/>
      <c r="B23" s="77"/>
      <c r="C23" s="77"/>
      <c r="D23" s="77"/>
      <c r="E23" s="77"/>
      <c r="F23" s="77"/>
      <c r="G23" s="152"/>
      <c r="H23" s="153"/>
      <c r="I23" s="153"/>
      <c r="J23" s="153"/>
      <c r="K23" s="153"/>
      <c r="L23" s="153"/>
      <c r="M23" s="152"/>
      <c r="N23" s="153"/>
      <c r="O23" s="153"/>
      <c r="P23" s="153"/>
      <c r="Q23" s="153"/>
      <c r="R23" s="153"/>
      <c r="S23" s="152"/>
      <c r="T23" s="153"/>
      <c r="U23" s="153"/>
      <c r="V23" s="153"/>
      <c r="W23" s="153"/>
      <c r="X23" s="153"/>
    </row>
    <row r="24" spans="1:24">
      <c r="A24" s="76"/>
      <c r="B24" s="77"/>
      <c r="C24" s="77"/>
      <c r="D24" s="77"/>
      <c r="E24" s="77"/>
      <c r="F24" s="77"/>
      <c r="G24" s="152"/>
      <c r="H24" s="153"/>
      <c r="I24" s="153"/>
      <c r="J24" s="153"/>
      <c r="K24" s="153"/>
      <c r="L24" s="153"/>
      <c r="M24" s="152"/>
      <c r="N24" s="153"/>
      <c r="O24" s="153"/>
      <c r="P24" s="153"/>
      <c r="Q24" s="153"/>
      <c r="R24" s="153"/>
      <c r="S24" s="152"/>
      <c r="T24" s="153"/>
      <c r="U24" s="153"/>
      <c r="V24" s="153"/>
      <c r="W24" s="153"/>
      <c r="X24" s="153"/>
    </row>
    <row r="25" spans="1:24">
      <c r="A25" s="76"/>
      <c r="B25" s="77"/>
      <c r="C25" s="77"/>
      <c r="D25" s="77"/>
      <c r="E25" s="77"/>
      <c r="F25" s="77"/>
      <c r="G25" s="152"/>
      <c r="H25" s="153"/>
      <c r="I25" s="153"/>
      <c r="J25" s="153"/>
      <c r="K25" s="153"/>
      <c r="L25" s="153"/>
      <c r="M25" s="152"/>
      <c r="N25" s="153"/>
      <c r="O25" s="153"/>
      <c r="P25" s="153"/>
      <c r="Q25" s="153"/>
      <c r="R25" s="153"/>
      <c r="S25" s="152"/>
      <c r="T25" s="153"/>
      <c r="U25" s="153"/>
      <c r="V25" s="153"/>
      <c r="W25" s="153"/>
      <c r="X25" s="153"/>
    </row>
    <row r="26" spans="1:24">
      <c r="A26" s="76"/>
      <c r="B26" s="77"/>
      <c r="C26" s="77"/>
      <c r="D26" s="77"/>
      <c r="E26" s="77"/>
      <c r="F26" s="77"/>
      <c r="G26" s="152"/>
      <c r="H26" s="153"/>
      <c r="I26" s="153"/>
      <c r="J26" s="153"/>
      <c r="K26" s="153"/>
      <c r="L26" s="153"/>
      <c r="M26" s="152"/>
      <c r="N26" s="153"/>
      <c r="O26" s="153"/>
      <c r="P26" s="153"/>
      <c r="Q26" s="153"/>
      <c r="R26" s="153"/>
      <c r="S26" s="152"/>
      <c r="T26" s="153"/>
      <c r="U26" s="153"/>
      <c r="V26" s="153"/>
      <c r="W26" s="153"/>
      <c r="X26" s="153"/>
    </row>
    <row r="27" spans="1:24">
      <c r="A27" s="76"/>
      <c r="B27" s="77"/>
      <c r="C27" s="77"/>
      <c r="D27" s="77"/>
      <c r="E27" s="77"/>
      <c r="F27" s="77"/>
      <c r="G27" s="152"/>
      <c r="H27" s="153"/>
      <c r="I27" s="153"/>
      <c r="J27" s="153"/>
      <c r="K27" s="153"/>
      <c r="L27" s="153"/>
      <c r="M27" s="152"/>
      <c r="N27" s="153"/>
      <c r="O27" s="153"/>
      <c r="P27" s="153"/>
      <c r="Q27" s="153"/>
      <c r="R27" s="153"/>
      <c r="S27" s="152"/>
      <c r="T27" s="153"/>
      <c r="U27" s="153"/>
      <c r="V27" s="153"/>
      <c r="W27" s="153"/>
      <c r="X27" s="153"/>
    </row>
    <row r="28" spans="1:24">
      <c r="A28" s="76"/>
      <c r="B28" s="77"/>
      <c r="C28" s="77"/>
      <c r="D28" s="77"/>
      <c r="E28" s="77"/>
      <c r="F28" s="77"/>
      <c r="G28" s="152"/>
      <c r="H28" s="153"/>
      <c r="I28" s="153"/>
      <c r="J28" s="153"/>
      <c r="K28" s="153"/>
      <c r="L28" s="153"/>
      <c r="M28" s="152"/>
      <c r="N28" s="153"/>
      <c r="O28" s="153"/>
      <c r="P28" s="153"/>
      <c r="Q28" s="153"/>
      <c r="R28" s="153"/>
      <c r="S28" s="152"/>
      <c r="T28" s="153"/>
      <c r="U28" s="153"/>
      <c r="V28" s="153"/>
      <c r="W28" s="153"/>
      <c r="X28" s="153"/>
    </row>
    <row r="29" spans="1:24">
      <c r="A29" s="78" t="s">
        <v>1337</v>
      </c>
      <c r="B29" s="77"/>
      <c r="C29" s="77"/>
      <c r="D29" s="77"/>
      <c r="E29" s="77"/>
      <c r="F29" s="77"/>
      <c r="G29" s="152"/>
      <c r="H29" s="153"/>
      <c r="I29" s="153"/>
      <c r="J29" s="153"/>
      <c r="K29" s="153"/>
      <c r="L29" s="153"/>
      <c r="M29" s="152"/>
      <c r="N29" s="153"/>
      <c r="O29" s="153"/>
      <c r="P29" s="153"/>
      <c r="Q29" s="153"/>
      <c r="R29" s="153"/>
      <c r="S29" s="152"/>
      <c r="T29" s="153"/>
      <c r="U29" s="153"/>
      <c r="V29" s="153"/>
      <c r="W29" s="153"/>
      <c r="X29" s="153"/>
    </row>
    <row r="30" spans="1:24">
      <c r="A30" s="76"/>
      <c r="B30" s="77"/>
      <c r="C30" s="77"/>
      <c r="D30" s="77"/>
      <c r="E30" s="77"/>
      <c r="F30" s="77"/>
      <c r="G30" s="152"/>
      <c r="H30" s="153"/>
      <c r="I30" s="153"/>
      <c r="J30" s="153"/>
      <c r="K30" s="153"/>
      <c r="L30" s="153"/>
      <c r="M30" s="152"/>
      <c r="N30" s="153"/>
      <c r="O30" s="153"/>
      <c r="P30" s="153"/>
      <c r="Q30" s="153"/>
      <c r="R30" s="153"/>
      <c r="S30" s="152"/>
      <c r="T30" s="153"/>
      <c r="U30" s="153"/>
      <c r="V30" s="153"/>
      <c r="W30" s="153"/>
      <c r="X30" s="153"/>
    </row>
    <row r="31" spans="1:24">
      <c r="A31" s="84" t="s">
        <v>26</v>
      </c>
      <c r="B31" s="77"/>
      <c r="C31" s="77"/>
      <c r="D31" s="77"/>
      <c r="E31" s="77"/>
      <c r="F31" s="77"/>
      <c r="G31" s="152"/>
      <c r="H31" s="153"/>
      <c r="I31" s="153"/>
      <c r="J31" s="153"/>
      <c r="K31" s="153"/>
      <c r="L31" s="153"/>
      <c r="M31" s="152"/>
      <c r="N31" s="153"/>
      <c r="O31" s="153"/>
      <c r="P31" s="153"/>
      <c r="Q31" s="153"/>
      <c r="R31" s="153"/>
      <c r="S31" s="152"/>
      <c r="T31" s="153"/>
      <c r="U31" s="153"/>
      <c r="V31" s="153"/>
      <c r="W31" s="153"/>
      <c r="X31" s="153"/>
    </row>
    <row r="32" spans="1:24">
      <c r="A32" s="76" t="s">
        <v>368</v>
      </c>
      <c r="B32" s="80">
        <f t="shared" ref="B32:F41" si="36">AVERAGE(H32,N32,T32)/5</f>
        <v>0.4</v>
      </c>
      <c r="C32" s="80">
        <f t="shared" si="36"/>
        <v>1</v>
      </c>
      <c r="D32" s="80">
        <f t="shared" si="36"/>
        <v>0.6</v>
      </c>
      <c r="E32" s="80">
        <f t="shared" si="36"/>
        <v>1</v>
      </c>
      <c r="F32" s="80">
        <f t="shared" si="36"/>
        <v>0.6</v>
      </c>
      <c r="G32" s="152"/>
      <c r="H32" s="156">
        <v>2</v>
      </c>
      <c r="I32" s="156">
        <v>5</v>
      </c>
      <c r="J32" s="156">
        <v>3</v>
      </c>
      <c r="K32" s="156">
        <v>5</v>
      </c>
      <c r="L32" s="156">
        <v>3</v>
      </c>
      <c r="M32" s="152"/>
      <c r="N32" s="88">
        <v>2</v>
      </c>
      <c r="O32" s="88">
        <v>5</v>
      </c>
      <c r="P32" s="88">
        <v>3</v>
      </c>
      <c r="Q32" s="88">
        <v>5</v>
      </c>
      <c r="R32" s="88">
        <v>3</v>
      </c>
      <c r="S32" s="152"/>
      <c r="T32" s="156"/>
      <c r="U32" s="156"/>
      <c r="V32" s="156"/>
      <c r="W32" s="156"/>
      <c r="X32" s="156"/>
    </row>
    <row r="33" spans="1:24">
      <c r="A33" s="76" t="s">
        <v>369</v>
      </c>
      <c r="B33" s="80">
        <f t="shared" si="36"/>
        <v>0.5</v>
      </c>
      <c r="C33" s="80">
        <f t="shared" si="36"/>
        <v>0.8</v>
      </c>
      <c r="D33" s="80">
        <f t="shared" si="36"/>
        <v>0.5</v>
      </c>
      <c r="E33" s="80">
        <f t="shared" si="36"/>
        <v>0.8</v>
      </c>
      <c r="F33" s="80">
        <f t="shared" si="36"/>
        <v>0.3</v>
      </c>
      <c r="G33" s="152"/>
      <c r="H33" s="156">
        <v>2</v>
      </c>
      <c r="I33" s="156">
        <v>4</v>
      </c>
      <c r="J33" s="156">
        <v>2</v>
      </c>
      <c r="K33" s="156">
        <v>4</v>
      </c>
      <c r="L33" s="156">
        <v>2</v>
      </c>
      <c r="M33" s="152"/>
      <c r="N33" s="88">
        <v>3</v>
      </c>
      <c r="O33" s="88">
        <v>4</v>
      </c>
      <c r="P33" s="88">
        <v>3</v>
      </c>
      <c r="Q33" s="88">
        <v>4</v>
      </c>
      <c r="R33" s="88">
        <v>1</v>
      </c>
      <c r="S33" s="152"/>
      <c r="T33" s="156"/>
      <c r="U33" s="156"/>
      <c r="V33" s="156"/>
      <c r="W33" s="156"/>
      <c r="X33" s="156"/>
    </row>
    <row r="34" spans="1:24">
      <c r="A34" s="76" t="s">
        <v>370</v>
      </c>
      <c r="B34" s="80">
        <f t="shared" si="36"/>
        <v>0.2</v>
      </c>
      <c r="C34" s="80">
        <f t="shared" si="36"/>
        <v>0.8</v>
      </c>
      <c r="D34" s="80">
        <f t="shared" si="36"/>
        <v>0.6</v>
      </c>
      <c r="E34" s="80">
        <f t="shared" si="36"/>
        <v>0.9</v>
      </c>
      <c r="F34" s="80">
        <f t="shared" si="36"/>
        <v>0.3</v>
      </c>
      <c r="G34" s="152"/>
      <c r="H34" s="156">
        <v>1</v>
      </c>
      <c r="I34" s="156">
        <v>4</v>
      </c>
      <c r="J34" s="156">
        <v>3</v>
      </c>
      <c r="K34" s="156">
        <v>5</v>
      </c>
      <c r="L34" s="156">
        <v>2</v>
      </c>
      <c r="M34" s="152"/>
      <c r="N34" s="88">
        <v>1</v>
      </c>
      <c r="O34" s="88">
        <v>4</v>
      </c>
      <c r="P34" s="88">
        <v>3</v>
      </c>
      <c r="Q34" s="88">
        <v>4</v>
      </c>
      <c r="R34" s="88">
        <v>1</v>
      </c>
      <c r="S34" s="152"/>
      <c r="T34" s="156"/>
      <c r="U34" s="156"/>
      <c r="V34" s="156"/>
      <c r="W34" s="156"/>
      <c r="X34" s="156"/>
    </row>
    <row r="35" spans="1:24">
      <c r="A35" s="76" t="s">
        <v>371</v>
      </c>
      <c r="B35" s="80">
        <f t="shared" si="36"/>
        <v>0.2</v>
      </c>
      <c r="C35" s="80">
        <f t="shared" si="36"/>
        <v>1</v>
      </c>
      <c r="D35" s="80">
        <f t="shared" si="36"/>
        <v>0.4</v>
      </c>
      <c r="E35" s="80">
        <f t="shared" si="36"/>
        <v>1</v>
      </c>
      <c r="F35" s="80">
        <f t="shared" si="36"/>
        <v>0.9</v>
      </c>
      <c r="G35" s="152"/>
      <c r="H35" s="156">
        <v>1</v>
      </c>
      <c r="I35" s="156">
        <v>5</v>
      </c>
      <c r="J35" s="156">
        <v>2</v>
      </c>
      <c r="K35" s="156">
        <v>5</v>
      </c>
      <c r="L35" s="156">
        <v>5</v>
      </c>
      <c r="M35" s="152"/>
      <c r="N35" s="88">
        <v>1</v>
      </c>
      <c r="O35" s="88">
        <v>5</v>
      </c>
      <c r="P35" s="88">
        <v>2</v>
      </c>
      <c r="Q35" s="88">
        <v>5</v>
      </c>
      <c r="R35" s="88">
        <v>4</v>
      </c>
      <c r="S35" s="152"/>
      <c r="T35" s="156"/>
      <c r="U35" s="156"/>
      <c r="V35" s="156"/>
      <c r="W35" s="156"/>
      <c r="X35" s="156"/>
    </row>
    <row r="36" spans="1:24">
      <c r="A36" s="76" t="s">
        <v>372</v>
      </c>
      <c r="B36" s="80">
        <f t="shared" si="36"/>
        <v>0.2</v>
      </c>
      <c r="C36" s="80">
        <f t="shared" si="36"/>
        <v>0.9</v>
      </c>
      <c r="D36" s="80">
        <f t="shared" si="36"/>
        <v>0.4</v>
      </c>
      <c r="E36" s="80">
        <f t="shared" si="36"/>
        <v>1</v>
      </c>
      <c r="F36" s="80">
        <f t="shared" si="36"/>
        <v>0.8</v>
      </c>
      <c r="G36" s="152"/>
      <c r="H36" s="156">
        <v>1</v>
      </c>
      <c r="I36" s="156">
        <v>5</v>
      </c>
      <c r="J36" s="156">
        <v>2</v>
      </c>
      <c r="K36" s="156">
        <v>5</v>
      </c>
      <c r="L36" s="156">
        <v>4</v>
      </c>
      <c r="M36" s="152"/>
      <c r="N36" s="88">
        <v>1</v>
      </c>
      <c r="O36" s="88">
        <v>4</v>
      </c>
      <c r="P36" s="88">
        <v>2</v>
      </c>
      <c r="Q36" s="88">
        <v>5</v>
      </c>
      <c r="R36" s="88">
        <v>4</v>
      </c>
      <c r="S36" s="152"/>
      <c r="T36" s="156"/>
      <c r="U36" s="156"/>
      <c r="V36" s="156"/>
      <c r="W36" s="156"/>
      <c r="X36" s="156"/>
    </row>
    <row r="37" spans="1:24">
      <c r="A37" s="76" t="s">
        <v>373</v>
      </c>
      <c r="B37" s="80">
        <f t="shared" si="36"/>
        <v>0.3</v>
      </c>
      <c r="C37" s="80">
        <f t="shared" si="36"/>
        <v>1</v>
      </c>
      <c r="D37" s="80">
        <f t="shared" si="36"/>
        <v>0.5</v>
      </c>
      <c r="E37" s="80">
        <f t="shared" si="36"/>
        <v>1</v>
      </c>
      <c r="F37" s="80">
        <f t="shared" si="36"/>
        <v>0.6</v>
      </c>
      <c r="G37" s="152"/>
      <c r="H37" s="156">
        <v>1</v>
      </c>
      <c r="I37" s="156">
        <v>5</v>
      </c>
      <c r="J37" s="156">
        <v>2</v>
      </c>
      <c r="K37" s="156">
        <v>5</v>
      </c>
      <c r="L37" s="156">
        <v>4</v>
      </c>
      <c r="M37" s="152"/>
      <c r="N37" s="88">
        <v>2</v>
      </c>
      <c r="O37" s="88">
        <v>5</v>
      </c>
      <c r="P37" s="88">
        <v>3</v>
      </c>
      <c r="Q37" s="88">
        <v>5</v>
      </c>
      <c r="R37" s="88">
        <v>2</v>
      </c>
      <c r="S37" s="152"/>
      <c r="T37" s="156"/>
      <c r="U37" s="156"/>
      <c r="V37" s="156"/>
      <c r="W37" s="156"/>
      <c r="X37" s="156"/>
    </row>
    <row r="38" spans="1:24">
      <c r="A38" s="76" t="s">
        <v>374</v>
      </c>
      <c r="B38" s="80">
        <f t="shared" si="36"/>
        <v>0.3</v>
      </c>
      <c r="C38" s="80">
        <f t="shared" si="36"/>
        <v>1</v>
      </c>
      <c r="D38" s="80">
        <f t="shared" si="36"/>
        <v>0.5</v>
      </c>
      <c r="E38" s="80">
        <f t="shared" si="36"/>
        <v>1</v>
      </c>
      <c r="F38" s="80">
        <f t="shared" si="36"/>
        <v>0.5</v>
      </c>
      <c r="G38" s="152"/>
      <c r="H38" s="156">
        <v>1</v>
      </c>
      <c r="I38" s="156">
        <v>5</v>
      </c>
      <c r="J38" s="156">
        <v>2</v>
      </c>
      <c r="K38" s="156">
        <v>5</v>
      </c>
      <c r="L38" s="156">
        <v>3</v>
      </c>
      <c r="M38" s="152"/>
      <c r="N38" s="88">
        <v>2</v>
      </c>
      <c r="O38" s="88">
        <v>5</v>
      </c>
      <c r="P38" s="88">
        <v>3</v>
      </c>
      <c r="Q38" s="88">
        <v>5</v>
      </c>
      <c r="R38" s="88">
        <v>2</v>
      </c>
      <c r="S38" s="152"/>
      <c r="T38" s="156"/>
      <c r="U38" s="156"/>
      <c r="V38" s="156"/>
      <c r="W38" s="156"/>
      <c r="X38" s="156"/>
    </row>
    <row r="39" spans="1:24">
      <c r="A39" s="76" t="s">
        <v>375</v>
      </c>
      <c r="B39" s="80">
        <f t="shared" si="36"/>
        <v>0.2</v>
      </c>
      <c r="C39" s="80">
        <f t="shared" si="36"/>
        <v>0.8</v>
      </c>
      <c r="D39" s="80">
        <f t="shared" si="36"/>
        <v>0.7</v>
      </c>
      <c r="E39" s="80">
        <f t="shared" si="36"/>
        <v>1</v>
      </c>
      <c r="F39" s="80">
        <f t="shared" si="36"/>
        <v>0.9</v>
      </c>
      <c r="G39" s="152"/>
      <c r="H39" s="156">
        <v>1</v>
      </c>
      <c r="I39" s="156">
        <v>4</v>
      </c>
      <c r="J39" s="156">
        <v>4</v>
      </c>
      <c r="K39" s="156">
        <v>5</v>
      </c>
      <c r="L39" s="156">
        <v>5</v>
      </c>
      <c r="M39" s="152"/>
      <c r="N39" s="88">
        <v>1</v>
      </c>
      <c r="O39" s="88">
        <v>4</v>
      </c>
      <c r="P39" s="88">
        <v>3</v>
      </c>
      <c r="Q39" s="88">
        <v>5</v>
      </c>
      <c r="R39" s="88">
        <v>4</v>
      </c>
      <c r="S39" s="152"/>
      <c r="T39" s="156"/>
      <c r="U39" s="156"/>
      <c r="V39" s="156"/>
      <c r="W39" s="156"/>
      <c r="X39" s="156"/>
    </row>
    <row r="40" spans="1:24">
      <c r="A40" s="76" t="s">
        <v>376</v>
      </c>
      <c r="B40" s="80">
        <f t="shared" si="36"/>
        <v>0.2</v>
      </c>
      <c r="C40" s="80">
        <f t="shared" si="36"/>
        <v>1</v>
      </c>
      <c r="D40" s="80">
        <f t="shared" si="36"/>
        <v>0.6</v>
      </c>
      <c r="E40" s="80">
        <f t="shared" si="36"/>
        <v>1</v>
      </c>
      <c r="F40" s="80">
        <f t="shared" si="36"/>
        <v>0.5</v>
      </c>
      <c r="G40" s="152"/>
      <c r="H40" s="156">
        <v>1</v>
      </c>
      <c r="I40" s="156">
        <v>5</v>
      </c>
      <c r="J40" s="156">
        <v>3</v>
      </c>
      <c r="K40" s="156">
        <v>5</v>
      </c>
      <c r="L40" s="156">
        <v>3</v>
      </c>
      <c r="M40" s="152"/>
      <c r="N40" s="88">
        <v>1</v>
      </c>
      <c r="O40" s="88">
        <v>5</v>
      </c>
      <c r="P40" s="88">
        <v>3</v>
      </c>
      <c r="Q40" s="88">
        <v>5</v>
      </c>
      <c r="R40" s="88">
        <v>2</v>
      </c>
      <c r="S40" s="152"/>
      <c r="T40" s="156"/>
      <c r="U40" s="156"/>
      <c r="V40" s="156"/>
      <c r="W40" s="156"/>
      <c r="X40" s="156"/>
    </row>
    <row r="41" spans="1:24">
      <c r="A41" s="76" t="s">
        <v>377</v>
      </c>
      <c r="B41" s="80">
        <f t="shared" si="36"/>
        <v>0.2</v>
      </c>
      <c r="C41" s="80">
        <f t="shared" si="36"/>
        <v>0.8</v>
      </c>
      <c r="D41" s="80">
        <f t="shared" si="36"/>
        <v>0.4</v>
      </c>
      <c r="E41" s="80">
        <f t="shared" si="36"/>
        <v>0.6</v>
      </c>
      <c r="F41" s="80">
        <f t="shared" si="36"/>
        <v>0.1</v>
      </c>
      <c r="G41" s="152"/>
      <c r="H41" s="156">
        <v>1</v>
      </c>
      <c r="I41" s="156">
        <v>4</v>
      </c>
      <c r="J41" s="156">
        <v>2</v>
      </c>
      <c r="K41" s="156">
        <v>3</v>
      </c>
      <c r="L41" s="156">
        <v>1</v>
      </c>
      <c r="M41" s="152"/>
      <c r="N41" s="88">
        <v>1</v>
      </c>
      <c r="O41" s="88">
        <v>4</v>
      </c>
      <c r="P41" s="88">
        <v>2</v>
      </c>
      <c r="Q41" s="88">
        <v>3</v>
      </c>
      <c r="R41" s="88">
        <v>0</v>
      </c>
      <c r="S41" s="152"/>
      <c r="T41" s="156"/>
      <c r="U41" s="156"/>
      <c r="V41" s="156"/>
      <c r="W41" s="156"/>
      <c r="X41" s="156"/>
    </row>
    <row r="42" spans="1:24">
      <c r="A42" s="82" t="s">
        <v>1297</v>
      </c>
      <c r="B42" s="83">
        <f t="shared" ref="B42:F42" si="37">AVERAGE(B32:B41)</f>
        <v>0.27000000000000007</v>
      </c>
      <c r="C42" s="83">
        <f t="shared" si="37"/>
        <v>0.91000000000000014</v>
      </c>
      <c r="D42" s="83">
        <f t="shared" si="37"/>
        <v>0.52</v>
      </c>
      <c r="E42" s="83">
        <f t="shared" si="37"/>
        <v>0.92999999999999994</v>
      </c>
      <c r="F42" s="83">
        <f t="shared" si="37"/>
        <v>0.55000000000000004</v>
      </c>
      <c r="G42" s="152"/>
      <c r="H42" s="83">
        <f t="shared" ref="H42:L42" si="38">AVERAGE(H32:H41)</f>
        <v>1.2</v>
      </c>
      <c r="I42" s="83">
        <f t="shared" si="38"/>
        <v>4.5999999999999996</v>
      </c>
      <c r="J42" s="83">
        <f t="shared" si="38"/>
        <v>2.5</v>
      </c>
      <c r="K42" s="83">
        <f t="shared" si="38"/>
        <v>4.7</v>
      </c>
      <c r="L42" s="83">
        <f t="shared" si="38"/>
        <v>3.2</v>
      </c>
      <c r="M42" s="152"/>
      <c r="N42" s="83">
        <f t="shared" ref="N42:R42" si="39">AVERAGE(N32:N41)</f>
        <v>1.5</v>
      </c>
      <c r="O42" s="83">
        <f t="shared" si="39"/>
        <v>4.5</v>
      </c>
      <c r="P42" s="83">
        <f t="shared" si="39"/>
        <v>2.7</v>
      </c>
      <c r="Q42" s="83">
        <f t="shared" si="39"/>
        <v>4.5999999999999996</v>
      </c>
      <c r="R42" s="83">
        <f t="shared" si="39"/>
        <v>2.2999999999999998</v>
      </c>
      <c r="S42" s="152"/>
      <c r="T42" s="83" t="e">
        <f t="shared" ref="T42:X42" si="40">AVERAGE(T32:T41)</f>
        <v>#DIV/0!</v>
      </c>
      <c r="U42" s="83" t="e">
        <f t="shared" si="40"/>
        <v>#DIV/0!</v>
      </c>
      <c r="V42" s="83" t="e">
        <f t="shared" si="40"/>
        <v>#DIV/0!</v>
      </c>
      <c r="W42" s="83" t="e">
        <f t="shared" si="40"/>
        <v>#DIV/0!</v>
      </c>
      <c r="X42" s="83" t="e">
        <f t="shared" si="40"/>
        <v>#DIV/0!</v>
      </c>
    </row>
    <row r="43" spans="1:24">
      <c r="A43" s="76"/>
      <c r="B43" s="76"/>
      <c r="C43" s="76"/>
      <c r="D43" s="76"/>
      <c r="E43" s="76"/>
      <c r="F43" s="76"/>
      <c r="G43" s="152"/>
      <c r="H43" s="76"/>
      <c r="I43" s="76"/>
      <c r="J43" s="76"/>
      <c r="K43" s="76"/>
      <c r="L43" s="76"/>
      <c r="M43" s="152"/>
      <c r="N43" s="76"/>
      <c r="O43" s="76"/>
      <c r="P43" s="76"/>
      <c r="Q43" s="76"/>
      <c r="R43" s="76"/>
      <c r="S43" s="152"/>
      <c r="T43" s="76"/>
      <c r="U43" s="76"/>
      <c r="V43" s="76"/>
      <c r="W43" s="76"/>
      <c r="X43" s="76"/>
    </row>
    <row r="44" spans="1:24">
      <c r="A44" s="76"/>
      <c r="B44" s="76"/>
      <c r="C44" s="76"/>
      <c r="D44" s="76"/>
      <c r="E44" s="76"/>
      <c r="F44" s="76"/>
      <c r="G44" s="152"/>
      <c r="H44" s="76"/>
      <c r="I44" s="76"/>
      <c r="J44" s="76"/>
      <c r="K44" s="76"/>
      <c r="L44" s="76"/>
      <c r="M44" s="152"/>
      <c r="N44" s="76"/>
      <c r="O44" s="76"/>
      <c r="P44" s="76"/>
      <c r="Q44" s="76"/>
      <c r="R44" s="76"/>
      <c r="S44" s="152"/>
      <c r="T44" s="76"/>
      <c r="U44" s="76"/>
      <c r="V44" s="76"/>
      <c r="W44" s="76"/>
      <c r="X44" s="76"/>
    </row>
    <row r="45" spans="1:24">
      <c r="A45" s="84" t="s">
        <v>27</v>
      </c>
      <c r="B45" s="85"/>
      <c r="C45" s="85"/>
      <c r="D45" s="85"/>
      <c r="E45" s="85"/>
      <c r="F45" s="85"/>
      <c r="G45" s="152"/>
      <c r="H45" s="76"/>
      <c r="I45" s="76"/>
      <c r="J45" s="76"/>
      <c r="K45" s="76"/>
      <c r="L45" s="76"/>
      <c r="M45" s="152"/>
      <c r="N45" s="76"/>
      <c r="O45" s="76"/>
      <c r="P45" s="76"/>
      <c r="Q45" s="76"/>
      <c r="R45" s="76"/>
      <c r="S45" s="152"/>
      <c r="T45" s="76"/>
      <c r="U45" s="76"/>
      <c r="V45" s="76"/>
      <c r="W45" s="76"/>
      <c r="X45" s="76"/>
    </row>
    <row r="46" spans="1:24">
      <c r="A46" s="76" t="s">
        <v>378</v>
      </c>
      <c r="B46" s="80">
        <f t="shared" ref="B46:F49" si="41">AVERAGE(H46,N46,T46)/5</f>
        <v>0.5</v>
      </c>
      <c r="C46" s="80">
        <f t="shared" si="41"/>
        <v>1</v>
      </c>
      <c r="D46" s="80">
        <f t="shared" si="41"/>
        <v>0.7</v>
      </c>
      <c r="E46" s="80">
        <f t="shared" si="41"/>
        <v>0.8</v>
      </c>
      <c r="F46" s="80">
        <f t="shared" si="41"/>
        <v>0.6</v>
      </c>
      <c r="G46" s="152"/>
      <c r="H46" s="156">
        <v>2</v>
      </c>
      <c r="I46" s="156">
        <v>5</v>
      </c>
      <c r="J46" s="156">
        <v>4</v>
      </c>
      <c r="K46" s="156">
        <v>4</v>
      </c>
      <c r="L46" s="156">
        <v>3</v>
      </c>
      <c r="M46" s="152"/>
      <c r="N46" s="88">
        <v>3</v>
      </c>
      <c r="O46" s="88">
        <v>5</v>
      </c>
      <c r="P46" s="88">
        <v>3</v>
      </c>
      <c r="Q46" s="88">
        <v>4</v>
      </c>
      <c r="R46" s="88">
        <v>3</v>
      </c>
      <c r="S46" s="152"/>
      <c r="T46" s="156"/>
      <c r="U46" s="156"/>
      <c r="V46" s="156"/>
      <c r="W46" s="156"/>
      <c r="X46" s="156"/>
    </row>
    <row r="47" spans="1:24">
      <c r="A47" s="76" t="s">
        <v>165</v>
      </c>
      <c r="B47" s="80">
        <f t="shared" si="41"/>
        <v>0.5</v>
      </c>
      <c r="C47" s="80">
        <f t="shared" si="41"/>
        <v>0.8</v>
      </c>
      <c r="D47" s="80">
        <f t="shared" si="41"/>
        <v>0.6</v>
      </c>
      <c r="E47" s="80">
        <f t="shared" si="41"/>
        <v>0.9</v>
      </c>
      <c r="F47" s="80">
        <f t="shared" si="41"/>
        <v>0.4</v>
      </c>
      <c r="G47" s="152"/>
      <c r="H47" s="156">
        <v>3</v>
      </c>
      <c r="I47" s="156">
        <v>4</v>
      </c>
      <c r="J47" s="156">
        <v>3</v>
      </c>
      <c r="K47" s="156">
        <v>5</v>
      </c>
      <c r="L47" s="156">
        <v>3</v>
      </c>
      <c r="M47" s="152"/>
      <c r="N47" s="88">
        <v>2</v>
      </c>
      <c r="O47" s="88">
        <v>4</v>
      </c>
      <c r="P47" s="88">
        <v>3</v>
      </c>
      <c r="Q47" s="88">
        <v>4</v>
      </c>
      <c r="R47" s="88">
        <v>1</v>
      </c>
      <c r="S47" s="152"/>
      <c r="T47" s="156"/>
      <c r="U47" s="156"/>
      <c r="V47" s="156"/>
      <c r="W47" s="156"/>
      <c r="X47" s="156"/>
    </row>
    <row r="48" spans="1:24">
      <c r="A48" s="76" t="s">
        <v>379</v>
      </c>
      <c r="B48" s="80">
        <f t="shared" si="41"/>
        <v>0.5</v>
      </c>
      <c r="C48" s="80">
        <f t="shared" si="41"/>
        <v>0.7</v>
      </c>
      <c r="D48" s="80">
        <f t="shared" si="41"/>
        <v>0.7</v>
      </c>
      <c r="E48" s="80">
        <f t="shared" si="41"/>
        <v>0.9</v>
      </c>
      <c r="F48" s="80">
        <f t="shared" si="41"/>
        <v>0.5</v>
      </c>
      <c r="G48" s="152"/>
      <c r="H48" s="156">
        <v>3</v>
      </c>
      <c r="I48" s="156">
        <v>3</v>
      </c>
      <c r="J48" s="156">
        <v>4</v>
      </c>
      <c r="K48" s="156">
        <v>5</v>
      </c>
      <c r="L48" s="156">
        <v>3</v>
      </c>
      <c r="M48" s="152"/>
      <c r="N48" s="88">
        <v>2</v>
      </c>
      <c r="O48" s="88">
        <v>4</v>
      </c>
      <c r="P48" s="88">
        <v>3</v>
      </c>
      <c r="Q48" s="88">
        <v>4</v>
      </c>
      <c r="R48" s="88">
        <v>2</v>
      </c>
      <c r="S48" s="152"/>
      <c r="T48" s="156"/>
      <c r="U48" s="156"/>
      <c r="V48" s="156"/>
      <c r="W48" s="156"/>
      <c r="X48" s="156"/>
    </row>
    <row r="49" spans="1:24">
      <c r="A49" s="76" t="s">
        <v>380</v>
      </c>
      <c r="B49" s="80">
        <f t="shared" si="41"/>
        <v>0.3</v>
      </c>
      <c r="C49" s="80">
        <f t="shared" si="41"/>
        <v>0.6</v>
      </c>
      <c r="D49" s="80">
        <f t="shared" si="41"/>
        <v>0.6</v>
      </c>
      <c r="E49" s="80">
        <f t="shared" si="41"/>
        <v>0.7</v>
      </c>
      <c r="F49" s="80">
        <f t="shared" si="41"/>
        <v>0.4</v>
      </c>
      <c r="G49" s="152"/>
      <c r="H49" s="156">
        <v>2</v>
      </c>
      <c r="I49" s="156">
        <v>3</v>
      </c>
      <c r="J49" s="156">
        <v>3</v>
      </c>
      <c r="K49" s="156">
        <v>4</v>
      </c>
      <c r="L49" s="156">
        <v>3</v>
      </c>
      <c r="M49" s="152"/>
      <c r="N49" s="88">
        <v>1</v>
      </c>
      <c r="O49" s="88">
        <v>3</v>
      </c>
      <c r="P49" s="88">
        <v>3</v>
      </c>
      <c r="Q49" s="88">
        <v>3</v>
      </c>
      <c r="R49" s="88">
        <v>1</v>
      </c>
      <c r="S49" s="152"/>
      <c r="T49" s="156"/>
      <c r="U49" s="156"/>
      <c r="V49" s="156"/>
      <c r="W49" s="156"/>
      <c r="X49" s="156"/>
    </row>
    <row r="50" spans="1:24">
      <c r="A50" s="76"/>
      <c r="B50" s="76"/>
      <c r="C50" s="76"/>
      <c r="D50" s="76"/>
      <c r="E50" s="76"/>
      <c r="F50" s="76"/>
      <c r="G50" s="152"/>
      <c r="H50" s="76"/>
      <c r="I50" s="76"/>
      <c r="J50" s="76"/>
      <c r="K50" s="76"/>
      <c r="L50" s="76"/>
      <c r="M50" s="152"/>
      <c r="S50" s="152"/>
      <c r="T50" s="76"/>
      <c r="U50" s="76"/>
      <c r="V50" s="76"/>
      <c r="W50" s="76"/>
      <c r="X50" s="76"/>
    </row>
    <row r="51" spans="1:24">
      <c r="A51" s="76" t="s">
        <v>381</v>
      </c>
      <c r="B51" s="80">
        <f t="shared" ref="B51:F55" si="42">AVERAGE(H51,N51,T51)/5</f>
        <v>0.6</v>
      </c>
      <c r="C51" s="80">
        <f t="shared" si="42"/>
        <v>1</v>
      </c>
      <c r="D51" s="80">
        <f t="shared" si="42"/>
        <v>0.7</v>
      </c>
      <c r="E51" s="80">
        <f t="shared" si="42"/>
        <v>1</v>
      </c>
      <c r="F51" s="80">
        <f t="shared" si="42"/>
        <v>0.6</v>
      </c>
      <c r="G51" s="152"/>
      <c r="H51" s="156">
        <v>3</v>
      </c>
      <c r="I51" s="156">
        <v>5</v>
      </c>
      <c r="J51" s="156">
        <v>4</v>
      </c>
      <c r="K51" s="156">
        <v>5</v>
      </c>
      <c r="L51" s="156">
        <v>3</v>
      </c>
      <c r="M51" s="152"/>
      <c r="N51" s="88">
        <v>3</v>
      </c>
      <c r="O51" s="88">
        <v>5</v>
      </c>
      <c r="P51" s="88">
        <v>3</v>
      </c>
      <c r="Q51" s="88">
        <v>5</v>
      </c>
      <c r="R51" s="88">
        <v>3</v>
      </c>
      <c r="S51" s="152"/>
      <c r="T51" s="156"/>
      <c r="U51" s="156"/>
      <c r="V51" s="156"/>
      <c r="W51" s="156"/>
      <c r="X51" s="156"/>
    </row>
    <row r="52" spans="1:24">
      <c r="A52" s="76" t="s">
        <v>382</v>
      </c>
      <c r="B52" s="80">
        <f t="shared" si="42"/>
        <v>0.8</v>
      </c>
      <c r="C52" s="80">
        <f t="shared" si="42"/>
        <v>0.6</v>
      </c>
      <c r="D52" s="80">
        <f t="shared" si="42"/>
        <v>0.8</v>
      </c>
      <c r="E52" s="80">
        <f t="shared" si="42"/>
        <v>0.8</v>
      </c>
      <c r="F52" s="80">
        <f t="shared" si="42"/>
        <v>0.3</v>
      </c>
      <c r="G52" s="152"/>
      <c r="H52" s="156">
        <v>5</v>
      </c>
      <c r="I52" s="156">
        <v>3</v>
      </c>
      <c r="J52" s="156">
        <v>5</v>
      </c>
      <c r="K52" s="156">
        <v>4</v>
      </c>
      <c r="L52" s="156">
        <v>2</v>
      </c>
      <c r="M52" s="152"/>
      <c r="N52" s="88">
        <v>3</v>
      </c>
      <c r="O52" s="88">
        <v>3</v>
      </c>
      <c r="P52" s="88">
        <v>3</v>
      </c>
      <c r="Q52" s="88">
        <v>4</v>
      </c>
      <c r="R52" s="88">
        <v>1</v>
      </c>
      <c r="S52" s="152"/>
      <c r="T52" s="156"/>
      <c r="U52" s="156"/>
      <c r="V52" s="156"/>
      <c r="W52" s="156"/>
      <c r="X52" s="156"/>
    </row>
    <row r="53" spans="1:24">
      <c r="A53" s="76" t="s">
        <v>383</v>
      </c>
      <c r="B53" s="80">
        <f t="shared" si="42"/>
        <v>0.2</v>
      </c>
      <c r="C53" s="80">
        <f t="shared" si="42"/>
        <v>0.3</v>
      </c>
      <c r="D53" s="80">
        <f t="shared" si="42"/>
        <v>0.9</v>
      </c>
      <c r="E53" s="80">
        <f t="shared" si="42"/>
        <v>0.6</v>
      </c>
      <c r="F53" s="80">
        <f t="shared" si="42"/>
        <v>0</v>
      </c>
      <c r="G53" s="152"/>
      <c r="H53" s="156">
        <v>1</v>
      </c>
      <c r="I53" s="156">
        <v>1</v>
      </c>
      <c r="J53" s="156">
        <v>5</v>
      </c>
      <c r="K53" s="156">
        <v>3</v>
      </c>
      <c r="L53" s="156">
        <v>0</v>
      </c>
      <c r="M53" s="152"/>
      <c r="N53" s="88">
        <v>1</v>
      </c>
      <c r="O53" s="88">
        <v>2</v>
      </c>
      <c r="P53" s="88">
        <v>4</v>
      </c>
      <c r="Q53" s="88">
        <v>3</v>
      </c>
      <c r="R53" s="88">
        <v>0</v>
      </c>
      <c r="S53" s="152"/>
      <c r="T53" s="156"/>
      <c r="U53" s="156"/>
      <c r="V53" s="156"/>
      <c r="W53" s="156"/>
      <c r="X53" s="156"/>
    </row>
    <row r="54" spans="1:24">
      <c r="A54" s="76" t="s">
        <v>384</v>
      </c>
      <c r="B54" s="80">
        <f t="shared" si="42"/>
        <v>0.5</v>
      </c>
      <c r="C54" s="80">
        <f t="shared" si="42"/>
        <v>0.8</v>
      </c>
      <c r="D54" s="80">
        <f t="shared" si="42"/>
        <v>0.8</v>
      </c>
      <c r="E54" s="80">
        <f t="shared" si="42"/>
        <v>0.4</v>
      </c>
      <c r="F54" s="80">
        <f t="shared" si="42"/>
        <v>0.3</v>
      </c>
      <c r="G54" s="152"/>
      <c r="H54" s="156">
        <v>3</v>
      </c>
      <c r="I54" s="156">
        <v>4</v>
      </c>
      <c r="J54" s="156">
        <v>5</v>
      </c>
      <c r="K54" s="156">
        <v>2</v>
      </c>
      <c r="L54" s="156">
        <v>2</v>
      </c>
      <c r="M54" s="152"/>
      <c r="N54" s="88">
        <v>2</v>
      </c>
      <c r="O54" s="88">
        <v>4</v>
      </c>
      <c r="P54" s="88">
        <v>3</v>
      </c>
      <c r="Q54" s="88">
        <v>2</v>
      </c>
      <c r="R54" s="88">
        <v>1</v>
      </c>
      <c r="S54" s="152"/>
      <c r="T54" s="156"/>
      <c r="U54" s="156"/>
      <c r="V54" s="156"/>
      <c r="W54" s="156"/>
      <c r="X54" s="156"/>
    </row>
    <row r="55" spans="1:24">
      <c r="A55" s="76" t="s">
        <v>385</v>
      </c>
      <c r="B55" s="80">
        <f t="shared" si="42"/>
        <v>0.2</v>
      </c>
      <c r="C55" s="80">
        <f t="shared" si="42"/>
        <v>0.9</v>
      </c>
      <c r="D55" s="80">
        <f t="shared" si="42"/>
        <v>0.8</v>
      </c>
      <c r="E55" s="80">
        <f t="shared" si="42"/>
        <v>0.7</v>
      </c>
      <c r="F55" s="80">
        <f t="shared" si="42"/>
        <v>0.5</v>
      </c>
      <c r="G55" s="152"/>
      <c r="H55" s="156">
        <v>1</v>
      </c>
      <c r="I55" s="156">
        <v>4</v>
      </c>
      <c r="J55" s="156">
        <v>5</v>
      </c>
      <c r="K55" s="156">
        <v>3</v>
      </c>
      <c r="L55" s="156">
        <v>2</v>
      </c>
      <c r="M55" s="152"/>
      <c r="N55" s="88">
        <v>1</v>
      </c>
      <c r="O55" s="88">
        <v>5</v>
      </c>
      <c r="P55" s="88">
        <v>3</v>
      </c>
      <c r="Q55" s="88">
        <v>4</v>
      </c>
      <c r="R55" s="88">
        <v>3</v>
      </c>
      <c r="S55" s="152"/>
      <c r="T55" s="156"/>
      <c r="U55" s="156"/>
      <c r="V55" s="156"/>
      <c r="W55" s="156"/>
      <c r="X55" s="156"/>
    </row>
    <row r="56" spans="1:24">
      <c r="A56" s="76"/>
      <c r="B56" s="76"/>
      <c r="C56" s="76"/>
      <c r="D56" s="76"/>
      <c r="E56" s="76"/>
      <c r="F56" s="76"/>
      <c r="G56" s="152"/>
      <c r="H56" s="76"/>
      <c r="I56" s="76"/>
      <c r="J56" s="76"/>
      <c r="K56" s="76"/>
      <c r="L56" s="76"/>
      <c r="M56" s="152"/>
      <c r="S56" s="152"/>
      <c r="T56" s="76"/>
      <c r="U56" s="76"/>
      <c r="V56" s="76"/>
      <c r="W56" s="76"/>
      <c r="X56" s="76"/>
    </row>
    <row r="57" spans="1:24">
      <c r="A57" s="76" t="s">
        <v>386</v>
      </c>
      <c r="B57" s="80">
        <f t="shared" ref="B57:F60" si="43">AVERAGE(H57,N57,T57)/5</f>
        <v>0.5</v>
      </c>
      <c r="C57" s="80">
        <f t="shared" si="43"/>
        <v>1</v>
      </c>
      <c r="D57" s="80">
        <f t="shared" si="43"/>
        <v>0.6</v>
      </c>
      <c r="E57" s="80">
        <f t="shared" si="43"/>
        <v>0.8</v>
      </c>
      <c r="F57" s="80">
        <f t="shared" si="43"/>
        <v>0.4</v>
      </c>
      <c r="G57" s="152"/>
      <c r="H57" s="156">
        <v>2</v>
      </c>
      <c r="I57" s="156">
        <v>5</v>
      </c>
      <c r="J57" s="156">
        <v>3</v>
      </c>
      <c r="K57" s="156">
        <v>4</v>
      </c>
      <c r="L57" s="156">
        <v>3</v>
      </c>
      <c r="M57" s="152"/>
      <c r="N57" s="88">
        <v>3</v>
      </c>
      <c r="O57" s="88">
        <v>5</v>
      </c>
      <c r="P57" s="88">
        <v>3</v>
      </c>
      <c r="Q57" s="88">
        <v>4</v>
      </c>
      <c r="R57" s="88">
        <v>1</v>
      </c>
      <c r="S57" s="152"/>
      <c r="T57" s="156"/>
      <c r="U57" s="156"/>
      <c r="V57" s="156"/>
      <c r="W57" s="156"/>
      <c r="X57" s="156"/>
    </row>
    <row r="58" spans="1:24">
      <c r="A58" s="76" t="s">
        <v>387</v>
      </c>
      <c r="B58" s="80">
        <f t="shared" si="43"/>
        <v>0.3</v>
      </c>
      <c r="C58" s="80">
        <f t="shared" si="43"/>
        <v>1</v>
      </c>
      <c r="D58" s="80">
        <f t="shared" si="43"/>
        <v>0.5</v>
      </c>
      <c r="E58" s="80">
        <f t="shared" si="43"/>
        <v>0.9</v>
      </c>
      <c r="F58" s="80">
        <f t="shared" si="43"/>
        <v>0.4</v>
      </c>
      <c r="G58" s="152"/>
      <c r="H58" s="156">
        <v>1</v>
      </c>
      <c r="I58" s="156">
        <v>5</v>
      </c>
      <c r="J58" s="156">
        <v>2</v>
      </c>
      <c r="K58" s="156">
        <v>5</v>
      </c>
      <c r="L58" s="156">
        <v>2</v>
      </c>
      <c r="M58" s="152"/>
      <c r="N58" s="88">
        <v>2</v>
      </c>
      <c r="O58" s="88">
        <v>5</v>
      </c>
      <c r="P58" s="88">
        <v>3</v>
      </c>
      <c r="Q58" s="88">
        <v>4</v>
      </c>
      <c r="R58" s="88">
        <v>2</v>
      </c>
      <c r="S58" s="152"/>
      <c r="T58" s="156"/>
      <c r="U58" s="156"/>
      <c r="V58" s="156"/>
      <c r="W58" s="156"/>
      <c r="X58" s="156"/>
    </row>
    <row r="59" spans="1:24">
      <c r="A59" s="76" t="s">
        <v>388</v>
      </c>
      <c r="B59" s="80">
        <f t="shared" si="43"/>
        <v>0.2</v>
      </c>
      <c r="C59" s="80">
        <f t="shared" si="43"/>
        <v>1</v>
      </c>
      <c r="D59" s="80">
        <f t="shared" si="43"/>
        <v>0.5</v>
      </c>
      <c r="E59" s="80">
        <f t="shared" si="43"/>
        <v>0.8</v>
      </c>
      <c r="F59" s="80">
        <f t="shared" si="43"/>
        <v>0.7</v>
      </c>
      <c r="G59" s="152"/>
      <c r="H59" s="156">
        <v>1</v>
      </c>
      <c r="I59" s="156">
        <v>5</v>
      </c>
      <c r="J59" s="156">
        <v>2</v>
      </c>
      <c r="K59" s="156">
        <v>4</v>
      </c>
      <c r="L59" s="156">
        <v>4</v>
      </c>
      <c r="M59" s="152"/>
      <c r="N59" s="88">
        <v>1</v>
      </c>
      <c r="O59" s="88">
        <v>5</v>
      </c>
      <c r="P59" s="88">
        <v>3</v>
      </c>
      <c r="Q59" s="88">
        <v>4</v>
      </c>
      <c r="R59" s="88">
        <v>3</v>
      </c>
      <c r="S59" s="152"/>
      <c r="T59" s="156"/>
      <c r="U59" s="156"/>
      <c r="V59" s="156"/>
      <c r="W59" s="156"/>
      <c r="X59" s="156"/>
    </row>
    <row r="60" spans="1:24">
      <c r="A60" s="76" t="s">
        <v>389</v>
      </c>
      <c r="B60" s="80">
        <f t="shared" si="43"/>
        <v>0.2</v>
      </c>
      <c r="C60" s="80">
        <f t="shared" si="43"/>
        <v>0.7</v>
      </c>
      <c r="D60" s="80">
        <f t="shared" si="43"/>
        <v>0.6</v>
      </c>
      <c r="E60" s="80">
        <f t="shared" si="43"/>
        <v>0.8</v>
      </c>
      <c r="F60" s="80">
        <f t="shared" si="43"/>
        <v>0.3</v>
      </c>
      <c r="G60" s="152"/>
      <c r="H60" s="156">
        <v>1</v>
      </c>
      <c r="I60" s="156">
        <v>4</v>
      </c>
      <c r="J60" s="156">
        <v>3</v>
      </c>
      <c r="K60" s="156">
        <v>4</v>
      </c>
      <c r="L60" s="156">
        <v>2</v>
      </c>
      <c r="M60" s="152"/>
      <c r="N60" s="88">
        <v>1</v>
      </c>
      <c r="O60" s="88">
        <v>3</v>
      </c>
      <c r="P60" s="88">
        <v>3</v>
      </c>
      <c r="Q60" s="88">
        <v>4</v>
      </c>
      <c r="R60" s="88">
        <v>1</v>
      </c>
      <c r="S60" s="152"/>
      <c r="T60" s="156"/>
      <c r="U60" s="156"/>
      <c r="V60" s="156"/>
      <c r="W60" s="156"/>
      <c r="X60" s="156"/>
    </row>
    <row r="61" spans="1:24">
      <c r="A61" s="76"/>
      <c r="B61" s="76"/>
      <c r="C61" s="76"/>
      <c r="D61" s="76"/>
      <c r="E61" s="76"/>
      <c r="F61" s="76"/>
      <c r="G61" s="152"/>
      <c r="H61" s="76"/>
      <c r="I61" s="76"/>
      <c r="J61" s="76"/>
      <c r="K61" s="76"/>
      <c r="L61" s="76"/>
      <c r="M61" s="152"/>
      <c r="S61" s="152"/>
      <c r="T61" s="76"/>
      <c r="U61" s="76"/>
      <c r="V61" s="76"/>
      <c r="W61" s="76"/>
      <c r="X61" s="76"/>
    </row>
    <row r="62" spans="1:24">
      <c r="A62" s="76" t="s">
        <v>390</v>
      </c>
      <c r="B62" s="80">
        <f t="shared" ref="B62:F69" si="44">AVERAGE(H62,N62,T62)/5</f>
        <v>0.5</v>
      </c>
      <c r="C62" s="80">
        <f t="shared" si="44"/>
        <v>1</v>
      </c>
      <c r="D62" s="80">
        <f t="shared" si="44"/>
        <v>0.6</v>
      </c>
      <c r="E62" s="80">
        <f t="shared" si="44"/>
        <v>0.8</v>
      </c>
      <c r="F62" s="80">
        <f t="shared" si="44"/>
        <v>0.8</v>
      </c>
      <c r="G62" s="152"/>
      <c r="H62" s="156">
        <v>2</v>
      </c>
      <c r="I62" s="156">
        <v>5</v>
      </c>
      <c r="J62" s="156">
        <v>3</v>
      </c>
      <c r="K62" s="156">
        <v>4</v>
      </c>
      <c r="L62" s="156">
        <v>4</v>
      </c>
      <c r="M62" s="152"/>
      <c r="N62" s="88">
        <v>3</v>
      </c>
      <c r="O62" s="88">
        <v>5</v>
      </c>
      <c r="P62" s="88">
        <v>3</v>
      </c>
      <c r="Q62" s="88">
        <v>4</v>
      </c>
      <c r="R62" s="88">
        <v>4</v>
      </c>
      <c r="S62" s="152"/>
      <c r="T62" s="156"/>
      <c r="U62" s="156"/>
      <c r="V62" s="156"/>
      <c r="W62" s="156"/>
      <c r="X62" s="156"/>
    </row>
    <row r="63" spans="1:24">
      <c r="A63" s="76" t="s">
        <v>391</v>
      </c>
      <c r="B63" s="80">
        <f t="shared" si="44"/>
        <v>0.4</v>
      </c>
      <c r="C63" s="80">
        <f t="shared" si="44"/>
        <v>1</v>
      </c>
      <c r="D63" s="80">
        <f t="shared" si="44"/>
        <v>0.6</v>
      </c>
      <c r="E63" s="80">
        <f t="shared" si="44"/>
        <v>0.8</v>
      </c>
      <c r="F63" s="80">
        <f t="shared" si="44"/>
        <v>0.8</v>
      </c>
      <c r="G63" s="152"/>
      <c r="H63" s="156">
        <v>2</v>
      </c>
      <c r="I63" s="156">
        <v>5</v>
      </c>
      <c r="J63" s="156">
        <v>3</v>
      </c>
      <c r="K63" s="156">
        <v>4</v>
      </c>
      <c r="L63" s="156">
        <v>4</v>
      </c>
      <c r="M63" s="152"/>
      <c r="N63" s="88">
        <v>2</v>
      </c>
      <c r="O63" s="88">
        <v>5</v>
      </c>
      <c r="P63" s="88">
        <v>3</v>
      </c>
      <c r="Q63" s="88">
        <v>4</v>
      </c>
      <c r="R63" s="88">
        <v>4</v>
      </c>
      <c r="S63" s="152"/>
      <c r="T63" s="156"/>
      <c r="U63" s="156"/>
      <c r="V63" s="156"/>
      <c r="W63" s="156"/>
      <c r="X63" s="156"/>
    </row>
    <row r="64" spans="1:24">
      <c r="A64" s="76" t="s">
        <v>392</v>
      </c>
      <c r="B64" s="80">
        <f t="shared" si="44"/>
        <v>0.2</v>
      </c>
      <c r="C64" s="80">
        <f t="shared" si="44"/>
        <v>0.7</v>
      </c>
      <c r="D64" s="80">
        <f t="shared" si="44"/>
        <v>0.6</v>
      </c>
      <c r="E64" s="80">
        <f t="shared" si="44"/>
        <v>0.6</v>
      </c>
      <c r="F64" s="80">
        <f t="shared" si="44"/>
        <v>0.8</v>
      </c>
      <c r="G64" s="152"/>
      <c r="H64" s="156">
        <v>1</v>
      </c>
      <c r="I64" s="156">
        <v>4</v>
      </c>
      <c r="J64" s="156">
        <v>3</v>
      </c>
      <c r="K64" s="156">
        <v>3</v>
      </c>
      <c r="L64" s="156">
        <v>4</v>
      </c>
      <c r="M64" s="152"/>
      <c r="N64" s="88">
        <v>1</v>
      </c>
      <c r="O64" s="88">
        <v>3</v>
      </c>
      <c r="P64" s="88">
        <v>3</v>
      </c>
      <c r="Q64" s="88">
        <v>3</v>
      </c>
      <c r="R64" s="88">
        <v>4</v>
      </c>
      <c r="S64" s="152"/>
      <c r="T64" s="156"/>
      <c r="U64" s="156"/>
      <c r="V64" s="156"/>
      <c r="W64" s="156"/>
      <c r="X64" s="156"/>
    </row>
    <row r="65" spans="1:24">
      <c r="A65" s="76" t="s">
        <v>393</v>
      </c>
      <c r="B65" s="80">
        <f t="shared" si="44"/>
        <v>0.2</v>
      </c>
      <c r="C65" s="80">
        <f t="shared" si="44"/>
        <v>0.7</v>
      </c>
      <c r="D65" s="80">
        <f t="shared" si="44"/>
        <v>0.9</v>
      </c>
      <c r="E65" s="80">
        <f t="shared" si="44"/>
        <v>0.6</v>
      </c>
      <c r="F65" s="80">
        <f t="shared" si="44"/>
        <v>0.4</v>
      </c>
      <c r="G65" s="152"/>
      <c r="H65" s="156">
        <v>1</v>
      </c>
      <c r="I65" s="156">
        <v>3</v>
      </c>
      <c r="J65" s="156">
        <v>5</v>
      </c>
      <c r="K65" s="156">
        <v>3</v>
      </c>
      <c r="L65" s="156">
        <v>1</v>
      </c>
      <c r="M65" s="152"/>
      <c r="N65" s="88">
        <v>1</v>
      </c>
      <c r="O65" s="88">
        <v>4</v>
      </c>
      <c r="P65" s="88">
        <v>4</v>
      </c>
      <c r="Q65" s="88">
        <v>3</v>
      </c>
      <c r="R65" s="88">
        <v>3</v>
      </c>
      <c r="S65" s="152"/>
      <c r="T65" s="156"/>
      <c r="U65" s="156"/>
      <c r="V65" s="156"/>
      <c r="W65" s="156"/>
      <c r="X65" s="156"/>
    </row>
    <row r="66" spans="1:24">
      <c r="A66" s="76" t="s">
        <v>394</v>
      </c>
      <c r="B66" s="80">
        <f t="shared" si="44"/>
        <v>0.2</v>
      </c>
      <c r="C66" s="80">
        <f t="shared" si="44"/>
        <v>0.8</v>
      </c>
      <c r="D66" s="80">
        <f t="shared" si="44"/>
        <v>0.6</v>
      </c>
      <c r="E66" s="80">
        <f t="shared" si="44"/>
        <v>0.8</v>
      </c>
      <c r="F66" s="80">
        <f t="shared" si="44"/>
        <v>0.6</v>
      </c>
      <c r="G66" s="152"/>
      <c r="H66" s="156">
        <v>1</v>
      </c>
      <c r="I66" s="156">
        <v>4</v>
      </c>
      <c r="J66" s="156">
        <v>3</v>
      </c>
      <c r="K66" s="156">
        <v>4</v>
      </c>
      <c r="L66" s="156">
        <v>3</v>
      </c>
      <c r="M66" s="152"/>
      <c r="N66" s="88">
        <v>1</v>
      </c>
      <c r="O66" s="88">
        <v>4</v>
      </c>
      <c r="P66" s="88">
        <v>3</v>
      </c>
      <c r="Q66" s="88">
        <v>4</v>
      </c>
      <c r="R66" s="88">
        <v>3</v>
      </c>
      <c r="S66" s="152"/>
      <c r="T66" s="156"/>
      <c r="U66" s="156"/>
      <c r="V66" s="156"/>
      <c r="W66" s="156"/>
      <c r="X66" s="156"/>
    </row>
    <row r="67" spans="1:24">
      <c r="A67" s="76" t="s">
        <v>395</v>
      </c>
      <c r="B67" s="80">
        <f t="shared" si="44"/>
        <v>0.2</v>
      </c>
      <c r="C67" s="80">
        <f t="shared" si="44"/>
        <v>0.8</v>
      </c>
      <c r="D67" s="80">
        <f t="shared" si="44"/>
        <v>0.6</v>
      </c>
      <c r="E67" s="80">
        <f t="shared" si="44"/>
        <v>0.8</v>
      </c>
      <c r="F67" s="80">
        <f t="shared" si="44"/>
        <v>0.3</v>
      </c>
      <c r="G67" s="152"/>
      <c r="H67" s="156">
        <v>1</v>
      </c>
      <c r="I67" s="156">
        <v>4</v>
      </c>
      <c r="J67" s="156">
        <v>3</v>
      </c>
      <c r="K67" s="156">
        <v>4</v>
      </c>
      <c r="L67" s="156">
        <v>2</v>
      </c>
      <c r="M67" s="152"/>
      <c r="N67" s="88">
        <v>1</v>
      </c>
      <c r="O67" s="88">
        <v>4</v>
      </c>
      <c r="P67" s="88">
        <v>3</v>
      </c>
      <c r="Q67" s="88">
        <v>4</v>
      </c>
      <c r="R67" s="88">
        <v>1</v>
      </c>
      <c r="S67" s="152"/>
      <c r="T67" s="156"/>
      <c r="U67" s="156"/>
      <c r="V67" s="156"/>
      <c r="W67" s="156"/>
      <c r="X67" s="156"/>
    </row>
    <row r="68" spans="1:24">
      <c r="A68" s="76" t="s">
        <v>396</v>
      </c>
      <c r="B68" s="80">
        <f t="shared" si="44"/>
        <v>0</v>
      </c>
      <c r="C68" s="80">
        <f t="shared" si="44"/>
        <v>0.7</v>
      </c>
      <c r="D68" s="80">
        <f t="shared" si="44"/>
        <v>0.3</v>
      </c>
      <c r="E68" s="80">
        <f t="shared" si="44"/>
        <v>0.8</v>
      </c>
      <c r="F68" s="80">
        <f t="shared" si="44"/>
        <v>0.3</v>
      </c>
      <c r="G68" s="152"/>
      <c r="H68" s="156">
        <v>0</v>
      </c>
      <c r="I68" s="156">
        <v>4</v>
      </c>
      <c r="J68" s="156">
        <v>2</v>
      </c>
      <c r="K68" s="156">
        <v>5</v>
      </c>
      <c r="L68" s="156">
        <v>2</v>
      </c>
      <c r="M68" s="152"/>
      <c r="N68" s="88">
        <v>0</v>
      </c>
      <c r="O68" s="88">
        <v>3</v>
      </c>
      <c r="P68" s="88">
        <v>1</v>
      </c>
      <c r="Q68" s="88">
        <v>3</v>
      </c>
      <c r="R68" s="88">
        <v>1</v>
      </c>
      <c r="S68" s="152"/>
      <c r="T68" s="156"/>
      <c r="U68" s="156"/>
      <c r="V68" s="156"/>
      <c r="W68" s="156"/>
      <c r="X68" s="156"/>
    </row>
    <row r="69" spans="1:24">
      <c r="A69" s="76" t="s">
        <v>397</v>
      </c>
      <c r="B69" s="80">
        <f t="shared" si="44"/>
        <v>0.4</v>
      </c>
      <c r="C69" s="80">
        <f t="shared" si="44"/>
        <v>0.8</v>
      </c>
      <c r="D69" s="80">
        <f t="shared" si="44"/>
        <v>0.6</v>
      </c>
      <c r="E69" s="80">
        <f t="shared" si="44"/>
        <v>0.6</v>
      </c>
      <c r="F69" s="80">
        <f t="shared" si="44"/>
        <v>0.1</v>
      </c>
      <c r="G69" s="152"/>
      <c r="H69" s="156">
        <v>2</v>
      </c>
      <c r="I69" s="156">
        <v>4</v>
      </c>
      <c r="J69" s="156">
        <v>3</v>
      </c>
      <c r="K69" s="156">
        <v>3</v>
      </c>
      <c r="L69" s="156">
        <v>1</v>
      </c>
      <c r="M69" s="152"/>
      <c r="N69" s="88">
        <v>2</v>
      </c>
      <c r="O69" s="88">
        <v>4</v>
      </c>
      <c r="P69" s="88">
        <v>3</v>
      </c>
      <c r="Q69" s="88">
        <v>3</v>
      </c>
      <c r="R69" s="88">
        <v>0</v>
      </c>
      <c r="S69" s="152"/>
      <c r="T69" s="156"/>
      <c r="U69" s="156"/>
      <c r="V69" s="156"/>
      <c r="W69" s="156"/>
      <c r="X69" s="156"/>
    </row>
    <row r="70" spans="1:24">
      <c r="A70" s="76"/>
      <c r="B70" s="76"/>
      <c r="C70" s="76"/>
      <c r="D70" s="76"/>
      <c r="E70" s="76"/>
      <c r="F70" s="76"/>
      <c r="G70" s="152"/>
      <c r="H70" s="76"/>
      <c r="I70" s="76"/>
      <c r="J70" s="76"/>
      <c r="K70" s="76"/>
      <c r="L70" s="76"/>
      <c r="M70" s="152"/>
      <c r="S70" s="152"/>
      <c r="T70" s="76"/>
      <c r="U70" s="76"/>
      <c r="V70" s="76"/>
      <c r="W70" s="76"/>
      <c r="X70" s="76"/>
    </row>
    <row r="71" spans="1:24">
      <c r="A71" s="76" t="s">
        <v>398</v>
      </c>
      <c r="B71" s="80">
        <f t="shared" ref="B71:F73" si="45">AVERAGE(H71,N71,T71)/5</f>
        <v>0.5</v>
      </c>
      <c r="C71" s="80">
        <f t="shared" si="45"/>
        <v>1</v>
      </c>
      <c r="D71" s="80">
        <f t="shared" si="45"/>
        <v>0.6</v>
      </c>
      <c r="E71" s="80">
        <f t="shared" si="45"/>
        <v>0.6</v>
      </c>
      <c r="F71" s="80">
        <f t="shared" si="45"/>
        <v>0.3</v>
      </c>
      <c r="G71" s="152"/>
      <c r="H71" s="156">
        <v>2</v>
      </c>
      <c r="I71" s="156">
        <v>5</v>
      </c>
      <c r="J71" s="156">
        <v>3</v>
      </c>
      <c r="K71" s="156">
        <v>3</v>
      </c>
      <c r="L71" s="156">
        <v>2</v>
      </c>
      <c r="M71" s="152"/>
      <c r="N71" s="88">
        <v>3</v>
      </c>
      <c r="O71" s="88">
        <v>5</v>
      </c>
      <c r="P71" s="88">
        <v>3</v>
      </c>
      <c r="Q71" s="88">
        <v>3</v>
      </c>
      <c r="R71" s="88">
        <v>1</v>
      </c>
      <c r="S71" s="152"/>
      <c r="T71" s="156"/>
      <c r="U71" s="156"/>
      <c r="V71" s="156"/>
      <c r="W71" s="156"/>
      <c r="X71" s="156"/>
    </row>
    <row r="72" spans="1:24">
      <c r="A72" s="76" t="s">
        <v>399</v>
      </c>
      <c r="B72" s="80">
        <f t="shared" si="45"/>
        <v>0.3</v>
      </c>
      <c r="C72" s="80">
        <f t="shared" si="45"/>
        <v>0.6</v>
      </c>
      <c r="D72" s="80">
        <f t="shared" si="45"/>
        <v>0.4</v>
      </c>
      <c r="E72" s="80">
        <f t="shared" si="45"/>
        <v>0.4</v>
      </c>
      <c r="F72" s="80">
        <f t="shared" si="45"/>
        <v>0.1</v>
      </c>
      <c r="G72" s="152"/>
      <c r="H72" s="156">
        <v>1</v>
      </c>
      <c r="I72" s="156">
        <v>3</v>
      </c>
      <c r="J72" s="156">
        <v>2</v>
      </c>
      <c r="K72" s="156">
        <v>2</v>
      </c>
      <c r="L72" s="156">
        <v>1</v>
      </c>
      <c r="M72" s="152"/>
      <c r="N72" s="88">
        <v>2</v>
      </c>
      <c r="O72" s="88">
        <v>3</v>
      </c>
      <c r="P72" s="88">
        <v>2</v>
      </c>
      <c r="Q72" s="88">
        <v>2</v>
      </c>
      <c r="R72" s="88">
        <v>0</v>
      </c>
      <c r="S72" s="152"/>
      <c r="T72" s="156"/>
      <c r="U72" s="156"/>
      <c r="V72" s="156"/>
      <c r="W72" s="156"/>
      <c r="X72" s="156"/>
    </row>
    <row r="73" spans="1:24">
      <c r="A73" s="76" t="s">
        <v>400</v>
      </c>
      <c r="B73" s="80">
        <f t="shared" si="45"/>
        <v>0</v>
      </c>
      <c r="C73" s="80">
        <f t="shared" si="45"/>
        <v>0.2</v>
      </c>
      <c r="D73" s="80">
        <f t="shared" si="45"/>
        <v>0</v>
      </c>
      <c r="E73" s="80">
        <f t="shared" si="45"/>
        <v>0</v>
      </c>
      <c r="F73" s="80">
        <f t="shared" si="45"/>
        <v>0</v>
      </c>
      <c r="G73" s="152"/>
      <c r="H73" s="156">
        <v>0</v>
      </c>
      <c r="I73" s="156">
        <v>1</v>
      </c>
      <c r="J73" s="156">
        <v>0</v>
      </c>
      <c r="K73" s="156">
        <v>0</v>
      </c>
      <c r="L73" s="156">
        <v>0</v>
      </c>
      <c r="M73" s="152"/>
      <c r="N73" s="88">
        <v>0</v>
      </c>
      <c r="O73" s="88">
        <v>1</v>
      </c>
      <c r="P73" s="88">
        <v>0</v>
      </c>
      <c r="Q73" s="88">
        <v>0</v>
      </c>
      <c r="R73" s="88">
        <v>0</v>
      </c>
      <c r="S73" s="152"/>
      <c r="T73" s="156"/>
      <c r="U73" s="156"/>
      <c r="V73" s="156"/>
      <c r="W73" s="156"/>
      <c r="X73" s="156"/>
    </row>
    <row r="74" spans="1:24">
      <c r="A74" s="82" t="s">
        <v>1297</v>
      </c>
      <c r="B74" s="83">
        <f t="shared" ref="B74:F74" si="46">AVERAGE(B46:B73)</f>
        <v>0.34166666666666679</v>
      </c>
      <c r="C74" s="83">
        <f t="shared" si="46"/>
        <v>0.77916666666666667</v>
      </c>
      <c r="D74" s="83">
        <f t="shared" si="46"/>
        <v>0.60833333333333328</v>
      </c>
      <c r="E74" s="83">
        <f t="shared" si="46"/>
        <v>0.70416666666666672</v>
      </c>
      <c r="F74" s="83">
        <f t="shared" si="46"/>
        <v>0.41250000000000003</v>
      </c>
      <c r="G74" s="152"/>
      <c r="H74" s="83">
        <f t="shared" ref="H74:L74" si="47">AVERAGE(H46:H73)</f>
        <v>1.7083333333333333</v>
      </c>
      <c r="I74" s="83">
        <f t="shared" si="47"/>
        <v>3.875</v>
      </c>
      <c r="J74" s="83">
        <f t="shared" si="47"/>
        <v>3.25</v>
      </c>
      <c r="K74" s="83">
        <f t="shared" si="47"/>
        <v>3.625</v>
      </c>
      <c r="L74" s="83">
        <f t="shared" si="47"/>
        <v>2.3333333333333335</v>
      </c>
      <c r="M74" s="152"/>
      <c r="N74" s="83">
        <f t="shared" ref="N74:R74" si="48">AVERAGE(N46:N73)</f>
        <v>1.7083333333333333</v>
      </c>
      <c r="O74" s="83">
        <f t="shared" si="48"/>
        <v>3.9166666666666665</v>
      </c>
      <c r="P74" s="83">
        <f t="shared" si="48"/>
        <v>2.8333333333333335</v>
      </c>
      <c r="Q74" s="83">
        <f t="shared" si="48"/>
        <v>3.4166666666666665</v>
      </c>
      <c r="R74" s="83">
        <f t="shared" si="48"/>
        <v>1.7916666666666667</v>
      </c>
      <c r="S74" s="152"/>
      <c r="T74" s="83" t="e">
        <f t="shared" ref="T74:X74" si="49">AVERAGE(T46:T73)</f>
        <v>#DIV/0!</v>
      </c>
      <c r="U74" s="83" t="e">
        <f t="shared" si="49"/>
        <v>#DIV/0!</v>
      </c>
      <c r="V74" s="83" t="e">
        <f t="shared" si="49"/>
        <v>#DIV/0!</v>
      </c>
      <c r="W74" s="83" t="e">
        <f t="shared" si="49"/>
        <v>#DIV/0!</v>
      </c>
      <c r="X74" s="83" t="e">
        <f t="shared" si="49"/>
        <v>#DIV/0!</v>
      </c>
    </row>
    <row r="75" spans="1:24">
      <c r="A75" s="76"/>
      <c r="B75" s="85"/>
      <c r="C75" s="85"/>
      <c r="D75" s="85"/>
      <c r="E75" s="85"/>
      <c r="F75" s="85"/>
      <c r="G75" s="152"/>
      <c r="H75" s="76"/>
      <c r="I75" s="76"/>
      <c r="J75" s="76"/>
      <c r="K75" s="76"/>
      <c r="L75" s="76"/>
      <c r="M75" s="152"/>
      <c r="N75" s="76"/>
      <c r="O75" s="76"/>
      <c r="P75" s="76"/>
      <c r="Q75" s="76"/>
      <c r="R75" s="76"/>
      <c r="S75" s="152"/>
      <c r="T75" s="76"/>
      <c r="U75" s="76"/>
      <c r="V75" s="76"/>
      <c r="W75" s="76"/>
      <c r="X75" s="76"/>
    </row>
    <row r="76" spans="1:24">
      <c r="A76" s="76"/>
      <c r="B76" s="85"/>
      <c r="C76" s="85"/>
      <c r="D76" s="85"/>
      <c r="E76" s="85"/>
      <c r="F76" s="85"/>
      <c r="G76" s="152"/>
      <c r="H76" s="76"/>
      <c r="I76" s="76"/>
      <c r="J76" s="76"/>
      <c r="K76" s="76"/>
      <c r="L76" s="76"/>
      <c r="M76" s="152"/>
      <c r="N76" s="76"/>
      <c r="O76" s="76"/>
      <c r="P76" s="76"/>
      <c r="Q76" s="76"/>
      <c r="R76" s="76"/>
      <c r="S76" s="152"/>
      <c r="T76" s="76"/>
      <c r="U76" s="76"/>
      <c r="V76" s="76"/>
      <c r="W76" s="76"/>
      <c r="X76" s="76"/>
    </row>
    <row r="77" spans="1:24">
      <c r="A77" s="84" t="s">
        <v>28</v>
      </c>
      <c r="B77" s="85"/>
      <c r="C77" s="85"/>
      <c r="D77" s="85"/>
      <c r="E77" s="85"/>
      <c r="F77" s="85"/>
      <c r="G77" s="152"/>
      <c r="H77" s="76"/>
      <c r="I77" s="76"/>
      <c r="J77" s="76"/>
      <c r="K77" s="76"/>
      <c r="L77" s="76"/>
      <c r="M77" s="152"/>
      <c r="N77" s="76"/>
      <c r="O77" s="76"/>
      <c r="P77" s="76"/>
      <c r="Q77" s="76"/>
      <c r="R77" s="76"/>
      <c r="S77" s="152"/>
      <c r="T77" s="76"/>
      <c r="U77" s="76"/>
      <c r="V77" s="76"/>
      <c r="W77" s="76"/>
      <c r="X77" s="76"/>
    </row>
    <row r="78" spans="1:24">
      <c r="A78" s="76" t="s">
        <v>405</v>
      </c>
      <c r="B78" s="80">
        <f t="shared" ref="B78:F82" si="50">AVERAGE(H78,N78,T78)/5</f>
        <v>0.2</v>
      </c>
      <c r="C78" s="80">
        <f t="shared" si="50"/>
        <v>0.8</v>
      </c>
      <c r="D78" s="80">
        <f t="shared" si="50"/>
        <v>0.5</v>
      </c>
      <c r="E78" s="80">
        <f t="shared" si="50"/>
        <v>0.8</v>
      </c>
      <c r="F78" s="80">
        <f t="shared" si="50"/>
        <v>0.2</v>
      </c>
      <c r="G78" s="152"/>
      <c r="H78" s="156">
        <v>1</v>
      </c>
      <c r="I78" s="156">
        <v>4</v>
      </c>
      <c r="J78" s="156">
        <v>2</v>
      </c>
      <c r="K78" s="156">
        <v>4</v>
      </c>
      <c r="L78" s="156">
        <v>2</v>
      </c>
      <c r="M78" s="152"/>
      <c r="N78" s="88">
        <v>1</v>
      </c>
      <c r="O78" s="88">
        <v>4</v>
      </c>
      <c r="P78" s="88">
        <v>3</v>
      </c>
      <c r="Q78" s="88">
        <v>4</v>
      </c>
      <c r="R78" s="88">
        <v>0</v>
      </c>
      <c r="S78" s="152"/>
      <c r="T78" s="156"/>
      <c r="U78" s="156"/>
      <c r="V78" s="156"/>
      <c r="W78" s="156"/>
      <c r="X78" s="156"/>
    </row>
    <row r="79" spans="1:24">
      <c r="A79" s="76" t="s">
        <v>406</v>
      </c>
      <c r="B79" s="80">
        <f t="shared" si="50"/>
        <v>0.3</v>
      </c>
      <c r="C79" s="80">
        <f t="shared" si="50"/>
        <v>0.9</v>
      </c>
      <c r="D79" s="80">
        <f t="shared" si="50"/>
        <v>0.6</v>
      </c>
      <c r="E79" s="80">
        <f t="shared" si="50"/>
        <v>0.8</v>
      </c>
      <c r="F79" s="80">
        <f t="shared" si="50"/>
        <v>0.5</v>
      </c>
      <c r="G79" s="152"/>
      <c r="H79" s="156">
        <v>2</v>
      </c>
      <c r="I79" s="156">
        <v>5</v>
      </c>
      <c r="J79" s="156">
        <v>3</v>
      </c>
      <c r="K79" s="156">
        <v>4</v>
      </c>
      <c r="L79" s="156">
        <v>3</v>
      </c>
      <c r="M79" s="152"/>
      <c r="N79" s="88">
        <v>1</v>
      </c>
      <c r="O79" s="88">
        <v>4</v>
      </c>
      <c r="P79" s="88">
        <v>3</v>
      </c>
      <c r="Q79" s="88">
        <v>4</v>
      </c>
      <c r="R79" s="88">
        <v>2</v>
      </c>
      <c r="S79" s="152"/>
      <c r="T79" s="156"/>
      <c r="U79" s="156"/>
      <c r="V79" s="156"/>
      <c r="W79" s="156"/>
      <c r="X79" s="156"/>
    </row>
    <row r="80" spans="1:24">
      <c r="A80" s="76" t="s">
        <v>407</v>
      </c>
      <c r="B80" s="80">
        <f t="shared" si="50"/>
        <v>0.3</v>
      </c>
      <c r="C80" s="80">
        <f t="shared" si="50"/>
        <v>0.9</v>
      </c>
      <c r="D80" s="80">
        <f t="shared" si="50"/>
        <v>0.7</v>
      </c>
      <c r="E80" s="80">
        <f t="shared" si="50"/>
        <v>0.8</v>
      </c>
      <c r="F80" s="80">
        <f t="shared" si="50"/>
        <v>0.5</v>
      </c>
      <c r="G80" s="152"/>
      <c r="H80" s="156">
        <v>2</v>
      </c>
      <c r="I80" s="156">
        <v>5</v>
      </c>
      <c r="J80" s="156">
        <v>4</v>
      </c>
      <c r="K80" s="156">
        <v>4</v>
      </c>
      <c r="L80" s="156">
        <v>3</v>
      </c>
      <c r="M80" s="152"/>
      <c r="N80" s="88">
        <v>1</v>
      </c>
      <c r="O80" s="88">
        <v>4</v>
      </c>
      <c r="P80" s="88">
        <v>3</v>
      </c>
      <c r="Q80" s="88">
        <v>4</v>
      </c>
      <c r="R80" s="88">
        <v>2</v>
      </c>
      <c r="S80" s="152"/>
      <c r="T80" s="156"/>
      <c r="U80" s="156"/>
      <c r="V80" s="156"/>
      <c r="W80" s="156"/>
      <c r="X80" s="156"/>
    </row>
    <row r="81" spans="1:24">
      <c r="A81" s="76" t="s">
        <v>408</v>
      </c>
      <c r="B81" s="80">
        <f t="shared" si="50"/>
        <v>0.4</v>
      </c>
      <c r="C81" s="80">
        <f t="shared" si="50"/>
        <v>1</v>
      </c>
      <c r="D81" s="80">
        <f t="shared" si="50"/>
        <v>0.6</v>
      </c>
      <c r="E81" s="80">
        <f t="shared" si="50"/>
        <v>0.8</v>
      </c>
      <c r="F81" s="80">
        <f t="shared" si="50"/>
        <v>0.6</v>
      </c>
      <c r="G81" s="152"/>
      <c r="H81" s="156">
        <v>2</v>
      </c>
      <c r="I81" s="156">
        <v>5</v>
      </c>
      <c r="J81" s="156">
        <v>3</v>
      </c>
      <c r="K81" s="156">
        <v>4</v>
      </c>
      <c r="L81" s="156">
        <v>3</v>
      </c>
      <c r="M81" s="152"/>
      <c r="N81" s="88">
        <v>2</v>
      </c>
      <c r="O81" s="88">
        <v>5</v>
      </c>
      <c r="P81" s="88">
        <v>3</v>
      </c>
      <c r="Q81" s="88">
        <v>4</v>
      </c>
      <c r="R81" s="88">
        <v>3</v>
      </c>
      <c r="S81" s="152"/>
      <c r="T81" s="156"/>
      <c r="U81" s="156"/>
      <c r="V81" s="156"/>
      <c r="W81" s="156"/>
      <c r="X81" s="156"/>
    </row>
    <row r="82" spans="1:24">
      <c r="A82" s="76" t="s">
        <v>409</v>
      </c>
      <c r="B82" s="80">
        <f t="shared" si="50"/>
        <v>0.3</v>
      </c>
      <c r="C82" s="80">
        <f t="shared" si="50"/>
        <v>0.9</v>
      </c>
      <c r="D82" s="80">
        <f t="shared" si="50"/>
        <v>0.4</v>
      </c>
      <c r="E82" s="80">
        <f t="shared" si="50"/>
        <v>0.8</v>
      </c>
      <c r="F82" s="80">
        <f t="shared" si="50"/>
        <v>0.2</v>
      </c>
      <c r="G82" s="152"/>
      <c r="H82" s="156">
        <v>2</v>
      </c>
      <c r="I82" s="156">
        <v>5</v>
      </c>
      <c r="J82" s="156">
        <v>2</v>
      </c>
      <c r="K82" s="156">
        <v>4</v>
      </c>
      <c r="L82" s="156">
        <v>2</v>
      </c>
      <c r="M82" s="152"/>
      <c r="N82" s="88">
        <v>1</v>
      </c>
      <c r="O82" s="88">
        <v>4</v>
      </c>
      <c r="P82" s="88">
        <v>2</v>
      </c>
      <c r="Q82" s="88">
        <v>4</v>
      </c>
      <c r="R82" s="88">
        <v>0</v>
      </c>
      <c r="S82" s="152"/>
      <c r="T82" s="156"/>
      <c r="U82" s="156"/>
      <c r="V82" s="156"/>
      <c r="W82" s="156"/>
      <c r="X82" s="156"/>
    </row>
    <row r="83" spans="1:24">
      <c r="A83" s="76"/>
      <c r="B83" s="76"/>
      <c r="C83" s="76"/>
      <c r="D83" s="76"/>
      <c r="E83" s="76"/>
      <c r="F83" s="76"/>
      <c r="G83" s="152"/>
      <c r="H83" s="76"/>
      <c r="I83" s="76"/>
      <c r="J83" s="76"/>
      <c r="K83" s="76"/>
      <c r="L83" s="76"/>
      <c r="M83" s="152"/>
      <c r="S83" s="152"/>
      <c r="T83" s="76"/>
      <c r="U83" s="76"/>
      <c r="V83" s="76"/>
      <c r="W83" s="76"/>
      <c r="X83" s="76"/>
    </row>
    <row r="84" spans="1:24">
      <c r="A84" s="76" t="s">
        <v>410</v>
      </c>
      <c r="B84" s="80">
        <f t="shared" ref="B84:F88" si="51">AVERAGE(H84,N84,T84)/5</f>
        <v>0.5</v>
      </c>
      <c r="C84" s="80">
        <f t="shared" si="51"/>
        <v>1</v>
      </c>
      <c r="D84" s="80">
        <f t="shared" si="51"/>
        <v>0.8</v>
      </c>
      <c r="E84" s="80">
        <f t="shared" si="51"/>
        <v>0.8</v>
      </c>
      <c r="F84" s="80">
        <f t="shared" si="51"/>
        <v>0.5</v>
      </c>
      <c r="G84" s="152"/>
      <c r="H84" s="156">
        <v>3</v>
      </c>
      <c r="I84" s="156">
        <v>5</v>
      </c>
      <c r="J84" s="156">
        <v>4</v>
      </c>
      <c r="K84" s="156">
        <v>4</v>
      </c>
      <c r="L84" s="156">
        <v>3</v>
      </c>
      <c r="M84" s="152"/>
      <c r="N84" s="88">
        <v>2</v>
      </c>
      <c r="O84" s="88">
        <v>5</v>
      </c>
      <c r="P84" s="88">
        <v>4</v>
      </c>
      <c r="Q84" s="88">
        <v>4</v>
      </c>
      <c r="R84" s="88">
        <v>2</v>
      </c>
      <c r="S84" s="152"/>
      <c r="T84" s="156"/>
      <c r="U84" s="156"/>
      <c r="V84" s="156"/>
      <c r="W84" s="156"/>
      <c r="X84" s="156"/>
    </row>
    <row r="85" spans="1:24">
      <c r="A85" s="76" t="s">
        <v>411</v>
      </c>
      <c r="B85" s="80">
        <f t="shared" si="51"/>
        <v>0.5</v>
      </c>
      <c r="C85" s="80">
        <f t="shared" si="51"/>
        <v>1</v>
      </c>
      <c r="D85" s="80">
        <f t="shared" si="51"/>
        <v>0.8</v>
      </c>
      <c r="E85" s="80">
        <f t="shared" si="51"/>
        <v>0.9</v>
      </c>
      <c r="F85" s="80">
        <f t="shared" si="51"/>
        <v>0.4</v>
      </c>
      <c r="G85" s="152"/>
      <c r="H85" s="156">
        <v>2</v>
      </c>
      <c r="I85" s="156">
        <v>5</v>
      </c>
      <c r="J85" s="156">
        <v>4</v>
      </c>
      <c r="K85" s="156">
        <v>5</v>
      </c>
      <c r="L85" s="156">
        <v>2</v>
      </c>
      <c r="M85" s="152"/>
      <c r="N85" s="88">
        <v>3</v>
      </c>
      <c r="O85" s="88">
        <v>5</v>
      </c>
      <c r="P85" s="88">
        <v>4</v>
      </c>
      <c r="Q85" s="88">
        <v>4</v>
      </c>
      <c r="R85" s="88">
        <v>2</v>
      </c>
      <c r="S85" s="152"/>
      <c r="T85" s="156"/>
      <c r="U85" s="156"/>
      <c r="V85" s="156"/>
      <c r="W85" s="156"/>
      <c r="X85" s="156"/>
    </row>
    <row r="86" spans="1:24">
      <c r="A86" s="76" t="s">
        <v>412</v>
      </c>
      <c r="B86" s="80">
        <f t="shared" si="51"/>
        <v>0.2</v>
      </c>
      <c r="C86" s="80">
        <f t="shared" si="51"/>
        <v>0.9</v>
      </c>
      <c r="D86" s="80">
        <f t="shared" si="51"/>
        <v>0.6</v>
      </c>
      <c r="E86" s="80">
        <f t="shared" si="51"/>
        <v>0.6</v>
      </c>
      <c r="F86" s="80">
        <f t="shared" si="51"/>
        <v>0.2</v>
      </c>
      <c r="G86" s="152"/>
      <c r="H86" s="156">
        <v>1</v>
      </c>
      <c r="I86" s="156">
        <v>5</v>
      </c>
      <c r="J86" s="156">
        <v>3</v>
      </c>
      <c r="K86" s="156">
        <v>3</v>
      </c>
      <c r="L86" s="156">
        <v>1</v>
      </c>
      <c r="M86" s="152"/>
      <c r="N86" s="88">
        <v>1</v>
      </c>
      <c r="O86" s="88">
        <v>4</v>
      </c>
      <c r="P86" s="88">
        <v>3</v>
      </c>
      <c r="Q86" s="88">
        <v>3</v>
      </c>
      <c r="R86" s="88">
        <v>1</v>
      </c>
      <c r="S86" s="152"/>
      <c r="T86" s="156"/>
      <c r="U86" s="156"/>
      <c r="V86" s="156"/>
      <c r="W86" s="156"/>
      <c r="X86" s="156"/>
    </row>
    <row r="87" spans="1:24">
      <c r="A87" s="76" t="s">
        <v>262</v>
      </c>
      <c r="B87" s="80">
        <f t="shared" si="51"/>
        <v>0.4</v>
      </c>
      <c r="C87" s="80">
        <f t="shared" si="51"/>
        <v>1</v>
      </c>
      <c r="D87" s="80">
        <f t="shared" si="51"/>
        <v>0.9</v>
      </c>
      <c r="E87" s="80">
        <f t="shared" si="51"/>
        <v>0.8</v>
      </c>
      <c r="F87" s="80">
        <f t="shared" si="51"/>
        <v>0.7</v>
      </c>
      <c r="G87" s="152"/>
      <c r="H87" s="156">
        <v>2</v>
      </c>
      <c r="I87" s="156">
        <v>5</v>
      </c>
      <c r="J87" s="156">
        <v>5</v>
      </c>
      <c r="K87" s="156">
        <v>4</v>
      </c>
      <c r="L87" s="156">
        <v>3</v>
      </c>
      <c r="M87" s="152"/>
      <c r="N87" s="88">
        <v>2</v>
      </c>
      <c r="O87" s="88">
        <v>5</v>
      </c>
      <c r="P87" s="88">
        <v>4</v>
      </c>
      <c r="Q87" s="88">
        <v>4</v>
      </c>
      <c r="R87" s="88">
        <v>4</v>
      </c>
      <c r="S87" s="152"/>
      <c r="T87" s="156"/>
      <c r="U87" s="156"/>
      <c r="V87" s="156"/>
      <c r="W87" s="156"/>
      <c r="X87" s="156"/>
    </row>
    <row r="88" spans="1:24">
      <c r="A88" s="76" t="s">
        <v>413</v>
      </c>
      <c r="B88" s="80">
        <f t="shared" si="51"/>
        <v>0.5</v>
      </c>
      <c r="C88" s="80">
        <f t="shared" si="51"/>
        <v>0.9</v>
      </c>
      <c r="D88" s="80">
        <f t="shared" si="51"/>
        <v>0.8</v>
      </c>
      <c r="E88" s="80">
        <f t="shared" si="51"/>
        <v>0.7</v>
      </c>
      <c r="F88" s="80">
        <f t="shared" si="51"/>
        <v>0.7</v>
      </c>
      <c r="G88" s="152"/>
      <c r="H88" s="156">
        <v>3</v>
      </c>
      <c r="I88" s="156">
        <v>5</v>
      </c>
      <c r="J88" s="156">
        <v>4</v>
      </c>
      <c r="K88" s="156">
        <v>3</v>
      </c>
      <c r="L88" s="156">
        <v>3</v>
      </c>
      <c r="M88" s="152"/>
      <c r="N88" s="88">
        <v>2</v>
      </c>
      <c r="O88" s="88">
        <v>4</v>
      </c>
      <c r="P88" s="88">
        <v>4</v>
      </c>
      <c r="Q88" s="88">
        <v>4</v>
      </c>
      <c r="R88" s="88">
        <v>4</v>
      </c>
      <c r="S88" s="152"/>
      <c r="T88" s="156"/>
      <c r="U88" s="156"/>
      <c r="V88" s="156"/>
      <c r="W88" s="156"/>
      <c r="X88" s="156"/>
    </row>
    <row r="89" spans="1:24">
      <c r="A89" s="76"/>
      <c r="B89" s="76"/>
      <c r="C89" s="76"/>
      <c r="D89" s="76"/>
      <c r="E89" s="76"/>
      <c r="F89" s="76"/>
      <c r="G89" s="152"/>
      <c r="H89" s="76"/>
      <c r="I89" s="76"/>
      <c r="J89" s="76"/>
      <c r="K89" s="76"/>
      <c r="L89" s="76"/>
      <c r="M89" s="152"/>
      <c r="S89" s="152"/>
      <c r="T89" s="76"/>
      <c r="U89" s="76"/>
      <c r="V89" s="76"/>
      <c r="W89" s="76"/>
      <c r="X89" s="76"/>
    </row>
    <row r="90" spans="1:24">
      <c r="A90" s="76" t="s">
        <v>414</v>
      </c>
      <c r="B90" s="80">
        <f t="shared" ref="B90:F93" si="52">AVERAGE(H90,N90,T90)/5</f>
        <v>0.1</v>
      </c>
      <c r="C90" s="80">
        <f t="shared" si="52"/>
        <v>0.7</v>
      </c>
      <c r="D90" s="80">
        <f t="shared" si="52"/>
        <v>0.4</v>
      </c>
      <c r="E90" s="80">
        <f t="shared" si="52"/>
        <v>0.6</v>
      </c>
      <c r="F90" s="80">
        <f t="shared" si="52"/>
        <v>0.1</v>
      </c>
      <c r="G90" s="152"/>
      <c r="H90" s="156">
        <v>1</v>
      </c>
      <c r="I90" s="156">
        <v>4</v>
      </c>
      <c r="J90" s="156">
        <v>2</v>
      </c>
      <c r="K90" s="156">
        <v>3</v>
      </c>
      <c r="L90" s="156">
        <v>1</v>
      </c>
      <c r="M90" s="152"/>
      <c r="N90" s="88">
        <v>0</v>
      </c>
      <c r="O90" s="88">
        <v>3</v>
      </c>
      <c r="P90" s="88">
        <v>2</v>
      </c>
      <c r="Q90" s="88">
        <v>3</v>
      </c>
      <c r="R90" s="88">
        <v>0</v>
      </c>
      <c r="S90" s="152"/>
      <c r="T90" s="156"/>
      <c r="U90" s="156"/>
      <c r="V90" s="156"/>
      <c r="W90" s="156"/>
      <c r="X90" s="156"/>
    </row>
    <row r="91" spans="1:24">
      <c r="A91" s="76" t="s">
        <v>415</v>
      </c>
      <c r="B91" s="80">
        <f t="shared" si="52"/>
        <v>0.1</v>
      </c>
      <c r="C91" s="80">
        <f t="shared" si="52"/>
        <v>0.6</v>
      </c>
      <c r="D91" s="80">
        <f t="shared" si="52"/>
        <v>0.2</v>
      </c>
      <c r="E91" s="80">
        <f t="shared" si="52"/>
        <v>0.6</v>
      </c>
      <c r="F91" s="80">
        <f t="shared" si="52"/>
        <v>0.1</v>
      </c>
      <c r="G91" s="152"/>
      <c r="H91" s="156">
        <v>1</v>
      </c>
      <c r="I91" s="156">
        <v>3</v>
      </c>
      <c r="J91" s="156">
        <v>1</v>
      </c>
      <c r="K91" s="156">
        <v>3</v>
      </c>
      <c r="L91" s="156">
        <v>1</v>
      </c>
      <c r="M91" s="152"/>
      <c r="N91" s="88">
        <v>0</v>
      </c>
      <c r="O91" s="88">
        <v>3</v>
      </c>
      <c r="P91" s="88">
        <v>1</v>
      </c>
      <c r="Q91" s="88">
        <v>3</v>
      </c>
      <c r="R91" s="88">
        <v>0</v>
      </c>
      <c r="S91" s="152"/>
      <c r="T91" s="156"/>
      <c r="U91" s="156"/>
      <c r="V91" s="156"/>
      <c r="W91" s="156"/>
      <c r="X91" s="156"/>
    </row>
    <row r="92" spans="1:24">
      <c r="A92" s="76" t="s">
        <v>416</v>
      </c>
      <c r="B92" s="80">
        <f t="shared" si="52"/>
        <v>0</v>
      </c>
      <c r="C92" s="80">
        <f t="shared" si="52"/>
        <v>0.6</v>
      </c>
      <c r="D92" s="80">
        <f t="shared" si="52"/>
        <v>0.2</v>
      </c>
      <c r="E92" s="80">
        <f t="shared" si="52"/>
        <v>0.6</v>
      </c>
      <c r="F92" s="80">
        <f t="shared" si="52"/>
        <v>0</v>
      </c>
      <c r="G92" s="152"/>
      <c r="H92" s="156">
        <v>0</v>
      </c>
      <c r="I92" s="156">
        <v>3</v>
      </c>
      <c r="J92" s="156">
        <v>1</v>
      </c>
      <c r="K92" s="156">
        <v>3</v>
      </c>
      <c r="L92" s="156">
        <v>0</v>
      </c>
      <c r="M92" s="152"/>
      <c r="N92" s="88">
        <v>0</v>
      </c>
      <c r="O92" s="88">
        <v>3</v>
      </c>
      <c r="P92" s="88">
        <v>1</v>
      </c>
      <c r="Q92" s="88">
        <v>3</v>
      </c>
      <c r="R92" s="88">
        <v>0</v>
      </c>
      <c r="S92" s="152"/>
      <c r="T92" s="156"/>
      <c r="U92" s="156"/>
      <c r="V92" s="156"/>
      <c r="W92" s="156"/>
      <c r="X92" s="156"/>
    </row>
    <row r="93" spans="1:24">
      <c r="A93" s="76" t="s">
        <v>417</v>
      </c>
      <c r="B93" s="80">
        <f t="shared" si="52"/>
        <v>0</v>
      </c>
      <c r="C93" s="80">
        <f t="shared" si="52"/>
        <v>0.6</v>
      </c>
      <c r="D93" s="80">
        <f t="shared" si="52"/>
        <v>0.2</v>
      </c>
      <c r="E93" s="80">
        <f t="shared" si="52"/>
        <v>0.6</v>
      </c>
      <c r="F93" s="80">
        <f t="shared" si="52"/>
        <v>0</v>
      </c>
      <c r="G93" s="152"/>
      <c r="H93" s="156">
        <v>0</v>
      </c>
      <c r="I93" s="156">
        <v>3</v>
      </c>
      <c r="J93" s="156">
        <v>1</v>
      </c>
      <c r="K93" s="156">
        <v>3</v>
      </c>
      <c r="L93" s="156">
        <v>0</v>
      </c>
      <c r="M93" s="152"/>
      <c r="N93" s="88">
        <v>0</v>
      </c>
      <c r="O93" s="88">
        <v>3</v>
      </c>
      <c r="P93" s="88">
        <v>1</v>
      </c>
      <c r="Q93" s="88">
        <v>3</v>
      </c>
      <c r="R93" s="88">
        <v>0</v>
      </c>
      <c r="S93" s="152"/>
      <c r="T93" s="156"/>
      <c r="U93" s="156"/>
      <c r="V93" s="156"/>
      <c r="W93" s="156"/>
      <c r="X93" s="156"/>
    </row>
    <row r="94" spans="1:24">
      <c r="A94" s="76"/>
      <c r="B94" s="76"/>
      <c r="C94" s="76"/>
      <c r="D94" s="76"/>
      <c r="E94" s="76"/>
      <c r="F94" s="76"/>
      <c r="G94" s="152"/>
      <c r="H94" s="76"/>
      <c r="I94" s="76"/>
      <c r="J94" s="76"/>
      <c r="K94" s="76"/>
      <c r="L94" s="76"/>
      <c r="M94" s="152"/>
      <c r="S94" s="152"/>
      <c r="T94" s="76"/>
      <c r="U94" s="76"/>
      <c r="V94" s="76"/>
      <c r="W94" s="76"/>
      <c r="X94" s="76"/>
    </row>
    <row r="95" spans="1:24">
      <c r="A95" s="76" t="s">
        <v>418</v>
      </c>
      <c r="B95" s="80">
        <f t="shared" ref="B95:F98" si="53">AVERAGE(H95,N95,T95)/5</f>
        <v>0.5</v>
      </c>
      <c r="C95" s="80">
        <f t="shared" si="53"/>
        <v>0.9</v>
      </c>
      <c r="D95" s="80">
        <f t="shared" si="53"/>
        <v>0.8</v>
      </c>
      <c r="E95" s="80">
        <f t="shared" si="53"/>
        <v>0.8</v>
      </c>
      <c r="F95" s="80">
        <f t="shared" si="53"/>
        <v>0.4</v>
      </c>
      <c r="G95" s="152"/>
      <c r="H95" s="156">
        <v>3</v>
      </c>
      <c r="I95" s="156">
        <v>5</v>
      </c>
      <c r="J95" s="156">
        <v>4</v>
      </c>
      <c r="K95" s="156">
        <v>4</v>
      </c>
      <c r="L95" s="156">
        <v>2</v>
      </c>
      <c r="M95" s="152"/>
      <c r="N95" s="88">
        <v>2</v>
      </c>
      <c r="O95" s="88">
        <v>4</v>
      </c>
      <c r="P95" s="88">
        <v>4</v>
      </c>
      <c r="Q95" s="88">
        <v>4</v>
      </c>
      <c r="R95" s="88">
        <v>2</v>
      </c>
      <c r="S95" s="152"/>
      <c r="T95" s="156"/>
      <c r="U95" s="156"/>
      <c r="V95" s="156"/>
      <c r="W95" s="156"/>
      <c r="X95" s="156"/>
    </row>
    <row r="96" spans="1:24">
      <c r="A96" s="76" t="s">
        <v>419</v>
      </c>
      <c r="B96" s="80">
        <f t="shared" si="53"/>
        <v>0.3</v>
      </c>
      <c r="C96" s="80">
        <f t="shared" si="53"/>
        <v>0.8</v>
      </c>
      <c r="D96" s="80">
        <f t="shared" si="53"/>
        <v>0.8</v>
      </c>
      <c r="E96" s="80">
        <f t="shared" si="53"/>
        <v>0.6</v>
      </c>
      <c r="F96" s="80">
        <f t="shared" si="53"/>
        <v>0.4</v>
      </c>
      <c r="G96" s="152"/>
      <c r="H96" s="156">
        <v>2</v>
      </c>
      <c r="I96" s="156">
        <v>4</v>
      </c>
      <c r="J96" s="156">
        <v>4</v>
      </c>
      <c r="K96" s="156">
        <v>3</v>
      </c>
      <c r="L96" s="156">
        <v>2</v>
      </c>
      <c r="M96" s="152"/>
      <c r="N96" s="88">
        <v>1</v>
      </c>
      <c r="O96" s="88">
        <v>4</v>
      </c>
      <c r="P96" s="88">
        <v>4</v>
      </c>
      <c r="Q96" s="88">
        <v>3</v>
      </c>
      <c r="R96" s="88">
        <v>2</v>
      </c>
      <c r="S96" s="152"/>
      <c r="T96" s="156"/>
      <c r="U96" s="156"/>
      <c r="V96" s="156"/>
      <c r="W96" s="156"/>
      <c r="X96" s="156"/>
    </row>
    <row r="97" spans="1:24">
      <c r="A97" s="76" t="s">
        <v>420</v>
      </c>
      <c r="B97" s="80">
        <f t="shared" si="53"/>
        <v>0.6</v>
      </c>
      <c r="C97" s="80">
        <f t="shared" si="53"/>
        <v>0.8</v>
      </c>
      <c r="D97" s="80">
        <f t="shared" si="53"/>
        <v>0.6</v>
      </c>
      <c r="E97" s="80">
        <f t="shared" si="53"/>
        <v>0.6</v>
      </c>
      <c r="F97" s="80">
        <f t="shared" si="53"/>
        <v>0.5</v>
      </c>
      <c r="G97" s="152"/>
      <c r="H97" s="156">
        <v>3</v>
      </c>
      <c r="I97" s="156">
        <v>4</v>
      </c>
      <c r="J97" s="156">
        <v>3</v>
      </c>
      <c r="K97" s="156">
        <v>3</v>
      </c>
      <c r="L97" s="156">
        <v>2</v>
      </c>
      <c r="M97" s="152"/>
      <c r="N97" s="88">
        <v>3</v>
      </c>
      <c r="O97" s="88">
        <v>4</v>
      </c>
      <c r="P97" s="88">
        <v>3</v>
      </c>
      <c r="Q97" s="88">
        <v>3</v>
      </c>
      <c r="R97" s="88">
        <v>3</v>
      </c>
      <c r="S97" s="152"/>
      <c r="T97" s="156"/>
      <c r="U97" s="156"/>
      <c r="V97" s="156"/>
      <c r="W97" s="156"/>
      <c r="X97" s="156"/>
    </row>
    <row r="98" spans="1:24">
      <c r="A98" s="76" t="s">
        <v>421</v>
      </c>
      <c r="B98" s="80">
        <f t="shared" si="53"/>
        <v>0</v>
      </c>
      <c r="C98" s="80">
        <f t="shared" si="53"/>
        <v>0.5</v>
      </c>
      <c r="D98" s="80">
        <f t="shared" si="53"/>
        <v>0.2</v>
      </c>
      <c r="E98" s="80">
        <f t="shared" si="53"/>
        <v>0.7</v>
      </c>
      <c r="F98" s="80">
        <f t="shared" si="53"/>
        <v>0</v>
      </c>
      <c r="G98" s="152"/>
      <c r="H98" s="156">
        <v>0</v>
      </c>
      <c r="I98" s="156">
        <v>3</v>
      </c>
      <c r="J98" s="156">
        <v>1</v>
      </c>
      <c r="K98" s="156">
        <v>4</v>
      </c>
      <c r="L98" s="156">
        <v>0</v>
      </c>
      <c r="M98" s="152"/>
      <c r="N98" s="88">
        <v>0</v>
      </c>
      <c r="O98" s="88">
        <v>2</v>
      </c>
      <c r="P98" s="88">
        <v>1</v>
      </c>
      <c r="Q98" s="88">
        <v>3</v>
      </c>
      <c r="R98" s="88">
        <v>0</v>
      </c>
      <c r="S98" s="152"/>
      <c r="T98" s="156"/>
      <c r="U98" s="156"/>
      <c r="V98" s="156"/>
      <c r="W98" s="156"/>
      <c r="X98" s="156"/>
    </row>
    <row r="99" spans="1:24">
      <c r="A99" s="76"/>
      <c r="B99" s="76"/>
      <c r="C99" s="76"/>
      <c r="D99" s="76"/>
      <c r="E99" s="76"/>
      <c r="F99" s="76"/>
      <c r="G99" s="152"/>
      <c r="H99" s="76"/>
      <c r="I99" s="76"/>
      <c r="J99" s="76"/>
      <c r="K99" s="76"/>
      <c r="L99" s="76"/>
      <c r="M99" s="152"/>
      <c r="S99" s="152"/>
      <c r="T99" s="76"/>
      <c r="U99" s="76"/>
      <c r="V99" s="76"/>
      <c r="W99" s="76"/>
      <c r="X99" s="76"/>
    </row>
    <row r="100" spans="1:24">
      <c r="A100" s="76" t="s">
        <v>261</v>
      </c>
      <c r="B100" s="80">
        <f t="shared" ref="B100:F104" si="54">AVERAGE(H100,N100,T100)/5</f>
        <v>0.2</v>
      </c>
      <c r="C100" s="80">
        <f t="shared" si="54"/>
        <v>0.8</v>
      </c>
      <c r="D100" s="80">
        <f t="shared" si="54"/>
        <v>0.8</v>
      </c>
      <c r="E100" s="80">
        <f t="shared" si="54"/>
        <v>0.6</v>
      </c>
      <c r="F100" s="80">
        <f t="shared" si="54"/>
        <v>0.2</v>
      </c>
      <c r="G100" s="152"/>
      <c r="H100" s="156">
        <v>1</v>
      </c>
      <c r="I100" s="156">
        <v>4</v>
      </c>
      <c r="J100" s="156">
        <v>4</v>
      </c>
      <c r="K100" s="156">
        <v>3</v>
      </c>
      <c r="L100" s="156">
        <v>2</v>
      </c>
      <c r="M100" s="152"/>
      <c r="N100" s="88">
        <v>1</v>
      </c>
      <c r="O100" s="88">
        <v>4</v>
      </c>
      <c r="P100" s="88">
        <v>4</v>
      </c>
      <c r="Q100" s="88">
        <v>3</v>
      </c>
      <c r="R100" s="88">
        <v>0</v>
      </c>
      <c r="S100" s="152"/>
      <c r="T100" s="156"/>
      <c r="U100" s="156"/>
      <c r="V100" s="156"/>
      <c r="W100" s="156"/>
      <c r="X100" s="156"/>
    </row>
    <row r="101" spans="1:24">
      <c r="A101" s="76" t="s">
        <v>422</v>
      </c>
      <c r="B101" s="80">
        <f t="shared" si="54"/>
        <v>0.2</v>
      </c>
      <c r="C101" s="80">
        <f t="shared" si="54"/>
        <v>0.8</v>
      </c>
      <c r="D101" s="80">
        <f t="shared" si="54"/>
        <v>0.8</v>
      </c>
      <c r="E101" s="80">
        <f t="shared" si="54"/>
        <v>0.6</v>
      </c>
      <c r="F101" s="80">
        <f t="shared" si="54"/>
        <v>0.2</v>
      </c>
      <c r="G101" s="152"/>
      <c r="H101" s="156">
        <v>1</v>
      </c>
      <c r="I101" s="156">
        <v>4</v>
      </c>
      <c r="J101" s="156">
        <v>4</v>
      </c>
      <c r="K101" s="156">
        <v>3</v>
      </c>
      <c r="L101" s="156">
        <v>2</v>
      </c>
      <c r="M101" s="152"/>
      <c r="N101" s="88">
        <v>1</v>
      </c>
      <c r="O101" s="88">
        <v>4</v>
      </c>
      <c r="P101" s="88">
        <v>4</v>
      </c>
      <c r="Q101" s="88">
        <v>3</v>
      </c>
      <c r="R101" s="88">
        <v>0</v>
      </c>
      <c r="S101" s="152"/>
      <c r="T101" s="156"/>
      <c r="U101" s="156"/>
      <c r="V101" s="156"/>
      <c r="W101" s="156"/>
      <c r="X101" s="156"/>
    </row>
    <row r="102" spans="1:24">
      <c r="A102" s="76" t="s">
        <v>423</v>
      </c>
      <c r="B102" s="80">
        <f t="shared" si="54"/>
        <v>0</v>
      </c>
      <c r="C102" s="80">
        <f t="shared" si="54"/>
        <v>0.6</v>
      </c>
      <c r="D102" s="80">
        <f t="shared" si="54"/>
        <v>0.6</v>
      </c>
      <c r="E102" s="80">
        <f t="shared" si="54"/>
        <v>0.8</v>
      </c>
      <c r="F102" s="80">
        <f t="shared" si="54"/>
        <v>0.3</v>
      </c>
      <c r="G102" s="152"/>
      <c r="H102" s="156">
        <v>0</v>
      </c>
      <c r="I102" s="156">
        <v>3</v>
      </c>
      <c r="J102" s="156">
        <v>3</v>
      </c>
      <c r="K102" s="156">
        <v>5</v>
      </c>
      <c r="L102" s="156">
        <v>3</v>
      </c>
      <c r="M102" s="152"/>
      <c r="N102" s="88">
        <v>0</v>
      </c>
      <c r="O102" s="88">
        <v>3</v>
      </c>
      <c r="P102" s="88">
        <v>3</v>
      </c>
      <c r="Q102" s="88">
        <v>3</v>
      </c>
      <c r="R102" s="88">
        <v>0</v>
      </c>
      <c r="S102" s="152"/>
      <c r="T102" s="156"/>
      <c r="U102" s="156"/>
      <c r="V102" s="156"/>
      <c r="W102" s="156"/>
      <c r="X102" s="156"/>
    </row>
    <row r="103" spans="1:24">
      <c r="A103" s="76" t="s">
        <v>424</v>
      </c>
      <c r="B103" s="80">
        <f t="shared" si="54"/>
        <v>0.2</v>
      </c>
      <c r="C103" s="80">
        <f t="shared" si="54"/>
        <v>0.8</v>
      </c>
      <c r="D103" s="80">
        <f t="shared" si="54"/>
        <v>0.6</v>
      </c>
      <c r="E103" s="80">
        <f t="shared" si="54"/>
        <v>0.6</v>
      </c>
      <c r="F103" s="80">
        <f t="shared" si="54"/>
        <v>0.2</v>
      </c>
      <c r="G103" s="152"/>
      <c r="H103" s="156">
        <v>1</v>
      </c>
      <c r="I103" s="156">
        <v>4</v>
      </c>
      <c r="J103" s="156">
        <v>3</v>
      </c>
      <c r="K103" s="156">
        <v>3</v>
      </c>
      <c r="L103" s="156">
        <v>2</v>
      </c>
      <c r="M103" s="152"/>
      <c r="N103" s="88">
        <v>1</v>
      </c>
      <c r="O103" s="88">
        <v>4</v>
      </c>
      <c r="P103" s="88">
        <v>3</v>
      </c>
      <c r="Q103" s="88">
        <v>3</v>
      </c>
      <c r="R103" s="88">
        <v>0</v>
      </c>
      <c r="S103" s="152"/>
      <c r="T103" s="156"/>
      <c r="U103" s="156"/>
      <c r="V103" s="156"/>
      <c r="W103" s="156"/>
      <c r="X103" s="156"/>
    </row>
    <row r="104" spans="1:24">
      <c r="A104" s="76" t="s">
        <v>265</v>
      </c>
      <c r="B104" s="80">
        <f t="shared" si="54"/>
        <v>0.1</v>
      </c>
      <c r="C104" s="80">
        <f t="shared" si="54"/>
        <v>0.7</v>
      </c>
      <c r="D104" s="80">
        <f t="shared" si="54"/>
        <v>0.5</v>
      </c>
      <c r="E104" s="80">
        <f t="shared" si="54"/>
        <v>0.6</v>
      </c>
      <c r="F104" s="80">
        <f t="shared" si="54"/>
        <v>0.1</v>
      </c>
      <c r="G104" s="152"/>
      <c r="H104" s="156">
        <v>1</v>
      </c>
      <c r="I104" s="156">
        <v>4</v>
      </c>
      <c r="J104" s="156">
        <v>3</v>
      </c>
      <c r="K104" s="156">
        <v>3</v>
      </c>
      <c r="L104" s="156">
        <v>1</v>
      </c>
      <c r="M104" s="152"/>
      <c r="N104" s="88">
        <v>0</v>
      </c>
      <c r="O104" s="88">
        <v>3</v>
      </c>
      <c r="P104" s="88">
        <v>2</v>
      </c>
      <c r="Q104" s="88">
        <v>3</v>
      </c>
      <c r="R104" s="88">
        <v>0</v>
      </c>
      <c r="S104" s="152"/>
      <c r="T104" s="156"/>
      <c r="U104" s="156"/>
      <c r="V104" s="156"/>
      <c r="W104" s="156"/>
      <c r="X104" s="156"/>
    </row>
    <row r="105" spans="1:24">
      <c r="A105" s="76"/>
      <c r="B105" s="76"/>
      <c r="C105" s="76"/>
      <c r="D105" s="76"/>
      <c r="E105" s="76"/>
      <c r="F105" s="76"/>
      <c r="G105" s="152"/>
      <c r="H105" s="76"/>
      <c r="I105" s="76"/>
      <c r="J105" s="76"/>
      <c r="K105" s="76"/>
      <c r="L105" s="76"/>
      <c r="M105" s="152"/>
      <c r="S105" s="152"/>
      <c r="T105" s="76"/>
      <c r="U105" s="76"/>
      <c r="V105" s="76"/>
      <c r="W105" s="76"/>
      <c r="X105" s="76"/>
    </row>
    <row r="106" spans="1:24">
      <c r="A106" s="76" t="s">
        <v>425</v>
      </c>
      <c r="B106" s="80">
        <f t="shared" ref="B106:F110" si="55">AVERAGE(H106,N106,T106)/5</f>
        <v>0.1</v>
      </c>
      <c r="C106" s="80">
        <f t="shared" si="55"/>
        <v>0.9</v>
      </c>
      <c r="D106" s="80">
        <f t="shared" si="55"/>
        <v>0.2</v>
      </c>
      <c r="E106" s="80">
        <f t="shared" si="55"/>
        <v>0.8</v>
      </c>
      <c r="F106" s="80">
        <f t="shared" si="55"/>
        <v>0.1</v>
      </c>
      <c r="G106" s="152"/>
      <c r="H106" s="156">
        <v>1</v>
      </c>
      <c r="I106" s="156">
        <v>5</v>
      </c>
      <c r="J106" s="156">
        <v>1</v>
      </c>
      <c r="K106" s="156">
        <v>4</v>
      </c>
      <c r="L106" s="156">
        <v>1</v>
      </c>
      <c r="M106" s="152"/>
      <c r="N106" s="88">
        <v>0</v>
      </c>
      <c r="O106" s="88">
        <v>4</v>
      </c>
      <c r="P106" s="88">
        <v>1</v>
      </c>
      <c r="Q106" s="88">
        <v>4</v>
      </c>
      <c r="R106" s="88">
        <v>0</v>
      </c>
      <c r="S106" s="152"/>
      <c r="T106" s="156"/>
      <c r="U106" s="156"/>
      <c r="V106" s="156"/>
      <c r="W106" s="156"/>
      <c r="X106" s="156"/>
    </row>
    <row r="107" spans="1:24">
      <c r="A107" s="76" t="s">
        <v>426</v>
      </c>
      <c r="B107" s="80">
        <f t="shared" si="55"/>
        <v>0.1</v>
      </c>
      <c r="C107" s="80">
        <f t="shared" si="55"/>
        <v>0.9</v>
      </c>
      <c r="D107" s="80">
        <f t="shared" si="55"/>
        <v>0.2</v>
      </c>
      <c r="E107" s="80">
        <f t="shared" si="55"/>
        <v>0.8</v>
      </c>
      <c r="F107" s="80">
        <f t="shared" si="55"/>
        <v>0.1</v>
      </c>
      <c r="G107" s="152"/>
      <c r="H107" s="156">
        <v>1</v>
      </c>
      <c r="I107" s="156">
        <v>5</v>
      </c>
      <c r="J107" s="156">
        <v>1</v>
      </c>
      <c r="K107" s="156">
        <v>4</v>
      </c>
      <c r="L107" s="156">
        <v>1</v>
      </c>
      <c r="M107" s="152"/>
      <c r="N107" s="88">
        <v>0</v>
      </c>
      <c r="O107" s="88">
        <v>4</v>
      </c>
      <c r="P107" s="88">
        <v>1</v>
      </c>
      <c r="Q107" s="88">
        <v>4</v>
      </c>
      <c r="R107" s="88">
        <v>0</v>
      </c>
      <c r="S107" s="152"/>
      <c r="T107" s="156"/>
      <c r="U107" s="156"/>
      <c r="V107" s="156"/>
      <c r="W107" s="156"/>
      <c r="X107" s="156"/>
    </row>
    <row r="108" spans="1:24">
      <c r="A108" s="76" t="s">
        <v>427</v>
      </c>
      <c r="B108" s="80">
        <f t="shared" si="55"/>
        <v>0.1</v>
      </c>
      <c r="C108" s="80">
        <f t="shared" si="55"/>
        <v>0.9</v>
      </c>
      <c r="D108" s="80">
        <f t="shared" si="55"/>
        <v>0.2</v>
      </c>
      <c r="E108" s="80">
        <f t="shared" si="55"/>
        <v>0.8</v>
      </c>
      <c r="F108" s="80">
        <f t="shared" si="55"/>
        <v>0.1</v>
      </c>
      <c r="G108" s="152"/>
      <c r="H108" s="156">
        <v>1</v>
      </c>
      <c r="I108" s="156">
        <v>5</v>
      </c>
      <c r="J108" s="156">
        <v>1</v>
      </c>
      <c r="K108" s="156">
        <v>4</v>
      </c>
      <c r="L108" s="156">
        <v>1</v>
      </c>
      <c r="M108" s="152"/>
      <c r="N108" s="88">
        <v>0</v>
      </c>
      <c r="O108" s="88">
        <v>4</v>
      </c>
      <c r="P108" s="88">
        <v>1</v>
      </c>
      <c r="Q108" s="88">
        <v>4</v>
      </c>
      <c r="R108" s="88">
        <v>0</v>
      </c>
      <c r="S108" s="152"/>
      <c r="T108" s="156"/>
      <c r="U108" s="156"/>
      <c r="V108" s="156"/>
      <c r="W108" s="156"/>
      <c r="X108" s="156"/>
    </row>
    <row r="109" spans="1:24">
      <c r="A109" s="76" t="s">
        <v>428</v>
      </c>
      <c r="B109" s="80">
        <f t="shared" si="55"/>
        <v>0.1</v>
      </c>
      <c r="C109" s="80">
        <f t="shared" si="55"/>
        <v>0.9</v>
      </c>
      <c r="D109" s="80">
        <f t="shared" si="55"/>
        <v>0.2</v>
      </c>
      <c r="E109" s="80">
        <f t="shared" si="55"/>
        <v>0.8</v>
      </c>
      <c r="F109" s="80">
        <f t="shared" si="55"/>
        <v>0.1</v>
      </c>
      <c r="G109" s="152"/>
      <c r="H109" s="156">
        <v>1</v>
      </c>
      <c r="I109" s="156">
        <v>5</v>
      </c>
      <c r="J109" s="156">
        <v>1</v>
      </c>
      <c r="K109" s="156">
        <v>4</v>
      </c>
      <c r="L109" s="156">
        <v>1</v>
      </c>
      <c r="M109" s="152"/>
      <c r="N109" s="88">
        <v>0</v>
      </c>
      <c r="O109" s="88">
        <v>4</v>
      </c>
      <c r="P109" s="88">
        <v>1</v>
      </c>
      <c r="Q109" s="88">
        <v>4</v>
      </c>
      <c r="R109" s="88">
        <v>0</v>
      </c>
      <c r="S109" s="152"/>
      <c r="T109" s="156"/>
      <c r="U109" s="156"/>
      <c r="V109" s="156"/>
      <c r="W109" s="156"/>
      <c r="X109" s="156"/>
    </row>
    <row r="110" spans="1:24">
      <c r="A110" s="76" t="s">
        <v>429</v>
      </c>
      <c r="B110" s="80">
        <f t="shared" si="55"/>
        <v>0.1</v>
      </c>
      <c r="C110" s="80">
        <f t="shared" si="55"/>
        <v>0.9</v>
      </c>
      <c r="D110" s="80">
        <f t="shared" si="55"/>
        <v>0.3</v>
      </c>
      <c r="E110" s="80">
        <f t="shared" si="55"/>
        <v>0.8</v>
      </c>
      <c r="F110" s="80">
        <f t="shared" si="55"/>
        <v>0.2</v>
      </c>
      <c r="G110" s="152"/>
      <c r="H110" s="156">
        <v>1</v>
      </c>
      <c r="I110" s="156">
        <v>5</v>
      </c>
      <c r="J110" s="156">
        <v>2</v>
      </c>
      <c r="K110" s="156">
        <v>4</v>
      </c>
      <c r="L110" s="156">
        <v>2</v>
      </c>
      <c r="M110" s="152"/>
      <c r="N110" s="88">
        <v>0</v>
      </c>
      <c r="O110" s="88">
        <v>4</v>
      </c>
      <c r="P110" s="88">
        <v>1</v>
      </c>
      <c r="Q110" s="88">
        <v>4</v>
      </c>
      <c r="R110" s="88">
        <v>0</v>
      </c>
      <c r="S110" s="152"/>
      <c r="T110" s="156"/>
      <c r="U110" s="156"/>
      <c r="V110" s="156"/>
      <c r="W110" s="156"/>
      <c r="X110" s="156"/>
    </row>
    <row r="111" spans="1:24">
      <c r="A111" s="76"/>
      <c r="B111" s="76"/>
      <c r="C111" s="76"/>
      <c r="D111" s="76"/>
      <c r="E111" s="76"/>
      <c r="F111" s="76"/>
      <c r="G111" s="152"/>
      <c r="H111" s="76"/>
      <c r="I111" s="76"/>
      <c r="J111" s="76"/>
      <c r="K111" s="76"/>
      <c r="L111" s="76"/>
      <c r="M111" s="152"/>
      <c r="S111" s="152"/>
      <c r="T111" s="76"/>
      <c r="U111" s="76"/>
      <c r="V111" s="76"/>
      <c r="W111" s="76"/>
      <c r="X111" s="76"/>
    </row>
    <row r="112" spans="1:24">
      <c r="A112" s="76" t="s">
        <v>32</v>
      </c>
      <c r="B112" s="80">
        <f t="shared" ref="B112:F117" si="56">AVERAGE(H112,N112,T112)/5</f>
        <v>0.6</v>
      </c>
      <c r="C112" s="80">
        <f t="shared" si="56"/>
        <v>1</v>
      </c>
      <c r="D112" s="80">
        <f t="shared" si="56"/>
        <v>0.8</v>
      </c>
      <c r="E112" s="80">
        <f t="shared" si="56"/>
        <v>1</v>
      </c>
      <c r="F112" s="80">
        <f t="shared" si="56"/>
        <v>0.9</v>
      </c>
      <c r="G112" s="152"/>
      <c r="H112" s="156">
        <v>3</v>
      </c>
      <c r="I112" s="156">
        <v>5</v>
      </c>
      <c r="J112" s="156">
        <v>4</v>
      </c>
      <c r="K112" s="156">
        <v>5</v>
      </c>
      <c r="L112" s="156">
        <v>4</v>
      </c>
      <c r="M112" s="152"/>
      <c r="N112" s="88">
        <v>3</v>
      </c>
      <c r="O112" s="88">
        <v>5</v>
      </c>
      <c r="P112" s="88">
        <v>4</v>
      </c>
      <c r="Q112" s="88">
        <v>5</v>
      </c>
      <c r="R112" s="88">
        <v>5</v>
      </c>
      <c r="S112" s="152"/>
      <c r="T112" s="156"/>
      <c r="U112" s="156"/>
      <c r="V112" s="156"/>
      <c r="W112" s="156"/>
      <c r="X112" s="156"/>
    </row>
    <row r="113" spans="1:24">
      <c r="A113" s="76" t="s">
        <v>181</v>
      </c>
      <c r="B113" s="80">
        <f t="shared" si="56"/>
        <v>0.4</v>
      </c>
      <c r="C113" s="80">
        <f t="shared" si="56"/>
        <v>1</v>
      </c>
      <c r="D113" s="80">
        <f t="shared" si="56"/>
        <v>0.7</v>
      </c>
      <c r="E113" s="80">
        <f t="shared" si="56"/>
        <v>1</v>
      </c>
      <c r="F113" s="80">
        <f t="shared" si="56"/>
        <v>0.9</v>
      </c>
      <c r="G113" s="152"/>
      <c r="H113" s="156">
        <v>2</v>
      </c>
      <c r="I113" s="156">
        <v>5</v>
      </c>
      <c r="J113" s="156">
        <v>3</v>
      </c>
      <c r="K113" s="156">
        <v>5</v>
      </c>
      <c r="L113" s="156">
        <v>4</v>
      </c>
      <c r="M113" s="152"/>
      <c r="N113" s="88">
        <v>2</v>
      </c>
      <c r="O113" s="88">
        <v>5</v>
      </c>
      <c r="P113" s="88">
        <v>4</v>
      </c>
      <c r="Q113" s="88">
        <v>5</v>
      </c>
      <c r="R113" s="88">
        <v>5</v>
      </c>
      <c r="S113" s="152"/>
      <c r="T113" s="156"/>
      <c r="U113" s="156"/>
      <c r="V113" s="156"/>
      <c r="W113" s="156"/>
      <c r="X113" s="156"/>
    </row>
    <row r="114" spans="1:24">
      <c r="A114" s="76" t="s">
        <v>430</v>
      </c>
      <c r="B114" s="80">
        <f t="shared" si="56"/>
        <v>0.7</v>
      </c>
      <c r="C114" s="80">
        <f t="shared" si="56"/>
        <v>0.8</v>
      </c>
      <c r="D114" s="80">
        <f t="shared" si="56"/>
        <v>0.9</v>
      </c>
      <c r="E114" s="80">
        <f t="shared" si="56"/>
        <v>0.4</v>
      </c>
      <c r="F114" s="80">
        <f t="shared" si="56"/>
        <v>0.3</v>
      </c>
      <c r="G114" s="152"/>
      <c r="H114" s="156">
        <v>4</v>
      </c>
      <c r="I114" s="156">
        <v>4</v>
      </c>
      <c r="J114" s="156">
        <v>5</v>
      </c>
      <c r="K114" s="156">
        <v>2</v>
      </c>
      <c r="L114" s="156">
        <v>1</v>
      </c>
      <c r="M114" s="152"/>
      <c r="N114" s="88">
        <v>3</v>
      </c>
      <c r="O114" s="88">
        <v>4</v>
      </c>
      <c r="P114" s="88">
        <v>4</v>
      </c>
      <c r="Q114" s="88">
        <v>2</v>
      </c>
      <c r="R114" s="88">
        <v>2</v>
      </c>
      <c r="S114" s="152"/>
      <c r="T114" s="156"/>
      <c r="U114" s="156"/>
      <c r="V114" s="156"/>
      <c r="W114" s="156"/>
      <c r="X114" s="156"/>
    </row>
    <row r="115" spans="1:24">
      <c r="A115" s="76" t="s">
        <v>431</v>
      </c>
      <c r="B115" s="80">
        <f t="shared" si="56"/>
        <v>0.7</v>
      </c>
      <c r="C115" s="80">
        <f t="shared" si="56"/>
        <v>0.8</v>
      </c>
      <c r="D115" s="80">
        <f t="shared" si="56"/>
        <v>0.8</v>
      </c>
      <c r="E115" s="80">
        <f t="shared" si="56"/>
        <v>0.4</v>
      </c>
      <c r="F115" s="80">
        <f t="shared" si="56"/>
        <v>0.1</v>
      </c>
      <c r="G115" s="152"/>
      <c r="H115" s="156">
        <v>4</v>
      </c>
      <c r="I115" s="156">
        <v>4</v>
      </c>
      <c r="J115" s="156">
        <v>5</v>
      </c>
      <c r="K115" s="156">
        <v>2</v>
      </c>
      <c r="L115" s="156">
        <v>0</v>
      </c>
      <c r="M115" s="152"/>
      <c r="N115" s="88">
        <v>3</v>
      </c>
      <c r="O115" s="88">
        <v>4</v>
      </c>
      <c r="P115" s="88">
        <v>3</v>
      </c>
      <c r="Q115" s="88">
        <v>2</v>
      </c>
      <c r="R115" s="88">
        <v>1</v>
      </c>
      <c r="S115" s="152"/>
      <c r="T115" s="156"/>
      <c r="U115" s="156"/>
      <c r="V115" s="156"/>
      <c r="W115" s="156"/>
      <c r="X115" s="156"/>
    </row>
    <row r="116" spans="1:24">
      <c r="A116" s="76" t="s">
        <v>432</v>
      </c>
      <c r="B116" s="80">
        <f t="shared" si="56"/>
        <v>0.5</v>
      </c>
      <c r="C116" s="80">
        <f t="shared" si="56"/>
        <v>0.8</v>
      </c>
      <c r="D116" s="80">
        <f t="shared" si="56"/>
        <v>0.8</v>
      </c>
      <c r="E116" s="80">
        <f t="shared" si="56"/>
        <v>0.4</v>
      </c>
      <c r="F116" s="80">
        <f t="shared" si="56"/>
        <v>0</v>
      </c>
      <c r="G116" s="152"/>
      <c r="H116" s="156">
        <v>3</v>
      </c>
      <c r="I116" s="156">
        <v>4</v>
      </c>
      <c r="J116" s="156">
        <v>5</v>
      </c>
      <c r="K116" s="156">
        <v>2</v>
      </c>
      <c r="L116" s="156">
        <v>0</v>
      </c>
      <c r="M116" s="152"/>
      <c r="N116" s="88">
        <v>2</v>
      </c>
      <c r="O116" s="88">
        <v>4</v>
      </c>
      <c r="P116" s="88">
        <v>3</v>
      </c>
      <c r="Q116" s="88">
        <v>2</v>
      </c>
      <c r="R116" s="88">
        <v>0</v>
      </c>
      <c r="S116" s="152"/>
      <c r="T116" s="156"/>
      <c r="U116" s="156"/>
      <c r="V116" s="156"/>
      <c r="W116" s="156"/>
      <c r="X116" s="156"/>
    </row>
    <row r="117" spans="1:24">
      <c r="A117" s="76" t="s">
        <v>433</v>
      </c>
      <c r="B117" s="80">
        <f t="shared" si="56"/>
        <v>0.1</v>
      </c>
      <c r="C117" s="80">
        <f t="shared" si="56"/>
        <v>0.8</v>
      </c>
      <c r="D117" s="80">
        <f t="shared" si="56"/>
        <v>0.7</v>
      </c>
      <c r="E117" s="80">
        <f t="shared" si="56"/>
        <v>0.4</v>
      </c>
      <c r="F117" s="80">
        <f t="shared" si="56"/>
        <v>0</v>
      </c>
      <c r="G117" s="152"/>
      <c r="H117" s="156">
        <v>1</v>
      </c>
      <c r="I117" s="156">
        <v>4</v>
      </c>
      <c r="J117" s="156">
        <v>5</v>
      </c>
      <c r="K117" s="156">
        <v>2</v>
      </c>
      <c r="L117" s="156">
        <v>0</v>
      </c>
      <c r="M117" s="152"/>
      <c r="N117" s="88">
        <v>0</v>
      </c>
      <c r="O117" s="88">
        <v>4</v>
      </c>
      <c r="P117" s="88">
        <v>2</v>
      </c>
      <c r="Q117" s="88">
        <v>2</v>
      </c>
      <c r="R117" s="88">
        <v>0</v>
      </c>
      <c r="S117" s="152"/>
      <c r="T117" s="156"/>
      <c r="U117" s="156"/>
      <c r="V117" s="156"/>
      <c r="W117" s="156"/>
      <c r="X117" s="156"/>
    </row>
    <row r="118" spans="1:24">
      <c r="A118" s="82" t="s">
        <v>1297</v>
      </c>
      <c r="B118" s="83">
        <f t="shared" ref="B118:F118" si="57">AVERAGE(B78:B117)</f>
        <v>0.27647058823529402</v>
      </c>
      <c r="C118" s="83">
        <f t="shared" si="57"/>
        <v>0.82941176470588229</v>
      </c>
      <c r="D118" s="83">
        <f t="shared" si="57"/>
        <v>0.56470588235294117</v>
      </c>
      <c r="E118" s="83">
        <f t="shared" si="57"/>
        <v>0.69705882352941162</v>
      </c>
      <c r="F118" s="83">
        <f t="shared" si="57"/>
        <v>0.28823529411764703</v>
      </c>
      <c r="G118" s="152"/>
      <c r="H118" s="83">
        <f t="shared" ref="H118:L118" si="58">AVERAGE(H78:H117)</f>
        <v>1.6470588235294117</v>
      </c>
      <c r="I118" s="83">
        <f t="shared" si="58"/>
        <v>4.3529411764705879</v>
      </c>
      <c r="J118" s="83">
        <f t="shared" si="58"/>
        <v>2.9705882352941178</v>
      </c>
      <c r="K118" s="83">
        <f t="shared" si="58"/>
        <v>3.5294117647058822</v>
      </c>
      <c r="L118" s="83">
        <f t="shared" si="58"/>
        <v>1.7058823529411764</v>
      </c>
      <c r="M118" s="152"/>
      <c r="N118" s="83">
        <f t="shared" ref="N118:R118" si="59">AVERAGE(N78:N117)</f>
        <v>1.1176470588235294</v>
      </c>
      <c r="O118" s="83">
        <f t="shared" si="59"/>
        <v>3.9411764705882355</v>
      </c>
      <c r="P118" s="83">
        <f t="shared" si="59"/>
        <v>2.6764705882352939</v>
      </c>
      <c r="Q118" s="83">
        <f t="shared" si="59"/>
        <v>3.4411764705882355</v>
      </c>
      <c r="R118" s="83">
        <f t="shared" si="59"/>
        <v>1.1764705882352942</v>
      </c>
      <c r="S118" s="152"/>
      <c r="T118" s="83" t="e">
        <f t="shared" ref="T118:X118" si="60">AVERAGE(T78:T117)</f>
        <v>#DIV/0!</v>
      </c>
      <c r="U118" s="83" t="e">
        <f t="shared" si="60"/>
        <v>#DIV/0!</v>
      </c>
      <c r="V118" s="83" t="e">
        <f t="shared" si="60"/>
        <v>#DIV/0!</v>
      </c>
      <c r="W118" s="83" t="e">
        <f t="shared" si="60"/>
        <v>#DIV/0!</v>
      </c>
      <c r="X118" s="83" t="e">
        <f t="shared" si="60"/>
        <v>#DIV/0!</v>
      </c>
    </row>
    <row r="119" spans="1:24">
      <c r="A119" s="76"/>
      <c r="B119" s="85"/>
      <c r="C119" s="85"/>
      <c r="D119" s="85"/>
      <c r="E119" s="85"/>
      <c r="F119" s="85"/>
      <c r="G119" s="152"/>
      <c r="H119" s="76"/>
      <c r="I119" s="76"/>
      <c r="J119" s="76"/>
      <c r="K119" s="76"/>
      <c r="L119" s="76"/>
      <c r="M119" s="152"/>
      <c r="N119" s="76"/>
      <c r="O119" s="76"/>
      <c r="P119" s="76"/>
      <c r="Q119" s="76"/>
      <c r="R119" s="76"/>
      <c r="S119" s="152"/>
      <c r="T119" s="76"/>
      <c r="U119" s="76"/>
      <c r="V119" s="76"/>
      <c r="W119" s="76"/>
      <c r="X119" s="76"/>
    </row>
    <row r="120" spans="1:24">
      <c r="A120" s="76"/>
      <c r="B120" s="85"/>
      <c r="C120" s="85"/>
      <c r="D120" s="85"/>
      <c r="E120" s="85"/>
      <c r="F120" s="85"/>
      <c r="G120" s="152"/>
      <c r="H120" s="76"/>
      <c r="I120" s="76"/>
      <c r="J120" s="76"/>
      <c r="K120" s="76"/>
      <c r="L120" s="76"/>
      <c r="M120" s="152"/>
      <c r="N120" s="76"/>
      <c r="O120" s="76"/>
      <c r="P120" s="76"/>
      <c r="Q120" s="76"/>
      <c r="R120" s="76"/>
      <c r="S120" s="152"/>
      <c r="T120" s="76"/>
      <c r="U120" s="76"/>
      <c r="V120" s="76"/>
      <c r="W120" s="76"/>
      <c r="X120" s="76"/>
    </row>
    <row r="121" spans="1:24">
      <c r="A121" s="84" t="s">
        <v>29</v>
      </c>
      <c r="B121" s="85"/>
      <c r="C121" s="85"/>
      <c r="D121" s="85"/>
      <c r="E121" s="85"/>
      <c r="F121" s="85"/>
      <c r="G121" s="152"/>
      <c r="H121" s="76"/>
      <c r="I121" s="76"/>
      <c r="J121" s="76"/>
      <c r="K121" s="76"/>
      <c r="L121" s="76"/>
      <c r="M121" s="152"/>
      <c r="N121" s="76"/>
      <c r="O121" s="76"/>
      <c r="P121" s="76"/>
      <c r="Q121" s="76"/>
      <c r="R121" s="76"/>
      <c r="S121" s="152"/>
      <c r="T121" s="76"/>
      <c r="U121" s="76"/>
      <c r="V121" s="76"/>
      <c r="W121" s="76"/>
      <c r="X121" s="76"/>
    </row>
    <row r="122" spans="1:24">
      <c r="A122" s="76"/>
      <c r="B122" s="76"/>
      <c r="C122" s="76"/>
      <c r="D122" s="76"/>
      <c r="E122" s="76"/>
      <c r="F122" s="76"/>
      <c r="G122" s="152"/>
      <c r="H122" s="76"/>
      <c r="I122" s="76"/>
      <c r="J122" s="76"/>
      <c r="K122" s="76"/>
      <c r="L122" s="76"/>
      <c r="M122" s="152"/>
      <c r="N122" s="76"/>
      <c r="O122" s="76"/>
      <c r="P122" s="76"/>
      <c r="Q122" s="76"/>
      <c r="R122" s="76"/>
      <c r="S122" s="152"/>
      <c r="T122" s="76"/>
      <c r="U122" s="76"/>
      <c r="V122" s="76"/>
      <c r="W122" s="76"/>
      <c r="X122" s="76"/>
    </row>
    <row r="123" spans="1:24">
      <c r="A123" s="76" t="s">
        <v>434</v>
      </c>
      <c r="B123" s="80">
        <f t="shared" ref="B123:F123" si="61">AVERAGE(H123,N123,T123)/5</f>
        <v>0.6</v>
      </c>
      <c r="C123" s="80">
        <f t="shared" si="61"/>
        <v>1</v>
      </c>
      <c r="D123" s="80">
        <f t="shared" si="61"/>
        <v>0.8</v>
      </c>
      <c r="E123" s="80">
        <f t="shared" si="61"/>
        <v>1</v>
      </c>
      <c r="F123" s="80">
        <f t="shared" si="61"/>
        <v>0.6</v>
      </c>
      <c r="G123" s="152"/>
      <c r="H123" s="156">
        <v>3</v>
      </c>
      <c r="I123" s="156">
        <v>5</v>
      </c>
      <c r="J123" s="156">
        <v>4</v>
      </c>
      <c r="K123" s="156">
        <v>5</v>
      </c>
      <c r="L123" s="156">
        <v>3</v>
      </c>
      <c r="M123" s="152"/>
      <c r="N123" s="88">
        <v>3</v>
      </c>
      <c r="O123" s="88">
        <v>5</v>
      </c>
      <c r="P123" s="88">
        <v>4</v>
      </c>
      <c r="Q123" s="88">
        <v>5</v>
      </c>
      <c r="R123" s="88">
        <v>3</v>
      </c>
      <c r="S123" s="152"/>
      <c r="T123" s="156"/>
      <c r="U123" s="156"/>
      <c r="V123" s="156"/>
      <c r="W123" s="156"/>
      <c r="X123" s="156"/>
    </row>
    <row r="124" spans="1:24">
      <c r="A124" s="76"/>
      <c r="B124" s="76"/>
      <c r="C124" s="76"/>
      <c r="D124" s="76"/>
      <c r="E124" s="76"/>
      <c r="F124" s="76"/>
      <c r="G124" s="152"/>
      <c r="H124" s="76"/>
      <c r="I124" s="76"/>
      <c r="J124" s="76"/>
      <c r="K124" s="76"/>
      <c r="L124" s="76"/>
      <c r="M124" s="152"/>
      <c r="S124" s="152"/>
      <c r="T124" s="76"/>
      <c r="U124" s="76"/>
      <c r="V124" s="76"/>
      <c r="W124" s="76"/>
      <c r="X124" s="76"/>
    </row>
    <row r="125" spans="1:24">
      <c r="A125" s="76" t="s">
        <v>435</v>
      </c>
      <c r="B125" s="80">
        <f t="shared" ref="B125:F125" si="62">AVERAGE(H125,N125,T125)/5</f>
        <v>0.2</v>
      </c>
      <c r="C125" s="80">
        <f t="shared" si="62"/>
        <v>0.8</v>
      </c>
      <c r="D125" s="80">
        <f t="shared" si="62"/>
        <v>0.8</v>
      </c>
      <c r="E125" s="80">
        <f t="shared" si="62"/>
        <v>0.8</v>
      </c>
      <c r="F125" s="80">
        <f t="shared" si="62"/>
        <v>0.2</v>
      </c>
      <c r="G125" s="152"/>
      <c r="H125" s="156">
        <v>1</v>
      </c>
      <c r="I125" s="156">
        <v>4</v>
      </c>
      <c r="J125" s="156">
        <v>5</v>
      </c>
      <c r="K125" s="156">
        <v>4</v>
      </c>
      <c r="L125" s="156">
        <v>1</v>
      </c>
      <c r="M125" s="152"/>
      <c r="N125" s="88">
        <v>1</v>
      </c>
      <c r="O125" s="88">
        <v>4</v>
      </c>
      <c r="P125" s="88">
        <v>3</v>
      </c>
      <c r="Q125" s="88">
        <v>4</v>
      </c>
      <c r="R125" s="88">
        <v>1</v>
      </c>
      <c r="S125" s="152"/>
      <c r="T125" s="156"/>
      <c r="U125" s="156"/>
      <c r="V125" s="156"/>
      <c r="W125" s="156"/>
      <c r="X125" s="156"/>
    </row>
    <row r="126" spans="1:24">
      <c r="A126" s="76"/>
      <c r="B126" s="76"/>
      <c r="C126" s="76"/>
      <c r="D126" s="76"/>
      <c r="E126" s="76"/>
      <c r="F126" s="76"/>
      <c r="G126" s="152"/>
      <c r="H126" s="76"/>
      <c r="I126" s="76"/>
      <c r="J126" s="76"/>
      <c r="K126" s="76"/>
      <c r="L126" s="76"/>
      <c r="M126" s="152"/>
      <c r="S126" s="152"/>
      <c r="T126" s="76"/>
      <c r="U126" s="76"/>
      <c r="V126" s="76"/>
      <c r="W126" s="76"/>
      <c r="X126" s="76"/>
    </row>
    <row r="127" spans="1:24">
      <c r="A127" s="76" t="s">
        <v>135</v>
      </c>
      <c r="B127" s="80">
        <f t="shared" ref="B127:F127" si="63">AVERAGE(H127,N127,T127)/5</f>
        <v>0.2</v>
      </c>
      <c r="C127" s="80">
        <f t="shared" si="63"/>
        <v>0.8</v>
      </c>
      <c r="D127" s="80">
        <f t="shared" si="63"/>
        <v>0.6</v>
      </c>
      <c r="E127" s="80">
        <f t="shared" si="63"/>
        <v>0.9</v>
      </c>
      <c r="F127" s="80">
        <f t="shared" si="63"/>
        <v>0.2</v>
      </c>
      <c r="G127" s="152"/>
      <c r="H127" s="156">
        <v>1</v>
      </c>
      <c r="I127" s="156">
        <v>4</v>
      </c>
      <c r="J127" s="156">
        <v>3</v>
      </c>
      <c r="K127" s="156">
        <v>4</v>
      </c>
      <c r="L127" s="156">
        <v>1</v>
      </c>
      <c r="M127" s="152"/>
      <c r="N127" s="88">
        <v>1</v>
      </c>
      <c r="O127" s="88">
        <v>4</v>
      </c>
      <c r="P127" s="88">
        <v>3</v>
      </c>
      <c r="Q127" s="88">
        <v>5</v>
      </c>
      <c r="R127" s="88">
        <v>1</v>
      </c>
      <c r="S127" s="152"/>
      <c r="T127" s="156"/>
      <c r="U127" s="156"/>
      <c r="V127" s="156"/>
      <c r="W127" s="156"/>
      <c r="X127" s="156"/>
    </row>
    <row r="128" spans="1:24">
      <c r="A128" s="76"/>
      <c r="B128" s="76"/>
      <c r="C128" s="76"/>
      <c r="D128" s="76"/>
      <c r="E128" s="76"/>
      <c r="F128" s="76"/>
      <c r="G128" s="152"/>
      <c r="H128" s="76"/>
      <c r="I128" s="76"/>
      <c r="J128" s="76"/>
      <c r="K128" s="76"/>
      <c r="L128" s="76"/>
      <c r="M128" s="152"/>
      <c r="S128" s="152"/>
      <c r="T128" s="76"/>
      <c r="U128" s="76"/>
      <c r="V128" s="76"/>
      <c r="W128" s="76"/>
      <c r="X128" s="76"/>
    </row>
    <row r="129" spans="1:24">
      <c r="A129" s="76" t="s">
        <v>436</v>
      </c>
      <c r="B129" s="80">
        <f t="shared" ref="B129:F130" si="64">AVERAGE(H129,N129,T129)/5</f>
        <v>0.2</v>
      </c>
      <c r="C129" s="80">
        <f t="shared" si="64"/>
        <v>0.8</v>
      </c>
      <c r="D129" s="80">
        <f t="shared" si="64"/>
        <v>0.6</v>
      </c>
      <c r="E129" s="80">
        <f t="shared" si="64"/>
        <v>0.8</v>
      </c>
      <c r="F129" s="80">
        <f t="shared" si="64"/>
        <v>0.2</v>
      </c>
      <c r="G129" s="152"/>
      <c r="H129" s="156">
        <v>1</v>
      </c>
      <c r="I129" s="156">
        <v>4</v>
      </c>
      <c r="J129" s="156">
        <v>3</v>
      </c>
      <c r="K129" s="156">
        <v>4</v>
      </c>
      <c r="L129" s="156">
        <v>1</v>
      </c>
      <c r="M129" s="152"/>
      <c r="N129" s="88">
        <v>1</v>
      </c>
      <c r="O129" s="88">
        <v>4</v>
      </c>
      <c r="P129" s="88">
        <v>3</v>
      </c>
      <c r="Q129" s="88">
        <v>4</v>
      </c>
      <c r="R129" s="88">
        <v>1</v>
      </c>
      <c r="S129" s="152"/>
      <c r="T129" s="156"/>
      <c r="U129" s="156"/>
      <c r="V129" s="156"/>
      <c r="W129" s="156"/>
      <c r="X129" s="156"/>
    </row>
    <row r="130" spans="1:24">
      <c r="A130" s="76" t="s">
        <v>437</v>
      </c>
      <c r="B130" s="80">
        <f t="shared" si="64"/>
        <v>0.3</v>
      </c>
      <c r="C130" s="80">
        <f t="shared" si="64"/>
        <v>0.8</v>
      </c>
      <c r="D130" s="80">
        <f t="shared" si="64"/>
        <v>0.4</v>
      </c>
      <c r="E130" s="80">
        <f t="shared" si="64"/>
        <v>0.7</v>
      </c>
      <c r="F130" s="80">
        <f t="shared" si="64"/>
        <v>0.4</v>
      </c>
      <c r="G130" s="152"/>
      <c r="H130" s="156">
        <v>1</v>
      </c>
      <c r="I130" s="156">
        <v>4</v>
      </c>
      <c r="J130" s="156">
        <v>2</v>
      </c>
      <c r="K130" s="156">
        <v>4</v>
      </c>
      <c r="L130" s="156">
        <v>1</v>
      </c>
      <c r="M130" s="152"/>
      <c r="N130" s="88">
        <v>2</v>
      </c>
      <c r="O130" s="88">
        <v>4</v>
      </c>
      <c r="P130" s="88">
        <v>2</v>
      </c>
      <c r="Q130" s="88">
        <v>3</v>
      </c>
      <c r="R130" s="88">
        <v>3</v>
      </c>
      <c r="S130" s="152"/>
      <c r="T130" s="156"/>
      <c r="U130" s="156"/>
      <c r="V130" s="156"/>
      <c r="W130" s="156"/>
      <c r="X130" s="156"/>
    </row>
    <row r="131" spans="1:24">
      <c r="A131" s="76"/>
      <c r="B131" s="76"/>
      <c r="C131" s="76"/>
      <c r="D131" s="76"/>
      <c r="E131" s="76"/>
      <c r="F131" s="76"/>
      <c r="G131" s="152"/>
      <c r="H131" s="76"/>
      <c r="I131" s="76"/>
      <c r="J131" s="76"/>
      <c r="K131" s="76"/>
      <c r="L131" s="76"/>
      <c r="M131" s="152"/>
      <c r="S131" s="152"/>
      <c r="T131" s="76"/>
      <c r="U131" s="76"/>
      <c r="V131" s="76"/>
      <c r="W131" s="76"/>
      <c r="X131" s="76"/>
    </row>
    <row r="132" spans="1:24">
      <c r="A132" s="76" t="s">
        <v>438</v>
      </c>
      <c r="B132" s="80">
        <f t="shared" ref="B132:F132" si="65">AVERAGE(H132,N132,T132)/5</f>
        <v>0.2</v>
      </c>
      <c r="C132" s="80">
        <f t="shared" si="65"/>
        <v>1</v>
      </c>
      <c r="D132" s="80">
        <f t="shared" si="65"/>
        <v>0.6</v>
      </c>
      <c r="E132" s="80">
        <f t="shared" si="65"/>
        <v>0.7</v>
      </c>
      <c r="F132" s="80">
        <f t="shared" si="65"/>
        <v>0.3</v>
      </c>
      <c r="G132" s="152"/>
      <c r="H132" s="156">
        <v>1</v>
      </c>
      <c r="I132" s="156">
        <v>5</v>
      </c>
      <c r="J132" s="156">
        <v>3</v>
      </c>
      <c r="K132" s="156">
        <v>4</v>
      </c>
      <c r="L132" s="156">
        <v>1</v>
      </c>
      <c r="M132" s="152"/>
      <c r="N132" s="88">
        <v>1</v>
      </c>
      <c r="O132" s="88">
        <v>5</v>
      </c>
      <c r="P132" s="88">
        <v>3</v>
      </c>
      <c r="Q132" s="88">
        <v>3</v>
      </c>
      <c r="R132" s="88">
        <v>2</v>
      </c>
      <c r="S132" s="152"/>
      <c r="T132" s="156"/>
      <c r="U132" s="156"/>
      <c r="V132" s="156"/>
      <c r="W132" s="156"/>
      <c r="X132" s="156"/>
    </row>
    <row r="133" spans="1:24">
      <c r="A133" s="76"/>
      <c r="B133" s="76"/>
      <c r="C133" s="76"/>
      <c r="D133" s="76"/>
      <c r="E133" s="76"/>
      <c r="F133" s="76"/>
      <c r="G133" s="152"/>
      <c r="H133" s="76"/>
      <c r="I133" s="76"/>
      <c r="J133" s="76"/>
      <c r="K133" s="76"/>
      <c r="L133" s="76"/>
      <c r="M133" s="152"/>
      <c r="S133" s="152"/>
      <c r="T133" s="76"/>
      <c r="U133" s="76"/>
      <c r="V133" s="76"/>
      <c r="W133" s="76"/>
      <c r="X133" s="76"/>
    </row>
    <row r="134" spans="1:24">
      <c r="A134" s="76" t="s">
        <v>439</v>
      </c>
      <c r="B134" s="80">
        <f t="shared" ref="B134:F134" si="66">AVERAGE(H134,N134,T134)/5</f>
        <v>0</v>
      </c>
      <c r="C134" s="80">
        <f t="shared" si="66"/>
        <v>0.7</v>
      </c>
      <c r="D134" s="80">
        <f t="shared" si="66"/>
        <v>0</v>
      </c>
      <c r="E134" s="80">
        <f t="shared" si="66"/>
        <v>0.7</v>
      </c>
      <c r="F134" s="80">
        <f t="shared" si="66"/>
        <v>0.1</v>
      </c>
      <c r="G134" s="152"/>
      <c r="H134" s="156">
        <v>0</v>
      </c>
      <c r="I134" s="156">
        <v>4</v>
      </c>
      <c r="J134" s="156">
        <v>0</v>
      </c>
      <c r="K134" s="156">
        <v>4</v>
      </c>
      <c r="L134" s="156">
        <v>1</v>
      </c>
      <c r="M134" s="152"/>
      <c r="N134" s="88">
        <v>0</v>
      </c>
      <c r="O134" s="88">
        <v>3</v>
      </c>
      <c r="P134" s="88">
        <v>0</v>
      </c>
      <c r="Q134" s="88">
        <v>3</v>
      </c>
      <c r="R134" s="88">
        <v>0</v>
      </c>
      <c r="S134" s="152"/>
      <c r="T134" s="156"/>
      <c r="U134" s="156"/>
      <c r="V134" s="156"/>
      <c r="W134" s="156"/>
      <c r="X134" s="156"/>
    </row>
    <row r="135" spans="1:24">
      <c r="A135" s="76"/>
      <c r="B135" s="76"/>
      <c r="C135" s="76"/>
      <c r="D135" s="76"/>
      <c r="E135" s="76"/>
      <c r="F135" s="76"/>
      <c r="G135" s="152"/>
      <c r="H135" s="76"/>
      <c r="I135" s="76"/>
      <c r="J135" s="76"/>
      <c r="K135" s="76"/>
      <c r="L135" s="76"/>
      <c r="M135" s="152"/>
      <c r="S135" s="152"/>
      <c r="T135" s="76"/>
      <c r="U135" s="76"/>
      <c r="V135" s="76"/>
      <c r="W135" s="76"/>
      <c r="X135" s="76"/>
    </row>
    <row r="136" spans="1:24">
      <c r="A136" s="76" t="s">
        <v>440</v>
      </c>
      <c r="B136" s="80">
        <f t="shared" ref="B136:F136" si="67">AVERAGE(H136,N136,T136)/5</f>
        <v>0</v>
      </c>
      <c r="C136" s="80">
        <f t="shared" si="67"/>
        <v>0.8</v>
      </c>
      <c r="D136" s="80">
        <f t="shared" si="67"/>
        <v>0.2</v>
      </c>
      <c r="E136" s="80">
        <f t="shared" si="67"/>
        <v>0.7</v>
      </c>
      <c r="F136" s="80">
        <f t="shared" si="67"/>
        <v>0.2</v>
      </c>
      <c r="G136" s="152"/>
      <c r="H136" s="156">
        <v>0</v>
      </c>
      <c r="I136" s="156">
        <v>4</v>
      </c>
      <c r="J136" s="156">
        <v>0</v>
      </c>
      <c r="K136" s="156">
        <v>4</v>
      </c>
      <c r="L136" s="156">
        <v>1</v>
      </c>
      <c r="M136" s="152"/>
      <c r="N136" s="88">
        <v>0</v>
      </c>
      <c r="O136" s="88">
        <v>4</v>
      </c>
      <c r="P136" s="88">
        <v>2</v>
      </c>
      <c r="Q136" s="88">
        <v>3</v>
      </c>
      <c r="R136" s="88">
        <v>1</v>
      </c>
      <c r="S136" s="152"/>
      <c r="T136" s="156"/>
      <c r="U136" s="156"/>
      <c r="V136" s="156"/>
      <c r="W136" s="156"/>
      <c r="X136" s="156"/>
    </row>
    <row r="137" spans="1:24">
      <c r="A137" s="82" t="s">
        <v>1297</v>
      </c>
      <c r="B137" s="83">
        <f t="shared" ref="B137:F137" si="68">AVERAGE(B122:B136)</f>
        <v>0.21249999999999999</v>
      </c>
      <c r="C137" s="83">
        <f t="shared" si="68"/>
        <v>0.83750000000000002</v>
      </c>
      <c r="D137" s="83">
        <f t="shared" si="68"/>
        <v>0.5</v>
      </c>
      <c r="E137" s="83">
        <f t="shared" si="68"/>
        <v>0.78750000000000009</v>
      </c>
      <c r="F137" s="83">
        <f t="shared" si="68"/>
        <v>0.27500000000000002</v>
      </c>
      <c r="G137" s="152"/>
      <c r="H137" s="83">
        <f t="shared" ref="H137:L137" si="69">AVERAGE(H122:H136)</f>
        <v>1</v>
      </c>
      <c r="I137" s="83">
        <f t="shared" si="69"/>
        <v>4.25</v>
      </c>
      <c r="J137" s="83">
        <f t="shared" si="69"/>
        <v>2.5</v>
      </c>
      <c r="K137" s="83">
        <f t="shared" si="69"/>
        <v>4.125</v>
      </c>
      <c r="L137" s="83">
        <f t="shared" si="69"/>
        <v>1.25</v>
      </c>
      <c r="M137" s="152"/>
      <c r="N137" s="83">
        <f t="shared" ref="N137:R137" si="70">AVERAGE(N122:N136)</f>
        <v>1.125</v>
      </c>
      <c r="O137" s="83">
        <f t="shared" si="70"/>
        <v>4.125</v>
      </c>
      <c r="P137" s="83">
        <f t="shared" si="70"/>
        <v>2.5</v>
      </c>
      <c r="Q137" s="83">
        <f t="shared" si="70"/>
        <v>3.75</v>
      </c>
      <c r="R137" s="83">
        <f t="shared" si="70"/>
        <v>1.5</v>
      </c>
      <c r="S137" s="152"/>
      <c r="T137" s="83" t="e">
        <f t="shared" ref="T137:X137" si="71">AVERAGE(T122:T136)</f>
        <v>#DIV/0!</v>
      </c>
      <c r="U137" s="83" t="e">
        <f t="shared" si="71"/>
        <v>#DIV/0!</v>
      </c>
      <c r="V137" s="83" t="e">
        <f t="shared" si="71"/>
        <v>#DIV/0!</v>
      </c>
      <c r="W137" s="83" t="e">
        <f t="shared" si="71"/>
        <v>#DIV/0!</v>
      </c>
      <c r="X137" s="83" t="e">
        <f t="shared" si="71"/>
        <v>#DIV/0!</v>
      </c>
    </row>
    <row r="138" spans="1:24">
      <c r="A138" s="76"/>
      <c r="B138" s="85"/>
      <c r="C138" s="85"/>
      <c r="D138" s="85"/>
      <c r="E138" s="85"/>
      <c r="F138" s="85"/>
      <c r="G138" s="152"/>
      <c r="H138" s="76"/>
      <c r="I138" s="76"/>
      <c r="J138" s="76"/>
      <c r="K138" s="76"/>
      <c r="L138" s="76"/>
      <c r="M138" s="152"/>
      <c r="N138" s="76"/>
      <c r="O138" s="76"/>
      <c r="P138" s="76"/>
      <c r="Q138" s="76"/>
      <c r="R138" s="76"/>
      <c r="S138" s="152"/>
      <c r="T138" s="76"/>
      <c r="U138" s="76"/>
      <c r="V138" s="76"/>
      <c r="W138" s="76"/>
      <c r="X138" s="76"/>
    </row>
    <row r="139" spans="1:24">
      <c r="A139" s="76"/>
      <c r="B139" s="85"/>
      <c r="C139" s="85"/>
      <c r="D139" s="85"/>
      <c r="E139" s="85"/>
      <c r="F139" s="85"/>
      <c r="G139" s="152"/>
      <c r="H139" s="76"/>
      <c r="I139" s="76"/>
      <c r="J139" s="76"/>
      <c r="K139" s="76"/>
      <c r="L139" s="76"/>
      <c r="M139" s="152"/>
      <c r="N139" s="76"/>
      <c r="O139" s="76"/>
      <c r="P139" s="76"/>
      <c r="Q139" s="76"/>
      <c r="R139" s="76"/>
      <c r="S139" s="152"/>
      <c r="T139" s="76"/>
      <c r="U139" s="76"/>
      <c r="V139" s="76"/>
      <c r="W139" s="76"/>
      <c r="X139" s="76"/>
    </row>
    <row r="140" spans="1:24">
      <c r="A140" s="84" t="s">
        <v>11</v>
      </c>
      <c r="B140" s="85"/>
      <c r="C140" s="85"/>
      <c r="D140" s="85"/>
      <c r="E140" s="85"/>
      <c r="F140" s="85"/>
      <c r="G140" s="152"/>
      <c r="H140" s="76"/>
      <c r="I140" s="76"/>
      <c r="J140" s="76"/>
      <c r="K140" s="76"/>
      <c r="L140" s="76"/>
      <c r="M140" s="152"/>
      <c r="N140" s="76"/>
      <c r="O140" s="76"/>
      <c r="P140" s="76"/>
      <c r="Q140" s="76"/>
      <c r="R140" s="76"/>
      <c r="S140" s="152"/>
      <c r="T140" s="76"/>
      <c r="U140" s="76"/>
      <c r="V140" s="76"/>
      <c r="W140" s="76"/>
      <c r="X140" s="76"/>
    </row>
    <row r="141" spans="1:24">
      <c r="A141" s="76"/>
      <c r="B141" s="76"/>
      <c r="C141" s="76"/>
      <c r="D141" s="76"/>
      <c r="E141" s="76"/>
      <c r="F141" s="76"/>
      <c r="G141" s="152"/>
      <c r="H141" s="76"/>
      <c r="I141" s="76"/>
      <c r="J141" s="76"/>
      <c r="K141" s="76"/>
      <c r="L141" s="76"/>
      <c r="M141" s="152"/>
      <c r="N141" s="76"/>
      <c r="O141" s="76"/>
      <c r="P141" s="76"/>
      <c r="Q141" s="76"/>
      <c r="R141" s="76"/>
      <c r="S141" s="152"/>
      <c r="T141" s="76"/>
      <c r="U141" s="76"/>
      <c r="V141" s="76"/>
      <c r="W141" s="76"/>
      <c r="X141" s="76"/>
    </row>
    <row r="142" spans="1:24">
      <c r="A142" s="76" t="s">
        <v>270</v>
      </c>
      <c r="B142" s="80">
        <f t="shared" ref="B142:F142" si="72">AVERAGE(H142,N142,T142)/5</f>
        <v>0.5</v>
      </c>
      <c r="C142" s="80">
        <f t="shared" si="72"/>
        <v>1</v>
      </c>
      <c r="D142" s="80">
        <f t="shared" si="72"/>
        <v>0.6</v>
      </c>
      <c r="E142" s="80">
        <f t="shared" si="72"/>
        <v>1</v>
      </c>
      <c r="F142" s="80">
        <f t="shared" si="72"/>
        <v>0.9</v>
      </c>
      <c r="G142" s="152"/>
      <c r="H142" s="156">
        <v>2</v>
      </c>
      <c r="I142" s="156">
        <v>5</v>
      </c>
      <c r="J142" s="156">
        <v>3</v>
      </c>
      <c r="K142" s="156">
        <v>5</v>
      </c>
      <c r="L142" s="156">
        <v>4</v>
      </c>
      <c r="M142" s="152"/>
      <c r="N142" s="88">
        <v>3</v>
      </c>
      <c r="O142" s="88">
        <v>5</v>
      </c>
      <c r="P142" s="88">
        <v>3</v>
      </c>
      <c r="Q142" s="88">
        <v>5</v>
      </c>
      <c r="R142" s="88">
        <v>5</v>
      </c>
      <c r="S142" s="152"/>
      <c r="T142" s="156"/>
      <c r="U142" s="156"/>
      <c r="V142" s="156"/>
      <c r="W142" s="156"/>
      <c r="X142" s="156"/>
    </row>
    <row r="143" spans="1:24">
      <c r="A143" s="76"/>
      <c r="B143" s="76"/>
      <c r="C143" s="76"/>
      <c r="D143" s="76"/>
      <c r="E143" s="76"/>
      <c r="F143" s="76"/>
      <c r="G143" s="152"/>
      <c r="H143" s="76"/>
      <c r="I143" s="76"/>
      <c r="J143" s="76"/>
      <c r="K143" s="76"/>
      <c r="L143" s="76"/>
      <c r="M143" s="152"/>
      <c r="S143" s="152"/>
      <c r="T143" s="76"/>
      <c r="U143" s="76"/>
      <c r="V143" s="76"/>
      <c r="W143" s="76"/>
      <c r="X143" s="76"/>
    </row>
    <row r="144" spans="1:24">
      <c r="A144" s="76" t="s">
        <v>351</v>
      </c>
      <c r="B144" s="80">
        <f t="shared" ref="B144:F144" si="73">AVERAGE(H144,N144,T144)/5</f>
        <v>1</v>
      </c>
      <c r="C144" s="80">
        <f t="shared" si="73"/>
        <v>0.9</v>
      </c>
      <c r="D144" s="80">
        <f t="shared" si="73"/>
        <v>0.8</v>
      </c>
      <c r="E144" s="80">
        <f t="shared" si="73"/>
        <v>0.8</v>
      </c>
      <c r="F144" s="80">
        <f t="shared" si="73"/>
        <v>0.8</v>
      </c>
      <c r="G144" s="152"/>
      <c r="H144" s="156">
        <v>5</v>
      </c>
      <c r="I144" s="156">
        <v>4</v>
      </c>
      <c r="J144" s="156">
        <v>4</v>
      </c>
      <c r="K144" s="156">
        <v>3</v>
      </c>
      <c r="L144" s="156">
        <v>3</v>
      </c>
      <c r="M144" s="152"/>
      <c r="N144" s="88">
        <v>5</v>
      </c>
      <c r="O144" s="88">
        <v>5</v>
      </c>
      <c r="P144" s="88">
        <v>4</v>
      </c>
      <c r="Q144" s="88">
        <v>5</v>
      </c>
      <c r="R144" s="88">
        <v>5</v>
      </c>
      <c r="S144" s="152"/>
      <c r="T144" s="156"/>
      <c r="U144" s="156"/>
      <c r="V144" s="156"/>
      <c r="W144" s="156"/>
      <c r="X144" s="156"/>
    </row>
    <row r="145" spans="1:24">
      <c r="A145" s="76"/>
      <c r="B145" s="76"/>
      <c r="C145" s="76"/>
      <c r="D145" s="76"/>
      <c r="E145" s="76"/>
      <c r="F145" s="76"/>
      <c r="G145" s="152"/>
      <c r="H145" s="76"/>
      <c r="I145" s="76"/>
      <c r="J145" s="76"/>
      <c r="K145" s="76"/>
      <c r="L145" s="76"/>
      <c r="M145" s="152"/>
      <c r="S145" s="152"/>
      <c r="T145" s="76"/>
      <c r="U145" s="76"/>
      <c r="V145" s="76"/>
      <c r="W145" s="76"/>
      <c r="X145" s="76"/>
    </row>
    <row r="146" spans="1:24">
      <c r="A146" s="76" t="s">
        <v>47</v>
      </c>
      <c r="B146" s="80">
        <f t="shared" ref="B146:F146" si="74">AVERAGE(H146,N146,T146)/5</f>
        <v>0</v>
      </c>
      <c r="C146" s="80">
        <f t="shared" si="74"/>
        <v>0.2</v>
      </c>
      <c r="D146" s="80">
        <f t="shared" si="74"/>
        <v>0</v>
      </c>
      <c r="E146" s="80">
        <f t="shared" si="74"/>
        <v>0.7</v>
      </c>
      <c r="F146" s="80">
        <f t="shared" si="74"/>
        <v>1</v>
      </c>
      <c r="G146" s="152"/>
      <c r="H146" s="156">
        <v>0</v>
      </c>
      <c r="I146" s="156">
        <v>2</v>
      </c>
      <c r="J146" s="156">
        <v>0</v>
      </c>
      <c r="K146" s="156">
        <v>4</v>
      </c>
      <c r="L146" s="156">
        <v>5</v>
      </c>
      <c r="M146" s="152"/>
      <c r="N146" s="88">
        <v>0</v>
      </c>
      <c r="O146" s="88">
        <v>0</v>
      </c>
      <c r="P146" s="88">
        <v>0</v>
      </c>
      <c r="Q146" s="88">
        <v>3</v>
      </c>
      <c r="R146" s="88">
        <v>5</v>
      </c>
      <c r="S146" s="152"/>
      <c r="T146" s="156"/>
      <c r="U146" s="156"/>
      <c r="V146" s="156"/>
      <c r="W146" s="156"/>
      <c r="X146" s="156"/>
    </row>
    <row r="147" spans="1:24">
      <c r="A147" s="76"/>
      <c r="B147" s="76"/>
      <c r="C147" s="76"/>
      <c r="D147" s="76"/>
      <c r="E147" s="76"/>
      <c r="F147" s="76"/>
      <c r="G147" s="152"/>
      <c r="H147" s="76"/>
      <c r="I147" s="76"/>
      <c r="J147" s="76"/>
      <c r="K147" s="76"/>
      <c r="L147" s="76"/>
      <c r="M147" s="152"/>
      <c r="S147" s="152"/>
      <c r="T147" s="76"/>
      <c r="U147" s="76"/>
      <c r="V147" s="76"/>
      <c r="W147" s="76"/>
      <c r="X147" s="76"/>
    </row>
    <row r="148" spans="1:24">
      <c r="A148" s="76" t="s">
        <v>441</v>
      </c>
      <c r="B148" s="80">
        <f t="shared" ref="B148:F148" si="75">AVERAGE(H148,N148,T148)/5</f>
        <v>0.3</v>
      </c>
      <c r="C148" s="80">
        <f t="shared" si="75"/>
        <v>0.7</v>
      </c>
      <c r="D148" s="80">
        <f t="shared" si="75"/>
        <v>0.5</v>
      </c>
      <c r="E148" s="80">
        <f t="shared" si="75"/>
        <v>0.3</v>
      </c>
      <c r="F148" s="80">
        <f t="shared" si="75"/>
        <v>0.1</v>
      </c>
      <c r="G148" s="152"/>
      <c r="H148" s="156">
        <v>1</v>
      </c>
      <c r="I148" s="156">
        <v>3</v>
      </c>
      <c r="J148" s="156">
        <v>2</v>
      </c>
      <c r="K148" s="156">
        <v>3</v>
      </c>
      <c r="L148" s="156">
        <v>1</v>
      </c>
      <c r="M148" s="152"/>
      <c r="N148" s="88">
        <v>2</v>
      </c>
      <c r="O148" s="88">
        <v>4</v>
      </c>
      <c r="P148" s="88">
        <v>3</v>
      </c>
      <c r="Q148" s="88">
        <v>0</v>
      </c>
      <c r="R148" s="88">
        <v>0</v>
      </c>
      <c r="S148" s="152"/>
      <c r="T148" s="156"/>
      <c r="U148" s="156"/>
      <c r="V148" s="156"/>
      <c r="W148" s="156"/>
      <c r="X148" s="156"/>
    </row>
    <row r="149" spans="1:24">
      <c r="A149" s="76"/>
      <c r="B149" s="76"/>
      <c r="C149" s="76"/>
      <c r="D149" s="76"/>
      <c r="E149" s="76"/>
      <c r="F149" s="76"/>
      <c r="G149" s="152"/>
      <c r="H149" s="76"/>
      <c r="I149" s="76"/>
      <c r="J149" s="76"/>
      <c r="K149" s="76"/>
      <c r="L149" s="76"/>
      <c r="M149" s="152"/>
      <c r="S149" s="152"/>
      <c r="T149" s="76"/>
      <c r="U149" s="76"/>
      <c r="V149" s="76"/>
      <c r="W149" s="76"/>
      <c r="X149" s="76"/>
    </row>
    <row r="150" spans="1:24">
      <c r="A150" s="76" t="s">
        <v>353</v>
      </c>
      <c r="B150" s="80">
        <f t="shared" ref="B150:F150" si="76">AVERAGE(H150,N150,T150)/5</f>
        <v>0</v>
      </c>
      <c r="C150" s="80">
        <f t="shared" si="76"/>
        <v>0.5</v>
      </c>
      <c r="D150" s="80">
        <f t="shared" si="76"/>
        <v>0.3</v>
      </c>
      <c r="E150" s="80">
        <f t="shared" si="76"/>
        <v>0.2</v>
      </c>
      <c r="F150" s="80">
        <f t="shared" si="76"/>
        <v>0.4</v>
      </c>
      <c r="G150" s="152"/>
      <c r="H150" s="156">
        <v>0</v>
      </c>
      <c r="I150" s="156">
        <v>2</v>
      </c>
      <c r="J150" s="156">
        <v>1</v>
      </c>
      <c r="K150" s="156">
        <v>1</v>
      </c>
      <c r="L150" s="156">
        <v>1</v>
      </c>
      <c r="M150" s="152"/>
      <c r="N150" s="88">
        <v>0</v>
      </c>
      <c r="O150" s="88">
        <v>3</v>
      </c>
      <c r="P150" s="88">
        <v>2</v>
      </c>
      <c r="Q150" s="88">
        <v>1</v>
      </c>
      <c r="R150" s="88">
        <v>3</v>
      </c>
      <c r="S150" s="152"/>
      <c r="T150" s="156"/>
      <c r="U150" s="156"/>
      <c r="V150" s="156"/>
      <c r="W150" s="156"/>
      <c r="X150" s="156"/>
    </row>
    <row r="151" spans="1:24">
      <c r="A151" s="76"/>
      <c r="B151" s="76"/>
      <c r="C151" s="76"/>
      <c r="D151" s="76"/>
      <c r="E151" s="76"/>
      <c r="F151" s="76"/>
      <c r="G151" s="152"/>
      <c r="H151" s="76"/>
      <c r="I151" s="76"/>
      <c r="J151" s="76"/>
      <c r="K151" s="76"/>
      <c r="L151" s="76"/>
      <c r="M151" s="152"/>
      <c r="S151" s="152"/>
      <c r="T151" s="76"/>
      <c r="U151" s="76"/>
      <c r="V151" s="76"/>
      <c r="W151" s="76"/>
      <c r="X151" s="76"/>
    </row>
    <row r="152" spans="1:24">
      <c r="A152" s="76" t="s">
        <v>354</v>
      </c>
      <c r="B152" s="80">
        <f t="shared" ref="B152:F152" si="77">AVERAGE(H152,N152,T152)/5</f>
        <v>0</v>
      </c>
      <c r="C152" s="80">
        <f t="shared" si="77"/>
        <v>0</v>
      </c>
      <c r="D152" s="80">
        <f t="shared" si="77"/>
        <v>0</v>
      </c>
      <c r="E152" s="80">
        <f t="shared" si="77"/>
        <v>0</v>
      </c>
      <c r="F152" s="80">
        <f t="shared" si="77"/>
        <v>0.1</v>
      </c>
      <c r="G152" s="152"/>
      <c r="H152" s="156">
        <v>0</v>
      </c>
      <c r="I152" s="156">
        <v>0</v>
      </c>
      <c r="J152" s="156">
        <v>0</v>
      </c>
      <c r="K152" s="156">
        <v>0</v>
      </c>
      <c r="L152" s="156">
        <v>0</v>
      </c>
      <c r="M152" s="152"/>
      <c r="N152" s="88">
        <v>0</v>
      </c>
      <c r="O152" s="88">
        <v>0</v>
      </c>
      <c r="P152" s="88">
        <v>0</v>
      </c>
      <c r="Q152" s="88">
        <v>0</v>
      </c>
      <c r="R152" s="88">
        <v>1</v>
      </c>
      <c r="S152" s="152"/>
      <c r="T152" s="156"/>
      <c r="U152" s="156"/>
      <c r="V152" s="156"/>
      <c r="W152" s="156"/>
      <c r="X152" s="156"/>
    </row>
    <row r="153" spans="1:24">
      <c r="A153" s="76"/>
      <c r="B153" s="76"/>
      <c r="C153" s="76"/>
      <c r="D153" s="76"/>
      <c r="E153" s="76"/>
      <c r="F153" s="76"/>
      <c r="G153" s="152"/>
      <c r="H153" s="76"/>
      <c r="I153" s="76"/>
      <c r="J153" s="76"/>
      <c r="K153" s="76"/>
      <c r="L153" s="76"/>
      <c r="M153" s="152"/>
      <c r="S153" s="152"/>
      <c r="T153" s="76"/>
      <c r="U153" s="76"/>
      <c r="V153" s="76"/>
      <c r="W153" s="76"/>
      <c r="X153" s="76"/>
    </row>
    <row r="154" spans="1:24">
      <c r="A154" s="76" t="s">
        <v>355</v>
      </c>
      <c r="B154" s="80">
        <f t="shared" ref="B154:F154" si="78">AVERAGE(H154,N154,T154)/5</f>
        <v>0.3</v>
      </c>
      <c r="C154" s="80">
        <f t="shared" si="78"/>
        <v>0.5</v>
      </c>
      <c r="D154" s="80">
        <f t="shared" si="78"/>
        <v>0.4</v>
      </c>
      <c r="E154" s="80">
        <f t="shared" si="78"/>
        <v>0.4</v>
      </c>
      <c r="F154" s="80">
        <f t="shared" si="78"/>
        <v>0.1</v>
      </c>
      <c r="G154" s="152"/>
      <c r="H154" s="156">
        <v>1</v>
      </c>
      <c r="I154" s="156">
        <v>2</v>
      </c>
      <c r="J154" s="156">
        <v>2</v>
      </c>
      <c r="K154" s="156">
        <v>2</v>
      </c>
      <c r="L154" s="156">
        <v>1</v>
      </c>
      <c r="M154" s="152"/>
      <c r="N154" s="88">
        <v>2</v>
      </c>
      <c r="O154" s="88">
        <v>3</v>
      </c>
      <c r="P154" s="88">
        <v>2</v>
      </c>
      <c r="Q154" s="88">
        <v>2</v>
      </c>
      <c r="R154" s="88">
        <v>0</v>
      </c>
      <c r="S154" s="152"/>
      <c r="T154" s="156"/>
      <c r="U154" s="156"/>
      <c r="V154" s="156"/>
      <c r="W154" s="156"/>
      <c r="X154" s="156"/>
    </row>
    <row r="155" spans="1:24">
      <c r="A155" s="76"/>
      <c r="B155" s="76"/>
      <c r="C155" s="76"/>
      <c r="D155" s="76"/>
      <c r="E155" s="76"/>
      <c r="F155" s="76"/>
      <c r="G155" s="152"/>
      <c r="H155" s="76"/>
      <c r="I155" s="76"/>
      <c r="J155" s="76"/>
      <c r="K155" s="76"/>
      <c r="L155" s="76"/>
      <c r="M155" s="152"/>
      <c r="S155" s="152"/>
      <c r="T155" s="76"/>
      <c r="U155" s="76"/>
      <c r="V155" s="76"/>
      <c r="W155" s="76"/>
      <c r="X155" s="76"/>
    </row>
    <row r="156" spans="1:24">
      <c r="A156" s="76" t="s">
        <v>357</v>
      </c>
      <c r="B156" s="80">
        <f t="shared" ref="B156:F156" si="79">AVERAGE(H156,N156,T156)/5</f>
        <v>0</v>
      </c>
      <c r="C156" s="80">
        <f t="shared" si="79"/>
        <v>0.6</v>
      </c>
      <c r="D156" s="80">
        <f t="shared" si="79"/>
        <v>0.5</v>
      </c>
      <c r="E156" s="80">
        <f t="shared" si="79"/>
        <v>0.4</v>
      </c>
      <c r="F156" s="80">
        <f t="shared" si="79"/>
        <v>0</v>
      </c>
      <c r="G156" s="152"/>
      <c r="H156" s="156">
        <v>0</v>
      </c>
      <c r="I156" s="156">
        <v>3</v>
      </c>
      <c r="J156" s="156">
        <v>3</v>
      </c>
      <c r="K156" s="156">
        <v>2</v>
      </c>
      <c r="L156" s="156">
        <v>0</v>
      </c>
      <c r="M156" s="152"/>
      <c r="N156" s="88">
        <v>0</v>
      </c>
      <c r="O156" s="88">
        <v>3</v>
      </c>
      <c r="P156" s="88">
        <v>2</v>
      </c>
      <c r="Q156" s="88">
        <v>2</v>
      </c>
      <c r="R156" s="88">
        <v>0</v>
      </c>
      <c r="S156" s="152"/>
      <c r="T156" s="156"/>
      <c r="U156" s="156"/>
      <c r="V156" s="156"/>
      <c r="W156" s="156"/>
      <c r="X156" s="156"/>
    </row>
    <row r="157" spans="1:24">
      <c r="A157" s="76"/>
      <c r="B157" s="76"/>
      <c r="C157" s="76"/>
      <c r="D157" s="76"/>
      <c r="E157" s="76"/>
      <c r="F157" s="76"/>
      <c r="G157" s="152"/>
      <c r="H157" s="76"/>
      <c r="I157" s="76"/>
      <c r="J157" s="76"/>
      <c r="K157" s="76"/>
      <c r="L157" s="76"/>
      <c r="M157" s="152"/>
      <c r="S157" s="152"/>
      <c r="T157" s="76"/>
      <c r="U157" s="76"/>
      <c r="V157" s="76"/>
      <c r="W157" s="76"/>
      <c r="X157" s="76"/>
    </row>
    <row r="158" spans="1:24">
      <c r="A158" s="76" t="s">
        <v>112</v>
      </c>
      <c r="B158" s="80">
        <f t="shared" ref="B158:F158" si="80">AVERAGE(H158,N158,T158)/5</f>
        <v>0</v>
      </c>
      <c r="C158" s="80">
        <f t="shared" si="80"/>
        <v>0.3</v>
      </c>
      <c r="D158" s="80">
        <f t="shared" si="80"/>
        <v>0.2</v>
      </c>
      <c r="E158" s="80">
        <f t="shared" si="80"/>
        <v>0.2</v>
      </c>
      <c r="F158" s="80">
        <f t="shared" si="80"/>
        <v>0</v>
      </c>
      <c r="G158" s="152"/>
      <c r="H158" s="156">
        <v>0</v>
      </c>
      <c r="I158" s="156">
        <v>2</v>
      </c>
      <c r="J158" s="156">
        <v>1</v>
      </c>
      <c r="K158" s="156">
        <v>1</v>
      </c>
      <c r="L158" s="156">
        <v>0</v>
      </c>
      <c r="M158" s="152"/>
      <c r="N158" s="88">
        <v>0</v>
      </c>
      <c r="O158" s="88">
        <v>1</v>
      </c>
      <c r="P158" s="88">
        <v>1</v>
      </c>
      <c r="Q158" s="88">
        <v>1</v>
      </c>
      <c r="R158" s="88">
        <v>0</v>
      </c>
      <c r="S158" s="152"/>
      <c r="T158" s="156"/>
      <c r="U158" s="156"/>
      <c r="V158" s="156"/>
      <c r="W158" s="156"/>
      <c r="X158" s="156"/>
    </row>
    <row r="159" spans="1:24">
      <c r="A159" s="76"/>
      <c r="B159" s="76"/>
      <c r="C159" s="76"/>
      <c r="D159" s="76"/>
      <c r="E159" s="76"/>
      <c r="F159" s="76"/>
      <c r="G159" s="152"/>
      <c r="H159" s="76"/>
      <c r="I159" s="76"/>
      <c r="J159" s="76"/>
      <c r="K159" s="76"/>
      <c r="L159" s="76"/>
      <c r="M159" s="152"/>
      <c r="S159" s="152"/>
      <c r="T159" s="76"/>
      <c r="U159" s="76"/>
      <c r="V159" s="76"/>
      <c r="W159" s="76"/>
      <c r="X159" s="76"/>
    </row>
    <row r="160" spans="1:24">
      <c r="A160" s="76" t="s">
        <v>114</v>
      </c>
      <c r="B160" s="80">
        <f t="shared" ref="B160:F160" si="81">AVERAGE(H160,N160,T160)/5</f>
        <v>0.1</v>
      </c>
      <c r="C160" s="80">
        <f t="shared" si="81"/>
        <v>0.7</v>
      </c>
      <c r="D160" s="80">
        <f t="shared" si="81"/>
        <v>0.5</v>
      </c>
      <c r="E160" s="80">
        <f t="shared" si="81"/>
        <v>0.9</v>
      </c>
      <c r="F160" s="80">
        <f t="shared" si="81"/>
        <v>0.1</v>
      </c>
      <c r="G160" s="152"/>
      <c r="H160" s="156">
        <v>1</v>
      </c>
      <c r="I160" s="156">
        <v>4</v>
      </c>
      <c r="J160" s="156">
        <v>3</v>
      </c>
      <c r="K160" s="156">
        <v>4</v>
      </c>
      <c r="L160" s="156">
        <v>1</v>
      </c>
      <c r="M160" s="152"/>
      <c r="N160" s="88">
        <v>0</v>
      </c>
      <c r="O160" s="88">
        <v>3</v>
      </c>
      <c r="P160" s="88">
        <v>2</v>
      </c>
      <c r="Q160" s="88">
        <v>5</v>
      </c>
      <c r="R160" s="88">
        <v>0</v>
      </c>
      <c r="S160" s="152"/>
      <c r="T160" s="156"/>
      <c r="U160" s="156"/>
      <c r="V160" s="156"/>
      <c r="W160" s="156"/>
      <c r="X160" s="156"/>
    </row>
    <row r="161" spans="1:24">
      <c r="A161" s="76"/>
      <c r="B161" s="76"/>
      <c r="C161" s="76"/>
      <c r="D161" s="76"/>
      <c r="E161" s="76"/>
      <c r="F161" s="76"/>
      <c r="G161" s="152"/>
      <c r="H161" s="156"/>
      <c r="I161" s="156"/>
      <c r="J161" s="156"/>
      <c r="K161" s="156"/>
      <c r="L161" s="156"/>
      <c r="M161" s="152"/>
      <c r="S161" s="152"/>
      <c r="T161" s="76"/>
      <c r="U161" s="76"/>
      <c r="V161" s="76"/>
      <c r="W161" s="76"/>
      <c r="X161" s="76"/>
    </row>
    <row r="162" spans="1:24">
      <c r="A162" s="76" t="s">
        <v>115</v>
      </c>
      <c r="B162" s="80">
        <f t="shared" ref="B162:F162" si="82">AVERAGE(H162,N162,T162)/5</f>
        <v>0</v>
      </c>
      <c r="C162" s="80">
        <f t="shared" si="82"/>
        <v>0.7</v>
      </c>
      <c r="D162" s="80">
        <f t="shared" si="82"/>
        <v>0.4</v>
      </c>
      <c r="E162" s="80">
        <f t="shared" si="82"/>
        <v>0.6</v>
      </c>
      <c r="F162" s="80">
        <f t="shared" si="82"/>
        <v>0.8</v>
      </c>
      <c r="G162" s="152"/>
      <c r="H162" s="156">
        <v>0</v>
      </c>
      <c r="I162" s="156">
        <v>3</v>
      </c>
      <c r="J162" s="156">
        <v>2</v>
      </c>
      <c r="K162" s="156">
        <v>2</v>
      </c>
      <c r="L162" s="156">
        <v>3</v>
      </c>
      <c r="M162" s="152"/>
      <c r="N162" s="88">
        <v>0</v>
      </c>
      <c r="O162" s="88">
        <v>4</v>
      </c>
      <c r="P162" s="88">
        <v>2</v>
      </c>
      <c r="Q162" s="88">
        <v>4</v>
      </c>
      <c r="R162" s="88">
        <v>5</v>
      </c>
      <c r="S162" s="152"/>
      <c r="T162" s="156"/>
      <c r="U162" s="156"/>
      <c r="V162" s="156"/>
      <c r="W162" s="156"/>
      <c r="X162" s="156"/>
    </row>
    <row r="163" spans="1:24">
      <c r="A163" s="76"/>
      <c r="B163" s="76"/>
      <c r="C163" s="76"/>
      <c r="D163" s="76"/>
      <c r="E163" s="76"/>
      <c r="F163" s="76"/>
      <c r="G163" s="152"/>
      <c r="H163" s="156"/>
      <c r="I163" s="156"/>
      <c r="J163" s="156"/>
      <c r="K163" s="156"/>
      <c r="L163" s="156"/>
      <c r="M163" s="152"/>
      <c r="S163" s="152"/>
      <c r="T163" s="76"/>
      <c r="U163" s="76"/>
      <c r="V163" s="76"/>
      <c r="W163" s="76"/>
      <c r="X163" s="76"/>
    </row>
    <row r="164" spans="1:24">
      <c r="A164" s="76" t="s">
        <v>116</v>
      </c>
      <c r="B164" s="80">
        <f t="shared" ref="B164:F164" si="83">AVERAGE(H164,N164,T164)/5</f>
        <v>0.3</v>
      </c>
      <c r="C164" s="80">
        <f t="shared" si="83"/>
        <v>0.9</v>
      </c>
      <c r="D164" s="80">
        <f t="shared" si="83"/>
        <v>0.8</v>
      </c>
      <c r="E164" s="80">
        <f t="shared" si="83"/>
        <v>1</v>
      </c>
      <c r="F164" s="80">
        <f t="shared" si="83"/>
        <v>1</v>
      </c>
      <c r="G164" s="152"/>
      <c r="H164" s="88">
        <v>1</v>
      </c>
      <c r="I164" s="88">
        <v>4</v>
      </c>
      <c r="J164" s="88">
        <v>4</v>
      </c>
      <c r="K164" s="88">
        <v>5</v>
      </c>
      <c r="L164" s="88">
        <v>5</v>
      </c>
      <c r="M164" s="152"/>
      <c r="N164" s="88">
        <v>2</v>
      </c>
      <c r="O164" s="88">
        <v>5</v>
      </c>
      <c r="P164" s="88">
        <v>4</v>
      </c>
      <c r="Q164" s="88">
        <v>5</v>
      </c>
      <c r="R164" s="88">
        <v>5</v>
      </c>
      <c r="S164" s="152"/>
      <c r="T164" s="156"/>
      <c r="U164" s="156"/>
      <c r="V164" s="156"/>
      <c r="W164" s="156"/>
      <c r="X164" s="156"/>
    </row>
    <row r="165" spans="1:24">
      <c r="A165" s="76"/>
      <c r="B165" s="76"/>
      <c r="C165" s="76"/>
      <c r="D165" s="76"/>
      <c r="E165" s="76"/>
      <c r="F165" s="76"/>
      <c r="G165" s="152"/>
      <c r="H165" s="156"/>
      <c r="I165" s="156"/>
      <c r="J165" s="156"/>
      <c r="K165" s="156"/>
      <c r="L165" s="156"/>
      <c r="M165" s="152"/>
      <c r="S165" s="152"/>
      <c r="T165" s="76"/>
      <c r="U165" s="76"/>
      <c r="V165" s="76"/>
      <c r="W165" s="76"/>
      <c r="X165" s="76"/>
    </row>
    <row r="166" spans="1:24">
      <c r="A166" s="76" t="s">
        <v>279</v>
      </c>
      <c r="B166" s="80">
        <f t="shared" ref="B166:F166" si="84">AVERAGE(H166,N166,T166)/5</f>
        <v>0.2</v>
      </c>
      <c r="C166" s="80">
        <f t="shared" si="84"/>
        <v>0.9</v>
      </c>
      <c r="D166" s="80">
        <f t="shared" si="84"/>
        <v>0.5</v>
      </c>
      <c r="E166" s="80">
        <f t="shared" si="84"/>
        <v>1</v>
      </c>
      <c r="F166" s="80">
        <f t="shared" si="84"/>
        <v>0.8</v>
      </c>
      <c r="G166" s="152"/>
      <c r="H166" s="156">
        <v>1</v>
      </c>
      <c r="I166" s="156">
        <v>5</v>
      </c>
      <c r="J166" s="156">
        <v>2</v>
      </c>
      <c r="K166" s="156">
        <v>5</v>
      </c>
      <c r="L166" s="156">
        <v>5</v>
      </c>
      <c r="M166" s="152"/>
      <c r="N166" s="88">
        <v>1</v>
      </c>
      <c r="O166" s="88">
        <v>4</v>
      </c>
      <c r="P166" s="88">
        <v>3</v>
      </c>
      <c r="Q166" s="88">
        <v>5</v>
      </c>
      <c r="R166" s="88">
        <v>3</v>
      </c>
      <c r="S166" s="152"/>
      <c r="T166" s="156"/>
      <c r="U166" s="156"/>
      <c r="V166" s="156"/>
      <c r="W166" s="156"/>
      <c r="X166" s="156"/>
    </row>
    <row r="167" spans="1:24">
      <c r="A167" s="82" t="s">
        <v>1297</v>
      </c>
      <c r="B167" s="83">
        <f t="shared" ref="B167:F167" si="85">AVERAGE(B141:B166)</f>
        <v>0.2076923076923077</v>
      </c>
      <c r="C167" s="83">
        <f t="shared" si="85"/>
        <v>0.60769230769230775</v>
      </c>
      <c r="D167" s="83">
        <f t="shared" si="85"/>
        <v>0.42307692307692307</v>
      </c>
      <c r="E167" s="83">
        <f t="shared" si="85"/>
        <v>0.57692307692307687</v>
      </c>
      <c r="F167" s="83">
        <f t="shared" si="85"/>
        <v>0.46923076923076928</v>
      </c>
      <c r="G167" s="152"/>
      <c r="H167" s="83">
        <f t="shared" ref="H167:L167" si="86">AVERAGE(H141:H166)</f>
        <v>0.92307692307692313</v>
      </c>
      <c r="I167" s="83">
        <f t="shared" si="86"/>
        <v>3</v>
      </c>
      <c r="J167" s="83">
        <f t="shared" si="86"/>
        <v>2.0769230769230771</v>
      </c>
      <c r="K167" s="83">
        <f t="shared" si="86"/>
        <v>2.8461538461538463</v>
      </c>
      <c r="L167" s="83">
        <f t="shared" si="86"/>
        <v>2.2307692307692308</v>
      </c>
      <c r="M167" s="152"/>
      <c r="N167" s="83">
        <f t="shared" ref="N167:R167" si="87">AVERAGE(N141:N166)</f>
        <v>1.1538461538461537</v>
      </c>
      <c r="O167" s="83">
        <f t="shared" si="87"/>
        <v>3.0769230769230771</v>
      </c>
      <c r="P167" s="83">
        <f t="shared" si="87"/>
        <v>2.1538461538461537</v>
      </c>
      <c r="Q167" s="83">
        <f t="shared" si="87"/>
        <v>2.9230769230769229</v>
      </c>
      <c r="R167" s="83">
        <f t="shared" si="87"/>
        <v>2.4615384615384617</v>
      </c>
      <c r="S167" s="152"/>
      <c r="T167" s="83" t="e">
        <f t="shared" ref="T167:X167" si="88">AVERAGE(T141:T166)</f>
        <v>#DIV/0!</v>
      </c>
      <c r="U167" s="83" t="e">
        <f t="shared" si="88"/>
        <v>#DIV/0!</v>
      </c>
      <c r="V167" s="83" t="e">
        <f t="shared" si="88"/>
        <v>#DIV/0!</v>
      </c>
      <c r="W167" s="83" t="e">
        <f t="shared" si="88"/>
        <v>#DIV/0!</v>
      </c>
      <c r="X167" s="83" t="e">
        <f t="shared" si="88"/>
        <v>#DIV/0!</v>
      </c>
    </row>
    <row r="168" spans="1:24">
      <c r="A168" s="76"/>
      <c r="B168" s="85"/>
      <c r="C168" s="85"/>
      <c r="D168" s="85"/>
      <c r="E168" s="85"/>
      <c r="F168" s="85"/>
      <c r="G168" s="152"/>
      <c r="H168" s="76"/>
      <c r="I168" s="76"/>
      <c r="J168" s="76"/>
      <c r="K168" s="76"/>
      <c r="L168" s="76"/>
      <c r="M168" s="152"/>
      <c r="N168" s="76"/>
      <c r="O168" s="76"/>
      <c r="P168" s="76"/>
      <c r="Q168" s="76"/>
      <c r="R168" s="76"/>
      <c r="S168" s="152"/>
      <c r="T168" s="76"/>
      <c r="U168" s="76"/>
      <c r="V168" s="76"/>
      <c r="W168" s="76"/>
      <c r="X168" s="76"/>
    </row>
    <row r="169" spans="1:24">
      <c r="A169" s="76"/>
      <c r="B169" s="85"/>
      <c r="C169" s="85"/>
      <c r="D169" s="85"/>
      <c r="E169" s="85"/>
      <c r="F169" s="85"/>
      <c r="G169" s="152"/>
      <c r="H169" s="76"/>
      <c r="I169" s="76"/>
      <c r="J169" s="76"/>
      <c r="K169" s="76"/>
      <c r="L169" s="76"/>
      <c r="M169" s="152"/>
      <c r="N169" s="76"/>
      <c r="O169" s="76"/>
      <c r="P169" s="76"/>
      <c r="Q169" s="76"/>
      <c r="R169" s="76"/>
      <c r="S169" s="152"/>
      <c r="T169" s="76"/>
      <c r="U169" s="76"/>
      <c r="V169" s="76"/>
      <c r="W169" s="76"/>
      <c r="X169" s="76"/>
    </row>
    <row r="170" spans="1:24">
      <c r="A170" s="84" t="s">
        <v>10</v>
      </c>
      <c r="B170" s="85"/>
      <c r="C170" s="85"/>
      <c r="D170" s="85"/>
      <c r="E170" s="85"/>
      <c r="F170" s="85"/>
      <c r="G170" s="152"/>
      <c r="H170" s="76"/>
      <c r="I170" s="76"/>
      <c r="J170" s="76"/>
      <c r="K170" s="76"/>
      <c r="L170" s="76"/>
      <c r="M170" s="152"/>
      <c r="N170" s="76"/>
      <c r="O170" s="76"/>
      <c r="P170" s="76"/>
      <c r="Q170" s="76"/>
      <c r="R170" s="76"/>
      <c r="S170" s="152"/>
      <c r="T170" s="76"/>
      <c r="U170" s="76"/>
      <c r="V170" s="76"/>
      <c r="W170" s="76"/>
      <c r="X170" s="76"/>
    </row>
    <row r="171" spans="1:24">
      <c r="A171" s="76"/>
      <c r="B171" s="76"/>
      <c r="C171" s="76"/>
      <c r="D171" s="76"/>
      <c r="E171" s="76"/>
      <c r="F171" s="76"/>
      <c r="G171" s="152"/>
      <c r="H171" s="76"/>
      <c r="I171" s="76"/>
      <c r="J171" s="76"/>
      <c r="K171" s="76"/>
      <c r="L171" s="76"/>
      <c r="M171" s="152"/>
      <c r="N171" s="76"/>
      <c r="O171" s="76"/>
      <c r="P171" s="76"/>
      <c r="Q171" s="76"/>
      <c r="R171" s="76"/>
      <c r="S171" s="152"/>
      <c r="T171" s="76"/>
      <c r="U171" s="76"/>
      <c r="V171" s="76"/>
      <c r="W171" s="76"/>
      <c r="X171" s="76"/>
    </row>
    <row r="172" spans="1:24">
      <c r="A172" s="76" t="s">
        <v>442</v>
      </c>
      <c r="B172" s="80">
        <f t="shared" ref="B172:F172" si="89">AVERAGE(H172,N172,T172)/5</f>
        <v>0.5</v>
      </c>
      <c r="C172" s="80">
        <f t="shared" si="89"/>
        <v>0.9</v>
      </c>
      <c r="D172" s="80">
        <f t="shared" si="89"/>
        <v>0.6</v>
      </c>
      <c r="E172" s="80">
        <f t="shared" si="89"/>
        <v>1</v>
      </c>
      <c r="F172" s="80">
        <f t="shared" si="89"/>
        <v>0.4</v>
      </c>
      <c r="G172" s="152"/>
      <c r="H172" s="156">
        <v>2</v>
      </c>
      <c r="I172" s="156">
        <v>4</v>
      </c>
      <c r="J172" s="156">
        <v>3</v>
      </c>
      <c r="K172" s="156">
        <v>5</v>
      </c>
      <c r="L172" s="156">
        <v>3</v>
      </c>
      <c r="M172" s="152"/>
      <c r="N172" s="88">
        <v>3</v>
      </c>
      <c r="O172" s="88">
        <v>5</v>
      </c>
      <c r="P172" s="88">
        <v>3</v>
      </c>
      <c r="Q172" s="88">
        <v>5</v>
      </c>
      <c r="R172" s="88">
        <v>1</v>
      </c>
      <c r="S172" s="152"/>
      <c r="T172" s="156"/>
      <c r="U172" s="156"/>
      <c r="V172" s="156"/>
      <c r="W172" s="156"/>
      <c r="X172" s="156"/>
    </row>
    <row r="173" spans="1:24">
      <c r="A173" s="76"/>
      <c r="B173" s="76"/>
      <c r="C173" s="76"/>
      <c r="D173" s="76"/>
      <c r="E173" s="76"/>
      <c r="F173" s="76"/>
      <c r="G173" s="152"/>
      <c r="H173" s="76"/>
      <c r="I173" s="76"/>
      <c r="J173" s="76"/>
      <c r="K173" s="76"/>
      <c r="L173" s="76"/>
      <c r="M173" s="152"/>
      <c r="S173" s="152"/>
      <c r="T173" s="76"/>
      <c r="U173" s="76"/>
      <c r="V173" s="76"/>
      <c r="W173" s="76"/>
      <c r="X173" s="76"/>
    </row>
    <row r="174" spans="1:24">
      <c r="A174" s="76" t="s">
        <v>443</v>
      </c>
      <c r="B174" s="80">
        <f t="shared" ref="B174:F174" si="90">AVERAGE(H174,N174,T174)/5</f>
        <v>0.1</v>
      </c>
      <c r="C174" s="80">
        <f t="shared" si="90"/>
        <v>0.9</v>
      </c>
      <c r="D174" s="80">
        <f t="shared" si="90"/>
        <v>0.5</v>
      </c>
      <c r="E174" s="80">
        <f t="shared" si="90"/>
        <v>0.7</v>
      </c>
      <c r="F174" s="80">
        <f t="shared" si="90"/>
        <v>0.5</v>
      </c>
      <c r="G174" s="152"/>
      <c r="H174" s="156">
        <v>1</v>
      </c>
      <c r="I174" s="156">
        <v>5</v>
      </c>
      <c r="J174" s="156">
        <v>3</v>
      </c>
      <c r="K174" s="156">
        <v>3</v>
      </c>
      <c r="L174" s="156">
        <v>2</v>
      </c>
      <c r="M174" s="152"/>
      <c r="N174" s="88">
        <v>0</v>
      </c>
      <c r="O174" s="88">
        <v>4</v>
      </c>
      <c r="P174" s="88">
        <v>2</v>
      </c>
      <c r="Q174" s="88">
        <v>4</v>
      </c>
      <c r="R174" s="88">
        <v>3</v>
      </c>
      <c r="S174" s="152"/>
      <c r="T174" s="156"/>
      <c r="U174" s="156"/>
      <c r="V174" s="156"/>
      <c r="W174" s="156"/>
      <c r="X174" s="156"/>
    </row>
    <row r="175" spans="1:24">
      <c r="A175" s="76"/>
      <c r="B175" s="76"/>
      <c r="C175" s="76"/>
      <c r="D175" s="76"/>
      <c r="E175" s="76"/>
      <c r="F175" s="76"/>
      <c r="G175" s="152"/>
      <c r="H175" s="76"/>
      <c r="I175" s="76"/>
      <c r="J175" s="76"/>
      <c r="K175" s="76"/>
      <c r="L175" s="76"/>
      <c r="M175" s="152"/>
      <c r="S175" s="152"/>
      <c r="T175" s="76"/>
      <c r="U175" s="76"/>
      <c r="V175" s="76"/>
      <c r="W175" s="76"/>
      <c r="X175" s="76"/>
    </row>
    <row r="176" spans="1:24">
      <c r="A176" s="76" t="s">
        <v>444</v>
      </c>
      <c r="B176" s="80">
        <f t="shared" ref="B176:F176" si="91">AVERAGE(H176,N176,T176)/5</f>
        <v>0.1</v>
      </c>
      <c r="C176" s="80">
        <f t="shared" si="91"/>
        <v>0.9</v>
      </c>
      <c r="D176" s="80">
        <f t="shared" si="91"/>
        <v>0.4</v>
      </c>
      <c r="E176" s="80">
        <f t="shared" si="91"/>
        <v>0.9</v>
      </c>
      <c r="F176" s="80">
        <f t="shared" si="91"/>
        <v>0.4</v>
      </c>
      <c r="G176" s="152"/>
      <c r="H176" s="156">
        <v>1</v>
      </c>
      <c r="I176" s="156">
        <v>5</v>
      </c>
      <c r="J176" s="156">
        <v>2</v>
      </c>
      <c r="K176" s="156">
        <v>4</v>
      </c>
      <c r="L176" s="156">
        <v>2</v>
      </c>
      <c r="M176" s="152"/>
      <c r="N176" s="88">
        <v>0</v>
      </c>
      <c r="O176" s="88">
        <v>4</v>
      </c>
      <c r="P176" s="88">
        <v>2</v>
      </c>
      <c r="Q176" s="88">
        <v>5</v>
      </c>
      <c r="R176" s="88">
        <v>2</v>
      </c>
      <c r="S176" s="152"/>
      <c r="T176" s="156"/>
      <c r="U176" s="156"/>
      <c r="V176" s="156"/>
      <c r="W176" s="156"/>
      <c r="X176" s="156"/>
    </row>
    <row r="177" spans="1:24">
      <c r="A177" s="76"/>
      <c r="B177" s="76"/>
      <c r="C177" s="76"/>
      <c r="D177" s="76"/>
      <c r="E177" s="76"/>
      <c r="F177" s="76"/>
      <c r="G177" s="152"/>
      <c r="H177" s="76"/>
      <c r="I177" s="76"/>
      <c r="J177" s="76"/>
      <c r="K177" s="76"/>
      <c r="L177" s="76"/>
      <c r="M177" s="152"/>
      <c r="S177" s="152"/>
      <c r="T177" s="76"/>
      <c r="U177" s="76"/>
      <c r="V177" s="76"/>
      <c r="W177" s="76"/>
      <c r="X177" s="76"/>
    </row>
    <row r="178" spans="1:24">
      <c r="A178" s="76" t="s">
        <v>445</v>
      </c>
      <c r="B178" s="80">
        <f t="shared" ref="B178:F178" si="92">AVERAGE(H178,N178,T178)/5</f>
        <v>0.5</v>
      </c>
      <c r="C178" s="80">
        <f t="shared" si="92"/>
        <v>1</v>
      </c>
      <c r="D178" s="80">
        <f t="shared" si="92"/>
        <v>0.6</v>
      </c>
      <c r="E178" s="80">
        <f t="shared" si="92"/>
        <v>1</v>
      </c>
      <c r="F178" s="80">
        <f t="shared" si="92"/>
        <v>0.3</v>
      </c>
      <c r="G178" s="152"/>
      <c r="H178" s="156">
        <v>2</v>
      </c>
      <c r="I178" s="156">
        <v>5</v>
      </c>
      <c r="J178" s="156">
        <v>3</v>
      </c>
      <c r="K178" s="156">
        <v>5</v>
      </c>
      <c r="L178" s="156">
        <v>2</v>
      </c>
      <c r="M178" s="152"/>
      <c r="N178" s="88">
        <v>3</v>
      </c>
      <c r="O178" s="88">
        <v>5</v>
      </c>
      <c r="P178" s="88">
        <v>3</v>
      </c>
      <c r="Q178" s="88">
        <v>5</v>
      </c>
      <c r="R178" s="88">
        <v>1</v>
      </c>
      <c r="S178" s="152"/>
      <c r="T178" s="156"/>
      <c r="U178" s="156"/>
      <c r="V178" s="156"/>
      <c r="W178" s="156"/>
      <c r="X178" s="156"/>
    </row>
    <row r="179" spans="1:24">
      <c r="A179" s="76"/>
      <c r="B179" s="76"/>
      <c r="C179" s="76"/>
      <c r="D179" s="76"/>
      <c r="E179" s="76"/>
      <c r="F179" s="76"/>
      <c r="G179" s="152"/>
      <c r="H179" s="76"/>
      <c r="I179" s="76"/>
      <c r="J179" s="76"/>
      <c r="K179" s="76"/>
      <c r="L179" s="76"/>
      <c r="M179" s="152"/>
      <c r="S179" s="152"/>
      <c r="T179" s="76"/>
      <c r="U179" s="76"/>
      <c r="V179" s="76"/>
      <c r="W179" s="76"/>
      <c r="X179" s="76"/>
    </row>
    <row r="180" spans="1:24">
      <c r="A180" s="76" t="s">
        <v>362</v>
      </c>
      <c r="B180" s="80">
        <f t="shared" ref="B180:F180" si="93">AVERAGE(H180,N180,T180)/5</f>
        <v>0.2</v>
      </c>
      <c r="C180" s="80">
        <f t="shared" si="93"/>
        <v>1</v>
      </c>
      <c r="D180" s="80">
        <f t="shared" si="93"/>
        <v>0.5</v>
      </c>
      <c r="E180" s="80">
        <f t="shared" si="93"/>
        <v>1</v>
      </c>
      <c r="F180" s="80">
        <f t="shared" si="93"/>
        <v>0.6</v>
      </c>
      <c r="G180" s="152"/>
      <c r="H180" s="156">
        <v>1</v>
      </c>
      <c r="I180" s="156">
        <v>5</v>
      </c>
      <c r="J180" s="156">
        <v>2</v>
      </c>
      <c r="K180" s="156">
        <v>5</v>
      </c>
      <c r="L180" s="156">
        <v>3</v>
      </c>
      <c r="M180" s="152"/>
      <c r="N180" s="88">
        <v>1</v>
      </c>
      <c r="O180" s="88">
        <v>5</v>
      </c>
      <c r="P180" s="88">
        <v>3</v>
      </c>
      <c r="Q180" s="88">
        <v>5</v>
      </c>
      <c r="R180" s="88">
        <v>3</v>
      </c>
      <c r="S180" s="152"/>
      <c r="T180" s="156"/>
      <c r="U180" s="156"/>
      <c r="V180" s="156"/>
      <c r="W180" s="156"/>
      <c r="X180" s="156"/>
    </row>
    <row r="181" spans="1:24">
      <c r="A181" s="76"/>
      <c r="B181" s="76"/>
      <c r="C181" s="76"/>
      <c r="D181" s="76"/>
      <c r="E181" s="76"/>
      <c r="F181" s="76"/>
      <c r="G181" s="152"/>
      <c r="H181" s="76"/>
      <c r="I181" s="76"/>
      <c r="J181" s="76"/>
      <c r="K181" s="76"/>
      <c r="L181" s="76"/>
      <c r="M181" s="152"/>
      <c r="S181" s="152"/>
      <c r="T181" s="76"/>
      <c r="U181" s="76"/>
      <c r="V181" s="76"/>
      <c r="W181" s="76"/>
      <c r="X181" s="76"/>
    </row>
    <row r="182" spans="1:24">
      <c r="A182" s="76" t="s">
        <v>285</v>
      </c>
      <c r="B182" s="80">
        <f t="shared" ref="B182:F184" si="94">AVERAGE(H182,N182,T182)/5</f>
        <v>0.2</v>
      </c>
      <c r="C182" s="80">
        <f t="shared" si="94"/>
        <v>0.9</v>
      </c>
      <c r="D182" s="80">
        <f t="shared" si="94"/>
        <v>0.5</v>
      </c>
      <c r="E182" s="80">
        <f t="shared" si="94"/>
        <v>1</v>
      </c>
      <c r="F182" s="80">
        <f t="shared" si="94"/>
        <v>0.5</v>
      </c>
      <c r="G182" s="152"/>
      <c r="H182" s="156">
        <v>1</v>
      </c>
      <c r="I182" s="156">
        <v>5</v>
      </c>
      <c r="J182" s="156">
        <v>3</v>
      </c>
      <c r="K182" s="156">
        <v>5</v>
      </c>
      <c r="L182" s="156">
        <v>3</v>
      </c>
      <c r="M182" s="152"/>
      <c r="N182" s="88">
        <v>1</v>
      </c>
      <c r="O182" s="88">
        <v>4</v>
      </c>
      <c r="P182" s="88">
        <v>2</v>
      </c>
      <c r="Q182" s="88">
        <v>5</v>
      </c>
      <c r="R182" s="88">
        <v>2</v>
      </c>
      <c r="S182" s="152"/>
      <c r="T182" s="156"/>
      <c r="U182" s="156"/>
      <c r="V182" s="156"/>
      <c r="W182" s="156"/>
      <c r="X182" s="156"/>
    </row>
    <row r="183" spans="1:24">
      <c r="A183" s="76" t="s">
        <v>286</v>
      </c>
      <c r="B183" s="80">
        <f t="shared" si="94"/>
        <v>0.2</v>
      </c>
      <c r="C183" s="80">
        <f t="shared" si="94"/>
        <v>0.9</v>
      </c>
      <c r="D183" s="80">
        <f t="shared" si="94"/>
        <v>0.5</v>
      </c>
      <c r="E183" s="80">
        <f t="shared" si="94"/>
        <v>0.9</v>
      </c>
      <c r="F183" s="80">
        <f t="shared" si="94"/>
        <v>0.6</v>
      </c>
      <c r="G183" s="152"/>
      <c r="H183" s="156">
        <v>1</v>
      </c>
      <c r="I183" s="156">
        <v>5</v>
      </c>
      <c r="J183" s="156">
        <v>3</v>
      </c>
      <c r="K183" s="156">
        <v>4</v>
      </c>
      <c r="L183" s="156">
        <v>3</v>
      </c>
      <c r="M183" s="152"/>
      <c r="N183" s="88">
        <v>1</v>
      </c>
      <c r="O183" s="88">
        <v>4</v>
      </c>
      <c r="P183" s="88">
        <v>2</v>
      </c>
      <c r="Q183" s="88">
        <v>5</v>
      </c>
      <c r="R183" s="88">
        <v>3</v>
      </c>
      <c r="S183" s="152"/>
      <c r="T183" s="156"/>
      <c r="U183" s="156"/>
      <c r="V183" s="156"/>
      <c r="W183" s="156"/>
      <c r="X183" s="156"/>
    </row>
    <row r="184" spans="1:24">
      <c r="A184" s="76" t="s">
        <v>287</v>
      </c>
      <c r="B184" s="80">
        <f t="shared" si="94"/>
        <v>0.2</v>
      </c>
      <c r="C184" s="80">
        <f t="shared" si="94"/>
        <v>0.9</v>
      </c>
      <c r="D184" s="80">
        <f t="shared" si="94"/>
        <v>0.5</v>
      </c>
      <c r="E184" s="80">
        <f t="shared" si="94"/>
        <v>0.8</v>
      </c>
      <c r="F184" s="80">
        <f t="shared" si="94"/>
        <v>0.4</v>
      </c>
      <c r="G184" s="152"/>
      <c r="H184" s="156">
        <v>1</v>
      </c>
      <c r="I184" s="156">
        <v>5</v>
      </c>
      <c r="J184" s="156">
        <v>3</v>
      </c>
      <c r="K184" s="156">
        <v>4</v>
      </c>
      <c r="L184" s="156">
        <v>2</v>
      </c>
      <c r="M184" s="152"/>
      <c r="N184" s="88">
        <v>1</v>
      </c>
      <c r="O184" s="88">
        <v>4</v>
      </c>
      <c r="P184" s="88">
        <v>2</v>
      </c>
      <c r="Q184" s="88">
        <v>4</v>
      </c>
      <c r="R184" s="88">
        <v>2</v>
      </c>
      <c r="S184" s="152"/>
      <c r="T184" s="156"/>
      <c r="U184" s="156"/>
      <c r="V184" s="156"/>
      <c r="W184" s="156"/>
      <c r="X184" s="156"/>
    </row>
    <row r="185" spans="1:24">
      <c r="A185" s="82" t="s">
        <v>1297</v>
      </c>
      <c r="B185" s="83">
        <f t="shared" ref="B185:F185" si="95">AVERAGE(B171:B184)</f>
        <v>0.24999999999999997</v>
      </c>
      <c r="C185" s="83">
        <f t="shared" si="95"/>
        <v>0.92500000000000016</v>
      </c>
      <c r="D185" s="83">
        <f t="shared" si="95"/>
        <v>0.51249999999999996</v>
      </c>
      <c r="E185" s="83">
        <f t="shared" si="95"/>
        <v>0.91249999999999998</v>
      </c>
      <c r="F185" s="83">
        <f t="shared" si="95"/>
        <v>0.46250000000000002</v>
      </c>
      <c r="G185" s="152"/>
      <c r="H185" s="83">
        <f t="shared" ref="H185:L185" si="96">AVERAGE(H171:H184)</f>
        <v>1.25</v>
      </c>
      <c r="I185" s="83">
        <f t="shared" si="96"/>
        <v>4.875</v>
      </c>
      <c r="J185" s="83">
        <f t="shared" si="96"/>
        <v>2.75</v>
      </c>
      <c r="K185" s="83">
        <f t="shared" si="96"/>
        <v>4.375</v>
      </c>
      <c r="L185" s="83">
        <f t="shared" si="96"/>
        <v>2.5</v>
      </c>
      <c r="M185" s="152"/>
      <c r="N185" s="83">
        <f t="shared" ref="N185:R185" si="97">AVERAGE(N171:N184)</f>
        <v>1.25</v>
      </c>
      <c r="O185" s="83">
        <f t="shared" si="97"/>
        <v>4.375</v>
      </c>
      <c r="P185" s="83">
        <f t="shared" si="97"/>
        <v>2.375</v>
      </c>
      <c r="Q185" s="83">
        <f t="shared" si="97"/>
        <v>4.75</v>
      </c>
      <c r="R185" s="83">
        <f t="shared" si="97"/>
        <v>2.125</v>
      </c>
      <c r="S185" s="152"/>
      <c r="T185" s="83" t="e">
        <f t="shared" ref="T185:X185" si="98">AVERAGE(T171:T184)</f>
        <v>#DIV/0!</v>
      </c>
      <c r="U185" s="83" t="e">
        <f t="shared" si="98"/>
        <v>#DIV/0!</v>
      </c>
      <c r="V185" s="83" t="e">
        <f t="shared" si="98"/>
        <v>#DIV/0!</v>
      </c>
      <c r="W185" s="83" t="e">
        <f t="shared" si="98"/>
        <v>#DIV/0!</v>
      </c>
      <c r="X185" s="83" t="e">
        <f t="shared" si="98"/>
        <v>#DIV/0!</v>
      </c>
    </row>
    <row r="186" spans="1:24">
      <c r="A186" s="76"/>
      <c r="B186" s="85"/>
      <c r="C186" s="85"/>
      <c r="D186" s="85"/>
      <c r="E186" s="85"/>
      <c r="F186" s="85"/>
      <c r="G186" s="152"/>
      <c r="H186" s="76"/>
      <c r="I186" s="76"/>
      <c r="J186" s="76"/>
      <c r="K186" s="76"/>
      <c r="L186" s="76"/>
      <c r="M186" s="152"/>
      <c r="N186" s="76"/>
      <c r="O186" s="76"/>
      <c r="P186" s="76"/>
      <c r="Q186" s="76"/>
      <c r="R186" s="76"/>
      <c r="S186" s="152"/>
      <c r="T186" s="76"/>
      <c r="U186" s="76"/>
      <c r="V186" s="76"/>
      <c r="W186" s="76"/>
      <c r="X186" s="76"/>
    </row>
    <row r="187" spans="1:24">
      <c r="A187" s="76"/>
      <c r="B187" s="85"/>
      <c r="C187" s="85"/>
      <c r="D187" s="85"/>
      <c r="E187" s="85"/>
      <c r="F187" s="85"/>
      <c r="G187" s="152"/>
      <c r="H187" s="76"/>
      <c r="I187" s="76"/>
      <c r="J187" s="76"/>
      <c r="K187" s="76"/>
      <c r="L187" s="76"/>
      <c r="M187" s="152"/>
      <c r="N187" s="76"/>
      <c r="O187" s="76"/>
      <c r="P187" s="76"/>
      <c r="Q187" s="76"/>
      <c r="R187" s="76"/>
      <c r="S187" s="152"/>
      <c r="T187" s="76"/>
      <c r="U187" s="76"/>
      <c r="V187" s="76"/>
      <c r="W187" s="76"/>
      <c r="X187" s="76"/>
    </row>
    <row r="188" spans="1:24">
      <c r="A188" s="84" t="s">
        <v>33</v>
      </c>
      <c r="B188" s="85"/>
      <c r="C188" s="85"/>
      <c r="D188" s="85"/>
      <c r="E188" s="85"/>
      <c r="F188" s="85"/>
      <c r="G188" s="152"/>
      <c r="H188" s="76"/>
      <c r="I188" s="76"/>
      <c r="J188" s="76"/>
      <c r="K188" s="76"/>
      <c r="L188" s="76"/>
      <c r="M188" s="152"/>
      <c r="N188" s="76"/>
      <c r="O188" s="76"/>
      <c r="P188" s="76"/>
      <c r="Q188" s="76"/>
      <c r="R188" s="76"/>
      <c r="S188" s="152"/>
      <c r="T188" s="76"/>
      <c r="U188" s="76"/>
      <c r="V188" s="76"/>
      <c r="W188" s="76"/>
      <c r="X188" s="76"/>
    </row>
    <row r="189" spans="1:24">
      <c r="A189" s="76"/>
      <c r="B189" s="76"/>
      <c r="C189" s="76"/>
      <c r="D189" s="76"/>
      <c r="E189" s="76"/>
      <c r="F189" s="76"/>
      <c r="G189" s="152"/>
      <c r="H189" s="76"/>
      <c r="I189" s="76"/>
      <c r="J189" s="76"/>
      <c r="K189" s="76"/>
      <c r="L189" s="76"/>
      <c r="M189" s="152"/>
      <c r="N189" s="76"/>
      <c r="O189" s="76"/>
      <c r="P189" s="76"/>
      <c r="Q189" s="76"/>
      <c r="R189" s="76"/>
      <c r="S189" s="152"/>
      <c r="T189" s="76"/>
      <c r="U189" s="76"/>
      <c r="V189" s="76"/>
      <c r="W189" s="76"/>
      <c r="X189" s="76"/>
    </row>
    <row r="190" spans="1:24">
      <c r="A190" s="76" t="s">
        <v>93</v>
      </c>
      <c r="B190" s="80">
        <f t="shared" ref="B190:F190" si="99">AVERAGE(H190,N190,T190)/5</f>
        <v>0.6</v>
      </c>
      <c r="C190" s="80">
        <f t="shared" si="99"/>
        <v>0.6</v>
      </c>
      <c r="D190" s="80">
        <f t="shared" si="99"/>
        <v>1</v>
      </c>
      <c r="E190" s="80">
        <f t="shared" si="99"/>
        <v>0.4</v>
      </c>
      <c r="F190" s="80">
        <f t="shared" si="99"/>
        <v>0.1</v>
      </c>
      <c r="G190" s="152"/>
      <c r="H190" s="156">
        <v>3</v>
      </c>
      <c r="I190" s="156">
        <v>2</v>
      </c>
      <c r="J190" s="156">
        <v>5</v>
      </c>
      <c r="K190" s="156">
        <v>2</v>
      </c>
      <c r="L190" s="156">
        <v>1</v>
      </c>
      <c r="M190" s="152"/>
      <c r="N190" s="88">
        <v>3</v>
      </c>
      <c r="O190" s="88">
        <v>4</v>
      </c>
      <c r="P190" s="88">
        <v>5</v>
      </c>
      <c r="Q190" s="88">
        <v>2</v>
      </c>
      <c r="R190" s="88">
        <v>0</v>
      </c>
      <c r="S190" s="152"/>
      <c r="T190" s="156"/>
      <c r="U190" s="156"/>
      <c r="V190" s="156"/>
      <c r="W190" s="156"/>
      <c r="X190" s="156"/>
    </row>
    <row r="191" spans="1:24">
      <c r="A191" s="76"/>
      <c r="B191" s="76"/>
      <c r="C191" s="76"/>
      <c r="D191" s="76"/>
      <c r="E191" s="76"/>
      <c r="F191" s="76"/>
      <c r="G191" s="152"/>
      <c r="H191" s="76"/>
      <c r="I191" s="76"/>
      <c r="J191" s="76"/>
      <c r="K191" s="76"/>
      <c r="L191" s="76"/>
      <c r="M191" s="152"/>
      <c r="S191" s="152"/>
      <c r="T191" s="76"/>
      <c r="U191" s="76"/>
      <c r="V191" s="76"/>
      <c r="W191" s="76"/>
      <c r="X191" s="76"/>
    </row>
    <row r="192" spans="1:24">
      <c r="A192" s="76" t="s">
        <v>446</v>
      </c>
      <c r="B192" s="80">
        <f t="shared" ref="B192:F192" si="100">AVERAGE(H192,N192,T192)/5</f>
        <v>0.2</v>
      </c>
      <c r="C192" s="80">
        <f t="shared" si="100"/>
        <v>0.6</v>
      </c>
      <c r="D192" s="80">
        <f t="shared" si="100"/>
        <v>1</v>
      </c>
      <c r="E192" s="80">
        <f t="shared" si="100"/>
        <v>0.6</v>
      </c>
      <c r="F192" s="80">
        <f t="shared" si="100"/>
        <v>0.4</v>
      </c>
      <c r="G192" s="152"/>
      <c r="H192" s="156">
        <v>1</v>
      </c>
      <c r="I192" s="156">
        <v>3</v>
      </c>
      <c r="J192" s="156">
        <v>5</v>
      </c>
      <c r="K192" s="156">
        <v>3</v>
      </c>
      <c r="L192" s="156">
        <v>1</v>
      </c>
      <c r="M192" s="152"/>
      <c r="N192" s="88">
        <v>1</v>
      </c>
      <c r="O192" s="88">
        <v>3</v>
      </c>
      <c r="P192" s="88">
        <v>5</v>
      </c>
      <c r="Q192" s="88">
        <v>3</v>
      </c>
      <c r="R192" s="88">
        <v>3</v>
      </c>
      <c r="S192" s="152"/>
      <c r="T192" s="156"/>
      <c r="U192" s="156"/>
      <c r="V192" s="156"/>
      <c r="W192" s="156"/>
      <c r="X192" s="156"/>
    </row>
    <row r="193" spans="1:24">
      <c r="A193" s="76"/>
      <c r="B193" s="76"/>
      <c r="C193" s="76"/>
      <c r="D193" s="76"/>
      <c r="E193" s="76"/>
      <c r="F193" s="76"/>
      <c r="G193" s="152"/>
      <c r="H193" s="76"/>
      <c r="I193" s="76"/>
      <c r="J193" s="76"/>
      <c r="K193" s="76"/>
      <c r="L193" s="76"/>
      <c r="M193" s="152"/>
      <c r="S193" s="152"/>
      <c r="T193" s="76"/>
      <c r="U193" s="76"/>
      <c r="V193" s="76"/>
      <c r="W193" s="76"/>
      <c r="X193" s="76"/>
    </row>
    <row r="194" spans="1:24">
      <c r="A194" s="76" t="s">
        <v>447</v>
      </c>
      <c r="B194" s="80">
        <f t="shared" ref="B194:F194" si="101">AVERAGE(H194,N194,T194)/5</f>
        <v>0.2</v>
      </c>
      <c r="C194" s="80">
        <f t="shared" si="101"/>
        <v>0.4</v>
      </c>
      <c r="D194" s="80">
        <f t="shared" si="101"/>
        <v>1</v>
      </c>
      <c r="E194" s="80">
        <f t="shared" si="101"/>
        <v>0.4</v>
      </c>
      <c r="F194" s="80">
        <f t="shared" si="101"/>
        <v>0.3</v>
      </c>
      <c r="G194" s="152"/>
      <c r="H194" s="156">
        <v>1</v>
      </c>
      <c r="I194" s="156">
        <v>2</v>
      </c>
      <c r="J194" s="156">
        <v>5</v>
      </c>
      <c r="K194" s="156">
        <v>2</v>
      </c>
      <c r="L194" s="156">
        <v>1</v>
      </c>
      <c r="M194" s="152"/>
      <c r="N194" s="88">
        <v>1</v>
      </c>
      <c r="O194" s="88">
        <v>2</v>
      </c>
      <c r="P194" s="88">
        <v>5</v>
      </c>
      <c r="Q194" s="88">
        <v>2</v>
      </c>
      <c r="R194" s="88">
        <v>2</v>
      </c>
      <c r="S194" s="152"/>
      <c r="T194" s="156"/>
      <c r="U194" s="156"/>
      <c r="V194" s="156"/>
      <c r="W194" s="156"/>
      <c r="X194" s="156"/>
    </row>
    <row r="195" spans="1:24">
      <c r="A195" s="76"/>
      <c r="B195" s="76"/>
      <c r="C195" s="76"/>
      <c r="D195" s="76"/>
      <c r="E195" s="76"/>
      <c r="F195" s="76"/>
      <c r="G195" s="152"/>
      <c r="H195" s="76"/>
      <c r="I195" s="76"/>
      <c r="J195" s="76"/>
      <c r="K195" s="76"/>
      <c r="L195" s="76"/>
      <c r="M195" s="152"/>
      <c r="S195" s="152"/>
      <c r="T195" s="76"/>
      <c r="U195" s="76"/>
      <c r="V195" s="76"/>
      <c r="W195" s="76"/>
      <c r="X195" s="76"/>
    </row>
    <row r="196" spans="1:24">
      <c r="A196" s="76" t="s">
        <v>448</v>
      </c>
      <c r="B196" s="80">
        <f t="shared" ref="B196:F196" si="102">AVERAGE(H196,N196,T196)/5</f>
        <v>0.1</v>
      </c>
      <c r="C196" s="80">
        <f t="shared" si="102"/>
        <v>0.2</v>
      </c>
      <c r="D196" s="80">
        <f t="shared" si="102"/>
        <v>0.4</v>
      </c>
      <c r="E196" s="80">
        <f t="shared" si="102"/>
        <v>0.1</v>
      </c>
      <c r="F196" s="80">
        <f t="shared" si="102"/>
        <v>0</v>
      </c>
      <c r="G196" s="152"/>
      <c r="H196" s="156">
        <v>1</v>
      </c>
      <c r="I196" s="156">
        <v>1</v>
      </c>
      <c r="J196" s="156">
        <v>2</v>
      </c>
      <c r="K196" s="156">
        <v>1</v>
      </c>
      <c r="L196" s="156">
        <v>0</v>
      </c>
      <c r="M196" s="152"/>
      <c r="N196" s="88">
        <v>0</v>
      </c>
      <c r="O196" s="88">
        <v>1</v>
      </c>
      <c r="P196" s="88">
        <v>2</v>
      </c>
      <c r="Q196" s="88">
        <v>0</v>
      </c>
      <c r="R196" s="88">
        <v>0</v>
      </c>
      <c r="S196" s="152"/>
      <c r="T196" s="156"/>
      <c r="U196" s="156"/>
      <c r="V196" s="156"/>
      <c r="W196" s="156"/>
      <c r="X196" s="156"/>
    </row>
    <row r="197" spans="1:24">
      <c r="A197" s="82" t="s">
        <v>1297</v>
      </c>
      <c r="B197" s="83">
        <f t="shared" ref="B197:F197" si="103">AVERAGE(B189:B196)</f>
        <v>0.27500000000000002</v>
      </c>
      <c r="C197" s="83">
        <f t="shared" si="103"/>
        <v>0.45</v>
      </c>
      <c r="D197" s="83">
        <f t="shared" si="103"/>
        <v>0.85</v>
      </c>
      <c r="E197" s="83">
        <f t="shared" si="103"/>
        <v>0.375</v>
      </c>
      <c r="F197" s="83">
        <f t="shared" si="103"/>
        <v>0.2</v>
      </c>
      <c r="G197" s="152"/>
      <c r="H197" s="83">
        <f t="shared" ref="H197:L197" si="104">AVERAGE(H189:H196)</f>
        <v>1.5</v>
      </c>
      <c r="I197" s="83">
        <f t="shared" si="104"/>
        <v>2</v>
      </c>
      <c r="J197" s="83">
        <f t="shared" si="104"/>
        <v>4.25</v>
      </c>
      <c r="K197" s="83">
        <f t="shared" si="104"/>
        <v>2</v>
      </c>
      <c r="L197" s="83">
        <f t="shared" si="104"/>
        <v>0.75</v>
      </c>
      <c r="M197" s="152"/>
      <c r="N197" s="83">
        <f t="shared" ref="N197:R197" si="105">AVERAGE(N189:N196)</f>
        <v>1.25</v>
      </c>
      <c r="O197" s="83">
        <f t="shared" si="105"/>
        <v>2.5</v>
      </c>
      <c r="P197" s="83">
        <f t="shared" si="105"/>
        <v>4.25</v>
      </c>
      <c r="Q197" s="83">
        <f t="shared" si="105"/>
        <v>1.75</v>
      </c>
      <c r="R197" s="83">
        <f t="shared" si="105"/>
        <v>1.25</v>
      </c>
      <c r="S197" s="152"/>
      <c r="T197" s="83" t="e">
        <f t="shared" ref="T197:X197" si="106">AVERAGE(T189:T196)</f>
        <v>#DIV/0!</v>
      </c>
      <c r="U197" s="83" t="e">
        <f t="shared" si="106"/>
        <v>#DIV/0!</v>
      </c>
      <c r="V197" s="83" t="e">
        <f t="shared" si="106"/>
        <v>#DIV/0!</v>
      </c>
      <c r="W197" s="83" t="e">
        <f t="shared" si="106"/>
        <v>#DIV/0!</v>
      </c>
      <c r="X197" s="83" t="e">
        <f t="shared" si="106"/>
        <v>#DIV/0!</v>
      </c>
    </row>
    <row r="198" spans="1:24">
      <c r="A198" s="76"/>
      <c r="B198" s="85"/>
      <c r="C198" s="85"/>
      <c r="D198" s="85"/>
      <c r="E198" s="85"/>
      <c r="F198" s="85"/>
      <c r="G198" s="152"/>
      <c r="H198" s="76"/>
      <c r="I198" s="76"/>
      <c r="J198" s="76"/>
      <c r="K198" s="76"/>
      <c r="L198" s="76"/>
      <c r="M198" s="152"/>
      <c r="N198" s="76"/>
      <c r="O198" s="76"/>
      <c r="P198" s="76"/>
      <c r="Q198" s="76"/>
      <c r="R198" s="76"/>
      <c r="S198" s="152"/>
      <c r="T198" s="76"/>
      <c r="U198" s="76"/>
      <c r="V198" s="76"/>
      <c r="W198" s="76"/>
      <c r="X198" s="76"/>
    </row>
    <row r="199" spans="1:24">
      <c r="A199" s="76"/>
      <c r="B199" s="85"/>
      <c r="C199" s="85"/>
      <c r="D199" s="85"/>
      <c r="E199" s="85"/>
      <c r="F199" s="85"/>
      <c r="G199" s="152"/>
      <c r="H199" s="76"/>
      <c r="I199" s="76"/>
      <c r="J199" s="76"/>
      <c r="K199" s="76"/>
      <c r="L199" s="76"/>
      <c r="M199" s="152"/>
      <c r="N199" s="76"/>
      <c r="O199" s="76"/>
      <c r="P199" s="76"/>
      <c r="Q199" s="76"/>
      <c r="R199" s="76"/>
      <c r="S199" s="152"/>
      <c r="T199" s="76"/>
      <c r="U199" s="76"/>
      <c r="V199" s="76"/>
      <c r="W199" s="76"/>
      <c r="X199" s="76"/>
    </row>
    <row r="200" spans="1:24">
      <c r="A200" s="84" t="s">
        <v>1298</v>
      </c>
      <c r="B200" s="85"/>
      <c r="C200" s="85"/>
      <c r="D200" s="85"/>
      <c r="E200" s="85"/>
      <c r="F200" s="85"/>
      <c r="G200" s="152"/>
      <c r="H200" s="76"/>
      <c r="I200" s="76"/>
      <c r="J200" s="76"/>
      <c r="K200" s="76"/>
      <c r="L200" s="76"/>
      <c r="M200" s="152"/>
      <c r="N200" s="76"/>
      <c r="O200" s="76"/>
      <c r="P200" s="76"/>
      <c r="Q200" s="76"/>
      <c r="R200" s="76"/>
      <c r="S200" s="152"/>
      <c r="T200" s="76"/>
      <c r="U200" s="76"/>
      <c r="V200" s="76"/>
      <c r="W200" s="76"/>
      <c r="X200" s="76"/>
    </row>
    <row r="201" spans="1:24">
      <c r="A201" s="76" t="s">
        <v>1306</v>
      </c>
      <c r="B201" s="80">
        <f t="shared" ref="B201:F204" si="107">AVERAGE(H201,N201,T201)/5</f>
        <v>1</v>
      </c>
      <c r="C201" s="80">
        <f t="shared" si="107"/>
        <v>1</v>
      </c>
      <c r="D201" s="80">
        <f t="shared" si="107"/>
        <v>1</v>
      </c>
      <c r="E201" s="80">
        <f t="shared" si="107"/>
        <v>1</v>
      </c>
      <c r="F201" s="80">
        <f t="shared" si="107"/>
        <v>1</v>
      </c>
      <c r="G201" s="152"/>
      <c r="H201" s="156">
        <v>5</v>
      </c>
      <c r="I201" s="156">
        <v>5</v>
      </c>
      <c r="J201" s="156">
        <v>5</v>
      </c>
      <c r="K201" s="156">
        <v>5</v>
      </c>
      <c r="L201" s="156">
        <v>5</v>
      </c>
      <c r="M201" s="152"/>
      <c r="N201" s="88">
        <v>5</v>
      </c>
      <c r="O201" s="88">
        <v>5</v>
      </c>
      <c r="P201" s="88">
        <v>5</v>
      </c>
      <c r="Q201" s="88">
        <v>5</v>
      </c>
      <c r="R201" s="88">
        <v>5</v>
      </c>
      <c r="S201" s="152"/>
      <c r="T201" s="156"/>
      <c r="U201" s="156"/>
      <c r="V201" s="156"/>
      <c r="W201" s="156"/>
      <c r="X201" s="156"/>
    </row>
    <row r="202" spans="1:24">
      <c r="A202" s="76" t="s">
        <v>1307</v>
      </c>
      <c r="B202" s="80">
        <f t="shared" si="107"/>
        <v>0.6</v>
      </c>
      <c r="C202" s="80">
        <f t="shared" si="107"/>
        <v>0.4</v>
      </c>
      <c r="D202" s="80">
        <f t="shared" si="107"/>
        <v>1</v>
      </c>
      <c r="E202" s="80">
        <f t="shared" si="107"/>
        <v>0.6</v>
      </c>
      <c r="F202" s="80">
        <f t="shared" si="107"/>
        <v>0.2</v>
      </c>
      <c r="G202" s="152"/>
      <c r="H202" s="156">
        <v>3</v>
      </c>
      <c r="I202" s="156">
        <v>2</v>
      </c>
      <c r="J202" s="156">
        <v>5</v>
      </c>
      <c r="K202" s="156">
        <v>3</v>
      </c>
      <c r="L202" s="156">
        <v>1</v>
      </c>
      <c r="M202" s="152"/>
      <c r="N202" s="88">
        <v>3</v>
      </c>
      <c r="O202" s="88">
        <v>2</v>
      </c>
      <c r="P202" s="88">
        <v>5</v>
      </c>
      <c r="Q202" s="88">
        <v>3</v>
      </c>
      <c r="R202" s="88">
        <v>1</v>
      </c>
      <c r="S202" s="152"/>
      <c r="T202" s="156"/>
      <c r="U202" s="156"/>
      <c r="V202" s="156"/>
      <c r="W202" s="156"/>
      <c r="X202" s="156"/>
    </row>
    <row r="203" spans="1:24">
      <c r="A203" s="76" t="s">
        <v>1308</v>
      </c>
      <c r="B203" s="80">
        <f t="shared" si="107"/>
        <v>0.2</v>
      </c>
      <c r="C203" s="80">
        <f t="shared" si="107"/>
        <v>1</v>
      </c>
      <c r="D203" s="80">
        <f t="shared" si="107"/>
        <v>0.6</v>
      </c>
      <c r="E203" s="80">
        <f t="shared" si="107"/>
        <v>1</v>
      </c>
      <c r="F203" s="80">
        <f t="shared" si="107"/>
        <v>0.8</v>
      </c>
      <c r="G203" s="152"/>
      <c r="H203" s="156">
        <v>1</v>
      </c>
      <c r="I203" s="156">
        <v>5</v>
      </c>
      <c r="J203" s="156">
        <v>3</v>
      </c>
      <c r="K203" s="156">
        <v>5</v>
      </c>
      <c r="L203" s="156">
        <v>4</v>
      </c>
      <c r="M203" s="152"/>
      <c r="N203" s="88">
        <v>1</v>
      </c>
      <c r="O203" s="88">
        <v>5</v>
      </c>
      <c r="P203" s="88">
        <v>3</v>
      </c>
      <c r="Q203" s="88">
        <v>5</v>
      </c>
      <c r="R203" s="88">
        <v>4</v>
      </c>
      <c r="S203" s="152"/>
      <c r="T203" s="156"/>
      <c r="U203" s="156"/>
      <c r="V203" s="156"/>
      <c r="W203" s="156"/>
      <c r="X203" s="156"/>
    </row>
    <row r="204" spans="1:24">
      <c r="A204" s="76" t="s">
        <v>1309</v>
      </c>
      <c r="B204" s="80">
        <f t="shared" si="107"/>
        <v>1</v>
      </c>
      <c r="C204" s="80">
        <f t="shared" si="107"/>
        <v>0.6</v>
      </c>
      <c r="D204" s="80">
        <f t="shared" si="107"/>
        <v>1</v>
      </c>
      <c r="E204" s="80">
        <f t="shared" si="107"/>
        <v>0.6</v>
      </c>
      <c r="F204" s="80">
        <f t="shared" si="107"/>
        <v>0.6</v>
      </c>
      <c r="G204" s="152"/>
      <c r="H204" s="156">
        <v>5</v>
      </c>
      <c r="I204" s="156">
        <v>3</v>
      </c>
      <c r="J204" s="156">
        <v>5</v>
      </c>
      <c r="K204" s="156">
        <v>3</v>
      </c>
      <c r="L204" s="156">
        <v>3</v>
      </c>
      <c r="M204" s="152"/>
      <c r="N204" s="88">
        <v>5</v>
      </c>
      <c r="O204" s="88">
        <v>3</v>
      </c>
      <c r="P204" s="88">
        <v>5</v>
      </c>
      <c r="Q204" s="88">
        <v>3</v>
      </c>
      <c r="R204" s="88">
        <v>3</v>
      </c>
      <c r="S204" s="152"/>
      <c r="T204" s="156"/>
      <c r="U204" s="156"/>
      <c r="V204" s="156"/>
      <c r="W204" s="156"/>
      <c r="X204" s="156"/>
    </row>
    <row r="205" spans="1:24">
      <c r="A205" s="76"/>
      <c r="B205" s="76"/>
      <c r="C205" s="76"/>
      <c r="D205" s="76"/>
      <c r="E205" s="76"/>
      <c r="F205" s="76"/>
      <c r="G205" s="152"/>
      <c r="H205" s="76"/>
      <c r="I205" s="76"/>
      <c r="J205" s="76"/>
      <c r="K205" s="76"/>
      <c r="L205" s="76"/>
      <c r="M205" s="152"/>
      <c r="S205" s="152"/>
      <c r="T205" s="76"/>
      <c r="U205" s="76"/>
      <c r="V205" s="76"/>
      <c r="W205" s="76"/>
      <c r="X205" s="76"/>
    </row>
    <row r="206" spans="1:24">
      <c r="A206" s="76" t="s">
        <v>1310</v>
      </c>
      <c r="B206" s="80">
        <f t="shared" ref="B206:F221" si="108">AVERAGE(H206,N206,T206)/5</f>
        <v>1</v>
      </c>
      <c r="C206" s="80">
        <f t="shared" si="108"/>
        <v>0</v>
      </c>
      <c r="D206" s="80">
        <f t="shared" si="108"/>
        <v>0.6</v>
      </c>
      <c r="E206" s="80">
        <f t="shared" si="108"/>
        <v>0</v>
      </c>
      <c r="F206" s="80">
        <f t="shared" si="108"/>
        <v>0</v>
      </c>
      <c r="G206" s="152"/>
      <c r="H206" s="156">
        <v>5</v>
      </c>
      <c r="I206" s="156">
        <v>0</v>
      </c>
      <c r="J206" s="156">
        <v>3</v>
      </c>
      <c r="K206" s="156">
        <v>0</v>
      </c>
      <c r="L206" s="156">
        <v>0</v>
      </c>
      <c r="M206" s="152"/>
      <c r="N206" s="88">
        <v>5</v>
      </c>
      <c r="O206" s="88">
        <v>0</v>
      </c>
      <c r="P206" s="88">
        <v>3</v>
      </c>
      <c r="Q206" s="88">
        <v>0</v>
      </c>
      <c r="R206" s="88">
        <v>0</v>
      </c>
      <c r="S206" s="152"/>
      <c r="T206" s="156"/>
      <c r="U206" s="156"/>
      <c r="V206" s="156"/>
      <c r="W206" s="156"/>
      <c r="X206" s="156"/>
    </row>
    <row r="207" spans="1:24">
      <c r="A207" s="76" t="s">
        <v>1311</v>
      </c>
      <c r="B207" s="80">
        <f t="shared" si="108"/>
        <v>1</v>
      </c>
      <c r="C207" s="80">
        <f t="shared" si="108"/>
        <v>0</v>
      </c>
      <c r="D207" s="80">
        <f t="shared" si="108"/>
        <v>1</v>
      </c>
      <c r="E207" s="80">
        <f t="shared" si="108"/>
        <v>0.8</v>
      </c>
      <c r="F207" s="80">
        <f t="shared" si="108"/>
        <v>0</v>
      </c>
      <c r="G207" s="152"/>
      <c r="H207" s="156">
        <v>5</v>
      </c>
      <c r="I207" s="156">
        <v>0</v>
      </c>
      <c r="J207" s="156">
        <v>5</v>
      </c>
      <c r="K207" s="156">
        <v>4</v>
      </c>
      <c r="L207" s="156">
        <v>0</v>
      </c>
      <c r="M207" s="152"/>
      <c r="N207" s="88">
        <v>5</v>
      </c>
      <c r="O207" s="88">
        <v>0</v>
      </c>
      <c r="P207" s="88">
        <v>5</v>
      </c>
      <c r="Q207" s="88">
        <v>4</v>
      </c>
      <c r="R207" s="88">
        <v>0</v>
      </c>
      <c r="S207" s="152"/>
      <c r="T207" s="156"/>
      <c r="U207" s="156"/>
      <c r="V207" s="156"/>
      <c r="W207" s="156"/>
      <c r="X207" s="156"/>
    </row>
    <row r="208" spans="1:24">
      <c r="A208" s="76" t="s">
        <v>1312</v>
      </c>
      <c r="B208" s="80">
        <f t="shared" si="108"/>
        <v>0.6</v>
      </c>
      <c r="C208" s="80">
        <f t="shared" si="108"/>
        <v>1</v>
      </c>
      <c r="D208" s="80">
        <f t="shared" si="108"/>
        <v>1</v>
      </c>
      <c r="E208" s="80">
        <f t="shared" si="108"/>
        <v>0.6</v>
      </c>
      <c r="F208" s="80">
        <f t="shared" si="108"/>
        <v>0</v>
      </c>
      <c r="G208" s="152"/>
      <c r="H208" s="156">
        <v>3</v>
      </c>
      <c r="I208" s="156">
        <v>5</v>
      </c>
      <c r="J208" s="156">
        <v>5</v>
      </c>
      <c r="K208" s="156">
        <v>3</v>
      </c>
      <c r="L208" s="156">
        <v>0</v>
      </c>
      <c r="M208" s="152"/>
      <c r="N208" s="88">
        <v>3</v>
      </c>
      <c r="O208" s="88">
        <v>5</v>
      </c>
      <c r="P208" s="88">
        <v>5</v>
      </c>
      <c r="Q208" s="88">
        <v>3</v>
      </c>
      <c r="R208" s="88">
        <v>0</v>
      </c>
      <c r="S208" s="152"/>
      <c r="T208" s="156"/>
      <c r="U208" s="156"/>
      <c r="V208" s="156"/>
      <c r="W208" s="156"/>
      <c r="X208" s="156"/>
    </row>
    <row r="209" spans="1:24">
      <c r="A209" s="76" t="s">
        <v>1314</v>
      </c>
      <c r="B209" s="80">
        <f t="shared" si="108"/>
        <v>0.4</v>
      </c>
      <c r="C209" s="80">
        <f t="shared" si="108"/>
        <v>1</v>
      </c>
      <c r="D209" s="80">
        <f t="shared" si="108"/>
        <v>1</v>
      </c>
      <c r="E209" s="80">
        <f t="shared" si="108"/>
        <v>0.6</v>
      </c>
      <c r="F209" s="80">
        <f t="shared" si="108"/>
        <v>0</v>
      </c>
      <c r="G209" s="152"/>
      <c r="H209" s="156">
        <v>2</v>
      </c>
      <c r="I209" s="156">
        <v>5</v>
      </c>
      <c r="J209" s="156">
        <v>5</v>
      </c>
      <c r="K209" s="156">
        <v>3</v>
      </c>
      <c r="L209" s="156">
        <v>0</v>
      </c>
      <c r="M209" s="152"/>
      <c r="N209" s="88">
        <v>2</v>
      </c>
      <c r="O209" s="88">
        <v>5</v>
      </c>
      <c r="P209" s="88">
        <v>5</v>
      </c>
      <c r="Q209" s="88">
        <v>3</v>
      </c>
      <c r="R209" s="88">
        <v>0</v>
      </c>
      <c r="S209" s="152"/>
      <c r="T209" s="156"/>
      <c r="U209" s="156"/>
      <c r="V209" s="156"/>
      <c r="W209" s="156"/>
      <c r="X209" s="156"/>
    </row>
    <row r="210" spans="1:24">
      <c r="A210" s="76" t="s">
        <v>1315</v>
      </c>
      <c r="B210" s="80">
        <f t="shared" si="108"/>
        <v>1</v>
      </c>
      <c r="C210" s="80">
        <f t="shared" si="108"/>
        <v>0.4</v>
      </c>
      <c r="D210" s="80">
        <f t="shared" si="108"/>
        <v>0.8</v>
      </c>
      <c r="E210" s="80">
        <f t="shared" si="108"/>
        <v>0.2</v>
      </c>
      <c r="F210" s="80">
        <f t="shared" si="108"/>
        <v>0.6</v>
      </c>
      <c r="G210" s="152"/>
      <c r="H210" s="156">
        <v>5</v>
      </c>
      <c r="I210" s="156">
        <v>2</v>
      </c>
      <c r="J210" s="156">
        <v>4</v>
      </c>
      <c r="K210" s="156">
        <v>1</v>
      </c>
      <c r="L210" s="156">
        <v>3</v>
      </c>
      <c r="M210" s="152"/>
      <c r="N210" s="88">
        <v>5</v>
      </c>
      <c r="O210" s="88">
        <v>2</v>
      </c>
      <c r="P210" s="88">
        <v>4</v>
      </c>
      <c r="Q210" s="88">
        <v>1</v>
      </c>
      <c r="R210" s="88">
        <v>3</v>
      </c>
      <c r="S210" s="152"/>
      <c r="T210" s="156"/>
      <c r="U210" s="156"/>
      <c r="V210" s="156"/>
      <c r="W210" s="156"/>
      <c r="X210" s="156"/>
    </row>
    <row r="211" spans="1:24">
      <c r="A211" s="76" t="s">
        <v>1316</v>
      </c>
      <c r="B211" s="80">
        <f t="shared" si="108"/>
        <v>0</v>
      </c>
      <c r="C211" s="80">
        <f t="shared" si="108"/>
        <v>0.4</v>
      </c>
      <c r="D211" s="80">
        <f t="shared" si="108"/>
        <v>0.8</v>
      </c>
      <c r="E211" s="80">
        <f t="shared" si="108"/>
        <v>0.2</v>
      </c>
      <c r="F211" s="80">
        <f t="shared" si="108"/>
        <v>1</v>
      </c>
      <c r="G211" s="152"/>
      <c r="H211" s="156">
        <v>0</v>
      </c>
      <c r="I211" s="156">
        <v>2</v>
      </c>
      <c r="J211" s="156">
        <v>4</v>
      </c>
      <c r="K211" s="156">
        <v>1</v>
      </c>
      <c r="L211" s="156">
        <v>5</v>
      </c>
      <c r="M211" s="152"/>
      <c r="N211" s="88">
        <v>0</v>
      </c>
      <c r="O211" s="88">
        <v>2</v>
      </c>
      <c r="P211" s="88">
        <v>4</v>
      </c>
      <c r="Q211" s="88">
        <v>1</v>
      </c>
      <c r="R211" s="88">
        <v>5</v>
      </c>
      <c r="S211" s="152"/>
      <c r="T211" s="156"/>
      <c r="U211" s="156"/>
      <c r="V211" s="156"/>
      <c r="W211" s="156"/>
      <c r="X211" s="156"/>
    </row>
    <row r="212" spans="1:24">
      <c r="A212" s="76" t="s">
        <v>1317</v>
      </c>
      <c r="B212" s="80">
        <f t="shared" si="108"/>
        <v>0.4</v>
      </c>
      <c r="C212" s="80">
        <f t="shared" si="108"/>
        <v>0.6</v>
      </c>
      <c r="D212" s="80">
        <f t="shared" si="108"/>
        <v>1</v>
      </c>
      <c r="E212" s="80">
        <f t="shared" si="108"/>
        <v>0.4</v>
      </c>
      <c r="F212" s="80">
        <f t="shared" si="108"/>
        <v>0</v>
      </c>
      <c r="G212" s="152"/>
      <c r="H212" s="156">
        <v>2</v>
      </c>
      <c r="I212" s="156">
        <v>3</v>
      </c>
      <c r="J212" s="156">
        <v>5</v>
      </c>
      <c r="K212" s="156">
        <v>2</v>
      </c>
      <c r="L212" s="156">
        <v>0</v>
      </c>
      <c r="M212" s="152"/>
      <c r="N212" s="88">
        <v>2</v>
      </c>
      <c r="O212" s="88">
        <v>3</v>
      </c>
      <c r="P212" s="88">
        <v>5</v>
      </c>
      <c r="Q212" s="88">
        <v>2</v>
      </c>
      <c r="R212" s="88">
        <v>0</v>
      </c>
      <c r="S212" s="152"/>
      <c r="T212" s="156"/>
      <c r="U212" s="156"/>
      <c r="V212" s="156"/>
      <c r="W212" s="156"/>
      <c r="X212" s="156"/>
    </row>
    <row r="213" spans="1:24">
      <c r="A213" s="76" t="s">
        <v>1318</v>
      </c>
      <c r="B213" s="80">
        <f t="shared" si="108"/>
        <v>0</v>
      </c>
      <c r="C213" s="80">
        <f t="shared" si="108"/>
        <v>0.4</v>
      </c>
      <c r="D213" s="80">
        <f t="shared" si="108"/>
        <v>1</v>
      </c>
      <c r="E213" s="80">
        <f t="shared" si="108"/>
        <v>0.4</v>
      </c>
      <c r="F213" s="80">
        <f t="shared" si="108"/>
        <v>0</v>
      </c>
      <c r="G213" s="152"/>
      <c r="H213" s="156">
        <v>0</v>
      </c>
      <c r="I213" s="156">
        <v>2</v>
      </c>
      <c r="J213" s="156">
        <v>5</v>
      </c>
      <c r="K213" s="156">
        <v>2</v>
      </c>
      <c r="L213" s="156">
        <v>0</v>
      </c>
      <c r="M213" s="152"/>
      <c r="N213" s="88">
        <v>0</v>
      </c>
      <c r="O213" s="88">
        <v>2</v>
      </c>
      <c r="P213" s="88">
        <v>5</v>
      </c>
      <c r="Q213" s="88">
        <v>2</v>
      </c>
      <c r="R213" s="88">
        <v>0</v>
      </c>
      <c r="S213" s="152"/>
      <c r="T213" s="156"/>
      <c r="U213" s="156"/>
      <c r="V213" s="156"/>
      <c r="W213" s="156"/>
      <c r="X213" s="156"/>
    </row>
    <row r="214" spans="1:24">
      <c r="A214" s="76" t="s">
        <v>1319</v>
      </c>
      <c r="B214" s="80">
        <f t="shared" si="108"/>
        <v>1</v>
      </c>
      <c r="C214" s="80">
        <f t="shared" si="108"/>
        <v>0.4</v>
      </c>
      <c r="D214" s="80">
        <f t="shared" si="108"/>
        <v>0.8</v>
      </c>
      <c r="E214" s="80">
        <f t="shared" si="108"/>
        <v>0.6</v>
      </c>
      <c r="F214" s="80">
        <f t="shared" si="108"/>
        <v>0.2</v>
      </c>
      <c r="G214" s="152"/>
      <c r="H214" s="156">
        <v>5</v>
      </c>
      <c r="I214" s="156">
        <v>2</v>
      </c>
      <c r="J214" s="156">
        <v>4</v>
      </c>
      <c r="K214" s="156">
        <v>3</v>
      </c>
      <c r="L214" s="156">
        <v>1</v>
      </c>
      <c r="M214" s="152"/>
      <c r="N214" s="88">
        <v>5</v>
      </c>
      <c r="O214" s="88">
        <v>2</v>
      </c>
      <c r="P214" s="88">
        <v>4</v>
      </c>
      <c r="Q214" s="88">
        <v>3</v>
      </c>
      <c r="R214" s="88">
        <v>1</v>
      </c>
      <c r="S214" s="152"/>
      <c r="T214" s="156"/>
      <c r="U214" s="156"/>
      <c r="V214" s="156"/>
      <c r="W214" s="156"/>
      <c r="X214" s="156"/>
    </row>
    <row r="215" spans="1:24">
      <c r="A215" s="76" t="s">
        <v>1320</v>
      </c>
      <c r="B215" s="80">
        <f t="shared" si="108"/>
        <v>0</v>
      </c>
      <c r="C215" s="80">
        <f t="shared" si="108"/>
        <v>0.8</v>
      </c>
      <c r="D215" s="80">
        <f t="shared" si="108"/>
        <v>0.6</v>
      </c>
      <c r="E215" s="80">
        <f t="shared" si="108"/>
        <v>1</v>
      </c>
      <c r="F215" s="80">
        <f t="shared" si="108"/>
        <v>0.4</v>
      </c>
      <c r="G215" s="152"/>
      <c r="H215" s="156">
        <v>0</v>
      </c>
      <c r="I215" s="156">
        <v>4</v>
      </c>
      <c r="J215" s="156">
        <v>3</v>
      </c>
      <c r="K215" s="156">
        <v>5</v>
      </c>
      <c r="L215" s="156">
        <v>2</v>
      </c>
      <c r="M215" s="152"/>
      <c r="N215" s="88">
        <v>0</v>
      </c>
      <c r="O215" s="88">
        <v>4</v>
      </c>
      <c r="P215" s="88">
        <v>3</v>
      </c>
      <c r="Q215" s="88">
        <v>5</v>
      </c>
      <c r="R215" s="88">
        <v>2</v>
      </c>
      <c r="S215" s="152"/>
      <c r="T215" s="156"/>
      <c r="U215" s="156"/>
      <c r="V215" s="156"/>
      <c r="W215" s="156"/>
      <c r="X215" s="156"/>
    </row>
    <row r="216" spans="1:24">
      <c r="A216" s="76" t="s">
        <v>1324</v>
      </c>
      <c r="B216" s="80">
        <f t="shared" si="108"/>
        <v>0.2</v>
      </c>
      <c r="C216" s="80">
        <f t="shared" si="108"/>
        <v>0.6</v>
      </c>
      <c r="D216" s="80">
        <f t="shared" si="108"/>
        <v>0.8</v>
      </c>
      <c r="E216" s="80">
        <f t="shared" si="108"/>
        <v>1</v>
      </c>
      <c r="F216" s="80">
        <f t="shared" si="108"/>
        <v>0</v>
      </c>
      <c r="G216" s="152"/>
      <c r="H216" s="156">
        <v>1</v>
      </c>
      <c r="I216" s="156">
        <v>3</v>
      </c>
      <c r="J216" s="156">
        <v>4</v>
      </c>
      <c r="K216" s="156">
        <v>5</v>
      </c>
      <c r="L216" s="156">
        <v>0</v>
      </c>
      <c r="M216" s="152"/>
      <c r="N216" s="88">
        <v>1</v>
      </c>
      <c r="O216" s="88">
        <v>3</v>
      </c>
      <c r="P216" s="88">
        <v>4</v>
      </c>
      <c r="Q216" s="88">
        <v>5</v>
      </c>
      <c r="R216" s="88">
        <v>0</v>
      </c>
      <c r="S216" s="152"/>
      <c r="T216" s="156"/>
      <c r="U216" s="156"/>
      <c r="V216" s="156"/>
      <c r="W216" s="156"/>
      <c r="X216" s="156"/>
    </row>
    <row r="217" spans="1:24">
      <c r="A217" s="76" t="s">
        <v>1325</v>
      </c>
      <c r="B217" s="80">
        <f t="shared" si="108"/>
        <v>0</v>
      </c>
      <c r="C217" s="80">
        <f t="shared" si="108"/>
        <v>0.6</v>
      </c>
      <c r="D217" s="80">
        <f t="shared" si="108"/>
        <v>0.8</v>
      </c>
      <c r="E217" s="80">
        <f t="shared" si="108"/>
        <v>1</v>
      </c>
      <c r="F217" s="80">
        <f t="shared" si="108"/>
        <v>0.6</v>
      </c>
      <c r="G217" s="152"/>
      <c r="H217" s="156">
        <v>0</v>
      </c>
      <c r="I217" s="156">
        <v>3</v>
      </c>
      <c r="J217" s="156">
        <v>4</v>
      </c>
      <c r="K217" s="156">
        <v>5</v>
      </c>
      <c r="L217" s="156">
        <v>3</v>
      </c>
      <c r="M217" s="152"/>
      <c r="N217" s="88">
        <v>0</v>
      </c>
      <c r="O217" s="88">
        <v>3</v>
      </c>
      <c r="P217" s="88">
        <v>4</v>
      </c>
      <c r="Q217" s="88">
        <v>5</v>
      </c>
      <c r="R217" s="88">
        <v>3</v>
      </c>
      <c r="S217" s="152"/>
      <c r="T217" s="156"/>
      <c r="U217" s="156"/>
      <c r="V217" s="156"/>
      <c r="W217" s="156"/>
      <c r="X217" s="156"/>
    </row>
    <row r="218" spans="1:24">
      <c r="A218" s="88" t="s">
        <v>1338</v>
      </c>
      <c r="B218" s="80">
        <f t="shared" si="108"/>
        <v>0</v>
      </c>
      <c r="C218" s="80">
        <f t="shared" si="108"/>
        <v>0.8</v>
      </c>
      <c r="D218" s="80">
        <f t="shared" si="108"/>
        <v>0.6</v>
      </c>
      <c r="E218" s="80">
        <f t="shared" si="108"/>
        <v>1</v>
      </c>
      <c r="F218" s="80">
        <f t="shared" si="108"/>
        <v>0.6</v>
      </c>
      <c r="G218" s="152"/>
      <c r="H218" s="156">
        <v>0</v>
      </c>
      <c r="I218" s="156">
        <v>4</v>
      </c>
      <c r="J218" s="156">
        <v>3</v>
      </c>
      <c r="K218" s="156">
        <v>5</v>
      </c>
      <c r="L218" s="156">
        <v>3</v>
      </c>
      <c r="M218" s="152"/>
      <c r="N218" s="88">
        <v>0</v>
      </c>
      <c r="O218" s="88">
        <v>4</v>
      </c>
      <c r="P218" s="88">
        <v>3</v>
      </c>
      <c r="Q218" s="88">
        <v>5</v>
      </c>
      <c r="R218" s="88">
        <v>3</v>
      </c>
      <c r="S218" s="152"/>
      <c r="T218" s="156"/>
      <c r="U218" s="156"/>
      <c r="V218" s="156"/>
      <c r="W218" s="156"/>
      <c r="X218" s="156"/>
    </row>
    <row r="219" spans="1:24">
      <c r="A219" s="76" t="s">
        <v>1326</v>
      </c>
      <c r="B219" s="80">
        <f t="shared" si="108"/>
        <v>0</v>
      </c>
      <c r="C219" s="80">
        <f t="shared" si="108"/>
        <v>0.8</v>
      </c>
      <c r="D219" s="80">
        <f t="shared" si="108"/>
        <v>0.6</v>
      </c>
      <c r="E219" s="80">
        <f t="shared" si="108"/>
        <v>1</v>
      </c>
      <c r="F219" s="80">
        <f t="shared" si="108"/>
        <v>0.8</v>
      </c>
      <c r="G219" s="152"/>
      <c r="H219" s="156">
        <v>0</v>
      </c>
      <c r="I219" s="156">
        <v>4</v>
      </c>
      <c r="J219" s="156">
        <v>3</v>
      </c>
      <c r="K219" s="156">
        <v>5</v>
      </c>
      <c r="L219" s="156">
        <v>4</v>
      </c>
      <c r="M219" s="152"/>
      <c r="N219" s="88">
        <v>0</v>
      </c>
      <c r="O219" s="88">
        <v>4</v>
      </c>
      <c r="P219" s="88">
        <v>3</v>
      </c>
      <c r="Q219" s="88">
        <v>5</v>
      </c>
      <c r="R219" s="88">
        <v>4</v>
      </c>
      <c r="S219" s="152"/>
      <c r="T219" s="156"/>
      <c r="U219" s="156"/>
      <c r="V219" s="156"/>
      <c r="W219" s="156"/>
      <c r="X219" s="156"/>
    </row>
    <row r="220" spans="1:24">
      <c r="A220" s="76" t="s">
        <v>1327</v>
      </c>
      <c r="B220" s="80">
        <f t="shared" si="108"/>
        <v>0</v>
      </c>
      <c r="C220" s="80">
        <f t="shared" si="108"/>
        <v>0.6</v>
      </c>
      <c r="D220" s="80">
        <f t="shared" si="108"/>
        <v>0.4</v>
      </c>
      <c r="E220" s="80">
        <f t="shared" si="108"/>
        <v>0.6</v>
      </c>
      <c r="F220" s="80">
        <f t="shared" si="108"/>
        <v>0.8</v>
      </c>
      <c r="G220" s="152"/>
      <c r="H220" s="156">
        <v>0</v>
      </c>
      <c r="I220" s="156">
        <v>3</v>
      </c>
      <c r="J220" s="156">
        <v>2</v>
      </c>
      <c r="K220" s="156">
        <v>3</v>
      </c>
      <c r="L220" s="156">
        <v>4</v>
      </c>
      <c r="M220" s="152"/>
      <c r="N220" s="88">
        <v>0</v>
      </c>
      <c r="O220" s="88">
        <v>3</v>
      </c>
      <c r="P220" s="88">
        <v>2</v>
      </c>
      <c r="Q220" s="88">
        <v>3</v>
      </c>
      <c r="R220" s="88">
        <v>4</v>
      </c>
      <c r="S220" s="152"/>
      <c r="T220" s="156"/>
      <c r="U220" s="156"/>
      <c r="V220" s="156"/>
      <c r="W220" s="156"/>
      <c r="X220" s="156"/>
    </row>
    <row r="221" spans="1:24">
      <c r="A221" s="76" t="s">
        <v>1328</v>
      </c>
      <c r="B221" s="80">
        <f t="shared" si="108"/>
        <v>0.4</v>
      </c>
      <c r="C221" s="80">
        <f t="shared" si="108"/>
        <v>1</v>
      </c>
      <c r="D221" s="80">
        <f t="shared" si="108"/>
        <v>0.4</v>
      </c>
      <c r="E221" s="80">
        <f t="shared" si="108"/>
        <v>0.6</v>
      </c>
      <c r="F221" s="80">
        <f t="shared" si="108"/>
        <v>0.2</v>
      </c>
      <c r="G221" s="152"/>
      <c r="H221" s="156">
        <v>2</v>
      </c>
      <c r="I221" s="156">
        <v>5</v>
      </c>
      <c r="J221" s="156">
        <v>2</v>
      </c>
      <c r="K221" s="156">
        <v>3</v>
      </c>
      <c r="L221" s="156">
        <v>1</v>
      </c>
      <c r="M221" s="152"/>
      <c r="N221" s="88">
        <v>2</v>
      </c>
      <c r="O221" s="88">
        <v>5</v>
      </c>
      <c r="P221" s="88">
        <v>2</v>
      </c>
      <c r="Q221" s="88">
        <v>3</v>
      </c>
      <c r="R221" s="88">
        <v>1</v>
      </c>
      <c r="S221" s="152"/>
      <c r="T221" s="156"/>
      <c r="U221" s="156"/>
      <c r="V221" s="156"/>
      <c r="W221" s="156"/>
      <c r="X221" s="156"/>
    </row>
    <row r="222" spans="1:24">
      <c r="A222" s="76" t="s">
        <v>1329</v>
      </c>
      <c r="B222" s="80">
        <f t="shared" ref="B222:F224" si="109">AVERAGE(H222,N222,T222)/5</f>
        <v>0.2</v>
      </c>
      <c r="C222" s="80">
        <f t="shared" si="109"/>
        <v>0.6</v>
      </c>
      <c r="D222" s="80">
        <f t="shared" si="109"/>
        <v>0.4</v>
      </c>
      <c r="E222" s="80">
        <f t="shared" si="109"/>
        <v>1</v>
      </c>
      <c r="F222" s="80">
        <f t="shared" si="109"/>
        <v>0.6</v>
      </c>
      <c r="G222" s="152"/>
      <c r="H222" s="156">
        <v>1</v>
      </c>
      <c r="I222" s="156">
        <v>3</v>
      </c>
      <c r="J222" s="156">
        <v>2</v>
      </c>
      <c r="K222" s="156">
        <v>5</v>
      </c>
      <c r="L222" s="156">
        <v>3</v>
      </c>
      <c r="M222" s="152"/>
      <c r="N222" s="88">
        <v>1</v>
      </c>
      <c r="O222" s="88">
        <v>3</v>
      </c>
      <c r="P222" s="88">
        <v>2</v>
      </c>
      <c r="Q222" s="88">
        <v>5</v>
      </c>
      <c r="R222" s="88">
        <v>3</v>
      </c>
      <c r="S222" s="152"/>
      <c r="T222" s="156"/>
      <c r="U222" s="156"/>
      <c r="V222" s="156"/>
      <c r="W222" s="156"/>
      <c r="X222" s="156"/>
    </row>
    <row r="223" spans="1:24">
      <c r="A223" s="76" t="s">
        <v>10</v>
      </c>
      <c r="B223" s="80">
        <f t="shared" si="109"/>
        <v>0.2</v>
      </c>
      <c r="C223" s="80">
        <f t="shared" si="109"/>
        <v>1</v>
      </c>
      <c r="D223" s="80">
        <f t="shared" si="109"/>
        <v>0.6</v>
      </c>
      <c r="E223" s="80">
        <f t="shared" si="109"/>
        <v>1</v>
      </c>
      <c r="F223" s="80">
        <f t="shared" si="109"/>
        <v>0.6</v>
      </c>
      <c r="G223" s="152"/>
      <c r="H223" s="156">
        <v>1</v>
      </c>
      <c r="I223" s="156">
        <v>5</v>
      </c>
      <c r="J223" s="156">
        <v>3</v>
      </c>
      <c r="K223" s="156">
        <v>5</v>
      </c>
      <c r="L223" s="156">
        <v>3</v>
      </c>
      <c r="M223" s="152"/>
      <c r="N223" s="88">
        <v>1</v>
      </c>
      <c r="O223" s="88">
        <v>5</v>
      </c>
      <c r="P223" s="88">
        <v>3</v>
      </c>
      <c r="Q223" s="88">
        <v>5</v>
      </c>
      <c r="R223" s="88">
        <v>3</v>
      </c>
      <c r="S223" s="152"/>
      <c r="T223" s="156"/>
      <c r="U223" s="156"/>
      <c r="V223" s="156"/>
      <c r="W223" s="156"/>
      <c r="X223" s="156"/>
    </row>
    <row r="224" spans="1:24">
      <c r="A224" s="76" t="s">
        <v>1330</v>
      </c>
      <c r="B224" s="80">
        <f t="shared" si="109"/>
        <v>0.2</v>
      </c>
      <c r="C224" s="80">
        <f t="shared" si="109"/>
        <v>1</v>
      </c>
      <c r="D224" s="80">
        <f t="shared" si="109"/>
        <v>0.8</v>
      </c>
      <c r="E224" s="80">
        <f t="shared" si="109"/>
        <v>1</v>
      </c>
      <c r="F224" s="80">
        <f t="shared" si="109"/>
        <v>1</v>
      </c>
      <c r="G224" s="152"/>
      <c r="H224" s="156">
        <v>1</v>
      </c>
      <c r="I224" s="156">
        <v>5</v>
      </c>
      <c r="J224" s="156">
        <v>4</v>
      </c>
      <c r="K224" s="156">
        <v>5</v>
      </c>
      <c r="L224" s="156">
        <v>5</v>
      </c>
      <c r="M224" s="152"/>
      <c r="N224" s="88">
        <v>1</v>
      </c>
      <c r="O224" s="88">
        <v>5</v>
      </c>
      <c r="P224" s="88">
        <v>4</v>
      </c>
      <c r="Q224" s="88">
        <v>5</v>
      </c>
      <c r="R224" s="88">
        <v>5</v>
      </c>
      <c r="S224" s="152"/>
      <c r="T224" s="156"/>
      <c r="U224" s="156"/>
      <c r="V224" s="156"/>
      <c r="W224" s="156"/>
      <c r="X224" s="156"/>
    </row>
    <row r="225" spans="1:24">
      <c r="A225" s="82" t="s">
        <v>1297</v>
      </c>
      <c r="B225" s="83">
        <f t="shared" ref="B225:F225" si="110">AVERAGE(B201:B224)</f>
        <v>0.4086956521739129</v>
      </c>
      <c r="C225" s="83">
        <f t="shared" si="110"/>
        <v>0.65217391304347838</v>
      </c>
      <c r="D225" s="83">
        <f t="shared" si="110"/>
        <v>0.76521739130434807</v>
      </c>
      <c r="E225" s="83">
        <f t="shared" si="110"/>
        <v>0.70434782608695645</v>
      </c>
      <c r="F225" s="83">
        <f t="shared" si="110"/>
        <v>0.43478260869565216</v>
      </c>
      <c r="G225" s="152"/>
      <c r="H225" s="83">
        <f t="shared" ref="H225:L225" si="111">AVERAGE(H201:H224)</f>
        <v>2.0434782608695654</v>
      </c>
      <c r="I225" s="83">
        <f t="shared" si="111"/>
        <v>3.2608695652173911</v>
      </c>
      <c r="J225" s="83">
        <f t="shared" si="111"/>
        <v>3.8260869565217392</v>
      </c>
      <c r="K225" s="83">
        <f t="shared" si="111"/>
        <v>3.5217391304347827</v>
      </c>
      <c r="L225" s="83">
        <f t="shared" si="111"/>
        <v>2.1739130434782608</v>
      </c>
      <c r="M225" s="152"/>
      <c r="N225" s="83">
        <f t="shared" ref="N225:R225" si="112">AVERAGE(N201:N224)</f>
        <v>2.0434782608695654</v>
      </c>
      <c r="O225" s="83">
        <f t="shared" si="112"/>
        <v>3.2608695652173911</v>
      </c>
      <c r="P225" s="83">
        <f t="shared" si="112"/>
        <v>3.8260869565217392</v>
      </c>
      <c r="Q225" s="83">
        <f t="shared" si="112"/>
        <v>3.5217391304347827</v>
      </c>
      <c r="R225" s="83">
        <f t="shared" si="112"/>
        <v>2.1739130434782608</v>
      </c>
      <c r="S225" s="152"/>
      <c r="T225" s="83" t="e">
        <f t="shared" ref="T225:X225" si="113">AVERAGE(T201:T224)</f>
        <v>#DIV/0!</v>
      </c>
      <c r="U225" s="83" t="e">
        <f t="shared" si="113"/>
        <v>#DIV/0!</v>
      </c>
      <c r="V225" s="83" t="e">
        <f t="shared" si="113"/>
        <v>#DIV/0!</v>
      </c>
      <c r="W225" s="83" t="e">
        <f t="shared" si="113"/>
        <v>#DIV/0!</v>
      </c>
      <c r="X225" s="83" t="e">
        <f t="shared" si="113"/>
        <v>#DIV/0!</v>
      </c>
    </row>
    <row r="226" spans="1:24">
      <c r="A226" s="76"/>
      <c r="B226" s="77"/>
      <c r="C226" s="77"/>
      <c r="D226" s="77"/>
      <c r="E226" s="77"/>
      <c r="F226" s="77"/>
      <c r="G226" s="152"/>
      <c r="H226" s="153"/>
      <c r="I226" s="153"/>
      <c r="J226" s="153"/>
      <c r="K226" s="153"/>
      <c r="L226" s="153"/>
      <c r="M226" s="152"/>
      <c r="N226" s="153"/>
      <c r="O226" s="153"/>
      <c r="P226" s="153"/>
      <c r="Q226" s="153"/>
      <c r="R226" s="153"/>
      <c r="S226" s="152"/>
      <c r="T226" s="153"/>
      <c r="U226" s="153"/>
      <c r="V226" s="153"/>
      <c r="W226" s="153"/>
      <c r="X226" s="153"/>
    </row>
    <row r="227" spans="1:24">
      <c r="A227" s="76"/>
      <c r="B227" s="77"/>
      <c r="C227" s="77"/>
      <c r="D227" s="77"/>
      <c r="E227" s="77"/>
      <c r="F227" s="77"/>
      <c r="G227" s="152"/>
      <c r="H227" s="153"/>
      <c r="I227" s="153"/>
      <c r="J227" s="153"/>
      <c r="K227" s="153"/>
      <c r="L227" s="153"/>
      <c r="M227" s="152"/>
      <c r="N227" s="153"/>
      <c r="O227" s="153"/>
      <c r="P227" s="153"/>
      <c r="Q227" s="153"/>
      <c r="R227" s="153"/>
      <c r="S227" s="152"/>
      <c r="T227" s="153"/>
      <c r="U227" s="153"/>
      <c r="V227" s="153"/>
      <c r="W227" s="153"/>
      <c r="X227" s="153"/>
    </row>
    <row r="228" spans="1:24">
      <c r="A228" s="76"/>
      <c r="B228" s="77"/>
      <c r="C228" s="77"/>
      <c r="D228" s="77"/>
      <c r="E228" s="77"/>
      <c r="F228" s="77"/>
      <c r="G228" s="152"/>
      <c r="H228" s="153"/>
      <c r="I228" s="153"/>
      <c r="J228" s="153"/>
      <c r="K228" s="153"/>
      <c r="L228" s="153"/>
      <c r="M228" s="152"/>
      <c r="N228" s="153"/>
      <c r="O228" s="153"/>
      <c r="P228" s="153"/>
      <c r="Q228" s="153"/>
      <c r="R228" s="153"/>
      <c r="S228" s="152"/>
      <c r="T228" s="153"/>
      <c r="U228" s="153"/>
      <c r="V228" s="153"/>
      <c r="W228" s="153"/>
      <c r="X228" s="153"/>
    </row>
    <row r="229" spans="1:24">
      <c r="A229" s="76"/>
      <c r="B229" s="77"/>
      <c r="C229" s="77"/>
      <c r="D229" s="77"/>
      <c r="E229" s="77"/>
      <c r="F229" s="77"/>
      <c r="G229" s="152"/>
      <c r="H229" s="153"/>
      <c r="I229" s="153"/>
      <c r="J229" s="153"/>
      <c r="K229" s="153"/>
      <c r="L229" s="153"/>
      <c r="M229" s="152"/>
      <c r="N229" s="153"/>
      <c r="O229" s="153"/>
      <c r="P229" s="153"/>
      <c r="Q229" s="153"/>
      <c r="R229" s="153"/>
      <c r="S229" s="152"/>
      <c r="T229" s="153"/>
      <c r="U229" s="153"/>
      <c r="V229" s="153"/>
      <c r="W229" s="153"/>
      <c r="X229" s="153"/>
    </row>
    <row r="230" spans="1:24">
      <c r="A230" s="76"/>
      <c r="B230" s="77"/>
      <c r="C230" s="77"/>
      <c r="D230" s="77"/>
      <c r="E230" s="77"/>
      <c r="F230" s="77"/>
      <c r="G230" s="152"/>
      <c r="H230" s="153"/>
      <c r="I230" s="153"/>
      <c r="J230" s="153"/>
      <c r="K230" s="153"/>
      <c r="L230" s="153"/>
      <c r="M230" s="152"/>
      <c r="N230" s="153"/>
      <c r="O230" s="153"/>
      <c r="P230" s="153"/>
      <c r="Q230" s="153"/>
      <c r="R230" s="153"/>
      <c r="S230" s="152"/>
      <c r="T230" s="153"/>
      <c r="U230" s="153"/>
      <c r="V230" s="153"/>
      <c r="W230" s="153"/>
      <c r="X230" s="153"/>
    </row>
    <row r="231" spans="1:24">
      <c r="A231" s="76"/>
      <c r="B231" s="77"/>
      <c r="C231" s="77"/>
      <c r="D231" s="77"/>
      <c r="E231" s="77"/>
      <c r="F231" s="77"/>
      <c r="G231" s="152"/>
      <c r="H231" s="153"/>
      <c r="I231" s="153"/>
      <c r="J231" s="153"/>
      <c r="K231" s="153"/>
      <c r="L231" s="153"/>
      <c r="M231" s="152"/>
      <c r="N231" s="153"/>
      <c r="O231" s="153"/>
      <c r="P231" s="153"/>
      <c r="Q231" s="153"/>
      <c r="R231" s="153"/>
      <c r="S231" s="152"/>
      <c r="T231" s="153"/>
      <c r="U231" s="153"/>
      <c r="V231" s="153"/>
      <c r="W231" s="153"/>
      <c r="X231" s="153"/>
    </row>
    <row r="232" spans="1:24">
      <c r="A232" s="76"/>
      <c r="B232" s="77"/>
      <c r="C232" s="77"/>
      <c r="D232" s="77"/>
      <c r="E232" s="77"/>
      <c r="F232" s="77"/>
      <c r="G232" s="152"/>
      <c r="H232" s="153"/>
      <c r="I232" s="153"/>
      <c r="J232" s="153"/>
      <c r="K232" s="153"/>
      <c r="L232" s="153"/>
      <c r="M232" s="152"/>
      <c r="N232" s="153"/>
      <c r="O232" s="153"/>
      <c r="P232" s="153"/>
      <c r="Q232" s="153"/>
      <c r="R232" s="153"/>
      <c r="S232" s="152"/>
      <c r="T232" s="153"/>
      <c r="U232" s="153"/>
      <c r="V232" s="153"/>
      <c r="W232" s="153"/>
      <c r="X232" s="153"/>
    </row>
    <row r="233" spans="1:24">
      <c r="A233" s="76"/>
      <c r="B233" s="77"/>
      <c r="C233" s="77"/>
      <c r="D233" s="77"/>
      <c r="E233" s="77"/>
      <c r="F233" s="77"/>
      <c r="G233" s="152"/>
      <c r="H233" s="153"/>
      <c r="I233" s="153"/>
      <c r="J233" s="153"/>
      <c r="K233" s="153"/>
      <c r="L233" s="153"/>
      <c r="M233" s="152"/>
      <c r="N233" s="153"/>
      <c r="O233" s="153"/>
      <c r="P233" s="153"/>
      <c r="Q233" s="153"/>
      <c r="R233" s="153"/>
      <c r="S233" s="152"/>
      <c r="T233" s="153"/>
      <c r="U233" s="153"/>
      <c r="V233" s="153"/>
      <c r="W233" s="153"/>
      <c r="X233" s="153"/>
    </row>
    <row r="234" spans="1:24">
      <c r="A234" s="76"/>
      <c r="B234" s="77"/>
      <c r="C234" s="77"/>
      <c r="D234" s="77"/>
      <c r="E234" s="77"/>
      <c r="F234" s="77"/>
      <c r="G234" s="152"/>
      <c r="H234" s="153"/>
      <c r="I234" s="153"/>
      <c r="J234" s="153"/>
      <c r="K234" s="153"/>
      <c r="L234" s="153"/>
      <c r="M234" s="152"/>
      <c r="N234" s="153"/>
      <c r="O234" s="153"/>
      <c r="P234" s="153"/>
      <c r="Q234" s="153"/>
      <c r="R234" s="153"/>
      <c r="S234" s="152"/>
      <c r="T234" s="153"/>
      <c r="U234" s="153"/>
      <c r="V234" s="153"/>
      <c r="W234" s="153"/>
      <c r="X234" s="153"/>
    </row>
    <row r="235" spans="1:24">
      <c r="A235" s="76"/>
      <c r="B235" s="77"/>
      <c r="C235" s="77"/>
      <c r="D235" s="77"/>
      <c r="E235" s="77"/>
      <c r="F235" s="77"/>
      <c r="G235" s="152"/>
      <c r="H235" s="153"/>
      <c r="I235" s="153"/>
      <c r="J235" s="153"/>
      <c r="K235" s="153"/>
      <c r="L235" s="153"/>
      <c r="M235" s="152"/>
      <c r="N235" s="153"/>
      <c r="O235" s="153"/>
      <c r="P235" s="153"/>
      <c r="Q235" s="153"/>
      <c r="R235" s="153"/>
      <c r="S235" s="152"/>
      <c r="T235" s="153"/>
      <c r="U235" s="153"/>
      <c r="V235" s="153"/>
      <c r="W235" s="153"/>
      <c r="X235" s="153"/>
    </row>
    <row r="236" spans="1:24">
      <c r="A236" s="76"/>
      <c r="B236" s="77"/>
      <c r="C236" s="77"/>
      <c r="D236" s="77"/>
      <c r="E236" s="77"/>
      <c r="F236" s="77"/>
      <c r="G236" s="152"/>
      <c r="H236" s="153"/>
      <c r="I236" s="153"/>
      <c r="J236" s="153"/>
      <c r="K236" s="153"/>
      <c r="L236" s="153"/>
      <c r="M236" s="152"/>
      <c r="N236" s="153"/>
      <c r="O236" s="153"/>
      <c r="P236" s="153"/>
      <c r="Q236" s="153"/>
      <c r="R236" s="153"/>
      <c r="S236" s="152"/>
      <c r="T236" s="153"/>
      <c r="U236" s="153"/>
      <c r="V236" s="153"/>
      <c r="W236" s="153"/>
      <c r="X236" s="153"/>
    </row>
    <row r="237" spans="1:24">
      <c r="A237" s="76"/>
      <c r="B237" s="77"/>
      <c r="C237" s="77"/>
      <c r="D237" s="77"/>
      <c r="E237" s="77"/>
      <c r="F237" s="77"/>
      <c r="G237" s="152"/>
      <c r="H237" s="153"/>
      <c r="I237" s="153"/>
      <c r="J237" s="153"/>
      <c r="K237" s="153"/>
      <c r="L237" s="153"/>
      <c r="M237" s="152"/>
      <c r="N237" s="153"/>
      <c r="O237" s="153"/>
      <c r="P237" s="153"/>
      <c r="Q237" s="153"/>
      <c r="R237" s="153"/>
      <c r="S237" s="152"/>
      <c r="T237" s="153"/>
      <c r="U237" s="153"/>
      <c r="V237" s="153"/>
      <c r="W237" s="153"/>
      <c r="X237" s="153"/>
    </row>
    <row r="238" spans="1:24">
      <c r="A238" s="76"/>
      <c r="B238" s="77"/>
      <c r="C238" s="77"/>
      <c r="D238" s="77"/>
      <c r="E238" s="77"/>
      <c r="F238" s="77"/>
      <c r="G238" s="152"/>
      <c r="H238" s="153"/>
      <c r="I238" s="153"/>
      <c r="J238" s="153"/>
      <c r="K238" s="153"/>
      <c r="L238" s="153"/>
      <c r="M238" s="152"/>
      <c r="N238" s="153"/>
      <c r="O238" s="153"/>
      <c r="P238" s="153"/>
      <c r="Q238" s="153"/>
      <c r="R238" s="153"/>
      <c r="S238" s="152"/>
      <c r="T238" s="153"/>
      <c r="U238" s="153"/>
      <c r="V238" s="153"/>
      <c r="W238" s="153"/>
      <c r="X238" s="153"/>
    </row>
    <row r="239" spans="1:24">
      <c r="A239" s="76"/>
      <c r="B239" s="77"/>
      <c r="C239" s="77"/>
      <c r="D239" s="77"/>
      <c r="E239" s="77"/>
      <c r="F239" s="77"/>
      <c r="G239" s="152"/>
      <c r="H239" s="153"/>
      <c r="I239" s="153"/>
      <c r="J239" s="153"/>
      <c r="K239" s="153"/>
      <c r="L239" s="153"/>
      <c r="M239" s="152"/>
      <c r="N239" s="153"/>
      <c r="O239" s="153"/>
      <c r="P239" s="153"/>
      <c r="Q239" s="153"/>
      <c r="R239" s="153"/>
      <c r="S239" s="152"/>
      <c r="T239" s="153"/>
      <c r="U239" s="153"/>
      <c r="V239" s="153"/>
      <c r="W239" s="153"/>
      <c r="X239" s="153"/>
    </row>
    <row r="240" spans="1:24">
      <c r="A240" s="76"/>
      <c r="B240" s="77"/>
      <c r="C240" s="77"/>
      <c r="D240" s="77"/>
      <c r="E240" s="77"/>
      <c r="F240" s="77"/>
      <c r="G240" s="152"/>
      <c r="H240" s="153"/>
      <c r="I240" s="153"/>
      <c r="J240" s="153"/>
      <c r="K240" s="153"/>
      <c r="L240" s="153"/>
      <c r="M240" s="152"/>
      <c r="N240" s="153"/>
      <c r="O240" s="153"/>
      <c r="P240" s="153"/>
      <c r="Q240" s="153"/>
      <c r="R240" s="153"/>
      <c r="S240" s="152"/>
      <c r="T240" s="153"/>
      <c r="U240" s="153"/>
      <c r="V240" s="153"/>
      <c r="W240" s="153"/>
      <c r="X240" s="153"/>
    </row>
    <row r="241" spans="1:24">
      <c r="A241" s="76"/>
      <c r="B241" s="77"/>
      <c r="C241" s="77"/>
      <c r="D241" s="77"/>
      <c r="E241" s="77"/>
      <c r="F241" s="77"/>
      <c r="G241" s="152"/>
      <c r="H241" s="153"/>
      <c r="I241" s="153"/>
      <c r="J241" s="153"/>
      <c r="K241" s="153"/>
      <c r="L241" s="153"/>
      <c r="M241" s="152"/>
      <c r="N241" s="153"/>
      <c r="O241" s="153"/>
      <c r="P241" s="153"/>
      <c r="Q241" s="153"/>
      <c r="R241" s="153"/>
      <c r="S241" s="152"/>
      <c r="T241" s="153"/>
      <c r="U241" s="153"/>
      <c r="V241" s="153"/>
      <c r="W241" s="153"/>
      <c r="X241" s="153"/>
    </row>
    <row r="242" spans="1:24">
      <c r="A242" s="76"/>
      <c r="B242" s="77"/>
      <c r="C242" s="77"/>
      <c r="D242" s="77"/>
      <c r="E242" s="77"/>
      <c r="F242" s="77"/>
      <c r="G242" s="152"/>
      <c r="H242" s="153"/>
      <c r="I242" s="153"/>
      <c r="J242" s="153"/>
      <c r="K242" s="153"/>
      <c r="L242" s="153"/>
      <c r="M242" s="152"/>
      <c r="N242" s="153"/>
      <c r="O242" s="153"/>
      <c r="P242" s="153"/>
      <c r="Q242" s="153"/>
      <c r="R242" s="153"/>
      <c r="S242" s="152"/>
      <c r="T242" s="153"/>
      <c r="U242" s="153"/>
      <c r="V242" s="153"/>
      <c r="W242" s="153"/>
      <c r="X242" s="153"/>
    </row>
    <row r="243" spans="1:24">
      <c r="A243" s="76"/>
      <c r="B243" s="77"/>
      <c r="C243" s="77"/>
      <c r="D243" s="77"/>
      <c r="E243" s="77"/>
      <c r="F243" s="77"/>
      <c r="G243" s="152"/>
      <c r="H243" s="153"/>
      <c r="I243" s="153"/>
      <c r="J243" s="153"/>
      <c r="K243" s="153"/>
      <c r="L243" s="153"/>
      <c r="M243" s="152"/>
      <c r="N243" s="153"/>
      <c r="O243" s="153"/>
      <c r="P243" s="153"/>
      <c r="Q243" s="153"/>
      <c r="R243" s="153"/>
      <c r="S243" s="152"/>
      <c r="T243" s="153"/>
      <c r="U243" s="153"/>
      <c r="V243" s="153"/>
      <c r="W243" s="153"/>
      <c r="X243" s="153"/>
    </row>
    <row r="244" spans="1:24">
      <c r="A244" s="76"/>
      <c r="B244" s="77"/>
      <c r="C244" s="77"/>
      <c r="D244" s="77"/>
      <c r="E244" s="77"/>
      <c r="F244" s="77"/>
      <c r="G244" s="152"/>
      <c r="H244" s="153"/>
      <c r="I244" s="153"/>
      <c r="J244" s="153"/>
      <c r="K244" s="153"/>
      <c r="L244" s="153"/>
      <c r="M244" s="152"/>
      <c r="N244" s="153"/>
      <c r="O244" s="153"/>
      <c r="P244" s="153"/>
      <c r="Q244" s="153"/>
      <c r="R244" s="153"/>
      <c r="S244" s="152"/>
      <c r="T244" s="153"/>
      <c r="U244" s="153"/>
      <c r="V244" s="153"/>
      <c r="W244" s="153"/>
      <c r="X244" s="153"/>
    </row>
    <row r="245" spans="1:24">
      <c r="A245" s="76"/>
      <c r="B245" s="77"/>
      <c r="C245" s="77"/>
      <c r="D245" s="77"/>
      <c r="E245" s="77"/>
      <c r="F245" s="77"/>
      <c r="G245" s="152"/>
      <c r="H245" s="153"/>
      <c r="I245" s="153"/>
      <c r="J245" s="153"/>
      <c r="K245" s="153"/>
      <c r="L245" s="153"/>
      <c r="M245" s="152"/>
      <c r="N245" s="153"/>
      <c r="O245" s="153"/>
      <c r="P245" s="153"/>
      <c r="Q245" s="153"/>
      <c r="R245" s="153"/>
      <c r="S245" s="152"/>
      <c r="T245" s="153"/>
      <c r="U245" s="153"/>
      <c r="V245" s="153"/>
      <c r="W245" s="153"/>
      <c r="X245" s="153"/>
    </row>
    <row r="246" spans="1:24">
      <c r="A246" s="76"/>
      <c r="B246" s="77"/>
      <c r="C246" s="77"/>
      <c r="D246" s="77"/>
      <c r="E246" s="77"/>
      <c r="F246" s="77"/>
      <c r="G246" s="152"/>
      <c r="H246" s="153"/>
      <c r="I246" s="153"/>
      <c r="J246" s="153"/>
      <c r="K246" s="153"/>
      <c r="L246" s="153"/>
      <c r="M246" s="152"/>
      <c r="N246" s="153"/>
      <c r="O246" s="153"/>
      <c r="P246" s="153"/>
      <c r="Q246" s="153"/>
      <c r="R246" s="153"/>
      <c r="S246" s="152"/>
      <c r="T246" s="153"/>
      <c r="U246" s="153"/>
      <c r="V246" s="153"/>
      <c r="W246" s="153"/>
      <c r="X246" s="153"/>
    </row>
    <row r="247" spans="1:24">
      <c r="A247" s="76"/>
      <c r="B247" s="77"/>
      <c r="C247" s="77"/>
      <c r="D247" s="77"/>
      <c r="E247" s="77"/>
      <c r="F247" s="77"/>
      <c r="G247" s="152"/>
      <c r="H247" s="153"/>
      <c r="I247" s="153"/>
      <c r="J247" s="153"/>
      <c r="K247" s="153"/>
      <c r="L247" s="153"/>
      <c r="M247" s="152"/>
      <c r="N247" s="153"/>
      <c r="O247" s="153"/>
      <c r="P247" s="153"/>
      <c r="Q247" s="153"/>
      <c r="R247" s="153"/>
      <c r="S247" s="152"/>
      <c r="T247" s="153"/>
      <c r="U247" s="153"/>
      <c r="V247" s="153"/>
      <c r="W247" s="153"/>
      <c r="X247" s="153"/>
    </row>
    <row r="248" spans="1:24">
      <c r="A248" s="76"/>
      <c r="B248" s="77"/>
      <c r="C248" s="77"/>
      <c r="D248" s="77"/>
      <c r="E248" s="77"/>
      <c r="F248" s="77"/>
      <c r="G248" s="152"/>
      <c r="H248" s="153"/>
      <c r="I248" s="153"/>
      <c r="J248" s="153"/>
      <c r="K248" s="153"/>
      <c r="L248" s="153"/>
      <c r="M248" s="152"/>
      <c r="N248" s="153"/>
      <c r="O248" s="153"/>
      <c r="P248" s="153"/>
      <c r="Q248" s="153"/>
      <c r="R248" s="153"/>
      <c r="S248" s="152"/>
      <c r="T248" s="153"/>
      <c r="U248" s="153"/>
      <c r="V248" s="153"/>
      <c r="W248" s="153"/>
      <c r="X248" s="153"/>
    </row>
    <row r="249" spans="1:24">
      <c r="A249" s="76"/>
      <c r="B249" s="77"/>
      <c r="C249" s="77"/>
      <c r="D249" s="77"/>
      <c r="E249" s="77"/>
      <c r="F249" s="77"/>
      <c r="G249" s="152"/>
      <c r="H249" s="153"/>
      <c r="I249" s="153"/>
      <c r="J249" s="153"/>
      <c r="K249" s="153"/>
      <c r="L249" s="153"/>
      <c r="M249" s="152"/>
      <c r="N249" s="153"/>
      <c r="O249" s="153"/>
      <c r="P249" s="153"/>
      <c r="Q249" s="153"/>
      <c r="R249" s="153"/>
      <c r="S249" s="152"/>
      <c r="T249" s="153"/>
      <c r="U249" s="153"/>
      <c r="V249" s="153"/>
      <c r="W249" s="153"/>
      <c r="X249" s="153"/>
    </row>
    <row r="250" spans="1:24">
      <c r="A250" s="76"/>
      <c r="B250" s="77"/>
      <c r="C250" s="77"/>
      <c r="D250" s="77"/>
      <c r="E250" s="77"/>
      <c r="F250" s="77"/>
      <c r="G250" s="152"/>
      <c r="H250" s="153"/>
      <c r="I250" s="153"/>
      <c r="J250" s="153"/>
      <c r="K250" s="153"/>
      <c r="L250" s="153"/>
      <c r="M250" s="152"/>
      <c r="N250" s="153"/>
      <c r="O250" s="153"/>
      <c r="P250" s="153"/>
      <c r="Q250" s="153"/>
      <c r="R250" s="153"/>
      <c r="S250" s="152"/>
      <c r="T250" s="153"/>
      <c r="U250" s="153"/>
      <c r="V250" s="153"/>
      <c r="W250" s="153"/>
      <c r="X250" s="153"/>
    </row>
    <row r="251" spans="1:24">
      <c r="A251" s="76"/>
      <c r="B251" s="77"/>
      <c r="C251" s="77"/>
      <c r="D251" s="77"/>
      <c r="E251" s="77"/>
      <c r="F251" s="77"/>
      <c r="G251" s="152"/>
      <c r="H251" s="153"/>
      <c r="I251" s="153"/>
      <c r="J251" s="153"/>
      <c r="K251" s="153"/>
      <c r="L251" s="153"/>
      <c r="M251" s="152"/>
      <c r="N251" s="153"/>
      <c r="O251" s="153"/>
      <c r="P251" s="153"/>
      <c r="Q251" s="153"/>
      <c r="R251" s="153"/>
      <c r="S251" s="152"/>
      <c r="T251" s="153"/>
      <c r="U251" s="153"/>
      <c r="V251" s="153"/>
      <c r="W251" s="153"/>
      <c r="X251" s="153"/>
    </row>
    <row r="252" spans="1:24">
      <c r="A252" s="76"/>
      <c r="B252" s="77"/>
      <c r="C252" s="77"/>
      <c r="D252" s="77"/>
      <c r="E252" s="77"/>
      <c r="F252" s="77"/>
      <c r="G252" s="152"/>
      <c r="H252" s="153"/>
      <c r="I252" s="153"/>
      <c r="J252" s="153"/>
      <c r="K252" s="153"/>
      <c r="L252" s="153"/>
      <c r="M252" s="152"/>
      <c r="N252" s="153"/>
      <c r="O252" s="153"/>
      <c r="P252" s="153"/>
      <c r="Q252" s="153"/>
      <c r="R252" s="153"/>
      <c r="S252" s="152"/>
      <c r="T252" s="153"/>
      <c r="U252" s="153"/>
      <c r="V252" s="153"/>
      <c r="W252" s="153"/>
      <c r="X252" s="153"/>
    </row>
    <row r="253" spans="1:24">
      <c r="A253" s="76"/>
      <c r="B253" s="77"/>
      <c r="C253" s="77"/>
      <c r="D253" s="77"/>
      <c r="E253" s="77"/>
      <c r="F253" s="77"/>
      <c r="G253" s="152"/>
      <c r="H253" s="153"/>
      <c r="I253" s="153"/>
      <c r="J253" s="153"/>
      <c r="K253" s="153"/>
      <c r="L253" s="153"/>
      <c r="M253" s="152"/>
      <c r="N253" s="153"/>
      <c r="O253" s="153"/>
      <c r="P253" s="153"/>
      <c r="Q253" s="153"/>
      <c r="R253" s="153"/>
      <c r="S253" s="152"/>
      <c r="T253" s="153"/>
      <c r="U253" s="153"/>
      <c r="V253" s="153"/>
      <c r="W253" s="153"/>
      <c r="X253" s="153"/>
    </row>
    <row r="254" spans="1:24">
      <c r="A254" s="76"/>
      <c r="B254" s="77"/>
      <c r="C254" s="77"/>
      <c r="D254" s="77"/>
      <c r="E254" s="77"/>
      <c r="F254" s="77"/>
      <c r="G254" s="152"/>
      <c r="H254" s="153"/>
      <c r="I254" s="153"/>
      <c r="J254" s="153"/>
      <c r="K254" s="153"/>
      <c r="L254" s="153"/>
      <c r="M254" s="152"/>
      <c r="N254" s="153"/>
      <c r="O254" s="153"/>
      <c r="P254" s="153"/>
      <c r="Q254" s="153"/>
      <c r="R254" s="153"/>
      <c r="S254" s="152"/>
      <c r="T254" s="153"/>
      <c r="U254" s="153"/>
      <c r="V254" s="153"/>
      <c r="W254" s="153"/>
      <c r="X254" s="153"/>
    </row>
    <row r="255" spans="1:24">
      <c r="A255" s="76"/>
      <c r="B255" s="77"/>
      <c r="C255" s="77"/>
      <c r="D255" s="77"/>
      <c r="E255" s="77"/>
      <c r="F255" s="77"/>
      <c r="G255" s="152"/>
      <c r="H255" s="153"/>
      <c r="I255" s="153"/>
      <c r="J255" s="153"/>
      <c r="K255" s="153"/>
      <c r="L255" s="153"/>
      <c r="M255" s="152"/>
      <c r="N255" s="153"/>
      <c r="O255" s="153"/>
      <c r="P255" s="153"/>
      <c r="Q255" s="153"/>
      <c r="R255" s="153"/>
      <c r="S255" s="152"/>
      <c r="T255" s="153"/>
      <c r="U255" s="153"/>
      <c r="V255" s="153"/>
      <c r="W255" s="153"/>
      <c r="X255" s="153"/>
    </row>
    <row r="256" spans="1:24">
      <c r="A256" s="76"/>
      <c r="B256" s="77"/>
      <c r="C256" s="77"/>
      <c r="D256" s="77"/>
      <c r="E256" s="77"/>
      <c r="F256" s="77"/>
      <c r="G256" s="152"/>
      <c r="H256" s="153"/>
      <c r="I256" s="153"/>
      <c r="J256" s="153"/>
      <c r="K256" s="153"/>
      <c r="L256" s="153"/>
      <c r="M256" s="152"/>
      <c r="N256" s="153"/>
      <c r="O256" s="153"/>
      <c r="P256" s="153"/>
      <c r="Q256" s="153"/>
      <c r="R256" s="153"/>
      <c r="S256" s="152"/>
      <c r="T256" s="153"/>
      <c r="U256" s="153"/>
      <c r="V256" s="153"/>
      <c r="W256" s="153"/>
      <c r="X256" s="153"/>
    </row>
    <row r="257" spans="1:24">
      <c r="A257" s="76"/>
      <c r="B257" s="77"/>
      <c r="C257" s="77"/>
      <c r="D257" s="77"/>
      <c r="E257" s="77"/>
      <c r="F257" s="77"/>
      <c r="G257" s="152"/>
      <c r="H257" s="153"/>
      <c r="I257" s="153"/>
      <c r="J257" s="153"/>
      <c r="K257" s="153"/>
      <c r="L257" s="153"/>
      <c r="M257" s="152"/>
      <c r="N257" s="153"/>
      <c r="O257" s="153"/>
      <c r="P257" s="153"/>
      <c r="Q257" s="153"/>
      <c r="R257" s="153"/>
      <c r="S257" s="152"/>
      <c r="T257" s="153"/>
      <c r="U257" s="153"/>
      <c r="V257" s="153"/>
      <c r="W257" s="153"/>
      <c r="X257" s="153"/>
    </row>
    <row r="258" spans="1:24">
      <c r="A258" s="76"/>
      <c r="B258" s="77"/>
      <c r="C258" s="77"/>
      <c r="D258" s="77"/>
      <c r="E258" s="77"/>
      <c r="F258" s="77"/>
      <c r="G258" s="152"/>
      <c r="H258" s="153"/>
      <c r="I258" s="153"/>
      <c r="J258" s="153"/>
      <c r="K258" s="153"/>
      <c r="L258" s="153"/>
      <c r="M258" s="152"/>
      <c r="N258" s="153"/>
      <c r="O258" s="153"/>
      <c r="P258" s="153"/>
      <c r="Q258" s="153"/>
      <c r="R258" s="153"/>
      <c r="S258" s="152"/>
      <c r="T258" s="153"/>
      <c r="U258" s="153"/>
      <c r="V258" s="153"/>
      <c r="W258" s="153"/>
      <c r="X258" s="153"/>
    </row>
    <row r="259" spans="1:24">
      <c r="A259" s="76"/>
      <c r="B259" s="77"/>
      <c r="C259" s="77"/>
      <c r="D259" s="77"/>
      <c r="E259" s="77"/>
      <c r="F259" s="77"/>
      <c r="G259" s="152"/>
      <c r="H259" s="153"/>
      <c r="I259" s="153"/>
      <c r="J259" s="153"/>
      <c r="K259" s="153"/>
      <c r="L259" s="153"/>
      <c r="M259" s="152"/>
      <c r="N259" s="153"/>
      <c r="O259" s="153"/>
      <c r="P259" s="153"/>
      <c r="Q259" s="153"/>
      <c r="R259" s="153"/>
      <c r="S259" s="152"/>
      <c r="T259" s="153"/>
      <c r="U259" s="153"/>
      <c r="V259" s="153"/>
      <c r="W259" s="153"/>
      <c r="X259" s="153"/>
    </row>
    <row r="260" spans="1:24">
      <c r="A260" s="76"/>
      <c r="B260" s="77"/>
      <c r="C260" s="77"/>
      <c r="D260" s="77"/>
      <c r="E260" s="77"/>
      <c r="F260" s="77"/>
      <c r="G260" s="152"/>
      <c r="H260" s="153"/>
      <c r="I260" s="153"/>
      <c r="J260" s="153"/>
      <c r="K260" s="153"/>
      <c r="L260" s="153"/>
      <c r="M260" s="152"/>
      <c r="N260" s="153"/>
      <c r="O260" s="153"/>
      <c r="P260" s="153"/>
      <c r="Q260" s="153"/>
      <c r="R260" s="153"/>
      <c r="S260" s="152"/>
      <c r="T260" s="153"/>
      <c r="U260" s="153"/>
      <c r="V260" s="153"/>
      <c r="W260" s="153"/>
      <c r="X260" s="153"/>
    </row>
    <row r="261" spans="1:24">
      <c r="A261" s="76"/>
      <c r="B261" s="77"/>
      <c r="C261" s="77"/>
      <c r="D261" s="77"/>
      <c r="E261" s="77"/>
      <c r="F261" s="77"/>
      <c r="G261" s="152"/>
      <c r="H261" s="153"/>
      <c r="I261" s="153"/>
      <c r="J261" s="153"/>
      <c r="K261" s="153"/>
      <c r="L261" s="153"/>
      <c r="M261" s="152"/>
      <c r="N261" s="153"/>
      <c r="O261" s="153"/>
      <c r="P261" s="153"/>
      <c r="Q261" s="153"/>
      <c r="R261" s="153"/>
      <c r="S261" s="152"/>
      <c r="T261" s="153"/>
      <c r="U261" s="153"/>
      <c r="V261" s="153"/>
      <c r="W261" s="153"/>
      <c r="X261" s="153"/>
    </row>
    <row r="262" spans="1:24">
      <c r="A262" s="76"/>
      <c r="B262" s="77"/>
      <c r="C262" s="77"/>
      <c r="D262" s="77"/>
      <c r="E262" s="77"/>
      <c r="F262" s="77"/>
      <c r="G262" s="152"/>
      <c r="H262" s="153"/>
      <c r="I262" s="153"/>
      <c r="J262" s="153"/>
      <c r="K262" s="153"/>
      <c r="L262" s="153"/>
      <c r="M262" s="152"/>
      <c r="N262" s="153"/>
      <c r="O262" s="153"/>
      <c r="P262" s="153"/>
      <c r="Q262" s="153"/>
      <c r="R262" s="153"/>
      <c r="S262" s="152"/>
      <c r="T262" s="153"/>
      <c r="U262" s="153"/>
      <c r="V262" s="153"/>
      <c r="W262" s="153"/>
      <c r="X262" s="153"/>
    </row>
    <row r="263" spans="1:24">
      <c r="A263" s="76"/>
      <c r="B263" s="77"/>
      <c r="C263" s="77"/>
      <c r="D263" s="77"/>
      <c r="E263" s="77"/>
      <c r="F263" s="77"/>
      <c r="G263" s="152"/>
      <c r="H263" s="153"/>
      <c r="I263" s="153"/>
      <c r="J263" s="153"/>
      <c r="K263" s="153"/>
      <c r="L263" s="153"/>
      <c r="M263" s="152"/>
      <c r="N263" s="153"/>
      <c r="O263" s="153"/>
      <c r="P263" s="153"/>
      <c r="Q263" s="153"/>
      <c r="R263" s="153"/>
      <c r="S263" s="152"/>
      <c r="T263" s="153"/>
      <c r="U263" s="153"/>
      <c r="V263" s="153"/>
      <c r="W263" s="153"/>
      <c r="X263" s="153"/>
    </row>
    <row r="264" spans="1:24">
      <c r="A264" s="76"/>
      <c r="B264" s="77"/>
      <c r="C264" s="77"/>
      <c r="D264" s="77"/>
      <c r="E264" s="77"/>
      <c r="F264" s="77"/>
      <c r="G264" s="152"/>
      <c r="H264" s="153"/>
      <c r="I264" s="153"/>
      <c r="J264" s="153"/>
      <c r="K264" s="153"/>
      <c r="L264" s="153"/>
      <c r="M264" s="152"/>
      <c r="N264" s="153"/>
      <c r="O264" s="153"/>
      <c r="P264" s="153"/>
      <c r="Q264" s="153"/>
      <c r="R264" s="153"/>
      <c r="S264" s="152"/>
      <c r="T264" s="153"/>
      <c r="U264" s="153"/>
      <c r="V264" s="153"/>
      <c r="W264" s="153"/>
      <c r="X264" s="153"/>
    </row>
    <row r="265" spans="1:24">
      <c r="A265" s="76"/>
      <c r="B265" s="77"/>
      <c r="C265" s="77"/>
      <c r="D265" s="77"/>
      <c r="E265" s="77"/>
      <c r="F265" s="77"/>
      <c r="G265" s="152"/>
      <c r="H265" s="153"/>
      <c r="I265" s="153"/>
      <c r="J265" s="153"/>
      <c r="K265" s="153"/>
      <c r="L265" s="153"/>
      <c r="M265" s="152"/>
      <c r="N265" s="153"/>
      <c r="O265" s="153"/>
      <c r="P265" s="153"/>
      <c r="Q265" s="153"/>
      <c r="R265" s="153"/>
      <c r="S265" s="152"/>
      <c r="T265" s="153"/>
      <c r="U265" s="153"/>
      <c r="V265" s="153"/>
      <c r="W265" s="153"/>
      <c r="X265" s="153"/>
    </row>
    <row r="266" spans="1:24">
      <c r="A266" s="76"/>
      <c r="B266" s="77"/>
      <c r="C266" s="77"/>
      <c r="D266" s="77"/>
      <c r="E266" s="77"/>
      <c r="F266" s="77"/>
      <c r="G266" s="152"/>
      <c r="H266" s="153"/>
      <c r="I266" s="153"/>
      <c r="J266" s="153"/>
      <c r="K266" s="153"/>
      <c r="L266" s="153"/>
      <c r="M266" s="152"/>
      <c r="N266" s="153"/>
      <c r="O266" s="153"/>
      <c r="P266" s="153"/>
      <c r="Q266" s="153"/>
      <c r="R266" s="153"/>
      <c r="S266" s="152"/>
      <c r="T266" s="153"/>
      <c r="U266" s="153"/>
      <c r="V266" s="153"/>
      <c r="W266" s="153"/>
      <c r="X266" s="153"/>
    </row>
    <row r="267" spans="1:24">
      <c r="A267" s="76"/>
      <c r="B267" s="77"/>
      <c r="C267" s="77"/>
      <c r="D267" s="77"/>
      <c r="E267" s="77"/>
      <c r="F267" s="77"/>
      <c r="G267" s="152"/>
      <c r="H267" s="153"/>
      <c r="I267" s="153"/>
      <c r="J267" s="153"/>
      <c r="K267" s="153"/>
      <c r="L267" s="153"/>
      <c r="M267" s="152"/>
      <c r="N267" s="153"/>
      <c r="O267" s="153"/>
      <c r="P267" s="153"/>
      <c r="Q267" s="153"/>
      <c r="R267" s="153"/>
      <c r="S267" s="152"/>
      <c r="T267" s="153"/>
      <c r="U267" s="153"/>
      <c r="V267" s="153"/>
      <c r="W267" s="153"/>
      <c r="X267" s="153"/>
    </row>
    <row r="268" spans="1:24">
      <c r="A268" s="76"/>
      <c r="B268" s="77"/>
      <c r="C268" s="77"/>
      <c r="D268" s="77"/>
      <c r="E268" s="77"/>
      <c r="F268" s="77"/>
      <c r="G268" s="152"/>
      <c r="H268" s="153"/>
      <c r="I268" s="153"/>
      <c r="J268" s="153"/>
      <c r="K268" s="153"/>
      <c r="L268" s="153"/>
      <c r="M268" s="152"/>
      <c r="N268" s="153"/>
      <c r="O268" s="153"/>
      <c r="P268" s="153"/>
      <c r="Q268" s="153"/>
      <c r="R268" s="153"/>
      <c r="S268" s="152"/>
      <c r="T268" s="153"/>
      <c r="U268" s="153"/>
      <c r="V268" s="153"/>
      <c r="W268" s="153"/>
      <c r="X268" s="153"/>
    </row>
    <row r="269" spans="1:24">
      <c r="A269" s="76"/>
      <c r="B269" s="77"/>
      <c r="C269" s="77"/>
      <c r="D269" s="77"/>
      <c r="E269" s="77"/>
      <c r="F269" s="77"/>
      <c r="G269" s="152"/>
      <c r="H269" s="153"/>
      <c r="I269" s="153"/>
      <c r="J269" s="153"/>
      <c r="K269" s="153"/>
      <c r="L269" s="153"/>
      <c r="M269" s="152"/>
      <c r="N269" s="153"/>
      <c r="O269" s="153"/>
      <c r="P269" s="153"/>
      <c r="Q269" s="153"/>
      <c r="R269" s="153"/>
      <c r="S269" s="152"/>
      <c r="T269" s="153"/>
      <c r="U269" s="153"/>
      <c r="V269" s="153"/>
      <c r="W269" s="153"/>
      <c r="X269" s="153"/>
    </row>
    <row r="270" spans="1:24">
      <c r="A270" s="76"/>
      <c r="B270" s="77"/>
      <c r="C270" s="77"/>
      <c r="D270" s="77"/>
      <c r="E270" s="77"/>
      <c r="F270" s="77"/>
      <c r="G270" s="152"/>
      <c r="H270" s="153"/>
      <c r="I270" s="153"/>
      <c r="J270" s="153"/>
      <c r="K270" s="153"/>
      <c r="L270" s="153"/>
      <c r="M270" s="152"/>
      <c r="N270" s="153"/>
      <c r="O270" s="153"/>
      <c r="P270" s="153"/>
      <c r="Q270" s="153"/>
      <c r="R270" s="153"/>
      <c r="S270" s="152"/>
      <c r="T270" s="153"/>
      <c r="U270" s="153"/>
      <c r="V270" s="153"/>
      <c r="W270" s="153"/>
      <c r="X270" s="153"/>
    </row>
    <row r="271" spans="1:24">
      <c r="A271" s="76"/>
      <c r="B271" s="77"/>
      <c r="C271" s="77"/>
      <c r="D271" s="77"/>
      <c r="E271" s="77"/>
      <c r="F271" s="77"/>
      <c r="G271" s="152"/>
      <c r="H271" s="153"/>
      <c r="I271" s="153"/>
      <c r="J271" s="153"/>
      <c r="K271" s="153"/>
      <c r="L271" s="153"/>
      <c r="M271" s="152"/>
      <c r="N271" s="153"/>
      <c r="O271" s="153"/>
      <c r="P271" s="153"/>
      <c r="Q271" s="153"/>
      <c r="R271" s="153"/>
      <c r="S271" s="152"/>
      <c r="T271" s="153"/>
      <c r="U271" s="153"/>
      <c r="V271" s="153"/>
      <c r="W271" s="153"/>
      <c r="X271" s="153"/>
    </row>
    <row r="272" spans="1:24">
      <c r="A272" s="76"/>
      <c r="B272" s="77"/>
      <c r="C272" s="77"/>
      <c r="D272" s="77"/>
      <c r="E272" s="77"/>
      <c r="F272" s="77"/>
      <c r="G272" s="152"/>
      <c r="H272" s="153"/>
      <c r="I272" s="153"/>
      <c r="J272" s="153"/>
      <c r="K272" s="153"/>
      <c r="L272" s="153"/>
      <c r="M272" s="152"/>
      <c r="N272" s="153"/>
      <c r="O272" s="153"/>
      <c r="P272" s="153"/>
      <c r="Q272" s="153"/>
      <c r="R272" s="153"/>
      <c r="S272" s="152"/>
      <c r="T272" s="153"/>
      <c r="U272" s="153"/>
      <c r="V272" s="153"/>
      <c r="W272" s="153"/>
      <c r="X272" s="153"/>
    </row>
    <row r="273" spans="1:24">
      <c r="A273" s="76"/>
      <c r="B273" s="77"/>
      <c r="C273" s="77"/>
      <c r="D273" s="77"/>
      <c r="E273" s="77"/>
      <c r="F273" s="77"/>
      <c r="G273" s="152"/>
      <c r="H273" s="153"/>
      <c r="I273" s="153"/>
      <c r="J273" s="153"/>
      <c r="K273" s="153"/>
      <c r="L273" s="153"/>
      <c r="M273" s="152"/>
      <c r="N273" s="153"/>
      <c r="O273" s="153"/>
      <c r="P273" s="153"/>
      <c r="Q273" s="153"/>
      <c r="R273" s="153"/>
      <c r="S273" s="152"/>
      <c r="T273" s="153"/>
      <c r="U273" s="153"/>
      <c r="V273" s="153"/>
      <c r="W273" s="153"/>
      <c r="X273" s="153"/>
    </row>
    <row r="274" spans="1:24">
      <c r="A274" s="76"/>
      <c r="B274" s="77"/>
      <c r="C274" s="77"/>
      <c r="D274" s="77"/>
      <c r="E274" s="77"/>
      <c r="F274" s="77"/>
      <c r="G274" s="152"/>
      <c r="H274" s="153"/>
      <c r="I274" s="153"/>
      <c r="J274" s="153"/>
      <c r="K274" s="153"/>
      <c r="L274" s="153"/>
      <c r="M274" s="152"/>
      <c r="N274" s="153"/>
      <c r="O274" s="153"/>
      <c r="P274" s="153"/>
      <c r="Q274" s="153"/>
      <c r="R274" s="153"/>
      <c r="S274" s="152"/>
      <c r="T274" s="153"/>
      <c r="U274" s="153"/>
      <c r="V274" s="153"/>
      <c r="W274" s="153"/>
      <c r="X274" s="153"/>
    </row>
    <row r="275" spans="1:24">
      <c r="A275" s="76"/>
      <c r="B275" s="77"/>
      <c r="C275" s="77"/>
      <c r="D275" s="77"/>
      <c r="E275" s="77"/>
      <c r="F275" s="77"/>
      <c r="G275" s="152"/>
      <c r="H275" s="153"/>
      <c r="I275" s="153"/>
      <c r="J275" s="153"/>
      <c r="K275" s="153"/>
      <c r="L275" s="153"/>
      <c r="M275" s="152"/>
      <c r="N275" s="153"/>
      <c r="O275" s="153"/>
      <c r="P275" s="153"/>
      <c r="Q275" s="153"/>
      <c r="R275" s="153"/>
      <c r="S275" s="152"/>
      <c r="T275" s="153"/>
      <c r="U275" s="153"/>
      <c r="V275" s="153"/>
      <c r="W275" s="153"/>
      <c r="X275" s="153"/>
    </row>
    <row r="276" spans="1:24">
      <c r="A276" s="76"/>
      <c r="B276" s="77"/>
      <c r="C276" s="77"/>
      <c r="D276" s="77"/>
      <c r="E276" s="77"/>
      <c r="F276" s="77"/>
      <c r="G276" s="152"/>
      <c r="H276" s="153"/>
      <c r="I276" s="153"/>
      <c r="J276" s="153"/>
      <c r="K276" s="153"/>
      <c r="L276" s="153"/>
      <c r="M276" s="152"/>
      <c r="N276" s="153"/>
      <c r="O276" s="153"/>
      <c r="P276" s="153"/>
      <c r="Q276" s="153"/>
      <c r="R276" s="153"/>
      <c r="S276" s="152"/>
      <c r="T276" s="153"/>
      <c r="U276" s="153"/>
      <c r="V276" s="153"/>
      <c r="W276" s="153"/>
      <c r="X276" s="153"/>
    </row>
    <row r="277" spans="1:24">
      <c r="A277" s="76"/>
      <c r="B277" s="77"/>
      <c r="C277" s="77"/>
      <c r="D277" s="77"/>
      <c r="E277" s="77"/>
      <c r="F277" s="77"/>
      <c r="G277" s="152"/>
      <c r="H277" s="153"/>
      <c r="I277" s="153"/>
      <c r="J277" s="153"/>
      <c r="K277" s="153"/>
      <c r="L277" s="153"/>
      <c r="M277" s="152"/>
      <c r="N277" s="153"/>
      <c r="O277" s="153"/>
      <c r="P277" s="153"/>
      <c r="Q277" s="153"/>
      <c r="R277" s="153"/>
      <c r="S277" s="152"/>
      <c r="T277" s="153"/>
      <c r="U277" s="153"/>
      <c r="V277" s="153"/>
      <c r="W277" s="153"/>
      <c r="X277" s="153"/>
    </row>
    <row r="278" spans="1:24">
      <c r="A278" s="76"/>
      <c r="B278" s="77"/>
      <c r="C278" s="77"/>
      <c r="D278" s="77"/>
      <c r="E278" s="77"/>
      <c r="F278" s="77"/>
      <c r="G278" s="152"/>
      <c r="H278" s="153"/>
      <c r="I278" s="153"/>
      <c r="J278" s="153"/>
      <c r="K278" s="153"/>
      <c r="L278" s="153"/>
      <c r="M278" s="152"/>
      <c r="N278" s="153"/>
      <c r="O278" s="153"/>
      <c r="P278" s="153"/>
      <c r="Q278" s="153"/>
      <c r="R278" s="153"/>
      <c r="S278" s="152"/>
      <c r="T278" s="153"/>
      <c r="U278" s="153"/>
      <c r="V278" s="153"/>
      <c r="W278" s="153"/>
      <c r="X278" s="153"/>
    </row>
    <row r="279" spans="1:24">
      <c r="A279" s="76"/>
      <c r="B279" s="77"/>
      <c r="C279" s="77"/>
      <c r="D279" s="77"/>
      <c r="E279" s="77"/>
      <c r="F279" s="77"/>
      <c r="G279" s="152"/>
      <c r="H279" s="153"/>
      <c r="I279" s="153"/>
      <c r="J279" s="153"/>
      <c r="K279" s="153"/>
      <c r="L279" s="153"/>
      <c r="M279" s="152"/>
      <c r="N279" s="153"/>
      <c r="O279" s="153"/>
      <c r="P279" s="153"/>
      <c r="Q279" s="153"/>
      <c r="R279" s="153"/>
      <c r="S279" s="152"/>
      <c r="T279" s="153"/>
      <c r="U279" s="153"/>
      <c r="V279" s="153"/>
      <c r="W279" s="153"/>
      <c r="X279" s="153"/>
    </row>
    <row r="280" spans="1:24">
      <c r="A280" s="76"/>
      <c r="B280" s="77"/>
      <c r="C280" s="77"/>
      <c r="D280" s="77"/>
      <c r="E280" s="77"/>
      <c r="F280" s="77"/>
      <c r="G280" s="152"/>
      <c r="H280" s="153"/>
      <c r="I280" s="153"/>
      <c r="J280" s="153"/>
      <c r="K280" s="153"/>
      <c r="L280" s="153"/>
      <c r="M280" s="152"/>
      <c r="N280" s="153"/>
      <c r="O280" s="153"/>
      <c r="P280" s="153"/>
      <c r="Q280" s="153"/>
      <c r="R280" s="153"/>
      <c r="S280" s="152"/>
      <c r="T280" s="153"/>
      <c r="U280" s="153"/>
      <c r="V280" s="153"/>
      <c r="W280" s="153"/>
      <c r="X280" s="153"/>
    </row>
    <row r="281" spans="1:24">
      <c r="A281" s="76"/>
      <c r="B281" s="77"/>
      <c r="C281" s="77"/>
      <c r="D281" s="77"/>
      <c r="E281" s="77"/>
      <c r="F281" s="77"/>
      <c r="G281" s="152"/>
      <c r="H281" s="153"/>
      <c r="I281" s="153"/>
      <c r="J281" s="153"/>
      <c r="K281" s="153"/>
      <c r="L281" s="153"/>
      <c r="M281" s="152"/>
      <c r="N281" s="153"/>
      <c r="O281" s="153"/>
      <c r="P281" s="153"/>
      <c r="Q281" s="153"/>
      <c r="R281" s="153"/>
      <c r="S281" s="152"/>
      <c r="T281" s="153"/>
      <c r="U281" s="153"/>
      <c r="V281" s="153"/>
      <c r="W281" s="153"/>
      <c r="X281" s="153"/>
    </row>
    <row r="282" spans="1:24">
      <c r="A282" s="76"/>
      <c r="B282" s="77"/>
      <c r="C282" s="77"/>
      <c r="D282" s="77"/>
      <c r="E282" s="77"/>
      <c r="F282" s="77"/>
      <c r="G282" s="152"/>
      <c r="H282" s="153"/>
      <c r="I282" s="153"/>
      <c r="J282" s="153"/>
      <c r="K282" s="153"/>
      <c r="L282" s="153"/>
      <c r="M282" s="152"/>
      <c r="N282" s="153"/>
      <c r="O282" s="153"/>
      <c r="P282" s="153"/>
      <c r="Q282" s="153"/>
      <c r="R282" s="153"/>
      <c r="S282" s="152"/>
      <c r="T282" s="153"/>
      <c r="U282" s="153"/>
      <c r="V282" s="153"/>
      <c r="W282" s="153"/>
      <c r="X282" s="153"/>
    </row>
    <row r="283" spans="1:24">
      <c r="A283" s="76"/>
      <c r="B283" s="77"/>
      <c r="C283" s="77"/>
      <c r="D283" s="77"/>
      <c r="E283" s="77"/>
      <c r="F283" s="77"/>
      <c r="G283" s="152"/>
      <c r="H283" s="153"/>
      <c r="I283" s="153"/>
      <c r="J283" s="153"/>
      <c r="K283" s="153"/>
      <c r="L283" s="153"/>
      <c r="M283" s="152"/>
      <c r="N283" s="153"/>
      <c r="O283" s="153"/>
      <c r="P283" s="153"/>
      <c r="Q283" s="153"/>
      <c r="R283" s="153"/>
      <c r="S283" s="152"/>
      <c r="T283" s="153"/>
      <c r="U283" s="153"/>
      <c r="V283" s="153"/>
      <c r="W283" s="153"/>
      <c r="X283" s="153"/>
    </row>
    <row r="284" spans="1:24">
      <c r="A284" s="76"/>
      <c r="B284" s="77"/>
      <c r="C284" s="77"/>
      <c r="D284" s="77"/>
      <c r="E284" s="77"/>
      <c r="F284" s="77"/>
      <c r="G284" s="152"/>
      <c r="H284" s="153"/>
      <c r="I284" s="153"/>
      <c r="J284" s="153"/>
      <c r="K284" s="153"/>
      <c r="L284" s="153"/>
      <c r="M284" s="152"/>
      <c r="N284" s="153"/>
      <c r="O284" s="153"/>
      <c r="P284" s="153"/>
      <c r="Q284" s="153"/>
      <c r="R284" s="153"/>
      <c r="S284" s="152"/>
      <c r="T284" s="153"/>
      <c r="U284" s="153"/>
      <c r="V284" s="153"/>
      <c r="W284" s="153"/>
      <c r="X284" s="153"/>
    </row>
    <row r="285" spans="1:24">
      <c r="A285" s="76"/>
      <c r="B285" s="77"/>
      <c r="C285" s="77"/>
      <c r="D285" s="77"/>
      <c r="E285" s="77"/>
      <c r="F285" s="77"/>
      <c r="G285" s="152"/>
      <c r="H285" s="153"/>
      <c r="I285" s="153"/>
      <c r="J285" s="153"/>
      <c r="K285" s="153"/>
      <c r="L285" s="153"/>
      <c r="M285" s="152"/>
      <c r="N285" s="153"/>
      <c r="O285" s="153"/>
      <c r="P285" s="153"/>
      <c r="Q285" s="153"/>
      <c r="R285" s="153"/>
      <c r="S285" s="152"/>
      <c r="T285" s="153"/>
      <c r="U285" s="153"/>
      <c r="V285" s="153"/>
      <c r="W285" s="153"/>
      <c r="X285" s="153"/>
    </row>
    <row r="286" spans="1:24">
      <c r="A286" s="76"/>
      <c r="B286" s="77"/>
      <c r="C286" s="77"/>
      <c r="D286" s="77"/>
      <c r="E286" s="77"/>
      <c r="F286" s="77"/>
      <c r="G286" s="152"/>
      <c r="H286" s="153"/>
      <c r="I286" s="153"/>
      <c r="J286" s="153"/>
      <c r="K286" s="153"/>
      <c r="L286" s="153"/>
      <c r="M286" s="152"/>
      <c r="N286" s="153"/>
      <c r="O286" s="153"/>
      <c r="P286" s="153"/>
      <c r="Q286" s="153"/>
      <c r="R286" s="153"/>
      <c r="S286" s="152"/>
      <c r="T286" s="153"/>
      <c r="U286" s="153"/>
      <c r="V286" s="153"/>
      <c r="W286" s="153"/>
      <c r="X286" s="153"/>
    </row>
    <row r="287" spans="1:24">
      <c r="A287" s="76"/>
      <c r="B287" s="77"/>
      <c r="C287" s="77"/>
      <c r="D287" s="77"/>
      <c r="E287" s="77"/>
      <c r="F287" s="77"/>
      <c r="G287" s="152"/>
      <c r="H287" s="153"/>
      <c r="I287" s="153"/>
      <c r="J287" s="153"/>
      <c r="K287" s="153"/>
      <c r="L287" s="153"/>
      <c r="M287" s="152"/>
      <c r="N287" s="153"/>
      <c r="O287" s="153"/>
      <c r="P287" s="153"/>
      <c r="Q287" s="153"/>
      <c r="R287" s="153"/>
      <c r="S287" s="152"/>
      <c r="T287" s="153"/>
      <c r="U287" s="153"/>
      <c r="V287" s="153"/>
      <c r="W287" s="153"/>
      <c r="X287" s="153"/>
    </row>
    <row r="288" spans="1:24">
      <c r="A288" s="76"/>
      <c r="B288" s="77"/>
      <c r="C288" s="77"/>
      <c r="D288" s="77"/>
      <c r="E288" s="77"/>
      <c r="F288" s="77"/>
      <c r="G288" s="152"/>
      <c r="H288" s="153"/>
      <c r="I288" s="153"/>
      <c r="J288" s="153"/>
      <c r="K288" s="153"/>
      <c r="L288" s="153"/>
      <c r="M288" s="152"/>
      <c r="N288" s="153"/>
      <c r="O288" s="153"/>
      <c r="P288" s="153"/>
      <c r="Q288" s="153"/>
      <c r="R288" s="153"/>
      <c r="S288" s="152"/>
      <c r="T288" s="153"/>
      <c r="U288" s="153"/>
      <c r="V288" s="153"/>
      <c r="W288" s="153"/>
      <c r="X288" s="153"/>
    </row>
    <row r="289" spans="1:24">
      <c r="A289" s="76"/>
      <c r="B289" s="77"/>
      <c r="C289" s="77"/>
      <c r="D289" s="77"/>
      <c r="E289" s="77"/>
      <c r="F289" s="77"/>
      <c r="G289" s="152"/>
      <c r="H289" s="153"/>
      <c r="I289" s="153"/>
      <c r="J289" s="153"/>
      <c r="K289" s="153"/>
      <c r="L289" s="153"/>
      <c r="M289" s="152"/>
      <c r="N289" s="153"/>
      <c r="O289" s="153"/>
      <c r="P289" s="153"/>
      <c r="Q289" s="153"/>
      <c r="R289" s="153"/>
      <c r="S289" s="152"/>
      <c r="T289" s="153"/>
      <c r="U289" s="153"/>
      <c r="V289" s="153"/>
      <c r="W289" s="153"/>
      <c r="X289" s="153"/>
    </row>
    <row r="290" spans="1:24">
      <c r="A290" s="76"/>
      <c r="B290" s="77"/>
      <c r="C290" s="77"/>
      <c r="D290" s="77"/>
      <c r="E290" s="77"/>
      <c r="F290" s="77"/>
      <c r="G290" s="152"/>
      <c r="H290" s="153"/>
      <c r="I290" s="153"/>
      <c r="J290" s="153"/>
      <c r="K290" s="153"/>
      <c r="L290" s="153"/>
      <c r="M290" s="152"/>
      <c r="N290" s="153"/>
      <c r="O290" s="153"/>
      <c r="P290" s="153"/>
      <c r="Q290" s="153"/>
      <c r="R290" s="153"/>
      <c r="S290" s="152"/>
      <c r="T290" s="153"/>
      <c r="U290" s="153"/>
      <c r="V290" s="153"/>
      <c r="W290" s="153"/>
      <c r="X290" s="153"/>
    </row>
    <row r="291" spans="1:24">
      <c r="A291" s="76"/>
      <c r="B291" s="77"/>
      <c r="C291" s="77"/>
      <c r="D291" s="77"/>
      <c r="E291" s="77"/>
      <c r="F291" s="77"/>
      <c r="G291" s="152"/>
      <c r="H291" s="153"/>
      <c r="I291" s="153"/>
      <c r="J291" s="153"/>
      <c r="K291" s="153"/>
      <c r="L291" s="153"/>
      <c r="M291" s="152"/>
      <c r="N291" s="153"/>
      <c r="O291" s="153"/>
      <c r="P291" s="153"/>
      <c r="Q291" s="153"/>
      <c r="R291" s="153"/>
      <c r="S291" s="152"/>
      <c r="T291" s="153"/>
      <c r="U291" s="153"/>
      <c r="V291" s="153"/>
      <c r="W291" s="153"/>
      <c r="X291" s="153"/>
    </row>
    <row r="292" spans="1:24">
      <c r="A292" s="76"/>
      <c r="B292" s="77"/>
      <c r="C292" s="77"/>
      <c r="D292" s="77"/>
      <c r="E292" s="77"/>
      <c r="F292" s="77"/>
      <c r="G292" s="152"/>
      <c r="H292" s="153"/>
      <c r="I292" s="153"/>
      <c r="J292" s="153"/>
      <c r="K292" s="153"/>
      <c r="L292" s="153"/>
      <c r="M292" s="152"/>
      <c r="N292" s="153"/>
      <c r="O292" s="153"/>
      <c r="P292" s="153"/>
      <c r="Q292" s="153"/>
      <c r="R292" s="153"/>
      <c r="S292" s="152"/>
      <c r="T292" s="153"/>
      <c r="U292" s="153"/>
      <c r="V292" s="153"/>
      <c r="W292" s="153"/>
      <c r="X292" s="153"/>
    </row>
    <row r="293" spans="1:24">
      <c r="A293" s="76"/>
      <c r="B293" s="77"/>
      <c r="C293" s="77"/>
      <c r="D293" s="77"/>
      <c r="E293" s="77"/>
      <c r="F293" s="77"/>
      <c r="G293" s="152"/>
      <c r="H293" s="153"/>
      <c r="I293" s="153"/>
      <c r="J293" s="153"/>
      <c r="K293" s="153"/>
      <c r="L293" s="153"/>
      <c r="M293" s="152"/>
      <c r="N293" s="153"/>
      <c r="O293" s="153"/>
      <c r="P293" s="153"/>
      <c r="Q293" s="153"/>
      <c r="R293" s="153"/>
      <c r="S293" s="152"/>
      <c r="T293" s="153"/>
      <c r="U293" s="153"/>
      <c r="V293" s="153"/>
      <c r="W293" s="153"/>
      <c r="X293" s="153"/>
    </row>
    <row r="294" spans="1:24">
      <c r="A294" s="76"/>
      <c r="B294" s="77"/>
      <c r="C294" s="77"/>
      <c r="D294" s="77"/>
      <c r="E294" s="77"/>
      <c r="F294" s="77"/>
      <c r="G294" s="152"/>
      <c r="H294" s="153"/>
      <c r="I294" s="153"/>
      <c r="J294" s="153"/>
      <c r="K294" s="153"/>
      <c r="L294" s="153"/>
      <c r="M294" s="152"/>
      <c r="N294" s="153"/>
      <c r="O294" s="153"/>
      <c r="P294" s="153"/>
      <c r="Q294" s="153"/>
      <c r="R294" s="153"/>
      <c r="S294" s="152"/>
      <c r="T294" s="153"/>
      <c r="U294" s="153"/>
      <c r="V294" s="153"/>
      <c r="W294" s="153"/>
      <c r="X294" s="153"/>
    </row>
    <row r="295" spans="1:24">
      <c r="A295" s="76"/>
      <c r="B295" s="77"/>
      <c r="C295" s="77"/>
      <c r="D295" s="77"/>
      <c r="E295" s="77"/>
      <c r="F295" s="77"/>
      <c r="G295" s="152"/>
      <c r="H295" s="153"/>
      <c r="I295" s="153"/>
      <c r="J295" s="153"/>
      <c r="K295" s="153"/>
      <c r="L295" s="153"/>
      <c r="M295" s="152"/>
      <c r="N295" s="153"/>
      <c r="O295" s="153"/>
      <c r="P295" s="153"/>
      <c r="Q295" s="153"/>
      <c r="R295" s="153"/>
      <c r="S295" s="152"/>
      <c r="T295" s="153"/>
      <c r="U295" s="153"/>
      <c r="V295" s="153"/>
      <c r="W295" s="153"/>
      <c r="X295" s="153"/>
    </row>
    <row r="296" spans="1:24">
      <c r="A296" s="76"/>
      <c r="B296" s="77"/>
      <c r="C296" s="77"/>
      <c r="D296" s="77"/>
      <c r="E296" s="77"/>
      <c r="F296" s="77"/>
      <c r="G296" s="152"/>
      <c r="H296" s="153"/>
      <c r="I296" s="153"/>
      <c r="J296" s="153"/>
      <c r="K296" s="153"/>
      <c r="L296" s="153"/>
      <c r="M296" s="152"/>
      <c r="N296" s="153"/>
      <c r="O296" s="153"/>
      <c r="P296" s="153"/>
      <c r="Q296" s="153"/>
      <c r="R296" s="153"/>
      <c r="S296" s="152"/>
      <c r="T296" s="153"/>
      <c r="U296" s="153"/>
      <c r="V296" s="153"/>
      <c r="W296" s="153"/>
      <c r="X296" s="153"/>
    </row>
    <row r="297" spans="1:24">
      <c r="A297" s="76"/>
      <c r="B297" s="77"/>
      <c r="C297" s="77"/>
      <c r="D297" s="77"/>
      <c r="E297" s="77"/>
      <c r="F297" s="77"/>
      <c r="G297" s="152"/>
      <c r="H297" s="153"/>
      <c r="I297" s="153"/>
      <c r="J297" s="153"/>
      <c r="K297" s="153"/>
      <c r="L297" s="153"/>
      <c r="M297" s="152"/>
      <c r="N297" s="153"/>
      <c r="O297" s="153"/>
      <c r="P297" s="153"/>
      <c r="Q297" s="153"/>
      <c r="R297" s="153"/>
      <c r="S297" s="152"/>
      <c r="T297" s="153"/>
      <c r="U297" s="153"/>
      <c r="V297" s="153"/>
      <c r="W297" s="153"/>
      <c r="X297" s="153"/>
    </row>
    <row r="298" spans="1:24">
      <c r="A298" s="76"/>
      <c r="B298" s="77"/>
      <c r="C298" s="77"/>
      <c r="D298" s="77"/>
      <c r="E298" s="77"/>
      <c r="F298" s="77"/>
      <c r="G298" s="152"/>
      <c r="H298" s="153"/>
      <c r="I298" s="153"/>
      <c r="J298" s="153"/>
      <c r="K298" s="153"/>
      <c r="L298" s="153"/>
      <c r="M298" s="152"/>
      <c r="N298" s="153"/>
      <c r="O298" s="153"/>
      <c r="P298" s="153"/>
      <c r="Q298" s="153"/>
      <c r="R298" s="153"/>
      <c r="S298" s="152"/>
      <c r="T298" s="153"/>
      <c r="U298" s="153"/>
      <c r="V298" s="153"/>
      <c r="W298" s="153"/>
      <c r="X298" s="153"/>
    </row>
    <row r="299" spans="1:24">
      <c r="A299" s="76"/>
      <c r="B299" s="77"/>
      <c r="C299" s="77"/>
      <c r="D299" s="77"/>
      <c r="E299" s="77"/>
      <c r="F299" s="77"/>
      <c r="G299" s="152"/>
      <c r="H299" s="153"/>
      <c r="I299" s="153"/>
      <c r="J299" s="153"/>
      <c r="K299" s="153"/>
      <c r="L299" s="153"/>
      <c r="M299" s="152"/>
      <c r="N299" s="153"/>
      <c r="O299" s="153"/>
      <c r="P299" s="153"/>
      <c r="Q299" s="153"/>
      <c r="R299" s="153"/>
      <c r="S299" s="152"/>
      <c r="T299" s="153"/>
      <c r="U299" s="153"/>
      <c r="V299" s="153"/>
      <c r="W299" s="153"/>
      <c r="X299" s="153"/>
    </row>
    <row r="300" spans="1:24">
      <c r="A300" s="76"/>
      <c r="B300" s="77"/>
      <c r="C300" s="77"/>
      <c r="D300" s="77"/>
      <c r="E300" s="77"/>
      <c r="F300" s="77"/>
      <c r="G300" s="152"/>
      <c r="H300" s="153"/>
      <c r="I300" s="153"/>
      <c r="J300" s="153"/>
      <c r="K300" s="153"/>
      <c r="L300" s="153"/>
      <c r="M300" s="152"/>
      <c r="N300" s="153"/>
      <c r="O300" s="153"/>
      <c r="P300" s="153"/>
      <c r="Q300" s="153"/>
      <c r="R300" s="153"/>
      <c r="S300" s="152"/>
      <c r="T300" s="153"/>
      <c r="U300" s="153"/>
      <c r="V300" s="153"/>
      <c r="W300" s="153"/>
      <c r="X300" s="153"/>
    </row>
    <row r="301" spans="1:24">
      <c r="A301" s="76"/>
      <c r="B301" s="77"/>
      <c r="C301" s="77"/>
      <c r="D301" s="77"/>
      <c r="E301" s="77"/>
      <c r="F301" s="77"/>
      <c r="G301" s="152"/>
      <c r="H301" s="153"/>
      <c r="I301" s="153"/>
      <c r="J301" s="153"/>
      <c r="K301" s="153"/>
      <c r="L301" s="153"/>
      <c r="M301" s="152"/>
      <c r="N301" s="153"/>
      <c r="O301" s="153"/>
      <c r="P301" s="153"/>
      <c r="Q301" s="153"/>
      <c r="R301" s="153"/>
      <c r="S301" s="152"/>
      <c r="T301" s="153"/>
      <c r="U301" s="153"/>
      <c r="V301" s="153"/>
      <c r="W301" s="153"/>
      <c r="X301" s="153"/>
    </row>
    <row r="302" spans="1:24">
      <c r="A302" s="76"/>
      <c r="B302" s="77"/>
      <c r="C302" s="77"/>
      <c r="D302" s="77"/>
      <c r="E302" s="77"/>
      <c r="F302" s="77"/>
      <c r="G302" s="152"/>
      <c r="H302" s="153"/>
      <c r="I302" s="153"/>
      <c r="J302" s="153"/>
      <c r="K302" s="153"/>
      <c r="L302" s="153"/>
      <c r="M302" s="152"/>
      <c r="N302" s="153"/>
      <c r="O302" s="153"/>
      <c r="P302" s="153"/>
      <c r="Q302" s="153"/>
      <c r="R302" s="153"/>
      <c r="S302" s="152"/>
      <c r="T302" s="153"/>
      <c r="U302" s="153"/>
      <c r="V302" s="153"/>
      <c r="W302" s="153"/>
      <c r="X302" s="153"/>
    </row>
    <row r="303" spans="1:24">
      <c r="A303" s="76"/>
      <c r="B303" s="77"/>
      <c r="C303" s="77"/>
      <c r="D303" s="77"/>
      <c r="E303" s="77"/>
      <c r="F303" s="77"/>
      <c r="G303" s="152"/>
      <c r="H303" s="153"/>
      <c r="I303" s="153"/>
      <c r="J303" s="153"/>
      <c r="K303" s="153"/>
      <c r="L303" s="153"/>
      <c r="M303" s="152"/>
      <c r="N303" s="153"/>
      <c r="O303" s="153"/>
      <c r="P303" s="153"/>
      <c r="Q303" s="153"/>
      <c r="R303" s="153"/>
      <c r="S303" s="152"/>
      <c r="T303" s="153"/>
      <c r="U303" s="153"/>
      <c r="V303" s="153"/>
      <c r="W303" s="153"/>
      <c r="X303" s="153"/>
    </row>
    <row r="304" spans="1:24">
      <c r="A304" s="76"/>
      <c r="B304" s="77"/>
      <c r="C304" s="77"/>
      <c r="D304" s="77"/>
      <c r="E304" s="77"/>
      <c r="F304" s="77"/>
      <c r="G304" s="152"/>
      <c r="H304" s="153"/>
      <c r="I304" s="153"/>
      <c r="J304" s="153"/>
      <c r="K304" s="153"/>
      <c r="L304" s="153"/>
      <c r="M304" s="152"/>
      <c r="N304" s="153"/>
      <c r="O304" s="153"/>
      <c r="P304" s="153"/>
      <c r="Q304" s="153"/>
      <c r="R304" s="153"/>
      <c r="S304" s="152"/>
      <c r="T304" s="153"/>
      <c r="U304" s="153"/>
      <c r="V304" s="153"/>
      <c r="W304" s="153"/>
      <c r="X304" s="153"/>
    </row>
    <row r="305" spans="1:24">
      <c r="A305" s="76"/>
      <c r="B305" s="77"/>
      <c r="C305" s="77"/>
      <c r="D305" s="77"/>
      <c r="E305" s="77"/>
      <c r="F305" s="77"/>
      <c r="G305" s="152"/>
      <c r="H305" s="153"/>
      <c r="I305" s="153"/>
      <c r="J305" s="153"/>
      <c r="K305" s="153"/>
      <c r="L305" s="153"/>
      <c r="M305" s="152"/>
      <c r="N305" s="153"/>
      <c r="O305" s="153"/>
      <c r="P305" s="153"/>
      <c r="Q305" s="153"/>
      <c r="R305" s="153"/>
      <c r="S305" s="152"/>
      <c r="T305" s="153"/>
      <c r="U305" s="153"/>
      <c r="V305" s="153"/>
      <c r="W305" s="153"/>
      <c r="X305" s="153"/>
    </row>
    <row r="306" spans="1:24">
      <c r="A306" s="76"/>
      <c r="B306" s="77"/>
      <c r="C306" s="77"/>
      <c r="D306" s="77"/>
      <c r="E306" s="77"/>
      <c r="F306" s="77"/>
      <c r="G306" s="152"/>
      <c r="H306" s="153"/>
      <c r="I306" s="153"/>
      <c r="J306" s="153"/>
      <c r="K306" s="153"/>
      <c r="L306" s="153"/>
      <c r="M306" s="152"/>
      <c r="N306" s="153"/>
      <c r="O306" s="153"/>
      <c r="P306" s="153"/>
      <c r="Q306" s="153"/>
      <c r="R306" s="153"/>
      <c r="S306" s="152"/>
      <c r="T306" s="153"/>
      <c r="U306" s="153"/>
      <c r="V306" s="153"/>
      <c r="W306" s="153"/>
      <c r="X306" s="153"/>
    </row>
    <row r="307" spans="1:24">
      <c r="A307" s="76"/>
      <c r="B307" s="77"/>
      <c r="C307" s="77"/>
      <c r="D307" s="77"/>
      <c r="E307" s="77"/>
      <c r="F307" s="77"/>
      <c r="G307" s="152"/>
      <c r="H307" s="153"/>
      <c r="I307" s="153"/>
      <c r="J307" s="153"/>
      <c r="K307" s="153"/>
      <c r="L307" s="153"/>
      <c r="M307" s="152"/>
      <c r="N307" s="153"/>
      <c r="O307" s="153"/>
      <c r="P307" s="153"/>
      <c r="Q307" s="153"/>
      <c r="R307" s="153"/>
      <c r="S307" s="152"/>
      <c r="T307" s="153"/>
      <c r="U307" s="153"/>
      <c r="V307" s="153"/>
      <c r="W307" s="153"/>
      <c r="X307" s="153"/>
    </row>
    <row r="308" spans="1:24">
      <c r="A308" s="76"/>
      <c r="B308" s="77"/>
      <c r="C308" s="77"/>
      <c r="D308" s="77"/>
      <c r="E308" s="77"/>
      <c r="F308" s="77"/>
      <c r="G308" s="152"/>
      <c r="H308" s="153"/>
      <c r="I308" s="153"/>
      <c r="J308" s="153"/>
      <c r="K308" s="153"/>
      <c r="L308" s="153"/>
      <c r="M308" s="152"/>
      <c r="N308" s="153"/>
      <c r="O308" s="153"/>
      <c r="P308" s="153"/>
      <c r="Q308" s="153"/>
      <c r="R308" s="153"/>
      <c r="S308" s="152"/>
      <c r="T308" s="153"/>
      <c r="U308" s="153"/>
      <c r="V308" s="153"/>
      <c r="W308" s="153"/>
      <c r="X308" s="153"/>
    </row>
    <row r="309" spans="1:24">
      <c r="A309" s="76"/>
      <c r="B309" s="77"/>
      <c r="C309" s="77"/>
      <c r="D309" s="77"/>
      <c r="E309" s="77"/>
      <c r="F309" s="77"/>
      <c r="G309" s="152"/>
      <c r="H309" s="153"/>
      <c r="I309" s="153"/>
      <c r="J309" s="153"/>
      <c r="K309" s="153"/>
      <c r="L309" s="153"/>
      <c r="M309" s="152"/>
      <c r="N309" s="153"/>
      <c r="O309" s="153"/>
      <c r="P309" s="153"/>
      <c r="Q309" s="153"/>
      <c r="R309" s="153"/>
      <c r="S309" s="152"/>
      <c r="T309" s="153"/>
      <c r="U309" s="153"/>
      <c r="V309" s="153"/>
      <c r="W309" s="153"/>
      <c r="X309" s="153"/>
    </row>
    <row r="310" spans="1:24">
      <c r="A310" s="76"/>
      <c r="B310" s="77"/>
      <c r="C310" s="77"/>
      <c r="D310" s="77"/>
      <c r="E310" s="77"/>
      <c r="F310" s="77"/>
      <c r="G310" s="152"/>
      <c r="H310" s="153"/>
      <c r="I310" s="153"/>
      <c r="J310" s="153"/>
      <c r="K310" s="153"/>
      <c r="L310" s="153"/>
      <c r="M310" s="152"/>
      <c r="N310" s="153"/>
      <c r="O310" s="153"/>
      <c r="P310" s="153"/>
      <c r="Q310" s="153"/>
      <c r="R310" s="153"/>
      <c r="S310" s="152"/>
      <c r="T310" s="153"/>
      <c r="U310" s="153"/>
      <c r="V310" s="153"/>
      <c r="W310" s="153"/>
      <c r="X310" s="153"/>
    </row>
    <row r="311" spans="1:24">
      <c r="A311" s="76"/>
      <c r="B311" s="77"/>
      <c r="C311" s="77"/>
      <c r="D311" s="77"/>
      <c r="E311" s="77"/>
      <c r="F311" s="77"/>
      <c r="G311" s="152"/>
      <c r="H311" s="153"/>
      <c r="I311" s="153"/>
      <c r="J311" s="153"/>
      <c r="K311" s="153"/>
      <c r="L311" s="153"/>
      <c r="M311" s="152"/>
      <c r="N311" s="153"/>
      <c r="O311" s="153"/>
      <c r="P311" s="153"/>
      <c r="Q311" s="153"/>
      <c r="R311" s="153"/>
      <c r="S311" s="152"/>
      <c r="T311" s="153"/>
      <c r="U311" s="153"/>
      <c r="V311" s="153"/>
      <c r="W311" s="153"/>
      <c r="X311" s="153"/>
    </row>
    <row r="312" spans="1:24">
      <c r="A312" s="76"/>
      <c r="B312" s="77"/>
      <c r="C312" s="77"/>
      <c r="D312" s="77"/>
      <c r="E312" s="77"/>
      <c r="F312" s="77"/>
      <c r="G312" s="152"/>
      <c r="H312" s="153"/>
      <c r="I312" s="153"/>
      <c r="J312" s="153"/>
      <c r="K312" s="153"/>
      <c r="L312" s="153"/>
      <c r="M312" s="152"/>
      <c r="N312" s="153"/>
      <c r="O312" s="153"/>
      <c r="P312" s="153"/>
      <c r="Q312" s="153"/>
      <c r="R312" s="153"/>
      <c r="S312" s="152"/>
      <c r="T312" s="153"/>
      <c r="U312" s="153"/>
      <c r="V312" s="153"/>
      <c r="W312" s="153"/>
      <c r="X312" s="153"/>
    </row>
    <row r="313" spans="1:24">
      <c r="A313" s="76"/>
      <c r="B313" s="77"/>
      <c r="C313" s="77"/>
      <c r="D313" s="77"/>
      <c r="E313" s="77"/>
      <c r="F313" s="77"/>
      <c r="G313" s="152"/>
      <c r="H313" s="153"/>
      <c r="I313" s="153"/>
      <c r="J313" s="153"/>
      <c r="K313" s="153"/>
      <c r="L313" s="153"/>
      <c r="M313" s="152"/>
      <c r="N313" s="153"/>
      <c r="O313" s="153"/>
      <c r="P313" s="153"/>
      <c r="Q313" s="153"/>
      <c r="R313" s="153"/>
      <c r="S313" s="152"/>
      <c r="T313" s="153"/>
      <c r="U313" s="153"/>
      <c r="V313" s="153"/>
      <c r="W313" s="153"/>
      <c r="X313" s="153"/>
    </row>
    <row r="314" spans="1:24">
      <c r="A314" s="76"/>
      <c r="B314" s="77"/>
      <c r="C314" s="77"/>
      <c r="D314" s="77"/>
      <c r="E314" s="77"/>
      <c r="F314" s="77"/>
      <c r="G314" s="152"/>
      <c r="H314" s="153"/>
      <c r="I314" s="153"/>
      <c r="J314" s="153"/>
      <c r="K314" s="153"/>
      <c r="L314" s="153"/>
      <c r="M314" s="152"/>
      <c r="N314" s="153"/>
      <c r="O314" s="153"/>
      <c r="P314" s="153"/>
      <c r="Q314" s="153"/>
      <c r="R314" s="153"/>
      <c r="S314" s="152"/>
      <c r="T314" s="153"/>
      <c r="U314" s="153"/>
      <c r="V314" s="153"/>
      <c r="W314" s="153"/>
      <c r="X314" s="153"/>
    </row>
    <row r="315" spans="1:24">
      <c r="A315" s="76"/>
      <c r="B315" s="77"/>
      <c r="C315" s="77"/>
      <c r="D315" s="77"/>
      <c r="E315" s="77"/>
      <c r="F315" s="77"/>
      <c r="G315" s="152"/>
      <c r="H315" s="153"/>
      <c r="I315" s="153"/>
      <c r="J315" s="153"/>
      <c r="K315" s="153"/>
      <c r="L315" s="153"/>
      <c r="M315" s="152"/>
      <c r="N315" s="153"/>
      <c r="O315" s="153"/>
      <c r="P315" s="153"/>
      <c r="Q315" s="153"/>
      <c r="R315" s="153"/>
      <c r="S315" s="152"/>
      <c r="T315" s="153"/>
      <c r="U315" s="153"/>
      <c r="V315" s="153"/>
      <c r="W315" s="153"/>
      <c r="X315" s="153"/>
    </row>
    <row r="316" spans="1:24">
      <c r="A316" s="76"/>
      <c r="B316" s="77"/>
      <c r="C316" s="77"/>
      <c r="D316" s="77"/>
      <c r="E316" s="77"/>
      <c r="F316" s="77"/>
      <c r="G316" s="152"/>
      <c r="H316" s="153"/>
      <c r="I316" s="153"/>
      <c r="J316" s="153"/>
      <c r="K316" s="153"/>
      <c r="L316" s="153"/>
      <c r="M316" s="152"/>
      <c r="N316" s="153"/>
      <c r="O316" s="153"/>
      <c r="P316" s="153"/>
      <c r="Q316" s="153"/>
      <c r="R316" s="153"/>
      <c r="S316" s="152"/>
      <c r="T316" s="153"/>
      <c r="U316" s="153"/>
      <c r="V316" s="153"/>
      <c r="W316" s="153"/>
      <c r="X316" s="153"/>
    </row>
    <row r="317" spans="1:24">
      <c r="A317" s="76"/>
      <c r="B317" s="77"/>
      <c r="C317" s="77"/>
      <c r="D317" s="77"/>
      <c r="E317" s="77"/>
      <c r="F317" s="77"/>
      <c r="G317" s="152"/>
      <c r="H317" s="153"/>
      <c r="I317" s="153"/>
      <c r="J317" s="153"/>
      <c r="K317" s="153"/>
      <c r="L317" s="153"/>
      <c r="M317" s="152"/>
      <c r="N317" s="153"/>
      <c r="O317" s="153"/>
      <c r="P317" s="153"/>
      <c r="Q317" s="153"/>
      <c r="R317" s="153"/>
      <c r="S317" s="152"/>
      <c r="T317" s="153"/>
      <c r="U317" s="153"/>
      <c r="V317" s="153"/>
      <c r="W317" s="153"/>
      <c r="X317" s="153"/>
    </row>
    <row r="318" spans="1:24">
      <c r="A318" s="76"/>
      <c r="B318" s="77"/>
      <c r="C318" s="77"/>
      <c r="D318" s="77"/>
      <c r="E318" s="77"/>
      <c r="F318" s="77"/>
      <c r="G318" s="152"/>
      <c r="H318" s="153"/>
      <c r="I318" s="153"/>
      <c r="J318" s="153"/>
      <c r="K318" s="153"/>
      <c r="L318" s="153"/>
      <c r="M318" s="152"/>
      <c r="N318" s="153"/>
      <c r="O318" s="153"/>
      <c r="P318" s="153"/>
      <c r="Q318" s="153"/>
      <c r="R318" s="153"/>
      <c r="S318" s="152"/>
      <c r="T318" s="153"/>
      <c r="U318" s="153"/>
      <c r="V318" s="153"/>
      <c r="W318" s="153"/>
      <c r="X318" s="153"/>
    </row>
    <row r="319" spans="1:24">
      <c r="A319" s="76"/>
      <c r="B319" s="77"/>
      <c r="C319" s="77"/>
      <c r="D319" s="77"/>
      <c r="E319" s="77"/>
      <c r="F319" s="77"/>
      <c r="G319" s="152"/>
      <c r="H319" s="153"/>
      <c r="I319" s="153"/>
      <c r="J319" s="153"/>
      <c r="K319" s="153"/>
      <c r="L319" s="153"/>
      <c r="M319" s="152"/>
      <c r="N319" s="153"/>
      <c r="O319" s="153"/>
      <c r="P319" s="153"/>
      <c r="Q319" s="153"/>
      <c r="R319" s="153"/>
      <c r="S319" s="152"/>
      <c r="T319" s="153"/>
      <c r="U319" s="153"/>
      <c r="V319" s="153"/>
      <c r="W319" s="153"/>
      <c r="X319" s="153"/>
    </row>
    <row r="320" spans="1:24">
      <c r="A320" s="76"/>
      <c r="B320" s="77"/>
      <c r="C320" s="77"/>
      <c r="D320" s="77"/>
      <c r="E320" s="77"/>
      <c r="F320" s="77"/>
      <c r="G320" s="152"/>
      <c r="H320" s="153"/>
      <c r="I320" s="153"/>
      <c r="J320" s="153"/>
      <c r="K320" s="153"/>
      <c r="L320" s="153"/>
      <c r="M320" s="152"/>
      <c r="N320" s="153"/>
      <c r="O320" s="153"/>
      <c r="P320" s="153"/>
      <c r="Q320" s="153"/>
      <c r="R320" s="153"/>
      <c r="S320" s="152"/>
      <c r="T320" s="153"/>
      <c r="U320" s="153"/>
      <c r="V320" s="153"/>
      <c r="W320" s="153"/>
      <c r="X320" s="153"/>
    </row>
    <row r="321" spans="1:24">
      <c r="A321" s="76"/>
      <c r="B321" s="77"/>
      <c r="C321" s="77"/>
      <c r="D321" s="77"/>
      <c r="E321" s="77"/>
      <c r="F321" s="77"/>
      <c r="G321" s="152"/>
      <c r="H321" s="153"/>
      <c r="I321" s="153"/>
      <c r="J321" s="153"/>
      <c r="K321" s="153"/>
      <c r="L321" s="153"/>
      <c r="M321" s="152"/>
      <c r="N321" s="153"/>
      <c r="O321" s="153"/>
      <c r="P321" s="153"/>
      <c r="Q321" s="153"/>
      <c r="R321" s="153"/>
      <c r="S321" s="152"/>
      <c r="T321" s="153"/>
      <c r="U321" s="153"/>
      <c r="V321" s="153"/>
      <c r="W321" s="153"/>
      <c r="X321" s="153"/>
    </row>
    <row r="322" spans="1:24">
      <c r="A322" s="76"/>
      <c r="B322" s="77"/>
      <c r="C322" s="77"/>
      <c r="D322" s="77"/>
      <c r="E322" s="77"/>
      <c r="F322" s="77"/>
      <c r="G322" s="152"/>
      <c r="H322" s="153"/>
      <c r="I322" s="153"/>
      <c r="J322" s="153"/>
      <c r="K322" s="153"/>
      <c r="L322" s="153"/>
      <c r="M322" s="152"/>
      <c r="N322" s="153"/>
      <c r="O322" s="153"/>
      <c r="P322" s="153"/>
      <c r="Q322" s="153"/>
      <c r="R322" s="153"/>
      <c r="S322" s="152"/>
      <c r="T322" s="153"/>
      <c r="U322" s="153"/>
      <c r="V322" s="153"/>
      <c r="W322" s="153"/>
      <c r="X322" s="153"/>
    </row>
    <row r="323" spans="1:24">
      <c r="A323" s="76"/>
      <c r="B323" s="77"/>
      <c r="C323" s="77"/>
      <c r="D323" s="77"/>
      <c r="E323" s="77"/>
      <c r="F323" s="77"/>
      <c r="G323" s="152"/>
      <c r="H323" s="153"/>
      <c r="I323" s="153"/>
      <c r="J323" s="153"/>
      <c r="K323" s="153"/>
      <c r="L323" s="153"/>
      <c r="M323" s="152"/>
      <c r="N323" s="153"/>
      <c r="O323" s="153"/>
      <c r="P323" s="153"/>
      <c r="Q323" s="153"/>
      <c r="R323" s="153"/>
      <c r="S323" s="152"/>
      <c r="T323" s="153"/>
      <c r="U323" s="153"/>
      <c r="V323" s="153"/>
      <c r="W323" s="153"/>
      <c r="X323" s="153"/>
    </row>
    <row r="324" spans="1:24">
      <c r="A324" s="76"/>
      <c r="B324" s="77"/>
      <c r="C324" s="77"/>
      <c r="D324" s="77"/>
      <c r="E324" s="77"/>
      <c r="F324" s="77"/>
      <c r="G324" s="152"/>
      <c r="H324" s="153"/>
      <c r="I324" s="153"/>
      <c r="J324" s="153"/>
      <c r="K324" s="153"/>
      <c r="L324" s="153"/>
      <c r="M324" s="152"/>
      <c r="N324" s="153"/>
      <c r="O324" s="153"/>
      <c r="P324" s="153"/>
      <c r="Q324" s="153"/>
      <c r="R324" s="153"/>
      <c r="S324" s="152"/>
      <c r="T324" s="153"/>
      <c r="U324" s="153"/>
      <c r="V324" s="153"/>
      <c r="W324" s="153"/>
      <c r="X324" s="153"/>
    </row>
    <row r="325" spans="1:24">
      <c r="A325" s="76"/>
      <c r="B325" s="77"/>
      <c r="C325" s="77"/>
      <c r="D325" s="77"/>
      <c r="E325" s="77"/>
      <c r="F325" s="77"/>
      <c r="G325" s="152"/>
      <c r="H325" s="153"/>
      <c r="I325" s="153"/>
      <c r="J325" s="153"/>
      <c r="K325" s="153"/>
      <c r="L325" s="153"/>
      <c r="M325" s="152"/>
      <c r="N325" s="153"/>
      <c r="O325" s="153"/>
      <c r="P325" s="153"/>
      <c r="Q325" s="153"/>
      <c r="R325" s="153"/>
      <c r="S325" s="152"/>
      <c r="T325" s="153"/>
      <c r="U325" s="153"/>
      <c r="V325" s="153"/>
      <c r="W325" s="153"/>
      <c r="X325" s="153"/>
    </row>
    <row r="326" spans="1:24">
      <c r="A326" s="76"/>
      <c r="B326" s="77"/>
      <c r="C326" s="77"/>
      <c r="D326" s="77"/>
      <c r="E326" s="77"/>
      <c r="F326" s="77"/>
      <c r="G326" s="152"/>
      <c r="H326" s="153"/>
      <c r="I326" s="153"/>
      <c r="J326" s="153"/>
      <c r="K326" s="153"/>
      <c r="L326" s="153"/>
      <c r="M326" s="152"/>
      <c r="N326" s="153"/>
      <c r="O326" s="153"/>
      <c r="P326" s="153"/>
      <c r="Q326" s="153"/>
      <c r="R326" s="153"/>
      <c r="S326" s="152"/>
      <c r="T326" s="153"/>
      <c r="U326" s="153"/>
      <c r="V326" s="153"/>
      <c r="W326" s="153"/>
      <c r="X326" s="153"/>
    </row>
    <row r="327" spans="1:24">
      <c r="A327" s="76"/>
      <c r="B327" s="77"/>
      <c r="C327" s="77"/>
      <c r="D327" s="77"/>
      <c r="E327" s="77"/>
      <c r="F327" s="77"/>
      <c r="G327" s="152"/>
      <c r="H327" s="153"/>
      <c r="I327" s="153"/>
      <c r="J327" s="153"/>
      <c r="K327" s="153"/>
      <c r="L327" s="153"/>
      <c r="M327" s="152"/>
      <c r="N327" s="153"/>
      <c r="O327" s="153"/>
      <c r="P327" s="153"/>
      <c r="Q327" s="153"/>
      <c r="R327" s="153"/>
      <c r="S327" s="152"/>
      <c r="T327" s="153"/>
      <c r="U327" s="153"/>
      <c r="V327" s="153"/>
      <c r="W327" s="153"/>
      <c r="X327" s="153"/>
    </row>
    <row r="328" spans="1:24">
      <c r="A328" s="76"/>
      <c r="B328" s="77"/>
      <c r="C328" s="77"/>
      <c r="D328" s="77"/>
      <c r="E328" s="77"/>
      <c r="F328" s="77"/>
      <c r="G328" s="152"/>
      <c r="H328" s="153"/>
      <c r="I328" s="153"/>
      <c r="J328" s="153"/>
      <c r="K328" s="153"/>
      <c r="L328" s="153"/>
      <c r="M328" s="152"/>
      <c r="N328" s="153"/>
      <c r="O328" s="153"/>
      <c r="P328" s="153"/>
      <c r="Q328" s="153"/>
      <c r="R328" s="153"/>
      <c r="S328" s="152"/>
      <c r="T328" s="153"/>
      <c r="U328" s="153"/>
      <c r="V328" s="153"/>
      <c r="W328" s="153"/>
      <c r="X328" s="153"/>
    </row>
    <row r="329" spans="1:24">
      <c r="A329" s="76"/>
      <c r="B329" s="77"/>
      <c r="C329" s="77"/>
      <c r="D329" s="77"/>
      <c r="E329" s="77"/>
      <c r="F329" s="77"/>
      <c r="G329" s="152"/>
      <c r="H329" s="153"/>
      <c r="I329" s="153"/>
      <c r="J329" s="153"/>
      <c r="K329" s="153"/>
      <c r="L329" s="153"/>
      <c r="M329" s="152"/>
      <c r="N329" s="153"/>
      <c r="O329" s="153"/>
      <c r="P329" s="153"/>
      <c r="Q329" s="153"/>
      <c r="R329" s="153"/>
      <c r="S329" s="152"/>
      <c r="T329" s="153"/>
      <c r="U329" s="153"/>
      <c r="V329" s="153"/>
      <c r="W329" s="153"/>
      <c r="X329" s="153"/>
    </row>
    <row r="330" spans="1:24">
      <c r="A330" s="76"/>
      <c r="B330" s="77"/>
      <c r="C330" s="77"/>
      <c r="D330" s="77"/>
      <c r="E330" s="77"/>
      <c r="F330" s="77"/>
      <c r="G330" s="152"/>
      <c r="H330" s="153"/>
      <c r="I330" s="153"/>
      <c r="J330" s="153"/>
      <c r="K330" s="153"/>
      <c r="L330" s="153"/>
      <c r="M330" s="152"/>
      <c r="N330" s="153"/>
      <c r="O330" s="153"/>
      <c r="P330" s="153"/>
      <c r="Q330" s="153"/>
      <c r="R330" s="153"/>
      <c r="S330" s="152"/>
      <c r="T330" s="153"/>
      <c r="U330" s="153"/>
      <c r="V330" s="153"/>
      <c r="W330" s="153"/>
      <c r="X330" s="153"/>
    </row>
    <row r="331" spans="1:24">
      <c r="A331" s="76"/>
      <c r="B331" s="77"/>
      <c r="C331" s="77"/>
      <c r="D331" s="77"/>
      <c r="E331" s="77"/>
      <c r="F331" s="77"/>
      <c r="G331" s="152"/>
      <c r="H331" s="153"/>
      <c r="I331" s="153"/>
      <c r="J331" s="153"/>
      <c r="K331" s="153"/>
      <c r="L331" s="153"/>
      <c r="M331" s="152"/>
      <c r="N331" s="153"/>
      <c r="O331" s="153"/>
      <c r="P331" s="153"/>
      <c r="Q331" s="153"/>
      <c r="R331" s="153"/>
      <c r="S331" s="152"/>
      <c r="T331" s="153"/>
      <c r="U331" s="153"/>
      <c r="V331" s="153"/>
      <c r="W331" s="153"/>
      <c r="X331" s="153"/>
    </row>
    <row r="332" spans="1:24">
      <c r="A332" s="76"/>
      <c r="B332" s="77"/>
      <c r="C332" s="77"/>
      <c r="D332" s="77"/>
      <c r="E332" s="77"/>
      <c r="F332" s="77"/>
      <c r="G332" s="152"/>
      <c r="H332" s="153"/>
      <c r="I332" s="153"/>
      <c r="J332" s="153"/>
      <c r="K332" s="153"/>
      <c r="L332" s="153"/>
      <c r="M332" s="152"/>
      <c r="N332" s="153"/>
      <c r="O332" s="153"/>
      <c r="P332" s="153"/>
      <c r="Q332" s="153"/>
      <c r="R332" s="153"/>
      <c r="S332" s="152"/>
      <c r="T332" s="153"/>
      <c r="U332" s="153"/>
      <c r="V332" s="153"/>
      <c r="W332" s="153"/>
      <c r="X332" s="153"/>
    </row>
    <row r="333" spans="1:24">
      <c r="A333" s="76"/>
      <c r="B333" s="77"/>
      <c r="C333" s="77"/>
      <c r="D333" s="77"/>
      <c r="E333" s="77"/>
      <c r="F333" s="77"/>
      <c r="G333" s="152"/>
      <c r="H333" s="153"/>
      <c r="I333" s="153"/>
      <c r="J333" s="153"/>
      <c r="K333" s="153"/>
      <c r="L333" s="153"/>
      <c r="M333" s="152"/>
      <c r="N333" s="153"/>
      <c r="O333" s="153"/>
      <c r="P333" s="153"/>
      <c r="Q333" s="153"/>
      <c r="R333" s="153"/>
      <c r="S333" s="152"/>
      <c r="T333" s="153"/>
      <c r="U333" s="153"/>
      <c r="V333" s="153"/>
      <c r="W333" s="153"/>
      <c r="X333" s="153"/>
    </row>
    <row r="334" spans="1:24">
      <c r="A334" s="76"/>
      <c r="B334" s="77"/>
      <c r="C334" s="77"/>
      <c r="D334" s="77"/>
      <c r="E334" s="77"/>
      <c r="F334" s="77"/>
      <c r="G334" s="152"/>
      <c r="H334" s="153"/>
      <c r="I334" s="153"/>
      <c r="J334" s="153"/>
      <c r="K334" s="153"/>
      <c r="L334" s="153"/>
      <c r="M334" s="152"/>
      <c r="N334" s="153"/>
      <c r="O334" s="153"/>
      <c r="P334" s="153"/>
      <c r="Q334" s="153"/>
      <c r="R334" s="153"/>
      <c r="S334" s="152"/>
      <c r="T334" s="153"/>
      <c r="U334" s="153"/>
      <c r="V334" s="153"/>
      <c r="W334" s="153"/>
      <c r="X334" s="153"/>
    </row>
    <row r="335" spans="1:24">
      <c r="A335" s="76"/>
      <c r="B335" s="77"/>
      <c r="C335" s="77"/>
      <c r="D335" s="77"/>
      <c r="E335" s="77"/>
      <c r="F335" s="77"/>
      <c r="G335" s="152"/>
      <c r="H335" s="153"/>
      <c r="I335" s="153"/>
      <c r="J335" s="153"/>
      <c r="K335" s="153"/>
      <c r="L335" s="153"/>
      <c r="M335" s="152"/>
      <c r="N335" s="153"/>
      <c r="O335" s="153"/>
      <c r="P335" s="153"/>
      <c r="Q335" s="153"/>
      <c r="R335" s="153"/>
      <c r="S335" s="152"/>
      <c r="T335" s="153"/>
      <c r="U335" s="153"/>
      <c r="V335" s="153"/>
      <c r="W335" s="153"/>
      <c r="X335" s="153"/>
    </row>
    <row r="336" spans="1:24">
      <c r="A336" s="76"/>
      <c r="B336" s="77"/>
      <c r="C336" s="77"/>
      <c r="D336" s="77"/>
      <c r="E336" s="77"/>
      <c r="F336" s="77"/>
      <c r="G336" s="152"/>
      <c r="H336" s="153"/>
      <c r="I336" s="153"/>
      <c r="J336" s="153"/>
      <c r="K336" s="153"/>
      <c r="L336" s="153"/>
      <c r="M336" s="152"/>
      <c r="N336" s="153"/>
      <c r="O336" s="153"/>
      <c r="P336" s="153"/>
      <c r="Q336" s="153"/>
      <c r="R336" s="153"/>
      <c r="S336" s="152"/>
      <c r="T336" s="153"/>
      <c r="U336" s="153"/>
      <c r="V336" s="153"/>
      <c r="W336" s="153"/>
      <c r="X336" s="153"/>
    </row>
    <row r="337" spans="1:24">
      <c r="A337" s="76"/>
      <c r="B337" s="77"/>
      <c r="C337" s="77"/>
      <c r="D337" s="77"/>
      <c r="E337" s="77"/>
      <c r="F337" s="77"/>
      <c r="G337" s="152"/>
      <c r="H337" s="153"/>
      <c r="I337" s="153"/>
      <c r="J337" s="153"/>
      <c r="K337" s="153"/>
      <c r="L337" s="153"/>
      <c r="M337" s="152"/>
      <c r="N337" s="153"/>
      <c r="O337" s="153"/>
      <c r="P337" s="153"/>
      <c r="Q337" s="153"/>
      <c r="R337" s="153"/>
      <c r="S337" s="152"/>
      <c r="T337" s="153"/>
      <c r="U337" s="153"/>
      <c r="V337" s="153"/>
      <c r="W337" s="153"/>
      <c r="X337" s="153"/>
    </row>
    <row r="338" spans="1:24">
      <c r="A338" s="76"/>
      <c r="B338" s="77"/>
      <c r="C338" s="77"/>
      <c r="D338" s="77"/>
      <c r="E338" s="77"/>
      <c r="F338" s="77"/>
      <c r="G338" s="152"/>
      <c r="H338" s="153"/>
      <c r="I338" s="153"/>
      <c r="J338" s="153"/>
      <c r="K338" s="153"/>
      <c r="L338" s="153"/>
      <c r="M338" s="152"/>
      <c r="N338" s="153"/>
      <c r="O338" s="153"/>
      <c r="P338" s="153"/>
      <c r="Q338" s="153"/>
      <c r="R338" s="153"/>
      <c r="S338" s="152"/>
      <c r="T338" s="153"/>
      <c r="U338" s="153"/>
      <c r="V338" s="153"/>
      <c r="W338" s="153"/>
      <c r="X338" s="153"/>
    </row>
    <row r="339" spans="1:24">
      <c r="A339" s="76"/>
      <c r="B339" s="77"/>
      <c r="C339" s="77"/>
      <c r="D339" s="77"/>
      <c r="E339" s="77"/>
      <c r="F339" s="77"/>
      <c r="G339" s="152"/>
      <c r="H339" s="153"/>
      <c r="I339" s="153"/>
      <c r="J339" s="153"/>
      <c r="K339" s="153"/>
      <c r="L339" s="153"/>
      <c r="M339" s="152"/>
      <c r="N339" s="153"/>
      <c r="O339" s="153"/>
      <c r="P339" s="153"/>
      <c r="Q339" s="153"/>
      <c r="R339" s="153"/>
      <c r="S339" s="152"/>
      <c r="T339" s="153"/>
      <c r="U339" s="153"/>
      <c r="V339" s="153"/>
      <c r="W339" s="153"/>
      <c r="X339" s="153"/>
    </row>
    <row r="340" spans="1:24">
      <c r="A340" s="76"/>
      <c r="B340" s="77"/>
      <c r="C340" s="77"/>
      <c r="D340" s="77"/>
      <c r="E340" s="77"/>
      <c r="F340" s="77"/>
      <c r="G340" s="152"/>
      <c r="H340" s="153"/>
      <c r="I340" s="153"/>
      <c r="J340" s="153"/>
      <c r="K340" s="153"/>
      <c r="L340" s="153"/>
      <c r="M340" s="152"/>
      <c r="N340" s="153"/>
      <c r="O340" s="153"/>
      <c r="P340" s="153"/>
      <c r="Q340" s="153"/>
      <c r="R340" s="153"/>
      <c r="S340" s="152"/>
      <c r="T340" s="153"/>
      <c r="U340" s="153"/>
      <c r="V340" s="153"/>
      <c r="W340" s="153"/>
      <c r="X340" s="153"/>
    </row>
    <row r="341" spans="1:24">
      <c r="A341" s="76"/>
      <c r="B341" s="77"/>
      <c r="C341" s="77"/>
      <c r="D341" s="77"/>
      <c r="E341" s="77"/>
      <c r="F341" s="77"/>
      <c r="G341" s="152"/>
      <c r="H341" s="153"/>
      <c r="I341" s="153"/>
      <c r="J341" s="153"/>
      <c r="K341" s="153"/>
      <c r="L341" s="153"/>
      <c r="M341" s="152"/>
      <c r="N341" s="153"/>
      <c r="O341" s="153"/>
      <c r="P341" s="153"/>
      <c r="Q341" s="153"/>
      <c r="R341" s="153"/>
      <c r="S341" s="152"/>
      <c r="T341" s="153"/>
      <c r="U341" s="153"/>
      <c r="V341" s="153"/>
      <c r="W341" s="153"/>
      <c r="X341" s="153"/>
    </row>
    <row r="342" spans="1:24">
      <c r="A342" s="76"/>
      <c r="B342" s="77"/>
      <c r="C342" s="77"/>
      <c r="D342" s="77"/>
      <c r="E342" s="77"/>
      <c r="F342" s="77"/>
      <c r="G342" s="152"/>
      <c r="H342" s="153"/>
      <c r="I342" s="153"/>
      <c r="J342" s="153"/>
      <c r="K342" s="153"/>
      <c r="L342" s="153"/>
      <c r="M342" s="152"/>
      <c r="N342" s="153"/>
      <c r="O342" s="153"/>
      <c r="P342" s="153"/>
      <c r="Q342" s="153"/>
      <c r="R342" s="153"/>
      <c r="S342" s="152"/>
      <c r="T342" s="153"/>
      <c r="U342" s="153"/>
      <c r="V342" s="153"/>
      <c r="W342" s="153"/>
      <c r="X342" s="153"/>
    </row>
    <row r="343" spans="1:24">
      <c r="A343" s="76"/>
      <c r="B343" s="77"/>
      <c r="C343" s="77"/>
      <c r="D343" s="77"/>
      <c r="E343" s="77"/>
      <c r="F343" s="77"/>
      <c r="G343" s="152"/>
      <c r="H343" s="153"/>
      <c r="I343" s="153"/>
      <c r="J343" s="153"/>
      <c r="K343" s="153"/>
      <c r="L343" s="153"/>
      <c r="M343" s="152"/>
      <c r="N343" s="153"/>
      <c r="O343" s="153"/>
      <c r="P343" s="153"/>
      <c r="Q343" s="153"/>
      <c r="R343" s="153"/>
      <c r="S343" s="152"/>
      <c r="T343" s="153"/>
      <c r="U343" s="153"/>
      <c r="V343" s="153"/>
      <c r="W343" s="153"/>
      <c r="X343" s="153"/>
    </row>
    <row r="344" spans="1:24">
      <c r="A344" s="76"/>
      <c r="B344" s="77"/>
      <c r="C344" s="77"/>
      <c r="D344" s="77"/>
      <c r="E344" s="77"/>
      <c r="F344" s="77"/>
      <c r="G344" s="152"/>
      <c r="H344" s="153"/>
      <c r="I344" s="153"/>
      <c r="J344" s="153"/>
      <c r="K344" s="153"/>
      <c r="L344" s="153"/>
      <c r="M344" s="152"/>
      <c r="N344" s="153"/>
      <c r="O344" s="153"/>
      <c r="P344" s="153"/>
      <c r="Q344" s="153"/>
      <c r="R344" s="153"/>
      <c r="S344" s="152"/>
      <c r="T344" s="153"/>
      <c r="U344" s="153"/>
      <c r="V344" s="153"/>
      <c r="W344" s="153"/>
      <c r="X344" s="153"/>
    </row>
    <row r="345" spans="1:24">
      <c r="A345" s="76"/>
      <c r="B345" s="77"/>
      <c r="C345" s="77"/>
      <c r="D345" s="77"/>
      <c r="E345" s="77"/>
      <c r="F345" s="77"/>
      <c r="G345" s="152"/>
      <c r="H345" s="153"/>
      <c r="I345" s="153"/>
      <c r="J345" s="153"/>
      <c r="K345" s="153"/>
      <c r="L345" s="153"/>
      <c r="M345" s="152"/>
      <c r="N345" s="153"/>
      <c r="O345" s="153"/>
      <c r="P345" s="153"/>
      <c r="Q345" s="153"/>
      <c r="R345" s="153"/>
      <c r="S345" s="152"/>
      <c r="T345" s="153"/>
      <c r="U345" s="153"/>
      <c r="V345" s="153"/>
      <c r="W345" s="153"/>
      <c r="X345" s="153"/>
    </row>
    <row r="346" spans="1:24">
      <c r="A346" s="76"/>
      <c r="B346" s="77"/>
      <c r="C346" s="77"/>
      <c r="D346" s="77"/>
      <c r="E346" s="77"/>
      <c r="F346" s="77"/>
      <c r="G346" s="152"/>
      <c r="H346" s="153"/>
      <c r="I346" s="153"/>
      <c r="J346" s="153"/>
      <c r="K346" s="153"/>
      <c r="L346" s="153"/>
      <c r="M346" s="152"/>
      <c r="N346" s="153"/>
      <c r="O346" s="153"/>
      <c r="P346" s="153"/>
      <c r="Q346" s="153"/>
      <c r="R346" s="153"/>
      <c r="S346" s="152"/>
      <c r="T346" s="153"/>
      <c r="U346" s="153"/>
      <c r="V346" s="153"/>
      <c r="W346" s="153"/>
      <c r="X346" s="153"/>
    </row>
    <row r="347" spans="1:24">
      <c r="A347" s="76"/>
      <c r="B347" s="77"/>
      <c r="C347" s="77"/>
      <c r="D347" s="77"/>
      <c r="E347" s="77"/>
      <c r="F347" s="77"/>
      <c r="G347" s="152"/>
      <c r="H347" s="153"/>
      <c r="I347" s="153"/>
      <c r="J347" s="153"/>
      <c r="K347" s="153"/>
      <c r="L347" s="153"/>
      <c r="M347" s="152"/>
      <c r="N347" s="153"/>
      <c r="O347" s="153"/>
      <c r="P347" s="153"/>
      <c r="Q347" s="153"/>
      <c r="R347" s="153"/>
      <c r="S347" s="152"/>
      <c r="T347" s="153"/>
      <c r="U347" s="153"/>
      <c r="V347" s="153"/>
      <c r="W347" s="153"/>
      <c r="X347" s="153"/>
    </row>
    <row r="348" spans="1:24">
      <c r="A348" s="76"/>
      <c r="B348" s="77"/>
      <c r="C348" s="77"/>
      <c r="D348" s="77"/>
      <c r="E348" s="77"/>
      <c r="F348" s="77"/>
      <c r="G348" s="152"/>
      <c r="H348" s="153"/>
      <c r="I348" s="153"/>
      <c r="J348" s="153"/>
      <c r="K348" s="153"/>
      <c r="L348" s="153"/>
      <c r="M348" s="152"/>
      <c r="N348" s="153"/>
      <c r="O348" s="153"/>
      <c r="P348" s="153"/>
      <c r="Q348" s="153"/>
      <c r="R348" s="153"/>
      <c r="S348" s="152"/>
      <c r="T348" s="153"/>
      <c r="U348" s="153"/>
      <c r="V348" s="153"/>
      <c r="W348" s="153"/>
      <c r="X348" s="153"/>
    </row>
    <row r="349" spans="1:24">
      <c r="A349" s="76"/>
      <c r="B349" s="77"/>
      <c r="C349" s="77"/>
      <c r="D349" s="77"/>
      <c r="E349" s="77"/>
      <c r="F349" s="77"/>
      <c r="G349" s="152"/>
      <c r="H349" s="153"/>
      <c r="I349" s="153"/>
      <c r="J349" s="153"/>
      <c r="K349" s="153"/>
      <c r="L349" s="153"/>
      <c r="M349" s="152"/>
      <c r="N349" s="153"/>
      <c r="O349" s="153"/>
      <c r="P349" s="153"/>
      <c r="Q349" s="153"/>
      <c r="R349" s="153"/>
      <c r="S349" s="152"/>
      <c r="T349" s="153"/>
      <c r="U349" s="153"/>
      <c r="V349" s="153"/>
      <c r="W349" s="153"/>
      <c r="X349" s="153"/>
    </row>
    <row r="350" spans="1:24">
      <c r="A350" s="76"/>
      <c r="B350" s="77"/>
      <c r="C350" s="77"/>
      <c r="D350" s="77"/>
      <c r="E350" s="77"/>
      <c r="F350" s="77"/>
      <c r="G350" s="152"/>
      <c r="H350" s="153"/>
      <c r="I350" s="153"/>
      <c r="J350" s="153"/>
      <c r="K350" s="153"/>
      <c r="L350" s="153"/>
      <c r="M350" s="152"/>
      <c r="N350" s="153"/>
      <c r="O350" s="153"/>
      <c r="P350" s="153"/>
      <c r="Q350" s="153"/>
      <c r="R350" s="153"/>
      <c r="S350" s="152"/>
      <c r="T350" s="153"/>
      <c r="U350" s="153"/>
      <c r="V350" s="153"/>
      <c r="W350" s="153"/>
      <c r="X350" s="153"/>
    </row>
    <row r="351" spans="1:24">
      <c r="A351" s="76"/>
      <c r="B351" s="77"/>
      <c r="C351" s="77"/>
      <c r="D351" s="77"/>
      <c r="E351" s="77"/>
      <c r="F351" s="77"/>
      <c r="G351" s="152"/>
      <c r="H351" s="153"/>
      <c r="I351" s="153"/>
      <c r="J351" s="153"/>
      <c r="K351" s="153"/>
      <c r="L351" s="153"/>
      <c r="M351" s="152"/>
      <c r="N351" s="153"/>
      <c r="O351" s="153"/>
      <c r="P351" s="153"/>
      <c r="Q351" s="153"/>
      <c r="R351" s="153"/>
      <c r="S351" s="152"/>
      <c r="T351" s="153"/>
      <c r="U351" s="153"/>
      <c r="V351" s="153"/>
      <c r="W351" s="153"/>
      <c r="X351" s="153"/>
    </row>
    <row r="352" spans="1:24">
      <c r="A352" s="76"/>
      <c r="B352" s="77"/>
      <c r="C352" s="77"/>
      <c r="D352" s="77"/>
      <c r="E352" s="77"/>
      <c r="F352" s="77"/>
      <c r="G352" s="152"/>
      <c r="H352" s="153"/>
      <c r="I352" s="153"/>
      <c r="J352" s="153"/>
      <c r="K352" s="153"/>
      <c r="L352" s="153"/>
      <c r="M352" s="152"/>
      <c r="N352" s="153"/>
      <c r="O352" s="153"/>
      <c r="P352" s="153"/>
      <c r="Q352" s="153"/>
      <c r="R352" s="153"/>
      <c r="S352" s="152"/>
      <c r="T352" s="153"/>
      <c r="U352" s="153"/>
      <c r="V352" s="153"/>
      <c r="W352" s="153"/>
      <c r="X352" s="153"/>
    </row>
    <row r="353" spans="1:24">
      <c r="A353" s="76"/>
      <c r="B353" s="77"/>
      <c r="C353" s="77"/>
      <c r="D353" s="77"/>
      <c r="E353" s="77"/>
      <c r="F353" s="77"/>
      <c r="G353" s="152"/>
      <c r="H353" s="153"/>
      <c r="I353" s="153"/>
      <c r="J353" s="153"/>
      <c r="K353" s="153"/>
      <c r="L353" s="153"/>
      <c r="M353" s="152"/>
      <c r="N353" s="153"/>
      <c r="O353" s="153"/>
      <c r="P353" s="153"/>
      <c r="Q353" s="153"/>
      <c r="R353" s="153"/>
      <c r="S353" s="152"/>
      <c r="T353" s="153"/>
      <c r="U353" s="153"/>
      <c r="V353" s="153"/>
      <c r="W353" s="153"/>
      <c r="X353" s="153"/>
    </row>
    <row r="354" spans="1:24">
      <c r="A354" s="76"/>
      <c r="B354" s="77"/>
      <c r="C354" s="77"/>
      <c r="D354" s="77"/>
      <c r="E354" s="77"/>
      <c r="F354" s="77"/>
      <c r="G354" s="152"/>
      <c r="H354" s="153"/>
      <c r="I354" s="153"/>
      <c r="J354" s="153"/>
      <c r="K354" s="153"/>
      <c r="L354" s="153"/>
      <c r="M354" s="152"/>
      <c r="N354" s="153"/>
      <c r="O354" s="153"/>
      <c r="P354" s="153"/>
      <c r="Q354" s="153"/>
      <c r="R354" s="153"/>
      <c r="S354" s="152"/>
      <c r="T354" s="153"/>
      <c r="U354" s="153"/>
      <c r="V354" s="153"/>
      <c r="W354" s="153"/>
      <c r="X354" s="153"/>
    </row>
    <row r="355" spans="1:24">
      <c r="A355" s="76"/>
      <c r="B355" s="77"/>
      <c r="C355" s="77"/>
      <c r="D355" s="77"/>
      <c r="E355" s="77"/>
      <c r="F355" s="77"/>
      <c r="G355" s="152"/>
      <c r="H355" s="153"/>
      <c r="I355" s="153"/>
      <c r="J355" s="153"/>
      <c r="K355" s="153"/>
      <c r="L355" s="153"/>
      <c r="M355" s="152"/>
      <c r="N355" s="153"/>
      <c r="O355" s="153"/>
      <c r="P355" s="153"/>
      <c r="Q355" s="153"/>
      <c r="R355" s="153"/>
      <c r="S355" s="152"/>
      <c r="T355" s="153"/>
      <c r="U355" s="153"/>
      <c r="V355" s="153"/>
      <c r="W355" s="153"/>
      <c r="X355" s="153"/>
    </row>
    <row r="356" spans="1:24">
      <c r="A356" s="76"/>
      <c r="B356" s="77"/>
      <c r="C356" s="77"/>
      <c r="D356" s="77"/>
      <c r="E356" s="77"/>
      <c r="F356" s="77"/>
      <c r="G356" s="152"/>
      <c r="H356" s="153"/>
      <c r="I356" s="153"/>
      <c r="J356" s="153"/>
      <c r="K356" s="153"/>
      <c r="L356" s="153"/>
      <c r="M356" s="152"/>
      <c r="N356" s="153"/>
      <c r="O356" s="153"/>
      <c r="P356" s="153"/>
      <c r="Q356" s="153"/>
      <c r="R356" s="153"/>
      <c r="S356" s="152"/>
      <c r="T356" s="153"/>
      <c r="U356" s="153"/>
      <c r="V356" s="153"/>
      <c r="W356" s="153"/>
      <c r="X356" s="153"/>
    </row>
    <row r="357" spans="1:24">
      <c r="A357" s="76"/>
      <c r="B357" s="77"/>
      <c r="C357" s="77"/>
      <c r="D357" s="77"/>
      <c r="E357" s="77"/>
      <c r="F357" s="77"/>
      <c r="G357" s="152"/>
      <c r="H357" s="153"/>
      <c r="I357" s="153"/>
      <c r="J357" s="153"/>
      <c r="K357" s="153"/>
      <c r="L357" s="153"/>
      <c r="M357" s="152"/>
      <c r="N357" s="153"/>
      <c r="O357" s="153"/>
      <c r="P357" s="153"/>
      <c r="Q357" s="153"/>
      <c r="R357" s="153"/>
      <c r="S357" s="152"/>
      <c r="T357" s="153"/>
      <c r="U357" s="153"/>
      <c r="V357" s="153"/>
      <c r="W357" s="153"/>
      <c r="X357" s="153"/>
    </row>
    <row r="358" spans="1:24">
      <c r="A358" s="76"/>
      <c r="B358" s="77"/>
      <c r="C358" s="77"/>
      <c r="D358" s="77"/>
      <c r="E358" s="77"/>
      <c r="F358" s="77"/>
      <c r="G358" s="152"/>
      <c r="H358" s="153"/>
      <c r="I358" s="153"/>
      <c r="J358" s="153"/>
      <c r="K358" s="153"/>
      <c r="L358" s="153"/>
      <c r="M358" s="152"/>
      <c r="N358" s="153"/>
      <c r="O358" s="153"/>
      <c r="P358" s="153"/>
      <c r="Q358" s="153"/>
      <c r="R358" s="153"/>
      <c r="S358" s="152"/>
      <c r="T358" s="153"/>
      <c r="U358" s="153"/>
      <c r="V358" s="153"/>
      <c r="W358" s="153"/>
      <c r="X358" s="153"/>
    </row>
    <row r="359" spans="1:24">
      <c r="A359" s="76"/>
      <c r="B359" s="77"/>
      <c r="C359" s="77"/>
      <c r="D359" s="77"/>
      <c r="E359" s="77"/>
      <c r="F359" s="77"/>
      <c r="G359" s="152"/>
      <c r="H359" s="153"/>
      <c r="I359" s="153"/>
      <c r="J359" s="153"/>
      <c r="K359" s="153"/>
      <c r="L359" s="153"/>
      <c r="M359" s="152"/>
      <c r="N359" s="153"/>
      <c r="O359" s="153"/>
      <c r="P359" s="153"/>
      <c r="Q359" s="153"/>
      <c r="R359" s="153"/>
      <c r="S359" s="152"/>
      <c r="T359" s="153"/>
      <c r="U359" s="153"/>
      <c r="V359" s="153"/>
      <c r="W359" s="153"/>
      <c r="X359" s="153"/>
    </row>
    <row r="360" spans="1:24">
      <c r="A360" s="76"/>
      <c r="B360" s="77"/>
      <c r="C360" s="77"/>
      <c r="D360" s="77"/>
      <c r="E360" s="77"/>
      <c r="F360" s="77"/>
      <c r="G360" s="152"/>
      <c r="H360" s="153"/>
      <c r="I360" s="153"/>
      <c r="J360" s="153"/>
      <c r="K360" s="153"/>
      <c r="L360" s="153"/>
      <c r="M360" s="152"/>
      <c r="N360" s="153"/>
      <c r="O360" s="153"/>
      <c r="P360" s="153"/>
      <c r="Q360" s="153"/>
      <c r="R360" s="153"/>
      <c r="S360" s="152"/>
      <c r="T360" s="153"/>
      <c r="U360" s="153"/>
      <c r="V360" s="153"/>
      <c r="W360" s="153"/>
      <c r="X360" s="153"/>
    </row>
    <row r="361" spans="1:24">
      <c r="A361" s="76"/>
      <c r="B361" s="77"/>
      <c r="C361" s="77"/>
      <c r="D361" s="77"/>
      <c r="E361" s="77"/>
      <c r="F361" s="77"/>
      <c r="G361" s="152"/>
      <c r="H361" s="153"/>
      <c r="I361" s="153"/>
      <c r="J361" s="153"/>
      <c r="K361" s="153"/>
      <c r="L361" s="153"/>
      <c r="M361" s="152"/>
      <c r="N361" s="153"/>
      <c r="O361" s="153"/>
      <c r="P361" s="153"/>
      <c r="Q361" s="153"/>
      <c r="R361" s="153"/>
      <c r="S361" s="152"/>
      <c r="T361" s="153"/>
      <c r="U361" s="153"/>
      <c r="V361" s="153"/>
      <c r="W361" s="153"/>
      <c r="X361" s="153"/>
    </row>
    <row r="362" spans="1:24">
      <c r="A362" s="76"/>
      <c r="B362" s="77"/>
      <c r="C362" s="77"/>
      <c r="D362" s="77"/>
      <c r="E362" s="77"/>
      <c r="F362" s="77"/>
      <c r="G362" s="152"/>
      <c r="H362" s="153"/>
      <c r="I362" s="153"/>
      <c r="J362" s="153"/>
      <c r="K362" s="153"/>
      <c r="L362" s="153"/>
      <c r="M362" s="152"/>
      <c r="N362" s="153"/>
      <c r="O362" s="153"/>
      <c r="P362" s="153"/>
      <c r="Q362" s="153"/>
      <c r="R362" s="153"/>
      <c r="S362" s="152"/>
      <c r="T362" s="153"/>
      <c r="U362" s="153"/>
      <c r="V362" s="153"/>
      <c r="W362" s="153"/>
      <c r="X362" s="153"/>
    </row>
    <row r="363" spans="1:24">
      <c r="A363" s="76"/>
      <c r="B363" s="77"/>
      <c r="C363" s="77"/>
      <c r="D363" s="77"/>
      <c r="E363" s="77"/>
      <c r="F363" s="77"/>
      <c r="G363" s="152"/>
      <c r="H363" s="153"/>
      <c r="I363" s="153"/>
      <c r="J363" s="153"/>
      <c r="K363" s="153"/>
      <c r="L363" s="153"/>
      <c r="M363" s="152"/>
      <c r="N363" s="153"/>
      <c r="O363" s="153"/>
      <c r="P363" s="153"/>
      <c r="Q363" s="153"/>
      <c r="R363" s="153"/>
      <c r="S363" s="152"/>
      <c r="T363" s="153"/>
      <c r="U363" s="153"/>
      <c r="V363" s="153"/>
      <c r="W363" s="153"/>
      <c r="X363" s="153"/>
    </row>
    <row r="364" spans="1:24">
      <c r="A364" s="76"/>
      <c r="B364" s="77"/>
      <c r="C364" s="77"/>
      <c r="D364" s="77"/>
      <c r="E364" s="77"/>
      <c r="F364" s="77"/>
      <c r="G364" s="152"/>
      <c r="H364" s="153"/>
      <c r="I364" s="153"/>
      <c r="J364" s="153"/>
      <c r="K364" s="153"/>
      <c r="L364" s="153"/>
      <c r="M364" s="152"/>
      <c r="N364" s="153"/>
      <c r="O364" s="153"/>
      <c r="P364" s="153"/>
      <c r="Q364" s="153"/>
      <c r="R364" s="153"/>
      <c r="S364" s="152"/>
      <c r="T364" s="153"/>
      <c r="U364" s="153"/>
      <c r="V364" s="153"/>
      <c r="W364" s="153"/>
      <c r="X364" s="153"/>
    </row>
    <row r="365" spans="1:24">
      <c r="A365" s="76"/>
      <c r="B365" s="77"/>
      <c r="C365" s="77"/>
      <c r="D365" s="77"/>
      <c r="E365" s="77"/>
      <c r="F365" s="77"/>
      <c r="G365" s="152"/>
      <c r="H365" s="153"/>
      <c r="I365" s="153"/>
      <c r="J365" s="153"/>
      <c r="K365" s="153"/>
      <c r="L365" s="153"/>
      <c r="M365" s="152"/>
      <c r="N365" s="153"/>
      <c r="O365" s="153"/>
      <c r="P365" s="153"/>
      <c r="Q365" s="153"/>
      <c r="R365" s="153"/>
      <c r="S365" s="152"/>
      <c r="T365" s="153"/>
      <c r="U365" s="153"/>
      <c r="V365" s="153"/>
      <c r="W365" s="153"/>
      <c r="X365" s="153"/>
    </row>
    <row r="366" spans="1:24">
      <c r="A366" s="76"/>
      <c r="B366" s="77"/>
      <c r="C366" s="77"/>
      <c r="D366" s="77"/>
      <c r="E366" s="77"/>
      <c r="F366" s="77"/>
      <c r="G366" s="152"/>
      <c r="H366" s="153"/>
      <c r="I366" s="153"/>
      <c r="J366" s="153"/>
      <c r="K366" s="153"/>
      <c r="L366" s="153"/>
      <c r="M366" s="152"/>
      <c r="N366" s="153"/>
      <c r="O366" s="153"/>
      <c r="P366" s="153"/>
      <c r="Q366" s="153"/>
      <c r="R366" s="153"/>
      <c r="S366" s="152"/>
      <c r="T366" s="153"/>
      <c r="U366" s="153"/>
      <c r="V366" s="153"/>
      <c r="W366" s="153"/>
      <c r="X366" s="153"/>
    </row>
    <row r="367" spans="1:24">
      <c r="A367" s="76"/>
      <c r="B367" s="77"/>
      <c r="C367" s="77"/>
      <c r="D367" s="77"/>
      <c r="E367" s="77"/>
      <c r="F367" s="77"/>
      <c r="G367" s="152"/>
      <c r="H367" s="153"/>
      <c r="I367" s="153"/>
      <c r="J367" s="153"/>
      <c r="K367" s="153"/>
      <c r="L367" s="153"/>
      <c r="M367" s="152"/>
      <c r="N367" s="153"/>
      <c r="O367" s="153"/>
      <c r="P367" s="153"/>
      <c r="Q367" s="153"/>
      <c r="R367" s="153"/>
      <c r="S367" s="152"/>
      <c r="T367" s="153"/>
      <c r="U367" s="153"/>
      <c r="V367" s="153"/>
      <c r="W367" s="153"/>
      <c r="X367" s="153"/>
    </row>
    <row r="368" spans="1:24">
      <c r="A368" s="76"/>
      <c r="B368" s="77"/>
      <c r="C368" s="77"/>
      <c r="D368" s="77"/>
      <c r="E368" s="77"/>
      <c r="F368" s="77"/>
      <c r="G368" s="152"/>
      <c r="H368" s="153"/>
      <c r="I368" s="153"/>
      <c r="J368" s="153"/>
      <c r="K368" s="153"/>
      <c r="L368" s="153"/>
      <c r="M368" s="152"/>
      <c r="N368" s="153"/>
      <c r="O368" s="153"/>
      <c r="P368" s="153"/>
      <c r="Q368" s="153"/>
      <c r="R368" s="153"/>
      <c r="S368" s="152"/>
      <c r="T368" s="153"/>
      <c r="U368" s="153"/>
      <c r="V368" s="153"/>
      <c r="W368" s="153"/>
      <c r="X368" s="153"/>
    </row>
    <row r="369" spans="1:24">
      <c r="A369" s="76"/>
      <c r="B369" s="77"/>
      <c r="C369" s="77"/>
      <c r="D369" s="77"/>
      <c r="E369" s="77"/>
      <c r="F369" s="77"/>
      <c r="G369" s="152"/>
      <c r="H369" s="153"/>
      <c r="I369" s="153"/>
      <c r="J369" s="153"/>
      <c r="K369" s="153"/>
      <c r="L369" s="153"/>
      <c r="M369" s="152"/>
      <c r="N369" s="153"/>
      <c r="O369" s="153"/>
      <c r="P369" s="153"/>
      <c r="Q369" s="153"/>
      <c r="R369" s="153"/>
      <c r="S369" s="152"/>
      <c r="T369" s="153"/>
      <c r="U369" s="153"/>
      <c r="V369" s="153"/>
      <c r="W369" s="153"/>
      <c r="X369" s="153"/>
    </row>
    <row r="370" spans="1:24">
      <c r="A370" s="76"/>
      <c r="B370" s="77"/>
      <c r="C370" s="77"/>
      <c r="D370" s="77"/>
      <c r="E370" s="77"/>
      <c r="F370" s="77"/>
      <c r="G370" s="152"/>
      <c r="H370" s="153"/>
      <c r="I370" s="153"/>
      <c r="J370" s="153"/>
      <c r="K370" s="153"/>
      <c r="L370" s="153"/>
      <c r="M370" s="152"/>
      <c r="N370" s="153"/>
      <c r="O370" s="153"/>
      <c r="P370" s="153"/>
      <c r="Q370" s="153"/>
      <c r="R370" s="153"/>
      <c r="S370" s="152"/>
      <c r="T370" s="153"/>
      <c r="U370" s="153"/>
      <c r="V370" s="153"/>
      <c r="W370" s="153"/>
      <c r="X370" s="153"/>
    </row>
    <row r="371" spans="1:24">
      <c r="A371" s="76"/>
      <c r="B371" s="77"/>
      <c r="C371" s="77"/>
      <c r="D371" s="77"/>
      <c r="E371" s="77"/>
      <c r="F371" s="77"/>
      <c r="G371" s="152"/>
      <c r="H371" s="153"/>
      <c r="I371" s="153"/>
      <c r="J371" s="153"/>
      <c r="K371" s="153"/>
      <c r="L371" s="153"/>
      <c r="M371" s="152"/>
      <c r="N371" s="153"/>
      <c r="O371" s="153"/>
      <c r="P371" s="153"/>
      <c r="Q371" s="153"/>
      <c r="R371" s="153"/>
      <c r="S371" s="152"/>
      <c r="T371" s="153"/>
      <c r="U371" s="153"/>
      <c r="V371" s="153"/>
      <c r="W371" s="153"/>
      <c r="X371" s="153"/>
    </row>
    <row r="372" spans="1:24">
      <c r="A372" s="76"/>
      <c r="B372" s="77"/>
      <c r="C372" s="77"/>
      <c r="D372" s="77"/>
      <c r="E372" s="77"/>
      <c r="F372" s="77"/>
      <c r="G372" s="152"/>
      <c r="H372" s="153"/>
      <c r="I372" s="153"/>
      <c r="J372" s="153"/>
      <c r="K372" s="153"/>
      <c r="L372" s="153"/>
      <c r="M372" s="152"/>
      <c r="N372" s="153"/>
      <c r="O372" s="153"/>
      <c r="P372" s="153"/>
      <c r="Q372" s="153"/>
      <c r="R372" s="153"/>
      <c r="S372" s="152"/>
      <c r="T372" s="153"/>
      <c r="U372" s="153"/>
      <c r="V372" s="153"/>
      <c r="W372" s="153"/>
      <c r="X372" s="153"/>
    </row>
    <row r="373" spans="1:24">
      <c r="A373" s="76"/>
      <c r="B373" s="77"/>
      <c r="C373" s="77"/>
      <c r="D373" s="77"/>
      <c r="E373" s="77"/>
      <c r="F373" s="77"/>
      <c r="G373" s="152"/>
      <c r="H373" s="153"/>
      <c r="I373" s="153"/>
      <c r="J373" s="153"/>
      <c r="K373" s="153"/>
      <c r="L373" s="153"/>
      <c r="M373" s="152"/>
      <c r="N373" s="153"/>
      <c r="O373" s="153"/>
      <c r="P373" s="153"/>
      <c r="Q373" s="153"/>
      <c r="R373" s="153"/>
      <c r="S373" s="152"/>
      <c r="T373" s="153"/>
      <c r="U373" s="153"/>
      <c r="V373" s="153"/>
      <c r="W373" s="153"/>
      <c r="X373" s="153"/>
    </row>
    <row r="374" spans="1:24">
      <c r="A374" s="76"/>
      <c r="B374" s="77"/>
      <c r="C374" s="77"/>
      <c r="D374" s="77"/>
      <c r="E374" s="77"/>
      <c r="F374" s="77"/>
      <c r="G374" s="152"/>
      <c r="H374" s="153"/>
      <c r="I374" s="153"/>
      <c r="J374" s="153"/>
      <c r="K374" s="153"/>
      <c r="L374" s="153"/>
      <c r="M374" s="152"/>
      <c r="N374" s="153"/>
      <c r="O374" s="153"/>
      <c r="P374" s="153"/>
      <c r="Q374" s="153"/>
      <c r="R374" s="153"/>
      <c r="S374" s="152"/>
      <c r="T374" s="153"/>
      <c r="U374" s="153"/>
      <c r="V374" s="153"/>
      <c r="W374" s="153"/>
      <c r="X374" s="153"/>
    </row>
    <row r="375" spans="1:24">
      <c r="A375" s="76"/>
      <c r="B375" s="77"/>
      <c r="C375" s="77"/>
      <c r="D375" s="77"/>
      <c r="E375" s="77"/>
      <c r="F375" s="77"/>
      <c r="G375" s="152"/>
      <c r="H375" s="153"/>
      <c r="I375" s="153"/>
      <c r="J375" s="153"/>
      <c r="K375" s="153"/>
      <c r="L375" s="153"/>
      <c r="M375" s="152"/>
      <c r="N375" s="153"/>
      <c r="O375" s="153"/>
      <c r="P375" s="153"/>
      <c r="Q375" s="153"/>
      <c r="R375" s="153"/>
      <c r="S375" s="152"/>
      <c r="T375" s="153"/>
      <c r="U375" s="153"/>
      <c r="V375" s="153"/>
      <c r="W375" s="153"/>
      <c r="X375" s="153"/>
    </row>
    <row r="376" spans="1:24">
      <c r="A376" s="76"/>
      <c r="B376" s="77"/>
      <c r="C376" s="77"/>
      <c r="D376" s="77"/>
      <c r="E376" s="77"/>
      <c r="F376" s="77"/>
      <c r="G376" s="152"/>
      <c r="H376" s="153"/>
      <c r="I376" s="153"/>
      <c r="J376" s="153"/>
      <c r="K376" s="153"/>
      <c r="L376" s="153"/>
      <c r="M376" s="152"/>
      <c r="N376" s="153"/>
      <c r="O376" s="153"/>
      <c r="P376" s="153"/>
      <c r="Q376" s="153"/>
      <c r="R376" s="153"/>
      <c r="S376" s="152"/>
      <c r="T376" s="153"/>
      <c r="U376" s="153"/>
      <c r="V376" s="153"/>
      <c r="W376" s="153"/>
      <c r="X376" s="153"/>
    </row>
    <row r="377" spans="1:24">
      <c r="A377" s="76"/>
      <c r="B377" s="77"/>
      <c r="C377" s="77"/>
      <c r="D377" s="77"/>
      <c r="E377" s="77"/>
      <c r="F377" s="77"/>
      <c r="G377" s="152"/>
      <c r="H377" s="153"/>
      <c r="I377" s="153"/>
      <c r="J377" s="153"/>
      <c r="K377" s="153"/>
      <c r="L377" s="153"/>
      <c r="M377" s="152"/>
      <c r="N377" s="153"/>
      <c r="O377" s="153"/>
      <c r="P377" s="153"/>
      <c r="Q377" s="153"/>
      <c r="R377" s="153"/>
      <c r="S377" s="152"/>
      <c r="T377" s="153"/>
      <c r="U377" s="153"/>
      <c r="V377" s="153"/>
      <c r="W377" s="153"/>
      <c r="X377" s="153"/>
    </row>
    <row r="378" spans="1:24">
      <c r="A378" s="76"/>
      <c r="B378" s="77"/>
      <c r="C378" s="77"/>
      <c r="D378" s="77"/>
      <c r="E378" s="77"/>
      <c r="F378" s="77"/>
      <c r="G378" s="152"/>
      <c r="H378" s="153"/>
      <c r="I378" s="153"/>
      <c r="J378" s="153"/>
      <c r="K378" s="153"/>
      <c r="L378" s="153"/>
      <c r="M378" s="152"/>
      <c r="N378" s="153"/>
      <c r="O378" s="153"/>
      <c r="P378" s="153"/>
      <c r="Q378" s="153"/>
      <c r="R378" s="153"/>
      <c r="S378" s="152"/>
      <c r="T378" s="153"/>
      <c r="U378" s="153"/>
      <c r="V378" s="153"/>
      <c r="W378" s="153"/>
      <c r="X378" s="153"/>
    </row>
    <row r="379" spans="1:24">
      <c r="A379" s="76"/>
      <c r="B379" s="77"/>
      <c r="C379" s="77"/>
      <c r="D379" s="77"/>
      <c r="E379" s="77"/>
      <c r="F379" s="77"/>
      <c r="G379" s="152"/>
      <c r="H379" s="153"/>
      <c r="I379" s="153"/>
      <c r="J379" s="153"/>
      <c r="K379" s="153"/>
      <c r="L379" s="153"/>
      <c r="M379" s="152"/>
      <c r="N379" s="153"/>
      <c r="O379" s="153"/>
      <c r="P379" s="153"/>
      <c r="Q379" s="153"/>
      <c r="R379" s="153"/>
      <c r="S379" s="152"/>
      <c r="T379" s="153"/>
      <c r="U379" s="153"/>
      <c r="V379" s="153"/>
      <c r="W379" s="153"/>
      <c r="X379" s="153"/>
    </row>
    <row r="380" spans="1:24">
      <c r="A380" s="76"/>
      <c r="B380" s="77"/>
      <c r="C380" s="77"/>
      <c r="D380" s="77"/>
      <c r="E380" s="77"/>
      <c r="F380" s="77"/>
      <c r="G380" s="152"/>
      <c r="H380" s="153"/>
      <c r="I380" s="153"/>
      <c r="J380" s="153"/>
      <c r="K380" s="153"/>
      <c r="L380" s="153"/>
      <c r="M380" s="152"/>
      <c r="N380" s="153"/>
      <c r="O380" s="153"/>
      <c r="P380" s="153"/>
      <c r="Q380" s="153"/>
      <c r="R380" s="153"/>
      <c r="S380" s="152"/>
      <c r="T380" s="153"/>
      <c r="U380" s="153"/>
      <c r="V380" s="153"/>
      <c r="W380" s="153"/>
      <c r="X380" s="153"/>
    </row>
    <row r="381" spans="1:24">
      <c r="A381" s="76"/>
      <c r="B381" s="77"/>
      <c r="C381" s="77"/>
      <c r="D381" s="77"/>
      <c r="E381" s="77"/>
      <c r="F381" s="77"/>
      <c r="G381" s="152"/>
      <c r="H381" s="153"/>
      <c r="I381" s="153"/>
      <c r="J381" s="153"/>
      <c r="K381" s="153"/>
      <c r="L381" s="153"/>
      <c r="M381" s="152"/>
      <c r="N381" s="153"/>
      <c r="O381" s="153"/>
      <c r="P381" s="153"/>
      <c r="Q381" s="153"/>
      <c r="R381" s="153"/>
      <c r="S381" s="152"/>
      <c r="T381" s="153"/>
      <c r="U381" s="153"/>
      <c r="V381" s="153"/>
      <c r="W381" s="153"/>
      <c r="X381" s="153"/>
    </row>
    <row r="382" spans="1:24">
      <c r="A382" s="76"/>
      <c r="B382" s="77"/>
      <c r="C382" s="77"/>
      <c r="D382" s="77"/>
      <c r="E382" s="77"/>
      <c r="F382" s="77"/>
      <c r="G382" s="152"/>
      <c r="H382" s="153"/>
      <c r="I382" s="153"/>
      <c r="J382" s="153"/>
      <c r="K382" s="153"/>
      <c r="L382" s="153"/>
      <c r="M382" s="152"/>
      <c r="N382" s="153"/>
      <c r="O382" s="153"/>
      <c r="P382" s="153"/>
      <c r="Q382" s="153"/>
      <c r="R382" s="153"/>
      <c r="S382" s="152"/>
      <c r="T382" s="153"/>
      <c r="U382" s="153"/>
      <c r="V382" s="153"/>
      <c r="W382" s="153"/>
      <c r="X382" s="153"/>
    </row>
    <row r="383" spans="1:24">
      <c r="A383" s="76"/>
      <c r="B383" s="77"/>
      <c r="C383" s="77"/>
      <c r="D383" s="77"/>
      <c r="E383" s="77"/>
      <c r="F383" s="77"/>
      <c r="G383" s="152"/>
      <c r="H383" s="153"/>
      <c r="I383" s="153"/>
      <c r="J383" s="153"/>
      <c r="K383" s="153"/>
      <c r="L383" s="153"/>
      <c r="M383" s="152"/>
      <c r="N383" s="153"/>
      <c r="O383" s="153"/>
      <c r="P383" s="153"/>
      <c r="Q383" s="153"/>
      <c r="R383" s="153"/>
      <c r="S383" s="152"/>
      <c r="T383" s="153"/>
      <c r="U383" s="153"/>
      <c r="V383" s="153"/>
      <c r="W383" s="153"/>
      <c r="X383" s="153"/>
    </row>
    <row r="384" spans="1:24">
      <c r="A384" s="76"/>
      <c r="B384" s="77"/>
      <c r="C384" s="77"/>
      <c r="D384" s="77"/>
      <c r="E384" s="77"/>
      <c r="F384" s="77"/>
      <c r="G384" s="152"/>
      <c r="H384" s="153"/>
      <c r="I384" s="153"/>
      <c r="J384" s="153"/>
      <c r="K384" s="153"/>
      <c r="L384" s="153"/>
      <c r="M384" s="152"/>
      <c r="N384" s="153"/>
      <c r="O384" s="153"/>
      <c r="P384" s="153"/>
      <c r="Q384" s="153"/>
      <c r="R384" s="153"/>
      <c r="S384" s="152"/>
      <c r="T384" s="153"/>
      <c r="U384" s="153"/>
      <c r="V384" s="153"/>
      <c r="W384" s="153"/>
      <c r="X384" s="153"/>
    </row>
    <row r="385" spans="1:24">
      <c r="A385" s="76"/>
      <c r="B385" s="77"/>
      <c r="C385" s="77"/>
      <c r="D385" s="77"/>
      <c r="E385" s="77"/>
      <c r="F385" s="77"/>
      <c r="G385" s="152"/>
      <c r="H385" s="153"/>
      <c r="I385" s="153"/>
      <c r="J385" s="153"/>
      <c r="K385" s="153"/>
      <c r="L385" s="153"/>
      <c r="M385" s="152"/>
      <c r="N385" s="153"/>
      <c r="O385" s="153"/>
      <c r="P385" s="153"/>
      <c r="Q385" s="153"/>
      <c r="R385" s="153"/>
      <c r="S385" s="152"/>
      <c r="T385" s="153"/>
      <c r="U385" s="153"/>
      <c r="V385" s="153"/>
      <c r="W385" s="153"/>
      <c r="X385" s="153"/>
    </row>
    <row r="386" spans="1:24">
      <c r="A386" s="76"/>
      <c r="B386" s="77"/>
      <c r="C386" s="77"/>
      <c r="D386" s="77"/>
      <c r="E386" s="77"/>
      <c r="F386" s="77"/>
      <c r="G386" s="152"/>
      <c r="H386" s="153"/>
      <c r="I386" s="153"/>
      <c r="J386" s="153"/>
      <c r="K386" s="153"/>
      <c r="L386" s="153"/>
      <c r="M386" s="152"/>
      <c r="N386" s="153"/>
      <c r="O386" s="153"/>
      <c r="P386" s="153"/>
      <c r="Q386" s="153"/>
      <c r="R386" s="153"/>
      <c r="S386" s="152"/>
      <c r="T386" s="153"/>
      <c r="U386" s="153"/>
      <c r="V386" s="153"/>
      <c r="W386" s="153"/>
      <c r="X386" s="153"/>
    </row>
    <row r="387" spans="1:24">
      <c r="A387" s="76"/>
      <c r="B387" s="77"/>
      <c r="C387" s="77"/>
      <c r="D387" s="77"/>
      <c r="E387" s="77"/>
      <c r="F387" s="77"/>
      <c r="G387" s="152"/>
      <c r="H387" s="153"/>
      <c r="I387" s="153"/>
      <c r="J387" s="153"/>
      <c r="K387" s="153"/>
      <c r="L387" s="153"/>
      <c r="M387" s="152"/>
      <c r="N387" s="153"/>
      <c r="O387" s="153"/>
      <c r="P387" s="153"/>
      <c r="Q387" s="153"/>
      <c r="R387" s="153"/>
      <c r="S387" s="152"/>
      <c r="T387" s="153"/>
      <c r="U387" s="153"/>
      <c r="V387" s="153"/>
      <c r="W387" s="153"/>
      <c r="X387" s="153"/>
    </row>
    <row r="388" spans="1:24">
      <c r="A388" s="76"/>
      <c r="B388" s="77"/>
      <c r="C388" s="77"/>
      <c r="D388" s="77"/>
      <c r="E388" s="77"/>
      <c r="F388" s="77"/>
      <c r="G388" s="152"/>
      <c r="H388" s="153"/>
      <c r="I388" s="153"/>
      <c r="J388" s="153"/>
      <c r="K388" s="153"/>
      <c r="L388" s="153"/>
      <c r="M388" s="152"/>
      <c r="N388" s="153"/>
      <c r="O388" s="153"/>
      <c r="P388" s="153"/>
      <c r="Q388" s="153"/>
      <c r="R388" s="153"/>
      <c r="S388" s="152"/>
      <c r="T388" s="153"/>
      <c r="U388" s="153"/>
      <c r="V388" s="153"/>
      <c r="W388" s="153"/>
      <c r="X388" s="153"/>
    </row>
    <row r="389" spans="1:24">
      <c r="A389" s="76"/>
      <c r="B389" s="77"/>
      <c r="C389" s="77"/>
      <c r="D389" s="77"/>
      <c r="E389" s="77"/>
      <c r="F389" s="77"/>
      <c r="G389" s="152"/>
      <c r="H389" s="153"/>
      <c r="I389" s="153"/>
      <c r="J389" s="153"/>
      <c r="K389" s="153"/>
      <c r="L389" s="153"/>
      <c r="M389" s="152"/>
      <c r="N389" s="153"/>
      <c r="O389" s="153"/>
      <c r="P389" s="153"/>
      <c r="Q389" s="153"/>
      <c r="R389" s="153"/>
      <c r="S389" s="152"/>
      <c r="T389" s="153"/>
      <c r="U389" s="153"/>
      <c r="V389" s="153"/>
      <c r="W389" s="153"/>
      <c r="X389" s="153"/>
    </row>
    <row r="390" spans="1:24">
      <c r="A390" s="76"/>
      <c r="B390" s="77"/>
      <c r="C390" s="77"/>
      <c r="D390" s="77"/>
      <c r="E390" s="77"/>
      <c r="F390" s="77"/>
      <c r="G390" s="152"/>
      <c r="H390" s="153"/>
      <c r="I390" s="153"/>
      <c r="J390" s="153"/>
      <c r="K390" s="153"/>
      <c r="L390" s="153"/>
      <c r="M390" s="152"/>
      <c r="N390" s="153"/>
      <c r="O390" s="153"/>
      <c r="P390" s="153"/>
      <c r="Q390" s="153"/>
      <c r="R390" s="153"/>
      <c r="S390" s="152"/>
      <c r="T390" s="153"/>
      <c r="U390" s="153"/>
      <c r="V390" s="153"/>
      <c r="W390" s="153"/>
      <c r="X390" s="153"/>
    </row>
    <row r="391" spans="1:24">
      <c r="A391" s="76"/>
      <c r="B391" s="77"/>
      <c r="C391" s="77"/>
      <c r="D391" s="77"/>
      <c r="E391" s="77"/>
      <c r="F391" s="77"/>
      <c r="G391" s="152"/>
      <c r="H391" s="153"/>
      <c r="I391" s="153"/>
      <c r="J391" s="153"/>
      <c r="K391" s="153"/>
      <c r="L391" s="153"/>
      <c r="M391" s="152"/>
      <c r="N391" s="153"/>
      <c r="O391" s="153"/>
      <c r="P391" s="153"/>
      <c r="Q391" s="153"/>
      <c r="R391" s="153"/>
      <c r="S391" s="152"/>
      <c r="T391" s="153"/>
      <c r="U391" s="153"/>
      <c r="V391" s="153"/>
      <c r="W391" s="153"/>
      <c r="X391" s="153"/>
    </row>
    <row r="392" spans="1:24">
      <c r="A392" s="76"/>
      <c r="B392" s="77"/>
      <c r="C392" s="77"/>
      <c r="D392" s="77"/>
      <c r="E392" s="77"/>
      <c r="F392" s="77"/>
      <c r="G392" s="152"/>
      <c r="H392" s="153"/>
      <c r="I392" s="153"/>
      <c r="J392" s="153"/>
      <c r="K392" s="153"/>
      <c r="L392" s="153"/>
      <c r="M392" s="152"/>
      <c r="N392" s="153"/>
      <c r="O392" s="153"/>
      <c r="P392" s="153"/>
      <c r="Q392" s="153"/>
      <c r="R392" s="153"/>
      <c r="S392" s="152"/>
      <c r="T392" s="153"/>
      <c r="U392" s="153"/>
      <c r="V392" s="153"/>
      <c r="W392" s="153"/>
      <c r="X392" s="153"/>
    </row>
    <row r="393" spans="1:24">
      <c r="A393" s="76"/>
      <c r="B393" s="77"/>
      <c r="C393" s="77"/>
      <c r="D393" s="77"/>
      <c r="E393" s="77"/>
      <c r="F393" s="77"/>
      <c r="G393" s="152"/>
      <c r="H393" s="153"/>
      <c r="I393" s="153"/>
      <c r="J393" s="153"/>
      <c r="K393" s="153"/>
      <c r="L393" s="153"/>
      <c r="M393" s="152"/>
      <c r="N393" s="153"/>
      <c r="O393" s="153"/>
      <c r="P393" s="153"/>
      <c r="Q393" s="153"/>
      <c r="R393" s="153"/>
      <c r="S393" s="152"/>
      <c r="T393" s="153"/>
      <c r="U393" s="153"/>
      <c r="V393" s="153"/>
      <c r="W393" s="153"/>
      <c r="X393" s="153"/>
    </row>
    <row r="394" spans="1:24">
      <c r="A394" s="76"/>
      <c r="B394" s="77"/>
      <c r="C394" s="77"/>
      <c r="D394" s="77"/>
      <c r="E394" s="77"/>
      <c r="F394" s="77"/>
      <c r="G394" s="152"/>
      <c r="H394" s="153"/>
      <c r="I394" s="153"/>
      <c r="J394" s="153"/>
      <c r="K394" s="153"/>
      <c r="L394" s="153"/>
      <c r="M394" s="152"/>
      <c r="N394" s="153"/>
      <c r="O394" s="153"/>
      <c r="P394" s="153"/>
      <c r="Q394" s="153"/>
      <c r="R394" s="153"/>
      <c r="S394" s="152"/>
      <c r="T394" s="153"/>
      <c r="U394" s="153"/>
      <c r="V394" s="153"/>
      <c r="W394" s="153"/>
      <c r="X394" s="153"/>
    </row>
    <row r="395" spans="1:24">
      <c r="A395" s="76"/>
      <c r="B395" s="77"/>
      <c r="C395" s="77"/>
      <c r="D395" s="77"/>
      <c r="E395" s="77"/>
      <c r="F395" s="77"/>
      <c r="G395" s="152"/>
      <c r="H395" s="153"/>
      <c r="I395" s="153"/>
      <c r="J395" s="153"/>
      <c r="K395" s="153"/>
      <c r="L395" s="153"/>
      <c r="M395" s="152"/>
      <c r="N395" s="153"/>
      <c r="O395" s="153"/>
      <c r="P395" s="153"/>
      <c r="Q395" s="153"/>
      <c r="R395" s="153"/>
      <c r="S395" s="152"/>
      <c r="T395" s="153"/>
      <c r="U395" s="153"/>
      <c r="V395" s="153"/>
      <c r="W395" s="153"/>
      <c r="X395" s="153"/>
    </row>
    <row r="396" spans="1:24">
      <c r="A396" s="76"/>
      <c r="B396" s="77"/>
      <c r="C396" s="77"/>
      <c r="D396" s="77"/>
      <c r="E396" s="77"/>
      <c r="F396" s="77"/>
      <c r="G396" s="152"/>
      <c r="H396" s="153"/>
      <c r="I396" s="153"/>
      <c r="J396" s="153"/>
      <c r="K396" s="153"/>
      <c r="L396" s="153"/>
      <c r="M396" s="152"/>
      <c r="N396" s="153"/>
      <c r="O396" s="153"/>
      <c r="P396" s="153"/>
      <c r="Q396" s="153"/>
      <c r="R396" s="153"/>
      <c r="S396" s="152"/>
      <c r="T396" s="153"/>
      <c r="U396" s="153"/>
      <c r="V396" s="153"/>
      <c r="W396" s="153"/>
      <c r="X396" s="153"/>
    </row>
    <row r="397" spans="1:24">
      <c r="A397" s="76"/>
      <c r="B397" s="77"/>
      <c r="C397" s="77"/>
      <c r="D397" s="77"/>
      <c r="E397" s="77"/>
      <c r="F397" s="77"/>
      <c r="G397" s="152"/>
      <c r="H397" s="153"/>
      <c r="I397" s="153"/>
      <c r="J397" s="153"/>
      <c r="K397" s="153"/>
      <c r="L397" s="153"/>
      <c r="M397" s="152"/>
      <c r="N397" s="153"/>
      <c r="O397" s="153"/>
      <c r="P397" s="153"/>
      <c r="Q397" s="153"/>
      <c r="R397" s="153"/>
      <c r="S397" s="152"/>
      <c r="T397" s="153"/>
      <c r="U397" s="153"/>
      <c r="V397" s="153"/>
      <c r="W397" s="153"/>
      <c r="X397" s="153"/>
    </row>
    <row r="398" spans="1:24">
      <c r="A398" s="76"/>
      <c r="B398" s="77"/>
      <c r="C398" s="77"/>
      <c r="D398" s="77"/>
      <c r="E398" s="77"/>
      <c r="F398" s="77"/>
      <c r="G398" s="152"/>
      <c r="H398" s="153"/>
      <c r="I398" s="153"/>
      <c r="J398" s="153"/>
      <c r="K398" s="153"/>
      <c r="L398" s="153"/>
      <c r="M398" s="152"/>
      <c r="N398" s="153"/>
      <c r="O398" s="153"/>
      <c r="P398" s="153"/>
      <c r="Q398" s="153"/>
      <c r="R398" s="153"/>
      <c r="S398" s="152"/>
      <c r="T398" s="153"/>
      <c r="U398" s="153"/>
      <c r="V398" s="153"/>
      <c r="W398" s="153"/>
      <c r="X398" s="153"/>
    </row>
    <row r="399" spans="1:24">
      <c r="A399" s="76"/>
      <c r="B399" s="77"/>
      <c r="C399" s="77"/>
      <c r="D399" s="77"/>
      <c r="E399" s="77"/>
      <c r="F399" s="77"/>
      <c r="G399" s="152"/>
      <c r="H399" s="153"/>
      <c r="I399" s="153"/>
      <c r="J399" s="153"/>
      <c r="K399" s="153"/>
      <c r="L399" s="153"/>
      <c r="M399" s="152"/>
      <c r="N399" s="153"/>
      <c r="O399" s="153"/>
      <c r="P399" s="153"/>
      <c r="Q399" s="153"/>
      <c r="R399" s="153"/>
      <c r="S399" s="152"/>
      <c r="T399" s="153"/>
      <c r="U399" s="153"/>
      <c r="V399" s="153"/>
      <c r="W399" s="153"/>
      <c r="X399" s="153"/>
    </row>
    <row r="400" spans="1:24">
      <c r="A400" s="76"/>
      <c r="B400" s="77"/>
      <c r="C400" s="77"/>
      <c r="D400" s="77"/>
      <c r="E400" s="77"/>
      <c r="F400" s="77"/>
      <c r="G400" s="152"/>
      <c r="H400" s="153"/>
      <c r="I400" s="153"/>
      <c r="J400" s="153"/>
      <c r="K400" s="153"/>
      <c r="L400" s="153"/>
      <c r="M400" s="152"/>
      <c r="N400" s="153"/>
      <c r="O400" s="153"/>
      <c r="P400" s="153"/>
      <c r="Q400" s="153"/>
      <c r="R400" s="153"/>
      <c r="S400" s="152"/>
      <c r="T400" s="153"/>
      <c r="U400" s="153"/>
      <c r="V400" s="153"/>
      <c r="W400" s="153"/>
      <c r="X400" s="153"/>
    </row>
    <row r="401" spans="1:24">
      <c r="A401" s="76"/>
      <c r="B401" s="77"/>
      <c r="C401" s="77"/>
      <c r="D401" s="77"/>
      <c r="E401" s="77"/>
      <c r="F401" s="77"/>
      <c r="G401" s="152"/>
      <c r="H401" s="153"/>
      <c r="I401" s="153"/>
      <c r="J401" s="153"/>
      <c r="K401" s="153"/>
      <c r="L401" s="153"/>
      <c r="M401" s="152"/>
      <c r="N401" s="153"/>
      <c r="O401" s="153"/>
      <c r="P401" s="153"/>
      <c r="Q401" s="153"/>
      <c r="R401" s="153"/>
      <c r="S401" s="152"/>
      <c r="T401" s="153"/>
      <c r="U401" s="153"/>
      <c r="V401" s="153"/>
      <c r="W401" s="153"/>
      <c r="X401" s="153"/>
    </row>
    <row r="402" spans="1:24">
      <c r="A402" s="76"/>
      <c r="B402" s="77"/>
      <c r="C402" s="77"/>
      <c r="D402" s="77"/>
      <c r="E402" s="77"/>
      <c r="F402" s="77"/>
      <c r="G402" s="152"/>
      <c r="H402" s="153"/>
      <c r="I402" s="153"/>
      <c r="J402" s="153"/>
      <c r="K402" s="153"/>
      <c r="L402" s="153"/>
      <c r="M402" s="152"/>
      <c r="N402" s="153"/>
      <c r="O402" s="153"/>
      <c r="P402" s="153"/>
      <c r="Q402" s="153"/>
      <c r="R402" s="153"/>
      <c r="S402" s="152"/>
      <c r="T402" s="153"/>
      <c r="U402" s="153"/>
      <c r="V402" s="153"/>
      <c r="W402" s="153"/>
      <c r="X402" s="153"/>
    </row>
    <row r="403" spans="1:24">
      <c r="A403" s="76"/>
      <c r="B403" s="77"/>
      <c r="C403" s="77"/>
      <c r="D403" s="77"/>
      <c r="E403" s="77"/>
      <c r="F403" s="77"/>
      <c r="G403" s="152"/>
      <c r="H403" s="153"/>
      <c r="I403" s="153"/>
      <c r="J403" s="153"/>
      <c r="K403" s="153"/>
      <c r="L403" s="153"/>
      <c r="M403" s="152"/>
      <c r="N403" s="153"/>
      <c r="O403" s="153"/>
      <c r="P403" s="153"/>
      <c r="Q403" s="153"/>
      <c r="R403" s="153"/>
      <c r="S403" s="152"/>
      <c r="T403" s="153"/>
      <c r="U403" s="153"/>
      <c r="V403" s="153"/>
      <c r="W403" s="153"/>
      <c r="X403" s="153"/>
    </row>
    <row r="404" spans="1:24">
      <c r="A404" s="76"/>
      <c r="B404" s="77"/>
      <c r="C404" s="77"/>
      <c r="D404" s="77"/>
      <c r="E404" s="77"/>
      <c r="F404" s="77"/>
      <c r="G404" s="152"/>
      <c r="H404" s="153"/>
      <c r="I404" s="153"/>
      <c r="J404" s="153"/>
      <c r="K404" s="153"/>
      <c r="L404" s="153"/>
      <c r="M404" s="152"/>
      <c r="N404" s="153"/>
      <c r="O404" s="153"/>
      <c r="P404" s="153"/>
      <c r="Q404" s="153"/>
      <c r="R404" s="153"/>
      <c r="S404" s="152"/>
      <c r="T404" s="153"/>
      <c r="U404" s="153"/>
      <c r="V404" s="153"/>
      <c r="W404" s="153"/>
      <c r="X404" s="153"/>
    </row>
    <row r="405" spans="1:24">
      <c r="A405" s="76"/>
      <c r="B405" s="77"/>
      <c r="C405" s="77"/>
      <c r="D405" s="77"/>
      <c r="E405" s="77"/>
      <c r="F405" s="77"/>
      <c r="G405" s="152"/>
      <c r="H405" s="153"/>
      <c r="I405" s="153"/>
      <c r="J405" s="153"/>
      <c r="K405" s="153"/>
      <c r="L405" s="153"/>
      <c r="M405" s="152"/>
      <c r="N405" s="153"/>
      <c r="O405" s="153"/>
      <c r="P405" s="153"/>
      <c r="Q405" s="153"/>
      <c r="R405" s="153"/>
      <c r="S405" s="152"/>
      <c r="T405" s="153"/>
      <c r="U405" s="153"/>
      <c r="V405" s="153"/>
      <c r="W405" s="153"/>
      <c r="X405" s="153"/>
    </row>
    <row r="406" spans="1:24">
      <c r="A406" s="76"/>
      <c r="B406" s="77"/>
      <c r="C406" s="77"/>
      <c r="D406" s="77"/>
      <c r="E406" s="77"/>
      <c r="F406" s="77"/>
      <c r="G406" s="152"/>
      <c r="H406" s="153"/>
      <c r="I406" s="153"/>
      <c r="J406" s="153"/>
      <c r="K406" s="153"/>
      <c r="L406" s="153"/>
      <c r="M406" s="152"/>
      <c r="N406" s="153"/>
      <c r="O406" s="153"/>
      <c r="P406" s="153"/>
      <c r="Q406" s="153"/>
      <c r="R406" s="153"/>
      <c r="S406" s="152"/>
      <c r="T406" s="153"/>
      <c r="U406" s="153"/>
      <c r="V406" s="153"/>
      <c r="W406" s="153"/>
      <c r="X406" s="153"/>
    </row>
    <row r="407" spans="1:24">
      <c r="A407" s="76"/>
      <c r="B407" s="77"/>
      <c r="C407" s="77"/>
      <c r="D407" s="77"/>
      <c r="E407" s="77"/>
      <c r="F407" s="77"/>
      <c r="G407" s="152"/>
      <c r="H407" s="153"/>
      <c r="I407" s="153"/>
      <c r="J407" s="153"/>
      <c r="K407" s="153"/>
      <c r="L407" s="153"/>
      <c r="M407" s="152"/>
      <c r="N407" s="153"/>
      <c r="O407" s="153"/>
      <c r="P407" s="153"/>
      <c r="Q407" s="153"/>
      <c r="R407" s="153"/>
      <c r="S407" s="152"/>
      <c r="T407" s="153"/>
      <c r="U407" s="153"/>
      <c r="V407" s="153"/>
      <c r="W407" s="153"/>
      <c r="X407" s="153"/>
    </row>
    <row r="408" spans="1:24">
      <c r="A408" s="76"/>
      <c r="B408" s="77"/>
      <c r="C408" s="77"/>
      <c r="D408" s="77"/>
      <c r="E408" s="77"/>
      <c r="F408" s="77"/>
      <c r="G408" s="152"/>
      <c r="H408" s="153"/>
      <c r="I408" s="153"/>
      <c r="J408" s="153"/>
      <c r="K408" s="153"/>
      <c r="L408" s="153"/>
      <c r="M408" s="152"/>
      <c r="N408" s="153"/>
      <c r="O408" s="153"/>
      <c r="P408" s="153"/>
      <c r="Q408" s="153"/>
      <c r="R408" s="153"/>
      <c r="S408" s="152"/>
      <c r="T408" s="153"/>
      <c r="U408" s="153"/>
      <c r="V408" s="153"/>
      <c r="W408" s="153"/>
      <c r="X408" s="153"/>
    </row>
    <row r="409" spans="1:24">
      <c r="A409" s="76"/>
      <c r="B409" s="77"/>
      <c r="C409" s="77"/>
      <c r="D409" s="77"/>
      <c r="E409" s="77"/>
      <c r="F409" s="77"/>
      <c r="G409" s="152"/>
      <c r="H409" s="153"/>
      <c r="I409" s="153"/>
      <c r="J409" s="153"/>
      <c r="K409" s="153"/>
      <c r="L409" s="153"/>
      <c r="M409" s="152"/>
      <c r="N409" s="153"/>
      <c r="O409" s="153"/>
      <c r="P409" s="153"/>
      <c r="Q409" s="153"/>
      <c r="R409" s="153"/>
      <c r="S409" s="152"/>
      <c r="T409" s="153"/>
      <c r="U409" s="153"/>
      <c r="V409" s="153"/>
      <c r="W409" s="153"/>
      <c r="X409" s="153"/>
    </row>
    <row r="410" spans="1:24">
      <c r="A410" s="76"/>
      <c r="B410" s="77"/>
      <c r="C410" s="77"/>
      <c r="D410" s="77"/>
      <c r="E410" s="77"/>
      <c r="F410" s="77"/>
      <c r="G410" s="152"/>
      <c r="H410" s="153"/>
      <c r="I410" s="153"/>
      <c r="J410" s="153"/>
      <c r="K410" s="153"/>
      <c r="L410" s="153"/>
      <c r="M410" s="152"/>
      <c r="N410" s="153"/>
      <c r="O410" s="153"/>
      <c r="P410" s="153"/>
      <c r="Q410" s="153"/>
      <c r="R410" s="153"/>
      <c r="S410" s="152"/>
      <c r="T410" s="153"/>
      <c r="U410" s="153"/>
      <c r="V410" s="153"/>
      <c r="W410" s="153"/>
      <c r="X410" s="153"/>
    </row>
    <row r="411" spans="1:24">
      <c r="A411" s="76"/>
      <c r="B411" s="77"/>
      <c r="C411" s="77"/>
      <c r="D411" s="77"/>
      <c r="E411" s="77"/>
      <c r="F411" s="77"/>
      <c r="G411" s="152"/>
      <c r="H411" s="153"/>
      <c r="I411" s="153"/>
      <c r="J411" s="153"/>
      <c r="K411" s="153"/>
      <c r="L411" s="153"/>
      <c r="M411" s="152"/>
      <c r="N411" s="153"/>
      <c r="O411" s="153"/>
      <c r="P411" s="153"/>
      <c r="Q411" s="153"/>
      <c r="R411" s="153"/>
      <c r="S411" s="152"/>
      <c r="T411" s="153"/>
      <c r="U411" s="153"/>
      <c r="V411" s="153"/>
      <c r="W411" s="153"/>
      <c r="X411" s="153"/>
    </row>
    <row r="412" spans="1:24">
      <c r="A412" s="76"/>
      <c r="B412" s="77"/>
      <c r="C412" s="77"/>
      <c r="D412" s="77"/>
      <c r="E412" s="77"/>
      <c r="F412" s="77"/>
      <c r="G412" s="152"/>
      <c r="H412" s="153"/>
      <c r="I412" s="153"/>
      <c r="J412" s="153"/>
      <c r="K412" s="153"/>
      <c r="L412" s="153"/>
      <c r="M412" s="152"/>
      <c r="N412" s="153"/>
      <c r="O412" s="153"/>
      <c r="P412" s="153"/>
      <c r="Q412" s="153"/>
      <c r="R412" s="153"/>
      <c r="S412" s="152"/>
      <c r="T412" s="153"/>
      <c r="U412" s="153"/>
      <c r="V412" s="153"/>
      <c r="W412" s="153"/>
      <c r="X412" s="153"/>
    </row>
    <row r="413" spans="1:24">
      <c r="A413" s="76"/>
      <c r="B413" s="77"/>
      <c r="C413" s="77"/>
      <c r="D413" s="77"/>
      <c r="E413" s="77"/>
      <c r="F413" s="77"/>
      <c r="G413" s="152"/>
      <c r="H413" s="153"/>
      <c r="I413" s="153"/>
      <c r="J413" s="153"/>
      <c r="K413" s="153"/>
      <c r="L413" s="153"/>
      <c r="M413" s="152"/>
      <c r="N413" s="153"/>
      <c r="O413" s="153"/>
      <c r="P413" s="153"/>
      <c r="Q413" s="153"/>
      <c r="R413" s="153"/>
      <c r="S413" s="152"/>
      <c r="T413" s="153"/>
      <c r="U413" s="153"/>
      <c r="V413" s="153"/>
      <c r="W413" s="153"/>
      <c r="X413" s="153"/>
    </row>
    <row r="414" spans="1:24">
      <c r="A414" s="76"/>
      <c r="B414" s="77"/>
      <c r="C414" s="77"/>
      <c r="D414" s="77"/>
      <c r="E414" s="77"/>
      <c r="F414" s="77"/>
      <c r="G414" s="152"/>
      <c r="H414" s="153"/>
      <c r="I414" s="153"/>
      <c r="J414" s="153"/>
      <c r="K414" s="153"/>
      <c r="L414" s="153"/>
      <c r="M414" s="152"/>
      <c r="N414" s="153"/>
      <c r="O414" s="153"/>
      <c r="P414" s="153"/>
      <c r="Q414" s="153"/>
      <c r="R414" s="153"/>
      <c r="S414" s="152"/>
      <c r="T414" s="153"/>
      <c r="U414" s="153"/>
      <c r="V414" s="153"/>
      <c r="W414" s="153"/>
      <c r="X414" s="153"/>
    </row>
    <row r="415" spans="1:24">
      <c r="A415" s="76"/>
      <c r="B415" s="77"/>
      <c r="C415" s="77"/>
      <c r="D415" s="77"/>
      <c r="E415" s="77"/>
      <c r="F415" s="77"/>
      <c r="G415" s="152"/>
      <c r="H415" s="153"/>
      <c r="I415" s="153"/>
      <c r="J415" s="153"/>
      <c r="K415" s="153"/>
      <c r="L415" s="153"/>
      <c r="M415" s="152"/>
      <c r="N415" s="153"/>
      <c r="O415" s="153"/>
      <c r="P415" s="153"/>
      <c r="Q415" s="153"/>
      <c r="R415" s="153"/>
      <c r="S415" s="152"/>
      <c r="T415" s="153"/>
      <c r="U415" s="153"/>
      <c r="V415" s="153"/>
      <c r="W415" s="153"/>
      <c r="X415" s="153"/>
    </row>
    <row r="416" spans="1:24">
      <c r="A416" s="76"/>
      <c r="B416" s="77"/>
      <c r="C416" s="77"/>
      <c r="D416" s="77"/>
      <c r="E416" s="77"/>
      <c r="F416" s="77"/>
      <c r="G416" s="152"/>
      <c r="H416" s="153"/>
      <c r="I416" s="153"/>
      <c r="J416" s="153"/>
      <c r="K416" s="153"/>
      <c r="L416" s="153"/>
      <c r="M416" s="152"/>
      <c r="N416" s="153"/>
      <c r="O416" s="153"/>
      <c r="P416" s="153"/>
      <c r="Q416" s="153"/>
      <c r="R416" s="153"/>
      <c r="S416" s="152"/>
      <c r="T416" s="153"/>
      <c r="U416" s="153"/>
      <c r="V416" s="153"/>
      <c r="W416" s="153"/>
      <c r="X416" s="153"/>
    </row>
    <row r="417" spans="1:24">
      <c r="A417" s="76"/>
      <c r="B417" s="77"/>
      <c r="C417" s="77"/>
      <c r="D417" s="77"/>
      <c r="E417" s="77"/>
      <c r="F417" s="77"/>
      <c r="G417" s="152"/>
      <c r="H417" s="153"/>
      <c r="I417" s="153"/>
      <c r="J417" s="153"/>
      <c r="K417" s="153"/>
      <c r="L417" s="153"/>
      <c r="M417" s="152"/>
      <c r="N417" s="153"/>
      <c r="O417" s="153"/>
      <c r="P417" s="153"/>
      <c r="Q417" s="153"/>
      <c r="R417" s="153"/>
      <c r="S417" s="152"/>
      <c r="T417" s="153"/>
      <c r="U417" s="153"/>
      <c r="V417" s="153"/>
      <c r="W417" s="153"/>
      <c r="X417" s="153"/>
    </row>
    <row r="418" spans="1:24">
      <c r="A418" s="76"/>
      <c r="B418" s="77"/>
      <c r="C418" s="77"/>
      <c r="D418" s="77"/>
      <c r="E418" s="77"/>
      <c r="F418" s="77"/>
      <c r="G418" s="152"/>
      <c r="H418" s="153"/>
      <c r="I418" s="153"/>
      <c r="J418" s="153"/>
      <c r="K418" s="153"/>
      <c r="L418" s="153"/>
      <c r="M418" s="152"/>
      <c r="N418" s="153"/>
      <c r="O418" s="153"/>
      <c r="P418" s="153"/>
      <c r="Q418" s="153"/>
      <c r="R418" s="153"/>
      <c r="S418" s="152"/>
      <c r="T418" s="153"/>
      <c r="U418" s="153"/>
      <c r="V418" s="153"/>
      <c r="W418" s="153"/>
      <c r="X418" s="153"/>
    </row>
    <row r="419" spans="1:24">
      <c r="A419" s="76"/>
      <c r="B419" s="77"/>
      <c r="C419" s="77"/>
      <c r="D419" s="77"/>
      <c r="E419" s="77"/>
      <c r="F419" s="77"/>
      <c r="G419" s="152"/>
      <c r="H419" s="153"/>
      <c r="I419" s="153"/>
      <c r="J419" s="153"/>
      <c r="K419" s="153"/>
      <c r="L419" s="153"/>
      <c r="M419" s="152"/>
      <c r="N419" s="153"/>
      <c r="O419" s="153"/>
      <c r="P419" s="153"/>
      <c r="Q419" s="153"/>
      <c r="R419" s="153"/>
      <c r="S419" s="152"/>
      <c r="T419" s="153"/>
      <c r="U419" s="153"/>
      <c r="V419" s="153"/>
      <c r="W419" s="153"/>
      <c r="X419" s="153"/>
    </row>
    <row r="420" spans="1:24">
      <c r="A420" s="76"/>
      <c r="B420" s="77"/>
      <c r="C420" s="77"/>
      <c r="D420" s="77"/>
      <c r="E420" s="77"/>
      <c r="F420" s="77"/>
      <c r="G420" s="152"/>
      <c r="H420" s="153"/>
      <c r="I420" s="153"/>
      <c r="J420" s="153"/>
      <c r="K420" s="153"/>
      <c r="L420" s="153"/>
      <c r="M420" s="152"/>
      <c r="N420" s="153"/>
      <c r="O420" s="153"/>
      <c r="P420" s="153"/>
      <c r="Q420" s="153"/>
      <c r="R420" s="153"/>
      <c r="S420" s="152"/>
      <c r="T420" s="153"/>
      <c r="U420" s="153"/>
      <c r="V420" s="153"/>
      <c r="W420" s="153"/>
      <c r="X420" s="153"/>
    </row>
    <row r="421" spans="1:24">
      <c r="A421" s="76"/>
      <c r="B421" s="77"/>
      <c r="C421" s="77"/>
      <c r="D421" s="77"/>
      <c r="E421" s="77"/>
      <c r="F421" s="77"/>
      <c r="G421" s="152"/>
      <c r="H421" s="153"/>
      <c r="I421" s="153"/>
      <c r="J421" s="153"/>
      <c r="K421" s="153"/>
      <c r="L421" s="153"/>
      <c r="M421" s="152"/>
      <c r="N421" s="153"/>
      <c r="O421" s="153"/>
      <c r="P421" s="153"/>
      <c r="Q421" s="153"/>
      <c r="R421" s="153"/>
      <c r="S421" s="152"/>
      <c r="T421" s="153"/>
      <c r="U421" s="153"/>
      <c r="V421" s="153"/>
      <c r="W421" s="153"/>
      <c r="X421" s="153"/>
    </row>
    <row r="422" spans="1:24">
      <c r="A422" s="76"/>
      <c r="B422" s="77"/>
      <c r="C422" s="77"/>
      <c r="D422" s="77"/>
      <c r="E422" s="77"/>
      <c r="F422" s="77"/>
      <c r="G422" s="152"/>
      <c r="H422" s="153"/>
      <c r="I422" s="153"/>
      <c r="J422" s="153"/>
      <c r="K422" s="153"/>
      <c r="L422" s="153"/>
      <c r="M422" s="152"/>
      <c r="N422" s="153"/>
      <c r="O422" s="153"/>
      <c r="P422" s="153"/>
      <c r="Q422" s="153"/>
      <c r="R422" s="153"/>
      <c r="S422" s="152"/>
      <c r="T422" s="153"/>
      <c r="U422" s="153"/>
      <c r="V422" s="153"/>
      <c r="W422" s="153"/>
      <c r="X422" s="153"/>
    </row>
    <row r="423" spans="1:24">
      <c r="A423" s="76"/>
      <c r="B423" s="77"/>
      <c r="C423" s="77"/>
      <c r="D423" s="77"/>
      <c r="E423" s="77"/>
      <c r="F423" s="77"/>
      <c r="G423" s="152"/>
      <c r="H423" s="153"/>
      <c r="I423" s="153"/>
      <c r="J423" s="153"/>
      <c r="K423" s="153"/>
      <c r="L423" s="153"/>
      <c r="M423" s="152"/>
      <c r="N423" s="153"/>
      <c r="O423" s="153"/>
      <c r="P423" s="153"/>
      <c r="Q423" s="153"/>
      <c r="R423" s="153"/>
      <c r="S423" s="152"/>
      <c r="T423" s="153"/>
      <c r="U423" s="153"/>
      <c r="V423" s="153"/>
      <c r="W423" s="153"/>
      <c r="X423" s="153"/>
    </row>
    <row r="424" spans="1:24">
      <c r="A424" s="76"/>
      <c r="B424" s="77"/>
      <c r="C424" s="77"/>
      <c r="D424" s="77"/>
      <c r="E424" s="77"/>
      <c r="F424" s="77"/>
      <c r="G424" s="152"/>
      <c r="H424" s="153"/>
      <c r="I424" s="153"/>
      <c r="J424" s="153"/>
      <c r="K424" s="153"/>
      <c r="L424" s="153"/>
      <c r="M424" s="152"/>
      <c r="N424" s="153"/>
      <c r="O424" s="153"/>
      <c r="P424" s="153"/>
      <c r="Q424" s="153"/>
      <c r="R424" s="153"/>
      <c r="S424" s="152"/>
      <c r="T424" s="153"/>
      <c r="U424" s="153"/>
      <c r="V424" s="153"/>
      <c r="W424" s="153"/>
      <c r="X424" s="153"/>
    </row>
    <row r="425" spans="1:24">
      <c r="A425" s="76"/>
      <c r="B425" s="77"/>
      <c r="C425" s="77"/>
      <c r="D425" s="77"/>
      <c r="E425" s="77"/>
      <c r="F425" s="77"/>
      <c r="G425" s="152"/>
      <c r="H425" s="153"/>
      <c r="I425" s="153"/>
      <c r="J425" s="153"/>
      <c r="K425" s="153"/>
      <c r="L425" s="153"/>
      <c r="M425" s="152"/>
      <c r="N425" s="153"/>
      <c r="O425" s="153"/>
      <c r="P425" s="153"/>
      <c r="Q425" s="153"/>
      <c r="R425" s="153"/>
      <c r="S425" s="152"/>
      <c r="T425" s="153"/>
      <c r="U425" s="153"/>
      <c r="V425" s="153"/>
      <c r="W425" s="153"/>
      <c r="X425" s="153"/>
    </row>
    <row r="426" spans="1:24">
      <c r="A426" s="76"/>
      <c r="B426" s="77"/>
      <c r="C426" s="77"/>
      <c r="D426" s="77"/>
      <c r="E426" s="77"/>
      <c r="F426" s="77"/>
      <c r="G426" s="152"/>
      <c r="H426" s="153"/>
      <c r="I426" s="153"/>
      <c r="J426" s="153"/>
      <c r="K426" s="153"/>
      <c r="L426" s="153"/>
      <c r="M426" s="152"/>
      <c r="N426" s="153"/>
      <c r="O426" s="153"/>
      <c r="P426" s="153"/>
      <c r="Q426" s="153"/>
      <c r="R426" s="153"/>
      <c r="S426" s="152"/>
      <c r="T426" s="153"/>
      <c r="U426" s="153"/>
      <c r="V426" s="153"/>
      <c r="W426" s="153"/>
      <c r="X426" s="153"/>
    </row>
    <row r="427" spans="1:24">
      <c r="A427" s="76"/>
      <c r="B427" s="77"/>
      <c r="C427" s="77"/>
      <c r="D427" s="77"/>
      <c r="E427" s="77"/>
      <c r="F427" s="77"/>
      <c r="G427" s="152"/>
      <c r="H427" s="153"/>
      <c r="I427" s="153"/>
      <c r="J427" s="153"/>
      <c r="K427" s="153"/>
      <c r="L427" s="153"/>
      <c r="M427" s="152"/>
      <c r="N427" s="153"/>
      <c r="O427" s="153"/>
      <c r="P427" s="153"/>
      <c r="Q427" s="153"/>
      <c r="R427" s="153"/>
      <c r="S427" s="152"/>
      <c r="T427" s="153"/>
      <c r="U427" s="153"/>
      <c r="V427" s="153"/>
      <c r="W427" s="153"/>
      <c r="X427" s="153"/>
    </row>
    <row r="428" spans="1:24">
      <c r="A428" s="76"/>
      <c r="B428" s="77"/>
      <c r="C428" s="77"/>
      <c r="D428" s="77"/>
      <c r="E428" s="77"/>
      <c r="F428" s="77"/>
      <c r="G428" s="152"/>
      <c r="H428" s="153"/>
      <c r="I428" s="153"/>
      <c r="J428" s="153"/>
      <c r="K428" s="153"/>
      <c r="L428" s="153"/>
      <c r="M428" s="152"/>
      <c r="N428" s="153"/>
      <c r="O428" s="153"/>
      <c r="P428" s="153"/>
      <c r="Q428" s="153"/>
      <c r="R428" s="153"/>
      <c r="S428" s="152"/>
      <c r="T428" s="153"/>
      <c r="U428" s="153"/>
      <c r="V428" s="153"/>
      <c r="W428" s="153"/>
      <c r="X428" s="153"/>
    </row>
    <row r="429" spans="1:24">
      <c r="A429" s="76"/>
      <c r="B429" s="77"/>
      <c r="C429" s="77"/>
      <c r="D429" s="77"/>
      <c r="E429" s="77"/>
      <c r="F429" s="77"/>
      <c r="G429" s="152"/>
      <c r="H429" s="153"/>
      <c r="I429" s="153"/>
      <c r="J429" s="153"/>
      <c r="K429" s="153"/>
      <c r="L429" s="153"/>
      <c r="M429" s="152"/>
      <c r="N429" s="153"/>
      <c r="O429" s="153"/>
      <c r="P429" s="153"/>
      <c r="Q429" s="153"/>
      <c r="R429" s="153"/>
      <c r="S429" s="152"/>
      <c r="T429" s="153"/>
      <c r="U429" s="153"/>
      <c r="V429" s="153"/>
      <c r="W429" s="153"/>
      <c r="X429" s="153"/>
    </row>
    <row r="430" spans="1:24">
      <c r="A430" s="76"/>
      <c r="B430" s="77"/>
      <c r="C430" s="77"/>
      <c r="D430" s="77"/>
      <c r="E430" s="77"/>
      <c r="F430" s="77"/>
      <c r="G430" s="152"/>
      <c r="H430" s="153"/>
      <c r="I430" s="153"/>
      <c r="J430" s="153"/>
      <c r="K430" s="153"/>
      <c r="L430" s="153"/>
      <c r="M430" s="152"/>
      <c r="N430" s="153"/>
      <c r="O430" s="153"/>
      <c r="P430" s="153"/>
      <c r="Q430" s="153"/>
      <c r="R430" s="153"/>
      <c r="S430" s="152"/>
      <c r="T430" s="153"/>
      <c r="U430" s="153"/>
      <c r="V430" s="153"/>
      <c r="W430" s="153"/>
      <c r="X430" s="153"/>
    </row>
    <row r="431" spans="1:24">
      <c r="A431" s="76"/>
      <c r="B431" s="77"/>
      <c r="C431" s="77"/>
      <c r="D431" s="77"/>
      <c r="E431" s="77"/>
      <c r="F431" s="77"/>
      <c r="G431" s="152"/>
      <c r="H431" s="153"/>
      <c r="I431" s="153"/>
      <c r="J431" s="153"/>
      <c r="K431" s="153"/>
      <c r="L431" s="153"/>
      <c r="M431" s="152"/>
      <c r="N431" s="153"/>
      <c r="O431" s="153"/>
      <c r="P431" s="153"/>
      <c r="Q431" s="153"/>
      <c r="R431" s="153"/>
      <c r="S431" s="152"/>
      <c r="T431" s="153"/>
      <c r="U431" s="153"/>
      <c r="V431" s="153"/>
      <c r="W431" s="153"/>
      <c r="X431" s="153"/>
    </row>
    <row r="432" spans="1:24">
      <c r="A432" s="76"/>
      <c r="B432" s="77"/>
      <c r="C432" s="77"/>
      <c r="D432" s="77"/>
      <c r="E432" s="77"/>
      <c r="F432" s="77"/>
      <c r="G432" s="152"/>
      <c r="H432" s="153"/>
      <c r="I432" s="153"/>
      <c r="J432" s="153"/>
      <c r="K432" s="153"/>
      <c r="L432" s="153"/>
      <c r="M432" s="152"/>
      <c r="N432" s="153"/>
      <c r="O432" s="153"/>
      <c r="P432" s="153"/>
      <c r="Q432" s="153"/>
      <c r="R432" s="153"/>
      <c r="S432" s="152"/>
      <c r="T432" s="153"/>
      <c r="U432" s="153"/>
      <c r="V432" s="153"/>
      <c r="W432" s="153"/>
      <c r="X432" s="153"/>
    </row>
    <row r="433" spans="1:24">
      <c r="A433" s="76"/>
      <c r="B433" s="77"/>
      <c r="C433" s="77"/>
      <c r="D433" s="77"/>
      <c r="E433" s="77"/>
      <c r="F433" s="77"/>
      <c r="G433" s="152"/>
      <c r="H433" s="153"/>
      <c r="I433" s="153"/>
      <c r="J433" s="153"/>
      <c r="K433" s="153"/>
      <c r="L433" s="153"/>
      <c r="M433" s="152"/>
      <c r="N433" s="153"/>
      <c r="O433" s="153"/>
      <c r="P433" s="153"/>
      <c r="Q433" s="153"/>
      <c r="R433" s="153"/>
      <c r="S433" s="152"/>
      <c r="T433" s="153"/>
      <c r="U433" s="153"/>
      <c r="V433" s="153"/>
      <c r="W433" s="153"/>
      <c r="X433" s="153"/>
    </row>
    <row r="434" spans="1:24">
      <c r="A434" s="76"/>
      <c r="B434" s="77"/>
      <c r="C434" s="77"/>
      <c r="D434" s="77"/>
      <c r="E434" s="77"/>
      <c r="F434" s="77"/>
      <c r="G434" s="152"/>
      <c r="H434" s="153"/>
      <c r="I434" s="153"/>
      <c r="J434" s="153"/>
      <c r="K434" s="153"/>
      <c r="L434" s="153"/>
      <c r="M434" s="152"/>
      <c r="N434" s="153"/>
      <c r="O434" s="153"/>
      <c r="P434" s="153"/>
      <c r="Q434" s="153"/>
      <c r="R434" s="153"/>
      <c r="S434" s="152"/>
      <c r="T434" s="153"/>
      <c r="U434" s="153"/>
      <c r="V434" s="153"/>
      <c r="W434" s="153"/>
      <c r="X434" s="153"/>
    </row>
    <row r="435" spans="1:24">
      <c r="A435" s="76"/>
      <c r="B435" s="77"/>
      <c r="C435" s="77"/>
      <c r="D435" s="77"/>
      <c r="E435" s="77"/>
      <c r="F435" s="77"/>
      <c r="G435" s="152"/>
      <c r="H435" s="153"/>
      <c r="I435" s="153"/>
      <c r="J435" s="153"/>
      <c r="K435" s="153"/>
      <c r="L435" s="153"/>
      <c r="M435" s="152"/>
      <c r="N435" s="153"/>
      <c r="O435" s="153"/>
      <c r="P435" s="153"/>
      <c r="Q435" s="153"/>
      <c r="R435" s="153"/>
      <c r="S435" s="152"/>
      <c r="T435" s="153"/>
      <c r="U435" s="153"/>
      <c r="V435" s="153"/>
      <c r="W435" s="153"/>
      <c r="X435" s="153"/>
    </row>
    <row r="436" spans="1:24">
      <c r="A436" s="76"/>
      <c r="B436" s="77"/>
      <c r="C436" s="77"/>
      <c r="D436" s="77"/>
      <c r="E436" s="77"/>
      <c r="F436" s="77"/>
      <c r="G436" s="152"/>
      <c r="H436" s="153"/>
      <c r="I436" s="153"/>
      <c r="J436" s="153"/>
      <c r="K436" s="153"/>
      <c r="L436" s="153"/>
      <c r="M436" s="152"/>
      <c r="N436" s="153"/>
      <c r="O436" s="153"/>
      <c r="P436" s="153"/>
      <c r="Q436" s="153"/>
      <c r="R436" s="153"/>
      <c r="S436" s="152"/>
      <c r="T436" s="153"/>
      <c r="U436" s="153"/>
      <c r="V436" s="153"/>
      <c r="W436" s="153"/>
      <c r="X436" s="153"/>
    </row>
    <row r="437" spans="1:24">
      <c r="A437" s="76"/>
      <c r="B437" s="77"/>
      <c r="C437" s="77"/>
      <c r="D437" s="77"/>
      <c r="E437" s="77"/>
      <c r="F437" s="77"/>
      <c r="G437" s="152"/>
      <c r="H437" s="153"/>
      <c r="I437" s="153"/>
      <c r="J437" s="153"/>
      <c r="K437" s="153"/>
      <c r="L437" s="153"/>
      <c r="M437" s="152"/>
      <c r="N437" s="153"/>
      <c r="O437" s="153"/>
      <c r="P437" s="153"/>
      <c r="Q437" s="153"/>
      <c r="R437" s="153"/>
      <c r="S437" s="152"/>
      <c r="T437" s="153"/>
      <c r="U437" s="153"/>
      <c r="V437" s="153"/>
      <c r="W437" s="153"/>
      <c r="X437" s="153"/>
    </row>
    <row r="438" spans="1:24">
      <c r="A438" s="76"/>
      <c r="B438" s="77"/>
      <c r="C438" s="77"/>
      <c r="D438" s="77"/>
      <c r="E438" s="77"/>
      <c r="F438" s="77"/>
      <c r="G438" s="152"/>
      <c r="H438" s="153"/>
      <c r="I438" s="153"/>
      <c r="J438" s="153"/>
      <c r="K438" s="153"/>
      <c r="L438" s="153"/>
      <c r="M438" s="152"/>
      <c r="N438" s="153"/>
      <c r="O438" s="153"/>
      <c r="P438" s="153"/>
      <c r="Q438" s="153"/>
      <c r="R438" s="153"/>
      <c r="S438" s="152"/>
      <c r="T438" s="153"/>
      <c r="U438" s="153"/>
      <c r="V438" s="153"/>
      <c r="W438" s="153"/>
      <c r="X438" s="153"/>
    </row>
    <row r="439" spans="1:24">
      <c r="A439" s="76"/>
      <c r="B439" s="77"/>
      <c r="C439" s="77"/>
      <c r="D439" s="77"/>
      <c r="E439" s="77"/>
      <c r="F439" s="77"/>
      <c r="G439" s="152"/>
      <c r="H439" s="153"/>
      <c r="I439" s="153"/>
      <c r="J439" s="153"/>
      <c r="K439" s="153"/>
      <c r="L439" s="153"/>
      <c r="M439" s="152"/>
      <c r="N439" s="153"/>
      <c r="O439" s="153"/>
      <c r="P439" s="153"/>
      <c r="Q439" s="153"/>
      <c r="R439" s="153"/>
      <c r="S439" s="152"/>
      <c r="T439" s="153"/>
      <c r="U439" s="153"/>
      <c r="V439" s="153"/>
      <c r="W439" s="153"/>
      <c r="X439" s="153"/>
    </row>
    <row r="440" spans="1:24">
      <c r="A440" s="76"/>
      <c r="B440" s="77"/>
      <c r="C440" s="77"/>
      <c r="D440" s="77"/>
      <c r="E440" s="77"/>
      <c r="F440" s="77"/>
      <c r="G440" s="152"/>
      <c r="H440" s="153"/>
      <c r="I440" s="153"/>
      <c r="J440" s="153"/>
      <c r="K440" s="153"/>
      <c r="L440" s="153"/>
      <c r="M440" s="152"/>
      <c r="N440" s="153"/>
      <c r="O440" s="153"/>
      <c r="P440" s="153"/>
      <c r="Q440" s="153"/>
      <c r="R440" s="153"/>
      <c r="S440" s="152"/>
      <c r="T440" s="153"/>
      <c r="U440" s="153"/>
      <c r="V440" s="153"/>
      <c r="W440" s="153"/>
      <c r="X440" s="153"/>
    </row>
    <row r="441" spans="1:24">
      <c r="A441" s="76"/>
      <c r="B441" s="77"/>
      <c r="C441" s="77"/>
      <c r="D441" s="77"/>
      <c r="E441" s="77"/>
      <c r="F441" s="77"/>
      <c r="G441" s="152"/>
      <c r="H441" s="153"/>
      <c r="I441" s="153"/>
      <c r="J441" s="153"/>
      <c r="K441" s="153"/>
      <c r="L441" s="153"/>
      <c r="M441" s="152"/>
      <c r="N441" s="153"/>
      <c r="O441" s="153"/>
      <c r="P441" s="153"/>
      <c r="Q441" s="153"/>
      <c r="R441" s="153"/>
      <c r="S441" s="152"/>
      <c r="T441" s="153"/>
      <c r="U441" s="153"/>
      <c r="V441" s="153"/>
      <c r="W441" s="153"/>
      <c r="X441" s="153"/>
    </row>
    <row r="442" spans="1:24">
      <c r="A442" s="76"/>
      <c r="B442" s="77"/>
      <c r="C442" s="77"/>
      <c r="D442" s="77"/>
      <c r="E442" s="77"/>
      <c r="F442" s="77"/>
      <c r="G442" s="152"/>
      <c r="H442" s="153"/>
      <c r="I442" s="153"/>
      <c r="J442" s="153"/>
      <c r="K442" s="153"/>
      <c r="L442" s="153"/>
      <c r="M442" s="152"/>
      <c r="N442" s="153"/>
      <c r="O442" s="153"/>
      <c r="P442" s="153"/>
      <c r="Q442" s="153"/>
      <c r="R442" s="153"/>
      <c r="S442" s="152"/>
      <c r="T442" s="153"/>
      <c r="U442" s="153"/>
      <c r="V442" s="153"/>
      <c r="W442" s="153"/>
      <c r="X442" s="153"/>
    </row>
    <row r="443" spans="1:24">
      <c r="A443" s="76"/>
      <c r="B443" s="77"/>
      <c r="C443" s="77"/>
      <c r="D443" s="77"/>
      <c r="E443" s="77"/>
      <c r="F443" s="77"/>
      <c r="G443" s="152"/>
      <c r="H443" s="153"/>
      <c r="I443" s="153"/>
      <c r="J443" s="153"/>
      <c r="K443" s="153"/>
      <c r="L443" s="153"/>
      <c r="M443" s="152"/>
      <c r="N443" s="153"/>
      <c r="O443" s="153"/>
      <c r="P443" s="153"/>
      <c r="Q443" s="153"/>
      <c r="R443" s="153"/>
      <c r="S443" s="152"/>
      <c r="T443" s="153"/>
      <c r="U443" s="153"/>
      <c r="V443" s="153"/>
      <c r="W443" s="153"/>
      <c r="X443" s="153"/>
    </row>
    <row r="444" spans="1:24">
      <c r="A444" s="76"/>
      <c r="B444" s="77"/>
      <c r="C444" s="77"/>
      <c r="D444" s="77"/>
      <c r="E444" s="77"/>
      <c r="F444" s="77"/>
      <c r="G444" s="152"/>
      <c r="H444" s="153"/>
      <c r="I444" s="153"/>
      <c r="J444" s="153"/>
      <c r="K444" s="153"/>
      <c r="L444" s="153"/>
      <c r="M444" s="152"/>
      <c r="N444" s="153"/>
      <c r="O444" s="153"/>
      <c r="P444" s="153"/>
      <c r="Q444" s="153"/>
      <c r="R444" s="153"/>
      <c r="S444" s="152"/>
      <c r="T444" s="153"/>
      <c r="U444" s="153"/>
      <c r="V444" s="153"/>
      <c r="W444" s="153"/>
      <c r="X444" s="153"/>
    </row>
    <row r="445" spans="1:24">
      <c r="A445" s="76"/>
      <c r="B445" s="77"/>
      <c r="C445" s="77"/>
      <c r="D445" s="77"/>
      <c r="E445" s="77"/>
      <c r="F445" s="77"/>
      <c r="G445" s="152"/>
      <c r="H445" s="153"/>
      <c r="I445" s="153"/>
      <c r="J445" s="153"/>
      <c r="K445" s="153"/>
      <c r="L445" s="153"/>
      <c r="M445" s="152"/>
      <c r="N445" s="153"/>
      <c r="O445" s="153"/>
      <c r="P445" s="153"/>
      <c r="Q445" s="153"/>
      <c r="R445" s="153"/>
      <c r="S445" s="152"/>
      <c r="T445" s="153"/>
      <c r="U445" s="153"/>
      <c r="V445" s="153"/>
      <c r="W445" s="153"/>
      <c r="X445" s="153"/>
    </row>
    <row r="446" spans="1:24">
      <c r="A446" s="76"/>
      <c r="B446" s="77"/>
      <c r="C446" s="77"/>
      <c r="D446" s="77"/>
      <c r="E446" s="77"/>
      <c r="F446" s="77"/>
      <c r="G446" s="152"/>
      <c r="H446" s="153"/>
      <c r="I446" s="153"/>
      <c r="J446" s="153"/>
      <c r="K446" s="153"/>
      <c r="L446" s="153"/>
      <c r="M446" s="152"/>
      <c r="N446" s="153"/>
      <c r="O446" s="153"/>
      <c r="P446" s="153"/>
      <c r="Q446" s="153"/>
      <c r="R446" s="153"/>
      <c r="S446" s="152"/>
      <c r="T446" s="153"/>
      <c r="U446" s="153"/>
      <c r="V446" s="153"/>
      <c r="W446" s="153"/>
      <c r="X446" s="153"/>
    </row>
    <row r="447" spans="1:24">
      <c r="A447" s="76"/>
      <c r="B447" s="77"/>
      <c r="C447" s="77"/>
      <c r="D447" s="77"/>
      <c r="E447" s="77"/>
      <c r="F447" s="77"/>
      <c r="G447" s="152"/>
      <c r="H447" s="153"/>
      <c r="I447" s="153"/>
      <c r="J447" s="153"/>
      <c r="K447" s="153"/>
      <c r="L447" s="153"/>
      <c r="M447" s="152"/>
      <c r="N447" s="153"/>
      <c r="O447" s="153"/>
      <c r="P447" s="153"/>
      <c r="Q447" s="153"/>
      <c r="R447" s="153"/>
      <c r="S447" s="152"/>
      <c r="T447" s="153"/>
      <c r="U447" s="153"/>
      <c r="V447" s="153"/>
      <c r="W447" s="153"/>
      <c r="X447" s="153"/>
    </row>
    <row r="448" spans="1:24">
      <c r="A448" s="76"/>
      <c r="B448" s="77"/>
      <c r="C448" s="77"/>
      <c r="D448" s="77"/>
      <c r="E448" s="77"/>
      <c r="F448" s="77"/>
      <c r="G448" s="152"/>
      <c r="H448" s="153"/>
      <c r="I448" s="153"/>
      <c r="J448" s="153"/>
      <c r="K448" s="153"/>
      <c r="L448" s="153"/>
      <c r="M448" s="152"/>
      <c r="N448" s="153"/>
      <c r="O448" s="153"/>
      <c r="P448" s="153"/>
      <c r="Q448" s="153"/>
      <c r="R448" s="153"/>
      <c r="S448" s="152"/>
      <c r="T448" s="153"/>
      <c r="U448" s="153"/>
      <c r="V448" s="153"/>
      <c r="W448" s="153"/>
      <c r="X448" s="153"/>
    </row>
    <row r="449" spans="1:24">
      <c r="A449" s="76"/>
      <c r="B449" s="77"/>
      <c r="C449" s="77"/>
      <c r="D449" s="77"/>
      <c r="E449" s="77"/>
      <c r="F449" s="77"/>
      <c r="G449" s="152"/>
      <c r="H449" s="153"/>
      <c r="I449" s="153"/>
      <c r="J449" s="153"/>
      <c r="K449" s="153"/>
      <c r="L449" s="153"/>
      <c r="M449" s="152"/>
      <c r="N449" s="153"/>
      <c r="O449" s="153"/>
      <c r="P449" s="153"/>
      <c r="Q449" s="153"/>
      <c r="R449" s="153"/>
      <c r="S449" s="152"/>
      <c r="T449" s="153"/>
      <c r="U449" s="153"/>
      <c r="V449" s="153"/>
      <c r="W449" s="153"/>
      <c r="X449" s="153"/>
    </row>
    <row r="450" spans="1:24">
      <c r="A450" s="76"/>
      <c r="B450" s="77"/>
      <c r="C450" s="77"/>
      <c r="D450" s="77"/>
      <c r="E450" s="77"/>
      <c r="F450" s="77"/>
      <c r="G450" s="152"/>
      <c r="H450" s="153"/>
      <c r="I450" s="153"/>
      <c r="J450" s="153"/>
      <c r="K450" s="153"/>
      <c r="L450" s="153"/>
      <c r="M450" s="152"/>
      <c r="N450" s="153"/>
      <c r="O450" s="153"/>
      <c r="P450" s="153"/>
      <c r="Q450" s="153"/>
      <c r="R450" s="153"/>
      <c r="S450" s="152"/>
      <c r="T450" s="153"/>
      <c r="U450" s="153"/>
      <c r="V450" s="153"/>
      <c r="W450" s="153"/>
      <c r="X450" s="153"/>
    </row>
    <row r="451" spans="1:24">
      <c r="A451" s="76"/>
      <c r="B451" s="77"/>
      <c r="C451" s="77"/>
      <c r="D451" s="77"/>
      <c r="E451" s="77"/>
      <c r="F451" s="77"/>
      <c r="G451" s="152"/>
      <c r="H451" s="153"/>
      <c r="I451" s="153"/>
      <c r="J451" s="153"/>
      <c r="K451" s="153"/>
      <c r="L451" s="153"/>
      <c r="M451" s="152"/>
      <c r="N451" s="153"/>
      <c r="O451" s="153"/>
      <c r="P451" s="153"/>
      <c r="Q451" s="153"/>
      <c r="R451" s="153"/>
      <c r="S451" s="152"/>
      <c r="T451" s="153"/>
      <c r="U451" s="153"/>
      <c r="V451" s="153"/>
      <c r="W451" s="153"/>
      <c r="X451" s="153"/>
    </row>
    <row r="452" spans="1:24">
      <c r="A452" s="76"/>
      <c r="B452" s="77"/>
      <c r="C452" s="77"/>
      <c r="D452" s="77"/>
      <c r="E452" s="77"/>
      <c r="F452" s="77"/>
      <c r="G452" s="152"/>
      <c r="H452" s="153"/>
      <c r="I452" s="153"/>
      <c r="J452" s="153"/>
      <c r="K452" s="153"/>
      <c r="L452" s="153"/>
      <c r="M452" s="152"/>
      <c r="N452" s="153"/>
      <c r="O452" s="153"/>
      <c r="P452" s="153"/>
      <c r="Q452" s="153"/>
      <c r="R452" s="153"/>
      <c r="S452" s="152"/>
      <c r="T452" s="153"/>
      <c r="U452" s="153"/>
      <c r="V452" s="153"/>
      <c r="W452" s="153"/>
      <c r="X452" s="153"/>
    </row>
    <row r="453" spans="1:24">
      <c r="A453" s="76"/>
      <c r="B453" s="77"/>
      <c r="C453" s="77"/>
      <c r="D453" s="77"/>
      <c r="E453" s="77"/>
      <c r="F453" s="77"/>
      <c r="G453" s="152"/>
      <c r="H453" s="153"/>
      <c r="I453" s="153"/>
      <c r="J453" s="153"/>
      <c r="K453" s="153"/>
      <c r="L453" s="153"/>
      <c r="M453" s="152"/>
      <c r="N453" s="153"/>
      <c r="O453" s="153"/>
      <c r="P453" s="153"/>
      <c r="Q453" s="153"/>
      <c r="R453" s="153"/>
      <c r="S453" s="152"/>
      <c r="T453" s="153"/>
      <c r="U453" s="153"/>
      <c r="V453" s="153"/>
      <c r="W453" s="153"/>
      <c r="X453" s="153"/>
    </row>
    <row r="454" spans="1:24">
      <c r="A454" s="76"/>
      <c r="B454" s="77"/>
      <c r="C454" s="77"/>
      <c r="D454" s="77"/>
      <c r="E454" s="77"/>
      <c r="F454" s="77"/>
      <c r="G454" s="152"/>
      <c r="H454" s="153"/>
      <c r="I454" s="153"/>
      <c r="J454" s="153"/>
      <c r="K454" s="153"/>
      <c r="L454" s="153"/>
      <c r="M454" s="152"/>
      <c r="N454" s="153"/>
      <c r="O454" s="153"/>
      <c r="P454" s="153"/>
      <c r="Q454" s="153"/>
      <c r="R454" s="153"/>
      <c r="S454" s="152"/>
      <c r="T454" s="153"/>
      <c r="U454" s="153"/>
      <c r="V454" s="153"/>
      <c r="W454" s="153"/>
      <c r="X454" s="153"/>
    </row>
    <row r="455" spans="1:24">
      <c r="A455" s="76"/>
      <c r="B455" s="77"/>
      <c r="C455" s="77"/>
      <c r="D455" s="77"/>
      <c r="E455" s="77"/>
      <c r="F455" s="77"/>
      <c r="G455" s="152"/>
      <c r="H455" s="153"/>
      <c r="I455" s="153"/>
      <c r="J455" s="153"/>
      <c r="K455" s="153"/>
      <c r="L455" s="153"/>
      <c r="M455" s="152"/>
      <c r="N455" s="153"/>
      <c r="O455" s="153"/>
      <c r="P455" s="153"/>
      <c r="Q455" s="153"/>
      <c r="R455" s="153"/>
      <c r="S455" s="152"/>
      <c r="T455" s="153"/>
      <c r="U455" s="153"/>
      <c r="V455" s="153"/>
      <c r="W455" s="153"/>
      <c r="X455" s="153"/>
    </row>
    <row r="456" spans="1:24">
      <c r="A456" s="76"/>
      <c r="B456" s="77"/>
      <c r="C456" s="77"/>
      <c r="D456" s="77"/>
      <c r="E456" s="77"/>
      <c r="F456" s="77"/>
      <c r="G456" s="152"/>
      <c r="H456" s="153"/>
      <c r="I456" s="153"/>
      <c r="J456" s="153"/>
      <c r="K456" s="153"/>
      <c r="L456" s="153"/>
      <c r="M456" s="152"/>
      <c r="N456" s="153"/>
      <c r="O456" s="153"/>
      <c r="P456" s="153"/>
      <c r="Q456" s="153"/>
      <c r="R456" s="153"/>
      <c r="S456" s="152"/>
      <c r="T456" s="153"/>
      <c r="U456" s="153"/>
      <c r="V456" s="153"/>
      <c r="W456" s="153"/>
      <c r="X456" s="153"/>
    </row>
    <row r="457" spans="1:24">
      <c r="A457" s="76"/>
      <c r="B457" s="77"/>
      <c r="C457" s="77"/>
      <c r="D457" s="77"/>
      <c r="E457" s="77"/>
      <c r="F457" s="77"/>
      <c r="G457" s="152"/>
      <c r="H457" s="153"/>
      <c r="I457" s="153"/>
      <c r="J457" s="153"/>
      <c r="K457" s="153"/>
      <c r="L457" s="153"/>
      <c r="M457" s="152"/>
      <c r="N457" s="153"/>
      <c r="O457" s="153"/>
      <c r="P457" s="153"/>
      <c r="Q457" s="153"/>
      <c r="R457" s="153"/>
      <c r="S457" s="152"/>
      <c r="T457" s="153"/>
      <c r="U457" s="153"/>
      <c r="V457" s="153"/>
      <c r="W457" s="153"/>
      <c r="X457" s="153"/>
    </row>
    <row r="458" spans="1:24">
      <c r="A458" s="76"/>
      <c r="B458" s="77"/>
      <c r="C458" s="77"/>
      <c r="D458" s="77"/>
      <c r="E458" s="77"/>
      <c r="F458" s="77"/>
      <c r="G458" s="152"/>
      <c r="H458" s="153"/>
      <c r="I458" s="153"/>
      <c r="J458" s="153"/>
      <c r="K458" s="153"/>
      <c r="L458" s="153"/>
      <c r="M458" s="152"/>
      <c r="N458" s="153"/>
      <c r="O458" s="153"/>
      <c r="P458" s="153"/>
      <c r="Q458" s="153"/>
      <c r="R458" s="153"/>
      <c r="S458" s="152"/>
      <c r="T458" s="153"/>
      <c r="U458" s="153"/>
      <c r="V458" s="153"/>
      <c r="W458" s="153"/>
      <c r="X458" s="153"/>
    </row>
    <row r="459" spans="1:24">
      <c r="A459" s="76"/>
      <c r="B459" s="77"/>
      <c r="C459" s="77"/>
      <c r="D459" s="77"/>
      <c r="E459" s="77"/>
      <c r="F459" s="77"/>
      <c r="G459" s="152"/>
      <c r="H459" s="153"/>
      <c r="I459" s="153"/>
      <c r="J459" s="153"/>
      <c r="K459" s="153"/>
      <c r="L459" s="153"/>
      <c r="M459" s="152"/>
      <c r="N459" s="153"/>
      <c r="O459" s="153"/>
      <c r="P459" s="153"/>
      <c r="Q459" s="153"/>
      <c r="R459" s="153"/>
      <c r="S459" s="152"/>
      <c r="T459" s="153"/>
      <c r="U459" s="153"/>
      <c r="V459" s="153"/>
      <c r="W459" s="153"/>
      <c r="X459" s="153"/>
    </row>
    <row r="460" spans="1:24">
      <c r="A460" s="76"/>
      <c r="B460" s="77"/>
      <c r="C460" s="77"/>
      <c r="D460" s="77"/>
      <c r="E460" s="77"/>
      <c r="F460" s="77"/>
      <c r="G460" s="152"/>
      <c r="H460" s="153"/>
      <c r="I460" s="153"/>
      <c r="J460" s="153"/>
      <c r="K460" s="153"/>
      <c r="L460" s="153"/>
      <c r="M460" s="152"/>
      <c r="N460" s="153"/>
      <c r="O460" s="153"/>
      <c r="P460" s="153"/>
      <c r="Q460" s="153"/>
      <c r="R460" s="153"/>
      <c r="S460" s="152"/>
      <c r="T460" s="153"/>
      <c r="U460" s="153"/>
      <c r="V460" s="153"/>
      <c r="W460" s="153"/>
      <c r="X460" s="153"/>
    </row>
    <row r="461" spans="1:24">
      <c r="A461" s="76"/>
      <c r="B461" s="77"/>
      <c r="C461" s="77"/>
      <c r="D461" s="77"/>
      <c r="E461" s="77"/>
      <c r="F461" s="77"/>
      <c r="G461" s="152"/>
      <c r="H461" s="153"/>
      <c r="I461" s="153"/>
      <c r="J461" s="153"/>
      <c r="K461" s="153"/>
      <c r="L461" s="153"/>
      <c r="M461" s="152"/>
      <c r="N461" s="153"/>
      <c r="O461" s="153"/>
      <c r="P461" s="153"/>
      <c r="Q461" s="153"/>
      <c r="R461" s="153"/>
      <c r="S461" s="152"/>
      <c r="T461" s="153"/>
      <c r="U461" s="153"/>
      <c r="V461" s="153"/>
      <c r="W461" s="153"/>
      <c r="X461" s="153"/>
    </row>
    <row r="462" spans="1:24">
      <c r="A462" s="76"/>
      <c r="B462" s="77"/>
      <c r="C462" s="77"/>
      <c r="D462" s="77"/>
      <c r="E462" s="77"/>
      <c r="F462" s="77"/>
      <c r="G462" s="152"/>
      <c r="H462" s="153"/>
      <c r="I462" s="153"/>
      <c r="J462" s="153"/>
      <c r="K462" s="153"/>
      <c r="L462" s="153"/>
      <c r="M462" s="152"/>
      <c r="N462" s="153"/>
      <c r="O462" s="153"/>
      <c r="P462" s="153"/>
      <c r="Q462" s="153"/>
      <c r="R462" s="153"/>
      <c r="S462" s="152"/>
      <c r="T462" s="153"/>
      <c r="U462" s="153"/>
      <c r="V462" s="153"/>
      <c r="W462" s="153"/>
      <c r="X462" s="153"/>
    </row>
    <row r="463" spans="1:24">
      <c r="A463" s="76"/>
      <c r="B463" s="77"/>
      <c r="C463" s="77"/>
      <c r="D463" s="77"/>
      <c r="E463" s="77"/>
      <c r="F463" s="77"/>
      <c r="G463" s="152"/>
      <c r="H463" s="153"/>
      <c r="I463" s="153"/>
      <c r="J463" s="153"/>
      <c r="K463" s="153"/>
      <c r="L463" s="153"/>
      <c r="M463" s="152"/>
      <c r="N463" s="153"/>
      <c r="O463" s="153"/>
      <c r="P463" s="153"/>
      <c r="Q463" s="153"/>
      <c r="R463" s="153"/>
      <c r="S463" s="152"/>
      <c r="T463" s="153"/>
      <c r="U463" s="153"/>
      <c r="V463" s="153"/>
      <c r="W463" s="153"/>
      <c r="X463" s="153"/>
    </row>
    <row r="464" spans="1:24">
      <c r="A464" s="76"/>
      <c r="B464" s="77"/>
      <c r="C464" s="77"/>
      <c r="D464" s="77"/>
      <c r="E464" s="77"/>
      <c r="F464" s="77"/>
      <c r="G464" s="152"/>
      <c r="H464" s="153"/>
      <c r="I464" s="153"/>
      <c r="J464" s="153"/>
      <c r="K464" s="153"/>
      <c r="L464" s="153"/>
      <c r="M464" s="152"/>
      <c r="N464" s="153"/>
      <c r="O464" s="153"/>
      <c r="P464" s="153"/>
      <c r="Q464" s="153"/>
      <c r="R464" s="153"/>
      <c r="S464" s="152"/>
      <c r="T464" s="153"/>
      <c r="U464" s="153"/>
      <c r="V464" s="153"/>
      <c r="W464" s="153"/>
      <c r="X464" s="153"/>
    </row>
    <row r="465" spans="1:24">
      <c r="A465" s="76"/>
      <c r="B465" s="77"/>
      <c r="C465" s="77"/>
      <c r="D465" s="77"/>
      <c r="E465" s="77"/>
      <c r="F465" s="77"/>
      <c r="G465" s="152"/>
      <c r="H465" s="153"/>
      <c r="I465" s="153"/>
      <c r="J465" s="153"/>
      <c r="K465" s="153"/>
      <c r="L465" s="153"/>
      <c r="M465" s="152"/>
      <c r="N465" s="153"/>
      <c r="O465" s="153"/>
      <c r="P465" s="153"/>
      <c r="Q465" s="153"/>
      <c r="R465" s="153"/>
      <c r="S465" s="152"/>
      <c r="T465" s="153"/>
      <c r="U465" s="153"/>
      <c r="V465" s="153"/>
      <c r="W465" s="153"/>
      <c r="X465" s="153"/>
    </row>
    <row r="466" spans="1:24">
      <c r="A466" s="76"/>
      <c r="B466" s="77"/>
      <c r="C466" s="77"/>
      <c r="D466" s="77"/>
      <c r="E466" s="77"/>
      <c r="F466" s="77"/>
      <c r="G466" s="152"/>
      <c r="H466" s="153"/>
      <c r="I466" s="153"/>
      <c r="J466" s="153"/>
      <c r="K466" s="153"/>
      <c r="L466" s="153"/>
      <c r="M466" s="152"/>
      <c r="N466" s="153"/>
      <c r="O466" s="153"/>
      <c r="P466" s="153"/>
      <c r="Q466" s="153"/>
      <c r="R466" s="153"/>
      <c r="S466" s="152"/>
      <c r="T466" s="153"/>
      <c r="U466" s="153"/>
      <c r="V466" s="153"/>
      <c r="W466" s="153"/>
      <c r="X466" s="153"/>
    </row>
    <row r="467" spans="1:24">
      <c r="A467" s="76"/>
      <c r="B467" s="77"/>
      <c r="C467" s="77"/>
      <c r="D467" s="77"/>
      <c r="E467" s="77"/>
      <c r="F467" s="77"/>
      <c r="G467" s="152"/>
      <c r="H467" s="153"/>
      <c r="I467" s="153"/>
      <c r="J467" s="153"/>
      <c r="K467" s="153"/>
      <c r="L467" s="153"/>
      <c r="M467" s="152"/>
      <c r="N467" s="153"/>
      <c r="O467" s="153"/>
      <c r="P467" s="153"/>
      <c r="Q467" s="153"/>
      <c r="R467" s="153"/>
      <c r="S467" s="152"/>
      <c r="T467" s="153"/>
      <c r="U467" s="153"/>
      <c r="V467" s="153"/>
      <c r="W467" s="153"/>
      <c r="X467" s="153"/>
    </row>
    <row r="468" spans="1:24">
      <c r="A468" s="76"/>
      <c r="B468" s="77"/>
      <c r="C468" s="77"/>
      <c r="D468" s="77"/>
      <c r="E468" s="77"/>
      <c r="F468" s="77"/>
      <c r="G468" s="152"/>
      <c r="H468" s="153"/>
      <c r="I468" s="153"/>
      <c r="J468" s="153"/>
      <c r="K468" s="153"/>
      <c r="L468" s="153"/>
      <c r="M468" s="152"/>
      <c r="N468" s="153"/>
      <c r="O468" s="153"/>
      <c r="P468" s="153"/>
      <c r="Q468" s="153"/>
      <c r="R468" s="153"/>
      <c r="S468" s="152"/>
      <c r="T468" s="153"/>
      <c r="U468" s="153"/>
      <c r="V468" s="153"/>
      <c r="W468" s="153"/>
      <c r="X468" s="153"/>
    </row>
    <row r="469" spans="1:24">
      <c r="A469" s="76"/>
      <c r="B469" s="77"/>
      <c r="C469" s="77"/>
      <c r="D469" s="77"/>
      <c r="E469" s="77"/>
      <c r="F469" s="77"/>
      <c r="G469" s="152"/>
      <c r="H469" s="153"/>
      <c r="I469" s="153"/>
      <c r="J469" s="153"/>
      <c r="K469" s="153"/>
      <c r="L469" s="153"/>
      <c r="M469" s="152"/>
      <c r="N469" s="153"/>
      <c r="O469" s="153"/>
      <c r="P469" s="153"/>
      <c r="Q469" s="153"/>
      <c r="R469" s="153"/>
      <c r="S469" s="152"/>
      <c r="T469" s="153"/>
      <c r="U469" s="153"/>
      <c r="V469" s="153"/>
      <c r="W469" s="153"/>
      <c r="X469" s="153"/>
    </row>
    <row r="470" spans="1:24">
      <c r="A470" s="76"/>
      <c r="B470" s="77"/>
      <c r="C470" s="77"/>
      <c r="D470" s="77"/>
      <c r="E470" s="77"/>
      <c r="F470" s="77"/>
      <c r="G470" s="152"/>
      <c r="H470" s="153"/>
      <c r="I470" s="153"/>
      <c r="J470" s="153"/>
      <c r="K470" s="153"/>
      <c r="L470" s="153"/>
      <c r="M470" s="152"/>
      <c r="N470" s="153"/>
      <c r="O470" s="153"/>
      <c r="P470" s="153"/>
      <c r="Q470" s="153"/>
      <c r="R470" s="153"/>
      <c r="S470" s="152"/>
      <c r="T470" s="153"/>
      <c r="U470" s="153"/>
      <c r="V470" s="153"/>
      <c r="W470" s="153"/>
      <c r="X470" s="153"/>
    </row>
    <row r="471" spans="1:24">
      <c r="A471" s="76"/>
      <c r="B471" s="77"/>
      <c r="C471" s="77"/>
      <c r="D471" s="77"/>
      <c r="E471" s="77"/>
      <c r="F471" s="77"/>
      <c r="G471" s="152"/>
      <c r="H471" s="153"/>
      <c r="I471" s="153"/>
      <c r="J471" s="153"/>
      <c r="K471" s="153"/>
      <c r="L471" s="153"/>
      <c r="M471" s="152"/>
      <c r="N471" s="153"/>
      <c r="O471" s="153"/>
      <c r="P471" s="153"/>
      <c r="Q471" s="153"/>
      <c r="R471" s="153"/>
      <c r="S471" s="152"/>
      <c r="T471" s="153"/>
      <c r="U471" s="153"/>
      <c r="V471" s="153"/>
      <c r="W471" s="153"/>
      <c r="X471" s="153"/>
    </row>
    <row r="472" spans="1:24">
      <c r="A472" s="76"/>
      <c r="B472" s="77"/>
      <c r="C472" s="77"/>
      <c r="D472" s="77"/>
      <c r="E472" s="77"/>
      <c r="F472" s="77"/>
      <c r="G472" s="152"/>
      <c r="H472" s="153"/>
      <c r="I472" s="153"/>
      <c r="J472" s="153"/>
      <c r="K472" s="153"/>
      <c r="L472" s="153"/>
      <c r="M472" s="152"/>
      <c r="N472" s="153"/>
      <c r="O472" s="153"/>
      <c r="P472" s="153"/>
      <c r="Q472" s="153"/>
      <c r="R472" s="153"/>
      <c r="S472" s="152"/>
      <c r="T472" s="153"/>
      <c r="U472" s="153"/>
      <c r="V472" s="153"/>
      <c r="W472" s="153"/>
      <c r="X472" s="153"/>
    </row>
    <row r="473" spans="1:24">
      <c r="A473" s="76"/>
      <c r="B473" s="77"/>
      <c r="C473" s="77"/>
      <c r="D473" s="77"/>
      <c r="E473" s="77"/>
      <c r="F473" s="77"/>
      <c r="G473" s="152"/>
      <c r="H473" s="153"/>
      <c r="I473" s="153"/>
      <c r="J473" s="153"/>
      <c r="K473" s="153"/>
      <c r="L473" s="153"/>
      <c r="M473" s="152"/>
      <c r="N473" s="153"/>
      <c r="O473" s="153"/>
      <c r="P473" s="153"/>
      <c r="Q473" s="153"/>
      <c r="R473" s="153"/>
      <c r="S473" s="152"/>
      <c r="T473" s="153"/>
      <c r="U473" s="153"/>
      <c r="V473" s="153"/>
      <c r="W473" s="153"/>
      <c r="X473" s="153"/>
    </row>
    <row r="474" spans="1:24">
      <c r="A474" s="76"/>
      <c r="B474" s="77"/>
      <c r="C474" s="77"/>
      <c r="D474" s="77"/>
      <c r="E474" s="77"/>
      <c r="F474" s="77"/>
      <c r="G474" s="152"/>
      <c r="H474" s="153"/>
      <c r="I474" s="153"/>
      <c r="J474" s="153"/>
      <c r="K474" s="153"/>
      <c r="L474" s="153"/>
      <c r="M474" s="152"/>
      <c r="N474" s="153"/>
      <c r="O474" s="153"/>
      <c r="P474" s="153"/>
      <c r="Q474" s="153"/>
      <c r="R474" s="153"/>
      <c r="S474" s="152"/>
      <c r="T474" s="153"/>
      <c r="U474" s="153"/>
      <c r="V474" s="153"/>
      <c r="W474" s="153"/>
      <c r="X474" s="153"/>
    </row>
    <row r="475" spans="1:24">
      <c r="A475" s="76"/>
      <c r="B475" s="77"/>
      <c r="C475" s="77"/>
      <c r="D475" s="77"/>
      <c r="E475" s="77"/>
      <c r="F475" s="77"/>
      <c r="G475" s="152"/>
      <c r="H475" s="153"/>
      <c r="I475" s="153"/>
      <c r="J475" s="153"/>
      <c r="K475" s="153"/>
      <c r="L475" s="153"/>
      <c r="M475" s="152"/>
      <c r="N475" s="153"/>
      <c r="O475" s="153"/>
      <c r="P475" s="153"/>
      <c r="Q475" s="153"/>
      <c r="R475" s="153"/>
      <c r="S475" s="152"/>
      <c r="T475" s="153"/>
      <c r="U475" s="153"/>
      <c r="V475" s="153"/>
      <c r="W475" s="153"/>
      <c r="X475" s="153"/>
    </row>
    <row r="476" spans="1:24">
      <c r="A476" s="76"/>
      <c r="B476" s="77"/>
      <c r="C476" s="77"/>
      <c r="D476" s="77"/>
      <c r="E476" s="77"/>
      <c r="F476" s="77"/>
      <c r="G476" s="152"/>
      <c r="H476" s="153"/>
      <c r="I476" s="153"/>
      <c r="J476" s="153"/>
      <c r="K476" s="153"/>
      <c r="L476" s="153"/>
      <c r="M476" s="152"/>
      <c r="N476" s="153"/>
      <c r="O476" s="153"/>
      <c r="P476" s="153"/>
      <c r="Q476" s="153"/>
      <c r="R476" s="153"/>
      <c r="S476" s="152"/>
      <c r="T476" s="153"/>
      <c r="U476" s="153"/>
      <c r="V476" s="153"/>
      <c r="W476" s="153"/>
      <c r="X476" s="153"/>
    </row>
    <row r="477" spans="1:24">
      <c r="A477" s="76"/>
      <c r="B477" s="77"/>
      <c r="C477" s="77"/>
      <c r="D477" s="77"/>
      <c r="E477" s="77"/>
      <c r="F477" s="77"/>
      <c r="G477" s="152"/>
      <c r="H477" s="153"/>
      <c r="I477" s="153"/>
      <c r="J477" s="153"/>
      <c r="K477" s="153"/>
      <c r="L477" s="153"/>
      <c r="M477" s="152"/>
      <c r="N477" s="153"/>
      <c r="O477" s="153"/>
      <c r="P477" s="153"/>
      <c r="Q477" s="153"/>
      <c r="R477" s="153"/>
      <c r="S477" s="152"/>
      <c r="T477" s="153"/>
      <c r="U477" s="153"/>
      <c r="V477" s="153"/>
      <c r="W477" s="153"/>
      <c r="X477" s="153"/>
    </row>
    <row r="478" spans="1:24">
      <c r="A478" s="76"/>
      <c r="B478" s="77"/>
      <c r="C478" s="77"/>
      <c r="D478" s="77"/>
      <c r="E478" s="77"/>
      <c r="F478" s="77"/>
      <c r="G478" s="152"/>
      <c r="H478" s="153"/>
      <c r="I478" s="153"/>
      <c r="J478" s="153"/>
      <c r="K478" s="153"/>
      <c r="L478" s="153"/>
      <c r="M478" s="152"/>
      <c r="N478" s="153"/>
      <c r="O478" s="153"/>
      <c r="P478" s="153"/>
      <c r="Q478" s="153"/>
      <c r="R478" s="153"/>
      <c r="S478" s="152"/>
      <c r="T478" s="153"/>
      <c r="U478" s="153"/>
      <c r="V478" s="153"/>
      <c r="W478" s="153"/>
      <c r="X478" s="153"/>
    </row>
    <row r="479" spans="1:24">
      <c r="A479" s="76"/>
      <c r="B479" s="77"/>
      <c r="C479" s="77"/>
      <c r="D479" s="77"/>
      <c r="E479" s="77"/>
      <c r="F479" s="77"/>
      <c r="G479" s="152"/>
      <c r="H479" s="153"/>
      <c r="I479" s="153"/>
      <c r="J479" s="153"/>
      <c r="K479" s="153"/>
      <c r="L479" s="153"/>
      <c r="M479" s="152"/>
      <c r="N479" s="153"/>
      <c r="O479" s="153"/>
      <c r="P479" s="153"/>
      <c r="Q479" s="153"/>
      <c r="R479" s="153"/>
      <c r="S479" s="152"/>
      <c r="T479" s="153"/>
      <c r="U479" s="153"/>
      <c r="V479" s="153"/>
      <c r="W479" s="153"/>
      <c r="X479" s="153"/>
    </row>
    <row r="480" spans="1:24">
      <c r="A480" s="76"/>
      <c r="B480" s="77"/>
      <c r="C480" s="77"/>
      <c r="D480" s="77"/>
      <c r="E480" s="77"/>
      <c r="F480" s="77"/>
      <c r="G480" s="152"/>
      <c r="H480" s="153"/>
      <c r="I480" s="153"/>
      <c r="J480" s="153"/>
      <c r="K480" s="153"/>
      <c r="L480" s="153"/>
      <c r="M480" s="152"/>
      <c r="N480" s="153"/>
      <c r="O480" s="153"/>
      <c r="P480" s="153"/>
      <c r="Q480" s="153"/>
      <c r="R480" s="153"/>
      <c r="S480" s="152"/>
      <c r="T480" s="153"/>
      <c r="U480" s="153"/>
      <c r="V480" s="153"/>
      <c r="W480" s="153"/>
      <c r="X480" s="153"/>
    </row>
    <row r="481" spans="1:24">
      <c r="A481" s="76"/>
      <c r="B481" s="77"/>
      <c r="C481" s="77"/>
      <c r="D481" s="77"/>
      <c r="E481" s="77"/>
      <c r="F481" s="77"/>
      <c r="G481" s="152"/>
      <c r="H481" s="153"/>
      <c r="I481" s="153"/>
      <c r="J481" s="153"/>
      <c r="K481" s="153"/>
      <c r="L481" s="153"/>
      <c r="M481" s="152"/>
      <c r="N481" s="153"/>
      <c r="O481" s="153"/>
      <c r="P481" s="153"/>
      <c r="Q481" s="153"/>
      <c r="R481" s="153"/>
      <c r="S481" s="152"/>
      <c r="T481" s="153"/>
      <c r="U481" s="153"/>
      <c r="V481" s="153"/>
      <c r="W481" s="153"/>
      <c r="X481" s="153"/>
    </row>
    <row r="482" spans="1:24">
      <c r="A482" s="76"/>
      <c r="B482" s="77"/>
      <c r="C482" s="77"/>
      <c r="D482" s="77"/>
      <c r="E482" s="77"/>
      <c r="F482" s="77"/>
      <c r="G482" s="152"/>
      <c r="H482" s="153"/>
      <c r="I482" s="153"/>
      <c r="J482" s="153"/>
      <c r="K482" s="153"/>
      <c r="L482" s="153"/>
      <c r="M482" s="152"/>
      <c r="N482" s="153"/>
      <c r="O482" s="153"/>
      <c r="P482" s="153"/>
      <c r="Q482" s="153"/>
      <c r="R482" s="153"/>
      <c r="S482" s="152"/>
      <c r="T482" s="153"/>
      <c r="U482" s="153"/>
      <c r="V482" s="153"/>
      <c r="W482" s="153"/>
      <c r="X482" s="153"/>
    </row>
    <row r="483" spans="1:24">
      <c r="A483" s="76"/>
      <c r="B483" s="77"/>
      <c r="C483" s="77"/>
      <c r="D483" s="77"/>
      <c r="E483" s="77"/>
      <c r="F483" s="77"/>
      <c r="G483" s="152"/>
      <c r="H483" s="153"/>
      <c r="I483" s="153"/>
      <c r="J483" s="153"/>
      <c r="K483" s="153"/>
      <c r="L483" s="153"/>
      <c r="M483" s="152"/>
      <c r="N483" s="153"/>
      <c r="O483" s="153"/>
      <c r="P483" s="153"/>
      <c r="Q483" s="153"/>
      <c r="R483" s="153"/>
      <c r="S483" s="152"/>
      <c r="T483" s="153"/>
      <c r="U483" s="153"/>
      <c r="V483" s="153"/>
      <c r="W483" s="153"/>
      <c r="X483" s="153"/>
    </row>
    <row r="484" spans="1:24">
      <c r="A484" s="76"/>
      <c r="B484" s="77"/>
      <c r="C484" s="77"/>
      <c r="D484" s="77"/>
      <c r="E484" s="77"/>
      <c r="F484" s="77"/>
      <c r="G484" s="152"/>
      <c r="H484" s="153"/>
      <c r="I484" s="153"/>
      <c r="J484" s="153"/>
      <c r="K484" s="153"/>
      <c r="L484" s="153"/>
      <c r="M484" s="152"/>
      <c r="N484" s="153"/>
      <c r="O484" s="153"/>
      <c r="P484" s="153"/>
      <c r="Q484" s="153"/>
      <c r="R484" s="153"/>
      <c r="S484" s="152"/>
      <c r="T484" s="153"/>
      <c r="U484" s="153"/>
      <c r="V484" s="153"/>
      <c r="W484" s="153"/>
      <c r="X484" s="153"/>
    </row>
    <row r="485" spans="1:24">
      <c r="A485" s="76"/>
      <c r="B485" s="77"/>
      <c r="C485" s="77"/>
      <c r="D485" s="77"/>
      <c r="E485" s="77"/>
      <c r="F485" s="77"/>
      <c r="G485" s="152"/>
      <c r="H485" s="153"/>
      <c r="I485" s="153"/>
      <c r="J485" s="153"/>
      <c r="K485" s="153"/>
      <c r="L485" s="153"/>
      <c r="M485" s="152"/>
      <c r="N485" s="153"/>
      <c r="O485" s="153"/>
      <c r="P485" s="153"/>
      <c r="Q485" s="153"/>
      <c r="R485" s="153"/>
      <c r="S485" s="152"/>
      <c r="T485" s="153"/>
      <c r="U485" s="153"/>
      <c r="V485" s="153"/>
      <c r="W485" s="153"/>
      <c r="X485" s="153"/>
    </row>
    <row r="486" spans="1:24">
      <c r="A486" s="76"/>
      <c r="B486" s="77"/>
      <c r="C486" s="77"/>
      <c r="D486" s="77"/>
      <c r="E486" s="77"/>
      <c r="F486" s="77"/>
      <c r="G486" s="152"/>
      <c r="H486" s="153"/>
      <c r="I486" s="153"/>
      <c r="J486" s="153"/>
      <c r="K486" s="153"/>
      <c r="L486" s="153"/>
      <c r="M486" s="152"/>
      <c r="N486" s="153"/>
      <c r="O486" s="153"/>
      <c r="P486" s="153"/>
      <c r="Q486" s="153"/>
      <c r="R486" s="153"/>
      <c r="S486" s="152"/>
      <c r="T486" s="153"/>
      <c r="U486" s="153"/>
      <c r="V486" s="153"/>
      <c r="W486" s="153"/>
      <c r="X486" s="153"/>
    </row>
    <row r="487" spans="1:24">
      <c r="A487" s="76"/>
      <c r="B487" s="77"/>
      <c r="C487" s="77"/>
      <c r="D487" s="77"/>
      <c r="E487" s="77"/>
      <c r="F487" s="77"/>
      <c r="G487" s="152"/>
      <c r="H487" s="153"/>
      <c r="I487" s="153"/>
      <c r="J487" s="153"/>
      <c r="K487" s="153"/>
      <c r="L487" s="153"/>
      <c r="M487" s="152"/>
      <c r="N487" s="153"/>
      <c r="O487" s="153"/>
      <c r="P487" s="153"/>
      <c r="Q487" s="153"/>
      <c r="R487" s="153"/>
      <c r="S487" s="152"/>
      <c r="T487" s="153"/>
      <c r="U487" s="153"/>
      <c r="V487" s="153"/>
      <c r="W487" s="153"/>
      <c r="X487" s="153"/>
    </row>
    <row r="488" spans="1:24">
      <c r="A488" s="76"/>
      <c r="B488" s="77"/>
      <c r="C488" s="77"/>
      <c r="D488" s="77"/>
      <c r="E488" s="77"/>
      <c r="F488" s="77"/>
      <c r="G488" s="152"/>
      <c r="H488" s="153"/>
      <c r="I488" s="153"/>
      <c r="J488" s="153"/>
      <c r="K488" s="153"/>
      <c r="L488" s="153"/>
      <c r="M488" s="152"/>
      <c r="N488" s="153"/>
      <c r="O488" s="153"/>
      <c r="P488" s="153"/>
      <c r="Q488" s="153"/>
      <c r="R488" s="153"/>
      <c r="S488" s="152"/>
      <c r="T488" s="153"/>
      <c r="U488" s="153"/>
      <c r="V488" s="153"/>
      <c r="W488" s="153"/>
      <c r="X488" s="153"/>
    </row>
    <row r="489" spans="1:24">
      <c r="A489" s="76"/>
      <c r="B489" s="77"/>
      <c r="C489" s="77"/>
      <c r="D489" s="77"/>
      <c r="E489" s="77"/>
      <c r="F489" s="77"/>
      <c r="G489" s="152"/>
      <c r="H489" s="153"/>
      <c r="I489" s="153"/>
      <c r="J489" s="153"/>
      <c r="K489" s="153"/>
      <c r="L489" s="153"/>
      <c r="M489" s="152"/>
      <c r="N489" s="153"/>
      <c r="O489" s="153"/>
      <c r="P489" s="153"/>
      <c r="Q489" s="153"/>
      <c r="R489" s="153"/>
      <c r="S489" s="152"/>
      <c r="T489" s="153"/>
      <c r="U489" s="153"/>
      <c r="V489" s="153"/>
      <c r="W489" s="153"/>
      <c r="X489" s="153"/>
    </row>
    <row r="490" spans="1:24">
      <c r="A490" s="76"/>
      <c r="B490" s="77"/>
      <c r="C490" s="77"/>
      <c r="D490" s="77"/>
      <c r="E490" s="77"/>
      <c r="F490" s="77"/>
      <c r="G490" s="152"/>
      <c r="H490" s="153"/>
      <c r="I490" s="153"/>
      <c r="J490" s="153"/>
      <c r="K490" s="153"/>
      <c r="L490" s="153"/>
      <c r="M490" s="152"/>
      <c r="N490" s="153"/>
      <c r="O490" s="153"/>
      <c r="P490" s="153"/>
      <c r="Q490" s="153"/>
      <c r="R490" s="153"/>
      <c r="S490" s="152"/>
      <c r="T490" s="153"/>
      <c r="U490" s="153"/>
      <c r="V490" s="153"/>
      <c r="W490" s="153"/>
      <c r="X490" s="153"/>
    </row>
    <row r="491" spans="1:24">
      <c r="A491" s="76"/>
      <c r="B491" s="77"/>
      <c r="C491" s="77"/>
      <c r="D491" s="77"/>
      <c r="E491" s="77"/>
      <c r="F491" s="77"/>
      <c r="G491" s="152"/>
      <c r="H491" s="153"/>
      <c r="I491" s="153"/>
      <c r="J491" s="153"/>
      <c r="K491" s="153"/>
      <c r="L491" s="153"/>
      <c r="M491" s="152"/>
      <c r="N491" s="153"/>
      <c r="O491" s="153"/>
      <c r="P491" s="153"/>
      <c r="Q491" s="153"/>
      <c r="R491" s="153"/>
      <c r="S491" s="152"/>
      <c r="T491" s="153"/>
      <c r="U491" s="153"/>
      <c r="V491" s="153"/>
      <c r="W491" s="153"/>
      <c r="X491" s="153"/>
    </row>
    <row r="492" spans="1:24">
      <c r="A492" s="76"/>
      <c r="B492" s="77"/>
      <c r="C492" s="77"/>
      <c r="D492" s="77"/>
      <c r="E492" s="77"/>
      <c r="F492" s="77"/>
      <c r="G492" s="152"/>
      <c r="H492" s="153"/>
      <c r="I492" s="153"/>
      <c r="J492" s="153"/>
      <c r="K492" s="153"/>
      <c r="L492" s="153"/>
      <c r="M492" s="152"/>
      <c r="N492" s="153"/>
      <c r="O492" s="153"/>
      <c r="P492" s="153"/>
      <c r="Q492" s="153"/>
      <c r="R492" s="153"/>
      <c r="S492" s="152"/>
      <c r="T492" s="153"/>
      <c r="U492" s="153"/>
      <c r="V492" s="153"/>
      <c r="W492" s="153"/>
      <c r="X492" s="153"/>
    </row>
    <row r="493" spans="1:24">
      <c r="A493" s="76"/>
      <c r="B493" s="77"/>
      <c r="C493" s="77"/>
      <c r="D493" s="77"/>
      <c r="E493" s="77"/>
      <c r="F493" s="77"/>
      <c r="G493" s="152"/>
      <c r="H493" s="153"/>
      <c r="I493" s="153"/>
      <c r="J493" s="153"/>
      <c r="K493" s="153"/>
      <c r="L493" s="153"/>
      <c r="M493" s="152"/>
      <c r="N493" s="153"/>
      <c r="O493" s="153"/>
      <c r="P493" s="153"/>
      <c r="Q493" s="153"/>
      <c r="R493" s="153"/>
      <c r="S493" s="152"/>
      <c r="T493" s="153"/>
      <c r="U493" s="153"/>
      <c r="V493" s="153"/>
      <c r="W493" s="153"/>
      <c r="X493" s="153"/>
    </row>
    <row r="494" spans="1:24">
      <c r="A494" s="76"/>
      <c r="B494" s="77"/>
      <c r="C494" s="77"/>
      <c r="D494" s="77"/>
      <c r="E494" s="77"/>
      <c r="F494" s="77"/>
      <c r="G494" s="152"/>
      <c r="H494" s="153"/>
      <c r="I494" s="153"/>
      <c r="J494" s="153"/>
      <c r="K494" s="153"/>
      <c r="L494" s="153"/>
      <c r="M494" s="152"/>
      <c r="N494" s="153"/>
      <c r="O494" s="153"/>
      <c r="P494" s="153"/>
      <c r="Q494" s="153"/>
      <c r="R494" s="153"/>
      <c r="S494" s="152"/>
      <c r="T494" s="153"/>
      <c r="U494" s="153"/>
      <c r="V494" s="153"/>
      <c r="W494" s="153"/>
      <c r="X494" s="153"/>
    </row>
    <row r="495" spans="1:24">
      <c r="A495" s="76"/>
      <c r="B495" s="77"/>
      <c r="C495" s="77"/>
      <c r="D495" s="77"/>
      <c r="E495" s="77"/>
      <c r="F495" s="77"/>
      <c r="G495" s="152"/>
      <c r="H495" s="153"/>
      <c r="I495" s="153"/>
      <c r="J495" s="153"/>
      <c r="K495" s="153"/>
      <c r="L495" s="153"/>
      <c r="M495" s="152"/>
      <c r="N495" s="153"/>
      <c r="O495" s="153"/>
      <c r="P495" s="153"/>
      <c r="Q495" s="153"/>
      <c r="R495" s="153"/>
      <c r="S495" s="152"/>
      <c r="T495" s="153"/>
      <c r="U495" s="153"/>
      <c r="V495" s="153"/>
      <c r="W495" s="153"/>
      <c r="X495" s="153"/>
    </row>
    <row r="496" spans="1:24">
      <c r="A496" s="76"/>
      <c r="B496" s="77"/>
      <c r="C496" s="77"/>
      <c r="D496" s="77"/>
      <c r="E496" s="77"/>
      <c r="F496" s="77"/>
      <c r="G496" s="152"/>
      <c r="H496" s="153"/>
      <c r="I496" s="153"/>
      <c r="J496" s="153"/>
      <c r="K496" s="153"/>
      <c r="L496" s="153"/>
      <c r="M496" s="152"/>
      <c r="N496" s="153"/>
      <c r="O496" s="153"/>
      <c r="P496" s="153"/>
      <c r="Q496" s="153"/>
      <c r="R496" s="153"/>
      <c r="S496" s="152"/>
      <c r="T496" s="153"/>
      <c r="U496" s="153"/>
      <c r="V496" s="153"/>
      <c r="W496" s="153"/>
      <c r="X496" s="153"/>
    </row>
    <row r="497" spans="1:24">
      <c r="A497" s="76"/>
      <c r="B497" s="77"/>
      <c r="C497" s="77"/>
      <c r="D497" s="77"/>
      <c r="E497" s="77"/>
      <c r="F497" s="77"/>
      <c r="G497" s="152"/>
      <c r="H497" s="153"/>
      <c r="I497" s="153"/>
      <c r="J497" s="153"/>
      <c r="K497" s="153"/>
      <c r="L497" s="153"/>
      <c r="M497" s="152"/>
      <c r="N497" s="153"/>
      <c r="O497" s="153"/>
      <c r="P497" s="153"/>
      <c r="Q497" s="153"/>
      <c r="R497" s="153"/>
      <c r="S497" s="152"/>
      <c r="T497" s="153"/>
      <c r="U497" s="153"/>
      <c r="V497" s="153"/>
      <c r="W497" s="153"/>
      <c r="X497" s="153"/>
    </row>
    <row r="498" spans="1:24">
      <c r="A498" s="76"/>
      <c r="B498" s="77"/>
      <c r="C498" s="77"/>
      <c r="D498" s="77"/>
      <c r="E498" s="77"/>
      <c r="F498" s="77"/>
      <c r="G498" s="152"/>
      <c r="H498" s="153"/>
      <c r="I498" s="153"/>
      <c r="J498" s="153"/>
      <c r="K498" s="153"/>
      <c r="L498" s="153"/>
      <c r="M498" s="152"/>
      <c r="N498" s="153"/>
      <c r="O498" s="153"/>
      <c r="P498" s="153"/>
      <c r="Q498" s="153"/>
      <c r="R498" s="153"/>
      <c r="S498" s="152"/>
      <c r="T498" s="153"/>
      <c r="U498" s="153"/>
      <c r="V498" s="153"/>
      <c r="W498" s="153"/>
      <c r="X498" s="153"/>
    </row>
    <row r="499" spans="1:24">
      <c r="A499" s="76"/>
      <c r="B499" s="77"/>
      <c r="C499" s="77"/>
      <c r="D499" s="77"/>
      <c r="E499" s="77"/>
      <c r="F499" s="77"/>
      <c r="G499" s="152"/>
      <c r="H499" s="153"/>
      <c r="I499" s="153"/>
      <c r="J499" s="153"/>
      <c r="K499" s="153"/>
      <c r="L499" s="153"/>
      <c r="M499" s="152"/>
      <c r="N499" s="153"/>
      <c r="O499" s="153"/>
      <c r="P499" s="153"/>
      <c r="Q499" s="153"/>
      <c r="R499" s="153"/>
      <c r="S499" s="152"/>
      <c r="T499" s="153"/>
      <c r="U499" s="153"/>
      <c r="V499" s="153"/>
      <c r="W499" s="153"/>
      <c r="X499" s="153"/>
    </row>
    <row r="500" spans="1:24">
      <c r="A500" s="76"/>
      <c r="B500" s="77"/>
      <c r="C500" s="77"/>
      <c r="D500" s="77"/>
      <c r="E500" s="77"/>
      <c r="F500" s="77"/>
      <c r="G500" s="152"/>
      <c r="H500" s="153"/>
      <c r="I500" s="153"/>
      <c r="J500" s="153"/>
      <c r="K500" s="153"/>
      <c r="L500" s="153"/>
      <c r="M500" s="152"/>
      <c r="N500" s="153"/>
      <c r="O500" s="153"/>
      <c r="P500" s="153"/>
      <c r="Q500" s="153"/>
      <c r="R500" s="153"/>
      <c r="S500" s="152"/>
      <c r="T500" s="153"/>
      <c r="U500" s="153"/>
      <c r="V500" s="153"/>
      <c r="W500" s="153"/>
      <c r="X500" s="153"/>
    </row>
    <row r="501" spans="1:24">
      <c r="A501" s="76"/>
      <c r="B501" s="77"/>
      <c r="C501" s="77"/>
      <c r="D501" s="77"/>
      <c r="E501" s="77"/>
      <c r="F501" s="77"/>
      <c r="G501" s="152"/>
      <c r="H501" s="153"/>
      <c r="I501" s="153"/>
      <c r="J501" s="153"/>
      <c r="K501" s="153"/>
      <c r="L501" s="153"/>
      <c r="M501" s="152"/>
      <c r="N501" s="153"/>
      <c r="O501" s="153"/>
      <c r="P501" s="153"/>
      <c r="Q501" s="153"/>
      <c r="R501" s="153"/>
      <c r="S501" s="152"/>
      <c r="T501" s="153"/>
      <c r="U501" s="153"/>
      <c r="V501" s="153"/>
      <c r="W501" s="153"/>
      <c r="X501" s="153"/>
    </row>
    <row r="502" spans="1:24">
      <c r="A502" s="76"/>
      <c r="B502" s="77"/>
      <c r="C502" s="77"/>
      <c r="D502" s="77"/>
      <c r="E502" s="77"/>
      <c r="F502" s="77"/>
      <c r="G502" s="152"/>
      <c r="H502" s="153"/>
      <c r="I502" s="153"/>
      <c r="J502" s="153"/>
      <c r="K502" s="153"/>
      <c r="L502" s="153"/>
      <c r="M502" s="152"/>
      <c r="N502" s="153"/>
      <c r="O502" s="153"/>
      <c r="P502" s="153"/>
      <c r="Q502" s="153"/>
      <c r="R502" s="153"/>
      <c r="S502" s="152"/>
      <c r="T502" s="153"/>
      <c r="U502" s="153"/>
      <c r="V502" s="153"/>
      <c r="W502" s="153"/>
      <c r="X502" s="153"/>
    </row>
    <row r="503" spans="1:24">
      <c r="A503" s="76"/>
      <c r="B503" s="77"/>
      <c r="C503" s="77"/>
      <c r="D503" s="77"/>
      <c r="E503" s="77"/>
      <c r="F503" s="77"/>
      <c r="G503" s="152"/>
      <c r="H503" s="153"/>
      <c r="I503" s="153"/>
      <c r="J503" s="153"/>
      <c r="K503" s="153"/>
      <c r="L503" s="153"/>
      <c r="M503" s="152"/>
      <c r="N503" s="153"/>
      <c r="O503" s="153"/>
      <c r="P503" s="153"/>
      <c r="Q503" s="153"/>
      <c r="R503" s="153"/>
      <c r="S503" s="152"/>
      <c r="T503" s="153"/>
      <c r="U503" s="153"/>
      <c r="V503" s="153"/>
      <c r="W503" s="153"/>
      <c r="X503" s="153"/>
    </row>
    <row r="504" spans="1:24">
      <c r="A504" s="76"/>
      <c r="B504" s="77"/>
      <c r="C504" s="77"/>
      <c r="D504" s="77"/>
      <c r="E504" s="77"/>
      <c r="F504" s="77"/>
      <c r="G504" s="152"/>
      <c r="H504" s="153"/>
      <c r="I504" s="153"/>
      <c r="J504" s="153"/>
      <c r="K504" s="153"/>
      <c r="L504" s="153"/>
      <c r="M504" s="152"/>
      <c r="N504" s="153"/>
      <c r="O504" s="153"/>
      <c r="P504" s="153"/>
      <c r="Q504" s="153"/>
      <c r="R504" s="153"/>
      <c r="S504" s="152"/>
      <c r="T504" s="153"/>
      <c r="U504" s="153"/>
      <c r="V504" s="153"/>
      <c r="W504" s="153"/>
      <c r="X504" s="153"/>
    </row>
    <row r="505" spans="1:24">
      <c r="A505" s="76"/>
      <c r="B505" s="77"/>
      <c r="C505" s="77"/>
      <c r="D505" s="77"/>
      <c r="E505" s="77"/>
      <c r="F505" s="77"/>
      <c r="G505" s="152"/>
      <c r="H505" s="153"/>
      <c r="I505" s="153"/>
      <c r="J505" s="153"/>
      <c r="K505" s="153"/>
      <c r="L505" s="153"/>
      <c r="M505" s="152"/>
      <c r="N505" s="153"/>
      <c r="O505" s="153"/>
      <c r="P505" s="153"/>
      <c r="Q505" s="153"/>
      <c r="R505" s="153"/>
      <c r="S505" s="152"/>
      <c r="T505" s="153"/>
      <c r="U505" s="153"/>
      <c r="V505" s="153"/>
      <c r="W505" s="153"/>
      <c r="X505" s="153"/>
    </row>
    <row r="506" spans="1:24">
      <c r="A506" s="76"/>
      <c r="B506" s="77"/>
      <c r="C506" s="77"/>
      <c r="D506" s="77"/>
      <c r="E506" s="77"/>
      <c r="F506" s="77"/>
      <c r="G506" s="152"/>
      <c r="H506" s="153"/>
      <c r="I506" s="153"/>
      <c r="J506" s="153"/>
      <c r="K506" s="153"/>
      <c r="L506" s="153"/>
      <c r="M506" s="152"/>
      <c r="N506" s="153"/>
      <c r="O506" s="153"/>
      <c r="P506" s="153"/>
      <c r="Q506" s="153"/>
      <c r="R506" s="153"/>
      <c r="S506" s="152"/>
      <c r="T506" s="153"/>
      <c r="U506" s="153"/>
      <c r="V506" s="153"/>
      <c r="W506" s="153"/>
      <c r="X506" s="153"/>
    </row>
    <row r="507" spans="1:24">
      <c r="A507" s="76"/>
      <c r="B507" s="77"/>
      <c r="C507" s="77"/>
      <c r="D507" s="77"/>
      <c r="E507" s="77"/>
      <c r="F507" s="77"/>
      <c r="G507" s="152"/>
      <c r="H507" s="153"/>
      <c r="I507" s="153"/>
      <c r="J507" s="153"/>
      <c r="K507" s="153"/>
      <c r="L507" s="153"/>
      <c r="M507" s="152"/>
      <c r="N507" s="153"/>
      <c r="O507" s="153"/>
      <c r="P507" s="153"/>
      <c r="Q507" s="153"/>
      <c r="R507" s="153"/>
      <c r="S507" s="152"/>
      <c r="T507" s="153"/>
      <c r="U507" s="153"/>
      <c r="V507" s="153"/>
      <c r="W507" s="153"/>
      <c r="X507" s="153"/>
    </row>
    <row r="508" spans="1:24">
      <c r="A508" s="76"/>
      <c r="B508" s="77"/>
      <c r="C508" s="77"/>
      <c r="D508" s="77"/>
      <c r="E508" s="77"/>
      <c r="F508" s="77"/>
      <c r="G508" s="152"/>
      <c r="H508" s="153"/>
      <c r="I508" s="153"/>
      <c r="J508" s="153"/>
      <c r="K508" s="153"/>
      <c r="L508" s="153"/>
      <c r="M508" s="152"/>
      <c r="N508" s="153"/>
      <c r="O508" s="153"/>
      <c r="P508" s="153"/>
      <c r="Q508" s="153"/>
      <c r="R508" s="153"/>
      <c r="S508" s="152"/>
      <c r="T508" s="153"/>
      <c r="U508" s="153"/>
      <c r="V508" s="153"/>
      <c r="W508" s="153"/>
      <c r="X508" s="153"/>
    </row>
    <row r="509" spans="1:24">
      <c r="A509" s="76"/>
      <c r="B509" s="77"/>
      <c r="C509" s="77"/>
      <c r="D509" s="77"/>
      <c r="E509" s="77"/>
      <c r="F509" s="77"/>
      <c r="G509" s="152"/>
      <c r="H509" s="153"/>
      <c r="I509" s="153"/>
      <c r="J509" s="153"/>
      <c r="K509" s="153"/>
      <c r="L509" s="153"/>
      <c r="M509" s="152"/>
      <c r="N509" s="153"/>
      <c r="O509" s="153"/>
      <c r="P509" s="153"/>
      <c r="Q509" s="153"/>
      <c r="R509" s="153"/>
      <c r="S509" s="152"/>
      <c r="T509" s="153"/>
      <c r="U509" s="153"/>
      <c r="V509" s="153"/>
      <c r="W509" s="153"/>
      <c r="X509" s="153"/>
    </row>
    <row r="510" spans="1:24">
      <c r="A510" s="76"/>
      <c r="B510" s="77"/>
      <c r="C510" s="77"/>
      <c r="D510" s="77"/>
      <c r="E510" s="77"/>
      <c r="F510" s="77"/>
      <c r="G510" s="152"/>
      <c r="H510" s="153"/>
      <c r="I510" s="153"/>
      <c r="J510" s="153"/>
      <c r="K510" s="153"/>
      <c r="L510" s="153"/>
      <c r="M510" s="152"/>
      <c r="N510" s="153"/>
      <c r="O510" s="153"/>
      <c r="P510" s="153"/>
      <c r="Q510" s="153"/>
      <c r="R510" s="153"/>
      <c r="S510" s="152"/>
      <c r="T510" s="153"/>
      <c r="U510" s="153"/>
      <c r="V510" s="153"/>
      <c r="W510" s="153"/>
      <c r="X510" s="153"/>
    </row>
    <row r="511" spans="1:24">
      <c r="A511" s="76"/>
      <c r="B511" s="77"/>
      <c r="C511" s="77"/>
      <c r="D511" s="77"/>
      <c r="E511" s="77"/>
      <c r="F511" s="77"/>
      <c r="G511" s="152"/>
      <c r="H511" s="153"/>
      <c r="I511" s="153"/>
      <c r="J511" s="153"/>
      <c r="K511" s="153"/>
      <c r="L511" s="153"/>
      <c r="M511" s="152"/>
      <c r="N511" s="153"/>
      <c r="O511" s="153"/>
      <c r="P511" s="153"/>
      <c r="Q511" s="153"/>
      <c r="R511" s="153"/>
      <c r="S511" s="152"/>
      <c r="T511" s="153"/>
      <c r="U511" s="153"/>
      <c r="V511" s="153"/>
      <c r="W511" s="153"/>
      <c r="X511" s="153"/>
    </row>
    <row r="512" spans="1:24">
      <c r="A512" s="76"/>
      <c r="B512" s="77"/>
      <c r="C512" s="77"/>
      <c r="D512" s="77"/>
      <c r="E512" s="77"/>
      <c r="F512" s="77"/>
      <c r="G512" s="152"/>
      <c r="H512" s="153"/>
      <c r="I512" s="153"/>
      <c r="J512" s="153"/>
      <c r="K512" s="153"/>
      <c r="L512" s="153"/>
      <c r="M512" s="152"/>
      <c r="N512" s="153"/>
      <c r="O512" s="153"/>
      <c r="P512" s="153"/>
      <c r="Q512" s="153"/>
      <c r="R512" s="153"/>
      <c r="S512" s="152"/>
      <c r="T512" s="153"/>
      <c r="U512" s="153"/>
      <c r="V512" s="153"/>
      <c r="W512" s="153"/>
      <c r="X512" s="153"/>
    </row>
    <row r="513" spans="1:24">
      <c r="A513" s="76"/>
      <c r="B513" s="77"/>
      <c r="C513" s="77"/>
      <c r="D513" s="77"/>
      <c r="E513" s="77"/>
      <c r="F513" s="77"/>
      <c r="G513" s="152"/>
      <c r="H513" s="153"/>
      <c r="I513" s="153"/>
      <c r="J513" s="153"/>
      <c r="K513" s="153"/>
      <c r="L513" s="153"/>
      <c r="M513" s="152"/>
      <c r="N513" s="153"/>
      <c r="O513" s="153"/>
      <c r="P513" s="153"/>
      <c r="Q513" s="153"/>
      <c r="R513" s="153"/>
      <c r="S513" s="152"/>
      <c r="T513" s="153"/>
      <c r="U513" s="153"/>
      <c r="V513" s="153"/>
      <c r="W513" s="153"/>
      <c r="X513" s="153"/>
    </row>
    <row r="514" spans="1:24">
      <c r="A514" s="76"/>
      <c r="B514" s="77"/>
      <c r="C514" s="77"/>
      <c r="D514" s="77"/>
      <c r="E514" s="77"/>
      <c r="F514" s="77"/>
      <c r="G514" s="152"/>
      <c r="H514" s="153"/>
      <c r="I514" s="153"/>
      <c r="J514" s="153"/>
      <c r="K514" s="153"/>
      <c r="L514" s="153"/>
      <c r="M514" s="152"/>
      <c r="N514" s="153"/>
      <c r="O514" s="153"/>
      <c r="P514" s="153"/>
      <c r="Q514" s="153"/>
      <c r="R514" s="153"/>
      <c r="S514" s="152"/>
      <c r="T514" s="153"/>
      <c r="U514" s="153"/>
      <c r="V514" s="153"/>
      <c r="W514" s="153"/>
      <c r="X514" s="153"/>
    </row>
    <row r="515" spans="1:24">
      <c r="A515" s="76"/>
      <c r="B515" s="77"/>
      <c r="C515" s="77"/>
      <c r="D515" s="77"/>
      <c r="E515" s="77"/>
      <c r="F515" s="77"/>
      <c r="G515" s="152"/>
      <c r="H515" s="153"/>
      <c r="I515" s="153"/>
      <c r="J515" s="153"/>
      <c r="K515" s="153"/>
      <c r="L515" s="153"/>
      <c r="M515" s="152"/>
      <c r="N515" s="153"/>
      <c r="O515" s="153"/>
      <c r="P515" s="153"/>
      <c r="Q515" s="153"/>
      <c r="R515" s="153"/>
      <c r="S515" s="152"/>
      <c r="T515" s="153"/>
      <c r="U515" s="153"/>
      <c r="V515" s="153"/>
      <c r="W515" s="153"/>
      <c r="X515" s="153"/>
    </row>
    <row r="516" spans="1:24">
      <c r="A516" s="76"/>
      <c r="B516" s="77"/>
      <c r="C516" s="77"/>
      <c r="D516" s="77"/>
      <c r="E516" s="77"/>
      <c r="F516" s="77"/>
      <c r="G516" s="152"/>
      <c r="H516" s="153"/>
      <c r="I516" s="153"/>
      <c r="J516" s="153"/>
      <c r="K516" s="153"/>
      <c r="L516" s="153"/>
      <c r="M516" s="152"/>
      <c r="N516" s="153"/>
      <c r="O516" s="153"/>
      <c r="P516" s="153"/>
      <c r="Q516" s="153"/>
      <c r="R516" s="153"/>
      <c r="S516" s="152"/>
      <c r="T516" s="153"/>
      <c r="U516" s="153"/>
      <c r="V516" s="153"/>
      <c r="W516" s="153"/>
      <c r="X516" s="153"/>
    </row>
    <row r="517" spans="1:24">
      <c r="A517" s="76"/>
      <c r="B517" s="77"/>
      <c r="C517" s="77"/>
      <c r="D517" s="77"/>
      <c r="E517" s="77"/>
      <c r="F517" s="77"/>
      <c r="G517" s="152"/>
      <c r="H517" s="153"/>
      <c r="I517" s="153"/>
      <c r="J517" s="153"/>
      <c r="K517" s="153"/>
      <c r="L517" s="153"/>
      <c r="M517" s="152"/>
      <c r="N517" s="153"/>
      <c r="O517" s="153"/>
      <c r="P517" s="153"/>
      <c r="Q517" s="153"/>
      <c r="R517" s="153"/>
      <c r="S517" s="152"/>
      <c r="T517" s="153"/>
      <c r="U517" s="153"/>
      <c r="V517" s="153"/>
      <c r="W517" s="153"/>
      <c r="X517" s="153"/>
    </row>
    <row r="518" spans="1:24">
      <c r="A518" s="76"/>
      <c r="B518" s="77"/>
      <c r="C518" s="77"/>
      <c r="D518" s="77"/>
      <c r="E518" s="77"/>
      <c r="F518" s="77"/>
      <c r="G518" s="152"/>
      <c r="H518" s="153"/>
      <c r="I518" s="153"/>
      <c r="J518" s="153"/>
      <c r="K518" s="153"/>
      <c r="L518" s="153"/>
      <c r="M518" s="152"/>
      <c r="N518" s="153"/>
      <c r="O518" s="153"/>
      <c r="P518" s="153"/>
      <c r="Q518" s="153"/>
      <c r="R518" s="153"/>
      <c r="S518" s="152"/>
      <c r="T518" s="153"/>
      <c r="U518" s="153"/>
      <c r="V518" s="153"/>
      <c r="W518" s="153"/>
      <c r="X518" s="153"/>
    </row>
    <row r="519" spans="1:24">
      <c r="A519" s="76"/>
      <c r="B519" s="77"/>
      <c r="C519" s="77"/>
      <c r="D519" s="77"/>
      <c r="E519" s="77"/>
      <c r="F519" s="77"/>
      <c r="G519" s="152"/>
      <c r="H519" s="153"/>
      <c r="I519" s="153"/>
      <c r="J519" s="153"/>
      <c r="K519" s="153"/>
      <c r="L519" s="153"/>
      <c r="M519" s="152"/>
      <c r="N519" s="153"/>
      <c r="O519" s="153"/>
      <c r="P519" s="153"/>
      <c r="Q519" s="153"/>
      <c r="R519" s="153"/>
      <c r="S519" s="152"/>
      <c r="T519" s="153"/>
      <c r="U519" s="153"/>
      <c r="V519" s="153"/>
      <c r="W519" s="153"/>
      <c r="X519" s="153"/>
    </row>
    <row r="520" spans="1:24">
      <c r="A520" s="76"/>
      <c r="B520" s="77"/>
      <c r="C520" s="77"/>
      <c r="D520" s="77"/>
      <c r="E520" s="77"/>
      <c r="F520" s="77"/>
      <c r="G520" s="152"/>
      <c r="H520" s="153"/>
      <c r="I520" s="153"/>
      <c r="J520" s="153"/>
      <c r="K520" s="153"/>
      <c r="L520" s="153"/>
      <c r="M520" s="152"/>
      <c r="N520" s="153"/>
      <c r="O520" s="153"/>
      <c r="P520" s="153"/>
      <c r="Q520" s="153"/>
      <c r="R520" s="153"/>
      <c r="S520" s="152"/>
      <c r="T520" s="153"/>
      <c r="U520" s="153"/>
      <c r="V520" s="153"/>
      <c r="W520" s="153"/>
      <c r="X520" s="153"/>
    </row>
    <row r="521" spans="1:24">
      <c r="A521" s="76"/>
      <c r="B521" s="77"/>
      <c r="C521" s="77"/>
      <c r="D521" s="77"/>
      <c r="E521" s="77"/>
      <c r="F521" s="77"/>
      <c r="G521" s="152"/>
      <c r="H521" s="153"/>
      <c r="I521" s="153"/>
      <c r="J521" s="153"/>
      <c r="K521" s="153"/>
      <c r="L521" s="153"/>
      <c r="M521" s="152"/>
      <c r="N521" s="153"/>
      <c r="O521" s="153"/>
      <c r="P521" s="153"/>
      <c r="Q521" s="153"/>
      <c r="R521" s="153"/>
      <c r="S521" s="152"/>
      <c r="T521" s="153"/>
      <c r="U521" s="153"/>
      <c r="V521" s="153"/>
      <c r="W521" s="153"/>
      <c r="X521" s="153"/>
    </row>
    <row r="522" spans="1:24">
      <c r="A522" s="76"/>
      <c r="B522" s="77"/>
      <c r="C522" s="77"/>
      <c r="D522" s="77"/>
      <c r="E522" s="77"/>
      <c r="F522" s="77"/>
      <c r="G522" s="152"/>
      <c r="H522" s="153"/>
      <c r="I522" s="153"/>
      <c r="J522" s="153"/>
      <c r="K522" s="153"/>
      <c r="L522" s="153"/>
      <c r="M522" s="152"/>
      <c r="N522" s="153"/>
      <c r="O522" s="153"/>
      <c r="P522" s="153"/>
      <c r="Q522" s="153"/>
      <c r="R522" s="153"/>
      <c r="S522" s="152"/>
      <c r="T522" s="153"/>
      <c r="U522" s="153"/>
      <c r="V522" s="153"/>
      <c r="W522" s="153"/>
      <c r="X522" s="153"/>
    </row>
    <row r="523" spans="1:24">
      <c r="A523" s="76"/>
      <c r="B523" s="77"/>
      <c r="C523" s="77"/>
      <c r="D523" s="77"/>
      <c r="E523" s="77"/>
      <c r="F523" s="77"/>
      <c r="G523" s="152"/>
      <c r="H523" s="153"/>
      <c r="I523" s="153"/>
      <c r="J523" s="153"/>
      <c r="K523" s="153"/>
      <c r="L523" s="153"/>
      <c r="M523" s="152"/>
      <c r="N523" s="153"/>
      <c r="O523" s="153"/>
      <c r="P523" s="153"/>
      <c r="Q523" s="153"/>
      <c r="R523" s="153"/>
      <c r="S523" s="152"/>
      <c r="T523" s="153"/>
      <c r="U523" s="153"/>
      <c r="V523" s="153"/>
      <c r="W523" s="153"/>
      <c r="X523" s="153"/>
    </row>
    <row r="524" spans="1:24">
      <c r="A524" s="76"/>
      <c r="B524" s="77"/>
      <c r="C524" s="77"/>
      <c r="D524" s="77"/>
      <c r="E524" s="77"/>
      <c r="F524" s="77"/>
      <c r="G524" s="152"/>
      <c r="H524" s="153"/>
      <c r="I524" s="153"/>
      <c r="J524" s="153"/>
      <c r="K524" s="153"/>
      <c r="L524" s="153"/>
      <c r="M524" s="152"/>
      <c r="N524" s="153"/>
      <c r="O524" s="153"/>
      <c r="P524" s="153"/>
      <c r="Q524" s="153"/>
      <c r="R524" s="153"/>
      <c r="S524" s="152"/>
      <c r="T524" s="153"/>
      <c r="U524" s="153"/>
      <c r="V524" s="153"/>
      <c r="W524" s="153"/>
      <c r="X524" s="153"/>
    </row>
    <row r="525" spans="1:24">
      <c r="A525" s="76"/>
      <c r="B525" s="77"/>
      <c r="C525" s="77"/>
      <c r="D525" s="77"/>
      <c r="E525" s="77"/>
      <c r="F525" s="77"/>
      <c r="G525" s="152"/>
      <c r="H525" s="153"/>
      <c r="I525" s="153"/>
      <c r="J525" s="153"/>
      <c r="K525" s="153"/>
      <c r="L525" s="153"/>
      <c r="M525" s="152"/>
      <c r="N525" s="153"/>
      <c r="O525" s="153"/>
      <c r="P525" s="153"/>
      <c r="Q525" s="153"/>
      <c r="R525" s="153"/>
      <c r="S525" s="152"/>
      <c r="T525" s="153"/>
      <c r="U525" s="153"/>
      <c r="V525" s="153"/>
      <c r="W525" s="153"/>
      <c r="X525" s="153"/>
    </row>
    <row r="526" spans="1:24">
      <c r="A526" s="76"/>
      <c r="B526" s="77"/>
      <c r="C526" s="77"/>
      <c r="D526" s="77"/>
      <c r="E526" s="77"/>
      <c r="F526" s="77"/>
      <c r="G526" s="152"/>
      <c r="H526" s="153"/>
      <c r="I526" s="153"/>
      <c r="J526" s="153"/>
      <c r="K526" s="153"/>
      <c r="L526" s="153"/>
      <c r="M526" s="152"/>
      <c r="N526" s="153"/>
      <c r="O526" s="153"/>
      <c r="P526" s="153"/>
      <c r="Q526" s="153"/>
      <c r="R526" s="153"/>
      <c r="S526" s="152"/>
      <c r="T526" s="153"/>
      <c r="U526" s="153"/>
      <c r="V526" s="153"/>
      <c r="W526" s="153"/>
      <c r="X526" s="153"/>
    </row>
    <row r="527" spans="1:24">
      <c r="A527" s="76"/>
      <c r="B527" s="77"/>
      <c r="C527" s="77"/>
      <c r="D527" s="77"/>
      <c r="E527" s="77"/>
      <c r="F527" s="77"/>
      <c r="G527" s="152"/>
      <c r="H527" s="153"/>
      <c r="I527" s="153"/>
      <c r="J527" s="153"/>
      <c r="K527" s="153"/>
      <c r="L527" s="153"/>
      <c r="M527" s="152"/>
      <c r="N527" s="153"/>
      <c r="O527" s="153"/>
      <c r="P527" s="153"/>
      <c r="Q527" s="153"/>
      <c r="R527" s="153"/>
      <c r="S527" s="152"/>
      <c r="T527" s="153"/>
      <c r="U527" s="153"/>
      <c r="V527" s="153"/>
      <c r="W527" s="153"/>
      <c r="X527" s="153"/>
    </row>
    <row r="528" spans="1:24">
      <c r="A528" s="76"/>
      <c r="B528" s="77"/>
      <c r="C528" s="77"/>
      <c r="D528" s="77"/>
      <c r="E528" s="77"/>
      <c r="F528" s="77"/>
      <c r="G528" s="152"/>
      <c r="H528" s="153"/>
      <c r="I528" s="153"/>
      <c r="J528" s="153"/>
      <c r="K528" s="153"/>
      <c r="L528" s="153"/>
      <c r="M528" s="152"/>
      <c r="N528" s="153"/>
      <c r="O528" s="153"/>
      <c r="P528" s="153"/>
      <c r="Q528" s="153"/>
      <c r="R528" s="153"/>
      <c r="S528" s="152"/>
      <c r="T528" s="153"/>
      <c r="U528" s="153"/>
      <c r="V528" s="153"/>
      <c r="W528" s="153"/>
      <c r="X528" s="153"/>
    </row>
    <row r="529" spans="1:24">
      <c r="A529" s="76"/>
      <c r="B529" s="77"/>
      <c r="C529" s="77"/>
      <c r="D529" s="77"/>
      <c r="E529" s="77"/>
      <c r="F529" s="77"/>
      <c r="G529" s="152"/>
      <c r="H529" s="153"/>
      <c r="I529" s="153"/>
      <c r="J529" s="153"/>
      <c r="K529" s="153"/>
      <c r="L529" s="153"/>
      <c r="M529" s="152"/>
      <c r="N529" s="153"/>
      <c r="O529" s="153"/>
      <c r="P529" s="153"/>
      <c r="Q529" s="153"/>
      <c r="R529" s="153"/>
      <c r="S529" s="152"/>
      <c r="T529" s="153"/>
      <c r="U529" s="153"/>
      <c r="V529" s="153"/>
      <c r="W529" s="153"/>
      <c r="X529" s="153"/>
    </row>
    <row r="530" spans="1:24">
      <c r="A530" s="76"/>
      <c r="B530" s="77"/>
      <c r="C530" s="77"/>
      <c r="D530" s="77"/>
      <c r="E530" s="77"/>
      <c r="F530" s="77"/>
      <c r="G530" s="152"/>
      <c r="H530" s="153"/>
      <c r="I530" s="153"/>
      <c r="J530" s="153"/>
      <c r="K530" s="153"/>
      <c r="L530" s="153"/>
      <c r="M530" s="152"/>
      <c r="N530" s="153"/>
      <c r="O530" s="153"/>
      <c r="P530" s="153"/>
      <c r="Q530" s="153"/>
      <c r="R530" s="153"/>
      <c r="S530" s="152"/>
      <c r="T530" s="153"/>
      <c r="U530" s="153"/>
      <c r="V530" s="153"/>
      <c r="W530" s="153"/>
      <c r="X530" s="153"/>
    </row>
    <row r="531" spans="1:24">
      <c r="A531" s="76"/>
      <c r="B531" s="77"/>
      <c r="C531" s="77"/>
      <c r="D531" s="77"/>
      <c r="E531" s="77"/>
      <c r="F531" s="77"/>
      <c r="G531" s="152"/>
      <c r="H531" s="153"/>
      <c r="I531" s="153"/>
      <c r="J531" s="153"/>
      <c r="K531" s="153"/>
      <c r="L531" s="153"/>
      <c r="M531" s="152"/>
      <c r="N531" s="153"/>
      <c r="O531" s="153"/>
      <c r="P531" s="153"/>
      <c r="Q531" s="153"/>
      <c r="R531" s="153"/>
      <c r="S531" s="152"/>
      <c r="T531" s="153"/>
      <c r="U531" s="153"/>
      <c r="V531" s="153"/>
      <c r="W531" s="153"/>
      <c r="X531" s="153"/>
    </row>
    <row r="532" spans="1:24">
      <c r="A532" s="76"/>
      <c r="B532" s="77"/>
      <c r="C532" s="77"/>
      <c r="D532" s="77"/>
      <c r="E532" s="77"/>
      <c r="F532" s="77"/>
      <c r="G532" s="152"/>
      <c r="H532" s="153"/>
      <c r="I532" s="153"/>
      <c r="J532" s="153"/>
      <c r="K532" s="153"/>
      <c r="L532" s="153"/>
      <c r="M532" s="152"/>
      <c r="N532" s="153"/>
      <c r="O532" s="153"/>
      <c r="P532" s="153"/>
      <c r="Q532" s="153"/>
      <c r="R532" s="153"/>
      <c r="S532" s="152"/>
      <c r="T532" s="153"/>
      <c r="U532" s="153"/>
      <c r="V532" s="153"/>
      <c r="W532" s="153"/>
      <c r="X532" s="153"/>
    </row>
    <row r="533" spans="1:24">
      <c r="A533" s="76"/>
      <c r="B533" s="77"/>
      <c r="C533" s="77"/>
      <c r="D533" s="77"/>
      <c r="E533" s="77"/>
      <c r="F533" s="77"/>
      <c r="G533" s="152"/>
      <c r="H533" s="153"/>
      <c r="I533" s="153"/>
      <c r="J533" s="153"/>
      <c r="K533" s="153"/>
      <c r="L533" s="153"/>
      <c r="M533" s="152"/>
      <c r="N533" s="153"/>
      <c r="O533" s="153"/>
      <c r="P533" s="153"/>
      <c r="Q533" s="153"/>
      <c r="R533" s="153"/>
      <c r="S533" s="152"/>
      <c r="T533" s="153"/>
      <c r="U533" s="153"/>
      <c r="V533" s="153"/>
      <c r="W533" s="153"/>
      <c r="X533" s="153"/>
    </row>
    <row r="534" spans="1:24">
      <c r="A534" s="76"/>
      <c r="B534" s="77"/>
      <c r="C534" s="77"/>
      <c r="D534" s="77"/>
      <c r="E534" s="77"/>
      <c r="F534" s="77"/>
      <c r="G534" s="152"/>
      <c r="H534" s="153"/>
      <c r="I534" s="153"/>
      <c r="J534" s="153"/>
      <c r="K534" s="153"/>
      <c r="L534" s="153"/>
      <c r="M534" s="152"/>
      <c r="N534" s="153"/>
      <c r="O534" s="153"/>
      <c r="P534" s="153"/>
      <c r="Q534" s="153"/>
      <c r="R534" s="153"/>
      <c r="S534" s="152"/>
      <c r="T534" s="153"/>
      <c r="U534" s="153"/>
      <c r="V534" s="153"/>
      <c r="W534" s="153"/>
      <c r="X534" s="153"/>
    </row>
    <row r="535" spans="1:24">
      <c r="A535" s="76"/>
      <c r="B535" s="77"/>
      <c r="C535" s="77"/>
      <c r="D535" s="77"/>
      <c r="E535" s="77"/>
      <c r="F535" s="77"/>
      <c r="G535" s="152"/>
      <c r="H535" s="153"/>
      <c r="I535" s="153"/>
      <c r="J535" s="153"/>
      <c r="K535" s="153"/>
      <c r="L535" s="153"/>
      <c r="M535" s="152"/>
      <c r="N535" s="153"/>
      <c r="O535" s="153"/>
      <c r="P535" s="153"/>
      <c r="Q535" s="153"/>
      <c r="R535" s="153"/>
      <c r="S535" s="152"/>
      <c r="T535" s="153"/>
      <c r="U535" s="153"/>
      <c r="V535" s="153"/>
      <c r="W535" s="153"/>
      <c r="X535" s="153"/>
    </row>
    <row r="536" spans="1:24">
      <c r="A536" s="76"/>
      <c r="B536" s="77"/>
      <c r="C536" s="77"/>
      <c r="D536" s="77"/>
      <c r="E536" s="77"/>
      <c r="F536" s="77"/>
      <c r="G536" s="152"/>
      <c r="H536" s="153"/>
      <c r="I536" s="153"/>
      <c r="J536" s="153"/>
      <c r="K536" s="153"/>
      <c r="L536" s="153"/>
      <c r="M536" s="152"/>
      <c r="N536" s="153"/>
      <c r="O536" s="153"/>
      <c r="P536" s="153"/>
      <c r="Q536" s="153"/>
      <c r="R536" s="153"/>
      <c r="S536" s="152"/>
      <c r="T536" s="153"/>
      <c r="U536" s="153"/>
      <c r="V536" s="153"/>
      <c r="W536" s="153"/>
      <c r="X536" s="153"/>
    </row>
    <row r="537" spans="1:24">
      <c r="A537" s="76"/>
      <c r="B537" s="77"/>
      <c r="C537" s="77"/>
      <c r="D537" s="77"/>
      <c r="E537" s="77"/>
      <c r="F537" s="77"/>
      <c r="G537" s="152"/>
      <c r="H537" s="153"/>
      <c r="I537" s="153"/>
      <c r="J537" s="153"/>
      <c r="K537" s="153"/>
      <c r="L537" s="153"/>
      <c r="M537" s="152"/>
      <c r="N537" s="153"/>
      <c r="O537" s="153"/>
      <c r="P537" s="153"/>
      <c r="Q537" s="153"/>
      <c r="R537" s="153"/>
      <c r="S537" s="152"/>
      <c r="T537" s="153"/>
      <c r="U537" s="153"/>
      <c r="V537" s="153"/>
      <c r="W537" s="153"/>
      <c r="X537" s="153"/>
    </row>
    <row r="538" spans="1:24">
      <c r="A538" s="76"/>
      <c r="B538" s="77"/>
      <c r="C538" s="77"/>
      <c r="D538" s="77"/>
      <c r="E538" s="77"/>
      <c r="F538" s="77"/>
      <c r="G538" s="152"/>
      <c r="H538" s="153"/>
      <c r="I538" s="153"/>
      <c r="J538" s="153"/>
      <c r="K538" s="153"/>
      <c r="L538" s="153"/>
      <c r="M538" s="152"/>
      <c r="N538" s="153"/>
      <c r="O538" s="153"/>
      <c r="P538" s="153"/>
      <c r="Q538" s="153"/>
      <c r="R538" s="153"/>
      <c r="S538" s="152"/>
      <c r="T538" s="153"/>
      <c r="U538" s="153"/>
      <c r="V538" s="153"/>
      <c r="W538" s="153"/>
      <c r="X538" s="153"/>
    </row>
    <row r="539" spans="1:24">
      <c r="A539" s="76"/>
      <c r="B539" s="77"/>
      <c r="C539" s="77"/>
      <c r="D539" s="77"/>
      <c r="E539" s="77"/>
      <c r="F539" s="77"/>
      <c r="G539" s="152"/>
      <c r="H539" s="153"/>
      <c r="I539" s="153"/>
      <c r="J539" s="153"/>
      <c r="K539" s="153"/>
      <c r="L539" s="153"/>
      <c r="M539" s="152"/>
      <c r="N539" s="153"/>
      <c r="O539" s="153"/>
      <c r="P539" s="153"/>
      <c r="Q539" s="153"/>
      <c r="R539" s="153"/>
      <c r="S539" s="152"/>
      <c r="T539" s="153"/>
      <c r="U539" s="153"/>
      <c r="V539" s="153"/>
      <c r="W539" s="153"/>
      <c r="X539" s="153"/>
    </row>
    <row r="540" spans="1:24">
      <c r="A540" s="76"/>
      <c r="B540" s="77"/>
      <c r="C540" s="77"/>
      <c r="D540" s="77"/>
      <c r="E540" s="77"/>
      <c r="F540" s="77"/>
      <c r="G540" s="152"/>
      <c r="H540" s="153"/>
      <c r="I540" s="153"/>
      <c r="J540" s="153"/>
      <c r="K540" s="153"/>
      <c r="L540" s="153"/>
      <c r="M540" s="152"/>
      <c r="N540" s="153"/>
      <c r="O540" s="153"/>
      <c r="P540" s="153"/>
      <c r="Q540" s="153"/>
      <c r="R540" s="153"/>
      <c r="S540" s="152"/>
      <c r="T540" s="153"/>
      <c r="U540" s="153"/>
      <c r="V540" s="153"/>
      <c r="W540" s="153"/>
      <c r="X540" s="153"/>
    </row>
    <row r="541" spans="1:24">
      <c r="A541" s="76"/>
      <c r="B541" s="77"/>
      <c r="C541" s="77"/>
      <c r="D541" s="77"/>
      <c r="E541" s="77"/>
      <c r="F541" s="77"/>
      <c r="G541" s="152"/>
      <c r="H541" s="153"/>
      <c r="I541" s="153"/>
      <c r="J541" s="153"/>
      <c r="K541" s="153"/>
      <c r="L541" s="153"/>
      <c r="M541" s="152"/>
      <c r="N541" s="153"/>
      <c r="O541" s="153"/>
      <c r="P541" s="153"/>
      <c r="Q541" s="153"/>
      <c r="R541" s="153"/>
      <c r="S541" s="152"/>
      <c r="T541" s="153"/>
      <c r="U541" s="153"/>
      <c r="V541" s="153"/>
      <c r="W541" s="153"/>
      <c r="X541" s="153"/>
    </row>
    <row r="542" spans="1:24">
      <c r="A542" s="76"/>
      <c r="B542" s="77"/>
      <c r="C542" s="77"/>
      <c r="D542" s="77"/>
      <c r="E542" s="77"/>
      <c r="F542" s="77"/>
      <c r="G542" s="152"/>
      <c r="H542" s="153"/>
      <c r="I542" s="153"/>
      <c r="J542" s="153"/>
      <c r="K542" s="153"/>
      <c r="L542" s="153"/>
      <c r="M542" s="152"/>
      <c r="N542" s="153"/>
      <c r="O542" s="153"/>
      <c r="P542" s="153"/>
      <c r="Q542" s="153"/>
      <c r="R542" s="153"/>
      <c r="S542" s="152"/>
      <c r="T542" s="153"/>
      <c r="U542" s="153"/>
      <c r="V542" s="153"/>
      <c r="W542" s="153"/>
      <c r="X542" s="153"/>
    </row>
    <row r="543" spans="1:24">
      <c r="A543" s="76"/>
      <c r="B543" s="77"/>
      <c r="C543" s="77"/>
      <c r="D543" s="77"/>
      <c r="E543" s="77"/>
      <c r="F543" s="77"/>
      <c r="G543" s="152"/>
      <c r="H543" s="153"/>
      <c r="I543" s="153"/>
      <c r="J543" s="153"/>
      <c r="K543" s="153"/>
      <c r="L543" s="153"/>
      <c r="M543" s="152"/>
      <c r="N543" s="153"/>
      <c r="O543" s="153"/>
      <c r="P543" s="153"/>
      <c r="Q543" s="153"/>
      <c r="R543" s="153"/>
      <c r="S543" s="152"/>
      <c r="T543" s="153"/>
      <c r="U543" s="153"/>
      <c r="V543" s="153"/>
      <c r="W543" s="153"/>
      <c r="X543" s="153"/>
    </row>
    <row r="544" spans="1:24">
      <c r="A544" s="76"/>
      <c r="B544" s="77"/>
      <c r="C544" s="77"/>
      <c r="D544" s="77"/>
      <c r="E544" s="77"/>
      <c r="F544" s="77"/>
      <c r="G544" s="152"/>
      <c r="H544" s="153"/>
      <c r="I544" s="153"/>
      <c r="J544" s="153"/>
      <c r="K544" s="153"/>
      <c r="L544" s="153"/>
      <c r="M544" s="152"/>
      <c r="N544" s="153"/>
      <c r="O544" s="153"/>
      <c r="P544" s="153"/>
      <c r="Q544" s="153"/>
      <c r="R544" s="153"/>
      <c r="S544" s="152"/>
      <c r="T544" s="153"/>
      <c r="U544" s="153"/>
      <c r="V544" s="153"/>
      <c r="W544" s="153"/>
      <c r="X544" s="153"/>
    </row>
    <row r="545" spans="1:24">
      <c r="A545" s="76"/>
      <c r="B545" s="77"/>
      <c r="C545" s="77"/>
      <c r="D545" s="77"/>
      <c r="E545" s="77"/>
      <c r="F545" s="77"/>
      <c r="G545" s="152"/>
      <c r="H545" s="153"/>
      <c r="I545" s="153"/>
      <c r="J545" s="153"/>
      <c r="K545" s="153"/>
      <c r="L545" s="153"/>
      <c r="M545" s="152"/>
      <c r="N545" s="153"/>
      <c r="O545" s="153"/>
      <c r="P545" s="153"/>
      <c r="Q545" s="153"/>
      <c r="R545" s="153"/>
      <c r="S545" s="152"/>
      <c r="T545" s="153"/>
      <c r="U545" s="153"/>
      <c r="V545" s="153"/>
      <c r="W545" s="153"/>
      <c r="X545" s="153"/>
    </row>
    <row r="546" spans="1:24">
      <c r="A546" s="76"/>
      <c r="B546" s="77"/>
      <c r="C546" s="77"/>
      <c r="D546" s="77"/>
      <c r="E546" s="77"/>
      <c r="F546" s="77"/>
      <c r="G546" s="152"/>
      <c r="H546" s="153"/>
      <c r="I546" s="153"/>
      <c r="J546" s="153"/>
      <c r="K546" s="153"/>
      <c r="L546" s="153"/>
      <c r="M546" s="152"/>
      <c r="N546" s="153"/>
      <c r="O546" s="153"/>
      <c r="P546" s="153"/>
      <c r="Q546" s="153"/>
      <c r="R546" s="153"/>
      <c r="S546" s="152"/>
      <c r="T546" s="153"/>
      <c r="U546" s="153"/>
      <c r="V546" s="153"/>
      <c r="W546" s="153"/>
      <c r="X546" s="153"/>
    </row>
    <row r="547" spans="1:24">
      <c r="A547" s="76"/>
      <c r="B547" s="77"/>
      <c r="C547" s="77"/>
      <c r="D547" s="77"/>
      <c r="E547" s="77"/>
      <c r="F547" s="77"/>
      <c r="G547" s="152"/>
      <c r="H547" s="153"/>
      <c r="I547" s="153"/>
      <c r="J547" s="153"/>
      <c r="K547" s="153"/>
      <c r="L547" s="153"/>
      <c r="M547" s="152"/>
      <c r="N547" s="153"/>
      <c r="O547" s="153"/>
      <c r="P547" s="153"/>
      <c r="Q547" s="153"/>
      <c r="R547" s="153"/>
      <c r="S547" s="152"/>
      <c r="T547" s="153"/>
      <c r="U547" s="153"/>
      <c r="V547" s="153"/>
      <c r="W547" s="153"/>
      <c r="X547" s="153"/>
    </row>
    <row r="548" spans="1:24">
      <c r="A548" s="76"/>
      <c r="B548" s="77"/>
      <c r="C548" s="77"/>
      <c r="D548" s="77"/>
      <c r="E548" s="77"/>
      <c r="F548" s="77"/>
      <c r="G548" s="152"/>
      <c r="H548" s="153"/>
      <c r="I548" s="153"/>
      <c r="J548" s="153"/>
      <c r="K548" s="153"/>
      <c r="L548" s="153"/>
      <c r="M548" s="152"/>
      <c r="N548" s="153"/>
      <c r="O548" s="153"/>
      <c r="P548" s="153"/>
      <c r="Q548" s="153"/>
      <c r="R548" s="153"/>
      <c r="S548" s="152"/>
      <c r="T548" s="153"/>
      <c r="U548" s="153"/>
      <c r="V548" s="153"/>
      <c r="W548" s="153"/>
      <c r="X548" s="153"/>
    </row>
    <row r="549" spans="1:24">
      <c r="A549" s="76"/>
      <c r="B549" s="77"/>
      <c r="C549" s="77"/>
      <c r="D549" s="77"/>
      <c r="E549" s="77"/>
      <c r="F549" s="77"/>
      <c r="G549" s="152"/>
      <c r="H549" s="153"/>
      <c r="I549" s="153"/>
      <c r="J549" s="153"/>
      <c r="K549" s="153"/>
      <c r="L549" s="153"/>
      <c r="M549" s="152"/>
      <c r="N549" s="153"/>
      <c r="O549" s="153"/>
      <c r="P549" s="153"/>
      <c r="Q549" s="153"/>
      <c r="R549" s="153"/>
      <c r="S549" s="152"/>
      <c r="T549" s="153"/>
      <c r="U549" s="153"/>
      <c r="V549" s="153"/>
      <c r="W549" s="153"/>
      <c r="X549" s="153"/>
    </row>
    <row r="550" spans="1:24">
      <c r="A550" s="76"/>
      <c r="B550" s="77"/>
      <c r="C550" s="77"/>
      <c r="D550" s="77"/>
      <c r="E550" s="77"/>
      <c r="F550" s="77"/>
      <c r="G550" s="152"/>
      <c r="H550" s="153"/>
      <c r="I550" s="153"/>
      <c r="J550" s="153"/>
      <c r="K550" s="153"/>
      <c r="L550" s="153"/>
      <c r="M550" s="152"/>
      <c r="N550" s="153"/>
      <c r="O550" s="153"/>
      <c r="P550" s="153"/>
      <c r="Q550" s="153"/>
      <c r="R550" s="153"/>
      <c r="S550" s="152"/>
      <c r="T550" s="153"/>
      <c r="U550" s="153"/>
      <c r="V550" s="153"/>
      <c r="W550" s="153"/>
      <c r="X550" s="153"/>
    </row>
    <row r="551" spans="1:24">
      <c r="A551" s="76"/>
      <c r="B551" s="77"/>
      <c r="C551" s="77"/>
      <c r="D551" s="77"/>
      <c r="E551" s="77"/>
      <c r="F551" s="77"/>
      <c r="G551" s="152"/>
      <c r="H551" s="153"/>
      <c r="I551" s="153"/>
      <c r="J551" s="153"/>
      <c r="K551" s="153"/>
      <c r="L551" s="153"/>
      <c r="M551" s="152"/>
      <c r="N551" s="153"/>
      <c r="O551" s="153"/>
      <c r="P551" s="153"/>
      <c r="Q551" s="153"/>
      <c r="R551" s="153"/>
      <c r="S551" s="152"/>
      <c r="T551" s="153"/>
      <c r="U551" s="153"/>
      <c r="V551" s="153"/>
      <c r="W551" s="153"/>
      <c r="X551" s="153"/>
    </row>
    <row r="552" spans="1:24">
      <c r="A552" s="76"/>
      <c r="B552" s="77"/>
      <c r="C552" s="77"/>
      <c r="D552" s="77"/>
      <c r="E552" s="77"/>
      <c r="F552" s="77"/>
      <c r="G552" s="152"/>
      <c r="H552" s="153"/>
      <c r="I552" s="153"/>
      <c r="J552" s="153"/>
      <c r="K552" s="153"/>
      <c r="L552" s="153"/>
      <c r="M552" s="152"/>
      <c r="N552" s="153"/>
      <c r="O552" s="153"/>
      <c r="P552" s="153"/>
      <c r="Q552" s="153"/>
      <c r="R552" s="153"/>
      <c r="S552" s="152"/>
      <c r="T552" s="153"/>
      <c r="U552" s="153"/>
      <c r="V552" s="153"/>
      <c r="W552" s="153"/>
      <c r="X552" s="153"/>
    </row>
    <row r="553" spans="1:24">
      <c r="A553" s="76"/>
      <c r="B553" s="77"/>
      <c r="C553" s="77"/>
      <c r="D553" s="77"/>
      <c r="E553" s="77"/>
      <c r="F553" s="77"/>
      <c r="G553" s="152"/>
      <c r="H553" s="153"/>
      <c r="I553" s="153"/>
      <c r="J553" s="153"/>
      <c r="K553" s="153"/>
      <c r="L553" s="153"/>
      <c r="M553" s="152"/>
      <c r="N553" s="153"/>
      <c r="O553" s="153"/>
      <c r="P553" s="153"/>
      <c r="Q553" s="153"/>
      <c r="R553" s="153"/>
      <c r="S553" s="152"/>
      <c r="T553" s="153"/>
      <c r="U553" s="153"/>
      <c r="V553" s="153"/>
      <c r="W553" s="153"/>
      <c r="X553" s="153"/>
    </row>
    <row r="554" spans="1:24">
      <c r="A554" s="76"/>
      <c r="B554" s="77"/>
      <c r="C554" s="77"/>
      <c r="D554" s="77"/>
      <c r="E554" s="77"/>
      <c r="F554" s="77"/>
      <c r="G554" s="152"/>
      <c r="H554" s="153"/>
      <c r="I554" s="153"/>
      <c r="J554" s="153"/>
      <c r="K554" s="153"/>
      <c r="L554" s="153"/>
      <c r="M554" s="152"/>
      <c r="N554" s="153"/>
      <c r="O554" s="153"/>
      <c r="P554" s="153"/>
      <c r="Q554" s="153"/>
      <c r="R554" s="153"/>
      <c r="S554" s="152"/>
      <c r="T554" s="153"/>
      <c r="U554" s="153"/>
      <c r="V554" s="153"/>
      <c r="W554" s="153"/>
      <c r="X554" s="153"/>
    </row>
    <row r="555" spans="1:24">
      <c r="A555" s="76"/>
      <c r="B555" s="77"/>
      <c r="C555" s="77"/>
      <c r="D555" s="77"/>
      <c r="E555" s="77"/>
      <c r="F555" s="77"/>
      <c r="G555" s="152"/>
      <c r="H555" s="153"/>
      <c r="I555" s="153"/>
      <c r="J555" s="153"/>
      <c r="K555" s="153"/>
      <c r="L555" s="153"/>
      <c r="M555" s="152"/>
      <c r="N555" s="153"/>
      <c r="O555" s="153"/>
      <c r="P555" s="153"/>
      <c r="Q555" s="153"/>
      <c r="R555" s="153"/>
      <c r="S555" s="152"/>
      <c r="T555" s="153"/>
      <c r="U555" s="153"/>
      <c r="V555" s="153"/>
      <c r="W555" s="153"/>
      <c r="X555" s="153"/>
    </row>
    <row r="556" spans="1:24">
      <c r="A556" s="76"/>
      <c r="B556" s="77"/>
      <c r="C556" s="77"/>
      <c r="D556" s="77"/>
      <c r="E556" s="77"/>
      <c r="F556" s="77"/>
      <c r="G556" s="152"/>
      <c r="H556" s="153"/>
      <c r="I556" s="153"/>
      <c r="J556" s="153"/>
      <c r="K556" s="153"/>
      <c r="L556" s="153"/>
      <c r="M556" s="152"/>
      <c r="N556" s="153"/>
      <c r="O556" s="153"/>
      <c r="P556" s="153"/>
      <c r="Q556" s="153"/>
      <c r="R556" s="153"/>
      <c r="S556" s="152"/>
      <c r="T556" s="153"/>
      <c r="U556" s="153"/>
      <c r="V556" s="153"/>
      <c r="W556" s="153"/>
      <c r="X556" s="153"/>
    </row>
    <row r="557" spans="1:24">
      <c r="A557" s="76"/>
      <c r="B557" s="77"/>
      <c r="C557" s="77"/>
      <c r="D557" s="77"/>
      <c r="E557" s="77"/>
      <c r="F557" s="77"/>
      <c r="G557" s="152"/>
      <c r="H557" s="153"/>
      <c r="I557" s="153"/>
      <c r="J557" s="153"/>
      <c r="K557" s="153"/>
      <c r="L557" s="153"/>
      <c r="M557" s="152"/>
      <c r="N557" s="153"/>
      <c r="O557" s="153"/>
      <c r="P557" s="153"/>
      <c r="Q557" s="153"/>
      <c r="R557" s="153"/>
      <c r="S557" s="152"/>
      <c r="T557" s="153"/>
      <c r="U557" s="153"/>
      <c r="V557" s="153"/>
      <c r="W557" s="153"/>
      <c r="X557" s="153"/>
    </row>
    <row r="558" spans="1:24">
      <c r="A558" s="76"/>
      <c r="B558" s="77"/>
      <c r="C558" s="77"/>
      <c r="D558" s="77"/>
      <c r="E558" s="77"/>
      <c r="F558" s="77"/>
      <c r="G558" s="152"/>
      <c r="H558" s="153"/>
      <c r="I558" s="153"/>
      <c r="J558" s="153"/>
      <c r="K558" s="153"/>
      <c r="L558" s="153"/>
      <c r="M558" s="152"/>
      <c r="N558" s="153"/>
      <c r="O558" s="153"/>
      <c r="P558" s="153"/>
      <c r="Q558" s="153"/>
      <c r="R558" s="153"/>
      <c r="S558" s="152"/>
      <c r="T558" s="153"/>
      <c r="U558" s="153"/>
      <c r="V558" s="153"/>
      <c r="W558" s="153"/>
      <c r="X558" s="153"/>
    </row>
    <row r="559" spans="1:24">
      <c r="A559" s="76"/>
      <c r="B559" s="77"/>
      <c r="C559" s="77"/>
      <c r="D559" s="77"/>
      <c r="E559" s="77"/>
      <c r="F559" s="77"/>
      <c r="G559" s="152"/>
      <c r="H559" s="153"/>
      <c r="I559" s="153"/>
      <c r="J559" s="153"/>
      <c r="K559" s="153"/>
      <c r="L559" s="153"/>
      <c r="M559" s="152"/>
      <c r="N559" s="153"/>
      <c r="O559" s="153"/>
      <c r="P559" s="153"/>
      <c r="Q559" s="153"/>
      <c r="R559" s="153"/>
      <c r="S559" s="152"/>
      <c r="T559" s="153"/>
      <c r="U559" s="153"/>
      <c r="V559" s="153"/>
      <c r="W559" s="153"/>
      <c r="X559" s="153"/>
    </row>
    <row r="560" spans="1:24">
      <c r="A560" s="76"/>
      <c r="B560" s="77"/>
      <c r="C560" s="77"/>
      <c r="D560" s="77"/>
      <c r="E560" s="77"/>
      <c r="F560" s="77"/>
      <c r="G560" s="152"/>
      <c r="H560" s="153"/>
      <c r="I560" s="153"/>
      <c r="J560" s="153"/>
      <c r="K560" s="153"/>
      <c r="L560" s="153"/>
      <c r="M560" s="152"/>
      <c r="N560" s="153"/>
      <c r="O560" s="153"/>
      <c r="P560" s="153"/>
      <c r="Q560" s="153"/>
      <c r="R560" s="153"/>
      <c r="S560" s="152"/>
      <c r="T560" s="153"/>
      <c r="U560" s="153"/>
      <c r="V560" s="153"/>
      <c r="W560" s="153"/>
      <c r="X560" s="153"/>
    </row>
    <row r="561" spans="1:24">
      <c r="A561" s="76"/>
      <c r="B561" s="77"/>
      <c r="C561" s="77"/>
      <c r="D561" s="77"/>
      <c r="E561" s="77"/>
      <c r="F561" s="77"/>
      <c r="G561" s="152"/>
      <c r="H561" s="153"/>
      <c r="I561" s="153"/>
      <c r="J561" s="153"/>
      <c r="K561" s="153"/>
      <c r="L561" s="153"/>
      <c r="M561" s="152"/>
      <c r="N561" s="153"/>
      <c r="O561" s="153"/>
      <c r="P561" s="153"/>
      <c r="Q561" s="153"/>
      <c r="R561" s="153"/>
      <c r="S561" s="152"/>
      <c r="T561" s="153"/>
      <c r="U561" s="153"/>
      <c r="V561" s="153"/>
      <c r="W561" s="153"/>
      <c r="X561" s="153"/>
    </row>
    <row r="562" spans="1:24">
      <c r="A562" s="76"/>
      <c r="B562" s="77"/>
      <c r="C562" s="77"/>
      <c r="D562" s="77"/>
      <c r="E562" s="77"/>
      <c r="F562" s="77"/>
      <c r="G562" s="152"/>
      <c r="H562" s="153"/>
      <c r="I562" s="153"/>
      <c r="J562" s="153"/>
      <c r="K562" s="153"/>
      <c r="L562" s="153"/>
      <c r="M562" s="152"/>
      <c r="N562" s="153"/>
      <c r="O562" s="153"/>
      <c r="P562" s="153"/>
      <c r="Q562" s="153"/>
      <c r="R562" s="153"/>
      <c r="S562" s="152"/>
      <c r="T562" s="153"/>
      <c r="U562" s="153"/>
      <c r="V562" s="153"/>
      <c r="W562" s="153"/>
      <c r="X562" s="153"/>
    </row>
    <row r="563" spans="1:24">
      <c r="A563" s="76"/>
      <c r="B563" s="77"/>
      <c r="C563" s="77"/>
      <c r="D563" s="77"/>
      <c r="E563" s="77"/>
      <c r="F563" s="77"/>
      <c r="G563" s="152"/>
      <c r="H563" s="153"/>
      <c r="I563" s="153"/>
      <c r="J563" s="153"/>
      <c r="K563" s="153"/>
      <c r="L563" s="153"/>
      <c r="M563" s="152"/>
      <c r="N563" s="153"/>
      <c r="O563" s="153"/>
      <c r="P563" s="153"/>
      <c r="Q563" s="153"/>
      <c r="R563" s="153"/>
      <c r="S563" s="152"/>
      <c r="T563" s="153"/>
      <c r="U563" s="153"/>
      <c r="V563" s="153"/>
      <c r="W563" s="153"/>
      <c r="X563" s="153"/>
    </row>
    <row r="564" spans="1:24">
      <c r="A564" s="76"/>
      <c r="B564" s="77"/>
      <c r="C564" s="77"/>
      <c r="D564" s="77"/>
      <c r="E564" s="77"/>
      <c r="F564" s="77"/>
      <c r="G564" s="152"/>
      <c r="H564" s="153"/>
      <c r="I564" s="153"/>
      <c r="J564" s="153"/>
      <c r="K564" s="153"/>
      <c r="L564" s="153"/>
      <c r="M564" s="152"/>
      <c r="N564" s="153"/>
      <c r="O564" s="153"/>
      <c r="P564" s="153"/>
      <c r="Q564" s="153"/>
      <c r="R564" s="153"/>
      <c r="S564" s="152"/>
      <c r="T564" s="153"/>
      <c r="U564" s="153"/>
      <c r="V564" s="153"/>
      <c r="W564" s="153"/>
      <c r="X564" s="153"/>
    </row>
    <row r="565" spans="1:24">
      <c r="A565" s="76"/>
      <c r="B565" s="77"/>
      <c r="C565" s="77"/>
      <c r="D565" s="77"/>
      <c r="E565" s="77"/>
      <c r="F565" s="77"/>
      <c r="G565" s="152"/>
      <c r="H565" s="153"/>
      <c r="I565" s="153"/>
      <c r="J565" s="153"/>
      <c r="K565" s="153"/>
      <c r="L565" s="153"/>
      <c r="M565" s="152"/>
      <c r="N565" s="153"/>
      <c r="O565" s="153"/>
      <c r="P565" s="153"/>
      <c r="Q565" s="153"/>
      <c r="R565" s="153"/>
      <c r="S565" s="152"/>
      <c r="T565" s="153"/>
      <c r="U565" s="153"/>
      <c r="V565" s="153"/>
      <c r="W565" s="153"/>
      <c r="X565" s="153"/>
    </row>
    <row r="566" spans="1:24">
      <c r="A566" s="76"/>
      <c r="B566" s="77"/>
      <c r="C566" s="77"/>
      <c r="D566" s="77"/>
      <c r="E566" s="77"/>
      <c r="F566" s="77"/>
      <c r="G566" s="152"/>
      <c r="H566" s="153"/>
      <c r="I566" s="153"/>
      <c r="J566" s="153"/>
      <c r="K566" s="153"/>
      <c r="L566" s="153"/>
      <c r="M566" s="152"/>
      <c r="N566" s="153"/>
      <c r="O566" s="153"/>
      <c r="P566" s="153"/>
      <c r="Q566" s="153"/>
      <c r="R566" s="153"/>
      <c r="S566" s="152"/>
      <c r="T566" s="153"/>
      <c r="U566" s="153"/>
      <c r="V566" s="153"/>
      <c r="W566" s="153"/>
      <c r="X566" s="153"/>
    </row>
    <row r="567" spans="1:24">
      <c r="A567" s="76"/>
      <c r="B567" s="77"/>
      <c r="C567" s="77"/>
      <c r="D567" s="77"/>
      <c r="E567" s="77"/>
      <c r="F567" s="77"/>
      <c r="G567" s="152"/>
      <c r="H567" s="153"/>
      <c r="I567" s="153"/>
      <c r="J567" s="153"/>
      <c r="K567" s="153"/>
      <c r="L567" s="153"/>
      <c r="M567" s="152"/>
      <c r="N567" s="153"/>
      <c r="O567" s="153"/>
      <c r="P567" s="153"/>
      <c r="Q567" s="153"/>
      <c r="R567" s="153"/>
      <c r="S567" s="152"/>
      <c r="T567" s="153"/>
      <c r="U567" s="153"/>
      <c r="V567" s="153"/>
      <c r="W567" s="153"/>
      <c r="X567" s="153"/>
    </row>
    <row r="568" spans="1:24">
      <c r="A568" s="76"/>
      <c r="B568" s="77"/>
      <c r="C568" s="77"/>
      <c r="D568" s="77"/>
      <c r="E568" s="77"/>
      <c r="F568" s="77"/>
      <c r="G568" s="152"/>
      <c r="H568" s="153"/>
      <c r="I568" s="153"/>
      <c r="J568" s="153"/>
      <c r="K568" s="153"/>
      <c r="L568" s="153"/>
      <c r="M568" s="152"/>
      <c r="N568" s="153"/>
      <c r="O568" s="153"/>
      <c r="P568" s="153"/>
      <c r="Q568" s="153"/>
      <c r="R568" s="153"/>
      <c r="S568" s="152"/>
      <c r="T568" s="153"/>
      <c r="U568" s="153"/>
      <c r="V568" s="153"/>
      <c r="W568" s="153"/>
      <c r="X568" s="153"/>
    </row>
    <row r="569" spans="1:24">
      <c r="A569" s="76"/>
      <c r="B569" s="77"/>
      <c r="C569" s="77"/>
      <c r="D569" s="77"/>
      <c r="E569" s="77"/>
      <c r="F569" s="77"/>
      <c r="G569" s="152"/>
      <c r="H569" s="153"/>
      <c r="I569" s="153"/>
      <c r="J569" s="153"/>
      <c r="K569" s="153"/>
      <c r="L569" s="153"/>
      <c r="M569" s="152"/>
      <c r="N569" s="153"/>
      <c r="O569" s="153"/>
      <c r="P569" s="153"/>
      <c r="Q569" s="153"/>
      <c r="R569" s="153"/>
      <c r="S569" s="152"/>
      <c r="T569" s="153"/>
      <c r="U569" s="153"/>
      <c r="V569" s="153"/>
      <c r="W569" s="153"/>
      <c r="X569" s="153"/>
    </row>
    <row r="570" spans="1:24">
      <c r="A570" s="76"/>
      <c r="B570" s="77"/>
      <c r="C570" s="77"/>
      <c r="D570" s="77"/>
      <c r="E570" s="77"/>
      <c r="F570" s="77"/>
      <c r="G570" s="152"/>
      <c r="H570" s="153"/>
      <c r="I570" s="153"/>
      <c r="J570" s="153"/>
      <c r="K570" s="153"/>
      <c r="L570" s="153"/>
      <c r="M570" s="152"/>
      <c r="N570" s="153"/>
      <c r="O570" s="153"/>
      <c r="P570" s="153"/>
      <c r="Q570" s="153"/>
      <c r="R570" s="153"/>
      <c r="S570" s="152"/>
      <c r="T570" s="153"/>
      <c r="U570" s="153"/>
      <c r="V570" s="153"/>
      <c r="W570" s="153"/>
      <c r="X570" s="153"/>
    </row>
    <row r="571" spans="1:24">
      <c r="A571" s="76"/>
      <c r="B571" s="77"/>
      <c r="C571" s="77"/>
      <c r="D571" s="77"/>
      <c r="E571" s="77"/>
      <c r="F571" s="77"/>
      <c r="G571" s="152"/>
      <c r="H571" s="153"/>
      <c r="I571" s="153"/>
      <c r="J571" s="153"/>
      <c r="K571" s="153"/>
      <c r="L571" s="153"/>
      <c r="M571" s="152"/>
      <c r="N571" s="153"/>
      <c r="O571" s="153"/>
      <c r="P571" s="153"/>
      <c r="Q571" s="153"/>
      <c r="R571" s="153"/>
      <c r="S571" s="152"/>
      <c r="T571" s="153"/>
      <c r="U571" s="153"/>
      <c r="V571" s="153"/>
      <c r="W571" s="153"/>
      <c r="X571" s="153"/>
    </row>
    <row r="572" spans="1:24">
      <c r="A572" s="76"/>
      <c r="B572" s="77"/>
      <c r="C572" s="77"/>
      <c r="D572" s="77"/>
      <c r="E572" s="77"/>
      <c r="F572" s="77"/>
      <c r="G572" s="152"/>
      <c r="H572" s="153"/>
      <c r="I572" s="153"/>
      <c r="J572" s="153"/>
      <c r="K572" s="153"/>
      <c r="L572" s="153"/>
      <c r="M572" s="152"/>
      <c r="N572" s="153"/>
      <c r="O572" s="153"/>
      <c r="P572" s="153"/>
      <c r="Q572" s="153"/>
      <c r="R572" s="153"/>
      <c r="S572" s="152"/>
      <c r="T572" s="153"/>
      <c r="U572" s="153"/>
      <c r="V572" s="153"/>
      <c r="W572" s="153"/>
      <c r="X572" s="153"/>
    </row>
    <row r="573" spans="1:24">
      <c r="A573" s="76"/>
      <c r="B573" s="77"/>
      <c r="C573" s="77"/>
      <c r="D573" s="77"/>
      <c r="E573" s="77"/>
      <c r="F573" s="77"/>
      <c r="G573" s="152"/>
      <c r="H573" s="153"/>
      <c r="I573" s="153"/>
      <c r="J573" s="153"/>
      <c r="K573" s="153"/>
      <c r="L573" s="153"/>
      <c r="M573" s="152"/>
      <c r="N573" s="153"/>
      <c r="O573" s="153"/>
      <c r="P573" s="153"/>
      <c r="Q573" s="153"/>
      <c r="R573" s="153"/>
      <c r="S573" s="152"/>
      <c r="T573" s="153"/>
      <c r="U573" s="153"/>
      <c r="V573" s="153"/>
      <c r="W573" s="153"/>
      <c r="X573" s="153"/>
    </row>
    <row r="574" spans="1:24">
      <c r="A574" s="76"/>
      <c r="B574" s="77"/>
      <c r="C574" s="77"/>
      <c r="D574" s="77"/>
      <c r="E574" s="77"/>
      <c r="F574" s="77"/>
      <c r="G574" s="152"/>
      <c r="H574" s="153"/>
      <c r="I574" s="153"/>
      <c r="J574" s="153"/>
      <c r="K574" s="153"/>
      <c r="L574" s="153"/>
      <c r="M574" s="152"/>
      <c r="N574" s="153"/>
      <c r="O574" s="153"/>
      <c r="P574" s="153"/>
      <c r="Q574" s="153"/>
      <c r="R574" s="153"/>
      <c r="S574" s="152"/>
      <c r="T574" s="153"/>
      <c r="U574" s="153"/>
      <c r="V574" s="153"/>
      <c r="W574" s="153"/>
      <c r="X574" s="153"/>
    </row>
    <row r="575" spans="1:24">
      <c r="A575" s="76"/>
      <c r="B575" s="77"/>
      <c r="C575" s="77"/>
      <c r="D575" s="77"/>
      <c r="E575" s="77"/>
      <c r="F575" s="77"/>
      <c r="G575" s="152"/>
      <c r="H575" s="153"/>
      <c r="I575" s="153"/>
      <c r="J575" s="153"/>
      <c r="K575" s="153"/>
      <c r="L575" s="153"/>
      <c r="M575" s="152"/>
      <c r="N575" s="153"/>
      <c r="O575" s="153"/>
      <c r="P575" s="153"/>
      <c r="Q575" s="153"/>
      <c r="R575" s="153"/>
      <c r="S575" s="152"/>
      <c r="T575" s="153"/>
      <c r="U575" s="153"/>
      <c r="V575" s="153"/>
      <c r="W575" s="153"/>
      <c r="X575" s="153"/>
    </row>
    <row r="576" spans="1:24">
      <c r="A576" s="76"/>
      <c r="B576" s="77"/>
      <c r="C576" s="77"/>
      <c r="D576" s="77"/>
      <c r="E576" s="77"/>
      <c r="F576" s="77"/>
      <c r="G576" s="152"/>
      <c r="H576" s="153"/>
      <c r="I576" s="153"/>
      <c r="J576" s="153"/>
      <c r="K576" s="153"/>
      <c r="L576" s="153"/>
      <c r="M576" s="152"/>
      <c r="N576" s="153"/>
      <c r="O576" s="153"/>
      <c r="P576" s="153"/>
      <c r="Q576" s="153"/>
      <c r="R576" s="153"/>
      <c r="S576" s="152"/>
      <c r="T576" s="153"/>
      <c r="U576" s="153"/>
      <c r="V576" s="153"/>
      <c r="W576" s="153"/>
      <c r="X576" s="153"/>
    </row>
    <row r="577" spans="1:24">
      <c r="A577" s="76"/>
      <c r="B577" s="77"/>
      <c r="C577" s="77"/>
      <c r="D577" s="77"/>
      <c r="E577" s="77"/>
      <c r="F577" s="77"/>
      <c r="G577" s="152"/>
      <c r="H577" s="153"/>
      <c r="I577" s="153"/>
      <c r="J577" s="153"/>
      <c r="K577" s="153"/>
      <c r="L577" s="153"/>
      <c r="M577" s="152"/>
      <c r="N577" s="153"/>
      <c r="O577" s="153"/>
      <c r="P577" s="153"/>
      <c r="Q577" s="153"/>
      <c r="R577" s="153"/>
      <c r="S577" s="152"/>
      <c r="T577" s="153"/>
      <c r="U577" s="153"/>
      <c r="V577" s="153"/>
      <c r="W577" s="153"/>
      <c r="X577" s="153"/>
    </row>
    <row r="578" spans="1:24">
      <c r="A578" s="76"/>
      <c r="B578" s="77"/>
      <c r="C578" s="77"/>
      <c r="D578" s="77"/>
      <c r="E578" s="77"/>
      <c r="F578" s="77"/>
      <c r="G578" s="152"/>
      <c r="H578" s="153"/>
      <c r="I578" s="153"/>
      <c r="J578" s="153"/>
      <c r="K578" s="153"/>
      <c r="L578" s="153"/>
      <c r="M578" s="152"/>
      <c r="N578" s="153"/>
      <c r="O578" s="153"/>
      <c r="P578" s="153"/>
      <c r="Q578" s="153"/>
      <c r="R578" s="153"/>
      <c r="S578" s="152"/>
      <c r="T578" s="153"/>
      <c r="U578" s="153"/>
      <c r="V578" s="153"/>
      <c r="W578" s="153"/>
      <c r="X578" s="153"/>
    </row>
    <row r="579" spans="1:24">
      <c r="A579" s="76"/>
      <c r="B579" s="77"/>
      <c r="C579" s="77"/>
      <c r="D579" s="77"/>
      <c r="E579" s="77"/>
      <c r="F579" s="77"/>
      <c r="G579" s="152"/>
      <c r="H579" s="153"/>
      <c r="I579" s="153"/>
      <c r="J579" s="153"/>
      <c r="K579" s="153"/>
      <c r="L579" s="153"/>
      <c r="M579" s="152"/>
      <c r="N579" s="153"/>
      <c r="O579" s="153"/>
      <c r="P579" s="153"/>
      <c r="Q579" s="153"/>
      <c r="R579" s="153"/>
      <c r="S579" s="152"/>
      <c r="T579" s="153"/>
      <c r="U579" s="153"/>
      <c r="V579" s="153"/>
      <c r="W579" s="153"/>
      <c r="X579" s="153"/>
    </row>
    <row r="580" spans="1:24">
      <c r="A580" s="76"/>
      <c r="B580" s="77"/>
      <c r="C580" s="77"/>
      <c r="D580" s="77"/>
      <c r="E580" s="77"/>
      <c r="F580" s="77"/>
      <c r="G580" s="152"/>
      <c r="H580" s="153"/>
      <c r="I580" s="153"/>
      <c r="J580" s="153"/>
      <c r="K580" s="153"/>
      <c r="L580" s="153"/>
      <c r="M580" s="152"/>
      <c r="N580" s="153"/>
      <c r="O580" s="153"/>
      <c r="P580" s="153"/>
      <c r="Q580" s="153"/>
      <c r="R580" s="153"/>
      <c r="S580" s="152"/>
      <c r="T580" s="153"/>
      <c r="U580" s="153"/>
      <c r="V580" s="153"/>
      <c r="W580" s="153"/>
      <c r="X580" s="153"/>
    </row>
    <row r="581" spans="1:24">
      <c r="A581" s="76"/>
      <c r="B581" s="77"/>
      <c r="C581" s="77"/>
      <c r="D581" s="77"/>
      <c r="E581" s="77"/>
      <c r="F581" s="77"/>
      <c r="G581" s="152"/>
      <c r="H581" s="153"/>
      <c r="I581" s="153"/>
      <c r="J581" s="153"/>
      <c r="K581" s="153"/>
      <c r="L581" s="153"/>
      <c r="M581" s="152"/>
      <c r="N581" s="153"/>
      <c r="O581" s="153"/>
      <c r="P581" s="153"/>
      <c r="Q581" s="153"/>
      <c r="R581" s="153"/>
      <c r="S581" s="152"/>
      <c r="T581" s="153"/>
      <c r="U581" s="153"/>
      <c r="V581" s="153"/>
      <c r="W581" s="153"/>
      <c r="X581" s="153"/>
    </row>
    <row r="582" spans="1:24">
      <c r="A582" s="76"/>
      <c r="B582" s="77"/>
      <c r="C582" s="77"/>
      <c r="D582" s="77"/>
      <c r="E582" s="77"/>
      <c r="F582" s="77"/>
      <c r="G582" s="152"/>
      <c r="H582" s="153"/>
      <c r="I582" s="153"/>
      <c r="J582" s="153"/>
      <c r="K582" s="153"/>
      <c r="L582" s="153"/>
      <c r="M582" s="152"/>
      <c r="N582" s="153"/>
      <c r="O582" s="153"/>
      <c r="P582" s="153"/>
      <c r="Q582" s="153"/>
      <c r="R582" s="153"/>
      <c r="S582" s="152"/>
      <c r="T582" s="153"/>
      <c r="U582" s="153"/>
      <c r="V582" s="153"/>
      <c r="W582" s="153"/>
      <c r="X582" s="153"/>
    </row>
    <row r="583" spans="1:24">
      <c r="A583" s="76"/>
      <c r="B583" s="77"/>
      <c r="C583" s="77"/>
      <c r="D583" s="77"/>
      <c r="E583" s="77"/>
      <c r="F583" s="77"/>
      <c r="G583" s="152"/>
      <c r="H583" s="153"/>
      <c r="I583" s="153"/>
      <c r="J583" s="153"/>
      <c r="K583" s="153"/>
      <c r="L583" s="153"/>
      <c r="M583" s="152"/>
      <c r="N583" s="153"/>
      <c r="O583" s="153"/>
      <c r="P583" s="153"/>
      <c r="Q583" s="153"/>
      <c r="R583" s="153"/>
      <c r="S583" s="152"/>
      <c r="T583" s="153"/>
      <c r="U583" s="153"/>
      <c r="V583" s="153"/>
      <c r="W583" s="153"/>
      <c r="X583" s="153"/>
    </row>
    <row r="584" spans="1:24">
      <c r="A584" s="76"/>
      <c r="B584" s="77"/>
      <c r="C584" s="77"/>
      <c r="D584" s="77"/>
      <c r="E584" s="77"/>
      <c r="F584" s="77"/>
      <c r="G584" s="152"/>
      <c r="H584" s="153"/>
      <c r="I584" s="153"/>
      <c r="J584" s="153"/>
      <c r="K584" s="153"/>
      <c r="L584" s="153"/>
      <c r="M584" s="152"/>
      <c r="N584" s="153"/>
      <c r="O584" s="153"/>
      <c r="P584" s="153"/>
      <c r="Q584" s="153"/>
      <c r="R584" s="153"/>
      <c r="S584" s="152"/>
      <c r="T584" s="153"/>
      <c r="U584" s="153"/>
      <c r="V584" s="153"/>
      <c r="W584" s="153"/>
      <c r="X584" s="153"/>
    </row>
    <row r="585" spans="1:24">
      <c r="A585" s="76"/>
      <c r="B585" s="77"/>
      <c r="C585" s="77"/>
      <c r="D585" s="77"/>
      <c r="E585" s="77"/>
      <c r="F585" s="77"/>
      <c r="G585" s="152"/>
      <c r="H585" s="153"/>
      <c r="I585" s="153"/>
      <c r="J585" s="153"/>
      <c r="K585" s="153"/>
      <c r="L585" s="153"/>
      <c r="M585" s="152"/>
      <c r="N585" s="153"/>
      <c r="O585" s="153"/>
      <c r="P585" s="153"/>
      <c r="Q585" s="153"/>
      <c r="R585" s="153"/>
      <c r="S585" s="152"/>
      <c r="T585" s="153"/>
      <c r="U585" s="153"/>
      <c r="V585" s="153"/>
      <c r="W585" s="153"/>
      <c r="X585" s="153"/>
    </row>
    <row r="586" spans="1:24">
      <c r="A586" s="76"/>
      <c r="B586" s="77"/>
      <c r="C586" s="77"/>
      <c r="D586" s="77"/>
      <c r="E586" s="77"/>
      <c r="F586" s="77"/>
      <c r="G586" s="152"/>
      <c r="H586" s="153"/>
      <c r="I586" s="153"/>
      <c r="J586" s="153"/>
      <c r="K586" s="153"/>
      <c r="L586" s="153"/>
      <c r="M586" s="152"/>
      <c r="N586" s="153"/>
      <c r="O586" s="153"/>
      <c r="P586" s="153"/>
      <c r="Q586" s="153"/>
      <c r="R586" s="153"/>
      <c r="S586" s="152"/>
      <c r="T586" s="153"/>
      <c r="U586" s="153"/>
      <c r="V586" s="153"/>
      <c r="W586" s="153"/>
      <c r="X586" s="153"/>
    </row>
    <row r="587" spans="1:24">
      <c r="A587" s="76"/>
      <c r="B587" s="77"/>
      <c r="C587" s="77"/>
      <c r="D587" s="77"/>
      <c r="E587" s="77"/>
      <c r="F587" s="77"/>
      <c r="G587" s="152"/>
      <c r="H587" s="153"/>
      <c r="I587" s="153"/>
      <c r="J587" s="153"/>
      <c r="K587" s="153"/>
      <c r="L587" s="153"/>
      <c r="M587" s="152"/>
      <c r="N587" s="153"/>
      <c r="O587" s="153"/>
      <c r="P587" s="153"/>
      <c r="Q587" s="153"/>
      <c r="R587" s="153"/>
      <c r="S587" s="152"/>
      <c r="T587" s="153"/>
      <c r="U587" s="153"/>
      <c r="V587" s="153"/>
      <c r="W587" s="153"/>
      <c r="X587" s="153"/>
    </row>
    <row r="588" spans="1:24">
      <c r="A588" s="76"/>
      <c r="B588" s="77"/>
      <c r="C588" s="77"/>
      <c r="D588" s="77"/>
      <c r="E588" s="77"/>
      <c r="F588" s="77"/>
      <c r="G588" s="152"/>
      <c r="H588" s="153"/>
      <c r="I588" s="153"/>
      <c r="J588" s="153"/>
      <c r="K588" s="153"/>
      <c r="L588" s="153"/>
      <c r="M588" s="152"/>
      <c r="N588" s="153"/>
      <c r="O588" s="153"/>
      <c r="P588" s="153"/>
      <c r="Q588" s="153"/>
      <c r="R588" s="153"/>
      <c r="S588" s="152"/>
      <c r="T588" s="153"/>
      <c r="U588" s="153"/>
      <c r="V588" s="153"/>
      <c r="W588" s="153"/>
      <c r="X588" s="153"/>
    </row>
    <row r="589" spans="1:24">
      <c r="A589" s="76"/>
      <c r="B589" s="77"/>
      <c r="C589" s="77"/>
      <c r="D589" s="77"/>
      <c r="E589" s="77"/>
      <c r="F589" s="77"/>
      <c r="G589" s="152"/>
      <c r="H589" s="153"/>
      <c r="I589" s="153"/>
      <c r="J589" s="153"/>
      <c r="K589" s="153"/>
      <c r="L589" s="153"/>
      <c r="M589" s="152"/>
      <c r="N589" s="153"/>
      <c r="O589" s="153"/>
      <c r="P589" s="153"/>
      <c r="Q589" s="153"/>
      <c r="R589" s="153"/>
      <c r="S589" s="152"/>
      <c r="T589" s="153"/>
      <c r="U589" s="153"/>
      <c r="V589" s="153"/>
      <c r="W589" s="153"/>
      <c r="X589" s="153"/>
    </row>
    <row r="590" spans="1:24">
      <c r="A590" s="76"/>
      <c r="B590" s="77"/>
      <c r="C590" s="77"/>
      <c r="D590" s="77"/>
      <c r="E590" s="77"/>
      <c r="F590" s="77"/>
      <c r="G590" s="152"/>
      <c r="H590" s="153"/>
      <c r="I590" s="153"/>
      <c r="J590" s="153"/>
      <c r="K590" s="153"/>
      <c r="L590" s="153"/>
      <c r="M590" s="152"/>
      <c r="N590" s="153"/>
      <c r="O590" s="153"/>
      <c r="P590" s="153"/>
      <c r="Q590" s="153"/>
      <c r="R590" s="153"/>
      <c r="S590" s="152"/>
      <c r="T590" s="153"/>
      <c r="U590" s="153"/>
      <c r="V590" s="153"/>
      <c r="W590" s="153"/>
      <c r="X590" s="153"/>
    </row>
    <row r="591" spans="1:24">
      <c r="A591" s="76"/>
      <c r="B591" s="77"/>
      <c r="C591" s="77"/>
      <c r="D591" s="77"/>
      <c r="E591" s="77"/>
      <c r="F591" s="77"/>
      <c r="G591" s="152"/>
      <c r="H591" s="153"/>
      <c r="I591" s="153"/>
      <c r="J591" s="153"/>
      <c r="K591" s="153"/>
      <c r="L591" s="153"/>
      <c r="M591" s="152"/>
      <c r="N591" s="153"/>
      <c r="O591" s="153"/>
      <c r="P591" s="153"/>
      <c r="Q591" s="153"/>
      <c r="R591" s="153"/>
      <c r="S591" s="152"/>
      <c r="T591" s="153"/>
      <c r="U591" s="153"/>
      <c r="V591" s="153"/>
      <c r="W591" s="153"/>
      <c r="X591" s="153"/>
    </row>
    <row r="592" spans="1:24">
      <c r="A592" s="76"/>
      <c r="B592" s="77"/>
      <c r="C592" s="77"/>
      <c r="D592" s="77"/>
      <c r="E592" s="77"/>
      <c r="F592" s="77"/>
      <c r="G592" s="152"/>
      <c r="H592" s="153"/>
      <c r="I592" s="153"/>
      <c r="J592" s="153"/>
      <c r="K592" s="153"/>
      <c r="L592" s="153"/>
      <c r="M592" s="152"/>
      <c r="N592" s="153"/>
      <c r="O592" s="153"/>
      <c r="P592" s="153"/>
      <c r="Q592" s="153"/>
      <c r="R592" s="153"/>
      <c r="S592" s="152"/>
      <c r="T592" s="153"/>
      <c r="U592" s="153"/>
      <c r="V592" s="153"/>
      <c r="W592" s="153"/>
      <c r="X592" s="153"/>
    </row>
    <row r="593" spans="1:24">
      <c r="A593" s="76"/>
      <c r="B593" s="77"/>
      <c r="C593" s="77"/>
      <c r="D593" s="77"/>
      <c r="E593" s="77"/>
      <c r="F593" s="77"/>
      <c r="G593" s="152"/>
      <c r="H593" s="153"/>
      <c r="I593" s="153"/>
      <c r="J593" s="153"/>
      <c r="K593" s="153"/>
      <c r="L593" s="153"/>
      <c r="M593" s="152"/>
      <c r="N593" s="153"/>
      <c r="O593" s="153"/>
      <c r="P593" s="153"/>
      <c r="Q593" s="153"/>
      <c r="R593" s="153"/>
      <c r="S593" s="152"/>
      <c r="T593" s="153"/>
      <c r="U593" s="153"/>
      <c r="V593" s="153"/>
      <c r="W593" s="153"/>
      <c r="X593" s="153"/>
    </row>
    <row r="594" spans="1:24">
      <c r="A594" s="76"/>
      <c r="B594" s="77"/>
      <c r="C594" s="77"/>
      <c r="D594" s="77"/>
      <c r="E594" s="77"/>
      <c r="F594" s="77"/>
      <c r="G594" s="152"/>
      <c r="H594" s="153"/>
      <c r="I594" s="153"/>
      <c r="J594" s="153"/>
      <c r="K594" s="153"/>
      <c r="L594" s="153"/>
      <c r="M594" s="152"/>
      <c r="N594" s="153"/>
      <c r="O594" s="153"/>
      <c r="P594" s="153"/>
      <c r="Q594" s="153"/>
      <c r="R594" s="153"/>
      <c r="S594" s="152"/>
      <c r="T594" s="153"/>
      <c r="U594" s="153"/>
      <c r="V594" s="153"/>
      <c r="W594" s="153"/>
      <c r="X594" s="153"/>
    </row>
    <row r="595" spans="1:24">
      <c r="A595" s="76"/>
      <c r="B595" s="77"/>
      <c r="C595" s="77"/>
      <c r="D595" s="77"/>
      <c r="E595" s="77"/>
      <c r="F595" s="77"/>
      <c r="G595" s="152"/>
      <c r="H595" s="153"/>
      <c r="I595" s="153"/>
      <c r="J595" s="153"/>
      <c r="K595" s="153"/>
      <c r="L595" s="153"/>
      <c r="M595" s="152"/>
      <c r="N595" s="153"/>
      <c r="O595" s="153"/>
      <c r="P595" s="153"/>
      <c r="Q595" s="153"/>
      <c r="R595" s="153"/>
      <c r="S595" s="152"/>
      <c r="T595" s="153"/>
      <c r="U595" s="153"/>
      <c r="V595" s="153"/>
      <c r="W595" s="153"/>
      <c r="X595" s="153"/>
    </row>
    <row r="596" spans="1:24">
      <c r="A596" s="76"/>
      <c r="B596" s="77"/>
      <c r="C596" s="77"/>
      <c r="D596" s="77"/>
      <c r="E596" s="77"/>
      <c r="F596" s="77"/>
      <c r="G596" s="152"/>
      <c r="H596" s="153"/>
      <c r="I596" s="153"/>
      <c r="J596" s="153"/>
      <c r="K596" s="153"/>
      <c r="L596" s="153"/>
      <c r="M596" s="152"/>
      <c r="N596" s="153"/>
      <c r="O596" s="153"/>
      <c r="P596" s="153"/>
      <c r="Q596" s="153"/>
      <c r="R596" s="153"/>
      <c r="S596" s="152"/>
      <c r="T596" s="153"/>
      <c r="U596" s="153"/>
      <c r="V596" s="153"/>
      <c r="W596" s="153"/>
      <c r="X596" s="153"/>
    </row>
    <row r="597" spans="1:24">
      <c r="A597" s="76"/>
      <c r="B597" s="77"/>
      <c r="C597" s="77"/>
      <c r="D597" s="77"/>
      <c r="E597" s="77"/>
      <c r="F597" s="77"/>
      <c r="G597" s="152"/>
      <c r="H597" s="153"/>
      <c r="I597" s="153"/>
      <c r="J597" s="153"/>
      <c r="K597" s="153"/>
      <c r="L597" s="153"/>
      <c r="M597" s="152"/>
      <c r="N597" s="153"/>
      <c r="O597" s="153"/>
      <c r="P597" s="153"/>
      <c r="Q597" s="153"/>
      <c r="R597" s="153"/>
      <c r="S597" s="152"/>
      <c r="T597" s="153"/>
      <c r="U597" s="153"/>
      <c r="V597" s="153"/>
      <c r="W597" s="153"/>
      <c r="X597" s="153"/>
    </row>
    <row r="598" spans="1:24">
      <c r="A598" s="76"/>
      <c r="B598" s="77"/>
      <c r="C598" s="77"/>
      <c r="D598" s="77"/>
      <c r="E598" s="77"/>
      <c r="F598" s="77"/>
      <c r="G598" s="152"/>
      <c r="H598" s="153"/>
      <c r="I598" s="153"/>
      <c r="J598" s="153"/>
      <c r="K598" s="153"/>
      <c r="L598" s="153"/>
      <c r="M598" s="152"/>
      <c r="N598" s="153"/>
      <c r="O598" s="153"/>
      <c r="P598" s="153"/>
      <c r="Q598" s="153"/>
      <c r="R598" s="153"/>
      <c r="S598" s="152"/>
      <c r="T598" s="153"/>
      <c r="U598" s="153"/>
      <c r="V598" s="153"/>
      <c r="W598" s="153"/>
      <c r="X598" s="153"/>
    </row>
    <row r="599" spans="1:24">
      <c r="A599" s="76"/>
      <c r="B599" s="77"/>
      <c r="C599" s="77"/>
      <c r="D599" s="77"/>
      <c r="E599" s="77"/>
      <c r="F599" s="77"/>
      <c r="G599" s="152"/>
      <c r="H599" s="153"/>
      <c r="I599" s="153"/>
      <c r="J599" s="153"/>
      <c r="K599" s="153"/>
      <c r="L599" s="153"/>
      <c r="M599" s="152"/>
      <c r="N599" s="153"/>
      <c r="O599" s="153"/>
      <c r="P599" s="153"/>
      <c r="Q599" s="153"/>
      <c r="R599" s="153"/>
      <c r="S599" s="152"/>
      <c r="T599" s="153"/>
      <c r="U599" s="153"/>
      <c r="V599" s="153"/>
      <c r="W599" s="153"/>
      <c r="X599" s="153"/>
    </row>
    <row r="600" spans="1:24">
      <c r="A600" s="76"/>
      <c r="B600" s="77"/>
      <c r="C600" s="77"/>
      <c r="D600" s="77"/>
      <c r="E600" s="77"/>
      <c r="F600" s="77"/>
      <c r="G600" s="152"/>
      <c r="H600" s="153"/>
      <c r="I600" s="153"/>
      <c r="J600" s="153"/>
      <c r="K600" s="153"/>
      <c r="L600" s="153"/>
      <c r="M600" s="152"/>
      <c r="N600" s="153"/>
      <c r="O600" s="153"/>
      <c r="P600" s="153"/>
      <c r="Q600" s="153"/>
      <c r="R600" s="153"/>
      <c r="S600" s="152"/>
      <c r="T600" s="153"/>
      <c r="U600" s="153"/>
      <c r="V600" s="153"/>
      <c r="W600" s="153"/>
      <c r="X600" s="153"/>
    </row>
    <row r="601" spans="1:24">
      <c r="A601" s="76"/>
      <c r="B601" s="77"/>
      <c r="C601" s="77"/>
      <c r="D601" s="77"/>
      <c r="E601" s="77"/>
      <c r="F601" s="77"/>
      <c r="G601" s="152"/>
      <c r="H601" s="153"/>
      <c r="I601" s="153"/>
      <c r="J601" s="153"/>
      <c r="K601" s="153"/>
      <c r="L601" s="153"/>
      <c r="M601" s="152"/>
      <c r="N601" s="153"/>
      <c r="O601" s="153"/>
      <c r="P601" s="153"/>
      <c r="Q601" s="153"/>
      <c r="R601" s="153"/>
      <c r="S601" s="152"/>
      <c r="T601" s="153"/>
      <c r="U601" s="153"/>
      <c r="V601" s="153"/>
      <c r="W601" s="153"/>
      <c r="X601" s="153"/>
    </row>
    <row r="602" spans="1:24">
      <c r="A602" s="76"/>
      <c r="B602" s="77"/>
      <c r="C602" s="77"/>
      <c r="D602" s="77"/>
      <c r="E602" s="77"/>
      <c r="F602" s="77"/>
      <c r="G602" s="152"/>
      <c r="H602" s="153"/>
      <c r="I602" s="153"/>
      <c r="J602" s="153"/>
      <c r="K602" s="153"/>
      <c r="L602" s="153"/>
      <c r="M602" s="152"/>
      <c r="N602" s="153"/>
      <c r="O602" s="153"/>
      <c r="P602" s="153"/>
      <c r="Q602" s="153"/>
      <c r="R602" s="153"/>
      <c r="S602" s="152"/>
      <c r="T602" s="153"/>
      <c r="U602" s="153"/>
      <c r="V602" s="153"/>
      <c r="W602" s="153"/>
      <c r="X602" s="153"/>
    </row>
    <row r="603" spans="1:24">
      <c r="A603" s="76"/>
      <c r="B603" s="77"/>
      <c r="C603" s="77"/>
      <c r="D603" s="77"/>
      <c r="E603" s="77"/>
      <c r="F603" s="77"/>
      <c r="G603" s="152"/>
      <c r="H603" s="153"/>
      <c r="I603" s="153"/>
      <c r="J603" s="153"/>
      <c r="K603" s="153"/>
      <c r="L603" s="153"/>
      <c r="M603" s="152"/>
      <c r="N603" s="153"/>
      <c r="O603" s="153"/>
      <c r="P603" s="153"/>
      <c r="Q603" s="153"/>
      <c r="R603" s="153"/>
      <c r="S603" s="152"/>
      <c r="T603" s="153"/>
      <c r="U603" s="153"/>
      <c r="V603" s="153"/>
      <c r="W603" s="153"/>
      <c r="X603" s="153"/>
    </row>
    <row r="604" spans="1:24">
      <c r="A604" s="76"/>
      <c r="B604" s="77"/>
      <c r="C604" s="77"/>
      <c r="D604" s="77"/>
      <c r="E604" s="77"/>
      <c r="F604" s="77"/>
      <c r="G604" s="152"/>
      <c r="H604" s="153"/>
      <c r="I604" s="153"/>
      <c r="J604" s="153"/>
      <c r="K604" s="153"/>
      <c r="L604" s="153"/>
      <c r="M604" s="152"/>
      <c r="N604" s="153"/>
      <c r="O604" s="153"/>
      <c r="P604" s="153"/>
      <c r="Q604" s="153"/>
      <c r="R604" s="153"/>
      <c r="S604" s="152"/>
      <c r="T604" s="153"/>
      <c r="U604" s="153"/>
      <c r="V604" s="153"/>
      <c r="W604" s="153"/>
      <c r="X604" s="153"/>
    </row>
    <row r="605" spans="1:24">
      <c r="A605" s="76"/>
      <c r="B605" s="77"/>
      <c r="C605" s="77"/>
      <c r="D605" s="77"/>
      <c r="E605" s="77"/>
      <c r="F605" s="77"/>
      <c r="G605" s="152"/>
      <c r="H605" s="153"/>
      <c r="I605" s="153"/>
      <c r="J605" s="153"/>
      <c r="K605" s="153"/>
      <c r="L605" s="153"/>
      <c r="M605" s="152"/>
      <c r="N605" s="153"/>
      <c r="O605" s="153"/>
      <c r="P605" s="153"/>
      <c r="Q605" s="153"/>
      <c r="R605" s="153"/>
      <c r="S605" s="152"/>
      <c r="T605" s="153"/>
      <c r="U605" s="153"/>
      <c r="V605" s="153"/>
      <c r="W605" s="153"/>
      <c r="X605" s="153"/>
    </row>
    <row r="606" spans="1:24">
      <c r="A606" s="76"/>
      <c r="B606" s="77"/>
      <c r="C606" s="77"/>
      <c r="D606" s="77"/>
      <c r="E606" s="77"/>
      <c r="F606" s="77"/>
      <c r="G606" s="152"/>
      <c r="H606" s="153"/>
      <c r="I606" s="153"/>
      <c r="J606" s="153"/>
      <c r="K606" s="153"/>
      <c r="L606" s="153"/>
      <c r="M606" s="152"/>
      <c r="N606" s="153"/>
      <c r="O606" s="153"/>
      <c r="P606" s="153"/>
      <c r="Q606" s="153"/>
      <c r="R606" s="153"/>
      <c r="S606" s="152"/>
      <c r="T606" s="153"/>
      <c r="U606" s="153"/>
      <c r="V606" s="153"/>
      <c r="W606" s="153"/>
      <c r="X606" s="153"/>
    </row>
    <row r="607" spans="1:24">
      <c r="A607" s="76"/>
      <c r="B607" s="77"/>
      <c r="C607" s="77"/>
      <c r="D607" s="77"/>
      <c r="E607" s="77"/>
      <c r="F607" s="77"/>
      <c r="G607" s="152"/>
      <c r="H607" s="153"/>
      <c r="I607" s="153"/>
      <c r="J607" s="153"/>
      <c r="K607" s="153"/>
      <c r="L607" s="153"/>
      <c r="M607" s="152"/>
      <c r="N607" s="153"/>
      <c r="O607" s="153"/>
      <c r="P607" s="153"/>
      <c r="Q607" s="153"/>
      <c r="R607" s="153"/>
      <c r="S607" s="152"/>
      <c r="T607" s="153"/>
      <c r="U607" s="153"/>
      <c r="V607" s="153"/>
      <c r="W607" s="153"/>
      <c r="X607" s="153"/>
    </row>
    <row r="608" spans="1:24">
      <c r="A608" s="76"/>
      <c r="B608" s="77"/>
      <c r="C608" s="77"/>
      <c r="D608" s="77"/>
      <c r="E608" s="77"/>
      <c r="F608" s="77"/>
      <c r="G608" s="152"/>
      <c r="H608" s="153"/>
      <c r="I608" s="153"/>
      <c r="J608" s="153"/>
      <c r="K608" s="153"/>
      <c r="L608" s="153"/>
      <c r="M608" s="152"/>
      <c r="N608" s="153"/>
      <c r="O608" s="153"/>
      <c r="P608" s="153"/>
      <c r="Q608" s="153"/>
      <c r="R608" s="153"/>
      <c r="S608" s="152"/>
      <c r="T608" s="153"/>
      <c r="U608" s="153"/>
      <c r="V608" s="153"/>
      <c r="W608" s="153"/>
      <c r="X608" s="153"/>
    </row>
    <row r="609" spans="1:24">
      <c r="A609" s="76"/>
      <c r="B609" s="77"/>
      <c r="C609" s="77"/>
      <c r="D609" s="77"/>
      <c r="E609" s="77"/>
      <c r="F609" s="77"/>
      <c r="G609" s="152"/>
      <c r="H609" s="153"/>
      <c r="I609" s="153"/>
      <c r="J609" s="153"/>
      <c r="K609" s="153"/>
      <c r="L609" s="153"/>
      <c r="M609" s="152"/>
      <c r="N609" s="153"/>
      <c r="O609" s="153"/>
      <c r="P609" s="153"/>
      <c r="Q609" s="153"/>
      <c r="R609" s="153"/>
      <c r="S609" s="152"/>
      <c r="T609" s="153"/>
      <c r="U609" s="153"/>
      <c r="V609" s="153"/>
      <c r="W609" s="153"/>
      <c r="X609" s="153"/>
    </row>
    <row r="610" spans="1:24">
      <c r="A610" s="76"/>
      <c r="B610" s="77"/>
      <c r="C610" s="77"/>
      <c r="D610" s="77"/>
      <c r="E610" s="77"/>
      <c r="F610" s="77"/>
      <c r="G610" s="152"/>
      <c r="H610" s="153"/>
      <c r="I610" s="153"/>
      <c r="J610" s="153"/>
      <c r="K610" s="153"/>
      <c r="L610" s="153"/>
      <c r="M610" s="152"/>
      <c r="N610" s="153"/>
      <c r="O610" s="153"/>
      <c r="P610" s="153"/>
      <c r="Q610" s="153"/>
      <c r="R610" s="153"/>
      <c r="S610" s="152"/>
      <c r="T610" s="153"/>
      <c r="U610" s="153"/>
      <c r="V610" s="153"/>
      <c r="W610" s="153"/>
      <c r="X610" s="153"/>
    </row>
    <row r="611" spans="1:24">
      <c r="A611" s="76"/>
      <c r="B611" s="77"/>
      <c r="C611" s="77"/>
      <c r="D611" s="77"/>
      <c r="E611" s="77"/>
      <c r="F611" s="77"/>
      <c r="G611" s="152"/>
      <c r="H611" s="153"/>
      <c r="I611" s="153"/>
      <c r="J611" s="153"/>
      <c r="K611" s="153"/>
      <c r="L611" s="153"/>
      <c r="M611" s="152"/>
      <c r="N611" s="153"/>
      <c r="O611" s="153"/>
      <c r="P611" s="153"/>
      <c r="Q611" s="153"/>
      <c r="R611" s="153"/>
      <c r="S611" s="152"/>
      <c r="T611" s="153"/>
      <c r="U611" s="153"/>
      <c r="V611" s="153"/>
      <c r="W611" s="153"/>
      <c r="X611" s="153"/>
    </row>
    <row r="612" spans="1:24">
      <c r="A612" s="76"/>
      <c r="B612" s="77"/>
      <c r="C612" s="77"/>
      <c r="D612" s="77"/>
      <c r="E612" s="77"/>
      <c r="F612" s="77"/>
      <c r="G612" s="152"/>
      <c r="H612" s="153"/>
      <c r="I612" s="153"/>
      <c r="J612" s="153"/>
      <c r="K612" s="153"/>
      <c r="L612" s="153"/>
      <c r="M612" s="152"/>
      <c r="N612" s="153"/>
      <c r="O612" s="153"/>
      <c r="P612" s="153"/>
      <c r="Q612" s="153"/>
      <c r="R612" s="153"/>
      <c r="S612" s="152"/>
      <c r="T612" s="153"/>
      <c r="U612" s="153"/>
      <c r="V612" s="153"/>
      <c r="W612" s="153"/>
      <c r="X612" s="153"/>
    </row>
    <row r="613" spans="1:24">
      <c r="A613" s="76"/>
      <c r="B613" s="77"/>
      <c r="C613" s="77"/>
      <c r="D613" s="77"/>
      <c r="E613" s="77"/>
      <c r="F613" s="77"/>
      <c r="G613" s="152"/>
      <c r="H613" s="153"/>
      <c r="I613" s="153"/>
      <c r="J613" s="153"/>
      <c r="K613" s="153"/>
      <c r="L613" s="153"/>
      <c r="M613" s="152"/>
      <c r="N613" s="153"/>
      <c r="O613" s="153"/>
      <c r="P613" s="153"/>
      <c r="Q613" s="153"/>
      <c r="R613" s="153"/>
      <c r="S613" s="152"/>
      <c r="T613" s="153"/>
      <c r="U613" s="153"/>
      <c r="V613" s="153"/>
      <c r="W613" s="153"/>
      <c r="X613" s="153"/>
    </row>
    <row r="614" spans="1:24">
      <c r="A614" s="76"/>
      <c r="B614" s="77"/>
      <c r="C614" s="77"/>
      <c r="D614" s="77"/>
      <c r="E614" s="77"/>
      <c r="F614" s="77"/>
      <c r="G614" s="152"/>
      <c r="H614" s="153"/>
      <c r="I614" s="153"/>
      <c r="J614" s="153"/>
      <c r="K614" s="153"/>
      <c r="L614" s="153"/>
      <c r="M614" s="152"/>
      <c r="N614" s="153"/>
      <c r="O614" s="153"/>
      <c r="P614" s="153"/>
      <c r="Q614" s="153"/>
      <c r="R614" s="153"/>
      <c r="S614" s="152"/>
      <c r="T614" s="153"/>
      <c r="U614" s="153"/>
      <c r="V614" s="153"/>
      <c r="W614" s="153"/>
      <c r="X614" s="153"/>
    </row>
    <row r="615" spans="1:24">
      <c r="A615" s="76"/>
      <c r="B615" s="77"/>
      <c r="C615" s="77"/>
      <c r="D615" s="77"/>
      <c r="E615" s="77"/>
      <c r="F615" s="77"/>
      <c r="G615" s="152"/>
      <c r="H615" s="153"/>
      <c r="I615" s="153"/>
      <c r="J615" s="153"/>
      <c r="K615" s="153"/>
      <c r="L615" s="153"/>
      <c r="M615" s="152"/>
      <c r="N615" s="153"/>
      <c r="O615" s="153"/>
      <c r="P615" s="153"/>
      <c r="Q615" s="153"/>
      <c r="R615" s="153"/>
      <c r="S615" s="152"/>
      <c r="T615" s="153"/>
      <c r="U615" s="153"/>
      <c r="V615" s="153"/>
      <c r="W615" s="153"/>
      <c r="X615" s="153"/>
    </row>
    <row r="616" spans="1:24">
      <c r="A616" s="76"/>
      <c r="B616" s="77"/>
      <c r="C616" s="77"/>
      <c r="D616" s="77"/>
      <c r="E616" s="77"/>
      <c r="F616" s="77"/>
      <c r="G616" s="152"/>
      <c r="H616" s="153"/>
      <c r="I616" s="153"/>
      <c r="J616" s="153"/>
      <c r="K616" s="153"/>
      <c r="L616" s="153"/>
      <c r="M616" s="152"/>
      <c r="N616" s="153"/>
      <c r="O616" s="153"/>
      <c r="P616" s="153"/>
      <c r="Q616" s="153"/>
      <c r="R616" s="153"/>
      <c r="S616" s="152"/>
      <c r="T616" s="153"/>
      <c r="U616" s="153"/>
      <c r="V616" s="153"/>
      <c r="W616" s="153"/>
      <c r="X616" s="153"/>
    </row>
    <row r="617" spans="1:24">
      <c r="A617" s="76"/>
      <c r="B617" s="77"/>
      <c r="C617" s="77"/>
      <c r="D617" s="77"/>
      <c r="E617" s="77"/>
      <c r="F617" s="77"/>
      <c r="G617" s="152"/>
      <c r="H617" s="153"/>
      <c r="I617" s="153"/>
      <c r="J617" s="153"/>
      <c r="K617" s="153"/>
      <c r="L617" s="153"/>
      <c r="M617" s="152"/>
      <c r="N617" s="153"/>
      <c r="O617" s="153"/>
      <c r="P617" s="153"/>
      <c r="Q617" s="153"/>
      <c r="R617" s="153"/>
      <c r="S617" s="152"/>
      <c r="T617" s="153"/>
      <c r="U617" s="153"/>
      <c r="V617" s="153"/>
      <c r="W617" s="153"/>
      <c r="X617" s="153"/>
    </row>
    <row r="618" spans="1:24">
      <c r="A618" s="76"/>
      <c r="B618" s="77"/>
      <c r="C618" s="77"/>
      <c r="D618" s="77"/>
      <c r="E618" s="77"/>
      <c r="F618" s="77"/>
      <c r="G618" s="152"/>
      <c r="H618" s="153"/>
      <c r="I618" s="153"/>
      <c r="J618" s="153"/>
      <c r="K618" s="153"/>
      <c r="L618" s="153"/>
      <c r="M618" s="152"/>
      <c r="N618" s="153"/>
      <c r="O618" s="153"/>
      <c r="P618" s="153"/>
      <c r="Q618" s="153"/>
      <c r="R618" s="153"/>
      <c r="S618" s="152"/>
      <c r="T618" s="153"/>
      <c r="U618" s="153"/>
      <c r="V618" s="153"/>
      <c r="W618" s="153"/>
      <c r="X618" s="153"/>
    </row>
    <row r="619" spans="1:24">
      <c r="A619" s="76"/>
      <c r="B619" s="77"/>
      <c r="C619" s="77"/>
      <c r="D619" s="77"/>
      <c r="E619" s="77"/>
      <c r="F619" s="77"/>
      <c r="G619" s="152"/>
      <c r="H619" s="153"/>
      <c r="I619" s="153"/>
      <c r="J619" s="153"/>
      <c r="K619" s="153"/>
      <c r="L619" s="153"/>
      <c r="M619" s="152"/>
      <c r="N619" s="153"/>
      <c r="O619" s="153"/>
      <c r="P619" s="153"/>
      <c r="Q619" s="153"/>
      <c r="R619" s="153"/>
      <c r="S619" s="152"/>
      <c r="T619" s="153"/>
      <c r="U619" s="153"/>
      <c r="V619" s="153"/>
      <c r="W619" s="153"/>
      <c r="X619" s="153"/>
    </row>
    <row r="620" spans="1:24">
      <c r="A620" s="76"/>
      <c r="B620" s="77"/>
      <c r="C620" s="77"/>
      <c r="D620" s="77"/>
      <c r="E620" s="77"/>
      <c r="F620" s="77"/>
      <c r="G620" s="152"/>
      <c r="H620" s="153"/>
      <c r="I620" s="153"/>
      <c r="J620" s="153"/>
      <c r="K620" s="153"/>
      <c r="L620" s="153"/>
      <c r="M620" s="152"/>
      <c r="N620" s="153"/>
      <c r="O620" s="153"/>
      <c r="P620" s="153"/>
      <c r="Q620" s="153"/>
      <c r="R620" s="153"/>
      <c r="S620" s="152"/>
      <c r="T620" s="153"/>
      <c r="U620" s="153"/>
      <c r="V620" s="153"/>
      <c r="W620" s="153"/>
      <c r="X620" s="153"/>
    </row>
    <row r="621" spans="1:24">
      <c r="A621" s="76"/>
      <c r="B621" s="77"/>
      <c r="C621" s="77"/>
      <c r="D621" s="77"/>
      <c r="E621" s="77"/>
      <c r="F621" s="77"/>
      <c r="G621" s="152"/>
      <c r="H621" s="153"/>
      <c r="I621" s="153"/>
      <c r="J621" s="153"/>
      <c r="K621" s="153"/>
      <c r="L621" s="153"/>
      <c r="M621" s="152"/>
      <c r="N621" s="153"/>
      <c r="O621" s="153"/>
      <c r="P621" s="153"/>
      <c r="Q621" s="153"/>
      <c r="R621" s="153"/>
      <c r="S621" s="152"/>
      <c r="T621" s="153"/>
      <c r="U621" s="153"/>
      <c r="V621" s="153"/>
      <c r="W621" s="153"/>
      <c r="X621" s="153"/>
    </row>
    <row r="622" spans="1:24">
      <c r="A622" s="76"/>
      <c r="B622" s="77"/>
      <c r="C622" s="77"/>
      <c r="D622" s="77"/>
      <c r="E622" s="77"/>
      <c r="F622" s="77"/>
      <c r="G622" s="152"/>
      <c r="H622" s="153"/>
      <c r="I622" s="153"/>
      <c r="J622" s="153"/>
      <c r="K622" s="153"/>
      <c r="L622" s="153"/>
      <c r="M622" s="152"/>
      <c r="N622" s="153"/>
      <c r="O622" s="153"/>
      <c r="P622" s="153"/>
      <c r="Q622" s="153"/>
      <c r="R622" s="153"/>
      <c r="S622" s="152"/>
      <c r="T622" s="153"/>
      <c r="U622" s="153"/>
      <c r="V622" s="153"/>
      <c r="W622" s="153"/>
      <c r="X622" s="153"/>
    </row>
    <row r="623" spans="1:24">
      <c r="A623" s="76"/>
      <c r="B623" s="77"/>
      <c r="C623" s="77"/>
      <c r="D623" s="77"/>
      <c r="E623" s="77"/>
      <c r="F623" s="77"/>
      <c r="G623" s="152"/>
      <c r="H623" s="153"/>
      <c r="I623" s="153"/>
      <c r="J623" s="153"/>
      <c r="K623" s="153"/>
      <c r="L623" s="153"/>
      <c r="M623" s="152"/>
      <c r="N623" s="153"/>
      <c r="O623" s="153"/>
      <c r="P623" s="153"/>
      <c r="Q623" s="153"/>
      <c r="R623" s="153"/>
      <c r="S623" s="152"/>
      <c r="T623" s="153"/>
      <c r="U623" s="153"/>
      <c r="V623" s="153"/>
      <c r="W623" s="153"/>
      <c r="X623" s="153"/>
    </row>
    <row r="624" spans="1:24">
      <c r="A624" s="76"/>
      <c r="B624" s="77"/>
      <c r="C624" s="77"/>
      <c r="D624" s="77"/>
      <c r="E624" s="77"/>
      <c r="F624" s="77"/>
      <c r="G624" s="152"/>
      <c r="H624" s="153"/>
      <c r="I624" s="153"/>
      <c r="J624" s="153"/>
      <c r="K624" s="153"/>
      <c r="L624" s="153"/>
      <c r="M624" s="152"/>
      <c r="N624" s="153"/>
      <c r="O624" s="153"/>
      <c r="P624" s="153"/>
      <c r="Q624" s="153"/>
      <c r="R624" s="153"/>
      <c r="S624" s="152"/>
      <c r="T624" s="153"/>
      <c r="U624" s="153"/>
      <c r="V624" s="153"/>
      <c r="W624" s="153"/>
      <c r="X624" s="153"/>
    </row>
    <row r="625" spans="1:24">
      <c r="A625" s="76"/>
      <c r="B625" s="77"/>
      <c r="C625" s="77"/>
      <c r="D625" s="77"/>
      <c r="E625" s="77"/>
      <c r="F625" s="77"/>
      <c r="G625" s="152"/>
      <c r="H625" s="153"/>
      <c r="I625" s="153"/>
      <c r="J625" s="153"/>
      <c r="K625" s="153"/>
      <c r="L625" s="153"/>
      <c r="M625" s="152"/>
      <c r="N625" s="153"/>
      <c r="O625" s="153"/>
      <c r="P625" s="153"/>
      <c r="Q625" s="153"/>
      <c r="R625" s="153"/>
      <c r="S625" s="152"/>
      <c r="T625" s="153"/>
      <c r="U625" s="153"/>
      <c r="V625" s="153"/>
      <c r="W625" s="153"/>
      <c r="X625" s="153"/>
    </row>
    <row r="626" spans="1:24">
      <c r="A626" s="76"/>
      <c r="B626" s="77"/>
      <c r="C626" s="77"/>
      <c r="D626" s="77"/>
      <c r="E626" s="77"/>
      <c r="F626" s="77"/>
      <c r="G626" s="152"/>
      <c r="H626" s="153"/>
      <c r="I626" s="153"/>
      <c r="J626" s="153"/>
      <c r="K626" s="153"/>
      <c r="L626" s="153"/>
      <c r="M626" s="152"/>
      <c r="N626" s="153"/>
      <c r="O626" s="153"/>
      <c r="P626" s="153"/>
      <c r="Q626" s="153"/>
      <c r="R626" s="153"/>
      <c r="S626" s="152"/>
      <c r="T626" s="153"/>
      <c r="U626" s="153"/>
      <c r="V626" s="153"/>
      <c r="W626" s="153"/>
      <c r="X626" s="153"/>
    </row>
    <row r="627" spans="1:24">
      <c r="A627" s="76"/>
      <c r="B627" s="77"/>
      <c r="C627" s="77"/>
      <c r="D627" s="77"/>
      <c r="E627" s="77"/>
      <c r="F627" s="77"/>
      <c r="G627" s="152"/>
      <c r="H627" s="153"/>
      <c r="I627" s="153"/>
      <c r="J627" s="153"/>
      <c r="K627" s="153"/>
      <c r="L627" s="153"/>
      <c r="M627" s="152"/>
      <c r="N627" s="153"/>
      <c r="O627" s="153"/>
      <c r="P627" s="153"/>
      <c r="Q627" s="153"/>
      <c r="R627" s="153"/>
      <c r="S627" s="152"/>
      <c r="T627" s="153"/>
      <c r="U627" s="153"/>
      <c r="V627" s="153"/>
      <c r="W627" s="153"/>
      <c r="X627" s="153"/>
    </row>
    <row r="628" spans="1:24">
      <c r="A628" s="76"/>
      <c r="B628" s="77"/>
      <c r="C628" s="77"/>
      <c r="D628" s="77"/>
      <c r="E628" s="77"/>
      <c r="F628" s="77"/>
      <c r="G628" s="152"/>
      <c r="H628" s="153"/>
      <c r="I628" s="153"/>
      <c r="J628" s="153"/>
      <c r="K628" s="153"/>
      <c r="L628" s="153"/>
      <c r="M628" s="152"/>
      <c r="N628" s="153"/>
      <c r="O628" s="153"/>
      <c r="P628" s="153"/>
      <c r="Q628" s="153"/>
      <c r="R628" s="153"/>
      <c r="S628" s="152"/>
      <c r="T628" s="153"/>
      <c r="U628" s="153"/>
      <c r="V628" s="153"/>
      <c r="W628" s="153"/>
      <c r="X628" s="153"/>
    </row>
    <row r="629" spans="1:24">
      <c r="A629" s="76"/>
      <c r="B629" s="77"/>
      <c r="C629" s="77"/>
      <c r="D629" s="77"/>
      <c r="E629" s="77"/>
      <c r="F629" s="77"/>
      <c r="G629" s="152"/>
      <c r="H629" s="153"/>
      <c r="I629" s="153"/>
      <c r="J629" s="153"/>
      <c r="K629" s="153"/>
      <c r="L629" s="153"/>
      <c r="M629" s="152"/>
      <c r="N629" s="153"/>
      <c r="O629" s="153"/>
      <c r="P629" s="153"/>
      <c r="Q629" s="153"/>
      <c r="R629" s="153"/>
      <c r="S629" s="152"/>
      <c r="T629" s="153"/>
      <c r="U629" s="153"/>
      <c r="V629" s="153"/>
      <c r="W629" s="153"/>
      <c r="X629" s="153"/>
    </row>
    <row r="630" spans="1:24">
      <c r="A630" s="76"/>
      <c r="B630" s="77"/>
      <c r="C630" s="77"/>
      <c r="D630" s="77"/>
      <c r="E630" s="77"/>
      <c r="F630" s="77"/>
      <c r="G630" s="152"/>
      <c r="H630" s="153"/>
      <c r="I630" s="153"/>
      <c r="J630" s="153"/>
      <c r="K630" s="153"/>
      <c r="L630" s="153"/>
      <c r="M630" s="152"/>
      <c r="N630" s="153"/>
      <c r="O630" s="153"/>
      <c r="P630" s="153"/>
      <c r="Q630" s="153"/>
      <c r="R630" s="153"/>
      <c r="S630" s="152"/>
      <c r="T630" s="153"/>
      <c r="U630" s="153"/>
      <c r="V630" s="153"/>
      <c r="W630" s="153"/>
      <c r="X630" s="153"/>
    </row>
    <row r="631" spans="1:24">
      <c r="A631" s="76"/>
      <c r="B631" s="77"/>
      <c r="C631" s="77"/>
      <c r="D631" s="77"/>
      <c r="E631" s="77"/>
      <c r="F631" s="77"/>
      <c r="G631" s="152"/>
      <c r="H631" s="153"/>
      <c r="I631" s="153"/>
      <c r="J631" s="153"/>
      <c r="K631" s="153"/>
      <c r="L631" s="153"/>
      <c r="M631" s="152"/>
      <c r="N631" s="153"/>
      <c r="O631" s="153"/>
      <c r="P631" s="153"/>
      <c r="Q631" s="153"/>
      <c r="R631" s="153"/>
      <c r="S631" s="152"/>
      <c r="T631" s="153"/>
      <c r="U631" s="153"/>
      <c r="V631" s="153"/>
      <c r="W631" s="153"/>
      <c r="X631" s="153"/>
    </row>
    <row r="632" spans="1:24">
      <c r="A632" s="76"/>
      <c r="B632" s="77"/>
      <c r="C632" s="77"/>
      <c r="D632" s="77"/>
      <c r="E632" s="77"/>
      <c r="F632" s="77"/>
      <c r="G632" s="152"/>
      <c r="H632" s="153"/>
      <c r="I632" s="153"/>
      <c r="J632" s="153"/>
      <c r="K632" s="153"/>
      <c r="L632" s="153"/>
      <c r="M632" s="152"/>
      <c r="N632" s="153"/>
      <c r="O632" s="153"/>
      <c r="P632" s="153"/>
      <c r="Q632" s="153"/>
      <c r="R632" s="153"/>
      <c r="S632" s="152"/>
      <c r="T632" s="153"/>
      <c r="U632" s="153"/>
      <c r="V632" s="153"/>
      <c r="W632" s="153"/>
      <c r="X632" s="153"/>
    </row>
    <row r="633" spans="1:24">
      <c r="A633" s="76"/>
      <c r="B633" s="77"/>
      <c r="C633" s="77"/>
      <c r="D633" s="77"/>
      <c r="E633" s="77"/>
      <c r="F633" s="77"/>
      <c r="G633" s="152"/>
      <c r="H633" s="153"/>
      <c r="I633" s="153"/>
      <c r="J633" s="153"/>
      <c r="K633" s="153"/>
      <c r="L633" s="153"/>
      <c r="M633" s="152"/>
      <c r="N633" s="153"/>
      <c r="O633" s="153"/>
      <c r="P633" s="153"/>
      <c r="Q633" s="153"/>
      <c r="R633" s="153"/>
      <c r="S633" s="152"/>
      <c r="T633" s="153"/>
      <c r="U633" s="153"/>
      <c r="V633" s="153"/>
      <c r="W633" s="153"/>
      <c r="X633" s="153"/>
    </row>
    <row r="634" spans="1:24">
      <c r="A634" s="76"/>
      <c r="B634" s="77"/>
      <c r="C634" s="77"/>
      <c r="D634" s="77"/>
      <c r="E634" s="77"/>
      <c r="F634" s="77"/>
      <c r="G634" s="152"/>
      <c r="H634" s="153"/>
      <c r="I634" s="153"/>
      <c r="J634" s="153"/>
      <c r="K634" s="153"/>
      <c r="L634" s="153"/>
      <c r="M634" s="152"/>
      <c r="N634" s="153"/>
      <c r="O634" s="153"/>
      <c r="P634" s="153"/>
      <c r="Q634" s="153"/>
      <c r="R634" s="153"/>
      <c r="S634" s="152"/>
      <c r="T634" s="153"/>
      <c r="U634" s="153"/>
      <c r="V634" s="153"/>
      <c r="W634" s="153"/>
      <c r="X634" s="153"/>
    </row>
    <row r="635" spans="1:24">
      <c r="A635" s="76"/>
      <c r="B635" s="77"/>
      <c r="C635" s="77"/>
      <c r="D635" s="77"/>
      <c r="E635" s="77"/>
      <c r="F635" s="77"/>
      <c r="G635" s="152"/>
      <c r="H635" s="153"/>
      <c r="I635" s="153"/>
      <c r="J635" s="153"/>
      <c r="K635" s="153"/>
      <c r="L635" s="153"/>
      <c r="M635" s="152"/>
      <c r="N635" s="153"/>
      <c r="O635" s="153"/>
      <c r="P635" s="153"/>
      <c r="Q635" s="153"/>
      <c r="R635" s="153"/>
      <c r="S635" s="152"/>
      <c r="T635" s="153"/>
      <c r="U635" s="153"/>
      <c r="V635" s="153"/>
      <c r="W635" s="153"/>
      <c r="X635" s="153"/>
    </row>
    <row r="636" spans="1:24">
      <c r="A636" s="76"/>
      <c r="B636" s="77"/>
      <c r="C636" s="77"/>
      <c r="D636" s="77"/>
      <c r="E636" s="77"/>
      <c r="F636" s="77"/>
      <c r="G636" s="152"/>
      <c r="H636" s="153"/>
      <c r="I636" s="153"/>
      <c r="J636" s="153"/>
      <c r="K636" s="153"/>
      <c r="L636" s="153"/>
      <c r="M636" s="152"/>
      <c r="N636" s="153"/>
      <c r="O636" s="153"/>
      <c r="P636" s="153"/>
      <c r="Q636" s="153"/>
      <c r="R636" s="153"/>
      <c r="S636" s="152"/>
      <c r="T636" s="153"/>
      <c r="U636" s="153"/>
      <c r="V636" s="153"/>
      <c r="W636" s="153"/>
      <c r="X636" s="153"/>
    </row>
    <row r="637" spans="1:24">
      <c r="A637" s="76"/>
      <c r="B637" s="77"/>
      <c r="C637" s="77"/>
      <c r="D637" s="77"/>
      <c r="E637" s="77"/>
      <c r="F637" s="77"/>
      <c r="G637" s="152"/>
      <c r="H637" s="153"/>
      <c r="I637" s="153"/>
      <c r="J637" s="153"/>
      <c r="K637" s="153"/>
      <c r="L637" s="153"/>
      <c r="M637" s="152"/>
      <c r="N637" s="153"/>
      <c r="O637" s="153"/>
      <c r="P637" s="153"/>
      <c r="Q637" s="153"/>
      <c r="R637" s="153"/>
      <c r="S637" s="152"/>
      <c r="T637" s="153"/>
      <c r="U637" s="153"/>
      <c r="V637" s="153"/>
      <c r="W637" s="153"/>
      <c r="X637" s="153"/>
    </row>
    <row r="638" spans="1:24">
      <c r="A638" s="76"/>
      <c r="B638" s="77"/>
      <c r="C638" s="77"/>
      <c r="D638" s="77"/>
      <c r="E638" s="77"/>
      <c r="F638" s="77"/>
      <c r="G638" s="152"/>
      <c r="H638" s="153"/>
      <c r="I638" s="153"/>
      <c r="J638" s="153"/>
      <c r="K638" s="153"/>
      <c r="L638" s="153"/>
      <c r="M638" s="152"/>
      <c r="N638" s="153"/>
      <c r="O638" s="153"/>
      <c r="P638" s="153"/>
      <c r="Q638" s="153"/>
      <c r="R638" s="153"/>
      <c r="S638" s="152"/>
      <c r="T638" s="153"/>
      <c r="U638" s="153"/>
      <c r="V638" s="153"/>
      <c r="W638" s="153"/>
      <c r="X638" s="153"/>
    </row>
    <row r="639" spans="1:24">
      <c r="A639" s="76"/>
      <c r="B639" s="77"/>
      <c r="C639" s="77"/>
      <c r="D639" s="77"/>
      <c r="E639" s="77"/>
      <c r="F639" s="77"/>
      <c r="G639" s="152"/>
      <c r="H639" s="153"/>
      <c r="I639" s="153"/>
      <c r="J639" s="153"/>
      <c r="K639" s="153"/>
      <c r="L639" s="153"/>
      <c r="M639" s="152"/>
      <c r="N639" s="153"/>
      <c r="O639" s="153"/>
      <c r="P639" s="153"/>
      <c r="Q639" s="153"/>
      <c r="R639" s="153"/>
      <c r="S639" s="152"/>
      <c r="T639" s="153"/>
      <c r="U639" s="153"/>
      <c r="V639" s="153"/>
      <c r="W639" s="153"/>
      <c r="X639" s="153"/>
    </row>
    <row r="640" spans="1:24">
      <c r="A640" s="76"/>
      <c r="B640" s="77"/>
      <c r="C640" s="77"/>
      <c r="D640" s="77"/>
      <c r="E640" s="77"/>
      <c r="F640" s="77"/>
      <c r="G640" s="152"/>
      <c r="H640" s="153"/>
      <c r="I640" s="153"/>
      <c r="J640" s="153"/>
      <c r="K640" s="153"/>
      <c r="L640" s="153"/>
      <c r="M640" s="152"/>
      <c r="N640" s="153"/>
      <c r="O640" s="153"/>
      <c r="P640" s="153"/>
      <c r="Q640" s="153"/>
      <c r="R640" s="153"/>
      <c r="S640" s="152"/>
      <c r="T640" s="153"/>
      <c r="U640" s="153"/>
      <c r="V640" s="153"/>
      <c r="W640" s="153"/>
      <c r="X640" s="153"/>
    </row>
    <row r="641" spans="1:24">
      <c r="A641" s="76"/>
      <c r="B641" s="77"/>
      <c r="C641" s="77"/>
      <c r="D641" s="77"/>
      <c r="E641" s="77"/>
      <c r="F641" s="77"/>
      <c r="G641" s="152"/>
      <c r="H641" s="153"/>
      <c r="I641" s="153"/>
      <c r="J641" s="153"/>
      <c r="K641" s="153"/>
      <c r="L641" s="153"/>
      <c r="M641" s="152"/>
      <c r="N641" s="153"/>
      <c r="O641" s="153"/>
      <c r="P641" s="153"/>
      <c r="Q641" s="153"/>
      <c r="R641" s="153"/>
      <c r="S641" s="152"/>
      <c r="T641" s="153"/>
      <c r="U641" s="153"/>
      <c r="V641" s="153"/>
      <c r="W641" s="153"/>
      <c r="X641" s="153"/>
    </row>
    <row r="642" spans="1:24">
      <c r="A642" s="76"/>
      <c r="B642" s="77"/>
      <c r="C642" s="77"/>
      <c r="D642" s="77"/>
      <c r="E642" s="77"/>
      <c r="F642" s="77"/>
      <c r="G642" s="152"/>
      <c r="H642" s="153"/>
      <c r="I642" s="153"/>
      <c r="J642" s="153"/>
      <c r="K642" s="153"/>
      <c r="L642" s="153"/>
      <c r="M642" s="152"/>
      <c r="N642" s="153"/>
      <c r="O642" s="153"/>
      <c r="P642" s="153"/>
      <c r="Q642" s="153"/>
      <c r="R642" s="153"/>
      <c r="S642" s="152"/>
      <c r="T642" s="153"/>
      <c r="U642" s="153"/>
      <c r="V642" s="153"/>
      <c r="W642" s="153"/>
      <c r="X642" s="153"/>
    </row>
    <row r="643" spans="1:24">
      <c r="A643" s="76"/>
      <c r="B643" s="77"/>
      <c r="C643" s="77"/>
      <c r="D643" s="77"/>
      <c r="E643" s="77"/>
      <c r="F643" s="77"/>
      <c r="G643" s="152"/>
      <c r="H643" s="153"/>
      <c r="I643" s="153"/>
      <c r="J643" s="153"/>
      <c r="K643" s="153"/>
      <c r="L643" s="153"/>
      <c r="M643" s="152"/>
      <c r="N643" s="153"/>
      <c r="O643" s="153"/>
      <c r="P643" s="153"/>
      <c r="Q643" s="153"/>
      <c r="R643" s="153"/>
      <c r="S643" s="152"/>
      <c r="T643" s="153"/>
      <c r="U643" s="153"/>
      <c r="V643" s="153"/>
      <c r="W643" s="153"/>
      <c r="X643" s="153"/>
    </row>
    <row r="644" spans="1:24">
      <c r="A644" s="76"/>
      <c r="B644" s="77"/>
      <c r="C644" s="77"/>
      <c r="D644" s="77"/>
      <c r="E644" s="77"/>
      <c r="F644" s="77"/>
      <c r="G644" s="152"/>
      <c r="H644" s="153"/>
      <c r="I644" s="153"/>
      <c r="J644" s="153"/>
      <c r="K644" s="153"/>
      <c r="L644" s="153"/>
      <c r="M644" s="152"/>
      <c r="N644" s="153"/>
      <c r="O644" s="153"/>
      <c r="P644" s="153"/>
      <c r="Q644" s="153"/>
      <c r="R644" s="153"/>
      <c r="S644" s="152"/>
      <c r="T644" s="153"/>
      <c r="U644" s="153"/>
      <c r="V644" s="153"/>
      <c r="W644" s="153"/>
      <c r="X644" s="153"/>
    </row>
    <row r="645" spans="1:24">
      <c r="A645" s="76"/>
      <c r="B645" s="77"/>
      <c r="C645" s="77"/>
      <c r="D645" s="77"/>
      <c r="E645" s="77"/>
      <c r="F645" s="77"/>
      <c r="G645" s="152"/>
      <c r="H645" s="153"/>
      <c r="I645" s="153"/>
      <c r="J645" s="153"/>
      <c r="K645" s="153"/>
      <c r="L645" s="153"/>
      <c r="M645" s="152"/>
      <c r="N645" s="153"/>
      <c r="O645" s="153"/>
      <c r="P645" s="153"/>
      <c r="Q645" s="153"/>
      <c r="R645" s="153"/>
      <c r="S645" s="152"/>
      <c r="T645" s="153"/>
      <c r="U645" s="153"/>
      <c r="V645" s="153"/>
      <c r="W645" s="153"/>
      <c r="X645" s="153"/>
    </row>
    <row r="646" spans="1:24">
      <c r="A646" s="76"/>
      <c r="B646" s="77"/>
      <c r="C646" s="77"/>
      <c r="D646" s="77"/>
      <c r="E646" s="77"/>
      <c r="F646" s="77"/>
      <c r="G646" s="152"/>
      <c r="H646" s="153"/>
      <c r="I646" s="153"/>
      <c r="J646" s="153"/>
      <c r="K646" s="153"/>
      <c r="L646" s="153"/>
      <c r="M646" s="152"/>
      <c r="N646" s="153"/>
      <c r="O646" s="153"/>
      <c r="P646" s="153"/>
      <c r="Q646" s="153"/>
      <c r="R646" s="153"/>
      <c r="S646" s="152"/>
      <c r="T646" s="153"/>
      <c r="U646" s="153"/>
      <c r="V646" s="153"/>
      <c r="W646" s="153"/>
      <c r="X646" s="153"/>
    </row>
    <row r="647" spans="1:24">
      <c r="A647" s="76"/>
      <c r="B647" s="77"/>
      <c r="C647" s="77"/>
      <c r="D647" s="77"/>
      <c r="E647" s="77"/>
      <c r="F647" s="77"/>
      <c r="G647" s="152"/>
      <c r="H647" s="153"/>
      <c r="I647" s="153"/>
      <c r="J647" s="153"/>
      <c r="K647" s="153"/>
      <c r="L647" s="153"/>
      <c r="M647" s="152"/>
      <c r="N647" s="153"/>
      <c r="O647" s="153"/>
      <c r="P647" s="153"/>
      <c r="Q647" s="153"/>
      <c r="R647" s="153"/>
      <c r="S647" s="152"/>
      <c r="T647" s="153"/>
      <c r="U647" s="153"/>
      <c r="V647" s="153"/>
      <c r="W647" s="153"/>
      <c r="X647" s="153"/>
    </row>
    <row r="648" spans="1:24">
      <c r="A648" s="76"/>
      <c r="B648" s="77"/>
      <c r="C648" s="77"/>
      <c r="D648" s="77"/>
      <c r="E648" s="77"/>
      <c r="F648" s="77"/>
      <c r="G648" s="152"/>
      <c r="H648" s="153"/>
      <c r="I648" s="153"/>
      <c r="J648" s="153"/>
      <c r="K648" s="153"/>
      <c r="L648" s="153"/>
      <c r="M648" s="152"/>
      <c r="N648" s="153"/>
      <c r="O648" s="153"/>
      <c r="P648" s="153"/>
      <c r="Q648" s="153"/>
      <c r="R648" s="153"/>
      <c r="S648" s="152"/>
      <c r="T648" s="153"/>
      <c r="U648" s="153"/>
      <c r="V648" s="153"/>
      <c r="W648" s="153"/>
      <c r="X648" s="153"/>
    </row>
    <row r="649" spans="1:24">
      <c r="A649" s="76"/>
      <c r="B649" s="77"/>
      <c r="C649" s="77"/>
      <c r="D649" s="77"/>
      <c r="E649" s="77"/>
      <c r="F649" s="77"/>
      <c r="G649" s="152"/>
      <c r="H649" s="153"/>
      <c r="I649" s="153"/>
      <c r="J649" s="153"/>
      <c r="K649" s="153"/>
      <c r="L649" s="153"/>
      <c r="M649" s="152"/>
      <c r="N649" s="153"/>
      <c r="O649" s="153"/>
      <c r="P649" s="153"/>
      <c r="Q649" s="153"/>
      <c r="R649" s="153"/>
      <c r="S649" s="152"/>
      <c r="T649" s="153"/>
      <c r="U649" s="153"/>
      <c r="V649" s="153"/>
      <c r="W649" s="153"/>
      <c r="X649" s="153"/>
    </row>
    <row r="650" spans="1:24">
      <c r="A650" s="76"/>
      <c r="B650" s="77"/>
      <c r="C650" s="77"/>
      <c r="D650" s="77"/>
      <c r="E650" s="77"/>
      <c r="F650" s="77"/>
      <c r="G650" s="152"/>
      <c r="H650" s="153"/>
      <c r="I650" s="153"/>
      <c r="J650" s="153"/>
      <c r="K650" s="153"/>
      <c r="L650" s="153"/>
      <c r="M650" s="152"/>
      <c r="N650" s="153"/>
      <c r="O650" s="153"/>
      <c r="P650" s="153"/>
      <c r="Q650" s="153"/>
      <c r="R650" s="153"/>
      <c r="S650" s="152"/>
      <c r="T650" s="153"/>
      <c r="U650" s="153"/>
      <c r="V650" s="153"/>
      <c r="W650" s="153"/>
      <c r="X650" s="153"/>
    </row>
    <row r="651" spans="1:24">
      <c r="A651" s="76"/>
      <c r="B651" s="77"/>
      <c r="C651" s="77"/>
      <c r="D651" s="77"/>
      <c r="E651" s="77"/>
      <c r="F651" s="77"/>
      <c r="G651" s="152"/>
      <c r="H651" s="153"/>
      <c r="I651" s="153"/>
      <c r="J651" s="153"/>
      <c r="K651" s="153"/>
      <c r="L651" s="153"/>
      <c r="M651" s="152"/>
      <c r="N651" s="153"/>
      <c r="O651" s="153"/>
      <c r="P651" s="153"/>
      <c r="Q651" s="153"/>
      <c r="R651" s="153"/>
      <c r="S651" s="152"/>
      <c r="T651" s="153"/>
      <c r="U651" s="153"/>
      <c r="V651" s="153"/>
      <c r="W651" s="153"/>
      <c r="X651" s="153"/>
    </row>
    <row r="652" spans="1:24">
      <c r="A652" s="76"/>
      <c r="B652" s="77"/>
      <c r="C652" s="77"/>
      <c r="D652" s="77"/>
      <c r="E652" s="77"/>
      <c r="F652" s="77"/>
      <c r="G652" s="152"/>
      <c r="H652" s="153"/>
      <c r="I652" s="153"/>
      <c r="J652" s="153"/>
      <c r="K652" s="153"/>
      <c r="L652" s="153"/>
      <c r="M652" s="152"/>
      <c r="N652" s="153"/>
      <c r="O652" s="153"/>
      <c r="P652" s="153"/>
      <c r="Q652" s="153"/>
      <c r="R652" s="153"/>
      <c r="S652" s="152"/>
      <c r="T652" s="153"/>
      <c r="U652" s="153"/>
      <c r="V652" s="153"/>
      <c r="W652" s="153"/>
      <c r="X652" s="153"/>
    </row>
    <row r="653" spans="1:24">
      <c r="A653" s="76"/>
      <c r="B653" s="77"/>
      <c r="C653" s="77"/>
      <c r="D653" s="77"/>
      <c r="E653" s="77"/>
      <c r="F653" s="77"/>
      <c r="G653" s="152"/>
      <c r="H653" s="153"/>
      <c r="I653" s="153"/>
      <c r="J653" s="153"/>
      <c r="K653" s="153"/>
      <c r="L653" s="153"/>
      <c r="M653" s="152"/>
      <c r="N653" s="153"/>
      <c r="O653" s="153"/>
      <c r="P653" s="153"/>
      <c r="Q653" s="153"/>
      <c r="R653" s="153"/>
      <c r="S653" s="152"/>
      <c r="T653" s="153"/>
      <c r="U653" s="153"/>
      <c r="V653" s="153"/>
      <c r="W653" s="153"/>
      <c r="X653" s="153"/>
    </row>
    <row r="654" spans="1:24">
      <c r="A654" s="76"/>
      <c r="B654" s="77"/>
      <c r="C654" s="77"/>
      <c r="D654" s="77"/>
      <c r="E654" s="77"/>
      <c r="F654" s="77"/>
      <c r="G654" s="152"/>
      <c r="H654" s="153"/>
      <c r="I654" s="153"/>
      <c r="J654" s="153"/>
      <c r="K654" s="153"/>
      <c r="L654" s="153"/>
      <c r="M654" s="152"/>
      <c r="N654" s="153"/>
      <c r="O654" s="153"/>
      <c r="P654" s="153"/>
      <c r="Q654" s="153"/>
      <c r="R654" s="153"/>
      <c r="S654" s="152"/>
      <c r="T654" s="153"/>
      <c r="U654" s="153"/>
      <c r="V654" s="153"/>
      <c r="W654" s="153"/>
      <c r="X654" s="153"/>
    </row>
    <row r="655" spans="1:24">
      <c r="A655" s="76"/>
      <c r="B655" s="77"/>
      <c r="C655" s="77"/>
      <c r="D655" s="77"/>
      <c r="E655" s="77"/>
      <c r="F655" s="77"/>
      <c r="G655" s="152"/>
      <c r="H655" s="153"/>
      <c r="I655" s="153"/>
      <c r="J655" s="153"/>
      <c r="K655" s="153"/>
      <c r="L655" s="153"/>
      <c r="M655" s="152"/>
      <c r="N655" s="153"/>
      <c r="O655" s="153"/>
      <c r="P655" s="153"/>
      <c r="Q655" s="153"/>
      <c r="R655" s="153"/>
      <c r="S655" s="152"/>
      <c r="T655" s="153"/>
      <c r="U655" s="153"/>
      <c r="V655" s="153"/>
      <c r="W655" s="153"/>
      <c r="X655" s="153"/>
    </row>
    <row r="656" spans="1:24">
      <c r="A656" s="76"/>
      <c r="B656" s="77"/>
      <c r="C656" s="77"/>
      <c r="D656" s="77"/>
      <c r="E656" s="77"/>
      <c r="F656" s="77"/>
      <c r="G656" s="152"/>
      <c r="H656" s="153"/>
      <c r="I656" s="153"/>
      <c r="J656" s="153"/>
      <c r="K656" s="153"/>
      <c r="L656" s="153"/>
      <c r="M656" s="152"/>
      <c r="N656" s="153"/>
      <c r="O656" s="153"/>
      <c r="P656" s="153"/>
      <c r="Q656" s="153"/>
      <c r="R656" s="153"/>
      <c r="S656" s="152"/>
      <c r="T656" s="153"/>
      <c r="U656" s="153"/>
      <c r="V656" s="153"/>
      <c r="W656" s="153"/>
      <c r="X656" s="153"/>
    </row>
    <row r="657" spans="1:24">
      <c r="A657" s="76"/>
      <c r="B657" s="77"/>
      <c r="C657" s="77"/>
      <c r="D657" s="77"/>
      <c r="E657" s="77"/>
      <c r="F657" s="77"/>
      <c r="G657" s="152"/>
      <c r="H657" s="153"/>
      <c r="I657" s="153"/>
      <c r="J657" s="153"/>
      <c r="K657" s="153"/>
      <c r="L657" s="153"/>
      <c r="M657" s="152"/>
      <c r="N657" s="153"/>
      <c r="O657" s="153"/>
      <c r="P657" s="153"/>
      <c r="Q657" s="153"/>
      <c r="R657" s="153"/>
      <c r="S657" s="152"/>
      <c r="T657" s="153"/>
      <c r="U657" s="153"/>
      <c r="V657" s="153"/>
      <c r="W657" s="153"/>
      <c r="X657" s="153"/>
    </row>
    <row r="658" spans="1:24">
      <c r="A658" s="76"/>
      <c r="B658" s="77"/>
      <c r="C658" s="77"/>
      <c r="D658" s="77"/>
      <c r="E658" s="77"/>
      <c r="F658" s="77"/>
      <c r="G658" s="152"/>
      <c r="H658" s="153"/>
      <c r="I658" s="153"/>
      <c r="J658" s="153"/>
      <c r="K658" s="153"/>
      <c r="L658" s="153"/>
      <c r="M658" s="152"/>
      <c r="N658" s="153"/>
      <c r="O658" s="153"/>
      <c r="P658" s="153"/>
      <c r="Q658" s="153"/>
      <c r="R658" s="153"/>
      <c r="S658" s="152"/>
      <c r="T658" s="153"/>
      <c r="U658" s="153"/>
      <c r="V658" s="153"/>
      <c r="W658" s="153"/>
      <c r="X658" s="153"/>
    </row>
    <row r="659" spans="1:24">
      <c r="A659" s="76"/>
      <c r="B659" s="77"/>
      <c r="C659" s="77"/>
      <c r="D659" s="77"/>
      <c r="E659" s="77"/>
      <c r="F659" s="77"/>
      <c r="G659" s="152"/>
      <c r="H659" s="153"/>
      <c r="I659" s="153"/>
      <c r="J659" s="153"/>
      <c r="K659" s="153"/>
      <c r="L659" s="153"/>
      <c r="M659" s="152"/>
      <c r="N659" s="153"/>
      <c r="O659" s="153"/>
      <c r="P659" s="153"/>
      <c r="Q659" s="153"/>
      <c r="R659" s="153"/>
      <c r="S659" s="152"/>
      <c r="T659" s="153"/>
      <c r="U659" s="153"/>
      <c r="V659" s="153"/>
      <c r="W659" s="153"/>
      <c r="X659" s="153"/>
    </row>
    <row r="660" spans="1:24">
      <c r="A660" s="76"/>
      <c r="B660" s="77"/>
      <c r="C660" s="77"/>
      <c r="D660" s="77"/>
      <c r="E660" s="77"/>
      <c r="F660" s="77"/>
      <c r="G660" s="152"/>
      <c r="H660" s="153"/>
      <c r="I660" s="153"/>
      <c r="J660" s="153"/>
      <c r="K660" s="153"/>
      <c r="L660" s="153"/>
      <c r="M660" s="152"/>
      <c r="N660" s="153"/>
      <c r="O660" s="153"/>
      <c r="P660" s="153"/>
      <c r="Q660" s="153"/>
      <c r="R660" s="153"/>
      <c r="S660" s="152"/>
      <c r="T660" s="153"/>
      <c r="U660" s="153"/>
      <c r="V660" s="153"/>
      <c r="W660" s="153"/>
      <c r="X660" s="153"/>
    </row>
    <row r="661" spans="1:24">
      <c r="A661" s="76"/>
      <c r="B661" s="77"/>
      <c r="C661" s="77"/>
      <c r="D661" s="77"/>
      <c r="E661" s="77"/>
      <c r="F661" s="77"/>
      <c r="G661" s="152"/>
      <c r="H661" s="153"/>
      <c r="I661" s="153"/>
      <c r="J661" s="153"/>
      <c r="K661" s="153"/>
      <c r="L661" s="153"/>
      <c r="M661" s="152"/>
      <c r="N661" s="153"/>
      <c r="O661" s="153"/>
      <c r="P661" s="153"/>
      <c r="Q661" s="153"/>
      <c r="R661" s="153"/>
      <c r="S661" s="152"/>
      <c r="T661" s="153"/>
      <c r="U661" s="153"/>
      <c r="V661" s="153"/>
      <c r="W661" s="153"/>
      <c r="X661" s="153"/>
    </row>
    <row r="662" spans="1:24">
      <c r="A662" s="76"/>
      <c r="B662" s="77"/>
      <c r="C662" s="77"/>
      <c r="D662" s="77"/>
      <c r="E662" s="77"/>
      <c r="F662" s="77"/>
      <c r="G662" s="152"/>
      <c r="H662" s="153"/>
      <c r="I662" s="153"/>
      <c r="J662" s="153"/>
      <c r="K662" s="153"/>
      <c r="L662" s="153"/>
      <c r="M662" s="152"/>
      <c r="N662" s="153"/>
      <c r="O662" s="153"/>
      <c r="P662" s="153"/>
      <c r="Q662" s="153"/>
      <c r="R662" s="153"/>
      <c r="S662" s="152"/>
      <c r="T662" s="153"/>
      <c r="U662" s="153"/>
      <c r="V662" s="153"/>
      <c r="W662" s="153"/>
      <c r="X662" s="153"/>
    </row>
    <row r="663" spans="1:24">
      <c r="A663" s="76"/>
      <c r="B663" s="77"/>
      <c r="C663" s="77"/>
      <c r="D663" s="77"/>
      <c r="E663" s="77"/>
      <c r="F663" s="77"/>
      <c r="G663" s="152"/>
      <c r="H663" s="153"/>
      <c r="I663" s="153"/>
      <c r="J663" s="153"/>
      <c r="K663" s="153"/>
      <c r="L663" s="153"/>
      <c r="M663" s="152"/>
      <c r="N663" s="153"/>
      <c r="O663" s="153"/>
      <c r="P663" s="153"/>
      <c r="Q663" s="153"/>
      <c r="R663" s="153"/>
      <c r="S663" s="152"/>
      <c r="T663" s="153"/>
      <c r="U663" s="153"/>
      <c r="V663" s="153"/>
      <c r="W663" s="153"/>
      <c r="X663" s="153"/>
    </row>
    <row r="664" spans="1:24">
      <c r="A664" s="76"/>
      <c r="B664" s="77"/>
      <c r="C664" s="77"/>
      <c r="D664" s="77"/>
      <c r="E664" s="77"/>
      <c r="F664" s="77"/>
      <c r="G664" s="152"/>
      <c r="H664" s="153"/>
      <c r="I664" s="153"/>
      <c r="J664" s="153"/>
      <c r="K664" s="153"/>
      <c r="L664" s="153"/>
      <c r="M664" s="152"/>
      <c r="N664" s="153"/>
      <c r="O664" s="153"/>
      <c r="P664" s="153"/>
      <c r="Q664" s="153"/>
      <c r="R664" s="153"/>
      <c r="S664" s="152"/>
      <c r="T664" s="153"/>
      <c r="U664" s="153"/>
      <c r="V664" s="153"/>
      <c r="W664" s="153"/>
      <c r="X664" s="153"/>
    </row>
    <row r="665" spans="1:24">
      <c r="A665" s="76"/>
      <c r="B665" s="77"/>
      <c r="C665" s="77"/>
      <c r="D665" s="77"/>
      <c r="E665" s="77"/>
      <c r="F665" s="77"/>
      <c r="G665" s="152"/>
      <c r="H665" s="153"/>
      <c r="I665" s="153"/>
      <c r="J665" s="153"/>
      <c r="K665" s="153"/>
      <c r="L665" s="153"/>
      <c r="M665" s="152"/>
      <c r="N665" s="153"/>
      <c r="O665" s="153"/>
      <c r="P665" s="153"/>
      <c r="Q665" s="153"/>
      <c r="R665" s="153"/>
      <c r="S665" s="152"/>
      <c r="T665" s="153"/>
      <c r="U665" s="153"/>
      <c r="V665" s="153"/>
      <c r="W665" s="153"/>
      <c r="X665" s="153"/>
    </row>
    <row r="666" spans="1:24">
      <c r="A666" s="76"/>
      <c r="B666" s="77"/>
      <c r="C666" s="77"/>
      <c r="D666" s="77"/>
      <c r="E666" s="77"/>
      <c r="F666" s="77"/>
      <c r="G666" s="152"/>
      <c r="H666" s="153"/>
      <c r="I666" s="153"/>
      <c r="J666" s="153"/>
      <c r="K666" s="153"/>
      <c r="L666" s="153"/>
      <c r="M666" s="152"/>
      <c r="N666" s="153"/>
      <c r="O666" s="153"/>
      <c r="P666" s="153"/>
      <c r="Q666" s="153"/>
      <c r="R666" s="153"/>
      <c r="S666" s="152"/>
      <c r="T666" s="153"/>
      <c r="U666" s="153"/>
      <c r="V666" s="153"/>
      <c r="W666" s="153"/>
      <c r="X666" s="153"/>
    </row>
    <row r="667" spans="1:24">
      <c r="A667" s="76"/>
      <c r="B667" s="77"/>
      <c r="C667" s="77"/>
      <c r="D667" s="77"/>
      <c r="E667" s="77"/>
      <c r="F667" s="77"/>
      <c r="G667" s="152"/>
      <c r="H667" s="153"/>
      <c r="I667" s="153"/>
      <c r="J667" s="153"/>
      <c r="K667" s="153"/>
      <c r="L667" s="153"/>
      <c r="M667" s="152"/>
      <c r="N667" s="153"/>
      <c r="O667" s="153"/>
      <c r="P667" s="153"/>
      <c r="Q667" s="153"/>
      <c r="R667" s="153"/>
      <c r="S667" s="152"/>
      <c r="T667" s="153"/>
      <c r="U667" s="153"/>
      <c r="V667" s="153"/>
      <c r="W667" s="153"/>
      <c r="X667" s="153"/>
    </row>
    <row r="668" spans="1:24">
      <c r="A668" s="76"/>
      <c r="B668" s="77"/>
      <c r="C668" s="77"/>
      <c r="D668" s="77"/>
      <c r="E668" s="77"/>
      <c r="F668" s="77"/>
      <c r="G668" s="152"/>
      <c r="H668" s="153"/>
      <c r="I668" s="153"/>
      <c r="J668" s="153"/>
      <c r="K668" s="153"/>
      <c r="L668" s="153"/>
      <c r="M668" s="152"/>
      <c r="N668" s="153"/>
      <c r="O668" s="153"/>
      <c r="P668" s="153"/>
      <c r="Q668" s="153"/>
      <c r="R668" s="153"/>
      <c r="S668" s="152"/>
      <c r="T668" s="153"/>
      <c r="U668" s="153"/>
      <c r="V668" s="153"/>
      <c r="W668" s="153"/>
      <c r="X668" s="153"/>
    </row>
    <row r="669" spans="1:24">
      <c r="A669" s="76"/>
      <c r="B669" s="77"/>
      <c r="C669" s="77"/>
      <c r="D669" s="77"/>
      <c r="E669" s="77"/>
      <c r="F669" s="77"/>
      <c r="G669" s="152"/>
      <c r="H669" s="153"/>
      <c r="I669" s="153"/>
      <c r="J669" s="153"/>
      <c r="K669" s="153"/>
      <c r="L669" s="153"/>
      <c r="M669" s="152"/>
      <c r="N669" s="153"/>
      <c r="O669" s="153"/>
      <c r="P669" s="153"/>
      <c r="Q669" s="153"/>
      <c r="R669" s="153"/>
      <c r="S669" s="152"/>
      <c r="T669" s="153"/>
      <c r="U669" s="153"/>
      <c r="V669" s="153"/>
      <c r="W669" s="153"/>
      <c r="X669" s="153"/>
    </row>
    <row r="670" spans="1:24">
      <c r="A670" s="76"/>
      <c r="B670" s="77"/>
      <c r="C670" s="77"/>
      <c r="D670" s="77"/>
      <c r="E670" s="77"/>
      <c r="F670" s="77"/>
      <c r="G670" s="152"/>
      <c r="H670" s="153"/>
      <c r="I670" s="153"/>
      <c r="J670" s="153"/>
      <c r="K670" s="153"/>
      <c r="L670" s="153"/>
      <c r="M670" s="152"/>
      <c r="N670" s="153"/>
      <c r="O670" s="153"/>
      <c r="P670" s="153"/>
      <c r="Q670" s="153"/>
      <c r="R670" s="153"/>
      <c r="S670" s="152"/>
      <c r="T670" s="153"/>
      <c r="U670" s="153"/>
      <c r="V670" s="153"/>
      <c r="W670" s="153"/>
      <c r="X670" s="153"/>
    </row>
    <row r="671" spans="1:24">
      <c r="A671" s="76"/>
      <c r="B671" s="77"/>
      <c r="C671" s="77"/>
      <c r="D671" s="77"/>
      <c r="E671" s="77"/>
      <c r="F671" s="77"/>
      <c r="G671" s="152"/>
      <c r="H671" s="153"/>
      <c r="I671" s="153"/>
      <c r="J671" s="153"/>
      <c r="K671" s="153"/>
      <c r="L671" s="153"/>
      <c r="M671" s="152"/>
      <c r="N671" s="153"/>
      <c r="O671" s="153"/>
      <c r="P671" s="153"/>
      <c r="Q671" s="153"/>
      <c r="R671" s="153"/>
      <c r="S671" s="152"/>
      <c r="T671" s="153"/>
      <c r="U671" s="153"/>
      <c r="V671" s="153"/>
      <c r="W671" s="153"/>
      <c r="X671" s="153"/>
    </row>
    <row r="672" spans="1:24">
      <c r="A672" s="76"/>
      <c r="B672" s="77"/>
      <c r="C672" s="77"/>
      <c r="D672" s="77"/>
      <c r="E672" s="77"/>
      <c r="F672" s="77"/>
      <c r="G672" s="152"/>
      <c r="H672" s="153"/>
      <c r="I672" s="153"/>
      <c r="J672" s="153"/>
      <c r="K672" s="153"/>
      <c r="L672" s="153"/>
      <c r="M672" s="152"/>
      <c r="N672" s="153"/>
      <c r="O672" s="153"/>
      <c r="P672" s="153"/>
      <c r="Q672" s="153"/>
      <c r="R672" s="153"/>
      <c r="S672" s="152"/>
      <c r="T672" s="153"/>
      <c r="U672" s="153"/>
      <c r="V672" s="153"/>
      <c r="W672" s="153"/>
      <c r="X672" s="153"/>
    </row>
    <row r="673" spans="1:24">
      <c r="A673" s="76"/>
      <c r="B673" s="77"/>
      <c r="C673" s="77"/>
      <c r="D673" s="77"/>
      <c r="E673" s="77"/>
      <c r="F673" s="77"/>
      <c r="G673" s="152"/>
      <c r="H673" s="153"/>
      <c r="I673" s="153"/>
      <c r="J673" s="153"/>
      <c r="K673" s="153"/>
      <c r="L673" s="153"/>
      <c r="M673" s="152"/>
      <c r="N673" s="153"/>
      <c r="O673" s="153"/>
      <c r="P673" s="153"/>
      <c r="Q673" s="153"/>
      <c r="R673" s="153"/>
      <c r="S673" s="152"/>
      <c r="T673" s="153"/>
      <c r="U673" s="153"/>
      <c r="V673" s="153"/>
      <c r="W673" s="153"/>
      <c r="X673" s="153"/>
    </row>
    <row r="674" spans="1:24">
      <c r="A674" s="76"/>
      <c r="B674" s="77"/>
      <c r="C674" s="77"/>
      <c r="D674" s="77"/>
      <c r="E674" s="77"/>
      <c r="F674" s="77"/>
      <c r="G674" s="152"/>
      <c r="H674" s="153"/>
      <c r="I674" s="153"/>
      <c r="J674" s="153"/>
      <c r="K674" s="153"/>
      <c r="L674" s="153"/>
      <c r="M674" s="152"/>
      <c r="N674" s="153"/>
      <c r="O674" s="153"/>
      <c r="P674" s="153"/>
      <c r="Q674" s="153"/>
      <c r="R674" s="153"/>
      <c r="S674" s="152"/>
      <c r="T674" s="153"/>
      <c r="U674" s="153"/>
      <c r="V674" s="153"/>
      <c r="W674" s="153"/>
      <c r="X674" s="153"/>
    </row>
    <row r="675" spans="1:24">
      <c r="A675" s="76"/>
      <c r="B675" s="77"/>
      <c r="C675" s="77"/>
      <c r="D675" s="77"/>
      <c r="E675" s="77"/>
      <c r="F675" s="77"/>
      <c r="G675" s="152"/>
      <c r="H675" s="153"/>
      <c r="I675" s="153"/>
      <c r="J675" s="153"/>
      <c r="K675" s="153"/>
      <c r="L675" s="153"/>
      <c r="M675" s="152"/>
      <c r="N675" s="153"/>
      <c r="O675" s="153"/>
      <c r="P675" s="153"/>
      <c r="Q675" s="153"/>
      <c r="R675" s="153"/>
      <c r="S675" s="152"/>
      <c r="T675" s="153"/>
      <c r="U675" s="153"/>
      <c r="V675" s="153"/>
      <c r="W675" s="153"/>
      <c r="X675" s="153"/>
    </row>
    <row r="676" spans="1:24">
      <c r="A676" s="76"/>
      <c r="B676" s="77"/>
      <c r="C676" s="77"/>
      <c r="D676" s="77"/>
      <c r="E676" s="77"/>
      <c r="F676" s="77"/>
      <c r="G676" s="152"/>
      <c r="H676" s="153"/>
      <c r="I676" s="153"/>
      <c r="J676" s="153"/>
      <c r="K676" s="153"/>
      <c r="L676" s="153"/>
      <c r="M676" s="152"/>
      <c r="N676" s="153"/>
      <c r="O676" s="153"/>
      <c r="P676" s="153"/>
      <c r="Q676" s="153"/>
      <c r="R676" s="153"/>
      <c r="S676" s="152"/>
      <c r="T676" s="153"/>
      <c r="U676" s="153"/>
      <c r="V676" s="153"/>
      <c r="W676" s="153"/>
      <c r="X676" s="153"/>
    </row>
    <row r="677" spans="1:24">
      <c r="A677" s="76"/>
      <c r="B677" s="77"/>
      <c r="C677" s="77"/>
      <c r="D677" s="77"/>
      <c r="E677" s="77"/>
      <c r="F677" s="77"/>
      <c r="G677" s="152"/>
      <c r="H677" s="153"/>
      <c r="I677" s="153"/>
      <c r="J677" s="153"/>
      <c r="K677" s="153"/>
      <c r="L677" s="153"/>
      <c r="M677" s="152"/>
      <c r="N677" s="153"/>
      <c r="O677" s="153"/>
      <c r="P677" s="153"/>
      <c r="Q677" s="153"/>
      <c r="R677" s="153"/>
      <c r="S677" s="152"/>
      <c r="T677" s="153"/>
      <c r="U677" s="153"/>
      <c r="V677" s="153"/>
      <c r="W677" s="153"/>
      <c r="X677" s="153"/>
    </row>
    <row r="678" spans="1:24">
      <c r="A678" s="76"/>
      <c r="B678" s="77"/>
      <c r="C678" s="77"/>
      <c r="D678" s="77"/>
      <c r="E678" s="77"/>
      <c r="F678" s="77"/>
      <c r="G678" s="152"/>
      <c r="H678" s="153"/>
      <c r="I678" s="153"/>
      <c r="J678" s="153"/>
      <c r="K678" s="153"/>
      <c r="L678" s="153"/>
      <c r="M678" s="152"/>
      <c r="N678" s="153"/>
      <c r="O678" s="153"/>
      <c r="P678" s="153"/>
      <c r="Q678" s="153"/>
      <c r="R678" s="153"/>
      <c r="S678" s="152"/>
      <c r="T678" s="153"/>
      <c r="U678" s="153"/>
      <c r="V678" s="153"/>
      <c r="W678" s="153"/>
      <c r="X678" s="153"/>
    </row>
    <row r="679" spans="1:24">
      <c r="A679" s="76"/>
      <c r="B679" s="77"/>
      <c r="C679" s="77"/>
      <c r="D679" s="77"/>
      <c r="E679" s="77"/>
      <c r="F679" s="77"/>
      <c r="G679" s="152"/>
      <c r="H679" s="153"/>
      <c r="I679" s="153"/>
      <c r="J679" s="153"/>
      <c r="K679" s="153"/>
      <c r="L679" s="153"/>
      <c r="M679" s="152"/>
      <c r="N679" s="153"/>
      <c r="O679" s="153"/>
      <c r="P679" s="153"/>
      <c r="Q679" s="153"/>
      <c r="R679" s="153"/>
      <c r="S679" s="152"/>
      <c r="T679" s="153"/>
      <c r="U679" s="153"/>
      <c r="V679" s="153"/>
      <c r="W679" s="153"/>
      <c r="X679" s="153"/>
    </row>
    <row r="680" spans="1:24">
      <c r="A680" s="76"/>
      <c r="B680" s="77"/>
      <c r="C680" s="77"/>
      <c r="D680" s="77"/>
      <c r="E680" s="77"/>
      <c r="F680" s="77"/>
      <c r="G680" s="152"/>
      <c r="H680" s="153"/>
      <c r="I680" s="153"/>
      <c r="J680" s="153"/>
      <c r="K680" s="153"/>
      <c r="L680" s="153"/>
      <c r="M680" s="152"/>
      <c r="N680" s="153"/>
      <c r="O680" s="153"/>
      <c r="P680" s="153"/>
      <c r="Q680" s="153"/>
      <c r="R680" s="153"/>
      <c r="S680" s="152"/>
      <c r="T680" s="153"/>
      <c r="U680" s="153"/>
      <c r="V680" s="153"/>
      <c r="W680" s="153"/>
      <c r="X680" s="153"/>
    </row>
    <row r="681" spans="1:24">
      <c r="A681" s="76"/>
      <c r="B681" s="77"/>
      <c r="C681" s="77"/>
      <c r="D681" s="77"/>
      <c r="E681" s="77"/>
      <c r="F681" s="77"/>
      <c r="G681" s="152"/>
      <c r="H681" s="153"/>
      <c r="I681" s="153"/>
      <c r="J681" s="153"/>
      <c r="K681" s="153"/>
      <c r="L681" s="153"/>
      <c r="M681" s="152"/>
      <c r="N681" s="153"/>
      <c r="O681" s="153"/>
      <c r="P681" s="153"/>
      <c r="Q681" s="153"/>
      <c r="R681" s="153"/>
      <c r="S681" s="152"/>
      <c r="T681" s="153"/>
      <c r="U681" s="153"/>
      <c r="V681" s="153"/>
      <c r="W681" s="153"/>
      <c r="X681" s="153"/>
    </row>
    <row r="682" spans="1:24">
      <c r="A682" s="76"/>
      <c r="B682" s="77"/>
      <c r="C682" s="77"/>
      <c r="D682" s="77"/>
      <c r="E682" s="77"/>
      <c r="F682" s="77"/>
      <c r="G682" s="152"/>
      <c r="H682" s="153"/>
      <c r="I682" s="153"/>
      <c r="J682" s="153"/>
      <c r="K682" s="153"/>
      <c r="L682" s="153"/>
      <c r="M682" s="152"/>
      <c r="N682" s="153"/>
      <c r="O682" s="153"/>
      <c r="P682" s="153"/>
      <c r="Q682" s="153"/>
      <c r="R682" s="153"/>
      <c r="S682" s="152"/>
      <c r="T682" s="153"/>
      <c r="U682" s="153"/>
      <c r="V682" s="153"/>
      <c r="W682" s="153"/>
      <c r="X682" s="153"/>
    </row>
    <row r="683" spans="1:24">
      <c r="A683" s="76"/>
      <c r="B683" s="77"/>
      <c r="C683" s="77"/>
      <c r="D683" s="77"/>
      <c r="E683" s="77"/>
      <c r="F683" s="77"/>
      <c r="G683" s="152"/>
      <c r="H683" s="153"/>
      <c r="I683" s="153"/>
      <c r="J683" s="153"/>
      <c r="K683" s="153"/>
      <c r="L683" s="153"/>
      <c r="M683" s="152"/>
      <c r="N683" s="153"/>
      <c r="O683" s="153"/>
      <c r="P683" s="153"/>
      <c r="Q683" s="153"/>
      <c r="R683" s="153"/>
      <c r="S683" s="152"/>
      <c r="T683" s="153"/>
      <c r="U683" s="153"/>
      <c r="V683" s="153"/>
      <c r="W683" s="153"/>
      <c r="X683" s="153"/>
    </row>
    <row r="684" spans="1:24">
      <c r="A684" s="76"/>
      <c r="B684" s="77"/>
      <c r="C684" s="77"/>
      <c r="D684" s="77"/>
      <c r="E684" s="77"/>
      <c r="F684" s="77"/>
      <c r="G684" s="152"/>
      <c r="H684" s="153"/>
      <c r="I684" s="153"/>
      <c r="J684" s="153"/>
      <c r="K684" s="153"/>
      <c r="L684" s="153"/>
      <c r="M684" s="152"/>
      <c r="N684" s="153"/>
      <c r="O684" s="153"/>
      <c r="P684" s="153"/>
      <c r="Q684" s="153"/>
      <c r="R684" s="153"/>
      <c r="S684" s="152"/>
      <c r="T684" s="153"/>
      <c r="U684" s="153"/>
      <c r="V684" s="153"/>
      <c r="W684" s="153"/>
      <c r="X684" s="153"/>
    </row>
    <row r="685" spans="1:24">
      <c r="A685" s="76"/>
      <c r="B685" s="77"/>
      <c r="C685" s="77"/>
      <c r="D685" s="77"/>
      <c r="E685" s="77"/>
      <c r="F685" s="77"/>
      <c r="G685" s="152"/>
      <c r="H685" s="153"/>
      <c r="I685" s="153"/>
      <c r="J685" s="153"/>
      <c r="K685" s="153"/>
      <c r="L685" s="153"/>
      <c r="M685" s="152"/>
      <c r="N685" s="153"/>
      <c r="O685" s="153"/>
      <c r="P685" s="153"/>
      <c r="Q685" s="153"/>
      <c r="R685" s="153"/>
      <c r="S685" s="152"/>
      <c r="T685" s="153"/>
      <c r="U685" s="153"/>
      <c r="V685" s="153"/>
      <c r="W685" s="153"/>
      <c r="X685" s="153"/>
    </row>
    <row r="686" spans="1:24">
      <c r="A686" s="76"/>
      <c r="B686" s="77"/>
      <c r="C686" s="77"/>
      <c r="D686" s="77"/>
      <c r="E686" s="77"/>
      <c r="F686" s="77"/>
      <c r="G686" s="152"/>
      <c r="H686" s="153"/>
      <c r="I686" s="153"/>
      <c r="J686" s="153"/>
      <c r="K686" s="153"/>
      <c r="L686" s="153"/>
      <c r="M686" s="152"/>
      <c r="N686" s="153"/>
      <c r="O686" s="153"/>
      <c r="P686" s="153"/>
      <c r="Q686" s="153"/>
      <c r="R686" s="153"/>
      <c r="S686" s="152"/>
      <c r="T686" s="153"/>
      <c r="U686" s="153"/>
      <c r="V686" s="153"/>
      <c r="W686" s="153"/>
      <c r="X686" s="153"/>
    </row>
    <row r="687" spans="1:24">
      <c r="A687" s="76"/>
      <c r="B687" s="77"/>
      <c r="C687" s="77"/>
      <c r="D687" s="77"/>
      <c r="E687" s="77"/>
      <c r="F687" s="77"/>
      <c r="G687" s="152"/>
      <c r="H687" s="153"/>
      <c r="I687" s="153"/>
      <c r="J687" s="153"/>
      <c r="K687" s="153"/>
      <c r="L687" s="153"/>
      <c r="M687" s="152"/>
      <c r="N687" s="153"/>
      <c r="O687" s="153"/>
      <c r="P687" s="153"/>
      <c r="Q687" s="153"/>
      <c r="R687" s="153"/>
      <c r="S687" s="152"/>
      <c r="T687" s="153"/>
      <c r="U687" s="153"/>
      <c r="V687" s="153"/>
      <c r="W687" s="153"/>
      <c r="X687" s="153"/>
    </row>
    <row r="688" spans="1:24">
      <c r="A688" s="76"/>
      <c r="B688" s="77"/>
      <c r="C688" s="77"/>
      <c r="D688" s="77"/>
      <c r="E688" s="77"/>
      <c r="F688" s="77"/>
      <c r="G688" s="152"/>
      <c r="H688" s="153"/>
      <c r="I688" s="153"/>
      <c r="J688" s="153"/>
      <c r="K688" s="153"/>
      <c r="L688" s="153"/>
      <c r="M688" s="152"/>
      <c r="N688" s="153"/>
      <c r="O688" s="153"/>
      <c r="P688" s="153"/>
      <c r="Q688" s="153"/>
      <c r="R688" s="153"/>
      <c r="S688" s="152"/>
      <c r="T688" s="153"/>
      <c r="U688" s="153"/>
      <c r="V688" s="153"/>
      <c r="W688" s="153"/>
      <c r="X688" s="153"/>
    </row>
    <row r="689" spans="1:24">
      <c r="A689" s="76"/>
      <c r="B689" s="77"/>
      <c r="C689" s="77"/>
      <c r="D689" s="77"/>
      <c r="E689" s="77"/>
      <c r="F689" s="77"/>
      <c r="G689" s="152"/>
      <c r="H689" s="153"/>
      <c r="I689" s="153"/>
      <c r="J689" s="153"/>
      <c r="K689" s="153"/>
      <c r="L689" s="153"/>
      <c r="M689" s="152"/>
      <c r="N689" s="153"/>
      <c r="O689" s="153"/>
      <c r="P689" s="153"/>
      <c r="Q689" s="153"/>
      <c r="R689" s="153"/>
      <c r="S689" s="152"/>
      <c r="T689" s="153"/>
      <c r="U689" s="153"/>
      <c r="V689" s="153"/>
      <c r="W689" s="153"/>
      <c r="X689" s="153"/>
    </row>
    <row r="690" spans="1:24">
      <c r="A690" s="76"/>
      <c r="B690" s="77"/>
      <c r="C690" s="77"/>
      <c r="D690" s="77"/>
      <c r="E690" s="77"/>
      <c r="F690" s="77"/>
      <c r="G690" s="152"/>
      <c r="H690" s="153"/>
      <c r="I690" s="153"/>
      <c r="J690" s="153"/>
      <c r="K690" s="153"/>
      <c r="L690" s="153"/>
      <c r="M690" s="152"/>
      <c r="N690" s="153"/>
      <c r="O690" s="153"/>
      <c r="P690" s="153"/>
      <c r="Q690" s="153"/>
      <c r="R690" s="153"/>
      <c r="S690" s="152"/>
      <c r="T690" s="153"/>
      <c r="U690" s="153"/>
      <c r="V690" s="153"/>
      <c r="W690" s="153"/>
      <c r="X690" s="153"/>
    </row>
    <row r="691" spans="1:24">
      <c r="A691" s="76"/>
      <c r="B691" s="77"/>
      <c r="C691" s="77"/>
      <c r="D691" s="77"/>
      <c r="E691" s="77"/>
      <c r="F691" s="77"/>
      <c r="G691" s="152"/>
      <c r="H691" s="153"/>
      <c r="I691" s="153"/>
      <c r="J691" s="153"/>
      <c r="K691" s="153"/>
      <c r="L691" s="153"/>
      <c r="M691" s="152"/>
      <c r="N691" s="153"/>
      <c r="O691" s="153"/>
      <c r="P691" s="153"/>
      <c r="Q691" s="153"/>
      <c r="R691" s="153"/>
      <c r="S691" s="152"/>
      <c r="T691" s="153"/>
      <c r="U691" s="153"/>
      <c r="V691" s="153"/>
      <c r="W691" s="153"/>
      <c r="X691" s="153"/>
    </row>
    <row r="692" spans="1:24">
      <c r="A692" s="76"/>
      <c r="B692" s="77"/>
      <c r="C692" s="77"/>
      <c r="D692" s="77"/>
      <c r="E692" s="77"/>
      <c r="F692" s="77"/>
      <c r="G692" s="152"/>
      <c r="H692" s="153"/>
      <c r="I692" s="153"/>
      <c r="J692" s="153"/>
      <c r="K692" s="153"/>
      <c r="L692" s="153"/>
      <c r="M692" s="152"/>
      <c r="N692" s="153"/>
      <c r="O692" s="153"/>
      <c r="P692" s="153"/>
      <c r="Q692" s="153"/>
      <c r="R692" s="153"/>
      <c r="S692" s="152"/>
      <c r="T692" s="153"/>
      <c r="U692" s="153"/>
      <c r="V692" s="153"/>
      <c r="W692" s="153"/>
      <c r="X692" s="153"/>
    </row>
    <row r="693" spans="1:24">
      <c r="A693" s="76"/>
      <c r="B693" s="77"/>
      <c r="C693" s="77"/>
      <c r="D693" s="77"/>
      <c r="E693" s="77"/>
      <c r="F693" s="77"/>
      <c r="G693" s="152"/>
      <c r="H693" s="153"/>
      <c r="I693" s="153"/>
      <c r="J693" s="153"/>
      <c r="K693" s="153"/>
      <c r="L693" s="153"/>
      <c r="M693" s="152"/>
      <c r="N693" s="153"/>
      <c r="O693" s="153"/>
      <c r="P693" s="153"/>
      <c r="Q693" s="153"/>
      <c r="R693" s="153"/>
      <c r="S693" s="152"/>
      <c r="T693" s="153"/>
      <c r="U693" s="153"/>
      <c r="V693" s="153"/>
      <c r="W693" s="153"/>
      <c r="X693" s="153"/>
    </row>
    <row r="694" spans="1:24">
      <c r="A694" s="76"/>
      <c r="B694" s="77"/>
      <c r="C694" s="77"/>
      <c r="D694" s="77"/>
      <c r="E694" s="77"/>
      <c r="F694" s="77"/>
      <c r="G694" s="152"/>
      <c r="H694" s="153"/>
      <c r="I694" s="153"/>
      <c r="J694" s="153"/>
      <c r="K694" s="153"/>
      <c r="L694" s="153"/>
      <c r="M694" s="152"/>
      <c r="N694" s="153"/>
      <c r="O694" s="153"/>
      <c r="P694" s="153"/>
      <c r="Q694" s="153"/>
      <c r="R694" s="153"/>
      <c r="S694" s="152"/>
      <c r="T694" s="153"/>
      <c r="U694" s="153"/>
      <c r="V694" s="153"/>
      <c r="W694" s="153"/>
      <c r="X694" s="153"/>
    </row>
    <row r="695" spans="1:24">
      <c r="A695" s="76"/>
      <c r="B695" s="77"/>
      <c r="C695" s="77"/>
      <c r="D695" s="77"/>
      <c r="E695" s="77"/>
      <c r="F695" s="77"/>
      <c r="G695" s="152"/>
      <c r="H695" s="153"/>
      <c r="I695" s="153"/>
      <c r="J695" s="153"/>
      <c r="K695" s="153"/>
      <c r="L695" s="153"/>
      <c r="M695" s="152"/>
      <c r="N695" s="153"/>
      <c r="O695" s="153"/>
      <c r="P695" s="153"/>
      <c r="Q695" s="153"/>
      <c r="R695" s="153"/>
      <c r="S695" s="152"/>
      <c r="T695" s="153"/>
      <c r="U695" s="153"/>
      <c r="V695" s="153"/>
      <c r="W695" s="153"/>
      <c r="X695" s="153"/>
    </row>
    <row r="696" spans="1:24">
      <c r="A696" s="76"/>
      <c r="B696" s="77"/>
      <c r="C696" s="77"/>
      <c r="D696" s="77"/>
      <c r="E696" s="77"/>
      <c r="F696" s="77"/>
      <c r="G696" s="152"/>
      <c r="H696" s="153"/>
      <c r="I696" s="153"/>
      <c r="J696" s="153"/>
      <c r="K696" s="153"/>
      <c r="L696" s="153"/>
      <c r="M696" s="152"/>
      <c r="N696" s="153"/>
      <c r="O696" s="153"/>
      <c r="P696" s="153"/>
      <c r="Q696" s="153"/>
      <c r="R696" s="153"/>
      <c r="S696" s="152"/>
      <c r="T696" s="153"/>
      <c r="U696" s="153"/>
      <c r="V696" s="153"/>
      <c r="W696" s="153"/>
      <c r="X696" s="153"/>
    </row>
    <row r="697" spans="1:24">
      <c r="A697" s="76"/>
      <c r="B697" s="77"/>
      <c r="C697" s="77"/>
      <c r="D697" s="77"/>
      <c r="E697" s="77"/>
      <c r="F697" s="77"/>
      <c r="G697" s="152"/>
      <c r="H697" s="153"/>
      <c r="I697" s="153"/>
      <c r="J697" s="153"/>
      <c r="K697" s="153"/>
      <c r="L697" s="153"/>
      <c r="M697" s="152"/>
      <c r="N697" s="153"/>
      <c r="O697" s="153"/>
      <c r="P697" s="153"/>
      <c r="Q697" s="153"/>
      <c r="R697" s="153"/>
      <c r="S697" s="152"/>
      <c r="T697" s="153"/>
      <c r="U697" s="153"/>
      <c r="V697" s="153"/>
      <c r="W697" s="153"/>
      <c r="X697" s="153"/>
    </row>
    <row r="698" spans="1:24">
      <c r="A698" s="76"/>
      <c r="B698" s="77"/>
      <c r="C698" s="77"/>
      <c r="D698" s="77"/>
      <c r="E698" s="77"/>
      <c r="F698" s="77"/>
      <c r="G698" s="152"/>
      <c r="H698" s="153"/>
      <c r="I698" s="153"/>
      <c r="J698" s="153"/>
      <c r="K698" s="153"/>
      <c r="L698" s="153"/>
      <c r="M698" s="152"/>
      <c r="N698" s="153"/>
      <c r="O698" s="153"/>
      <c r="P698" s="153"/>
      <c r="Q698" s="153"/>
      <c r="R698" s="153"/>
      <c r="S698" s="152"/>
      <c r="T698" s="153"/>
      <c r="U698" s="153"/>
      <c r="V698" s="153"/>
      <c r="W698" s="153"/>
      <c r="X698" s="153"/>
    </row>
    <row r="699" spans="1:24">
      <c r="A699" s="76"/>
      <c r="B699" s="77"/>
      <c r="C699" s="77"/>
      <c r="D699" s="77"/>
      <c r="E699" s="77"/>
      <c r="F699" s="77"/>
      <c r="G699" s="152"/>
      <c r="H699" s="153"/>
      <c r="I699" s="153"/>
      <c r="J699" s="153"/>
      <c r="K699" s="153"/>
      <c r="L699" s="153"/>
      <c r="M699" s="152"/>
      <c r="N699" s="153"/>
      <c r="O699" s="153"/>
      <c r="P699" s="153"/>
      <c r="Q699" s="153"/>
      <c r="R699" s="153"/>
      <c r="S699" s="152"/>
      <c r="T699" s="153"/>
      <c r="U699" s="153"/>
      <c r="V699" s="153"/>
      <c r="W699" s="153"/>
      <c r="X699" s="153"/>
    </row>
    <row r="700" spans="1:24">
      <c r="A700" s="76"/>
      <c r="B700" s="77"/>
      <c r="C700" s="77"/>
      <c r="D700" s="77"/>
      <c r="E700" s="77"/>
      <c r="F700" s="77"/>
      <c r="G700" s="152"/>
      <c r="H700" s="153"/>
      <c r="I700" s="153"/>
      <c r="J700" s="153"/>
      <c r="K700" s="153"/>
      <c r="L700" s="153"/>
      <c r="M700" s="152"/>
      <c r="N700" s="153"/>
      <c r="O700" s="153"/>
      <c r="P700" s="153"/>
      <c r="Q700" s="153"/>
      <c r="R700" s="153"/>
      <c r="S700" s="152"/>
      <c r="T700" s="153"/>
      <c r="U700" s="153"/>
      <c r="V700" s="153"/>
      <c r="W700" s="153"/>
      <c r="X700" s="153"/>
    </row>
    <row r="701" spans="1:24">
      <c r="A701" s="76"/>
      <c r="B701" s="77"/>
      <c r="C701" s="77"/>
      <c r="D701" s="77"/>
      <c r="E701" s="77"/>
      <c r="F701" s="77"/>
      <c r="G701" s="152"/>
      <c r="H701" s="153"/>
      <c r="I701" s="153"/>
      <c r="J701" s="153"/>
      <c r="K701" s="153"/>
      <c r="L701" s="153"/>
      <c r="M701" s="152"/>
      <c r="N701" s="153"/>
      <c r="O701" s="153"/>
      <c r="P701" s="153"/>
      <c r="Q701" s="153"/>
      <c r="R701" s="153"/>
      <c r="S701" s="152"/>
      <c r="T701" s="153"/>
      <c r="U701" s="153"/>
      <c r="V701" s="153"/>
      <c r="W701" s="153"/>
      <c r="X701" s="153"/>
    </row>
    <row r="702" spans="1:24">
      <c r="A702" s="76"/>
      <c r="B702" s="77"/>
      <c r="C702" s="77"/>
      <c r="D702" s="77"/>
      <c r="E702" s="77"/>
      <c r="F702" s="77"/>
      <c r="G702" s="152"/>
      <c r="H702" s="153"/>
      <c r="I702" s="153"/>
      <c r="J702" s="153"/>
      <c r="K702" s="153"/>
      <c r="L702" s="153"/>
      <c r="M702" s="152"/>
      <c r="N702" s="153"/>
      <c r="O702" s="153"/>
      <c r="P702" s="153"/>
      <c r="Q702" s="153"/>
      <c r="R702" s="153"/>
      <c r="S702" s="152"/>
      <c r="T702" s="153"/>
      <c r="U702" s="153"/>
      <c r="V702" s="153"/>
      <c r="W702" s="153"/>
      <c r="X702" s="153"/>
    </row>
    <row r="703" spans="1:24">
      <c r="A703" s="76"/>
      <c r="B703" s="77"/>
      <c r="C703" s="77"/>
      <c r="D703" s="77"/>
      <c r="E703" s="77"/>
      <c r="F703" s="77"/>
      <c r="G703" s="152"/>
      <c r="H703" s="153"/>
      <c r="I703" s="153"/>
      <c r="J703" s="153"/>
      <c r="K703" s="153"/>
      <c r="L703" s="153"/>
      <c r="M703" s="152"/>
      <c r="N703" s="153"/>
      <c r="O703" s="153"/>
      <c r="P703" s="153"/>
      <c r="Q703" s="153"/>
      <c r="R703" s="153"/>
      <c r="S703" s="152"/>
      <c r="T703" s="153"/>
      <c r="U703" s="153"/>
      <c r="V703" s="153"/>
      <c r="W703" s="153"/>
      <c r="X703" s="153"/>
    </row>
    <row r="704" spans="1:24">
      <c r="A704" s="76"/>
      <c r="B704" s="77"/>
      <c r="C704" s="77"/>
      <c r="D704" s="77"/>
      <c r="E704" s="77"/>
      <c r="F704" s="77"/>
      <c r="G704" s="152"/>
      <c r="H704" s="153"/>
      <c r="I704" s="153"/>
      <c r="J704" s="153"/>
      <c r="K704" s="153"/>
      <c r="L704" s="153"/>
      <c r="M704" s="152"/>
      <c r="N704" s="153"/>
      <c r="O704" s="153"/>
      <c r="P704" s="153"/>
      <c r="Q704" s="153"/>
      <c r="R704" s="153"/>
      <c r="S704" s="152"/>
      <c r="T704" s="153"/>
      <c r="U704" s="153"/>
      <c r="V704" s="153"/>
      <c r="W704" s="153"/>
      <c r="X704" s="153"/>
    </row>
    <row r="705" spans="1:24">
      <c r="A705" s="76"/>
      <c r="B705" s="77"/>
      <c r="C705" s="77"/>
      <c r="D705" s="77"/>
      <c r="E705" s="77"/>
      <c r="F705" s="77"/>
      <c r="G705" s="152"/>
      <c r="H705" s="153"/>
      <c r="I705" s="153"/>
      <c r="J705" s="153"/>
      <c r="K705" s="153"/>
      <c r="L705" s="153"/>
      <c r="M705" s="152"/>
      <c r="N705" s="153"/>
      <c r="O705" s="153"/>
      <c r="P705" s="153"/>
      <c r="Q705" s="153"/>
      <c r="R705" s="153"/>
      <c r="S705" s="152"/>
      <c r="T705" s="153"/>
      <c r="U705" s="153"/>
      <c r="V705" s="153"/>
      <c r="W705" s="153"/>
      <c r="X705" s="153"/>
    </row>
    <row r="706" spans="1:24">
      <c r="A706" s="76"/>
      <c r="B706" s="77"/>
      <c r="C706" s="77"/>
      <c r="D706" s="77"/>
      <c r="E706" s="77"/>
      <c r="F706" s="77"/>
      <c r="G706" s="152"/>
      <c r="H706" s="153"/>
      <c r="I706" s="153"/>
      <c r="J706" s="153"/>
      <c r="K706" s="153"/>
      <c r="L706" s="153"/>
      <c r="M706" s="152"/>
      <c r="N706" s="153"/>
      <c r="O706" s="153"/>
      <c r="P706" s="153"/>
      <c r="Q706" s="153"/>
      <c r="R706" s="153"/>
      <c r="S706" s="152"/>
      <c r="T706" s="153"/>
      <c r="U706" s="153"/>
      <c r="V706" s="153"/>
      <c r="W706" s="153"/>
      <c r="X706" s="153"/>
    </row>
    <row r="707" spans="1:24">
      <c r="A707" s="76"/>
      <c r="B707" s="77"/>
      <c r="C707" s="77"/>
      <c r="D707" s="77"/>
      <c r="E707" s="77"/>
      <c r="F707" s="77"/>
      <c r="G707" s="152"/>
      <c r="H707" s="153"/>
      <c r="I707" s="153"/>
      <c r="J707" s="153"/>
      <c r="K707" s="153"/>
      <c r="L707" s="153"/>
      <c r="M707" s="152"/>
      <c r="N707" s="153"/>
      <c r="O707" s="153"/>
      <c r="P707" s="153"/>
      <c r="Q707" s="153"/>
      <c r="R707" s="153"/>
      <c r="S707" s="152"/>
      <c r="T707" s="153"/>
      <c r="U707" s="153"/>
      <c r="V707" s="153"/>
      <c r="W707" s="153"/>
      <c r="X707" s="153"/>
    </row>
    <row r="708" spans="1:24">
      <c r="A708" s="76"/>
      <c r="B708" s="77"/>
      <c r="C708" s="77"/>
      <c r="D708" s="77"/>
      <c r="E708" s="77"/>
      <c r="F708" s="77"/>
      <c r="G708" s="152"/>
      <c r="H708" s="153"/>
      <c r="I708" s="153"/>
      <c r="J708" s="153"/>
      <c r="K708" s="153"/>
      <c r="L708" s="153"/>
      <c r="M708" s="152"/>
      <c r="N708" s="153"/>
      <c r="O708" s="153"/>
      <c r="P708" s="153"/>
      <c r="Q708" s="153"/>
      <c r="R708" s="153"/>
      <c r="S708" s="152"/>
      <c r="T708" s="153"/>
      <c r="U708" s="153"/>
      <c r="V708" s="153"/>
      <c r="W708" s="153"/>
      <c r="X708" s="153"/>
    </row>
    <row r="709" spans="1:24">
      <c r="A709" s="76"/>
      <c r="B709" s="77"/>
      <c r="C709" s="77"/>
      <c r="D709" s="77"/>
      <c r="E709" s="77"/>
      <c r="F709" s="77"/>
      <c r="G709" s="152"/>
      <c r="H709" s="153"/>
      <c r="I709" s="153"/>
      <c r="J709" s="153"/>
      <c r="K709" s="153"/>
      <c r="L709" s="153"/>
      <c r="M709" s="152"/>
      <c r="N709" s="153"/>
      <c r="O709" s="153"/>
      <c r="P709" s="153"/>
      <c r="Q709" s="153"/>
      <c r="R709" s="153"/>
      <c r="S709" s="152"/>
      <c r="T709" s="153"/>
      <c r="U709" s="153"/>
      <c r="V709" s="153"/>
      <c r="W709" s="153"/>
      <c r="X709" s="153"/>
    </row>
    <row r="710" spans="1:24">
      <c r="A710" s="76"/>
      <c r="B710" s="77"/>
      <c r="C710" s="77"/>
      <c r="D710" s="77"/>
      <c r="E710" s="77"/>
      <c r="F710" s="77"/>
      <c r="G710" s="152"/>
      <c r="H710" s="153"/>
      <c r="I710" s="153"/>
      <c r="J710" s="153"/>
      <c r="K710" s="153"/>
      <c r="L710" s="153"/>
      <c r="M710" s="152"/>
      <c r="N710" s="153"/>
      <c r="O710" s="153"/>
      <c r="P710" s="153"/>
      <c r="Q710" s="153"/>
      <c r="R710" s="153"/>
      <c r="S710" s="152"/>
      <c r="T710" s="153"/>
      <c r="U710" s="153"/>
      <c r="V710" s="153"/>
      <c r="W710" s="153"/>
      <c r="X710" s="153"/>
    </row>
    <row r="711" spans="1:24">
      <c r="A711" s="76"/>
      <c r="B711" s="77"/>
      <c r="C711" s="77"/>
      <c r="D711" s="77"/>
      <c r="E711" s="77"/>
      <c r="F711" s="77"/>
      <c r="G711" s="152"/>
      <c r="H711" s="153"/>
      <c r="I711" s="153"/>
      <c r="J711" s="153"/>
      <c r="K711" s="153"/>
      <c r="L711" s="153"/>
      <c r="M711" s="152"/>
      <c r="N711" s="153"/>
      <c r="O711" s="153"/>
      <c r="P711" s="153"/>
      <c r="Q711" s="153"/>
      <c r="R711" s="153"/>
      <c r="S711" s="152"/>
      <c r="T711" s="153"/>
      <c r="U711" s="153"/>
      <c r="V711" s="153"/>
      <c r="W711" s="153"/>
      <c r="X711" s="153"/>
    </row>
    <row r="712" spans="1:24">
      <c r="A712" s="76"/>
      <c r="B712" s="77"/>
      <c r="C712" s="77"/>
      <c r="D712" s="77"/>
      <c r="E712" s="77"/>
      <c r="F712" s="77"/>
      <c r="G712" s="152"/>
      <c r="H712" s="153"/>
      <c r="I712" s="153"/>
      <c r="J712" s="153"/>
      <c r="K712" s="153"/>
      <c r="L712" s="153"/>
      <c r="M712" s="152"/>
      <c r="N712" s="153"/>
      <c r="O712" s="153"/>
      <c r="P712" s="153"/>
      <c r="Q712" s="153"/>
      <c r="R712" s="153"/>
      <c r="S712" s="152"/>
      <c r="T712" s="153"/>
      <c r="U712" s="153"/>
      <c r="V712" s="153"/>
      <c r="W712" s="153"/>
      <c r="X712" s="153"/>
    </row>
    <row r="713" spans="1:24">
      <c r="A713" s="76"/>
      <c r="B713" s="77"/>
      <c r="C713" s="77"/>
      <c r="D713" s="77"/>
      <c r="E713" s="77"/>
      <c r="F713" s="77"/>
      <c r="G713" s="152"/>
      <c r="H713" s="153"/>
      <c r="I713" s="153"/>
      <c r="J713" s="153"/>
      <c r="K713" s="153"/>
      <c r="L713" s="153"/>
      <c r="M713" s="152"/>
      <c r="N713" s="153"/>
      <c r="O713" s="153"/>
      <c r="P713" s="153"/>
      <c r="Q713" s="153"/>
      <c r="R713" s="153"/>
      <c r="S713" s="152"/>
      <c r="T713" s="153"/>
      <c r="U713" s="153"/>
      <c r="V713" s="153"/>
      <c r="W713" s="153"/>
      <c r="X713" s="153"/>
    </row>
    <row r="714" spans="1:24">
      <c r="A714" s="76"/>
      <c r="B714" s="77"/>
      <c r="C714" s="77"/>
      <c r="D714" s="77"/>
      <c r="E714" s="77"/>
      <c r="F714" s="77"/>
      <c r="G714" s="152"/>
      <c r="H714" s="153"/>
      <c r="I714" s="153"/>
      <c r="J714" s="153"/>
      <c r="K714" s="153"/>
      <c r="L714" s="153"/>
      <c r="M714" s="152"/>
      <c r="N714" s="153"/>
      <c r="O714" s="153"/>
      <c r="P714" s="153"/>
      <c r="Q714" s="153"/>
      <c r="R714" s="153"/>
      <c r="S714" s="152"/>
      <c r="T714" s="153"/>
      <c r="U714" s="153"/>
      <c r="V714" s="153"/>
      <c r="W714" s="153"/>
      <c r="X714" s="153"/>
    </row>
    <row r="715" spans="1:24">
      <c r="A715" s="76"/>
      <c r="B715" s="77"/>
      <c r="C715" s="77"/>
      <c r="D715" s="77"/>
      <c r="E715" s="77"/>
      <c r="F715" s="77"/>
      <c r="G715" s="152"/>
      <c r="H715" s="153"/>
      <c r="I715" s="153"/>
      <c r="J715" s="153"/>
      <c r="K715" s="153"/>
      <c r="L715" s="153"/>
      <c r="M715" s="152"/>
      <c r="N715" s="153"/>
      <c r="O715" s="153"/>
      <c r="P715" s="153"/>
      <c r="Q715" s="153"/>
      <c r="R715" s="153"/>
      <c r="S715" s="152"/>
      <c r="T715" s="153"/>
      <c r="U715" s="153"/>
      <c r="V715" s="153"/>
      <c r="W715" s="153"/>
      <c r="X715" s="153"/>
    </row>
    <row r="716" spans="1:24">
      <c r="A716" s="76"/>
      <c r="B716" s="77"/>
      <c r="C716" s="77"/>
      <c r="D716" s="77"/>
      <c r="E716" s="77"/>
      <c r="F716" s="77"/>
      <c r="G716" s="152"/>
      <c r="H716" s="153"/>
      <c r="I716" s="153"/>
      <c r="J716" s="153"/>
      <c r="K716" s="153"/>
      <c r="L716" s="153"/>
      <c r="M716" s="152"/>
      <c r="N716" s="153"/>
      <c r="O716" s="153"/>
      <c r="P716" s="153"/>
      <c r="Q716" s="153"/>
      <c r="R716" s="153"/>
      <c r="S716" s="152"/>
      <c r="T716" s="153"/>
      <c r="U716" s="153"/>
      <c r="V716" s="153"/>
      <c r="W716" s="153"/>
      <c r="X716" s="153"/>
    </row>
    <row r="717" spans="1:24">
      <c r="A717" s="76"/>
      <c r="B717" s="77"/>
      <c r="C717" s="77"/>
      <c r="D717" s="77"/>
      <c r="E717" s="77"/>
      <c r="F717" s="77"/>
      <c r="G717" s="152"/>
      <c r="H717" s="153"/>
      <c r="I717" s="153"/>
      <c r="J717" s="153"/>
      <c r="K717" s="153"/>
      <c r="L717" s="153"/>
      <c r="M717" s="152"/>
      <c r="N717" s="153"/>
      <c r="O717" s="153"/>
      <c r="P717" s="153"/>
      <c r="Q717" s="153"/>
      <c r="R717" s="153"/>
      <c r="S717" s="152"/>
      <c r="T717" s="153"/>
      <c r="U717" s="153"/>
      <c r="V717" s="153"/>
      <c r="W717" s="153"/>
      <c r="X717" s="153"/>
    </row>
    <row r="718" spans="1:24">
      <c r="A718" s="76"/>
      <c r="B718" s="77"/>
      <c r="C718" s="77"/>
      <c r="D718" s="77"/>
      <c r="E718" s="77"/>
      <c r="F718" s="77"/>
      <c r="G718" s="152"/>
      <c r="H718" s="153"/>
      <c r="I718" s="153"/>
      <c r="J718" s="153"/>
      <c r="K718" s="153"/>
      <c r="L718" s="153"/>
      <c r="M718" s="152"/>
      <c r="N718" s="153"/>
      <c r="O718" s="153"/>
      <c r="P718" s="153"/>
      <c r="Q718" s="153"/>
      <c r="R718" s="153"/>
      <c r="S718" s="152"/>
      <c r="T718" s="153"/>
      <c r="U718" s="153"/>
      <c r="V718" s="153"/>
      <c r="W718" s="153"/>
      <c r="X718" s="153"/>
    </row>
    <row r="719" spans="1:24">
      <c r="A719" s="76"/>
      <c r="B719" s="77"/>
      <c r="C719" s="77"/>
      <c r="D719" s="77"/>
      <c r="E719" s="77"/>
      <c r="F719" s="77"/>
      <c r="G719" s="152"/>
      <c r="H719" s="153"/>
      <c r="I719" s="153"/>
      <c r="J719" s="153"/>
      <c r="K719" s="153"/>
      <c r="L719" s="153"/>
      <c r="M719" s="152"/>
      <c r="N719" s="153"/>
      <c r="O719" s="153"/>
      <c r="P719" s="153"/>
      <c r="Q719" s="153"/>
      <c r="R719" s="153"/>
      <c r="S719" s="152"/>
      <c r="T719" s="153"/>
      <c r="U719" s="153"/>
      <c r="V719" s="153"/>
      <c r="W719" s="153"/>
      <c r="X719" s="153"/>
    </row>
    <row r="720" spans="1:24">
      <c r="A720" s="76"/>
      <c r="B720" s="77"/>
      <c r="C720" s="77"/>
      <c r="D720" s="77"/>
      <c r="E720" s="77"/>
      <c r="F720" s="77"/>
      <c r="G720" s="152"/>
      <c r="H720" s="153"/>
      <c r="I720" s="153"/>
      <c r="J720" s="153"/>
      <c r="K720" s="153"/>
      <c r="L720" s="153"/>
      <c r="M720" s="152"/>
      <c r="N720" s="153"/>
      <c r="O720" s="153"/>
      <c r="P720" s="153"/>
      <c r="Q720" s="153"/>
      <c r="R720" s="153"/>
      <c r="S720" s="152"/>
      <c r="T720" s="153"/>
      <c r="U720" s="153"/>
      <c r="V720" s="153"/>
      <c r="W720" s="153"/>
      <c r="X720" s="153"/>
    </row>
    <row r="721" spans="1:24">
      <c r="A721" s="76"/>
      <c r="B721" s="77"/>
      <c r="C721" s="77"/>
      <c r="D721" s="77"/>
      <c r="E721" s="77"/>
      <c r="F721" s="77"/>
      <c r="G721" s="152"/>
      <c r="H721" s="153"/>
      <c r="I721" s="153"/>
      <c r="J721" s="153"/>
      <c r="K721" s="153"/>
      <c r="L721" s="153"/>
      <c r="M721" s="152"/>
      <c r="N721" s="153"/>
      <c r="O721" s="153"/>
      <c r="P721" s="153"/>
      <c r="Q721" s="153"/>
      <c r="R721" s="153"/>
      <c r="S721" s="152"/>
      <c r="T721" s="153"/>
      <c r="U721" s="153"/>
      <c r="V721" s="153"/>
      <c r="W721" s="153"/>
      <c r="X721" s="153"/>
    </row>
    <row r="722" spans="1:24">
      <c r="A722" s="76"/>
      <c r="B722" s="77"/>
      <c r="C722" s="77"/>
      <c r="D722" s="77"/>
      <c r="E722" s="77"/>
      <c r="F722" s="77"/>
      <c r="G722" s="152"/>
      <c r="H722" s="153"/>
      <c r="I722" s="153"/>
      <c r="J722" s="153"/>
      <c r="K722" s="153"/>
      <c r="L722" s="153"/>
      <c r="M722" s="152"/>
      <c r="N722" s="153"/>
      <c r="O722" s="153"/>
      <c r="P722" s="153"/>
      <c r="Q722" s="153"/>
      <c r="R722" s="153"/>
      <c r="S722" s="152"/>
      <c r="T722" s="153"/>
      <c r="U722" s="153"/>
      <c r="V722" s="153"/>
      <c r="W722" s="153"/>
      <c r="X722" s="153"/>
    </row>
    <row r="723" spans="1:24">
      <c r="A723" s="76"/>
      <c r="B723" s="77"/>
      <c r="C723" s="77"/>
      <c r="D723" s="77"/>
      <c r="E723" s="77"/>
      <c r="F723" s="77"/>
      <c r="G723" s="152"/>
      <c r="H723" s="153"/>
      <c r="I723" s="153"/>
      <c r="J723" s="153"/>
      <c r="K723" s="153"/>
      <c r="L723" s="153"/>
      <c r="M723" s="152"/>
      <c r="N723" s="153"/>
      <c r="O723" s="153"/>
      <c r="P723" s="153"/>
      <c r="Q723" s="153"/>
      <c r="R723" s="153"/>
      <c r="S723" s="152"/>
      <c r="T723" s="153"/>
      <c r="U723" s="153"/>
      <c r="V723" s="153"/>
      <c r="W723" s="153"/>
      <c r="X723" s="153"/>
    </row>
    <row r="724" spans="1:24">
      <c r="A724" s="76"/>
      <c r="B724" s="77"/>
      <c r="C724" s="77"/>
      <c r="D724" s="77"/>
      <c r="E724" s="77"/>
      <c r="F724" s="77"/>
      <c r="G724" s="152"/>
      <c r="H724" s="153"/>
      <c r="I724" s="153"/>
      <c r="J724" s="153"/>
      <c r="K724" s="153"/>
      <c r="L724" s="153"/>
      <c r="M724" s="152"/>
      <c r="N724" s="153"/>
      <c r="O724" s="153"/>
      <c r="P724" s="153"/>
      <c r="Q724" s="153"/>
      <c r="R724" s="153"/>
      <c r="S724" s="152"/>
      <c r="T724" s="153"/>
      <c r="U724" s="153"/>
      <c r="V724" s="153"/>
      <c r="W724" s="153"/>
      <c r="X724" s="153"/>
    </row>
    <row r="725" spans="1:24">
      <c r="A725" s="76"/>
      <c r="B725" s="77"/>
      <c r="C725" s="77"/>
      <c r="D725" s="77"/>
      <c r="E725" s="77"/>
      <c r="F725" s="77"/>
      <c r="G725" s="152"/>
      <c r="H725" s="153"/>
      <c r="I725" s="153"/>
      <c r="J725" s="153"/>
      <c r="K725" s="153"/>
      <c r="L725" s="153"/>
      <c r="M725" s="152"/>
      <c r="N725" s="153"/>
      <c r="O725" s="153"/>
      <c r="P725" s="153"/>
      <c r="Q725" s="153"/>
      <c r="R725" s="153"/>
      <c r="S725" s="152"/>
      <c r="T725" s="153"/>
      <c r="U725" s="153"/>
      <c r="V725" s="153"/>
      <c r="W725" s="153"/>
      <c r="X725" s="153"/>
    </row>
    <row r="726" spans="1:24">
      <c r="A726" s="76"/>
      <c r="B726" s="77"/>
      <c r="C726" s="77"/>
      <c r="D726" s="77"/>
      <c r="E726" s="77"/>
      <c r="F726" s="77"/>
      <c r="G726" s="152"/>
      <c r="H726" s="153"/>
      <c r="I726" s="153"/>
      <c r="J726" s="153"/>
      <c r="K726" s="153"/>
      <c r="L726" s="153"/>
      <c r="M726" s="152"/>
      <c r="N726" s="153"/>
      <c r="O726" s="153"/>
      <c r="P726" s="153"/>
      <c r="Q726" s="153"/>
      <c r="R726" s="153"/>
      <c r="S726" s="152"/>
      <c r="T726" s="153"/>
      <c r="U726" s="153"/>
      <c r="V726" s="153"/>
      <c r="W726" s="153"/>
      <c r="X726" s="153"/>
    </row>
    <row r="727" spans="1:24">
      <c r="A727" s="76"/>
      <c r="B727" s="77"/>
      <c r="C727" s="77"/>
      <c r="D727" s="77"/>
      <c r="E727" s="77"/>
      <c r="F727" s="77"/>
      <c r="G727" s="152"/>
      <c r="H727" s="153"/>
      <c r="I727" s="153"/>
      <c r="J727" s="153"/>
      <c r="K727" s="153"/>
      <c r="L727" s="153"/>
      <c r="M727" s="152"/>
      <c r="N727" s="153"/>
      <c r="O727" s="153"/>
      <c r="P727" s="153"/>
      <c r="Q727" s="153"/>
      <c r="R727" s="153"/>
      <c r="S727" s="152"/>
      <c r="T727" s="153"/>
      <c r="U727" s="153"/>
      <c r="V727" s="153"/>
      <c r="W727" s="153"/>
      <c r="X727" s="153"/>
    </row>
    <row r="728" spans="1:24">
      <c r="A728" s="76"/>
      <c r="B728" s="77"/>
      <c r="C728" s="77"/>
      <c r="D728" s="77"/>
      <c r="E728" s="77"/>
      <c r="F728" s="77"/>
      <c r="G728" s="152"/>
      <c r="H728" s="153"/>
      <c r="I728" s="153"/>
      <c r="J728" s="153"/>
      <c r="K728" s="153"/>
      <c r="L728" s="153"/>
      <c r="M728" s="152"/>
      <c r="N728" s="153"/>
      <c r="O728" s="153"/>
      <c r="P728" s="153"/>
      <c r="Q728" s="153"/>
      <c r="R728" s="153"/>
      <c r="S728" s="152"/>
      <c r="T728" s="153"/>
      <c r="U728" s="153"/>
      <c r="V728" s="153"/>
      <c r="W728" s="153"/>
      <c r="X728" s="153"/>
    </row>
    <row r="729" spans="1:24">
      <c r="A729" s="76"/>
      <c r="B729" s="77"/>
      <c r="C729" s="77"/>
      <c r="D729" s="77"/>
      <c r="E729" s="77"/>
      <c r="F729" s="77"/>
      <c r="G729" s="152"/>
      <c r="H729" s="153"/>
      <c r="I729" s="153"/>
      <c r="J729" s="153"/>
      <c r="K729" s="153"/>
      <c r="L729" s="153"/>
      <c r="M729" s="152"/>
      <c r="N729" s="153"/>
      <c r="O729" s="153"/>
      <c r="P729" s="153"/>
      <c r="Q729" s="153"/>
      <c r="R729" s="153"/>
      <c r="S729" s="152"/>
      <c r="T729" s="153"/>
      <c r="U729" s="153"/>
      <c r="V729" s="153"/>
      <c r="W729" s="153"/>
      <c r="X729" s="153"/>
    </row>
    <row r="730" spans="1:24">
      <c r="A730" s="76"/>
      <c r="B730" s="77"/>
      <c r="C730" s="77"/>
      <c r="D730" s="77"/>
      <c r="E730" s="77"/>
      <c r="F730" s="77"/>
      <c r="G730" s="152"/>
      <c r="H730" s="153"/>
      <c r="I730" s="153"/>
      <c r="J730" s="153"/>
      <c r="K730" s="153"/>
      <c r="L730" s="153"/>
      <c r="M730" s="152"/>
      <c r="N730" s="153"/>
      <c r="O730" s="153"/>
      <c r="P730" s="153"/>
      <c r="Q730" s="153"/>
      <c r="R730" s="153"/>
      <c r="S730" s="152"/>
      <c r="T730" s="153"/>
      <c r="U730" s="153"/>
      <c r="V730" s="153"/>
      <c r="W730" s="153"/>
      <c r="X730" s="153"/>
    </row>
    <row r="731" spans="1:24">
      <c r="A731" s="76"/>
      <c r="B731" s="77"/>
      <c r="C731" s="77"/>
      <c r="D731" s="77"/>
      <c r="E731" s="77"/>
      <c r="F731" s="77"/>
      <c r="G731" s="152"/>
      <c r="H731" s="153"/>
      <c r="I731" s="153"/>
      <c r="J731" s="153"/>
      <c r="K731" s="153"/>
      <c r="L731" s="153"/>
      <c r="M731" s="152"/>
      <c r="N731" s="153"/>
      <c r="O731" s="153"/>
      <c r="P731" s="153"/>
      <c r="Q731" s="153"/>
      <c r="R731" s="153"/>
      <c r="S731" s="152"/>
      <c r="T731" s="153"/>
      <c r="U731" s="153"/>
      <c r="V731" s="153"/>
      <c r="W731" s="153"/>
      <c r="X731" s="153"/>
    </row>
    <row r="732" spans="1:24">
      <c r="A732" s="76"/>
      <c r="B732" s="77"/>
      <c r="C732" s="77"/>
      <c r="D732" s="77"/>
      <c r="E732" s="77"/>
      <c r="F732" s="77"/>
      <c r="G732" s="152"/>
      <c r="H732" s="153"/>
      <c r="I732" s="153"/>
      <c r="J732" s="153"/>
      <c r="K732" s="153"/>
      <c r="L732" s="153"/>
      <c r="M732" s="152"/>
      <c r="N732" s="153"/>
      <c r="O732" s="153"/>
      <c r="P732" s="153"/>
      <c r="Q732" s="153"/>
      <c r="R732" s="153"/>
      <c r="S732" s="152"/>
      <c r="T732" s="153"/>
      <c r="U732" s="153"/>
      <c r="V732" s="153"/>
      <c r="W732" s="153"/>
      <c r="X732" s="153"/>
    </row>
    <row r="733" spans="1:24">
      <c r="A733" s="76"/>
      <c r="B733" s="77"/>
      <c r="C733" s="77"/>
      <c r="D733" s="77"/>
      <c r="E733" s="77"/>
      <c r="F733" s="77"/>
      <c r="G733" s="152"/>
      <c r="H733" s="153"/>
      <c r="I733" s="153"/>
      <c r="J733" s="153"/>
      <c r="K733" s="153"/>
      <c r="L733" s="153"/>
      <c r="M733" s="152"/>
      <c r="N733" s="153"/>
      <c r="O733" s="153"/>
      <c r="P733" s="153"/>
      <c r="Q733" s="153"/>
      <c r="R733" s="153"/>
      <c r="S733" s="152"/>
      <c r="T733" s="153"/>
      <c r="U733" s="153"/>
      <c r="V733" s="153"/>
      <c r="W733" s="153"/>
      <c r="X733" s="153"/>
    </row>
    <row r="734" spans="1:24">
      <c r="A734" s="76"/>
      <c r="B734" s="77"/>
      <c r="C734" s="77"/>
      <c r="D734" s="77"/>
      <c r="E734" s="77"/>
      <c r="F734" s="77"/>
      <c r="G734" s="152"/>
      <c r="H734" s="153"/>
      <c r="I734" s="153"/>
      <c r="J734" s="153"/>
      <c r="K734" s="153"/>
      <c r="L734" s="153"/>
      <c r="M734" s="152"/>
      <c r="N734" s="153"/>
      <c r="O734" s="153"/>
      <c r="P734" s="153"/>
      <c r="Q734" s="153"/>
      <c r="R734" s="153"/>
      <c r="S734" s="152"/>
      <c r="T734" s="153"/>
      <c r="U734" s="153"/>
      <c r="V734" s="153"/>
      <c r="W734" s="153"/>
      <c r="X734" s="153"/>
    </row>
    <row r="735" spans="1:24">
      <c r="A735" s="76"/>
      <c r="B735" s="77"/>
      <c r="C735" s="77"/>
      <c r="D735" s="77"/>
      <c r="E735" s="77"/>
      <c r="F735" s="77"/>
      <c r="G735" s="152"/>
      <c r="H735" s="153"/>
      <c r="I735" s="153"/>
      <c r="J735" s="153"/>
      <c r="K735" s="153"/>
      <c r="L735" s="153"/>
      <c r="M735" s="152"/>
      <c r="N735" s="153"/>
      <c r="O735" s="153"/>
      <c r="P735" s="153"/>
      <c r="Q735" s="153"/>
      <c r="R735" s="153"/>
      <c r="S735" s="152"/>
      <c r="T735" s="153"/>
      <c r="U735" s="153"/>
      <c r="V735" s="153"/>
      <c r="W735" s="153"/>
      <c r="X735" s="153"/>
    </row>
    <row r="736" spans="1:24">
      <c r="A736" s="76"/>
      <c r="B736" s="77"/>
      <c r="C736" s="77"/>
      <c r="D736" s="77"/>
      <c r="E736" s="77"/>
      <c r="F736" s="77"/>
      <c r="G736" s="152"/>
      <c r="H736" s="153"/>
      <c r="I736" s="153"/>
      <c r="J736" s="153"/>
      <c r="K736" s="153"/>
      <c r="L736" s="153"/>
      <c r="M736" s="152"/>
      <c r="N736" s="153"/>
      <c r="O736" s="153"/>
      <c r="P736" s="153"/>
      <c r="Q736" s="153"/>
      <c r="R736" s="153"/>
      <c r="S736" s="152"/>
      <c r="T736" s="153"/>
      <c r="U736" s="153"/>
      <c r="V736" s="153"/>
      <c r="W736" s="153"/>
      <c r="X736" s="153"/>
    </row>
    <row r="737" spans="1:24">
      <c r="A737" s="76"/>
      <c r="B737" s="77"/>
      <c r="C737" s="77"/>
      <c r="D737" s="77"/>
      <c r="E737" s="77"/>
      <c r="F737" s="77"/>
      <c r="G737" s="152"/>
      <c r="H737" s="153"/>
      <c r="I737" s="153"/>
      <c r="J737" s="153"/>
      <c r="K737" s="153"/>
      <c r="L737" s="153"/>
      <c r="M737" s="152"/>
      <c r="N737" s="153"/>
      <c r="O737" s="153"/>
      <c r="P737" s="153"/>
      <c r="Q737" s="153"/>
      <c r="R737" s="153"/>
      <c r="S737" s="152"/>
      <c r="T737" s="153"/>
      <c r="U737" s="153"/>
      <c r="V737" s="153"/>
      <c r="W737" s="153"/>
      <c r="X737" s="153"/>
    </row>
    <row r="738" spans="1:24">
      <c r="A738" s="76"/>
      <c r="B738" s="77"/>
      <c r="C738" s="77"/>
      <c r="D738" s="77"/>
      <c r="E738" s="77"/>
      <c r="F738" s="77"/>
      <c r="G738" s="152"/>
      <c r="H738" s="153"/>
      <c r="I738" s="153"/>
      <c r="J738" s="153"/>
      <c r="K738" s="153"/>
      <c r="L738" s="153"/>
      <c r="M738" s="152"/>
      <c r="N738" s="153"/>
      <c r="O738" s="153"/>
      <c r="P738" s="153"/>
      <c r="Q738" s="153"/>
      <c r="R738" s="153"/>
      <c r="S738" s="152"/>
      <c r="T738" s="153"/>
      <c r="U738" s="153"/>
      <c r="V738" s="153"/>
      <c r="W738" s="153"/>
      <c r="X738" s="153"/>
    </row>
    <row r="739" spans="1:24">
      <c r="A739" s="76"/>
      <c r="B739" s="77"/>
      <c r="C739" s="77"/>
      <c r="D739" s="77"/>
      <c r="E739" s="77"/>
      <c r="F739" s="77"/>
      <c r="G739" s="152"/>
      <c r="H739" s="153"/>
      <c r="I739" s="153"/>
      <c r="J739" s="153"/>
      <c r="K739" s="153"/>
      <c r="L739" s="153"/>
      <c r="M739" s="152"/>
      <c r="N739" s="153"/>
      <c r="O739" s="153"/>
      <c r="P739" s="153"/>
      <c r="Q739" s="153"/>
      <c r="R739" s="153"/>
      <c r="S739" s="152"/>
      <c r="T739" s="153"/>
      <c r="U739" s="153"/>
      <c r="V739" s="153"/>
      <c r="W739" s="153"/>
      <c r="X739" s="153"/>
    </row>
    <row r="740" spans="1:24">
      <c r="A740" s="76"/>
      <c r="B740" s="77"/>
      <c r="C740" s="77"/>
      <c r="D740" s="77"/>
      <c r="E740" s="77"/>
      <c r="F740" s="77"/>
      <c r="G740" s="152"/>
      <c r="H740" s="153"/>
      <c r="I740" s="153"/>
      <c r="J740" s="153"/>
      <c r="K740" s="153"/>
      <c r="L740" s="153"/>
      <c r="M740" s="152"/>
      <c r="N740" s="153"/>
      <c r="O740" s="153"/>
      <c r="P740" s="153"/>
      <c r="Q740" s="153"/>
      <c r="R740" s="153"/>
      <c r="S740" s="152"/>
      <c r="T740" s="153"/>
      <c r="U740" s="153"/>
      <c r="V740" s="153"/>
      <c r="W740" s="153"/>
      <c r="X740" s="153"/>
    </row>
    <row r="741" spans="1:24">
      <c r="A741" s="76"/>
      <c r="B741" s="77"/>
      <c r="C741" s="77"/>
      <c r="D741" s="77"/>
      <c r="E741" s="77"/>
      <c r="F741" s="77"/>
      <c r="G741" s="152"/>
      <c r="H741" s="153"/>
      <c r="I741" s="153"/>
      <c r="J741" s="153"/>
      <c r="K741" s="153"/>
      <c r="L741" s="153"/>
      <c r="M741" s="152"/>
      <c r="N741" s="153"/>
      <c r="O741" s="153"/>
      <c r="P741" s="153"/>
      <c r="Q741" s="153"/>
      <c r="R741" s="153"/>
      <c r="S741" s="152"/>
      <c r="T741" s="153"/>
      <c r="U741" s="153"/>
      <c r="V741" s="153"/>
      <c r="W741" s="153"/>
      <c r="X741" s="153"/>
    </row>
    <row r="742" spans="1:24">
      <c r="A742" s="76"/>
      <c r="B742" s="77"/>
      <c r="C742" s="77"/>
      <c r="D742" s="77"/>
      <c r="E742" s="77"/>
      <c r="F742" s="77"/>
      <c r="G742" s="152"/>
      <c r="H742" s="153"/>
      <c r="I742" s="153"/>
      <c r="J742" s="153"/>
      <c r="K742" s="153"/>
      <c r="L742" s="153"/>
      <c r="M742" s="152"/>
      <c r="N742" s="153"/>
      <c r="O742" s="153"/>
      <c r="P742" s="153"/>
      <c r="Q742" s="153"/>
      <c r="R742" s="153"/>
      <c r="S742" s="152"/>
      <c r="T742" s="153"/>
      <c r="U742" s="153"/>
      <c r="V742" s="153"/>
      <c r="W742" s="153"/>
      <c r="X742" s="153"/>
    </row>
    <row r="743" spans="1:24">
      <c r="A743" s="76"/>
      <c r="B743" s="77"/>
      <c r="C743" s="77"/>
      <c r="D743" s="77"/>
      <c r="E743" s="77"/>
      <c r="F743" s="77"/>
      <c r="G743" s="152"/>
      <c r="H743" s="153"/>
      <c r="I743" s="153"/>
      <c r="J743" s="153"/>
      <c r="K743" s="153"/>
      <c r="L743" s="153"/>
      <c r="M743" s="152"/>
      <c r="N743" s="153"/>
      <c r="O743" s="153"/>
      <c r="P743" s="153"/>
      <c r="Q743" s="153"/>
      <c r="R743" s="153"/>
      <c r="S743" s="152"/>
      <c r="T743" s="153"/>
      <c r="U743" s="153"/>
      <c r="V743" s="153"/>
      <c r="W743" s="153"/>
      <c r="X743" s="153"/>
    </row>
    <row r="744" spans="1:24">
      <c r="A744" s="76"/>
      <c r="B744" s="77"/>
      <c r="C744" s="77"/>
      <c r="D744" s="77"/>
      <c r="E744" s="77"/>
      <c r="F744" s="77"/>
      <c r="G744" s="152"/>
      <c r="H744" s="153"/>
      <c r="I744" s="153"/>
      <c r="J744" s="153"/>
      <c r="K744" s="153"/>
      <c r="L744" s="153"/>
      <c r="M744" s="152"/>
      <c r="N744" s="153"/>
      <c r="O744" s="153"/>
      <c r="P744" s="153"/>
      <c r="Q744" s="153"/>
      <c r="R744" s="153"/>
      <c r="S744" s="152"/>
      <c r="T744" s="153"/>
      <c r="U744" s="153"/>
      <c r="V744" s="153"/>
      <c r="W744" s="153"/>
      <c r="X744" s="153"/>
    </row>
    <row r="745" spans="1:24">
      <c r="A745" s="76"/>
      <c r="B745" s="77"/>
      <c r="C745" s="77"/>
      <c r="D745" s="77"/>
      <c r="E745" s="77"/>
      <c r="F745" s="77"/>
      <c r="G745" s="152"/>
      <c r="H745" s="153"/>
      <c r="I745" s="153"/>
      <c r="J745" s="153"/>
      <c r="K745" s="153"/>
      <c r="L745" s="153"/>
      <c r="M745" s="152"/>
      <c r="N745" s="153"/>
      <c r="O745" s="153"/>
      <c r="P745" s="153"/>
      <c r="Q745" s="153"/>
      <c r="R745" s="153"/>
      <c r="S745" s="152"/>
      <c r="T745" s="153"/>
      <c r="U745" s="153"/>
      <c r="V745" s="153"/>
      <c r="W745" s="153"/>
      <c r="X745" s="153"/>
    </row>
    <row r="746" spans="1:24">
      <c r="A746" s="76"/>
      <c r="B746" s="77"/>
      <c r="C746" s="77"/>
      <c r="D746" s="77"/>
      <c r="E746" s="77"/>
      <c r="F746" s="77"/>
      <c r="G746" s="152"/>
      <c r="H746" s="153"/>
      <c r="I746" s="153"/>
      <c r="J746" s="153"/>
      <c r="K746" s="153"/>
      <c r="L746" s="153"/>
      <c r="M746" s="152"/>
      <c r="N746" s="153"/>
      <c r="O746" s="153"/>
      <c r="P746" s="153"/>
      <c r="Q746" s="153"/>
      <c r="R746" s="153"/>
      <c r="S746" s="152"/>
      <c r="T746" s="153"/>
      <c r="U746" s="153"/>
      <c r="V746" s="153"/>
      <c r="W746" s="153"/>
      <c r="X746" s="153"/>
    </row>
    <row r="747" spans="1:24">
      <c r="A747" s="76"/>
      <c r="B747" s="77"/>
      <c r="C747" s="77"/>
      <c r="D747" s="77"/>
      <c r="E747" s="77"/>
      <c r="F747" s="77"/>
      <c r="G747" s="152"/>
      <c r="H747" s="153"/>
      <c r="I747" s="153"/>
      <c r="J747" s="153"/>
      <c r="K747" s="153"/>
      <c r="L747" s="153"/>
      <c r="M747" s="152"/>
      <c r="N747" s="153"/>
      <c r="O747" s="153"/>
      <c r="P747" s="153"/>
      <c r="Q747" s="153"/>
      <c r="R747" s="153"/>
      <c r="S747" s="152"/>
      <c r="T747" s="153"/>
      <c r="U747" s="153"/>
      <c r="V747" s="153"/>
      <c r="W747" s="153"/>
      <c r="X747" s="153"/>
    </row>
    <row r="748" spans="1:24">
      <c r="A748" s="76"/>
      <c r="B748" s="77"/>
      <c r="C748" s="77"/>
      <c r="D748" s="77"/>
      <c r="E748" s="77"/>
      <c r="F748" s="77"/>
      <c r="G748" s="152"/>
      <c r="H748" s="153"/>
      <c r="I748" s="153"/>
      <c r="J748" s="153"/>
      <c r="K748" s="153"/>
      <c r="L748" s="153"/>
      <c r="M748" s="152"/>
      <c r="N748" s="153"/>
      <c r="O748" s="153"/>
      <c r="P748" s="153"/>
      <c r="Q748" s="153"/>
      <c r="R748" s="153"/>
      <c r="S748" s="152"/>
      <c r="T748" s="153"/>
      <c r="U748" s="153"/>
      <c r="V748" s="153"/>
      <c r="W748" s="153"/>
      <c r="X748" s="153"/>
    </row>
    <row r="749" spans="1:24">
      <c r="A749" s="76"/>
      <c r="B749" s="77"/>
      <c r="C749" s="77"/>
      <c r="D749" s="77"/>
      <c r="E749" s="77"/>
      <c r="F749" s="77"/>
      <c r="G749" s="152"/>
      <c r="H749" s="153"/>
      <c r="I749" s="153"/>
      <c r="J749" s="153"/>
      <c r="K749" s="153"/>
      <c r="L749" s="153"/>
      <c r="M749" s="152"/>
      <c r="N749" s="153"/>
      <c r="O749" s="153"/>
      <c r="P749" s="153"/>
      <c r="Q749" s="153"/>
      <c r="R749" s="153"/>
      <c r="S749" s="152"/>
      <c r="T749" s="153"/>
      <c r="U749" s="153"/>
      <c r="V749" s="153"/>
      <c r="W749" s="153"/>
      <c r="X749" s="153"/>
    </row>
    <row r="750" spans="1:24">
      <c r="A750" s="76"/>
      <c r="B750" s="77"/>
      <c r="C750" s="77"/>
      <c r="D750" s="77"/>
      <c r="E750" s="77"/>
      <c r="F750" s="77"/>
      <c r="G750" s="152"/>
      <c r="H750" s="153"/>
      <c r="I750" s="153"/>
      <c r="J750" s="153"/>
      <c r="K750" s="153"/>
      <c r="L750" s="153"/>
      <c r="M750" s="152"/>
      <c r="N750" s="153"/>
      <c r="O750" s="153"/>
      <c r="P750" s="153"/>
      <c r="Q750" s="153"/>
      <c r="R750" s="153"/>
      <c r="S750" s="152"/>
      <c r="T750" s="153"/>
      <c r="U750" s="153"/>
      <c r="V750" s="153"/>
      <c r="W750" s="153"/>
      <c r="X750" s="153"/>
    </row>
    <row r="751" spans="1:24">
      <c r="A751" s="76"/>
      <c r="B751" s="77"/>
      <c r="C751" s="77"/>
      <c r="D751" s="77"/>
      <c r="E751" s="77"/>
      <c r="F751" s="77"/>
      <c r="G751" s="152"/>
      <c r="H751" s="153"/>
      <c r="I751" s="153"/>
      <c r="J751" s="153"/>
      <c r="K751" s="153"/>
      <c r="L751" s="153"/>
      <c r="M751" s="152"/>
      <c r="N751" s="153"/>
      <c r="O751" s="153"/>
      <c r="P751" s="153"/>
      <c r="Q751" s="153"/>
      <c r="R751" s="153"/>
      <c r="S751" s="152"/>
      <c r="T751" s="153"/>
      <c r="U751" s="153"/>
      <c r="V751" s="153"/>
      <c r="W751" s="153"/>
      <c r="X751" s="153"/>
    </row>
    <row r="752" spans="1:24">
      <c r="A752" s="76"/>
      <c r="B752" s="77"/>
      <c r="C752" s="77"/>
      <c r="D752" s="77"/>
      <c r="E752" s="77"/>
      <c r="F752" s="77"/>
      <c r="G752" s="152"/>
      <c r="H752" s="153"/>
      <c r="I752" s="153"/>
      <c r="J752" s="153"/>
      <c r="K752" s="153"/>
      <c r="L752" s="153"/>
      <c r="M752" s="152"/>
      <c r="N752" s="153"/>
      <c r="O752" s="153"/>
      <c r="P752" s="153"/>
      <c r="Q752" s="153"/>
      <c r="R752" s="153"/>
      <c r="S752" s="152"/>
      <c r="T752" s="153"/>
      <c r="U752" s="153"/>
      <c r="V752" s="153"/>
      <c r="W752" s="153"/>
      <c r="X752" s="153"/>
    </row>
    <row r="753" spans="1:24">
      <c r="A753" s="76"/>
      <c r="B753" s="77"/>
      <c r="C753" s="77"/>
      <c r="D753" s="77"/>
      <c r="E753" s="77"/>
      <c r="F753" s="77"/>
      <c r="G753" s="152"/>
      <c r="H753" s="153"/>
      <c r="I753" s="153"/>
      <c r="J753" s="153"/>
      <c r="K753" s="153"/>
      <c r="L753" s="153"/>
      <c r="M753" s="152"/>
      <c r="N753" s="153"/>
      <c r="O753" s="153"/>
      <c r="P753" s="153"/>
      <c r="Q753" s="153"/>
      <c r="R753" s="153"/>
      <c r="S753" s="152"/>
      <c r="T753" s="153"/>
      <c r="U753" s="153"/>
      <c r="V753" s="153"/>
      <c r="W753" s="153"/>
      <c r="X753" s="153"/>
    </row>
    <row r="754" spans="1:24">
      <c r="A754" s="76"/>
      <c r="B754" s="77"/>
      <c r="C754" s="77"/>
      <c r="D754" s="77"/>
      <c r="E754" s="77"/>
      <c r="F754" s="77"/>
      <c r="G754" s="152"/>
      <c r="H754" s="153"/>
      <c r="I754" s="153"/>
      <c r="J754" s="153"/>
      <c r="K754" s="153"/>
      <c r="L754" s="153"/>
      <c r="M754" s="152"/>
      <c r="N754" s="153"/>
      <c r="O754" s="153"/>
      <c r="P754" s="153"/>
      <c r="Q754" s="153"/>
      <c r="R754" s="153"/>
      <c r="S754" s="152"/>
      <c r="T754" s="153"/>
      <c r="U754" s="153"/>
      <c r="V754" s="153"/>
      <c r="W754" s="153"/>
      <c r="X754" s="153"/>
    </row>
    <row r="755" spans="1:24">
      <c r="A755" s="76"/>
      <c r="B755" s="77"/>
      <c r="C755" s="77"/>
      <c r="D755" s="77"/>
      <c r="E755" s="77"/>
      <c r="F755" s="77"/>
      <c r="G755" s="152"/>
      <c r="H755" s="153"/>
      <c r="I755" s="153"/>
      <c r="J755" s="153"/>
      <c r="K755" s="153"/>
      <c r="L755" s="153"/>
      <c r="M755" s="152"/>
      <c r="N755" s="153"/>
      <c r="O755" s="153"/>
      <c r="P755" s="153"/>
      <c r="Q755" s="153"/>
      <c r="R755" s="153"/>
      <c r="S755" s="152"/>
      <c r="T755" s="153"/>
      <c r="U755" s="153"/>
      <c r="V755" s="153"/>
      <c r="W755" s="153"/>
      <c r="X755" s="153"/>
    </row>
    <row r="756" spans="1:24">
      <c r="A756" s="76"/>
      <c r="B756" s="77"/>
      <c r="C756" s="77"/>
      <c r="D756" s="77"/>
      <c r="E756" s="77"/>
      <c r="F756" s="77"/>
      <c r="G756" s="152"/>
      <c r="H756" s="153"/>
      <c r="I756" s="153"/>
      <c r="J756" s="153"/>
      <c r="K756" s="153"/>
      <c r="L756" s="153"/>
      <c r="M756" s="152"/>
      <c r="N756" s="153"/>
      <c r="O756" s="153"/>
      <c r="P756" s="153"/>
      <c r="Q756" s="153"/>
      <c r="R756" s="153"/>
      <c r="S756" s="152"/>
      <c r="T756" s="153"/>
      <c r="U756" s="153"/>
      <c r="V756" s="153"/>
      <c r="W756" s="153"/>
      <c r="X756" s="153"/>
    </row>
    <row r="757" spans="1:24">
      <c r="A757" s="76"/>
      <c r="B757" s="77"/>
      <c r="C757" s="77"/>
      <c r="D757" s="77"/>
      <c r="E757" s="77"/>
      <c r="F757" s="77"/>
      <c r="G757" s="152"/>
      <c r="H757" s="153"/>
      <c r="I757" s="153"/>
      <c r="J757" s="153"/>
      <c r="K757" s="153"/>
      <c r="L757" s="153"/>
      <c r="M757" s="152"/>
      <c r="N757" s="153"/>
      <c r="O757" s="153"/>
      <c r="P757" s="153"/>
      <c r="Q757" s="153"/>
      <c r="R757" s="153"/>
      <c r="S757" s="152"/>
      <c r="T757" s="153"/>
      <c r="U757" s="153"/>
      <c r="V757" s="153"/>
      <c r="W757" s="153"/>
      <c r="X757" s="153"/>
    </row>
    <row r="758" spans="1:24">
      <c r="A758" s="76"/>
      <c r="B758" s="77"/>
      <c r="C758" s="77"/>
      <c r="D758" s="77"/>
      <c r="E758" s="77"/>
      <c r="F758" s="77"/>
      <c r="G758" s="152"/>
      <c r="H758" s="153"/>
      <c r="I758" s="153"/>
      <c r="J758" s="153"/>
      <c r="K758" s="153"/>
      <c r="L758" s="153"/>
      <c r="M758" s="152"/>
      <c r="N758" s="153"/>
      <c r="O758" s="153"/>
      <c r="P758" s="153"/>
      <c r="Q758" s="153"/>
      <c r="R758" s="153"/>
      <c r="S758" s="152"/>
      <c r="T758" s="153"/>
      <c r="U758" s="153"/>
      <c r="V758" s="153"/>
      <c r="W758" s="153"/>
      <c r="X758" s="153"/>
    </row>
    <row r="759" spans="1:24">
      <c r="A759" s="76"/>
      <c r="B759" s="77"/>
      <c r="C759" s="77"/>
      <c r="D759" s="77"/>
      <c r="E759" s="77"/>
      <c r="F759" s="77"/>
      <c r="G759" s="152"/>
      <c r="H759" s="153"/>
      <c r="I759" s="153"/>
      <c r="J759" s="153"/>
      <c r="K759" s="153"/>
      <c r="L759" s="153"/>
      <c r="M759" s="152"/>
      <c r="N759" s="153"/>
      <c r="O759" s="153"/>
      <c r="P759" s="153"/>
      <c r="Q759" s="153"/>
      <c r="R759" s="153"/>
      <c r="S759" s="152"/>
      <c r="T759" s="153"/>
      <c r="U759" s="153"/>
      <c r="V759" s="153"/>
      <c r="W759" s="153"/>
      <c r="X759" s="153"/>
    </row>
    <row r="760" spans="1:24">
      <c r="A760" s="76"/>
      <c r="B760" s="77"/>
      <c r="C760" s="77"/>
      <c r="D760" s="77"/>
      <c r="E760" s="77"/>
      <c r="F760" s="77"/>
      <c r="G760" s="152"/>
      <c r="H760" s="153"/>
      <c r="I760" s="153"/>
      <c r="J760" s="153"/>
      <c r="K760" s="153"/>
      <c r="L760" s="153"/>
      <c r="M760" s="152"/>
      <c r="N760" s="153"/>
      <c r="O760" s="153"/>
      <c r="P760" s="153"/>
      <c r="Q760" s="153"/>
      <c r="R760" s="153"/>
      <c r="S760" s="152"/>
      <c r="T760" s="153"/>
      <c r="U760" s="153"/>
      <c r="V760" s="153"/>
      <c r="W760" s="153"/>
      <c r="X760" s="153"/>
    </row>
    <row r="761" spans="1:24">
      <c r="A761" s="76"/>
      <c r="B761" s="77"/>
      <c r="C761" s="77"/>
      <c r="D761" s="77"/>
      <c r="E761" s="77"/>
      <c r="F761" s="77"/>
      <c r="G761" s="152"/>
      <c r="H761" s="153"/>
      <c r="I761" s="153"/>
      <c r="J761" s="153"/>
      <c r="K761" s="153"/>
      <c r="L761" s="153"/>
      <c r="M761" s="152"/>
      <c r="N761" s="153"/>
      <c r="O761" s="153"/>
      <c r="P761" s="153"/>
      <c r="Q761" s="153"/>
      <c r="R761" s="153"/>
      <c r="S761" s="152"/>
      <c r="T761" s="153"/>
      <c r="U761" s="153"/>
      <c r="V761" s="153"/>
      <c r="W761" s="153"/>
      <c r="X761" s="153"/>
    </row>
    <row r="762" spans="1:24">
      <c r="A762" s="76"/>
      <c r="B762" s="77"/>
      <c r="C762" s="77"/>
      <c r="D762" s="77"/>
      <c r="E762" s="77"/>
      <c r="F762" s="77"/>
      <c r="G762" s="152"/>
      <c r="H762" s="153"/>
      <c r="I762" s="153"/>
      <c r="J762" s="153"/>
      <c r="K762" s="153"/>
      <c r="L762" s="153"/>
      <c r="M762" s="152"/>
      <c r="N762" s="153"/>
      <c r="O762" s="153"/>
      <c r="P762" s="153"/>
      <c r="Q762" s="153"/>
      <c r="R762" s="153"/>
      <c r="S762" s="152"/>
      <c r="T762" s="153"/>
      <c r="U762" s="153"/>
      <c r="V762" s="153"/>
      <c r="W762" s="153"/>
      <c r="X762" s="153"/>
    </row>
    <row r="763" spans="1:24">
      <c r="A763" s="76"/>
      <c r="B763" s="77"/>
      <c r="C763" s="77"/>
      <c r="D763" s="77"/>
      <c r="E763" s="77"/>
      <c r="F763" s="77"/>
      <c r="G763" s="152"/>
      <c r="H763" s="153"/>
      <c r="I763" s="153"/>
      <c r="J763" s="153"/>
      <c r="K763" s="153"/>
      <c r="L763" s="153"/>
      <c r="M763" s="152"/>
      <c r="N763" s="153"/>
      <c r="O763" s="153"/>
      <c r="P763" s="153"/>
      <c r="Q763" s="153"/>
      <c r="R763" s="153"/>
      <c r="S763" s="152"/>
      <c r="T763" s="153"/>
      <c r="U763" s="153"/>
      <c r="V763" s="153"/>
      <c r="W763" s="153"/>
      <c r="X763" s="153"/>
    </row>
    <row r="764" spans="1:24">
      <c r="A764" s="76"/>
      <c r="B764" s="77"/>
      <c r="C764" s="77"/>
      <c r="D764" s="77"/>
      <c r="E764" s="77"/>
      <c r="F764" s="77"/>
      <c r="G764" s="152"/>
      <c r="H764" s="153"/>
      <c r="I764" s="153"/>
      <c r="J764" s="153"/>
      <c r="K764" s="153"/>
      <c r="L764" s="153"/>
      <c r="M764" s="152"/>
      <c r="N764" s="153"/>
      <c r="O764" s="153"/>
      <c r="P764" s="153"/>
      <c r="Q764" s="153"/>
      <c r="R764" s="153"/>
      <c r="S764" s="152"/>
      <c r="T764" s="153"/>
      <c r="U764" s="153"/>
      <c r="V764" s="153"/>
      <c r="W764" s="153"/>
      <c r="X764" s="153"/>
    </row>
    <row r="765" spans="1:24">
      <c r="A765" s="76"/>
      <c r="B765" s="77"/>
      <c r="C765" s="77"/>
      <c r="D765" s="77"/>
      <c r="E765" s="77"/>
      <c r="F765" s="77"/>
      <c r="G765" s="152"/>
      <c r="H765" s="153"/>
      <c r="I765" s="153"/>
      <c r="J765" s="153"/>
      <c r="K765" s="153"/>
      <c r="L765" s="153"/>
      <c r="M765" s="152"/>
      <c r="N765" s="153"/>
      <c r="O765" s="153"/>
      <c r="P765" s="153"/>
      <c r="Q765" s="153"/>
      <c r="R765" s="153"/>
      <c r="S765" s="152"/>
      <c r="T765" s="153"/>
      <c r="U765" s="153"/>
      <c r="V765" s="153"/>
      <c r="W765" s="153"/>
      <c r="X765" s="153"/>
    </row>
    <row r="766" spans="1:24">
      <c r="A766" s="76"/>
      <c r="B766" s="77"/>
      <c r="C766" s="77"/>
      <c r="D766" s="77"/>
      <c r="E766" s="77"/>
      <c r="F766" s="77"/>
      <c r="G766" s="152"/>
      <c r="H766" s="153"/>
      <c r="I766" s="153"/>
      <c r="J766" s="153"/>
      <c r="K766" s="153"/>
      <c r="L766" s="153"/>
      <c r="M766" s="152"/>
      <c r="N766" s="153"/>
      <c r="O766" s="153"/>
      <c r="P766" s="153"/>
      <c r="Q766" s="153"/>
      <c r="R766" s="153"/>
      <c r="S766" s="152"/>
      <c r="T766" s="153"/>
      <c r="U766" s="153"/>
      <c r="V766" s="153"/>
      <c r="W766" s="153"/>
      <c r="X766" s="153"/>
    </row>
    <row r="767" spans="1:24">
      <c r="A767" s="76"/>
      <c r="B767" s="77"/>
      <c r="C767" s="77"/>
      <c r="D767" s="77"/>
      <c r="E767" s="77"/>
      <c r="F767" s="77"/>
      <c r="G767" s="152"/>
      <c r="H767" s="153"/>
      <c r="I767" s="153"/>
      <c r="J767" s="153"/>
      <c r="K767" s="153"/>
      <c r="L767" s="153"/>
      <c r="M767" s="152"/>
      <c r="N767" s="153"/>
      <c r="O767" s="153"/>
      <c r="P767" s="153"/>
      <c r="Q767" s="153"/>
      <c r="R767" s="153"/>
      <c r="S767" s="152"/>
      <c r="T767" s="153"/>
      <c r="U767" s="153"/>
      <c r="V767" s="153"/>
      <c r="W767" s="153"/>
      <c r="X767" s="153"/>
    </row>
    <row r="768" spans="1:24">
      <c r="A768" s="76"/>
      <c r="B768" s="77"/>
      <c r="C768" s="77"/>
      <c r="D768" s="77"/>
      <c r="E768" s="77"/>
      <c r="F768" s="77"/>
      <c r="G768" s="152"/>
      <c r="H768" s="153"/>
      <c r="I768" s="153"/>
      <c r="J768" s="153"/>
      <c r="K768" s="153"/>
      <c r="L768" s="153"/>
      <c r="M768" s="152"/>
      <c r="N768" s="153"/>
      <c r="O768" s="153"/>
      <c r="P768" s="153"/>
      <c r="Q768" s="153"/>
      <c r="R768" s="153"/>
      <c r="S768" s="152"/>
      <c r="T768" s="153"/>
      <c r="U768" s="153"/>
      <c r="V768" s="153"/>
      <c r="W768" s="153"/>
      <c r="X768" s="153"/>
    </row>
    <row r="769" spans="1:24">
      <c r="A769" s="76"/>
      <c r="B769" s="77"/>
      <c r="C769" s="77"/>
      <c r="D769" s="77"/>
      <c r="E769" s="77"/>
      <c r="F769" s="77"/>
      <c r="G769" s="152"/>
      <c r="H769" s="153"/>
      <c r="I769" s="153"/>
      <c r="J769" s="153"/>
      <c r="K769" s="153"/>
      <c r="L769" s="153"/>
      <c r="M769" s="152"/>
      <c r="N769" s="153"/>
      <c r="O769" s="153"/>
      <c r="P769" s="153"/>
      <c r="Q769" s="153"/>
      <c r="R769" s="153"/>
      <c r="S769" s="152"/>
      <c r="T769" s="153"/>
      <c r="U769" s="153"/>
      <c r="V769" s="153"/>
      <c r="W769" s="153"/>
      <c r="X769" s="153"/>
    </row>
    <row r="770" spans="1:24">
      <c r="A770" s="76"/>
      <c r="B770" s="77"/>
      <c r="C770" s="77"/>
      <c r="D770" s="77"/>
      <c r="E770" s="77"/>
      <c r="F770" s="77"/>
      <c r="G770" s="152"/>
      <c r="H770" s="153"/>
      <c r="I770" s="153"/>
      <c r="J770" s="153"/>
      <c r="K770" s="153"/>
      <c r="L770" s="153"/>
      <c r="M770" s="152"/>
      <c r="N770" s="153"/>
      <c r="O770" s="153"/>
      <c r="P770" s="153"/>
      <c r="Q770" s="153"/>
      <c r="R770" s="153"/>
      <c r="S770" s="152"/>
      <c r="T770" s="153"/>
      <c r="U770" s="153"/>
      <c r="V770" s="153"/>
      <c r="W770" s="153"/>
      <c r="X770" s="153"/>
    </row>
    <row r="771" spans="1:24">
      <c r="A771" s="76"/>
      <c r="B771" s="77"/>
      <c r="C771" s="77"/>
      <c r="D771" s="77"/>
      <c r="E771" s="77"/>
      <c r="F771" s="77"/>
      <c r="G771" s="152"/>
      <c r="H771" s="153"/>
      <c r="I771" s="153"/>
      <c r="J771" s="153"/>
      <c r="K771" s="153"/>
      <c r="L771" s="153"/>
      <c r="M771" s="152"/>
      <c r="N771" s="153"/>
      <c r="O771" s="153"/>
      <c r="P771" s="153"/>
      <c r="Q771" s="153"/>
      <c r="R771" s="153"/>
      <c r="S771" s="152"/>
      <c r="T771" s="153"/>
      <c r="U771" s="153"/>
      <c r="V771" s="153"/>
      <c r="W771" s="153"/>
      <c r="X771" s="153"/>
    </row>
    <row r="772" spans="1:24">
      <c r="A772" s="76"/>
      <c r="B772" s="77"/>
      <c r="C772" s="77"/>
      <c r="D772" s="77"/>
      <c r="E772" s="77"/>
      <c r="F772" s="77"/>
      <c r="G772" s="152"/>
      <c r="H772" s="153"/>
      <c r="I772" s="153"/>
      <c r="J772" s="153"/>
      <c r="K772" s="153"/>
      <c r="L772" s="153"/>
      <c r="M772" s="152"/>
      <c r="N772" s="153"/>
      <c r="O772" s="153"/>
      <c r="P772" s="153"/>
      <c r="Q772" s="153"/>
      <c r="R772" s="153"/>
      <c r="S772" s="152"/>
      <c r="T772" s="153"/>
      <c r="U772" s="153"/>
      <c r="V772" s="153"/>
      <c r="W772" s="153"/>
      <c r="X772" s="153"/>
    </row>
    <row r="773" spans="1:24">
      <c r="A773" s="76"/>
      <c r="B773" s="77"/>
      <c r="C773" s="77"/>
      <c r="D773" s="77"/>
      <c r="E773" s="77"/>
      <c r="F773" s="77"/>
      <c r="G773" s="152"/>
      <c r="H773" s="153"/>
      <c r="I773" s="153"/>
      <c r="J773" s="153"/>
      <c r="K773" s="153"/>
      <c r="L773" s="153"/>
      <c r="M773" s="152"/>
      <c r="N773" s="153"/>
      <c r="O773" s="153"/>
      <c r="P773" s="153"/>
      <c r="Q773" s="153"/>
      <c r="R773" s="153"/>
      <c r="S773" s="152"/>
      <c r="T773" s="153"/>
      <c r="U773" s="153"/>
      <c r="V773" s="153"/>
      <c r="W773" s="153"/>
      <c r="X773" s="153"/>
    </row>
    <row r="774" spans="1:24">
      <c r="A774" s="76"/>
      <c r="B774" s="77"/>
      <c r="C774" s="77"/>
      <c r="D774" s="77"/>
      <c r="E774" s="77"/>
      <c r="F774" s="77"/>
      <c r="G774" s="152"/>
      <c r="H774" s="153"/>
      <c r="I774" s="153"/>
      <c r="J774" s="153"/>
      <c r="K774" s="153"/>
      <c r="L774" s="153"/>
      <c r="M774" s="152"/>
      <c r="N774" s="153"/>
      <c r="O774" s="153"/>
      <c r="P774" s="153"/>
      <c r="Q774" s="153"/>
      <c r="R774" s="153"/>
      <c r="S774" s="152"/>
      <c r="T774" s="153"/>
      <c r="U774" s="153"/>
      <c r="V774" s="153"/>
      <c r="W774" s="153"/>
      <c r="X774" s="153"/>
    </row>
    <row r="775" spans="1:24">
      <c r="A775" s="76"/>
      <c r="B775" s="77"/>
      <c r="C775" s="77"/>
      <c r="D775" s="77"/>
      <c r="E775" s="77"/>
      <c r="F775" s="77"/>
      <c r="G775" s="152"/>
      <c r="H775" s="153"/>
      <c r="I775" s="153"/>
      <c r="J775" s="153"/>
      <c r="K775" s="153"/>
      <c r="L775" s="153"/>
      <c r="M775" s="152"/>
      <c r="N775" s="153"/>
      <c r="O775" s="153"/>
      <c r="P775" s="153"/>
      <c r="Q775" s="153"/>
      <c r="R775" s="153"/>
      <c r="S775" s="152"/>
      <c r="T775" s="153"/>
      <c r="U775" s="153"/>
      <c r="V775" s="153"/>
      <c r="W775" s="153"/>
      <c r="X775" s="153"/>
    </row>
    <row r="776" spans="1:24">
      <c r="A776" s="76"/>
      <c r="B776" s="77"/>
      <c r="C776" s="77"/>
      <c r="D776" s="77"/>
      <c r="E776" s="77"/>
      <c r="F776" s="77"/>
      <c r="G776" s="152"/>
      <c r="H776" s="153"/>
      <c r="I776" s="153"/>
      <c r="J776" s="153"/>
      <c r="K776" s="153"/>
      <c r="L776" s="153"/>
      <c r="M776" s="152"/>
      <c r="N776" s="153"/>
      <c r="O776" s="153"/>
      <c r="P776" s="153"/>
      <c r="Q776" s="153"/>
      <c r="R776" s="153"/>
      <c r="S776" s="152"/>
      <c r="T776" s="153"/>
      <c r="U776" s="153"/>
      <c r="V776" s="153"/>
      <c r="W776" s="153"/>
      <c r="X776" s="153"/>
    </row>
    <row r="777" spans="1:24">
      <c r="A777" s="76"/>
      <c r="B777" s="77"/>
      <c r="C777" s="77"/>
      <c r="D777" s="77"/>
      <c r="E777" s="77"/>
      <c r="F777" s="77"/>
      <c r="G777" s="152"/>
      <c r="H777" s="153"/>
      <c r="I777" s="153"/>
      <c r="J777" s="153"/>
      <c r="K777" s="153"/>
      <c r="L777" s="153"/>
      <c r="M777" s="152"/>
      <c r="N777" s="153"/>
      <c r="O777" s="153"/>
      <c r="P777" s="153"/>
      <c r="Q777" s="153"/>
      <c r="R777" s="153"/>
      <c r="S777" s="152"/>
      <c r="T777" s="153"/>
      <c r="U777" s="153"/>
      <c r="V777" s="153"/>
      <c r="W777" s="153"/>
      <c r="X777" s="153"/>
    </row>
    <row r="778" spans="1:24">
      <c r="A778" s="76"/>
      <c r="B778" s="77"/>
      <c r="C778" s="77"/>
      <c r="D778" s="77"/>
      <c r="E778" s="77"/>
      <c r="F778" s="77"/>
      <c r="G778" s="152"/>
      <c r="H778" s="153"/>
      <c r="I778" s="153"/>
      <c r="J778" s="153"/>
      <c r="K778" s="153"/>
      <c r="L778" s="153"/>
      <c r="M778" s="152"/>
      <c r="N778" s="153"/>
      <c r="O778" s="153"/>
      <c r="P778" s="153"/>
      <c r="Q778" s="153"/>
      <c r="R778" s="153"/>
      <c r="S778" s="152"/>
      <c r="T778" s="153"/>
      <c r="U778" s="153"/>
      <c r="V778" s="153"/>
      <c r="W778" s="153"/>
      <c r="X778" s="153"/>
    </row>
    <row r="779" spans="1:24">
      <c r="A779" s="76"/>
      <c r="B779" s="77"/>
      <c r="C779" s="77"/>
      <c r="D779" s="77"/>
      <c r="E779" s="77"/>
      <c r="F779" s="77"/>
      <c r="G779" s="152"/>
      <c r="H779" s="153"/>
      <c r="I779" s="153"/>
      <c r="J779" s="153"/>
      <c r="K779" s="153"/>
      <c r="L779" s="153"/>
      <c r="M779" s="152"/>
      <c r="N779" s="153"/>
      <c r="O779" s="153"/>
      <c r="P779" s="153"/>
      <c r="Q779" s="153"/>
      <c r="R779" s="153"/>
      <c r="S779" s="152"/>
      <c r="T779" s="153"/>
      <c r="U779" s="153"/>
      <c r="V779" s="153"/>
      <c r="W779" s="153"/>
      <c r="X779" s="153"/>
    </row>
    <row r="780" spans="1:24">
      <c r="A780" s="76"/>
      <c r="B780" s="77"/>
      <c r="C780" s="77"/>
      <c r="D780" s="77"/>
      <c r="E780" s="77"/>
      <c r="F780" s="77"/>
      <c r="G780" s="152"/>
      <c r="H780" s="153"/>
      <c r="I780" s="153"/>
      <c r="J780" s="153"/>
      <c r="K780" s="153"/>
      <c r="L780" s="153"/>
      <c r="M780" s="152"/>
      <c r="N780" s="153"/>
      <c r="O780" s="153"/>
      <c r="P780" s="153"/>
      <c r="Q780" s="153"/>
      <c r="R780" s="153"/>
      <c r="S780" s="152"/>
      <c r="T780" s="153"/>
      <c r="U780" s="153"/>
      <c r="V780" s="153"/>
      <c r="W780" s="153"/>
      <c r="X780" s="153"/>
    </row>
    <row r="781" spans="1:24">
      <c r="A781" s="76"/>
      <c r="B781" s="77"/>
      <c r="C781" s="77"/>
      <c r="D781" s="77"/>
      <c r="E781" s="77"/>
      <c r="F781" s="77"/>
      <c r="G781" s="152"/>
      <c r="H781" s="153"/>
      <c r="I781" s="153"/>
      <c r="J781" s="153"/>
      <c r="K781" s="153"/>
      <c r="L781" s="153"/>
      <c r="M781" s="152"/>
      <c r="N781" s="153"/>
      <c r="O781" s="153"/>
      <c r="P781" s="153"/>
      <c r="Q781" s="153"/>
      <c r="R781" s="153"/>
      <c r="S781" s="152"/>
      <c r="T781" s="153"/>
      <c r="U781" s="153"/>
      <c r="V781" s="153"/>
      <c r="W781" s="153"/>
      <c r="X781" s="153"/>
    </row>
    <row r="782" spans="1:24">
      <c r="A782" s="76"/>
      <c r="B782" s="77"/>
      <c r="C782" s="77"/>
      <c r="D782" s="77"/>
      <c r="E782" s="77"/>
      <c r="F782" s="77"/>
      <c r="G782" s="152"/>
      <c r="H782" s="153"/>
      <c r="I782" s="153"/>
      <c r="J782" s="153"/>
      <c r="K782" s="153"/>
      <c r="L782" s="153"/>
      <c r="M782" s="152"/>
      <c r="N782" s="153"/>
      <c r="O782" s="153"/>
      <c r="P782" s="153"/>
      <c r="Q782" s="153"/>
      <c r="R782" s="153"/>
      <c r="S782" s="152"/>
      <c r="T782" s="153"/>
      <c r="U782" s="153"/>
      <c r="V782" s="153"/>
      <c r="W782" s="153"/>
      <c r="X782" s="153"/>
    </row>
    <row r="783" spans="1:24">
      <c r="A783" s="76"/>
      <c r="B783" s="77"/>
      <c r="C783" s="77"/>
      <c r="D783" s="77"/>
      <c r="E783" s="77"/>
      <c r="F783" s="77"/>
      <c r="G783" s="152"/>
      <c r="H783" s="153"/>
      <c r="I783" s="153"/>
      <c r="J783" s="153"/>
      <c r="K783" s="153"/>
      <c r="L783" s="153"/>
      <c r="M783" s="152"/>
      <c r="N783" s="153"/>
      <c r="O783" s="153"/>
      <c r="P783" s="153"/>
      <c r="Q783" s="153"/>
      <c r="R783" s="153"/>
      <c r="S783" s="152"/>
      <c r="T783" s="153"/>
      <c r="U783" s="153"/>
      <c r="V783" s="153"/>
      <c r="W783" s="153"/>
      <c r="X783" s="153"/>
    </row>
    <row r="784" spans="1:24">
      <c r="A784" s="76"/>
      <c r="B784" s="77"/>
      <c r="C784" s="77"/>
      <c r="D784" s="77"/>
      <c r="E784" s="77"/>
      <c r="F784" s="77"/>
      <c r="G784" s="152"/>
      <c r="H784" s="153"/>
      <c r="I784" s="153"/>
      <c r="J784" s="153"/>
      <c r="K784" s="153"/>
      <c r="L784" s="153"/>
      <c r="M784" s="152"/>
      <c r="N784" s="153"/>
      <c r="O784" s="153"/>
      <c r="P784" s="153"/>
      <c r="Q784" s="153"/>
      <c r="R784" s="153"/>
      <c r="S784" s="152"/>
      <c r="T784" s="153"/>
      <c r="U784" s="153"/>
      <c r="V784" s="153"/>
      <c r="W784" s="153"/>
      <c r="X784" s="153"/>
    </row>
    <row r="785" spans="1:24">
      <c r="A785" s="76"/>
      <c r="B785" s="77"/>
      <c r="C785" s="77"/>
      <c r="D785" s="77"/>
      <c r="E785" s="77"/>
      <c r="F785" s="77"/>
      <c r="G785" s="152"/>
      <c r="H785" s="153"/>
      <c r="I785" s="153"/>
      <c r="J785" s="153"/>
      <c r="K785" s="153"/>
      <c r="L785" s="153"/>
      <c r="M785" s="152"/>
      <c r="N785" s="153"/>
      <c r="O785" s="153"/>
      <c r="P785" s="153"/>
      <c r="Q785" s="153"/>
      <c r="R785" s="153"/>
      <c r="S785" s="152"/>
      <c r="T785" s="153"/>
      <c r="U785" s="153"/>
      <c r="V785" s="153"/>
      <c r="W785" s="153"/>
      <c r="X785" s="153"/>
    </row>
    <row r="786" spans="1:24">
      <c r="A786" s="76"/>
      <c r="B786" s="77"/>
      <c r="C786" s="77"/>
      <c r="D786" s="77"/>
      <c r="E786" s="77"/>
      <c r="F786" s="77"/>
      <c r="G786" s="152"/>
      <c r="H786" s="153"/>
      <c r="I786" s="153"/>
      <c r="J786" s="153"/>
      <c r="K786" s="153"/>
      <c r="L786" s="153"/>
      <c r="M786" s="152"/>
      <c r="N786" s="153"/>
      <c r="O786" s="153"/>
      <c r="P786" s="153"/>
      <c r="Q786" s="153"/>
      <c r="R786" s="153"/>
      <c r="S786" s="152"/>
      <c r="T786" s="153"/>
      <c r="U786" s="153"/>
      <c r="V786" s="153"/>
      <c r="W786" s="153"/>
      <c r="X786" s="153"/>
    </row>
    <row r="787" spans="1:24">
      <c r="A787" s="76"/>
      <c r="B787" s="77"/>
      <c r="C787" s="77"/>
      <c r="D787" s="77"/>
      <c r="E787" s="77"/>
      <c r="F787" s="77"/>
      <c r="G787" s="152"/>
      <c r="H787" s="153"/>
      <c r="I787" s="153"/>
      <c r="J787" s="153"/>
      <c r="K787" s="153"/>
      <c r="L787" s="153"/>
      <c r="M787" s="152"/>
      <c r="N787" s="153"/>
      <c r="O787" s="153"/>
      <c r="P787" s="153"/>
      <c r="Q787" s="153"/>
      <c r="R787" s="153"/>
      <c r="S787" s="152"/>
      <c r="T787" s="153"/>
      <c r="U787" s="153"/>
      <c r="V787" s="153"/>
      <c r="W787" s="153"/>
      <c r="X787" s="153"/>
    </row>
    <row r="788" spans="1:24">
      <c r="A788" s="76"/>
      <c r="B788" s="77"/>
      <c r="C788" s="77"/>
      <c r="D788" s="77"/>
      <c r="E788" s="77"/>
      <c r="F788" s="77"/>
      <c r="G788" s="152"/>
      <c r="H788" s="153"/>
      <c r="I788" s="153"/>
      <c r="J788" s="153"/>
      <c r="K788" s="153"/>
      <c r="L788" s="153"/>
      <c r="M788" s="152"/>
      <c r="N788" s="153"/>
      <c r="O788" s="153"/>
      <c r="P788" s="153"/>
      <c r="Q788" s="153"/>
      <c r="R788" s="153"/>
      <c r="S788" s="152"/>
      <c r="T788" s="153"/>
      <c r="U788" s="153"/>
      <c r="V788" s="153"/>
      <c r="W788" s="153"/>
      <c r="X788" s="153"/>
    </row>
    <row r="789" spans="1:24">
      <c r="A789" s="76"/>
      <c r="B789" s="77"/>
      <c r="C789" s="77"/>
      <c r="D789" s="77"/>
      <c r="E789" s="77"/>
      <c r="F789" s="77"/>
      <c r="G789" s="152"/>
      <c r="H789" s="153"/>
      <c r="I789" s="153"/>
      <c r="J789" s="153"/>
      <c r="K789" s="153"/>
      <c r="L789" s="153"/>
      <c r="M789" s="152"/>
      <c r="N789" s="153"/>
      <c r="O789" s="153"/>
      <c r="P789" s="153"/>
      <c r="Q789" s="153"/>
      <c r="R789" s="153"/>
      <c r="S789" s="152"/>
      <c r="T789" s="153"/>
      <c r="U789" s="153"/>
      <c r="V789" s="153"/>
      <c r="W789" s="153"/>
      <c r="X789" s="153"/>
    </row>
    <row r="790" spans="1:24">
      <c r="A790" s="76"/>
      <c r="B790" s="77"/>
      <c r="C790" s="77"/>
      <c r="D790" s="77"/>
      <c r="E790" s="77"/>
      <c r="F790" s="77"/>
      <c r="G790" s="152"/>
      <c r="H790" s="153"/>
      <c r="I790" s="153"/>
      <c r="J790" s="153"/>
      <c r="K790" s="153"/>
      <c r="L790" s="153"/>
      <c r="M790" s="152"/>
      <c r="N790" s="153"/>
      <c r="O790" s="153"/>
      <c r="P790" s="153"/>
      <c r="Q790" s="153"/>
      <c r="R790" s="153"/>
      <c r="S790" s="152"/>
      <c r="T790" s="153"/>
      <c r="U790" s="153"/>
      <c r="V790" s="153"/>
      <c r="W790" s="153"/>
      <c r="X790" s="153"/>
    </row>
    <row r="791" spans="1:24">
      <c r="A791" s="76"/>
      <c r="B791" s="77"/>
      <c r="C791" s="77"/>
      <c r="D791" s="77"/>
      <c r="E791" s="77"/>
      <c r="F791" s="77"/>
      <c r="G791" s="152"/>
      <c r="H791" s="153"/>
      <c r="I791" s="153"/>
      <c r="J791" s="153"/>
      <c r="K791" s="153"/>
      <c r="L791" s="153"/>
      <c r="M791" s="152"/>
      <c r="N791" s="153"/>
      <c r="O791" s="153"/>
      <c r="P791" s="153"/>
      <c r="Q791" s="153"/>
      <c r="R791" s="153"/>
      <c r="S791" s="152"/>
      <c r="T791" s="153"/>
      <c r="U791" s="153"/>
      <c r="V791" s="153"/>
      <c r="W791" s="153"/>
      <c r="X791" s="153"/>
    </row>
    <row r="792" spans="1:24">
      <c r="A792" s="76"/>
      <c r="B792" s="77"/>
      <c r="C792" s="77"/>
      <c r="D792" s="77"/>
      <c r="E792" s="77"/>
      <c r="F792" s="77"/>
      <c r="G792" s="152"/>
      <c r="H792" s="153"/>
      <c r="I792" s="153"/>
      <c r="J792" s="153"/>
      <c r="K792" s="153"/>
      <c r="L792" s="153"/>
      <c r="M792" s="152"/>
      <c r="N792" s="153"/>
      <c r="O792" s="153"/>
      <c r="P792" s="153"/>
      <c r="Q792" s="153"/>
      <c r="R792" s="153"/>
      <c r="S792" s="152"/>
      <c r="T792" s="153"/>
      <c r="U792" s="153"/>
      <c r="V792" s="153"/>
      <c r="W792" s="153"/>
      <c r="X792" s="153"/>
    </row>
    <row r="793" spans="1:24">
      <c r="A793" s="76"/>
      <c r="B793" s="77"/>
      <c r="C793" s="77"/>
      <c r="D793" s="77"/>
      <c r="E793" s="77"/>
      <c r="F793" s="77"/>
      <c r="G793" s="152"/>
      <c r="H793" s="153"/>
      <c r="I793" s="153"/>
      <c r="J793" s="153"/>
      <c r="K793" s="153"/>
      <c r="L793" s="153"/>
      <c r="M793" s="152"/>
      <c r="N793" s="153"/>
      <c r="O793" s="153"/>
      <c r="P793" s="153"/>
      <c r="Q793" s="153"/>
      <c r="R793" s="153"/>
      <c r="S793" s="152"/>
      <c r="T793" s="153"/>
      <c r="U793" s="153"/>
      <c r="V793" s="153"/>
      <c r="W793" s="153"/>
      <c r="X793" s="153"/>
    </row>
    <row r="794" spans="1:24">
      <c r="A794" s="76"/>
      <c r="B794" s="77"/>
      <c r="C794" s="77"/>
      <c r="D794" s="77"/>
      <c r="E794" s="77"/>
      <c r="F794" s="77"/>
      <c r="G794" s="152"/>
      <c r="H794" s="153"/>
      <c r="I794" s="153"/>
      <c r="J794" s="153"/>
      <c r="K794" s="153"/>
      <c r="L794" s="153"/>
      <c r="M794" s="152"/>
      <c r="N794" s="153"/>
      <c r="O794" s="153"/>
      <c r="P794" s="153"/>
      <c r="Q794" s="153"/>
      <c r="R794" s="153"/>
      <c r="S794" s="152"/>
      <c r="T794" s="153"/>
      <c r="U794" s="153"/>
      <c r="V794" s="153"/>
      <c r="W794" s="153"/>
      <c r="X794" s="153"/>
    </row>
    <row r="795" spans="1:24">
      <c r="A795" s="76"/>
      <c r="B795" s="77"/>
      <c r="C795" s="77"/>
      <c r="D795" s="77"/>
      <c r="E795" s="77"/>
      <c r="F795" s="77"/>
      <c r="G795" s="152"/>
      <c r="H795" s="153"/>
      <c r="I795" s="153"/>
      <c r="J795" s="153"/>
      <c r="K795" s="153"/>
      <c r="L795" s="153"/>
      <c r="M795" s="152"/>
      <c r="N795" s="153"/>
      <c r="O795" s="153"/>
      <c r="P795" s="153"/>
      <c r="Q795" s="153"/>
      <c r="R795" s="153"/>
      <c r="S795" s="152"/>
      <c r="T795" s="153"/>
      <c r="U795" s="153"/>
      <c r="V795" s="153"/>
      <c r="W795" s="153"/>
      <c r="X795" s="153"/>
    </row>
    <row r="796" spans="1:24">
      <c r="A796" s="76"/>
      <c r="B796" s="77"/>
      <c r="C796" s="77"/>
      <c r="D796" s="77"/>
      <c r="E796" s="77"/>
      <c r="F796" s="77"/>
      <c r="G796" s="152"/>
      <c r="H796" s="153"/>
      <c r="I796" s="153"/>
      <c r="J796" s="153"/>
      <c r="K796" s="153"/>
      <c r="L796" s="153"/>
      <c r="M796" s="152"/>
      <c r="N796" s="153"/>
      <c r="O796" s="153"/>
      <c r="P796" s="153"/>
      <c r="Q796" s="153"/>
      <c r="R796" s="153"/>
      <c r="S796" s="152"/>
      <c r="T796" s="153"/>
      <c r="U796" s="153"/>
      <c r="V796" s="153"/>
      <c r="W796" s="153"/>
      <c r="X796" s="153"/>
    </row>
    <row r="797" spans="1:24">
      <c r="A797" s="76"/>
      <c r="B797" s="77"/>
      <c r="C797" s="77"/>
      <c r="D797" s="77"/>
      <c r="E797" s="77"/>
      <c r="F797" s="77"/>
      <c r="G797" s="152"/>
      <c r="H797" s="153"/>
      <c r="I797" s="153"/>
      <c r="J797" s="153"/>
      <c r="K797" s="153"/>
      <c r="L797" s="153"/>
      <c r="M797" s="152"/>
      <c r="N797" s="153"/>
      <c r="O797" s="153"/>
      <c r="P797" s="153"/>
      <c r="Q797" s="153"/>
      <c r="R797" s="153"/>
      <c r="S797" s="152"/>
      <c r="T797" s="153"/>
      <c r="U797" s="153"/>
      <c r="V797" s="153"/>
      <c r="W797" s="153"/>
      <c r="X797" s="153"/>
    </row>
    <row r="798" spans="1:24">
      <c r="A798" s="76"/>
      <c r="B798" s="77"/>
      <c r="C798" s="77"/>
      <c r="D798" s="77"/>
      <c r="E798" s="77"/>
      <c r="F798" s="77"/>
      <c r="G798" s="152"/>
      <c r="H798" s="153"/>
      <c r="I798" s="153"/>
      <c r="J798" s="153"/>
      <c r="K798" s="153"/>
      <c r="L798" s="153"/>
      <c r="M798" s="152"/>
      <c r="N798" s="153"/>
      <c r="O798" s="153"/>
      <c r="P798" s="153"/>
      <c r="Q798" s="153"/>
      <c r="R798" s="153"/>
      <c r="S798" s="152"/>
      <c r="T798" s="153"/>
      <c r="U798" s="153"/>
      <c r="V798" s="153"/>
      <c r="W798" s="153"/>
      <c r="X798" s="153"/>
    </row>
    <row r="799" spans="1:24">
      <c r="A799" s="76"/>
      <c r="B799" s="77"/>
      <c r="C799" s="77"/>
      <c r="D799" s="77"/>
      <c r="E799" s="77"/>
      <c r="F799" s="77"/>
      <c r="G799" s="152"/>
      <c r="H799" s="153"/>
      <c r="I799" s="153"/>
      <c r="J799" s="153"/>
      <c r="K799" s="153"/>
      <c r="L799" s="153"/>
      <c r="M799" s="152"/>
      <c r="N799" s="153"/>
      <c r="O799" s="153"/>
      <c r="P799" s="153"/>
      <c r="Q799" s="153"/>
      <c r="R799" s="153"/>
      <c r="S799" s="152"/>
      <c r="T799" s="153"/>
      <c r="U799" s="153"/>
      <c r="V799" s="153"/>
      <c r="W799" s="153"/>
      <c r="X799" s="153"/>
    </row>
    <row r="800" spans="1:24">
      <c r="A800" s="76"/>
      <c r="B800" s="77"/>
      <c r="C800" s="77"/>
      <c r="D800" s="77"/>
      <c r="E800" s="77"/>
      <c r="F800" s="77"/>
      <c r="G800" s="152"/>
      <c r="H800" s="153"/>
      <c r="I800" s="153"/>
      <c r="J800" s="153"/>
      <c r="K800" s="153"/>
      <c r="L800" s="153"/>
      <c r="M800" s="152"/>
      <c r="N800" s="153"/>
      <c r="O800" s="153"/>
      <c r="P800" s="153"/>
      <c r="Q800" s="153"/>
      <c r="R800" s="153"/>
      <c r="S800" s="152"/>
      <c r="T800" s="153"/>
      <c r="U800" s="153"/>
      <c r="V800" s="153"/>
      <c r="W800" s="153"/>
      <c r="X800" s="153"/>
    </row>
    <row r="801" spans="1:24">
      <c r="A801" s="76"/>
      <c r="B801" s="77"/>
      <c r="C801" s="77"/>
      <c r="D801" s="77"/>
      <c r="E801" s="77"/>
      <c r="F801" s="77"/>
      <c r="G801" s="152"/>
      <c r="H801" s="153"/>
      <c r="I801" s="153"/>
      <c r="J801" s="153"/>
      <c r="K801" s="153"/>
      <c r="L801" s="153"/>
      <c r="M801" s="152"/>
      <c r="N801" s="153"/>
      <c r="O801" s="153"/>
      <c r="P801" s="153"/>
      <c r="Q801" s="153"/>
      <c r="R801" s="153"/>
      <c r="S801" s="152"/>
      <c r="T801" s="153"/>
      <c r="U801" s="153"/>
      <c r="V801" s="153"/>
      <c r="W801" s="153"/>
      <c r="X801" s="153"/>
    </row>
    <row r="802" spans="1:24">
      <c r="A802" s="76"/>
      <c r="B802" s="77"/>
      <c r="C802" s="77"/>
      <c r="D802" s="77"/>
      <c r="E802" s="77"/>
      <c r="F802" s="77"/>
      <c r="G802" s="152"/>
      <c r="H802" s="153"/>
      <c r="I802" s="153"/>
      <c r="J802" s="153"/>
      <c r="K802" s="153"/>
      <c r="L802" s="153"/>
      <c r="M802" s="152"/>
      <c r="N802" s="153"/>
      <c r="O802" s="153"/>
      <c r="P802" s="153"/>
      <c r="Q802" s="153"/>
      <c r="R802" s="153"/>
      <c r="S802" s="152"/>
      <c r="T802" s="153"/>
      <c r="U802" s="153"/>
      <c r="V802" s="153"/>
      <c r="W802" s="153"/>
      <c r="X802" s="153"/>
    </row>
    <row r="803" spans="1:24">
      <c r="A803" s="76"/>
      <c r="B803" s="77"/>
      <c r="C803" s="77"/>
      <c r="D803" s="77"/>
      <c r="E803" s="77"/>
      <c r="F803" s="77"/>
      <c r="G803" s="152"/>
      <c r="H803" s="153"/>
      <c r="I803" s="153"/>
      <c r="J803" s="153"/>
      <c r="K803" s="153"/>
      <c r="L803" s="153"/>
      <c r="M803" s="152"/>
      <c r="N803" s="153"/>
      <c r="O803" s="153"/>
      <c r="P803" s="153"/>
      <c r="Q803" s="153"/>
      <c r="R803" s="153"/>
      <c r="S803" s="152"/>
      <c r="T803" s="153"/>
      <c r="U803" s="153"/>
      <c r="V803" s="153"/>
      <c r="W803" s="153"/>
      <c r="X803" s="153"/>
    </row>
    <row r="804" spans="1:24">
      <c r="A804" s="76"/>
      <c r="B804" s="77"/>
      <c r="C804" s="77"/>
      <c r="D804" s="77"/>
      <c r="E804" s="77"/>
      <c r="F804" s="77"/>
      <c r="G804" s="152"/>
      <c r="H804" s="153"/>
      <c r="I804" s="153"/>
      <c r="J804" s="153"/>
      <c r="K804" s="153"/>
      <c r="L804" s="153"/>
      <c r="M804" s="152"/>
      <c r="N804" s="153"/>
      <c r="O804" s="153"/>
      <c r="P804" s="153"/>
      <c r="Q804" s="153"/>
      <c r="R804" s="153"/>
      <c r="S804" s="152"/>
      <c r="T804" s="153"/>
      <c r="U804" s="153"/>
      <c r="V804" s="153"/>
      <c r="W804" s="153"/>
      <c r="X804" s="153"/>
    </row>
    <row r="805" spans="1:24">
      <c r="A805" s="76"/>
      <c r="B805" s="77"/>
      <c r="C805" s="77"/>
      <c r="D805" s="77"/>
      <c r="E805" s="77"/>
      <c r="F805" s="77"/>
      <c r="G805" s="152"/>
      <c r="H805" s="153"/>
      <c r="I805" s="153"/>
      <c r="J805" s="153"/>
      <c r="K805" s="153"/>
      <c r="L805" s="153"/>
      <c r="M805" s="152"/>
      <c r="N805" s="153"/>
      <c r="O805" s="153"/>
      <c r="P805" s="153"/>
      <c r="Q805" s="153"/>
      <c r="R805" s="153"/>
      <c r="S805" s="152"/>
      <c r="T805" s="153"/>
      <c r="U805" s="153"/>
      <c r="V805" s="153"/>
      <c r="W805" s="153"/>
      <c r="X805" s="153"/>
    </row>
    <row r="806" spans="1:24">
      <c r="A806" s="76"/>
      <c r="B806" s="77"/>
      <c r="C806" s="77"/>
      <c r="D806" s="77"/>
      <c r="E806" s="77"/>
      <c r="F806" s="77"/>
      <c r="G806" s="152"/>
      <c r="H806" s="153"/>
      <c r="I806" s="153"/>
      <c r="J806" s="153"/>
      <c r="K806" s="153"/>
      <c r="L806" s="153"/>
      <c r="M806" s="152"/>
      <c r="N806" s="153"/>
      <c r="O806" s="153"/>
      <c r="P806" s="153"/>
      <c r="Q806" s="153"/>
      <c r="R806" s="153"/>
      <c r="S806" s="152"/>
      <c r="T806" s="153"/>
      <c r="U806" s="153"/>
      <c r="V806" s="153"/>
      <c r="W806" s="153"/>
      <c r="X806" s="153"/>
    </row>
    <row r="807" spans="1:24">
      <c r="A807" s="76"/>
      <c r="B807" s="77"/>
      <c r="C807" s="77"/>
      <c r="D807" s="77"/>
      <c r="E807" s="77"/>
      <c r="F807" s="77"/>
      <c r="G807" s="152"/>
      <c r="H807" s="153"/>
      <c r="I807" s="153"/>
      <c r="J807" s="153"/>
      <c r="K807" s="153"/>
      <c r="L807" s="153"/>
      <c r="M807" s="152"/>
      <c r="N807" s="153"/>
      <c r="O807" s="153"/>
      <c r="P807" s="153"/>
      <c r="Q807" s="153"/>
      <c r="R807" s="153"/>
      <c r="S807" s="152"/>
      <c r="T807" s="153"/>
      <c r="U807" s="153"/>
      <c r="V807" s="153"/>
      <c r="W807" s="153"/>
      <c r="X807" s="153"/>
    </row>
    <row r="808" spans="1:24">
      <c r="A808" s="76"/>
      <c r="B808" s="77"/>
      <c r="C808" s="77"/>
      <c r="D808" s="77"/>
      <c r="E808" s="77"/>
      <c r="F808" s="77"/>
      <c r="G808" s="152"/>
      <c r="H808" s="153"/>
      <c r="I808" s="153"/>
      <c r="J808" s="153"/>
      <c r="K808" s="153"/>
      <c r="L808" s="153"/>
      <c r="M808" s="152"/>
      <c r="N808" s="153"/>
      <c r="O808" s="153"/>
      <c r="P808" s="153"/>
      <c r="Q808" s="153"/>
      <c r="R808" s="153"/>
      <c r="S808" s="152"/>
      <c r="T808" s="153"/>
      <c r="U808" s="153"/>
      <c r="V808" s="153"/>
      <c r="W808" s="153"/>
      <c r="X808" s="153"/>
    </row>
    <row r="809" spans="1:24">
      <c r="A809" s="76"/>
      <c r="B809" s="77"/>
      <c r="C809" s="77"/>
      <c r="D809" s="77"/>
      <c r="E809" s="77"/>
      <c r="F809" s="77"/>
      <c r="G809" s="152"/>
      <c r="H809" s="153"/>
      <c r="I809" s="153"/>
      <c r="J809" s="153"/>
      <c r="K809" s="153"/>
      <c r="L809" s="153"/>
      <c r="M809" s="152"/>
      <c r="N809" s="153"/>
      <c r="O809" s="153"/>
      <c r="P809" s="153"/>
      <c r="Q809" s="153"/>
      <c r="R809" s="153"/>
      <c r="S809" s="152"/>
      <c r="T809" s="153"/>
      <c r="U809" s="153"/>
      <c r="V809" s="153"/>
      <c r="W809" s="153"/>
      <c r="X809" s="153"/>
    </row>
    <row r="810" spans="1:24">
      <c r="A810" s="76"/>
      <c r="B810" s="77"/>
      <c r="C810" s="77"/>
      <c r="D810" s="77"/>
      <c r="E810" s="77"/>
      <c r="F810" s="77"/>
      <c r="G810" s="152"/>
      <c r="H810" s="153"/>
      <c r="I810" s="153"/>
      <c r="J810" s="153"/>
      <c r="K810" s="153"/>
      <c r="L810" s="153"/>
      <c r="M810" s="152"/>
      <c r="N810" s="153"/>
      <c r="O810" s="153"/>
      <c r="P810" s="153"/>
      <c r="Q810" s="153"/>
      <c r="R810" s="153"/>
      <c r="S810" s="152"/>
      <c r="T810" s="153"/>
      <c r="U810" s="153"/>
      <c r="V810" s="153"/>
      <c r="W810" s="153"/>
      <c r="X810" s="153"/>
    </row>
    <row r="811" spans="1:24">
      <c r="A811" s="76"/>
      <c r="B811" s="77"/>
      <c r="C811" s="77"/>
      <c r="D811" s="77"/>
      <c r="E811" s="77"/>
      <c r="F811" s="77"/>
      <c r="G811" s="152"/>
      <c r="H811" s="153"/>
      <c r="I811" s="153"/>
      <c r="J811" s="153"/>
      <c r="K811" s="153"/>
      <c r="L811" s="153"/>
      <c r="M811" s="152"/>
      <c r="N811" s="153"/>
      <c r="O811" s="153"/>
      <c r="P811" s="153"/>
      <c r="Q811" s="153"/>
      <c r="R811" s="153"/>
      <c r="S811" s="152"/>
      <c r="T811" s="153"/>
      <c r="U811" s="153"/>
      <c r="V811" s="153"/>
      <c r="W811" s="153"/>
      <c r="X811" s="153"/>
    </row>
    <row r="812" spans="1:24">
      <c r="A812" s="76"/>
      <c r="B812" s="77"/>
      <c r="C812" s="77"/>
      <c r="D812" s="77"/>
      <c r="E812" s="77"/>
      <c r="F812" s="77"/>
      <c r="G812" s="152"/>
      <c r="H812" s="153"/>
      <c r="I812" s="153"/>
      <c r="J812" s="153"/>
      <c r="K812" s="153"/>
      <c r="L812" s="153"/>
      <c r="M812" s="152"/>
      <c r="N812" s="153"/>
      <c r="O812" s="153"/>
      <c r="P812" s="153"/>
      <c r="Q812" s="153"/>
      <c r="R812" s="153"/>
      <c r="S812" s="152"/>
      <c r="T812" s="153"/>
      <c r="U812" s="153"/>
      <c r="V812" s="153"/>
      <c r="W812" s="153"/>
      <c r="X812" s="153"/>
    </row>
    <row r="813" spans="1:24">
      <c r="A813" s="76"/>
      <c r="B813" s="77"/>
      <c r="C813" s="77"/>
      <c r="D813" s="77"/>
      <c r="E813" s="77"/>
      <c r="F813" s="77"/>
      <c r="G813" s="152"/>
      <c r="H813" s="153"/>
      <c r="I813" s="153"/>
      <c r="J813" s="153"/>
      <c r="K813" s="153"/>
      <c r="L813" s="153"/>
      <c r="M813" s="152"/>
      <c r="N813" s="153"/>
      <c r="O813" s="153"/>
      <c r="P813" s="153"/>
      <c r="Q813" s="153"/>
      <c r="R813" s="153"/>
      <c r="S813" s="152"/>
      <c r="T813" s="153"/>
      <c r="U813" s="153"/>
      <c r="V813" s="153"/>
      <c r="W813" s="153"/>
      <c r="X813" s="153"/>
    </row>
    <row r="814" spans="1:24">
      <c r="A814" s="76"/>
      <c r="B814" s="77"/>
      <c r="C814" s="77"/>
      <c r="D814" s="77"/>
      <c r="E814" s="77"/>
      <c r="F814" s="77"/>
      <c r="G814" s="152"/>
      <c r="H814" s="153"/>
      <c r="I814" s="153"/>
      <c r="J814" s="153"/>
      <c r="K814" s="153"/>
      <c r="L814" s="153"/>
      <c r="M814" s="152"/>
      <c r="N814" s="153"/>
      <c r="O814" s="153"/>
      <c r="P814" s="153"/>
      <c r="Q814" s="153"/>
      <c r="R814" s="153"/>
      <c r="S814" s="152"/>
      <c r="T814" s="153"/>
      <c r="U814" s="153"/>
      <c r="V814" s="153"/>
      <c r="W814" s="153"/>
      <c r="X814" s="153"/>
    </row>
    <row r="815" spans="1:24">
      <c r="A815" s="76"/>
      <c r="B815" s="77"/>
      <c r="C815" s="77"/>
      <c r="D815" s="77"/>
      <c r="E815" s="77"/>
      <c r="F815" s="77"/>
      <c r="G815" s="152"/>
      <c r="H815" s="153"/>
      <c r="I815" s="153"/>
      <c r="J815" s="153"/>
      <c r="K815" s="153"/>
      <c r="L815" s="153"/>
      <c r="M815" s="152"/>
      <c r="N815" s="153"/>
      <c r="O815" s="153"/>
      <c r="P815" s="153"/>
      <c r="Q815" s="153"/>
      <c r="R815" s="153"/>
      <c r="S815" s="152"/>
      <c r="T815" s="153"/>
      <c r="U815" s="153"/>
      <c r="V815" s="153"/>
      <c r="W815" s="153"/>
      <c r="X815" s="153"/>
    </row>
    <row r="816" spans="1:24">
      <c r="A816" s="76"/>
      <c r="B816" s="77"/>
      <c r="C816" s="77"/>
      <c r="D816" s="77"/>
      <c r="E816" s="77"/>
      <c r="F816" s="77"/>
      <c r="G816" s="152"/>
      <c r="H816" s="153"/>
      <c r="I816" s="153"/>
      <c r="J816" s="153"/>
      <c r="K816" s="153"/>
      <c r="L816" s="153"/>
      <c r="M816" s="152"/>
      <c r="N816" s="153"/>
      <c r="O816" s="153"/>
      <c r="P816" s="153"/>
      <c r="Q816" s="153"/>
      <c r="R816" s="153"/>
      <c r="S816" s="152"/>
      <c r="T816" s="153"/>
      <c r="U816" s="153"/>
      <c r="V816" s="153"/>
      <c r="W816" s="153"/>
      <c r="X816" s="153"/>
    </row>
    <row r="817" spans="1:24">
      <c r="A817" s="76"/>
      <c r="B817" s="77"/>
      <c r="C817" s="77"/>
      <c r="D817" s="77"/>
      <c r="E817" s="77"/>
      <c r="F817" s="77"/>
      <c r="G817" s="152"/>
      <c r="H817" s="153"/>
      <c r="I817" s="153"/>
      <c r="J817" s="153"/>
      <c r="K817" s="153"/>
      <c r="L817" s="153"/>
      <c r="M817" s="152"/>
      <c r="N817" s="153"/>
      <c r="O817" s="153"/>
      <c r="P817" s="153"/>
      <c r="Q817" s="153"/>
      <c r="R817" s="153"/>
      <c r="S817" s="152"/>
      <c r="T817" s="153"/>
      <c r="U817" s="153"/>
      <c r="V817" s="153"/>
      <c r="W817" s="153"/>
      <c r="X817" s="153"/>
    </row>
    <row r="818" spans="1:24">
      <c r="A818" s="76"/>
      <c r="B818" s="77"/>
      <c r="C818" s="77"/>
      <c r="D818" s="77"/>
      <c r="E818" s="77"/>
      <c r="F818" s="77"/>
      <c r="G818" s="152"/>
      <c r="H818" s="153"/>
      <c r="I818" s="153"/>
      <c r="J818" s="153"/>
      <c r="K818" s="153"/>
      <c r="L818" s="153"/>
      <c r="M818" s="152"/>
      <c r="N818" s="153"/>
      <c r="O818" s="153"/>
      <c r="P818" s="153"/>
      <c r="Q818" s="153"/>
      <c r="R818" s="153"/>
      <c r="S818" s="152"/>
      <c r="T818" s="153"/>
      <c r="U818" s="153"/>
      <c r="V818" s="153"/>
      <c r="W818" s="153"/>
      <c r="X818" s="153"/>
    </row>
    <row r="819" spans="1:24">
      <c r="A819" s="76"/>
      <c r="B819" s="77"/>
      <c r="C819" s="77"/>
      <c r="D819" s="77"/>
      <c r="E819" s="77"/>
      <c r="F819" s="77"/>
      <c r="G819" s="152"/>
      <c r="H819" s="153"/>
      <c r="I819" s="153"/>
      <c r="J819" s="153"/>
      <c r="K819" s="153"/>
      <c r="L819" s="153"/>
      <c r="M819" s="152"/>
      <c r="N819" s="153"/>
      <c r="O819" s="153"/>
      <c r="P819" s="153"/>
      <c r="Q819" s="153"/>
      <c r="R819" s="153"/>
      <c r="S819" s="152"/>
      <c r="T819" s="153"/>
      <c r="U819" s="153"/>
      <c r="V819" s="153"/>
      <c r="W819" s="153"/>
      <c r="X819" s="153"/>
    </row>
    <row r="820" spans="1:24">
      <c r="A820" s="76"/>
      <c r="B820" s="77"/>
      <c r="C820" s="77"/>
      <c r="D820" s="77"/>
      <c r="E820" s="77"/>
      <c r="F820" s="77"/>
      <c r="G820" s="152"/>
      <c r="H820" s="153"/>
      <c r="I820" s="153"/>
      <c r="J820" s="153"/>
      <c r="K820" s="153"/>
      <c r="L820" s="153"/>
      <c r="M820" s="152"/>
      <c r="N820" s="153"/>
      <c r="O820" s="153"/>
      <c r="P820" s="153"/>
      <c r="Q820" s="153"/>
      <c r="R820" s="153"/>
      <c r="S820" s="152"/>
      <c r="T820" s="153"/>
      <c r="U820" s="153"/>
      <c r="V820" s="153"/>
      <c r="W820" s="153"/>
      <c r="X820" s="153"/>
    </row>
    <row r="821" spans="1:24">
      <c r="A821" s="76"/>
      <c r="B821" s="77"/>
      <c r="C821" s="77"/>
      <c r="D821" s="77"/>
      <c r="E821" s="77"/>
      <c r="F821" s="77"/>
      <c r="G821" s="152"/>
      <c r="H821" s="153"/>
      <c r="I821" s="153"/>
      <c r="J821" s="153"/>
      <c r="K821" s="153"/>
      <c r="L821" s="153"/>
      <c r="M821" s="152"/>
      <c r="N821" s="153"/>
      <c r="O821" s="153"/>
      <c r="P821" s="153"/>
      <c r="Q821" s="153"/>
      <c r="R821" s="153"/>
      <c r="S821" s="152"/>
      <c r="T821" s="153"/>
      <c r="U821" s="153"/>
      <c r="V821" s="153"/>
      <c r="W821" s="153"/>
      <c r="X821" s="153"/>
    </row>
    <row r="822" spans="1:24">
      <c r="A822" s="76"/>
      <c r="B822" s="77"/>
      <c r="C822" s="77"/>
      <c r="D822" s="77"/>
      <c r="E822" s="77"/>
      <c r="F822" s="77"/>
      <c r="G822" s="152"/>
      <c r="H822" s="153"/>
      <c r="I822" s="153"/>
      <c r="J822" s="153"/>
      <c r="K822" s="153"/>
      <c r="L822" s="153"/>
      <c r="M822" s="152"/>
      <c r="N822" s="153"/>
      <c r="O822" s="153"/>
      <c r="P822" s="153"/>
      <c r="Q822" s="153"/>
      <c r="R822" s="153"/>
      <c r="S822" s="152"/>
      <c r="T822" s="153"/>
      <c r="U822" s="153"/>
      <c r="V822" s="153"/>
      <c r="W822" s="153"/>
      <c r="X822" s="153"/>
    </row>
    <row r="823" spans="1:24">
      <c r="A823" s="76"/>
      <c r="B823" s="77"/>
      <c r="C823" s="77"/>
      <c r="D823" s="77"/>
      <c r="E823" s="77"/>
      <c r="F823" s="77"/>
      <c r="G823" s="152"/>
      <c r="H823" s="153"/>
      <c r="I823" s="153"/>
      <c r="J823" s="153"/>
      <c r="K823" s="153"/>
      <c r="L823" s="153"/>
      <c r="M823" s="152"/>
      <c r="N823" s="153"/>
      <c r="O823" s="153"/>
      <c r="P823" s="153"/>
      <c r="Q823" s="153"/>
      <c r="R823" s="153"/>
      <c r="S823" s="152"/>
      <c r="T823" s="153"/>
      <c r="U823" s="153"/>
      <c r="V823" s="153"/>
      <c r="W823" s="153"/>
      <c r="X823" s="153"/>
    </row>
    <row r="824" spans="1:24">
      <c r="A824" s="76"/>
      <c r="B824" s="77"/>
      <c r="C824" s="77"/>
      <c r="D824" s="77"/>
      <c r="E824" s="77"/>
      <c r="F824" s="77"/>
      <c r="G824" s="152"/>
      <c r="H824" s="153"/>
      <c r="I824" s="153"/>
      <c r="J824" s="153"/>
      <c r="K824" s="153"/>
      <c r="L824" s="153"/>
      <c r="M824" s="152"/>
      <c r="N824" s="153"/>
      <c r="O824" s="153"/>
      <c r="P824" s="153"/>
      <c r="Q824" s="153"/>
      <c r="R824" s="153"/>
      <c r="S824" s="152"/>
      <c r="T824" s="153"/>
      <c r="U824" s="153"/>
      <c r="V824" s="153"/>
      <c r="W824" s="153"/>
      <c r="X824" s="153"/>
    </row>
    <row r="825" spans="1:24">
      <c r="A825" s="76"/>
      <c r="B825" s="77"/>
      <c r="C825" s="77"/>
      <c r="D825" s="77"/>
      <c r="E825" s="77"/>
      <c r="F825" s="77"/>
      <c r="G825" s="152"/>
      <c r="H825" s="153"/>
      <c r="I825" s="153"/>
      <c r="J825" s="153"/>
      <c r="K825" s="153"/>
      <c r="L825" s="153"/>
      <c r="M825" s="152"/>
      <c r="N825" s="153"/>
      <c r="O825" s="153"/>
      <c r="P825" s="153"/>
      <c r="Q825" s="153"/>
      <c r="R825" s="153"/>
      <c r="S825" s="152"/>
      <c r="T825" s="153"/>
      <c r="U825" s="153"/>
      <c r="V825" s="153"/>
      <c r="W825" s="153"/>
      <c r="X825" s="153"/>
    </row>
    <row r="826" spans="1:24">
      <c r="A826" s="76"/>
      <c r="B826" s="77"/>
      <c r="C826" s="77"/>
      <c r="D826" s="77"/>
      <c r="E826" s="77"/>
      <c r="F826" s="77"/>
      <c r="G826" s="152"/>
      <c r="H826" s="153"/>
      <c r="I826" s="153"/>
      <c r="J826" s="153"/>
      <c r="K826" s="153"/>
      <c r="L826" s="153"/>
      <c r="M826" s="152"/>
      <c r="N826" s="153"/>
      <c r="O826" s="153"/>
      <c r="P826" s="153"/>
      <c r="Q826" s="153"/>
      <c r="R826" s="153"/>
      <c r="S826" s="152"/>
      <c r="T826" s="153"/>
      <c r="U826" s="153"/>
      <c r="V826" s="153"/>
      <c r="W826" s="153"/>
      <c r="X826" s="153"/>
    </row>
    <row r="827" spans="1:24">
      <c r="A827" s="76"/>
      <c r="B827" s="77"/>
      <c r="C827" s="77"/>
      <c r="D827" s="77"/>
      <c r="E827" s="77"/>
      <c r="F827" s="77"/>
      <c r="G827" s="152"/>
      <c r="H827" s="153"/>
      <c r="I827" s="153"/>
      <c r="J827" s="153"/>
      <c r="K827" s="153"/>
      <c r="L827" s="153"/>
      <c r="M827" s="152"/>
      <c r="N827" s="153"/>
      <c r="O827" s="153"/>
      <c r="P827" s="153"/>
      <c r="Q827" s="153"/>
      <c r="R827" s="153"/>
      <c r="S827" s="152"/>
      <c r="T827" s="153"/>
      <c r="U827" s="153"/>
      <c r="V827" s="153"/>
      <c r="W827" s="153"/>
      <c r="X827" s="153"/>
    </row>
    <row r="828" spans="1:24">
      <c r="A828" s="76"/>
      <c r="B828" s="77"/>
      <c r="C828" s="77"/>
      <c r="D828" s="77"/>
      <c r="E828" s="77"/>
      <c r="F828" s="77"/>
      <c r="G828" s="152"/>
      <c r="H828" s="153"/>
      <c r="I828" s="153"/>
      <c r="J828" s="153"/>
      <c r="K828" s="153"/>
      <c r="L828" s="153"/>
      <c r="M828" s="152"/>
      <c r="N828" s="153"/>
      <c r="O828" s="153"/>
      <c r="P828" s="153"/>
      <c r="Q828" s="153"/>
      <c r="R828" s="153"/>
      <c r="S828" s="152"/>
      <c r="T828" s="153"/>
      <c r="U828" s="153"/>
      <c r="V828" s="153"/>
      <c r="W828" s="153"/>
      <c r="X828" s="153"/>
    </row>
    <row r="829" spans="1:24">
      <c r="A829" s="76"/>
      <c r="B829" s="77"/>
      <c r="C829" s="77"/>
      <c r="D829" s="77"/>
      <c r="E829" s="77"/>
      <c r="F829" s="77"/>
      <c r="G829" s="152"/>
      <c r="H829" s="153"/>
      <c r="I829" s="153"/>
      <c r="J829" s="153"/>
      <c r="K829" s="153"/>
      <c r="L829" s="153"/>
      <c r="M829" s="152"/>
      <c r="N829" s="153"/>
      <c r="O829" s="153"/>
      <c r="P829" s="153"/>
      <c r="Q829" s="153"/>
      <c r="R829" s="153"/>
      <c r="S829" s="152"/>
      <c r="T829" s="153"/>
      <c r="U829" s="153"/>
      <c r="V829" s="153"/>
      <c r="W829" s="153"/>
      <c r="X829" s="153"/>
    </row>
    <row r="830" spans="1:24">
      <c r="A830" s="76"/>
      <c r="B830" s="77"/>
      <c r="C830" s="77"/>
      <c r="D830" s="77"/>
      <c r="E830" s="77"/>
      <c r="F830" s="77"/>
      <c r="G830" s="152"/>
      <c r="H830" s="153"/>
      <c r="I830" s="153"/>
      <c r="J830" s="153"/>
      <c r="K830" s="153"/>
      <c r="L830" s="153"/>
      <c r="M830" s="152"/>
      <c r="N830" s="153"/>
      <c r="O830" s="153"/>
      <c r="P830" s="153"/>
      <c r="Q830" s="153"/>
      <c r="R830" s="153"/>
      <c r="S830" s="152"/>
      <c r="T830" s="153"/>
      <c r="U830" s="153"/>
      <c r="V830" s="153"/>
      <c r="W830" s="153"/>
      <c r="X830" s="153"/>
    </row>
    <row r="831" spans="1:24">
      <c r="A831" s="76"/>
      <c r="B831" s="77"/>
      <c r="C831" s="77"/>
      <c r="D831" s="77"/>
      <c r="E831" s="77"/>
      <c r="F831" s="77"/>
      <c r="G831" s="152"/>
      <c r="H831" s="153"/>
      <c r="I831" s="153"/>
      <c r="J831" s="153"/>
      <c r="K831" s="153"/>
      <c r="L831" s="153"/>
      <c r="M831" s="152"/>
      <c r="N831" s="153"/>
      <c r="O831" s="153"/>
      <c r="P831" s="153"/>
      <c r="Q831" s="153"/>
      <c r="R831" s="153"/>
      <c r="S831" s="152"/>
      <c r="T831" s="153"/>
      <c r="U831" s="153"/>
      <c r="V831" s="153"/>
      <c r="W831" s="153"/>
      <c r="X831" s="153"/>
    </row>
    <row r="832" spans="1:24">
      <c r="A832" s="76"/>
      <c r="B832" s="77"/>
      <c r="C832" s="77"/>
      <c r="D832" s="77"/>
      <c r="E832" s="77"/>
      <c r="F832" s="77"/>
      <c r="G832" s="152"/>
      <c r="H832" s="153"/>
      <c r="I832" s="153"/>
      <c r="J832" s="153"/>
      <c r="K832" s="153"/>
      <c r="L832" s="153"/>
      <c r="M832" s="152"/>
      <c r="N832" s="153"/>
      <c r="O832" s="153"/>
      <c r="P832" s="153"/>
      <c r="Q832" s="153"/>
      <c r="R832" s="153"/>
      <c r="S832" s="152"/>
      <c r="T832" s="153"/>
      <c r="U832" s="153"/>
      <c r="V832" s="153"/>
      <c r="W832" s="153"/>
      <c r="X832" s="153"/>
    </row>
    <row r="833" spans="1:24">
      <c r="A833" s="76"/>
      <c r="B833" s="77"/>
      <c r="C833" s="77"/>
      <c r="D833" s="77"/>
      <c r="E833" s="77"/>
      <c r="F833" s="77"/>
      <c r="G833" s="152"/>
      <c r="H833" s="153"/>
      <c r="I833" s="153"/>
      <c r="J833" s="153"/>
      <c r="K833" s="153"/>
      <c r="L833" s="153"/>
      <c r="M833" s="152"/>
      <c r="N833" s="153"/>
      <c r="O833" s="153"/>
      <c r="P833" s="153"/>
      <c r="Q833" s="153"/>
      <c r="R833" s="153"/>
      <c r="S833" s="152"/>
      <c r="T833" s="153"/>
      <c r="U833" s="153"/>
      <c r="V833" s="153"/>
      <c r="W833" s="153"/>
      <c r="X833" s="153"/>
    </row>
    <row r="834" spans="1:24">
      <c r="A834" s="76"/>
      <c r="B834" s="77"/>
      <c r="C834" s="77"/>
      <c r="D834" s="77"/>
      <c r="E834" s="77"/>
      <c r="F834" s="77"/>
      <c r="G834" s="152"/>
      <c r="H834" s="153"/>
      <c r="I834" s="153"/>
      <c r="J834" s="153"/>
      <c r="K834" s="153"/>
      <c r="L834" s="153"/>
      <c r="M834" s="152"/>
      <c r="N834" s="153"/>
      <c r="O834" s="153"/>
      <c r="P834" s="153"/>
      <c r="Q834" s="153"/>
      <c r="R834" s="153"/>
      <c r="S834" s="152"/>
      <c r="T834" s="153"/>
      <c r="U834" s="153"/>
      <c r="V834" s="153"/>
      <c r="W834" s="153"/>
      <c r="X834" s="153"/>
    </row>
    <row r="835" spans="1:24">
      <c r="A835" s="76"/>
      <c r="B835" s="77"/>
      <c r="C835" s="77"/>
      <c r="D835" s="77"/>
      <c r="E835" s="77"/>
      <c r="F835" s="77"/>
      <c r="G835" s="152"/>
      <c r="H835" s="153"/>
      <c r="I835" s="153"/>
      <c r="J835" s="153"/>
      <c r="K835" s="153"/>
      <c r="L835" s="153"/>
      <c r="M835" s="152"/>
      <c r="N835" s="153"/>
      <c r="O835" s="153"/>
      <c r="P835" s="153"/>
      <c r="Q835" s="153"/>
      <c r="R835" s="153"/>
      <c r="S835" s="152"/>
      <c r="T835" s="153"/>
      <c r="U835" s="153"/>
      <c r="V835" s="153"/>
      <c r="W835" s="153"/>
      <c r="X835" s="153"/>
    </row>
    <row r="836" spans="1:24">
      <c r="A836" s="76"/>
      <c r="B836" s="77"/>
      <c r="C836" s="77"/>
      <c r="D836" s="77"/>
      <c r="E836" s="77"/>
      <c r="F836" s="77"/>
      <c r="G836" s="152"/>
      <c r="H836" s="153"/>
      <c r="I836" s="153"/>
      <c r="J836" s="153"/>
      <c r="K836" s="153"/>
      <c r="L836" s="153"/>
      <c r="M836" s="152"/>
      <c r="N836" s="153"/>
      <c r="O836" s="153"/>
      <c r="P836" s="153"/>
      <c r="Q836" s="153"/>
      <c r="R836" s="153"/>
      <c r="S836" s="152"/>
      <c r="T836" s="153"/>
      <c r="U836" s="153"/>
      <c r="V836" s="153"/>
      <c r="W836" s="153"/>
      <c r="X836" s="153"/>
    </row>
    <row r="837" spans="1:24">
      <c r="A837" s="76"/>
      <c r="B837" s="77"/>
      <c r="C837" s="77"/>
      <c r="D837" s="77"/>
      <c r="E837" s="77"/>
      <c r="F837" s="77"/>
      <c r="G837" s="152"/>
      <c r="H837" s="153"/>
      <c r="I837" s="153"/>
      <c r="J837" s="153"/>
      <c r="K837" s="153"/>
      <c r="L837" s="153"/>
      <c r="M837" s="152"/>
      <c r="N837" s="153"/>
      <c r="O837" s="153"/>
      <c r="P837" s="153"/>
      <c r="Q837" s="153"/>
      <c r="R837" s="153"/>
      <c r="S837" s="152"/>
      <c r="T837" s="153"/>
      <c r="U837" s="153"/>
      <c r="V837" s="153"/>
      <c r="W837" s="153"/>
      <c r="X837" s="153"/>
    </row>
    <row r="838" spans="1:24">
      <c r="A838" s="76"/>
      <c r="B838" s="77"/>
      <c r="C838" s="77"/>
      <c r="D838" s="77"/>
      <c r="E838" s="77"/>
      <c r="F838" s="77"/>
      <c r="G838" s="152"/>
      <c r="H838" s="153"/>
      <c r="I838" s="153"/>
      <c r="J838" s="153"/>
      <c r="K838" s="153"/>
      <c r="L838" s="153"/>
      <c r="M838" s="152"/>
      <c r="N838" s="153"/>
      <c r="O838" s="153"/>
      <c r="P838" s="153"/>
      <c r="Q838" s="153"/>
      <c r="R838" s="153"/>
      <c r="S838" s="152"/>
      <c r="T838" s="153"/>
      <c r="U838" s="153"/>
      <c r="V838" s="153"/>
      <c r="W838" s="153"/>
      <c r="X838" s="153"/>
    </row>
    <row r="839" spans="1:24">
      <c r="A839" s="76"/>
      <c r="B839" s="77"/>
      <c r="C839" s="77"/>
      <c r="D839" s="77"/>
      <c r="E839" s="77"/>
      <c r="F839" s="77"/>
      <c r="G839" s="152"/>
      <c r="H839" s="153"/>
      <c r="I839" s="153"/>
      <c r="J839" s="153"/>
      <c r="K839" s="153"/>
      <c r="L839" s="153"/>
      <c r="M839" s="152"/>
      <c r="N839" s="153"/>
      <c r="O839" s="153"/>
      <c r="P839" s="153"/>
      <c r="Q839" s="153"/>
      <c r="R839" s="153"/>
      <c r="S839" s="152"/>
      <c r="T839" s="153"/>
      <c r="U839" s="153"/>
      <c r="V839" s="153"/>
      <c r="W839" s="153"/>
      <c r="X839" s="153"/>
    </row>
    <row r="840" spans="1:24">
      <c r="A840" s="76"/>
      <c r="B840" s="77"/>
      <c r="C840" s="77"/>
      <c r="D840" s="77"/>
      <c r="E840" s="77"/>
      <c r="F840" s="77"/>
      <c r="G840" s="152"/>
      <c r="H840" s="153"/>
      <c r="I840" s="153"/>
      <c r="J840" s="153"/>
      <c r="K840" s="153"/>
      <c r="L840" s="153"/>
      <c r="M840" s="152"/>
      <c r="N840" s="153"/>
      <c r="O840" s="153"/>
      <c r="P840" s="153"/>
      <c r="Q840" s="153"/>
      <c r="R840" s="153"/>
      <c r="S840" s="152"/>
      <c r="T840" s="153"/>
      <c r="U840" s="153"/>
      <c r="V840" s="153"/>
      <c r="W840" s="153"/>
      <c r="X840" s="153"/>
    </row>
    <row r="841" spans="1:24">
      <c r="A841" s="76"/>
      <c r="B841" s="77"/>
      <c r="C841" s="77"/>
      <c r="D841" s="77"/>
      <c r="E841" s="77"/>
      <c r="F841" s="77"/>
      <c r="G841" s="152"/>
      <c r="H841" s="153"/>
      <c r="I841" s="153"/>
      <c r="J841" s="153"/>
      <c r="K841" s="153"/>
      <c r="L841" s="153"/>
      <c r="M841" s="152"/>
      <c r="N841" s="153"/>
      <c r="O841" s="153"/>
      <c r="P841" s="153"/>
      <c r="Q841" s="153"/>
      <c r="R841" s="153"/>
      <c r="S841" s="152"/>
      <c r="T841" s="153"/>
      <c r="U841" s="153"/>
      <c r="V841" s="153"/>
      <c r="W841" s="153"/>
      <c r="X841" s="153"/>
    </row>
    <row r="842" spans="1:24">
      <c r="A842" s="76"/>
      <c r="B842" s="77"/>
      <c r="C842" s="77"/>
      <c r="D842" s="77"/>
      <c r="E842" s="77"/>
      <c r="F842" s="77"/>
      <c r="G842" s="152"/>
      <c r="H842" s="153"/>
      <c r="I842" s="153"/>
      <c r="J842" s="153"/>
      <c r="K842" s="153"/>
      <c r="L842" s="153"/>
      <c r="M842" s="152"/>
      <c r="N842" s="153"/>
      <c r="O842" s="153"/>
      <c r="P842" s="153"/>
      <c r="Q842" s="153"/>
      <c r="R842" s="153"/>
      <c r="S842" s="152"/>
      <c r="T842" s="153"/>
      <c r="U842" s="153"/>
      <c r="V842" s="153"/>
      <c r="W842" s="153"/>
      <c r="X842" s="153"/>
    </row>
    <row r="843" spans="1:24">
      <c r="A843" s="76"/>
      <c r="B843" s="77"/>
      <c r="C843" s="77"/>
      <c r="D843" s="77"/>
      <c r="E843" s="77"/>
      <c r="F843" s="77"/>
      <c r="G843" s="152"/>
      <c r="H843" s="153"/>
      <c r="I843" s="153"/>
      <c r="J843" s="153"/>
      <c r="K843" s="153"/>
      <c r="L843" s="153"/>
      <c r="M843" s="152"/>
      <c r="N843" s="153"/>
      <c r="O843" s="153"/>
      <c r="P843" s="153"/>
      <c r="Q843" s="153"/>
      <c r="R843" s="153"/>
      <c r="S843" s="152"/>
      <c r="T843" s="153"/>
      <c r="U843" s="153"/>
      <c r="V843" s="153"/>
      <c r="W843" s="153"/>
      <c r="X843" s="153"/>
    </row>
    <row r="844" spans="1:24">
      <c r="A844" s="76"/>
      <c r="B844" s="77"/>
      <c r="C844" s="77"/>
      <c r="D844" s="77"/>
      <c r="E844" s="77"/>
      <c r="F844" s="77"/>
      <c r="G844" s="152"/>
      <c r="H844" s="153"/>
      <c r="I844" s="153"/>
      <c r="J844" s="153"/>
      <c r="K844" s="153"/>
      <c r="L844" s="153"/>
      <c r="M844" s="152"/>
      <c r="N844" s="153"/>
      <c r="O844" s="153"/>
      <c r="P844" s="153"/>
      <c r="Q844" s="153"/>
      <c r="R844" s="153"/>
      <c r="S844" s="152"/>
      <c r="T844" s="153"/>
      <c r="U844" s="153"/>
      <c r="V844" s="153"/>
      <c r="W844" s="153"/>
      <c r="X844" s="153"/>
    </row>
    <row r="845" spans="1:24">
      <c r="A845" s="76"/>
      <c r="B845" s="77"/>
      <c r="C845" s="77"/>
      <c r="D845" s="77"/>
      <c r="E845" s="77"/>
      <c r="F845" s="77"/>
      <c r="G845" s="152"/>
      <c r="H845" s="153"/>
      <c r="I845" s="153"/>
      <c r="J845" s="153"/>
      <c r="K845" s="153"/>
      <c r="L845" s="153"/>
      <c r="M845" s="152"/>
      <c r="N845" s="153"/>
      <c r="O845" s="153"/>
      <c r="P845" s="153"/>
      <c r="Q845" s="153"/>
      <c r="R845" s="153"/>
      <c r="S845" s="152"/>
      <c r="T845" s="153"/>
      <c r="U845" s="153"/>
      <c r="V845" s="153"/>
      <c r="W845" s="153"/>
      <c r="X845" s="153"/>
    </row>
    <row r="846" spans="1:24">
      <c r="A846" s="76"/>
      <c r="B846" s="77"/>
      <c r="C846" s="77"/>
      <c r="D846" s="77"/>
      <c r="E846" s="77"/>
      <c r="F846" s="77"/>
      <c r="G846" s="152"/>
      <c r="H846" s="153"/>
      <c r="I846" s="153"/>
      <c r="J846" s="153"/>
      <c r="K846" s="153"/>
      <c r="L846" s="153"/>
      <c r="M846" s="152"/>
      <c r="N846" s="153"/>
      <c r="O846" s="153"/>
      <c r="P846" s="153"/>
      <c r="Q846" s="153"/>
      <c r="R846" s="153"/>
      <c r="S846" s="152"/>
      <c r="T846" s="153"/>
      <c r="U846" s="153"/>
      <c r="V846" s="153"/>
      <c r="W846" s="153"/>
      <c r="X846" s="153"/>
    </row>
    <row r="847" spans="1:24">
      <c r="A847" s="76"/>
      <c r="B847" s="77"/>
      <c r="C847" s="77"/>
      <c r="D847" s="77"/>
      <c r="E847" s="77"/>
      <c r="F847" s="77"/>
      <c r="G847" s="152"/>
      <c r="H847" s="153"/>
      <c r="I847" s="153"/>
      <c r="J847" s="153"/>
      <c r="K847" s="153"/>
      <c r="L847" s="153"/>
      <c r="M847" s="152"/>
      <c r="N847" s="153"/>
      <c r="O847" s="153"/>
      <c r="P847" s="153"/>
      <c r="Q847" s="153"/>
      <c r="R847" s="153"/>
      <c r="S847" s="152"/>
      <c r="T847" s="153"/>
      <c r="U847" s="153"/>
      <c r="V847" s="153"/>
      <c r="W847" s="153"/>
      <c r="X847" s="153"/>
    </row>
    <row r="848" spans="1:24">
      <c r="A848" s="76"/>
      <c r="B848" s="77"/>
      <c r="C848" s="77"/>
      <c r="D848" s="77"/>
      <c r="E848" s="77"/>
      <c r="F848" s="77"/>
      <c r="G848" s="152"/>
      <c r="H848" s="153"/>
      <c r="I848" s="153"/>
      <c r="J848" s="153"/>
      <c r="K848" s="153"/>
      <c r="L848" s="153"/>
      <c r="M848" s="152"/>
      <c r="N848" s="153"/>
      <c r="O848" s="153"/>
      <c r="P848" s="153"/>
      <c r="Q848" s="153"/>
      <c r="R848" s="153"/>
      <c r="S848" s="152"/>
      <c r="T848" s="153"/>
      <c r="U848" s="153"/>
      <c r="V848" s="153"/>
      <c r="W848" s="153"/>
      <c r="X848" s="153"/>
    </row>
    <row r="849" spans="1:24">
      <c r="A849" s="76"/>
      <c r="B849" s="77"/>
      <c r="C849" s="77"/>
      <c r="D849" s="77"/>
      <c r="E849" s="77"/>
      <c r="F849" s="77"/>
      <c r="G849" s="152"/>
      <c r="H849" s="153"/>
      <c r="I849" s="153"/>
      <c r="J849" s="153"/>
      <c r="K849" s="153"/>
      <c r="L849" s="153"/>
      <c r="M849" s="152"/>
      <c r="N849" s="153"/>
      <c r="O849" s="153"/>
      <c r="P849" s="153"/>
      <c r="Q849" s="153"/>
      <c r="R849" s="153"/>
      <c r="S849" s="152"/>
      <c r="T849" s="153"/>
      <c r="U849" s="153"/>
      <c r="V849" s="153"/>
      <c r="W849" s="153"/>
      <c r="X849" s="153"/>
    </row>
    <row r="850" spans="1:24">
      <c r="A850" s="76"/>
      <c r="B850" s="77"/>
      <c r="C850" s="77"/>
      <c r="D850" s="77"/>
      <c r="E850" s="77"/>
      <c r="F850" s="77"/>
      <c r="G850" s="152"/>
      <c r="H850" s="153"/>
      <c r="I850" s="153"/>
      <c r="J850" s="153"/>
      <c r="K850" s="153"/>
      <c r="L850" s="153"/>
      <c r="M850" s="152"/>
      <c r="N850" s="153"/>
      <c r="O850" s="153"/>
      <c r="P850" s="153"/>
      <c r="Q850" s="153"/>
      <c r="R850" s="153"/>
      <c r="S850" s="152"/>
      <c r="T850" s="153"/>
      <c r="U850" s="153"/>
      <c r="V850" s="153"/>
      <c r="W850" s="153"/>
      <c r="X850" s="153"/>
    </row>
    <row r="851" spans="1:24">
      <c r="A851" s="76"/>
      <c r="B851" s="77"/>
      <c r="C851" s="77"/>
      <c r="D851" s="77"/>
      <c r="E851" s="77"/>
      <c r="F851" s="77"/>
      <c r="G851" s="152"/>
      <c r="H851" s="153"/>
      <c r="I851" s="153"/>
      <c r="J851" s="153"/>
      <c r="K851" s="153"/>
      <c r="L851" s="153"/>
      <c r="M851" s="152"/>
      <c r="N851" s="153"/>
      <c r="O851" s="153"/>
      <c r="P851" s="153"/>
      <c r="Q851" s="153"/>
      <c r="R851" s="153"/>
      <c r="S851" s="152"/>
      <c r="T851" s="153"/>
      <c r="U851" s="153"/>
      <c r="V851" s="153"/>
      <c r="W851" s="153"/>
      <c r="X851" s="153"/>
    </row>
    <row r="852" spans="1:24">
      <c r="A852" s="76"/>
      <c r="B852" s="77"/>
      <c r="C852" s="77"/>
      <c r="D852" s="77"/>
      <c r="E852" s="77"/>
      <c r="F852" s="77"/>
      <c r="G852" s="152"/>
      <c r="H852" s="153"/>
      <c r="I852" s="153"/>
      <c r="J852" s="153"/>
      <c r="K852" s="153"/>
      <c r="L852" s="153"/>
      <c r="M852" s="152"/>
      <c r="N852" s="153"/>
      <c r="O852" s="153"/>
      <c r="P852" s="153"/>
      <c r="Q852" s="153"/>
      <c r="R852" s="153"/>
      <c r="S852" s="152"/>
      <c r="T852" s="153"/>
      <c r="U852" s="153"/>
      <c r="V852" s="153"/>
      <c r="W852" s="153"/>
      <c r="X852" s="153"/>
    </row>
    <row r="853" spans="1:24">
      <c r="A853" s="76"/>
      <c r="B853" s="77"/>
      <c r="C853" s="77"/>
      <c r="D853" s="77"/>
      <c r="E853" s="77"/>
      <c r="F853" s="77"/>
      <c r="G853" s="152"/>
      <c r="H853" s="153"/>
      <c r="I853" s="153"/>
      <c r="J853" s="153"/>
      <c r="K853" s="153"/>
      <c r="L853" s="153"/>
      <c r="M853" s="152"/>
      <c r="N853" s="153"/>
      <c r="O853" s="153"/>
      <c r="P853" s="153"/>
      <c r="Q853" s="153"/>
      <c r="R853" s="153"/>
      <c r="S853" s="152"/>
      <c r="T853" s="153"/>
      <c r="U853" s="153"/>
      <c r="V853" s="153"/>
      <c r="W853" s="153"/>
      <c r="X853" s="153"/>
    </row>
    <row r="854" spans="1:24">
      <c r="A854" s="76"/>
      <c r="B854" s="77"/>
      <c r="C854" s="77"/>
      <c r="D854" s="77"/>
      <c r="E854" s="77"/>
      <c r="F854" s="77"/>
      <c r="G854" s="152"/>
      <c r="H854" s="153"/>
      <c r="I854" s="153"/>
      <c r="J854" s="153"/>
      <c r="K854" s="153"/>
      <c r="L854" s="153"/>
      <c r="M854" s="152"/>
      <c r="N854" s="153"/>
      <c r="O854" s="153"/>
      <c r="P854" s="153"/>
      <c r="Q854" s="153"/>
      <c r="R854" s="153"/>
      <c r="S854" s="152"/>
      <c r="T854" s="153"/>
      <c r="U854" s="153"/>
      <c r="V854" s="153"/>
      <c r="W854" s="153"/>
      <c r="X854" s="153"/>
    </row>
    <row r="855" spans="1:24">
      <c r="A855" s="76"/>
      <c r="B855" s="77"/>
      <c r="C855" s="77"/>
      <c r="D855" s="77"/>
      <c r="E855" s="77"/>
      <c r="F855" s="77"/>
      <c r="G855" s="152"/>
      <c r="H855" s="153"/>
      <c r="I855" s="153"/>
      <c r="J855" s="153"/>
      <c r="K855" s="153"/>
      <c r="L855" s="153"/>
      <c r="M855" s="152"/>
      <c r="N855" s="153"/>
      <c r="O855" s="153"/>
      <c r="P855" s="153"/>
      <c r="Q855" s="153"/>
      <c r="R855" s="153"/>
      <c r="S855" s="152"/>
      <c r="T855" s="153"/>
      <c r="U855" s="153"/>
      <c r="V855" s="153"/>
      <c r="W855" s="153"/>
      <c r="X855" s="153"/>
    </row>
    <row r="856" spans="1:24">
      <c r="A856" s="76"/>
      <c r="B856" s="77"/>
      <c r="C856" s="77"/>
      <c r="D856" s="77"/>
      <c r="E856" s="77"/>
      <c r="F856" s="77"/>
      <c r="G856" s="152"/>
      <c r="H856" s="153"/>
      <c r="I856" s="153"/>
      <c r="J856" s="153"/>
      <c r="K856" s="153"/>
      <c r="L856" s="153"/>
      <c r="M856" s="152"/>
      <c r="N856" s="153"/>
      <c r="O856" s="153"/>
      <c r="P856" s="153"/>
      <c r="Q856" s="153"/>
      <c r="R856" s="153"/>
      <c r="S856" s="152"/>
      <c r="T856" s="153"/>
      <c r="U856" s="153"/>
      <c r="V856" s="153"/>
      <c r="W856" s="153"/>
      <c r="X856" s="153"/>
    </row>
    <row r="857" spans="1:24">
      <c r="A857" s="76"/>
      <c r="B857" s="77"/>
      <c r="C857" s="77"/>
      <c r="D857" s="77"/>
      <c r="E857" s="77"/>
      <c r="F857" s="77"/>
      <c r="G857" s="152"/>
      <c r="H857" s="153"/>
      <c r="I857" s="153"/>
      <c r="J857" s="153"/>
      <c r="K857" s="153"/>
      <c r="L857" s="153"/>
      <c r="M857" s="152"/>
      <c r="N857" s="153"/>
      <c r="O857" s="153"/>
      <c r="P857" s="153"/>
      <c r="Q857" s="153"/>
      <c r="R857" s="153"/>
      <c r="S857" s="152"/>
      <c r="T857" s="153"/>
      <c r="U857" s="153"/>
      <c r="V857" s="153"/>
      <c r="W857" s="153"/>
      <c r="X857" s="153"/>
    </row>
    <row r="858" spans="1:24">
      <c r="A858" s="76"/>
      <c r="B858" s="77"/>
      <c r="C858" s="77"/>
      <c r="D858" s="77"/>
      <c r="E858" s="77"/>
      <c r="F858" s="77"/>
      <c r="G858" s="152"/>
      <c r="H858" s="153"/>
      <c r="I858" s="153"/>
      <c r="J858" s="153"/>
      <c r="K858" s="153"/>
      <c r="L858" s="153"/>
      <c r="M858" s="152"/>
      <c r="N858" s="153"/>
      <c r="O858" s="153"/>
      <c r="P858" s="153"/>
      <c r="Q858" s="153"/>
      <c r="R858" s="153"/>
      <c r="S858" s="152"/>
      <c r="T858" s="153"/>
      <c r="U858" s="153"/>
      <c r="V858" s="153"/>
      <c r="W858" s="153"/>
      <c r="X858" s="153"/>
    </row>
    <row r="859" spans="1:24">
      <c r="A859" s="76"/>
      <c r="B859" s="77"/>
      <c r="C859" s="77"/>
      <c r="D859" s="77"/>
      <c r="E859" s="77"/>
      <c r="F859" s="77"/>
      <c r="G859" s="152"/>
      <c r="H859" s="153"/>
      <c r="I859" s="153"/>
      <c r="J859" s="153"/>
      <c r="K859" s="153"/>
      <c r="L859" s="153"/>
      <c r="M859" s="152"/>
      <c r="N859" s="153"/>
      <c r="O859" s="153"/>
      <c r="P859" s="153"/>
      <c r="Q859" s="153"/>
      <c r="R859" s="153"/>
      <c r="S859" s="152"/>
      <c r="T859" s="153"/>
      <c r="U859" s="153"/>
      <c r="V859" s="153"/>
      <c r="W859" s="153"/>
      <c r="X859" s="153"/>
    </row>
    <row r="860" spans="1:24">
      <c r="A860" s="76"/>
      <c r="B860" s="77"/>
      <c r="C860" s="77"/>
      <c r="D860" s="77"/>
      <c r="E860" s="77"/>
      <c r="F860" s="77"/>
      <c r="G860" s="152"/>
      <c r="H860" s="153"/>
      <c r="I860" s="153"/>
      <c r="J860" s="153"/>
      <c r="K860" s="153"/>
      <c r="L860" s="153"/>
      <c r="M860" s="152"/>
      <c r="N860" s="153"/>
      <c r="O860" s="153"/>
      <c r="P860" s="153"/>
      <c r="Q860" s="153"/>
      <c r="R860" s="153"/>
      <c r="S860" s="152"/>
      <c r="T860" s="153"/>
      <c r="U860" s="153"/>
      <c r="V860" s="153"/>
      <c r="W860" s="153"/>
      <c r="X860" s="153"/>
    </row>
    <row r="861" spans="1:24">
      <c r="A861" s="76"/>
      <c r="B861" s="77"/>
      <c r="C861" s="77"/>
      <c r="D861" s="77"/>
      <c r="E861" s="77"/>
      <c r="F861" s="77"/>
      <c r="G861" s="152"/>
      <c r="H861" s="153"/>
      <c r="I861" s="153"/>
      <c r="J861" s="153"/>
      <c r="K861" s="153"/>
      <c r="L861" s="153"/>
      <c r="M861" s="152"/>
      <c r="N861" s="153"/>
      <c r="O861" s="153"/>
      <c r="P861" s="153"/>
      <c r="Q861" s="153"/>
      <c r="R861" s="153"/>
      <c r="S861" s="152"/>
      <c r="T861" s="153"/>
      <c r="U861" s="153"/>
      <c r="V861" s="153"/>
      <c r="W861" s="153"/>
      <c r="X861" s="153"/>
    </row>
    <row r="862" spans="1:24">
      <c r="A862" s="76"/>
      <c r="B862" s="77"/>
      <c r="C862" s="77"/>
      <c r="D862" s="77"/>
      <c r="E862" s="77"/>
      <c r="F862" s="77"/>
      <c r="G862" s="152"/>
      <c r="H862" s="153"/>
      <c r="I862" s="153"/>
      <c r="J862" s="153"/>
      <c r="K862" s="153"/>
      <c r="L862" s="153"/>
      <c r="M862" s="152"/>
      <c r="N862" s="153"/>
      <c r="O862" s="153"/>
      <c r="P862" s="153"/>
      <c r="Q862" s="153"/>
      <c r="R862" s="153"/>
      <c r="S862" s="152"/>
      <c r="T862" s="153"/>
      <c r="U862" s="153"/>
      <c r="V862" s="153"/>
      <c r="W862" s="153"/>
      <c r="X862" s="153"/>
    </row>
    <row r="863" spans="1:24">
      <c r="A863" s="76"/>
      <c r="B863" s="77"/>
      <c r="C863" s="77"/>
      <c r="D863" s="77"/>
      <c r="E863" s="77"/>
      <c r="F863" s="77"/>
      <c r="G863" s="152"/>
      <c r="H863" s="153"/>
      <c r="I863" s="153"/>
      <c r="J863" s="153"/>
      <c r="K863" s="153"/>
      <c r="L863" s="153"/>
      <c r="M863" s="152"/>
      <c r="N863" s="153"/>
      <c r="O863" s="153"/>
      <c r="P863" s="153"/>
      <c r="Q863" s="153"/>
      <c r="R863" s="153"/>
      <c r="S863" s="152"/>
      <c r="T863" s="153"/>
      <c r="U863" s="153"/>
      <c r="V863" s="153"/>
      <c r="W863" s="153"/>
      <c r="X863" s="153"/>
    </row>
    <row r="864" spans="1:24">
      <c r="A864" s="76"/>
      <c r="B864" s="77"/>
      <c r="C864" s="77"/>
      <c r="D864" s="77"/>
      <c r="E864" s="77"/>
      <c r="F864" s="77"/>
      <c r="G864" s="152"/>
      <c r="H864" s="153"/>
      <c r="I864" s="153"/>
      <c r="J864" s="153"/>
      <c r="K864" s="153"/>
      <c r="L864" s="153"/>
      <c r="M864" s="152"/>
      <c r="N864" s="153"/>
      <c r="O864" s="153"/>
      <c r="P864" s="153"/>
      <c r="Q864" s="153"/>
      <c r="R864" s="153"/>
      <c r="S864" s="152"/>
      <c r="T864" s="153"/>
      <c r="U864" s="153"/>
      <c r="V864" s="153"/>
      <c r="W864" s="153"/>
      <c r="X864" s="153"/>
    </row>
    <row r="865" spans="1:24">
      <c r="A865" s="76"/>
      <c r="B865" s="77"/>
      <c r="C865" s="77"/>
      <c r="D865" s="77"/>
      <c r="E865" s="77"/>
      <c r="F865" s="77"/>
      <c r="G865" s="152"/>
      <c r="H865" s="153"/>
      <c r="I865" s="153"/>
      <c r="J865" s="153"/>
      <c r="K865" s="153"/>
      <c r="L865" s="153"/>
      <c r="M865" s="152"/>
      <c r="N865" s="153"/>
      <c r="O865" s="153"/>
      <c r="P865" s="153"/>
      <c r="Q865" s="153"/>
      <c r="R865" s="153"/>
      <c r="S865" s="152"/>
      <c r="T865" s="153"/>
      <c r="U865" s="153"/>
      <c r="V865" s="153"/>
      <c r="W865" s="153"/>
      <c r="X865" s="153"/>
    </row>
    <row r="866" spans="1:24">
      <c r="A866" s="76"/>
      <c r="B866" s="77"/>
      <c r="C866" s="77"/>
      <c r="D866" s="77"/>
      <c r="E866" s="77"/>
      <c r="F866" s="77"/>
      <c r="G866" s="152"/>
      <c r="H866" s="153"/>
      <c r="I866" s="153"/>
      <c r="J866" s="153"/>
      <c r="K866" s="153"/>
      <c r="L866" s="153"/>
      <c r="M866" s="152"/>
      <c r="N866" s="153"/>
      <c r="O866" s="153"/>
      <c r="P866" s="153"/>
      <c r="Q866" s="153"/>
      <c r="R866" s="153"/>
      <c r="S866" s="152"/>
      <c r="T866" s="153"/>
      <c r="U866" s="153"/>
      <c r="V866" s="153"/>
      <c r="W866" s="153"/>
      <c r="X866" s="153"/>
    </row>
    <row r="867" spans="1:24">
      <c r="A867" s="76"/>
      <c r="B867" s="77"/>
      <c r="C867" s="77"/>
      <c r="D867" s="77"/>
      <c r="E867" s="77"/>
      <c r="F867" s="77"/>
      <c r="G867" s="152"/>
      <c r="H867" s="153"/>
      <c r="I867" s="153"/>
      <c r="J867" s="153"/>
      <c r="K867" s="153"/>
      <c r="L867" s="153"/>
      <c r="M867" s="152"/>
      <c r="N867" s="153"/>
      <c r="O867" s="153"/>
      <c r="P867" s="153"/>
      <c r="Q867" s="153"/>
      <c r="R867" s="153"/>
      <c r="S867" s="152"/>
      <c r="T867" s="153"/>
      <c r="U867" s="153"/>
      <c r="V867" s="153"/>
      <c r="W867" s="153"/>
      <c r="X867" s="153"/>
    </row>
    <row r="868" spans="1:24">
      <c r="A868" s="76"/>
      <c r="B868" s="77"/>
      <c r="C868" s="77"/>
      <c r="D868" s="77"/>
      <c r="E868" s="77"/>
      <c r="F868" s="77"/>
      <c r="G868" s="152"/>
      <c r="H868" s="153"/>
      <c r="I868" s="153"/>
      <c r="J868" s="153"/>
      <c r="K868" s="153"/>
      <c r="L868" s="153"/>
      <c r="M868" s="152"/>
      <c r="N868" s="153"/>
      <c r="O868" s="153"/>
      <c r="P868" s="153"/>
      <c r="Q868" s="153"/>
      <c r="R868" s="153"/>
      <c r="S868" s="152"/>
      <c r="T868" s="153"/>
      <c r="U868" s="153"/>
      <c r="V868" s="153"/>
      <c r="W868" s="153"/>
      <c r="X868" s="153"/>
    </row>
    <row r="869" spans="1:24">
      <c r="A869" s="76"/>
      <c r="B869" s="77"/>
      <c r="C869" s="77"/>
      <c r="D869" s="77"/>
      <c r="E869" s="77"/>
      <c r="F869" s="77"/>
      <c r="G869" s="152"/>
      <c r="H869" s="153"/>
      <c r="I869" s="153"/>
      <c r="J869" s="153"/>
      <c r="K869" s="153"/>
      <c r="L869" s="153"/>
      <c r="M869" s="152"/>
      <c r="N869" s="153"/>
      <c r="O869" s="153"/>
      <c r="P869" s="153"/>
      <c r="Q869" s="153"/>
      <c r="R869" s="153"/>
      <c r="S869" s="152"/>
      <c r="T869" s="153"/>
      <c r="U869" s="153"/>
      <c r="V869" s="153"/>
      <c r="W869" s="153"/>
      <c r="X869" s="153"/>
    </row>
    <row r="870" spans="1:24">
      <c r="A870" s="76"/>
      <c r="B870" s="77"/>
      <c r="C870" s="77"/>
      <c r="D870" s="77"/>
      <c r="E870" s="77"/>
      <c r="F870" s="77"/>
      <c r="G870" s="152"/>
      <c r="H870" s="153"/>
      <c r="I870" s="153"/>
      <c r="J870" s="153"/>
      <c r="K870" s="153"/>
      <c r="L870" s="153"/>
      <c r="M870" s="152"/>
      <c r="N870" s="153"/>
      <c r="O870" s="153"/>
      <c r="P870" s="153"/>
      <c r="Q870" s="153"/>
      <c r="R870" s="153"/>
      <c r="S870" s="152"/>
      <c r="T870" s="153"/>
      <c r="U870" s="153"/>
      <c r="V870" s="153"/>
      <c r="W870" s="153"/>
      <c r="X870" s="153"/>
    </row>
    <row r="871" spans="1:24">
      <c r="A871" s="76"/>
      <c r="B871" s="77"/>
      <c r="C871" s="77"/>
      <c r="D871" s="77"/>
      <c r="E871" s="77"/>
      <c r="F871" s="77"/>
      <c r="G871" s="152"/>
      <c r="H871" s="153"/>
      <c r="I871" s="153"/>
      <c r="J871" s="153"/>
      <c r="K871" s="153"/>
      <c r="L871" s="153"/>
      <c r="M871" s="152"/>
      <c r="N871" s="153"/>
      <c r="O871" s="153"/>
      <c r="P871" s="153"/>
      <c r="Q871" s="153"/>
      <c r="R871" s="153"/>
      <c r="S871" s="152"/>
      <c r="T871" s="153"/>
      <c r="U871" s="153"/>
      <c r="V871" s="153"/>
      <c r="W871" s="153"/>
      <c r="X871" s="153"/>
    </row>
    <row r="872" spans="1:24">
      <c r="A872" s="76"/>
      <c r="B872" s="77"/>
      <c r="C872" s="77"/>
      <c r="D872" s="77"/>
      <c r="E872" s="77"/>
      <c r="F872" s="77"/>
      <c r="G872" s="152"/>
      <c r="H872" s="153"/>
      <c r="I872" s="153"/>
      <c r="J872" s="153"/>
      <c r="K872" s="153"/>
      <c r="L872" s="153"/>
      <c r="M872" s="152"/>
      <c r="N872" s="153"/>
      <c r="O872" s="153"/>
      <c r="P872" s="153"/>
      <c r="Q872" s="153"/>
      <c r="R872" s="153"/>
      <c r="S872" s="152"/>
      <c r="T872" s="153"/>
      <c r="U872" s="153"/>
      <c r="V872" s="153"/>
      <c r="W872" s="153"/>
      <c r="X872" s="153"/>
    </row>
    <row r="873" spans="1:24">
      <c r="A873" s="76"/>
      <c r="B873" s="77"/>
      <c r="C873" s="77"/>
      <c r="D873" s="77"/>
      <c r="E873" s="77"/>
      <c r="F873" s="77"/>
      <c r="G873" s="152"/>
      <c r="H873" s="153"/>
      <c r="I873" s="153"/>
      <c r="J873" s="153"/>
      <c r="K873" s="153"/>
      <c r="L873" s="153"/>
      <c r="M873" s="152"/>
      <c r="N873" s="153"/>
      <c r="O873" s="153"/>
      <c r="P873" s="153"/>
      <c r="Q873" s="153"/>
      <c r="R873" s="153"/>
      <c r="S873" s="152"/>
      <c r="T873" s="153"/>
      <c r="U873" s="153"/>
      <c r="V873" s="153"/>
      <c r="W873" s="153"/>
      <c r="X873" s="153"/>
    </row>
    <row r="874" spans="1:24">
      <c r="A874" s="76"/>
      <c r="B874" s="77"/>
      <c r="C874" s="77"/>
      <c r="D874" s="77"/>
      <c r="E874" s="77"/>
      <c r="F874" s="77"/>
      <c r="G874" s="152"/>
      <c r="H874" s="153"/>
      <c r="I874" s="153"/>
      <c r="J874" s="153"/>
      <c r="K874" s="153"/>
      <c r="L874" s="153"/>
      <c r="M874" s="152"/>
      <c r="N874" s="153"/>
      <c r="O874" s="153"/>
      <c r="P874" s="153"/>
      <c r="Q874" s="153"/>
      <c r="R874" s="153"/>
      <c r="S874" s="152"/>
      <c r="T874" s="153"/>
      <c r="U874" s="153"/>
      <c r="V874" s="153"/>
      <c r="W874" s="153"/>
      <c r="X874" s="153"/>
    </row>
    <row r="875" spans="1:24">
      <c r="A875" s="76"/>
      <c r="B875" s="77"/>
      <c r="C875" s="77"/>
      <c r="D875" s="77"/>
      <c r="E875" s="77"/>
      <c r="F875" s="77"/>
      <c r="G875" s="152"/>
      <c r="H875" s="153"/>
      <c r="I875" s="153"/>
      <c r="J875" s="153"/>
      <c r="K875" s="153"/>
      <c r="L875" s="153"/>
      <c r="M875" s="152"/>
      <c r="N875" s="153"/>
      <c r="O875" s="153"/>
      <c r="P875" s="153"/>
      <c r="Q875" s="153"/>
      <c r="R875" s="153"/>
      <c r="S875" s="152"/>
      <c r="T875" s="153"/>
      <c r="U875" s="153"/>
      <c r="V875" s="153"/>
      <c r="W875" s="153"/>
      <c r="X875" s="153"/>
    </row>
    <row r="876" spans="1:24">
      <c r="A876" s="76"/>
      <c r="B876" s="77"/>
      <c r="C876" s="77"/>
      <c r="D876" s="77"/>
      <c r="E876" s="77"/>
      <c r="F876" s="77"/>
      <c r="G876" s="152"/>
      <c r="H876" s="153"/>
      <c r="I876" s="153"/>
      <c r="J876" s="153"/>
      <c r="K876" s="153"/>
      <c r="L876" s="153"/>
      <c r="M876" s="152"/>
      <c r="N876" s="153"/>
      <c r="O876" s="153"/>
      <c r="P876" s="153"/>
      <c r="Q876" s="153"/>
      <c r="R876" s="153"/>
      <c r="S876" s="152"/>
      <c r="T876" s="153"/>
      <c r="U876" s="153"/>
      <c r="V876" s="153"/>
      <c r="W876" s="153"/>
      <c r="X876" s="153"/>
    </row>
    <row r="877" spans="1:24">
      <c r="A877" s="76"/>
      <c r="B877" s="77"/>
      <c r="C877" s="77"/>
      <c r="D877" s="77"/>
      <c r="E877" s="77"/>
      <c r="F877" s="77"/>
      <c r="G877" s="152"/>
      <c r="H877" s="153"/>
      <c r="I877" s="153"/>
      <c r="J877" s="153"/>
      <c r="K877" s="153"/>
      <c r="L877" s="153"/>
      <c r="M877" s="152"/>
      <c r="N877" s="153"/>
      <c r="O877" s="153"/>
      <c r="P877" s="153"/>
      <c r="Q877" s="153"/>
      <c r="R877" s="153"/>
      <c r="S877" s="152"/>
      <c r="T877" s="153"/>
      <c r="U877" s="153"/>
      <c r="V877" s="153"/>
      <c r="W877" s="153"/>
      <c r="X877" s="153"/>
    </row>
    <row r="878" spans="1:24">
      <c r="A878" s="76"/>
      <c r="B878" s="77"/>
      <c r="C878" s="77"/>
      <c r="D878" s="77"/>
      <c r="E878" s="77"/>
      <c r="F878" s="77"/>
      <c r="G878" s="152"/>
      <c r="H878" s="153"/>
      <c r="I878" s="153"/>
      <c r="J878" s="153"/>
      <c r="K878" s="153"/>
      <c r="L878" s="153"/>
      <c r="M878" s="152"/>
      <c r="N878" s="153"/>
      <c r="O878" s="153"/>
      <c r="P878" s="153"/>
      <c r="Q878" s="153"/>
      <c r="R878" s="153"/>
      <c r="S878" s="152"/>
      <c r="T878" s="153"/>
      <c r="U878" s="153"/>
      <c r="V878" s="153"/>
      <c r="W878" s="153"/>
      <c r="X878" s="153"/>
    </row>
    <row r="879" spans="1:24">
      <c r="A879" s="76"/>
      <c r="B879" s="77"/>
      <c r="C879" s="77"/>
      <c r="D879" s="77"/>
      <c r="E879" s="77"/>
      <c r="F879" s="77"/>
      <c r="G879" s="152"/>
      <c r="H879" s="153"/>
      <c r="I879" s="153"/>
      <c r="J879" s="153"/>
      <c r="K879" s="153"/>
      <c r="L879" s="153"/>
      <c r="M879" s="152"/>
      <c r="N879" s="153"/>
      <c r="O879" s="153"/>
      <c r="P879" s="153"/>
      <c r="Q879" s="153"/>
      <c r="R879" s="153"/>
      <c r="S879" s="152"/>
      <c r="T879" s="153"/>
      <c r="U879" s="153"/>
      <c r="V879" s="153"/>
      <c r="W879" s="153"/>
      <c r="X879" s="153"/>
    </row>
    <row r="880" spans="1:24">
      <c r="A880" s="76"/>
      <c r="B880" s="77"/>
      <c r="C880" s="77"/>
      <c r="D880" s="77"/>
      <c r="E880" s="77"/>
      <c r="F880" s="77"/>
      <c r="G880" s="152"/>
      <c r="H880" s="153"/>
      <c r="I880" s="153"/>
      <c r="J880" s="153"/>
      <c r="K880" s="153"/>
      <c r="L880" s="153"/>
      <c r="M880" s="152"/>
      <c r="N880" s="153"/>
      <c r="O880" s="153"/>
      <c r="P880" s="153"/>
      <c r="Q880" s="153"/>
      <c r="R880" s="153"/>
      <c r="S880" s="152"/>
      <c r="T880" s="153"/>
      <c r="U880" s="153"/>
      <c r="V880" s="153"/>
      <c r="W880" s="153"/>
      <c r="X880" s="153"/>
    </row>
    <row r="881" spans="1:24">
      <c r="A881" s="76"/>
      <c r="B881" s="77"/>
      <c r="C881" s="77"/>
      <c r="D881" s="77"/>
      <c r="E881" s="77"/>
      <c r="F881" s="77"/>
      <c r="G881" s="152"/>
      <c r="H881" s="153"/>
      <c r="I881" s="153"/>
      <c r="J881" s="153"/>
      <c r="K881" s="153"/>
      <c r="L881" s="153"/>
      <c r="M881" s="152"/>
      <c r="N881" s="153"/>
      <c r="O881" s="153"/>
      <c r="P881" s="153"/>
      <c r="Q881" s="153"/>
      <c r="R881" s="153"/>
      <c r="S881" s="152"/>
      <c r="T881" s="153"/>
      <c r="U881" s="153"/>
      <c r="V881" s="153"/>
      <c r="W881" s="153"/>
      <c r="X881" s="153"/>
    </row>
    <row r="882" spans="1:24">
      <c r="A882" s="76"/>
      <c r="B882" s="77"/>
      <c r="C882" s="77"/>
      <c r="D882" s="77"/>
      <c r="E882" s="77"/>
      <c r="F882" s="77"/>
      <c r="G882" s="152"/>
      <c r="H882" s="153"/>
      <c r="I882" s="153"/>
      <c r="J882" s="153"/>
      <c r="K882" s="153"/>
      <c r="L882" s="153"/>
      <c r="M882" s="152"/>
      <c r="N882" s="153"/>
      <c r="O882" s="153"/>
      <c r="P882" s="153"/>
      <c r="Q882" s="153"/>
      <c r="R882" s="153"/>
      <c r="S882" s="152"/>
      <c r="T882" s="153"/>
      <c r="U882" s="153"/>
      <c r="V882" s="153"/>
      <c r="W882" s="153"/>
      <c r="X882" s="153"/>
    </row>
    <row r="883" spans="1:24">
      <c r="A883" s="76"/>
      <c r="B883" s="77"/>
      <c r="C883" s="77"/>
      <c r="D883" s="77"/>
      <c r="E883" s="77"/>
      <c r="F883" s="77"/>
      <c r="G883" s="152"/>
      <c r="H883" s="153"/>
      <c r="I883" s="153"/>
      <c r="J883" s="153"/>
      <c r="K883" s="153"/>
      <c r="L883" s="153"/>
      <c r="M883" s="152"/>
      <c r="N883" s="153"/>
      <c r="O883" s="153"/>
      <c r="P883" s="153"/>
      <c r="Q883" s="153"/>
      <c r="R883" s="153"/>
      <c r="S883" s="152"/>
      <c r="T883" s="153"/>
      <c r="U883" s="153"/>
      <c r="V883" s="153"/>
      <c r="W883" s="153"/>
      <c r="X883" s="153"/>
    </row>
    <row r="884" spans="1:24">
      <c r="A884" s="76"/>
      <c r="B884" s="77"/>
      <c r="C884" s="77"/>
      <c r="D884" s="77"/>
      <c r="E884" s="77"/>
      <c r="F884" s="77"/>
      <c r="G884" s="152"/>
      <c r="H884" s="153"/>
      <c r="I884" s="153"/>
      <c r="J884" s="153"/>
      <c r="K884" s="153"/>
      <c r="L884" s="153"/>
      <c r="M884" s="152"/>
      <c r="N884" s="153"/>
      <c r="O884" s="153"/>
      <c r="P884" s="153"/>
      <c r="Q884" s="153"/>
      <c r="R884" s="153"/>
      <c r="S884" s="152"/>
      <c r="T884" s="153"/>
      <c r="U884" s="153"/>
      <c r="V884" s="153"/>
      <c r="W884" s="153"/>
      <c r="X884" s="153"/>
    </row>
    <row r="885" spans="1:24">
      <c r="A885" s="76"/>
      <c r="B885" s="77"/>
      <c r="C885" s="77"/>
      <c r="D885" s="77"/>
      <c r="E885" s="77"/>
      <c r="F885" s="77"/>
      <c r="G885" s="152"/>
      <c r="H885" s="153"/>
      <c r="I885" s="153"/>
      <c r="J885" s="153"/>
      <c r="K885" s="153"/>
      <c r="L885" s="153"/>
      <c r="M885" s="152"/>
      <c r="N885" s="153"/>
      <c r="O885" s="153"/>
      <c r="P885" s="153"/>
      <c r="Q885" s="153"/>
      <c r="R885" s="153"/>
      <c r="S885" s="152"/>
      <c r="T885" s="153"/>
      <c r="U885" s="153"/>
      <c r="V885" s="153"/>
      <c r="W885" s="153"/>
      <c r="X885" s="153"/>
    </row>
    <row r="886" spans="1:24">
      <c r="A886" s="76"/>
      <c r="B886" s="77"/>
      <c r="C886" s="77"/>
      <c r="D886" s="77"/>
      <c r="E886" s="77"/>
      <c r="F886" s="77"/>
      <c r="G886" s="152"/>
      <c r="H886" s="153"/>
      <c r="I886" s="153"/>
      <c r="J886" s="153"/>
      <c r="K886" s="153"/>
      <c r="L886" s="153"/>
      <c r="M886" s="152"/>
      <c r="N886" s="153"/>
      <c r="O886" s="153"/>
      <c r="P886" s="153"/>
      <c r="Q886" s="153"/>
      <c r="R886" s="153"/>
      <c r="S886" s="152"/>
      <c r="T886" s="153"/>
      <c r="U886" s="153"/>
      <c r="V886" s="153"/>
      <c r="W886" s="153"/>
      <c r="X886" s="153"/>
    </row>
    <row r="887" spans="1:24">
      <c r="A887" s="76"/>
      <c r="B887" s="77"/>
      <c r="C887" s="77"/>
      <c r="D887" s="77"/>
      <c r="E887" s="77"/>
      <c r="F887" s="77"/>
      <c r="G887" s="152"/>
      <c r="H887" s="153"/>
      <c r="I887" s="153"/>
      <c r="J887" s="153"/>
      <c r="K887" s="153"/>
      <c r="L887" s="153"/>
      <c r="M887" s="152"/>
      <c r="N887" s="153"/>
      <c r="O887" s="153"/>
      <c r="P887" s="153"/>
      <c r="Q887" s="153"/>
      <c r="R887" s="153"/>
      <c r="S887" s="152"/>
      <c r="T887" s="153"/>
      <c r="U887" s="153"/>
      <c r="V887" s="153"/>
      <c r="W887" s="153"/>
      <c r="X887" s="153"/>
    </row>
    <row r="888" spans="1:24">
      <c r="A888" s="76"/>
      <c r="B888" s="77"/>
      <c r="C888" s="77"/>
      <c r="D888" s="77"/>
      <c r="E888" s="77"/>
      <c r="F888" s="77"/>
      <c r="G888" s="152"/>
      <c r="H888" s="153"/>
      <c r="I888" s="153"/>
      <c r="J888" s="153"/>
      <c r="K888" s="153"/>
      <c r="L888" s="153"/>
      <c r="M888" s="152"/>
      <c r="N888" s="153"/>
      <c r="O888" s="153"/>
      <c r="P888" s="153"/>
      <c r="Q888" s="153"/>
      <c r="R888" s="153"/>
      <c r="S888" s="152"/>
      <c r="T888" s="153"/>
      <c r="U888" s="153"/>
      <c r="V888" s="153"/>
      <c r="W888" s="153"/>
      <c r="X888" s="153"/>
    </row>
    <row r="889" spans="1:24">
      <c r="A889" s="76"/>
      <c r="B889" s="77"/>
      <c r="C889" s="77"/>
      <c r="D889" s="77"/>
      <c r="E889" s="77"/>
      <c r="F889" s="77"/>
      <c r="G889" s="152"/>
      <c r="H889" s="153"/>
      <c r="I889" s="153"/>
      <c r="J889" s="153"/>
      <c r="K889" s="153"/>
      <c r="L889" s="153"/>
      <c r="M889" s="152"/>
      <c r="N889" s="153"/>
      <c r="O889" s="153"/>
      <c r="P889" s="153"/>
      <c r="Q889" s="153"/>
      <c r="R889" s="153"/>
      <c r="S889" s="152"/>
      <c r="T889" s="153"/>
      <c r="U889" s="153"/>
      <c r="V889" s="153"/>
      <c r="W889" s="153"/>
      <c r="X889" s="153"/>
    </row>
    <row r="890" spans="1:24">
      <c r="A890" s="76"/>
      <c r="B890" s="77"/>
      <c r="C890" s="77"/>
      <c r="D890" s="77"/>
      <c r="E890" s="77"/>
      <c r="F890" s="77"/>
      <c r="G890" s="152"/>
      <c r="H890" s="153"/>
      <c r="I890" s="153"/>
      <c r="J890" s="153"/>
      <c r="K890" s="153"/>
      <c r="L890" s="153"/>
      <c r="M890" s="152"/>
      <c r="N890" s="153"/>
      <c r="O890" s="153"/>
      <c r="P890" s="153"/>
      <c r="Q890" s="153"/>
      <c r="R890" s="153"/>
      <c r="S890" s="152"/>
      <c r="T890" s="153"/>
      <c r="U890" s="153"/>
      <c r="V890" s="153"/>
      <c r="W890" s="153"/>
      <c r="X890" s="153"/>
    </row>
    <row r="891" spans="1:24">
      <c r="A891" s="76"/>
      <c r="B891" s="77"/>
      <c r="C891" s="77"/>
      <c r="D891" s="77"/>
      <c r="E891" s="77"/>
      <c r="F891" s="77"/>
      <c r="G891" s="152"/>
      <c r="H891" s="153"/>
      <c r="I891" s="153"/>
      <c r="J891" s="153"/>
      <c r="K891" s="153"/>
      <c r="L891" s="153"/>
      <c r="M891" s="152"/>
      <c r="N891" s="153"/>
      <c r="O891" s="153"/>
      <c r="P891" s="153"/>
      <c r="Q891" s="153"/>
      <c r="R891" s="153"/>
      <c r="S891" s="152"/>
      <c r="T891" s="153"/>
      <c r="U891" s="153"/>
      <c r="V891" s="153"/>
      <c r="W891" s="153"/>
      <c r="X891" s="153"/>
    </row>
    <row r="892" spans="1:24">
      <c r="A892" s="76"/>
      <c r="B892" s="77"/>
      <c r="C892" s="77"/>
      <c r="D892" s="77"/>
      <c r="E892" s="77"/>
      <c r="F892" s="77"/>
      <c r="G892" s="152"/>
      <c r="H892" s="153"/>
      <c r="I892" s="153"/>
      <c r="J892" s="153"/>
      <c r="K892" s="153"/>
      <c r="L892" s="153"/>
      <c r="M892" s="152"/>
      <c r="N892" s="153"/>
      <c r="O892" s="153"/>
      <c r="P892" s="153"/>
      <c r="Q892" s="153"/>
      <c r="R892" s="153"/>
      <c r="S892" s="152"/>
      <c r="T892" s="153"/>
      <c r="U892" s="153"/>
      <c r="V892" s="153"/>
      <c r="W892" s="153"/>
      <c r="X892" s="153"/>
    </row>
    <row r="893" spans="1:24">
      <c r="A893" s="76"/>
      <c r="B893" s="77"/>
      <c r="C893" s="77"/>
      <c r="D893" s="77"/>
      <c r="E893" s="77"/>
      <c r="F893" s="77"/>
      <c r="G893" s="152"/>
      <c r="H893" s="153"/>
      <c r="I893" s="153"/>
      <c r="J893" s="153"/>
      <c r="K893" s="153"/>
      <c r="L893" s="153"/>
      <c r="M893" s="152"/>
      <c r="N893" s="153"/>
      <c r="O893" s="153"/>
      <c r="P893" s="153"/>
      <c r="Q893" s="153"/>
      <c r="R893" s="153"/>
      <c r="S893" s="152"/>
      <c r="T893" s="153"/>
      <c r="U893" s="153"/>
      <c r="V893" s="153"/>
      <c r="W893" s="153"/>
      <c r="X893" s="153"/>
    </row>
    <row r="894" spans="1:24">
      <c r="A894" s="76"/>
      <c r="B894" s="77"/>
      <c r="C894" s="77"/>
      <c r="D894" s="77"/>
      <c r="E894" s="77"/>
      <c r="F894" s="77"/>
      <c r="G894" s="152"/>
      <c r="H894" s="153"/>
      <c r="I894" s="153"/>
      <c r="J894" s="153"/>
      <c r="K894" s="153"/>
      <c r="L894" s="153"/>
      <c r="M894" s="152"/>
      <c r="N894" s="153"/>
      <c r="O894" s="153"/>
      <c r="P894" s="153"/>
      <c r="Q894" s="153"/>
      <c r="R894" s="153"/>
      <c r="S894" s="152"/>
      <c r="T894" s="153"/>
      <c r="U894" s="153"/>
      <c r="V894" s="153"/>
      <c r="W894" s="153"/>
      <c r="X894" s="153"/>
    </row>
    <row r="895" spans="1:24">
      <c r="A895" s="76"/>
      <c r="B895" s="77"/>
      <c r="C895" s="77"/>
      <c r="D895" s="77"/>
      <c r="E895" s="77"/>
      <c r="F895" s="77"/>
      <c r="G895" s="152"/>
      <c r="H895" s="153"/>
      <c r="I895" s="153"/>
      <c r="J895" s="153"/>
      <c r="K895" s="153"/>
      <c r="L895" s="153"/>
      <c r="M895" s="152"/>
      <c r="N895" s="153"/>
      <c r="O895" s="153"/>
      <c r="P895" s="153"/>
      <c r="Q895" s="153"/>
      <c r="R895" s="153"/>
      <c r="S895" s="152"/>
      <c r="T895" s="153"/>
      <c r="U895" s="153"/>
      <c r="V895" s="153"/>
      <c r="W895" s="153"/>
      <c r="X895" s="153"/>
    </row>
    <row r="896" spans="1:24">
      <c r="A896" s="76"/>
      <c r="B896" s="77"/>
      <c r="C896" s="77"/>
      <c r="D896" s="77"/>
      <c r="E896" s="77"/>
      <c r="F896" s="77"/>
      <c r="G896" s="152"/>
      <c r="H896" s="153"/>
      <c r="I896" s="153"/>
      <c r="J896" s="153"/>
      <c r="K896" s="153"/>
      <c r="L896" s="153"/>
      <c r="M896" s="152"/>
      <c r="N896" s="153"/>
      <c r="O896" s="153"/>
      <c r="P896" s="153"/>
      <c r="Q896" s="153"/>
      <c r="R896" s="153"/>
      <c r="S896" s="152"/>
      <c r="T896" s="153"/>
      <c r="U896" s="153"/>
      <c r="V896" s="153"/>
      <c r="W896" s="153"/>
      <c r="X896" s="153"/>
    </row>
    <row r="897" spans="1:24">
      <c r="A897" s="76"/>
      <c r="B897" s="77"/>
      <c r="C897" s="77"/>
      <c r="D897" s="77"/>
      <c r="E897" s="77"/>
      <c r="F897" s="77"/>
      <c r="G897" s="152"/>
      <c r="H897" s="153"/>
      <c r="I897" s="153"/>
      <c r="J897" s="153"/>
      <c r="K897" s="153"/>
      <c r="L897" s="153"/>
      <c r="M897" s="152"/>
      <c r="N897" s="153"/>
      <c r="O897" s="153"/>
      <c r="P897" s="153"/>
      <c r="Q897" s="153"/>
      <c r="R897" s="153"/>
      <c r="S897" s="152"/>
      <c r="T897" s="153"/>
      <c r="U897" s="153"/>
      <c r="V897" s="153"/>
      <c r="W897" s="153"/>
      <c r="X897" s="153"/>
    </row>
    <row r="898" spans="1:24">
      <c r="A898" s="76"/>
      <c r="B898" s="77"/>
      <c r="C898" s="77"/>
      <c r="D898" s="77"/>
      <c r="E898" s="77"/>
      <c r="F898" s="77"/>
      <c r="G898" s="152"/>
      <c r="H898" s="153"/>
      <c r="I898" s="153"/>
      <c r="J898" s="153"/>
      <c r="K898" s="153"/>
      <c r="L898" s="153"/>
      <c r="M898" s="152"/>
      <c r="N898" s="153"/>
      <c r="O898" s="153"/>
      <c r="P898" s="153"/>
      <c r="Q898" s="153"/>
      <c r="R898" s="153"/>
      <c r="S898" s="152"/>
      <c r="T898" s="153"/>
      <c r="U898" s="153"/>
      <c r="V898" s="153"/>
      <c r="W898" s="153"/>
      <c r="X898" s="153"/>
    </row>
    <row r="899" spans="1:24">
      <c r="A899" s="76"/>
      <c r="B899" s="77"/>
      <c r="C899" s="77"/>
      <c r="D899" s="77"/>
      <c r="E899" s="77"/>
      <c r="F899" s="77"/>
      <c r="G899" s="152"/>
      <c r="H899" s="153"/>
      <c r="I899" s="153"/>
      <c r="J899" s="153"/>
      <c r="K899" s="153"/>
      <c r="L899" s="153"/>
      <c r="M899" s="152"/>
      <c r="N899" s="153"/>
      <c r="O899" s="153"/>
      <c r="P899" s="153"/>
      <c r="Q899" s="153"/>
      <c r="R899" s="153"/>
      <c r="S899" s="152"/>
      <c r="T899" s="153"/>
      <c r="U899" s="153"/>
      <c r="V899" s="153"/>
      <c r="W899" s="153"/>
      <c r="X899" s="153"/>
    </row>
    <row r="900" spans="1:24">
      <c r="A900" s="76"/>
      <c r="B900" s="77"/>
      <c r="C900" s="77"/>
      <c r="D900" s="77"/>
      <c r="E900" s="77"/>
      <c r="F900" s="77"/>
      <c r="G900" s="152"/>
      <c r="H900" s="153"/>
      <c r="I900" s="153"/>
      <c r="J900" s="153"/>
      <c r="K900" s="153"/>
      <c r="L900" s="153"/>
      <c r="M900" s="152"/>
      <c r="N900" s="153"/>
      <c r="O900" s="153"/>
      <c r="P900" s="153"/>
      <c r="Q900" s="153"/>
      <c r="R900" s="153"/>
      <c r="S900" s="152"/>
      <c r="T900" s="153"/>
      <c r="U900" s="153"/>
      <c r="V900" s="153"/>
      <c r="W900" s="153"/>
      <c r="X900" s="153"/>
    </row>
    <row r="901" spans="1:24">
      <c r="A901" s="76"/>
      <c r="B901" s="77"/>
      <c r="C901" s="77"/>
      <c r="D901" s="77"/>
      <c r="E901" s="77"/>
      <c r="F901" s="77"/>
      <c r="G901" s="152"/>
      <c r="H901" s="153"/>
      <c r="I901" s="153"/>
      <c r="J901" s="153"/>
      <c r="K901" s="153"/>
      <c r="L901" s="153"/>
      <c r="M901" s="152"/>
      <c r="N901" s="153"/>
      <c r="O901" s="153"/>
      <c r="P901" s="153"/>
      <c r="Q901" s="153"/>
      <c r="R901" s="153"/>
      <c r="S901" s="152"/>
      <c r="T901" s="153"/>
      <c r="U901" s="153"/>
      <c r="V901" s="153"/>
      <c r="W901" s="153"/>
      <c r="X901" s="153"/>
    </row>
    <row r="902" spans="1:24">
      <c r="A902" s="76"/>
      <c r="B902" s="77"/>
      <c r="C902" s="77"/>
      <c r="D902" s="77"/>
      <c r="E902" s="77"/>
      <c r="F902" s="77"/>
      <c r="G902" s="152"/>
      <c r="H902" s="153"/>
      <c r="I902" s="153"/>
      <c r="J902" s="153"/>
      <c r="K902" s="153"/>
      <c r="L902" s="153"/>
      <c r="M902" s="152"/>
      <c r="N902" s="153"/>
      <c r="O902" s="153"/>
      <c r="P902" s="153"/>
      <c r="Q902" s="153"/>
      <c r="R902" s="153"/>
      <c r="S902" s="152"/>
      <c r="T902" s="153"/>
      <c r="U902" s="153"/>
      <c r="V902" s="153"/>
      <c r="W902" s="153"/>
      <c r="X902" s="153"/>
    </row>
    <row r="903" spans="1:24">
      <c r="A903" s="76"/>
      <c r="B903" s="77"/>
      <c r="C903" s="77"/>
      <c r="D903" s="77"/>
      <c r="E903" s="77"/>
      <c r="F903" s="77"/>
      <c r="G903" s="152"/>
      <c r="H903" s="153"/>
      <c r="I903" s="153"/>
      <c r="J903" s="153"/>
      <c r="K903" s="153"/>
      <c r="L903" s="153"/>
      <c r="M903" s="152"/>
      <c r="N903" s="153"/>
      <c r="O903" s="153"/>
      <c r="P903" s="153"/>
      <c r="Q903" s="153"/>
      <c r="R903" s="153"/>
      <c r="S903" s="152"/>
      <c r="T903" s="153"/>
      <c r="U903" s="153"/>
      <c r="V903" s="153"/>
      <c r="W903" s="153"/>
      <c r="X903" s="153"/>
    </row>
    <row r="904" spans="1:24">
      <c r="A904" s="76"/>
      <c r="B904" s="77"/>
      <c r="C904" s="77"/>
      <c r="D904" s="77"/>
      <c r="E904" s="77"/>
      <c r="F904" s="77"/>
      <c r="G904" s="152"/>
      <c r="H904" s="153"/>
      <c r="I904" s="153"/>
      <c r="J904" s="153"/>
      <c r="K904" s="153"/>
      <c r="L904" s="153"/>
      <c r="M904" s="152"/>
      <c r="N904" s="153"/>
      <c r="O904" s="153"/>
      <c r="P904" s="153"/>
      <c r="Q904" s="153"/>
      <c r="R904" s="153"/>
      <c r="S904" s="152"/>
      <c r="T904" s="153"/>
      <c r="U904" s="153"/>
      <c r="V904" s="153"/>
      <c r="W904" s="153"/>
      <c r="X904" s="153"/>
    </row>
    <row r="905" spans="1:24">
      <c r="A905" s="76"/>
      <c r="B905" s="77"/>
      <c r="C905" s="77"/>
      <c r="D905" s="77"/>
      <c r="E905" s="77"/>
      <c r="F905" s="77"/>
      <c r="G905" s="152"/>
      <c r="H905" s="153"/>
      <c r="I905" s="153"/>
      <c r="J905" s="153"/>
      <c r="K905" s="153"/>
      <c r="L905" s="153"/>
      <c r="M905" s="152"/>
      <c r="N905" s="153"/>
      <c r="O905" s="153"/>
      <c r="P905" s="153"/>
      <c r="Q905" s="153"/>
      <c r="R905" s="153"/>
      <c r="S905" s="152"/>
      <c r="T905" s="153"/>
      <c r="U905" s="153"/>
      <c r="V905" s="153"/>
      <c r="W905" s="153"/>
      <c r="X905" s="153"/>
    </row>
    <row r="906" spans="1:24">
      <c r="A906" s="76"/>
      <c r="B906" s="77"/>
      <c r="C906" s="77"/>
      <c r="D906" s="77"/>
      <c r="E906" s="77"/>
      <c r="F906" s="77"/>
      <c r="G906" s="152"/>
      <c r="H906" s="153"/>
      <c r="I906" s="153"/>
      <c r="J906" s="153"/>
      <c r="K906" s="153"/>
      <c r="L906" s="153"/>
      <c r="M906" s="152"/>
      <c r="N906" s="153"/>
      <c r="O906" s="153"/>
      <c r="P906" s="153"/>
      <c r="Q906" s="153"/>
      <c r="R906" s="153"/>
      <c r="S906" s="152"/>
      <c r="T906" s="153"/>
      <c r="U906" s="153"/>
      <c r="V906" s="153"/>
      <c r="W906" s="153"/>
      <c r="X906" s="153"/>
    </row>
    <row r="907" spans="1:24">
      <c r="A907" s="76"/>
      <c r="B907" s="77"/>
      <c r="C907" s="77"/>
      <c r="D907" s="77"/>
      <c r="E907" s="77"/>
      <c r="F907" s="77"/>
      <c r="G907" s="152"/>
      <c r="H907" s="153"/>
      <c r="I907" s="153"/>
      <c r="J907" s="153"/>
      <c r="K907" s="153"/>
      <c r="L907" s="153"/>
      <c r="M907" s="152"/>
      <c r="N907" s="153"/>
      <c r="O907" s="153"/>
      <c r="P907" s="153"/>
      <c r="Q907" s="153"/>
      <c r="R907" s="153"/>
      <c r="S907" s="152"/>
      <c r="T907" s="153"/>
      <c r="U907" s="153"/>
      <c r="V907" s="153"/>
      <c r="W907" s="153"/>
      <c r="X907" s="153"/>
    </row>
    <row r="908" spans="1:24">
      <c r="A908" s="76"/>
      <c r="B908" s="77"/>
      <c r="C908" s="77"/>
      <c r="D908" s="77"/>
      <c r="E908" s="77"/>
      <c r="F908" s="77"/>
      <c r="G908" s="152"/>
      <c r="H908" s="153"/>
      <c r="I908" s="153"/>
      <c r="J908" s="153"/>
      <c r="K908" s="153"/>
      <c r="L908" s="153"/>
      <c r="M908" s="152"/>
      <c r="N908" s="153"/>
      <c r="O908" s="153"/>
      <c r="P908" s="153"/>
      <c r="Q908" s="153"/>
      <c r="R908" s="153"/>
      <c r="S908" s="152"/>
      <c r="T908" s="153"/>
      <c r="U908" s="153"/>
      <c r="V908" s="153"/>
      <c r="W908" s="153"/>
      <c r="X908" s="153"/>
    </row>
    <row r="909" spans="1:24">
      <c r="A909" s="76"/>
      <c r="B909" s="77"/>
      <c r="C909" s="77"/>
      <c r="D909" s="77"/>
      <c r="E909" s="77"/>
      <c r="F909" s="77"/>
      <c r="G909" s="152"/>
      <c r="H909" s="153"/>
      <c r="I909" s="153"/>
      <c r="J909" s="153"/>
      <c r="K909" s="153"/>
      <c r="L909" s="153"/>
      <c r="M909" s="152"/>
      <c r="N909" s="153"/>
      <c r="O909" s="153"/>
      <c r="P909" s="153"/>
      <c r="Q909" s="153"/>
      <c r="R909" s="153"/>
      <c r="S909" s="152"/>
      <c r="T909" s="153"/>
      <c r="U909" s="153"/>
      <c r="V909" s="153"/>
      <c r="W909" s="153"/>
      <c r="X909" s="153"/>
    </row>
    <row r="910" spans="1:24">
      <c r="A910" s="76"/>
      <c r="B910" s="77"/>
      <c r="C910" s="77"/>
      <c r="D910" s="77"/>
      <c r="E910" s="77"/>
      <c r="F910" s="77"/>
      <c r="G910" s="152"/>
      <c r="H910" s="153"/>
      <c r="I910" s="153"/>
      <c r="J910" s="153"/>
      <c r="K910" s="153"/>
      <c r="L910" s="153"/>
      <c r="M910" s="152"/>
      <c r="N910" s="153"/>
      <c r="O910" s="153"/>
      <c r="P910" s="153"/>
      <c r="Q910" s="153"/>
      <c r="R910" s="153"/>
      <c r="S910" s="152"/>
      <c r="T910" s="153"/>
      <c r="U910" s="153"/>
      <c r="V910" s="153"/>
      <c r="W910" s="153"/>
      <c r="X910" s="153"/>
    </row>
    <row r="911" spans="1:24">
      <c r="A911" s="76"/>
      <c r="B911" s="77"/>
      <c r="C911" s="77"/>
      <c r="D911" s="77"/>
      <c r="E911" s="77"/>
      <c r="F911" s="77"/>
      <c r="G911" s="152"/>
      <c r="H911" s="153"/>
      <c r="I911" s="153"/>
      <c r="J911" s="153"/>
      <c r="K911" s="153"/>
      <c r="L911" s="153"/>
      <c r="M911" s="152"/>
      <c r="N911" s="153"/>
      <c r="O911" s="153"/>
      <c r="P911" s="153"/>
      <c r="Q911" s="153"/>
      <c r="R911" s="153"/>
      <c r="S911" s="152"/>
      <c r="T911" s="153"/>
      <c r="U911" s="153"/>
      <c r="V911" s="153"/>
      <c r="W911" s="153"/>
      <c r="X911" s="153"/>
    </row>
    <row r="912" spans="1:24">
      <c r="A912" s="76"/>
      <c r="B912" s="77"/>
      <c r="C912" s="77"/>
      <c r="D912" s="77"/>
      <c r="E912" s="77"/>
      <c r="F912" s="77"/>
      <c r="G912" s="152"/>
      <c r="H912" s="153"/>
      <c r="I912" s="153"/>
      <c r="J912" s="153"/>
      <c r="K912" s="153"/>
      <c r="L912" s="153"/>
      <c r="M912" s="152"/>
      <c r="N912" s="153"/>
      <c r="O912" s="153"/>
      <c r="P912" s="153"/>
      <c r="Q912" s="153"/>
      <c r="R912" s="153"/>
      <c r="S912" s="152"/>
      <c r="T912" s="153"/>
      <c r="U912" s="153"/>
      <c r="V912" s="153"/>
      <c r="W912" s="153"/>
      <c r="X912" s="153"/>
    </row>
    <row r="913" spans="1:24">
      <c r="A913" s="76"/>
      <c r="B913" s="77"/>
      <c r="C913" s="77"/>
      <c r="D913" s="77"/>
      <c r="E913" s="77"/>
      <c r="F913" s="77"/>
      <c r="G913" s="152"/>
      <c r="H913" s="153"/>
      <c r="I913" s="153"/>
      <c r="J913" s="153"/>
      <c r="K913" s="153"/>
      <c r="L913" s="153"/>
      <c r="M913" s="152"/>
      <c r="N913" s="153"/>
      <c r="O913" s="153"/>
      <c r="P913" s="153"/>
      <c r="Q913" s="153"/>
      <c r="R913" s="153"/>
      <c r="S913" s="152"/>
      <c r="T913" s="153"/>
      <c r="U913" s="153"/>
      <c r="V913" s="153"/>
      <c r="W913" s="153"/>
      <c r="X913" s="153"/>
    </row>
    <row r="914" spans="1:24">
      <c r="A914" s="76"/>
      <c r="B914" s="77"/>
      <c r="C914" s="77"/>
      <c r="D914" s="77"/>
      <c r="E914" s="77"/>
      <c r="F914" s="77"/>
      <c r="G914" s="152"/>
      <c r="H914" s="153"/>
      <c r="I914" s="153"/>
      <c r="J914" s="153"/>
      <c r="K914" s="153"/>
      <c r="L914" s="153"/>
      <c r="M914" s="152"/>
      <c r="N914" s="153"/>
      <c r="O914" s="153"/>
      <c r="P914" s="153"/>
      <c r="Q914" s="153"/>
      <c r="R914" s="153"/>
      <c r="S914" s="152"/>
      <c r="T914" s="153"/>
      <c r="U914" s="153"/>
      <c r="V914" s="153"/>
      <c r="W914" s="153"/>
      <c r="X914" s="153"/>
    </row>
    <row r="915" spans="1:24">
      <c r="A915" s="76"/>
      <c r="B915" s="77"/>
      <c r="C915" s="77"/>
      <c r="D915" s="77"/>
      <c r="E915" s="77"/>
      <c r="F915" s="77"/>
      <c r="G915" s="152"/>
      <c r="H915" s="153"/>
      <c r="I915" s="153"/>
      <c r="J915" s="153"/>
      <c r="K915" s="153"/>
      <c r="L915" s="153"/>
      <c r="M915" s="152"/>
      <c r="N915" s="153"/>
      <c r="O915" s="153"/>
      <c r="P915" s="153"/>
      <c r="Q915" s="153"/>
      <c r="R915" s="153"/>
      <c r="S915" s="152"/>
      <c r="T915" s="153"/>
      <c r="U915" s="153"/>
      <c r="V915" s="153"/>
      <c r="W915" s="153"/>
      <c r="X915" s="153"/>
    </row>
    <row r="916" spans="1:24">
      <c r="A916" s="76"/>
      <c r="B916" s="77"/>
      <c r="C916" s="77"/>
      <c r="D916" s="77"/>
      <c r="E916" s="77"/>
      <c r="F916" s="77"/>
      <c r="G916" s="152"/>
      <c r="H916" s="153"/>
      <c r="I916" s="153"/>
      <c r="J916" s="153"/>
      <c r="K916" s="153"/>
      <c r="L916" s="153"/>
      <c r="M916" s="152"/>
      <c r="N916" s="153"/>
      <c r="O916" s="153"/>
      <c r="P916" s="153"/>
      <c r="Q916" s="153"/>
      <c r="R916" s="153"/>
      <c r="S916" s="152"/>
      <c r="T916" s="153"/>
      <c r="U916" s="153"/>
      <c r="V916" s="153"/>
      <c r="W916" s="153"/>
      <c r="X916" s="153"/>
    </row>
    <row r="917" spans="1:24">
      <c r="A917" s="76"/>
      <c r="B917" s="77"/>
      <c r="C917" s="77"/>
      <c r="D917" s="77"/>
      <c r="E917" s="77"/>
      <c r="F917" s="77"/>
      <c r="G917" s="152"/>
      <c r="H917" s="153"/>
      <c r="I917" s="153"/>
      <c r="J917" s="153"/>
      <c r="K917" s="153"/>
      <c r="L917" s="153"/>
      <c r="M917" s="152"/>
      <c r="N917" s="153"/>
      <c r="O917" s="153"/>
      <c r="P917" s="153"/>
      <c r="Q917" s="153"/>
      <c r="R917" s="153"/>
      <c r="S917" s="152"/>
      <c r="T917" s="153"/>
      <c r="U917" s="153"/>
      <c r="V917" s="153"/>
      <c r="W917" s="153"/>
      <c r="X917" s="153"/>
    </row>
    <row r="918" spans="1:24">
      <c r="A918" s="76"/>
      <c r="B918" s="77"/>
      <c r="C918" s="77"/>
      <c r="D918" s="77"/>
      <c r="E918" s="77"/>
      <c r="F918" s="77"/>
      <c r="G918" s="152"/>
      <c r="H918" s="153"/>
      <c r="I918" s="153"/>
      <c r="J918" s="153"/>
      <c r="K918" s="153"/>
      <c r="L918" s="153"/>
      <c r="M918" s="152"/>
      <c r="N918" s="153"/>
      <c r="O918" s="153"/>
      <c r="P918" s="153"/>
      <c r="Q918" s="153"/>
      <c r="R918" s="153"/>
      <c r="S918" s="152"/>
      <c r="T918" s="153"/>
      <c r="U918" s="153"/>
      <c r="V918" s="153"/>
      <c r="W918" s="153"/>
      <c r="X918" s="153"/>
    </row>
    <row r="919" spans="1:24">
      <c r="A919" s="76"/>
      <c r="B919" s="77"/>
      <c r="C919" s="77"/>
      <c r="D919" s="77"/>
      <c r="E919" s="77"/>
      <c r="F919" s="77"/>
      <c r="G919" s="152"/>
      <c r="H919" s="153"/>
      <c r="I919" s="153"/>
      <c r="J919" s="153"/>
      <c r="K919" s="153"/>
      <c r="L919" s="153"/>
      <c r="M919" s="152"/>
      <c r="N919" s="153"/>
      <c r="O919" s="153"/>
      <c r="P919" s="153"/>
      <c r="Q919" s="153"/>
      <c r="R919" s="153"/>
      <c r="S919" s="152"/>
      <c r="T919" s="153"/>
      <c r="U919" s="153"/>
      <c r="V919" s="153"/>
      <c r="W919" s="153"/>
      <c r="X919" s="153"/>
    </row>
    <row r="920" spans="1:24">
      <c r="A920" s="76"/>
      <c r="B920" s="77"/>
      <c r="C920" s="77"/>
      <c r="D920" s="77"/>
      <c r="E920" s="77"/>
      <c r="F920" s="77"/>
      <c r="G920" s="152"/>
      <c r="H920" s="153"/>
      <c r="I920" s="153"/>
      <c r="J920" s="153"/>
      <c r="K920" s="153"/>
      <c r="L920" s="153"/>
      <c r="M920" s="152"/>
      <c r="N920" s="153"/>
      <c r="O920" s="153"/>
      <c r="P920" s="153"/>
      <c r="Q920" s="153"/>
      <c r="R920" s="153"/>
      <c r="S920" s="152"/>
      <c r="T920" s="153"/>
      <c r="U920" s="153"/>
      <c r="V920" s="153"/>
      <c r="W920" s="153"/>
      <c r="X920" s="153"/>
    </row>
    <row r="921" spans="1:24">
      <c r="A921" s="76"/>
      <c r="B921" s="77"/>
      <c r="C921" s="77"/>
      <c r="D921" s="77"/>
      <c r="E921" s="77"/>
      <c r="F921" s="77"/>
      <c r="G921" s="152"/>
      <c r="H921" s="153"/>
      <c r="I921" s="153"/>
      <c r="J921" s="153"/>
      <c r="K921" s="153"/>
      <c r="L921" s="153"/>
      <c r="M921" s="152"/>
      <c r="N921" s="153"/>
      <c r="O921" s="153"/>
      <c r="P921" s="153"/>
      <c r="Q921" s="153"/>
      <c r="R921" s="153"/>
      <c r="S921" s="152"/>
      <c r="T921" s="153"/>
      <c r="U921" s="153"/>
      <c r="V921" s="153"/>
      <c r="W921" s="153"/>
      <c r="X921" s="153"/>
    </row>
    <row r="922" spans="1:24">
      <c r="A922" s="76"/>
      <c r="B922" s="77"/>
      <c r="C922" s="77"/>
      <c r="D922" s="77"/>
      <c r="E922" s="77"/>
      <c r="F922" s="77"/>
      <c r="G922" s="152"/>
      <c r="H922" s="153"/>
      <c r="I922" s="153"/>
      <c r="J922" s="153"/>
      <c r="K922" s="153"/>
      <c r="L922" s="153"/>
      <c r="M922" s="152"/>
      <c r="N922" s="153"/>
      <c r="O922" s="153"/>
      <c r="P922" s="153"/>
      <c r="Q922" s="153"/>
      <c r="R922" s="153"/>
      <c r="S922" s="152"/>
      <c r="T922" s="153"/>
      <c r="U922" s="153"/>
      <c r="V922" s="153"/>
      <c r="W922" s="153"/>
      <c r="X922" s="153"/>
    </row>
    <row r="923" spans="1:24">
      <c r="A923" s="76"/>
      <c r="B923" s="77"/>
      <c r="C923" s="77"/>
      <c r="D923" s="77"/>
      <c r="E923" s="77"/>
      <c r="F923" s="77"/>
      <c r="G923" s="152"/>
      <c r="H923" s="153"/>
      <c r="I923" s="153"/>
      <c r="J923" s="153"/>
      <c r="K923" s="153"/>
      <c r="L923" s="153"/>
      <c r="M923" s="152"/>
      <c r="N923" s="153"/>
      <c r="O923" s="153"/>
      <c r="P923" s="153"/>
      <c r="Q923" s="153"/>
      <c r="R923" s="153"/>
      <c r="S923" s="152"/>
      <c r="T923" s="153"/>
      <c r="U923" s="153"/>
      <c r="V923" s="153"/>
      <c r="W923" s="153"/>
      <c r="X923" s="153"/>
    </row>
    <row r="924" spans="1:24">
      <c r="A924" s="76"/>
      <c r="B924" s="77"/>
      <c r="C924" s="77"/>
      <c r="D924" s="77"/>
      <c r="E924" s="77"/>
      <c r="F924" s="77"/>
      <c r="G924" s="152"/>
      <c r="H924" s="153"/>
      <c r="I924" s="153"/>
      <c r="J924" s="153"/>
      <c r="K924" s="153"/>
      <c r="L924" s="153"/>
      <c r="M924" s="152"/>
      <c r="N924" s="153"/>
      <c r="O924" s="153"/>
      <c r="P924" s="153"/>
      <c r="Q924" s="153"/>
      <c r="R924" s="153"/>
      <c r="S924" s="152"/>
      <c r="T924" s="153"/>
      <c r="U924" s="153"/>
      <c r="V924" s="153"/>
      <c r="W924" s="153"/>
      <c r="X924" s="153"/>
    </row>
    <row r="925" spans="1:24">
      <c r="A925" s="76"/>
      <c r="B925" s="77"/>
      <c r="C925" s="77"/>
      <c r="D925" s="77"/>
      <c r="E925" s="77"/>
      <c r="F925" s="77"/>
      <c r="G925" s="152"/>
      <c r="H925" s="153"/>
      <c r="I925" s="153"/>
      <c r="J925" s="153"/>
      <c r="K925" s="153"/>
      <c r="L925" s="153"/>
      <c r="M925" s="152"/>
      <c r="N925" s="153"/>
      <c r="O925" s="153"/>
      <c r="P925" s="153"/>
      <c r="Q925" s="153"/>
      <c r="R925" s="153"/>
      <c r="S925" s="152"/>
      <c r="T925" s="153"/>
      <c r="U925" s="153"/>
      <c r="V925" s="153"/>
      <c r="W925" s="153"/>
      <c r="X925" s="153"/>
    </row>
    <row r="926" spans="1:24">
      <c r="A926" s="76"/>
      <c r="B926" s="77"/>
      <c r="C926" s="77"/>
      <c r="D926" s="77"/>
      <c r="E926" s="77"/>
      <c r="F926" s="77"/>
      <c r="G926" s="152"/>
      <c r="H926" s="153"/>
      <c r="I926" s="153"/>
      <c r="J926" s="153"/>
      <c r="K926" s="153"/>
      <c r="L926" s="153"/>
      <c r="M926" s="152"/>
      <c r="N926" s="153"/>
      <c r="O926" s="153"/>
      <c r="P926" s="153"/>
      <c r="Q926" s="153"/>
      <c r="R926" s="153"/>
      <c r="S926" s="152"/>
      <c r="T926" s="153"/>
      <c r="U926" s="153"/>
      <c r="V926" s="153"/>
      <c r="W926" s="153"/>
      <c r="X926" s="153"/>
    </row>
    <row r="927" spans="1:24">
      <c r="A927" s="76"/>
      <c r="B927" s="77"/>
      <c r="C927" s="77"/>
      <c r="D927" s="77"/>
      <c r="E927" s="77"/>
      <c r="F927" s="77"/>
      <c r="G927" s="152"/>
      <c r="H927" s="153"/>
      <c r="I927" s="153"/>
      <c r="J927" s="153"/>
      <c r="K927" s="153"/>
      <c r="L927" s="153"/>
      <c r="M927" s="152"/>
      <c r="N927" s="153"/>
      <c r="O927" s="153"/>
      <c r="P927" s="153"/>
      <c r="Q927" s="153"/>
      <c r="R927" s="153"/>
      <c r="S927" s="152"/>
      <c r="T927" s="153"/>
      <c r="U927" s="153"/>
      <c r="V927" s="153"/>
      <c r="W927" s="153"/>
      <c r="X927" s="153"/>
    </row>
    <row r="928" spans="1:24">
      <c r="A928" s="76"/>
      <c r="B928" s="77"/>
      <c r="C928" s="77"/>
      <c r="D928" s="77"/>
      <c r="E928" s="77"/>
      <c r="F928" s="77"/>
      <c r="G928" s="152"/>
      <c r="H928" s="153"/>
      <c r="I928" s="153"/>
      <c r="J928" s="153"/>
      <c r="K928" s="153"/>
      <c r="L928" s="153"/>
      <c r="M928" s="152"/>
      <c r="N928" s="153"/>
      <c r="O928" s="153"/>
      <c r="P928" s="153"/>
      <c r="Q928" s="153"/>
      <c r="R928" s="153"/>
      <c r="S928" s="152"/>
      <c r="T928" s="153"/>
      <c r="U928" s="153"/>
      <c r="V928" s="153"/>
      <c r="W928" s="153"/>
      <c r="X928" s="153"/>
    </row>
    <row r="929" spans="1:24">
      <c r="A929" s="76"/>
      <c r="B929" s="77"/>
      <c r="C929" s="77"/>
      <c r="D929" s="77"/>
      <c r="E929" s="77"/>
      <c r="F929" s="77"/>
      <c r="G929" s="152"/>
      <c r="H929" s="153"/>
      <c r="I929" s="153"/>
      <c r="J929" s="153"/>
      <c r="K929" s="153"/>
      <c r="L929" s="153"/>
      <c r="M929" s="152"/>
      <c r="N929" s="153"/>
      <c r="O929" s="153"/>
      <c r="P929" s="153"/>
      <c r="Q929" s="153"/>
      <c r="R929" s="153"/>
      <c r="S929" s="152"/>
      <c r="T929" s="153"/>
      <c r="U929" s="153"/>
      <c r="V929" s="153"/>
      <c r="W929" s="153"/>
      <c r="X929" s="153"/>
    </row>
    <row r="930" spans="1:24">
      <c r="A930" s="76"/>
      <c r="B930" s="77"/>
      <c r="C930" s="77"/>
      <c r="D930" s="77"/>
      <c r="E930" s="77"/>
      <c r="F930" s="77"/>
      <c r="G930" s="152"/>
      <c r="H930" s="153"/>
      <c r="I930" s="153"/>
      <c r="J930" s="153"/>
      <c r="K930" s="153"/>
      <c r="L930" s="153"/>
      <c r="M930" s="152"/>
      <c r="N930" s="153"/>
      <c r="O930" s="153"/>
      <c r="P930" s="153"/>
      <c r="Q930" s="153"/>
      <c r="R930" s="153"/>
      <c r="S930" s="152"/>
      <c r="T930" s="153"/>
      <c r="U930" s="153"/>
      <c r="V930" s="153"/>
      <c r="W930" s="153"/>
      <c r="X930" s="153"/>
    </row>
    <row r="931" spans="1:24">
      <c r="A931" s="76"/>
      <c r="B931" s="77"/>
      <c r="C931" s="77"/>
      <c r="D931" s="77"/>
      <c r="E931" s="77"/>
      <c r="F931" s="77"/>
      <c r="G931" s="152"/>
      <c r="H931" s="153"/>
      <c r="I931" s="153"/>
      <c r="J931" s="153"/>
      <c r="K931" s="153"/>
      <c r="L931" s="153"/>
      <c r="M931" s="152"/>
      <c r="N931" s="153"/>
      <c r="O931" s="153"/>
      <c r="P931" s="153"/>
      <c r="Q931" s="153"/>
      <c r="R931" s="153"/>
      <c r="S931" s="152"/>
      <c r="T931" s="153"/>
      <c r="U931" s="153"/>
      <c r="V931" s="153"/>
      <c r="W931" s="153"/>
      <c r="X931" s="153"/>
    </row>
    <row r="932" spans="1:24">
      <c r="A932" s="76"/>
      <c r="B932" s="77"/>
      <c r="C932" s="77"/>
      <c r="D932" s="77"/>
      <c r="E932" s="77"/>
      <c r="F932" s="77"/>
      <c r="G932" s="152"/>
      <c r="H932" s="153"/>
      <c r="I932" s="153"/>
      <c r="J932" s="153"/>
      <c r="K932" s="153"/>
      <c r="L932" s="153"/>
      <c r="M932" s="152"/>
      <c r="N932" s="153"/>
      <c r="O932" s="153"/>
      <c r="P932" s="153"/>
      <c r="Q932" s="153"/>
      <c r="R932" s="153"/>
      <c r="S932" s="152"/>
      <c r="T932" s="153"/>
      <c r="U932" s="153"/>
      <c r="V932" s="153"/>
      <c r="W932" s="153"/>
      <c r="X932" s="153"/>
    </row>
    <row r="933" spans="1:24">
      <c r="A933" s="76"/>
      <c r="B933" s="77"/>
      <c r="C933" s="77"/>
      <c r="D933" s="77"/>
      <c r="E933" s="77"/>
      <c r="F933" s="77"/>
      <c r="G933" s="152"/>
      <c r="H933" s="153"/>
      <c r="I933" s="153"/>
      <c r="J933" s="153"/>
      <c r="K933" s="153"/>
      <c r="L933" s="153"/>
      <c r="M933" s="152"/>
      <c r="N933" s="153"/>
      <c r="O933" s="153"/>
      <c r="P933" s="153"/>
      <c r="Q933" s="153"/>
      <c r="R933" s="153"/>
      <c r="S933" s="152"/>
      <c r="T933" s="153"/>
      <c r="U933" s="153"/>
      <c r="V933" s="153"/>
      <c r="W933" s="153"/>
      <c r="X933" s="153"/>
    </row>
    <row r="934" spans="1:24">
      <c r="A934" s="76"/>
      <c r="B934" s="77"/>
      <c r="C934" s="77"/>
      <c r="D934" s="77"/>
      <c r="E934" s="77"/>
      <c r="F934" s="77"/>
      <c r="G934" s="152"/>
      <c r="H934" s="153"/>
      <c r="I934" s="153"/>
      <c r="J934" s="153"/>
      <c r="K934" s="153"/>
      <c r="L934" s="153"/>
      <c r="M934" s="152"/>
      <c r="N934" s="153"/>
      <c r="O934" s="153"/>
      <c r="P934" s="153"/>
      <c r="Q934" s="153"/>
      <c r="R934" s="153"/>
      <c r="S934" s="152"/>
      <c r="T934" s="153"/>
      <c r="U934" s="153"/>
      <c r="V934" s="153"/>
      <c r="W934" s="153"/>
      <c r="X934" s="153"/>
    </row>
    <row r="935" spans="1:24">
      <c r="A935" s="76"/>
      <c r="B935" s="77"/>
      <c r="C935" s="77"/>
      <c r="D935" s="77"/>
      <c r="E935" s="77"/>
      <c r="F935" s="77"/>
      <c r="G935" s="152"/>
      <c r="H935" s="153"/>
      <c r="I935" s="153"/>
      <c r="J935" s="153"/>
      <c r="K935" s="153"/>
      <c r="L935" s="153"/>
      <c r="M935" s="152"/>
      <c r="N935" s="153"/>
      <c r="O935" s="153"/>
      <c r="P935" s="153"/>
      <c r="Q935" s="153"/>
      <c r="R935" s="153"/>
      <c r="S935" s="152"/>
      <c r="T935" s="153"/>
      <c r="U935" s="153"/>
      <c r="V935" s="153"/>
      <c r="W935" s="153"/>
      <c r="X935" s="153"/>
    </row>
    <row r="936" spans="1:24">
      <c r="A936" s="76"/>
      <c r="B936" s="77"/>
      <c r="C936" s="77"/>
      <c r="D936" s="77"/>
      <c r="E936" s="77"/>
      <c r="F936" s="77"/>
      <c r="G936" s="152"/>
      <c r="H936" s="153"/>
      <c r="I936" s="153"/>
      <c r="J936" s="153"/>
      <c r="K936" s="153"/>
      <c r="L936" s="153"/>
      <c r="M936" s="152"/>
      <c r="N936" s="153"/>
      <c r="O936" s="153"/>
      <c r="P936" s="153"/>
      <c r="Q936" s="153"/>
      <c r="R936" s="153"/>
      <c r="S936" s="152"/>
      <c r="T936" s="153"/>
      <c r="U936" s="153"/>
      <c r="V936" s="153"/>
      <c r="W936" s="153"/>
      <c r="X936" s="153"/>
    </row>
    <row r="937" spans="1:24">
      <c r="A937" s="76"/>
      <c r="B937" s="77"/>
      <c r="C937" s="77"/>
      <c r="D937" s="77"/>
      <c r="E937" s="77"/>
      <c r="F937" s="77"/>
      <c r="G937" s="152"/>
      <c r="H937" s="153"/>
      <c r="I937" s="153"/>
      <c r="J937" s="153"/>
      <c r="K937" s="153"/>
      <c r="L937" s="153"/>
      <c r="M937" s="152"/>
      <c r="N937" s="153"/>
      <c r="O937" s="153"/>
      <c r="P937" s="153"/>
      <c r="Q937" s="153"/>
      <c r="R937" s="153"/>
      <c r="S937" s="152"/>
      <c r="T937" s="153"/>
      <c r="U937" s="153"/>
      <c r="V937" s="153"/>
      <c r="W937" s="153"/>
      <c r="X937" s="153"/>
    </row>
    <row r="938" spans="1:24">
      <c r="A938" s="76"/>
      <c r="B938" s="77"/>
      <c r="C938" s="77"/>
      <c r="D938" s="77"/>
      <c r="E938" s="77"/>
      <c r="F938" s="77"/>
      <c r="G938" s="152"/>
      <c r="H938" s="153"/>
      <c r="I938" s="153"/>
      <c r="J938" s="153"/>
      <c r="K938" s="153"/>
      <c r="L938" s="153"/>
      <c r="M938" s="152"/>
      <c r="N938" s="153"/>
      <c r="O938" s="153"/>
      <c r="P938" s="153"/>
      <c r="Q938" s="153"/>
      <c r="R938" s="153"/>
      <c r="S938" s="152"/>
      <c r="T938" s="153"/>
      <c r="U938" s="153"/>
      <c r="V938" s="153"/>
      <c r="W938" s="153"/>
      <c r="X938" s="153"/>
    </row>
    <row r="939" spans="1:24">
      <c r="A939" s="76"/>
      <c r="B939" s="77"/>
      <c r="C939" s="77"/>
      <c r="D939" s="77"/>
      <c r="E939" s="77"/>
      <c r="F939" s="77"/>
      <c r="G939" s="152"/>
      <c r="H939" s="153"/>
      <c r="I939" s="153"/>
      <c r="J939" s="153"/>
      <c r="K939" s="153"/>
      <c r="L939" s="153"/>
      <c r="M939" s="152"/>
      <c r="N939" s="153"/>
      <c r="O939" s="153"/>
      <c r="P939" s="153"/>
      <c r="Q939" s="153"/>
      <c r="R939" s="153"/>
      <c r="S939" s="152"/>
      <c r="T939" s="153"/>
      <c r="U939" s="153"/>
      <c r="V939" s="153"/>
      <c r="W939" s="153"/>
      <c r="X939" s="153"/>
    </row>
    <row r="940" spans="1:24">
      <c r="A940" s="76"/>
      <c r="B940" s="77"/>
      <c r="C940" s="77"/>
      <c r="D940" s="77"/>
      <c r="E940" s="77"/>
      <c r="F940" s="77"/>
      <c r="G940" s="152"/>
      <c r="H940" s="153"/>
      <c r="I940" s="153"/>
      <c r="J940" s="153"/>
      <c r="K940" s="153"/>
      <c r="L940" s="153"/>
      <c r="M940" s="152"/>
      <c r="N940" s="153"/>
      <c r="O940" s="153"/>
      <c r="P940" s="153"/>
      <c r="Q940" s="153"/>
      <c r="R940" s="153"/>
      <c r="S940" s="152"/>
      <c r="T940" s="153"/>
      <c r="U940" s="153"/>
      <c r="V940" s="153"/>
      <c r="W940" s="153"/>
      <c r="X940" s="153"/>
    </row>
    <row r="941" spans="1:24">
      <c r="A941" s="76"/>
      <c r="B941" s="77"/>
      <c r="C941" s="77"/>
      <c r="D941" s="77"/>
      <c r="E941" s="77"/>
      <c r="F941" s="77"/>
      <c r="G941" s="152"/>
      <c r="H941" s="153"/>
      <c r="I941" s="153"/>
      <c r="J941" s="153"/>
      <c r="K941" s="153"/>
      <c r="L941" s="153"/>
      <c r="M941" s="152"/>
      <c r="N941" s="153"/>
      <c r="O941" s="153"/>
      <c r="P941" s="153"/>
      <c r="Q941" s="153"/>
      <c r="R941" s="153"/>
      <c r="S941" s="152"/>
      <c r="T941" s="153"/>
      <c r="U941" s="153"/>
      <c r="V941" s="153"/>
      <c r="W941" s="153"/>
      <c r="X941" s="153"/>
    </row>
    <row r="942" spans="1:24">
      <c r="A942" s="76"/>
      <c r="B942" s="77"/>
      <c r="C942" s="77"/>
      <c r="D942" s="77"/>
      <c r="E942" s="77"/>
      <c r="F942" s="77"/>
      <c r="G942" s="152"/>
      <c r="H942" s="153"/>
      <c r="I942" s="153"/>
      <c r="J942" s="153"/>
      <c r="K942" s="153"/>
      <c r="L942" s="153"/>
      <c r="M942" s="152"/>
      <c r="N942" s="153"/>
      <c r="O942" s="153"/>
      <c r="P942" s="153"/>
      <c r="Q942" s="153"/>
      <c r="R942" s="153"/>
      <c r="S942" s="152"/>
      <c r="T942" s="153"/>
      <c r="U942" s="153"/>
      <c r="V942" s="153"/>
      <c r="W942" s="153"/>
      <c r="X942" s="153"/>
    </row>
    <row r="943" spans="1:24">
      <c r="A943" s="76"/>
      <c r="B943" s="77"/>
      <c r="C943" s="77"/>
      <c r="D943" s="77"/>
      <c r="E943" s="77"/>
      <c r="F943" s="77"/>
      <c r="G943" s="152"/>
      <c r="H943" s="153"/>
      <c r="I943" s="153"/>
      <c r="J943" s="153"/>
      <c r="K943" s="153"/>
      <c r="L943" s="153"/>
      <c r="M943" s="152"/>
      <c r="N943" s="153"/>
      <c r="O943" s="153"/>
      <c r="P943" s="153"/>
      <c r="Q943" s="153"/>
      <c r="R943" s="153"/>
      <c r="S943" s="152"/>
      <c r="T943" s="153"/>
      <c r="U943" s="153"/>
      <c r="V943" s="153"/>
      <c r="W943" s="153"/>
      <c r="X943" s="153"/>
    </row>
    <row r="944" spans="1:24">
      <c r="A944" s="76"/>
      <c r="B944" s="77"/>
      <c r="C944" s="77"/>
      <c r="D944" s="77"/>
      <c r="E944" s="77"/>
      <c r="F944" s="77"/>
      <c r="G944" s="152"/>
      <c r="H944" s="153"/>
      <c r="I944" s="153"/>
      <c r="J944" s="153"/>
      <c r="K944" s="153"/>
      <c r="L944" s="153"/>
      <c r="M944" s="152"/>
      <c r="N944" s="153"/>
      <c r="O944" s="153"/>
      <c r="P944" s="153"/>
      <c r="Q944" s="153"/>
      <c r="R944" s="153"/>
      <c r="S944" s="152"/>
      <c r="T944" s="153"/>
      <c r="U944" s="153"/>
      <c r="V944" s="153"/>
      <c r="W944" s="153"/>
      <c r="X944" s="153"/>
    </row>
    <row r="945" spans="1:24">
      <c r="A945" s="76"/>
      <c r="B945" s="77"/>
      <c r="C945" s="77"/>
      <c r="D945" s="77"/>
      <c r="E945" s="77"/>
      <c r="F945" s="77"/>
      <c r="G945" s="152"/>
      <c r="H945" s="153"/>
      <c r="I945" s="153"/>
      <c r="J945" s="153"/>
      <c r="K945" s="153"/>
      <c r="L945" s="153"/>
      <c r="M945" s="152"/>
      <c r="N945" s="153"/>
      <c r="O945" s="153"/>
      <c r="P945" s="153"/>
      <c r="Q945" s="153"/>
      <c r="R945" s="153"/>
      <c r="S945" s="152"/>
      <c r="T945" s="153"/>
      <c r="U945" s="153"/>
      <c r="V945" s="153"/>
      <c r="W945" s="153"/>
      <c r="X945" s="153"/>
    </row>
    <row r="946" spans="1:24">
      <c r="A946" s="76"/>
      <c r="B946" s="77"/>
      <c r="C946" s="77"/>
      <c r="D946" s="77"/>
      <c r="E946" s="77"/>
      <c r="F946" s="77"/>
      <c r="G946" s="152"/>
      <c r="H946" s="153"/>
      <c r="I946" s="153"/>
      <c r="J946" s="153"/>
      <c r="K946" s="153"/>
      <c r="L946" s="153"/>
      <c r="M946" s="152"/>
      <c r="N946" s="153"/>
      <c r="O946" s="153"/>
      <c r="P946" s="153"/>
      <c r="Q946" s="153"/>
      <c r="R946" s="153"/>
      <c r="S946" s="152"/>
      <c r="T946" s="153"/>
      <c r="U946" s="153"/>
      <c r="V946" s="153"/>
      <c r="W946" s="153"/>
      <c r="X946" s="153"/>
    </row>
    <row r="947" spans="1:24">
      <c r="A947" s="76"/>
      <c r="B947" s="77"/>
      <c r="C947" s="77"/>
      <c r="D947" s="77"/>
      <c r="E947" s="77"/>
      <c r="F947" s="77"/>
      <c r="G947" s="152"/>
      <c r="H947" s="153"/>
      <c r="I947" s="153"/>
      <c r="J947" s="153"/>
      <c r="K947" s="153"/>
      <c r="L947" s="153"/>
      <c r="M947" s="152"/>
      <c r="N947" s="153"/>
      <c r="O947" s="153"/>
      <c r="P947" s="153"/>
      <c r="Q947" s="153"/>
      <c r="R947" s="153"/>
      <c r="S947" s="152"/>
      <c r="T947" s="153"/>
      <c r="U947" s="153"/>
      <c r="V947" s="153"/>
      <c r="W947" s="153"/>
      <c r="X947" s="153"/>
    </row>
    <row r="948" spans="1:24">
      <c r="A948" s="76"/>
      <c r="B948" s="77"/>
      <c r="C948" s="77"/>
      <c r="D948" s="77"/>
      <c r="E948" s="77"/>
      <c r="F948" s="77"/>
      <c r="G948" s="152"/>
      <c r="H948" s="153"/>
      <c r="I948" s="153"/>
      <c r="J948" s="153"/>
      <c r="K948" s="153"/>
      <c r="L948" s="153"/>
      <c r="M948" s="152"/>
      <c r="N948" s="153"/>
      <c r="O948" s="153"/>
      <c r="P948" s="153"/>
      <c r="Q948" s="153"/>
      <c r="R948" s="153"/>
      <c r="S948" s="152"/>
      <c r="T948" s="153"/>
      <c r="U948" s="153"/>
      <c r="V948" s="153"/>
      <c r="W948" s="153"/>
      <c r="X948" s="153"/>
    </row>
    <row r="949" spans="1:24">
      <c r="A949" s="76"/>
      <c r="B949" s="77"/>
      <c r="C949" s="77"/>
      <c r="D949" s="77"/>
      <c r="E949" s="77"/>
      <c r="F949" s="77"/>
      <c r="G949" s="152"/>
      <c r="H949" s="153"/>
      <c r="I949" s="153"/>
      <c r="J949" s="153"/>
      <c r="K949" s="153"/>
      <c r="L949" s="153"/>
      <c r="M949" s="152"/>
      <c r="N949" s="153"/>
      <c r="O949" s="153"/>
      <c r="P949" s="153"/>
      <c r="Q949" s="153"/>
      <c r="R949" s="153"/>
      <c r="S949" s="152"/>
      <c r="T949" s="153"/>
      <c r="U949" s="153"/>
      <c r="V949" s="153"/>
      <c r="W949" s="153"/>
      <c r="X949" s="153"/>
    </row>
    <row r="950" spans="1:24">
      <c r="A950" s="76"/>
      <c r="B950" s="77"/>
      <c r="C950" s="77"/>
      <c r="D950" s="77"/>
      <c r="E950" s="77"/>
      <c r="F950" s="77"/>
      <c r="G950" s="152"/>
      <c r="H950" s="153"/>
      <c r="I950" s="153"/>
      <c r="J950" s="153"/>
      <c r="K950" s="153"/>
      <c r="L950" s="153"/>
      <c r="M950" s="152"/>
      <c r="N950" s="153"/>
      <c r="O950" s="153"/>
      <c r="P950" s="153"/>
      <c r="Q950" s="153"/>
      <c r="R950" s="153"/>
      <c r="S950" s="152"/>
      <c r="T950" s="153"/>
      <c r="U950" s="153"/>
      <c r="V950" s="153"/>
      <c r="W950" s="153"/>
      <c r="X950" s="153"/>
    </row>
    <row r="951" spans="1:24">
      <c r="A951" s="76"/>
      <c r="B951" s="77"/>
      <c r="C951" s="77"/>
      <c r="D951" s="77"/>
      <c r="E951" s="77"/>
      <c r="F951" s="77"/>
      <c r="G951" s="152"/>
      <c r="H951" s="153"/>
      <c r="I951" s="153"/>
      <c r="J951" s="153"/>
      <c r="K951" s="153"/>
      <c r="L951" s="153"/>
      <c r="M951" s="152"/>
      <c r="N951" s="153"/>
      <c r="O951" s="153"/>
      <c r="P951" s="153"/>
      <c r="Q951" s="153"/>
      <c r="R951" s="153"/>
      <c r="S951" s="152"/>
      <c r="T951" s="153"/>
      <c r="U951" s="153"/>
      <c r="V951" s="153"/>
      <c r="W951" s="153"/>
      <c r="X951" s="153"/>
    </row>
    <row r="952" spans="1:24">
      <c r="A952" s="76"/>
      <c r="B952" s="77"/>
      <c r="C952" s="77"/>
      <c r="D952" s="77"/>
      <c r="E952" s="77"/>
      <c r="F952" s="77"/>
      <c r="G952" s="152"/>
      <c r="H952" s="153"/>
      <c r="I952" s="153"/>
      <c r="J952" s="153"/>
      <c r="K952" s="153"/>
      <c r="L952" s="153"/>
      <c r="M952" s="152"/>
      <c r="N952" s="153"/>
      <c r="O952" s="153"/>
      <c r="P952" s="153"/>
      <c r="Q952" s="153"/>
      <c r="R952" s="153"/>
      <c r="S952" s="152"/>
      <c r="T952" s="153"/>
      <c r="U952" s="153"/>
      <c r="V952" s="153"/>
      <c r="W952" s="153"/>
      <c r="X952" s="153"/>
    </row>
    <row r="953" spans="1:24">
      <c r="A953" s="76"/>
      <c r="B953" s="77"/>
      <c r="C953" s="77"/>
      <c r="D953" s="77"/>
      <c r="E953" s="77"/>
      <c r="F953" s="77"/>
      <c r="G953" s="152"/>
      <c r="H953" s="153"/>
      <c r="I953" s="153"/>
      <c r="J953" s="153"/>
      <c r="K953" s="153"/>
      <c r="L953" s="153"/>
      <c r="M953" s="152"/>
      <c r="N953" s="153"/>
      <c r="O953" s="153"/>
      <c r="P953" s="153"/>
      <c r="Q953" s="153"/>
      <c r="R953" s="153"/>
      <c r="S953" s="152"/>
      <c r="T953" s="153"/>
      <c r="U953" s="153"/>
      <c r="V953" s="153"/>
      <c r="W953" s="153"/>
      <c r="X953" s="153"/>
    </row>
    <row r="954" spans="1:24">
      <c r="A954" s="76"/>
      <c r="B954" s="77"/>
      <c r="C954" s="77"/>
      <c r="D954" s="77"/>
      <c r="E954" s="77"/>
      <c r="F954" s="77"/>
      <c r="G954" s="152"/>
      <c r="H954" s="153"/>
      <c r="I954" s="153"/>
      <c r="J954" s="153"/>
      <c r="K954" s="153"/>
      <c r="L954" s="153"/>
      <c r="M954" s="152"/>
      <c r="N954" s="153"/>
      <c r="O954" s="153"/>
      <c r="P954" s="153"/>
      <c r="Q954" s="153"/>
      <c r="R954" s="153"/>
      <c r="S954" s="152"/>
      <c r="T954" s="153"/>
      <c r="U954" s="153"/>
      <c r="V954" s="153"/>
      <c r="W954" s="153"/>
      <c r="X954" s="153"/>
    </row>
    <row r="955" spans="1:24">
      <c r="A955" s="76"/>
      <c r="B955" s="77"/>
      <c r="C955" s="77"/>
      <c r="D955" s="77"/>
      <c r="E955" s="77"/>
      <c r="F955" s="77"/>
      <c r="G955" s="152"/>
      <c r="H955" s="153"/>
      <c r="I955" s="153"/>
      <c r="J955" s="153"/>
      <c r="K955" s="153"/>
      <c r="L955" s="153"/>
      <c r="M955" s="152"/>
      <c r="N955" s="153"/>
      <c r="O955" s="153"/>
      <c r="P955" s="153"/>
      <c r="Q955" s="153"/>
      <c r="R955" s="153"/>
      <c r="S955" s="152"/>
      <c r="T955" s="153"/>
      <c r="U955" s="153"/>
      <c r="V955" s="153"/>
      <c r="W955" s="153"/>
      <c r="X955" s="153"/>
    </row>
    <row r="956" spans="1:24">
      <c r="A956" s="76"/>
      <c r="B956" s="77"/>
      <c r="C956" s="77"/>
      <c r="D956" s="77"/>
      <c r="E956" s="77"/>
      <c r="F956" s="77"/>
      <c r="G956" s="152"/>
      <c r="H956" s="153"/>
      <c r="I956" s="153"/>
      <c r="J956" s="153"/>
      <c r="K956" s="153"/>
      <c r="L956" s="153"/>
      <c r="M956" s="152"/>
      <c r="N956" s="153"/>
      <c r="O956" s="153"/>
      <c r="P956" s="153"/>
      <c r="Q956" s="153"/>
      <c r="R956" s="153"/>
      <c r="S956" s="152"/>
      <c r="T956" s="153"/>
      <c r="U956" s="153"/>
      <c r="V956" s="153"/>
      <c r="W956" s="153"/>
      <c r="X956" s="153"/>
    </row>
    <row r="957" spans="1:24">
      <c r="A957" s="76"/>
      <c r="B957" s="77"/>
      <c r="C957" s="77"/>
      <c r="D957" s="77"/>
      <c r="E957" s="77"/>
      <c r="F957" s="77"/>
      <c r="G957" s="152"/>
      <c r="H957" s="153"/>
      <c r="I957" s="153"/>
      <c r="J957" s="153"/>
      <c r="K957" s="153"/>
      <c r="L957" s="153"/>
      <c r="M957" s="152"/>
      <c r="N957" s="153"/>
      <c r="O957" s="153"/>
      <c r="P957" s="153"/>
      <c r="Q957" s="153"/>
      <c r="R957" s="153"/>
      <c r="S957" s="152"/>
      <c r="T957" s="153"/>
      <c r="U957" s="153"/>
      <c r="V957" s="153"/>
      <c r="W957" s="153"/>
      <c r="X957" s="153"/>
    </row>
    <row r="958" spans="1:24">
      <c r="A958" s="76"/>
      <c r="B958" s="77"/>
      <c r="C958" s="77"/>
      <c r="D958" s="77"/>
      <c r="E958" s="77"/>
      <c r="F958" s="77"/>
      <c r="G958" s="152"/>
      <c r="H958" s="153"/>
      <c r="I958" s="153"/>
      <c r="J958" s="153"/>
      <c r="K958" s="153"/>
      <c r="L958" s="153"/>
      <c r="M958" s="152"/>
      <c r="N958" s="153"/>
      <c r="O958" s="153"/>
      <c r="P958" s="153"/>
      <c r="Q958" s="153"/>
      <c r="R958" s="153"/>
      <c r="S958" s="152"/>
      <c r="T958" s="153"/>
      <c r="U958" s="153"/>
      <c r="V958" s="153"/>
      <c r="W958" s="153"/>
      <c r="X958" s="153"/>
    </row>
    <row r="959" spans="1:24">
      <c r="A959" s="76"/>
      <c r="B959" s="77"/>
      <c r="C959" s="77"/>
      <c r="D959" s="77"/>
      <c r="E959" s="77"/>
      <c r="F959" s="77"/>
      <c r="G959" s="152"/>
      <c r="H959" s="153"/>
      <c r="I959" s="153"/>
      <c r="J959" s="153"/>
      <c r="K959" s="153"/>
      <c r="L959" s="153"/>
      <c r="M959" s="152"/>
      <c r="N959" s="153"/>
      <c r="O959" s="153"/>
      <c r="P959" s="153"/>
      <c r="Q959" s="153"/>
      <c r="R959" s="153"/>
      <c r="S959" s="152"/>
      <c r="T959" s="153"/>
      <c r="U959" s="153"/>
      <c r="V959" s="153"/>
      <c r="W959" s="153"/>
      <c r="X959" s="153"/>
    </row>
    <row r="960" spans="1:24">
      <c r="A960" s="76"/>
      <c r="B960" s="77"/>
      <c r="C960" s="77"/>
      <c r="D960" s="77"/>
      <c r="E960" s="77"/>
      <c r="F960" s="77"/>
      <c r="G960" s="152"/>
      <c r="H960" s="153"/>
      <c r="I960" s="153"/>
      <c r="J960" s="153"/>
      <c r="K960" s="153"/>
      <c r="L960" s="153"/>
      <c r="M960" s="152"/>
      <c r="N960" s="153"/>
      <c r="O960" s="153"/>
      <c r="P960" s="153"/>
      <c r="Q960" s="153"/>
      <c r="R960" s="153"/>
      <c r="S960" s="152"/>
      <c r="T960" s="153"/>
      <c r="U960" s="153"/>
      <c r="V960" s="153"/>
      <c r="W960" s="153"/>
      <c r="X960" s="153"/>
    </row>
    <row r="961" spans="1:24">
      <c r="A961" s="76"/>
      <c r="B961" s="77"/>
      <c r="C961" s="77"/>
      <c r="D961" s="77"/>
      <c r="E961" s="77"/>
      <c r="F961" s="77"/>
      <c r="G961" s="152"/>
      <c r="H961" s="153"/>
      <c r="I961" s="153"/>
      <c r="J961" s="153"/>
      <c r="K961" s="153"/>
      <c r="L961" s="153"/>
      <c r="M961" s="152"/>
      <c r="N961" s="153"/>
      <c r="O961" s="153"/>
      <c r="P961" s="153"/>
      <c r="Q961" s="153"/>
      <c r="R961" s="153"/>
      <c r="S961" s="152"/>
      <c r="T961" s="153"/>
      <c r="U961" s="153"/>
      <c r="V961" s="153"/>
      <c r="W961" s="153"/>
      <c r="X961" s="153"/>
    </row>
    <row r="962" spans="1:24">
      <c r="A962" s="76"/>
      <c r="B962" s="77"/>
      <c r="C962" s="77"/>
      <c r="D962" s="77"/>
      <c r="E962" s="77"/>
      <c r="F962" s="77"/>
      <c r="G962" s="152"/>
      <c r="H962" s="153"/>
      <c r="I962" s="153"/>
      <c r="J962" s="153"/>
      <c r="K962" s="153"/>
      <c r="L962" s="153"/>
      <c r="M962" s="152"/>
      <c r="N962" s="153"/>
      <c r="O962" s="153"/>
      <c r="P962" s="153"/>
      <c r="Q962" s="153"/>
      <c r="R962" s="153"/>
      <c r="S962" s="152"/>
      <c r="T962" s="153"/>
      <c r="U962" s="153"/>
      <c r="V962" s="153"/>
      <c r="W962" s="153"/>
      <c r="X962" s="153"/>
    </row>
    <row r="963" spans="1:24">
      <c r="A963" s="76"/>
      <c r="B963" s="77"/>
      <c r="C963" s="77"/>
      <c r="D963" s="77"/>
      <c r="E963" s="77"/>
      <c r="F963" s="77"/>
      <c r="G963" s="152"/>
      <c r="H963" s="153"/>
      <c r="I963" s="153"/>
      <c r="J963" s="153"/>
      <c r="K963" s="153"/>
      <c r="L963" s="153"/>
      <c r="M963" s="152"/>
      <c r="N963" s="153"/>
      <c r="O963" s="153"/>
      <c r="P963" s="153"/>
      <c r="Q963" s="153"/>
      <c r="R963" s="153"/>
      <c r="S963" s="152"/>
      <c r="T963" s="153"/>
      <c r="U963" s="153"/>
      <c r="V963" s="153"/>
      <c r="W963" s="153"/>
      <c r="X963" s="153"/>
    </row>
    <row r="964" spans="1:24">
      <c r="A964" s="76"/>
      <c r="B964" s="77"/>
      <c r="C964" s="77"/>
      <c r="D964" s="77"/>
      <c r="E964" s="77"/>
      <c r="F964" s="77"/>
      <c r="G964" s="152"/>
      <c r="H964" s="153"/>
      <c r="I964" s="153"/>
      <c r="J964" s="153"/>
      <c r="K964" s="153"/>
      <c r="L964" s="153"/>
      <c r="M964" s="152"/>
      <c r="N964" s="153"/>
      <c r="O964" s="153"/>
      <c r="P964" s="153"/>
      <c r="Q964" s="153"/>
      <c r="R964" s="153"/>
      <c r="S964" s="152"/>
      <c r="T964" s="153"/>
      <c r="U964" s="153"/>
      <c r="V964" s="153"/>
      <c r="W964" s="153"/>
      <c r="X964" s="153"/>
    </row>
    <row r="965" spans="1:24">
      <c r="A965" s="76"/>
      <c r="B965" s="77"/>
      <c r="C965" s="77"/>
      <c r="D965" s="77"/>
      <c r="E965" s="77"/>
      <c r="F965" s="77"/>
      <c r="G965" s="152"/>
      <c r="H965" s="153"/>
      <c r="I965" s="153"/>
      <c r="J965" s="153"/>
      <c r="K965" s="153"/>
      <c r="L965" s="153"/>
      <c r="M965" s="152"/>
      <c r="N965" s="153"/>
      <c r="O965" s="153"/>
      <c r="P965" s="153"/>
      <c r="Q965" s="153"/>
      <c r="R965" s="153"/>
      <c r="S965" s="152"/>
      <c r="T965" s="153"/>
      <c r="U965" s="153"/>
      <c r="V965" s="153"/>
      <c r="W965" s="153"/>
      <c r="X965" s="153"/>
    </row>
    <row r="966" spans="1:24">
      <c r="A966" s="76"/>
      <c r="B966" s="77"/>
      <c r="C966" s="77"/>
      <c r="D966" s="77"/>
      <c r="E966" s="77"/>
      <c r="F966" s="77"/>
      <c r="G966" s="152"/>
      <c r="H966" s="153"/>
      <c r="I966" s="153"/>
      <c r="J966" s="153"/>
      <c r="K966" s="153"/>
      <c r="L966" s="153"/>
      <c r="M966" s="152"/>
      <c r="N966" s="153"/>
      <c r="O966" s="153"/>
      <c r="P966" s="153"/>
      <c r="Q966" s="153"/>
      <c r="R966" s="153"/>
      <c r="S966" s="152"/>
      <c r="T966" s="153"/>
      <c r="U966" s="153"/>
      <c r="V966" s="153"/>
      <c r="W966" s="153"/>
      <c r="X966" s="153"/>
    </row>
    <row r="967" spans="1:24">
      <c r="A967" s="76"/>
      <c r="B967" s="77"/>
      <c r="C967" s="77"/>
      <c r="D967" s="77"/>
      <c r="E967" s="77"/>
      <c r="F967" s="77"/>
      <c r="G967" s="152"/>
      <c r="H967" s="153"/>
      <c r="I967" s="153"/>
      <c r="J967" s="153"/>
      <c r="K967" s="153"/>
      <c r="L967" s="153"/>
      <c r="M967" s="152"/>
      <c r="N967" s="153"/>
      <c r="O967" s="153"/>
      <c r="P967" s="153"/>
      <c r="Q967" s="153"/>
      <c r="R967" s="153"/>
      <c r="S967" s="152"/>
      <c r="T967" s="153"/>
      <c r="U967" s="153"/>
      <c r="V967" s="153"/>
      <c r="W967" s="153"/>
      <c r="X967" s="153"/>
    </row>
    <row r="968" spans="1:24">
      <c r="A968" s="76"/>
      <c r="B968" s="77"/>
      <c r="C968" s="77"/>
      <c r="D968" s="77"/>
      <c r="E968" s="77"/>
      <c r="F968" s="77"/>
      <c r="G968" s="152"/>
      <c r="H968" s="153"/>
      <c r="I968" s="153"/>
      <c r="J968" s="153"/>
      <c r="K968" s="153"/>
      <c r="L968" s="153"/>
      <c r="M968" s="152"/>
      <c r="N968" s="153"/>
      <c r="O968" s="153"/>
      <c r="P968" s="153"/>
      <c r="Q968" s="153"/>
      <c r="R968" s="153"/>
      <c r="S968" s="152"/>
      <c r="T968" s="153"/>
      <c r="U968" s="153"/>
      <c r="V968" s="153"/>
      <c r="W968" s="153"/>
      <c r="X968" s="153"/>
    </row>
    <row r="969" spans="1:24">
      <c r="A969" s="76"/>
      <c r="B969" s="77"/>
      <c r="C969" s="77"/>
      <c r="D969" s="77"/>
      <c r="E969" s="77"/>
      <c r="F969" s="77"/>
      <c r="G969" s="152"/>
      <c r="H969" s="153"/>
      <c r="I969" s="153"/>
      <c r="J969" s="153"/>
      <c r="K969" s="153"/>
      <c r="L969" s="153"/>
      <c r="M969" s="152"/>
      <c r="N969" s="153"/>
      <c r="O969" s="153"/>
      <c r="P969" s="153"/>
      <c r="Q969" s="153"/>
      <c r="R969" s="153"/>
      <c r="S969" s="152"/>
      <c r="T969" s="153"/>
      <c r="U969" s="153"/>
      <c r="V969" s="153"/>
      <c r="W969" s="153"/>
      <c r="X969" s="153"/>
    </row>
    <row r="970" spans="1:24">
      <c r="A970" s="76"/>
      <c r="B970" s="77"/>
      <c r="C970" s="77"/>
      <c r="D970" s="77"/>
      <c r="E970" s="77"/>
      <c r="F970" s="77"/>
      <c r="G970" s="152"/>
      <c r="H970" s="153"/>
      <c r="I970" s="153"/>
      <c r="J970" s="153"/>
      <c r="K970" s="153"/>
      <c r="L970" s="153"/>
      <c r="M970" s="152"/>
      <c r="N970" s="153"/>
      <c r="O970" s="153"/>
      <c r="P970" s="153"/>
      <c r="Q970" s="153"/>
      <c r="R970" s="153"/>
      <c r="S970" s="152"/>
      <c r="T970" s="153"/>
      <c r="U970" s="153"/>
      <c r="V970" s="153"/>
      <c r="W970" s="153"/>
      <c r="X970" s="153"/>
    </row>
    <row r="971" spans="1:24">
      <c r="A971" s="76"/>
      <c r="B971" s="77"/>
      <c r="C971" s="77"/>
      <c r="D971" s="77"/>
      <c r="E971" s="77"/>
      <c r="F971" s="77"/>
      <c r="G971" s="152"/>
      <c r="H971" s="153"/>
      <c r="I971" s="153"/>
      <c r="J971" s="153"/>
      <c r="K971" s="153"/>
      <c r="L971" s="153"/>
      <c r="M971" s="152"/>
      <c r="N971" s="153"/>
      <c r="O971" s="153"/>
      <c r="P971" s="153"/>
      <c r="Q971" s="153"/>
      <c r="R971" s="153"/>
      <c r="S971" s="152"/>
      <c r="T971" s="153"/>
      <c r="U971" s="153"/>
      <c r="V971" s="153"/>
      <c r="W971" s="153"/>
      <c r="X971" s="153"/>
    </row>
    <row r="972" spans="1:24">
      <c r="A972" s="76"/>
      <c r="B972" s="77"/>
      <c r="C972" s="77"/>
      <c r="D972" s="77"/>
      <c r="E972" s="77"/>
      <c r="F972" s="77"/>
      <c r="G972" s="152"/>
      <c r="H972" s="153"/>
      <c r="I972" s="153"/>
      <c r="J972" s="153"/>
      <c r="K972" s="153"/>
      <c r="L972" s="153"/>
      <c r="M972" s="152"/>
      <c r="N972" s="153"/>
      <c r="O972" s="153"/>
      <c r="P972" s="153"/>
      <c r="Q972" s="153"/>
      <c r="R972" s="153"/>
      <c r="S972" s="152"/>
      <c r="T972" s="153"/>
      <c r="U972" s="153"/>
      <c r="V972" s="153"/>
      <c r="W972" s="153"/>
      <c r="X972" s="153"/>
    </row>
    <row r="973" spans="1:24">
      <c r="A973" s="76"/>
      <c r="B973" s="77"/>
      <c r="C973" s="77"/>
      <c r="D973" s="77"/>
      <c r="E973" s="77"/>
      <c r="F973" s="77"/>
      <c r="G973" s="152"/>
      <c r="H973" s="153"/>
      <c r="I973" s="153"/>
      <c r="J973" s="153"/>
      <c r="K973" s="153"/>
      <c r="L973" s="153"/>
      <c r="M973" s="152"/>
      <c r="N973" s="153"/>
      <c r="O973" s="153"/>
      <c r="P973" s="153"/>
      <c r="Q973" s="153"/>
      <c r="R973" s="153"/>
      <c r="S973" s="152"/>
      <c r="T973" s="153"/>
      <c r="U973" s="153"/>
      <c r="V973" s="153"/>
      <c r="W973" s="153"/>
      <c r="X973" s="153"/>
    </row>
    <row r="974" spans="1:24">
      <c r="A974" s="76"/>
      <c r="B974" s="77"/>
      <c r="C974" s="77"/>
      <c r="D974" s="77"/>
      <c r="E974" s="77"/>
      <c r="F974" s="77"/>
      <c r="G974" s="152"/>
      <c r="H974" s="153"/>
      <c r="I974" s="153"/>
      <c r="J974" s="153"/>
      <c r="K974" s="153"/>
      <c r="L974" s="153"/>
      <c r="M974" s="152"/>
      <c r="N974" s="153"/>
      <c r="O974" s="153"/>
      <c r="P974" s="153"/>
      <c r="Q974" s="153"/>
      <c r="R974" s="153"/>
      <c r="S974" s="152"/>
      <c r="T974" s="153"/>
      <c r="U974" s="153"/>
      <c r="V974" s="153"/>
      <c r="W974" s="153"/>
      <c r="X974" s="153"/>
    </row>
    <row r="975" spans="1:24">
      <c r="A975" s="76"/>
      <c r="B975" s="77"/>
      <c r="C975" s="77"/>
      <c r="D975" s="77"/>
      <c r="E975" s="77"/>
      <c r="F975" s="77"/>
      <c r="G975" s="152"/>
      <c r="H975" s="153"/>
      <c r="I975" s="153"/>
      <c r="J975" s="153"/>
      <c r="K975" s="153"/>
      <c r="L975" s="153"/>
      <c r="M975" s="152"/>
      <c r="N975" s="153"/>
      <c r="O975" s="153"/>
      <c r="P975" s="153"/>
      <c r="Q975" s="153"/>
      <c r="R975" s="153"/>
      <c r="S975" s="152"/>
      <c r="T975" s="153"/>
      <c r="U975" s="153"/>
      <c r="V975" s="153"/>
      <c r="W975" s="153"/>
      <c r="X975" s="153"/>
    </row>
    <row r="976" spans="1:24">
      <c r="A976" s="76"/>
      <c r="B976" s="77"/>
      <c r="C976" s="77"/>
      <c r="D976" s="77"/>
      <c r="E976" s="77"/>
      <c r="F976" s="77"/>
      <c r="G976" s="152"/>
      <c r="H976" s="153"/>
      <c r="I976" s="153"/>
      <c r="J976" s="153"/>
      <c r="K976" s="153"/>
      <c r="L976" s="153"/>
      <c r="M976" s="152"/>
      <c r="N976" s="153"/>
      <c r="O976" s="153"/>
      <c r="P976" s="153"/>
      <c r="Q976" s="153"/>
      <c r="R976" s="153"/>
      <c r="S976" s="152"/>
      <c r="T976" s="153"/>
      <c r="U976" s="153"/>
      <c r="V976" s="153"/>
      <c r="W976" s="153"/>
      <c r="X976" s="153"/>
    </row>
    <row r="977" spans="1:24">
      <c r="A977" s="76"/>
      <c r="B977" s="77"/>
      <c r="C977" s="77"/>
      <c r="D977" s="77"/>
      <c r="E977" s="77"/>
      <c r="F977" s="77"/>
      <c r="G977" s="152"/>
      <c r="H977" s="153"/>
      <c r="I977" s="153"/>
      <c r="J977" s="153"/>
      <c r="K977" s="153"/>
      <c r="L977" s="153"/>
      <c r="M977" s="152"/>
      <c r="N977" s="153"/>
      <c r="O977" s="153"/>
      <c r="P977" s="153"/>
      <c r="Q977" s="153"/>
      <c r="R977" s="153"/>
      <c r="S977" s="152"/>
      <c r="T977" s="153"/>
      <c r="U977" s="153"/>
      <c r="V977" s="153"/>
      <c r="W977" s="153"/>
      <c r="X977" s="153"/>
    </row>
    <row r="978" spans="1:24">
      <c r="A978" s="76"/>
      <c r="B978" s="77"/>
      <c r="C978" s="77"/>
      <c r="D978" s="77"/>
      <c r="E978" s="77"/>
      <c r="F978" s="77"/>
      <c r="G978" s="152"/>
      <c r="H978" s="153"/>
      <c r="I978" s="153"/>
      <c r="J978" s="153"/>
      <c r="K978" s="153"/>
      <c r="L978" s="153"/>
      <c r="M978" s="152"/>
      <c r="N978" s="153"/>
      <c r="O978" s="153"/>
      <c r="P978" s="153"/>
      <c r="Q978" s="153"/>
      <c r="R978" s="153"/>
      <c r="S978" s="152"/>
      <c r="T978" s="153"/>
      <c r="U978" s="153"/>
      <c r="V978" s="153"/>
      <c r="W978" s="153"/>
      <c r="X978" s="153"/>
    </row>
    <row r="979" spans="1:24">
      <c r="A979" s="76"/>
      <c r="B979" s="77"/>
      <c r="C979" s="77"/>
      <c r="D979" s="77"/>
      <c r="E979" s="77"/>
      <c r="F979" s="77"/>
      <c r="G979" s="152"/>
      <c r="H979" s="153"/>
      <c r="I979" s="153"/>
      <c r="J979" s="153"/>
      <c r="K979" s="153"/>
      <c r="L979" s="153"/>
      <c r="M979" s="152"/>
      <c r="N979" s="153"/>
      <c r="O979" s="153"/>
      <c r="P979" s="153"/>
      <c r="Q979" s="153"/>
      <c r="R979" s="153"/>
      <c r="S979" s="152"/>
      <c r="T979" s="153"/>
      <c r="U979" s="153"/>
      <c r="V979" s="153"/>
      <c r="W979" s="153"/>
      <c r="X979" s="153"/>
    </row>
    <row r="980" spans="1:24">
      <c r="A980" s="76"/>
      <c r="B980" s="77"/>
      <c r="C980" s="77"/>
      <c r="D980" s="77"/>
      <c r="E980" s="77"/>
      <c r="F980" s="77"/>
      <c r="G980" s="152"/>
      <c r="H980" s="153"/>
      <c r="I980" s="153"/>
      <c r="J980" s="153"/>
      <c r="K980" s="153"/>
      <c r="L980" s="153"/>
      <c r="M980" s="152"/>
      <c r="N980" s="153"/>
      <c r="O980" s="153"/>
      <c r="P980" s="153"/>
      <c r="Q980" s="153"/>
      <c r="R980" s="153"/>
      <c r="S980" s="152"/>
      <c r="T980" s="153"/>
      <c r="U980" s="153"/>
      <c r="V980" s="153"/>
      <c r="W980" s="153"/>
      <c r="X980" s="153"/>
    </row>
    <row r="981" spans="1:24">
      <c r="A981" s="76"/>
      <c r="B981" s="77"/>
      <c r="C981" s="77"/>
      <c r="D981" s="77"/>
      <c r="E981" s="77"/>
      <c r="F981" s="77"/>
      <c r="G981" s="152"/>
      <c r="H981" s="153"/>
      <c r="I981" s="153"/>
      <c r="J981" s="153"/>
      <c r="K981" s="153"/>
      <c r="L981" s="153"/>
      <c r="M981" s="152"/>
      <c r="N981" s="153"/>
      <c r="O981" s="153"/>
      <c r="P981" s="153"/>
      <c r="Q981" s="153"/>
      <c r="R981" s="153"/>
      <c r="S981" s="152"/>
      <c r="T981" s="153"/>
      <c r="U981" s="153"/>
      <c r="V981" s="153"/>
      <c r="W981" s="153"/>
      <c r="X981" s="153"/>
    </row>
    <row r="982" spans="1:24">
      <c r="A982" s="76"/>
      <c r="B982" s="77"/>
      <c r="C982" s="77"/>
      <c r="D982" s="77"/>
      <c r="E982" s="77"/>
      <c r="F982" s="77"/>
      <c r="G982" s="152"/>
      <c r="H982" s="153"/>
      <c r="I982" s="153"/>
      <c r="J982" s="153"/>
      <c r="K982" s="153"/>
      <c r="L982" s="153"/>
      <c r="M982" s="152"/>
      <c r="N982" s="153"/>
      <c r="O982" s="153"/>
      <c r="P982" s="153"/>
      <c r="Q982" s="153"/>
      <c r="R982" s="153"/>
      <c r="S982" s="152"/>
      <c r="T982" s="153"/>
      <c r="U982" s="153"/>
      <c r="V982" s="153"/>
      <c r="W982" s="153"/>
      <c r="X982" s="153"/>
    </row>
    <row r="983" spans="1:24">
      <c r="A983" s="76"/>
      <c r="B983" s="77"/>
      <c r="C983" s="77"/>
      <c r="D983" s="77"/>
      <c r="E983" s="77"/>
      <c r="F983" s="77"/>
      <c r="G983" s="152"/>
      <c r="H983" s="153"/>
      <c r="I983" s="153"/>
      <c r="J983" s="153"/>
      <c r="K983" s="153"/>
      <c r="L983" s="153"/>
      <c r="M983" s="152"/>
      <c r="N983" s="153"/>
      <c r="O983" s="153"/>
      <c r="P983" s="153"/>
      <c r="Q983" s="153"/>
      <c r="R983" s="153"/>
      <c r="S983" s="152"/>
      <c r="T983" s="153"/>
      <c r="U983" s="153"/>
      <c r="V983" s="153"/>
      <c r="W983" s="153"/>
      <c r="X983" s="153"/>
    </row>
    <row r="984" spans="1:24">
      <c r="A984" s="76"/>
      <c r="B984" s="77"/>
      <c r="C984" s="77"/>
      <c r="D984" s="77"/>
      <c r="E984" s="77"/>
      <c r="F984" s="77"/>
      <c r="G984" s="152"/>
      <c r="H984" s="153"/>
      <c r="I984" s="153"/>
      <c r="J984" s="153"/>
      <c r="K984" s="153"/>
      <c r="L984" s="153"/>
      <c r="M984" s="152"/>
      <c r="N984" s="153"/>
      <c r="O984" s="153"/>
      <c r="P984" s="153"/>
      <c r="Q984" s="153"/>
      <c r="R984" s="153"/>
      <c r="S984" s="152"/>
      <c r="T984" s="153"/>
      <c r="U984" s="153"/>
      <c r="V984" s="153"/>
      <c r="W984" s="153"/>
      <c r="X984" s="153"/>
    </row>
    <row r="985" spans="1:24">
      <c r="A985" s="76"/>
      <c r="B985" s="77"/>
      <c r="C985" s="77"/>
      <c r="D985" s="77"/>
      <c r="E985" s="77"/>
      <c r="F985" s="77"/>
      <c r="G985" s="152"/>
      <c r="H985" s="153"/>
      <c r="I985" s="153"/>
      <c r="J985" s="153"/>
      <c r="K985" s="153"/>
      <c r="L985" s="153"/>
      <c r="M985" s="152"/>
      <c r="N985" s="153"/>
      <c r="O985" s="153"/>
      <c r="P985" s="153"/>
      <c r="Q985" s="153"/>
      <c r="R985" s="153"/>
      <c r="S985" s="152"/>
      <c r="T985" s="153"/>
      <c r="U985" s="153"/>
      <c r="V985" s="153"/>
      <c r="W985" s="153"/>
      <c r="X985" s="153"/>
    </row>
    <row r="986" spans="1:24">
      <c r="A986" s="76"/>
      <c r="B986" s="77"/>
      <c r="C986" s="77"/>
      <c r="D986" s="77"/>
      <c r="E986" s="77"/>
      <c r="F986" s="77"/>
      <c r="G986" s="152"/>
      <c r="H986" s="153"/>
      <c r="I986" s="153"/>
      <c r="J986" s="153"/>
      <c r="K986" s="153"/>
      <c r="L986" s="153"/>
      <c r="M986" s="152"/>
      <c r="N986" s="153"/>
      <c r="O986" s="153"/>
      <c r="P986" s="153"/>
      <c r="Q986" s="153"/>
      <c r="R986" s="153"/>
      <c r="S986" s="152"/>
      <c r="T986" s="153"/>
      <c r="U986" s="153"/>
      <c r="V986" s="153"/>
      <c r="W986" s="153"/>
      <c r="X986" s="153"/>
    </row>
    <row r="987" spans="1:24">
      <c r="A987" s="76"/>
      <c r="B987" s="77"/>
      <c r="C987" s="77"/>
      <c r="D987" s="77"/>
      <c r="E987" s="77"/>
      <c r="F987" s="77"/>
      <c r="G987" s="152"/>
      <c r="H987" s="153"/>
      <c r="I987" s="153"/>
      <c r="J987" s="153"/>
      <c r="K987" s="153"/>
      <c r="L987" s="153"/>
      <c r="M987" s="152"/>
      <c r="N987" s="153"/>
      <c r="O987" s="153"/>
      <c r="P987" s="153"/>
      <c r="Q987" s="153"/>
      <c r="R987" s="153"/>
      <c r="S987" s="152"/>
      <c r="T987" s="153"/>
      <c r="U987" s="153"/>
      <c r="V987" s="153"/>
      <c r="W987" s="153"/>
      <c r="X987" s="153"/>
    </row>
    <row r="988" spans="1:24">
      <c r="A988" s="76"/>
      <c r="B988" s="77"/>
      <c r="C988" s="77"/>
      <c r="D988" s="77"/>
      <c r="E988" s="77"/>
      <c r="F988" s="77"/>
      <c r="G988" s="152"/>
      <c r="H988" s="153"/>
      <c r="I988" s="153"/>
      <c r="J988" s="153"/>
      <c r="K988" s="153"/>
      <c r="L988" s="153"/>
      <c r="M988" s="152"/>
      <c r="N988" s="153"/>
      <c r="O988" s="153"/>
      <c r="P988" s="153"/>
      <c r="Q988" s="153"/>
      <c r="R988" s="153"/>
      <c r="S988" s="152"/>
      <c r="T988" s="153"/>
      <c r="U988" s="153"/>
      <c r="V988" s="153"/>
      <c r="W988" s="153"/>
      <c r="X988" s="153"/>
    </row>
    <row r="989" spans="1:24">
      <c r="A989" s="76"/>
      <c r="B989" s="77"/>
      <c r="C989" s="77"/>
      <c r="D989" s="77"/>
      <c r="E989" s="77"/>
      <c r="F989" s="77"/>
      <c r="G989" s="152"/>
      <c r="H989" s="153"/>
      <c r="I989" s="153"/>
      <c r="J989" s="153"/>
      <c r="K989" s="153"/>
      <c r="L989" s="153"/>
      <c r="M989" s="152"/>
      <c r="N989" s="153"/>
      <c r="O989" s="153"/>
      <c r="P989" s="153"/>
      <c r="Q989" s="153"/>
      <c r="R989" s="153"/>
      <c r="S989" s="152"/>
      <c r="T989" s="153"/>
      <c r="U989" s="153"/>
      <c r="V989" s="153"/>
      <c r="W989" s="153"/>
      <c r="X989" s="153"/>
    </row>
    <row r="990" spans="1:24">
      <c r="A990" s="76"/>
      <c r="B990" s="77"/>
      <c r="C990" s="77"/>
      <c r="D990" s="77"/>
      <c r="E990" s="77"/>
      <c r="F990" s="77"/>
      <c r="G990" s="152"/>
      <c r="H990" s="153"/>
      <c r="I990" s="153"/>
      <c r="J990" s="153"/>
      <c r="K990" s="153"/>
      <c r="L990" s="153"/>
      <c r="M990" s="152"/>
      <c r="N990" s="153"/>
      <c r="O990" s="153"/>
      <c r="P990" s="153"/>
      <c r="Q990" s="153"/>
      <c r="R990" s="153"/>
      <c r="S990" s="152"/>
      <c r="T990" s="153"/>
      <c r="U990" s="153"/>
      <c r="V990" s="153"/>
      <c r="W990" s="153"/>
      <c r="X990" s="153"/>
    </row>
    <row r="991" spans="1:24">
      <c r="A991" s="76"/>
      <c r="B991" s="77"/>
      <c r="C991" s="77"/>
      <c r="D991" s="77"/>
      <c r="E991" s="77"/>
      <c r="F991" s="77"/>
      <c r="G991" s="152"/>
      <c r="H991" s="153"/>
      <c r="I991" s="153"/>
      <c r="J991" s="153"/>
      <c r="K991" s="153"/>
      <c r="L991" s="153"/>
      <c r="M991" s="152"/>
      <c r="N991" s="153"/>
      <c r="O991" s="153"/>
      <c r="P991" s="153"/>
      <c r="Q991" s="153"/>
      <c r="R991" s="153"/>
      <c r="S991" s="152"/>
      <c r="T991" s="153"/>
      <c r="U991" s="153"/>
      <c r="V991" s="153"/>
      <c r="W991" s="153"/>
      <c r="X991" s="153"/>
    </row>
    <row r="992" spans="1:24">
      <c r="A992" s="76"/>
      <c r="B992" s="77"/>
      <c r="C992" s="77"/>
      <c r="D992" s="77"/>
      <c r="E992" s="77"/>
      <c r="F992" s="77"/>
      <c r="G992" s="152"/>
      <c r="H992" s="153"/>
      <c r="I992" s="153"/>
      <c r="J992" s="153"/>
      <c r="K992" s="153"/>
      <c r="L992" s="153"/>
      <c r="M992" s="152"/>
      <c r="N992" s="153"/>
      <c r="O992" s="153"/>
      <c r="P992" s="153"/>
      <c r="Q992" s="153"/>
      <c r="R992" s="153"/>
      <c r="S992" s="152"/>
      <c r="T992" s="153"/>
      <c r="U992" s="153"/>
      <c r="V992" s="153"/>
      <c r="W992" s="153"/>
      <c r="X992" s="153"/>
    </row>
    <row r="993" spans="1:24">
      <c r="A993" s="76"/>
      <c r="B993" s="77"/>
      <c r="C993" s="77"/>
      <c r="D993" s="77"/>
      <c r="E993" s="77"/>
      <c r="F993" s="77"/>
      <c r="G993" s="152"/>
      <c r="H993" s="153"/>
      <c r="I993" s="153"/>
      <c r="J993" s="153"/>
      <c r="K993" s="153"/>
      <c r="L993" s="153"/>
      <c r="M993" s="152"/>
      <c r="N993" s="153"/>
      <c r="O993" s="153"/>
      <c r="P993" s="153"/>
      <c r="Q993" s="153"/>
      <c r="R993" s="153"/>
      <c r="S993" s="152"/>
      <c r="T993" s="153"/>
      <c r="U993" s="153"/>
      <c r="V993" s="153"/>
      <c r="W993" s="153"/>
      <c r="X993" s="153"/>
    </row>
    <row r="994" spans="1:24">
      <c r="A994" s="76"/>
      <c r="B994" s="77"/>
      <c r="C994" s="77"/>
      <c r="D994" s="77"/>
      <c r="E994" s="77"/>
      <c r="F994" s="77"/>
      <c r="G994" s="152"/>
      <c r="H994" s="153"/>
      <c r="I994" s="153"/>
      <c r="J994" s="153"/>
      <c r="K994" s="153"/>
      <c r="L994" s="153"/>
      <c r="M994" s="152"/>
      <c r="N994" s="153"/>
      <c r="O994" s="153"/>
      <c r="P994" s="153"/>
      <c r="Q994" s="153"/>
      <c r="R994" s="153"/>
      <c r="S994" s="152"/>
      <c r="T994" s="153"/>
      <c r="U994" s="153"/>
      <c r="V994" s="153"/>
      <c r="W994" s="153"/>
      <c r="X994" s="153"/>
    </row>
    <row r="995" spans="1:24">
      <c r="A995" s="76"/>
      <c r="B995" s="77"/>
      <c r="C995" s="77"/>
      <c r="D995" s="77"/>
      <c r="E995" s="77"/>
      <c r="F995" s="77"/>
      <c r="G995" s="152"/>
      <c r="H995" s="153"/>
      <c r="I995" s="153"/>
      <c r="J995" s="153"/>
      <c r="K995" s="153"/>
      <c r="L995" s="153"/>
      <c r="M995" s="152"/>
      <c r="N995" s="153"/>
      <c r="O995" s="153"/>
      <c r="P995" s="153"/>
      <c r="Q995" s="153"/>
      <c r="R995" s="153"/>
      <c r="S995" s="152"/>
      <c r="T995" s="153"/>
      <c r="U995" s="153"/>
      <c r="V995" s="153"/>
      <c r="W995" s="153"/>
      <c r="X995" s="153"/>
    </row>
    <row r="996" spans="1:24">
      <c r="A996" s="76"/>
      <c r="B996" s="77"/>
      <c r="C996" s="77"/>
      <c r="D996" s="77"/>
      <c r="E996" s="77"/>
      <c r="F996" s="77"/>
      <c r="G996" s="152"/>
      <c r="H996" s="153"/>
      <c r="I996" s="153"/>
      <c r="J996" s="153"/>
      <c r="K996" s="153"/>
      <c r="L996" s="153"/>
      <c r="M996" s="152"/>
      <c r="N996" s="153"/>
      <c r="O996" s="153"/>
      <c r="P996" s="153"/>
      <c r="Q996" s="153"/>
      <c r="R996" s="153"/>
      <c r="S996" s="152"/>
      <c r="T996" s="153"/>
      <c r="U996" s="153"/>
      <c r="V996" s="153"/>
      <c r="W996" s="153"/>
      <c r="X996" s="153"/>
    </row>
    <row r="997" spans="1:24">
      <c r="A997" s="76"/>
      <c r="B997" s="77"/>
      <c r="C997" s="77"/>
      <c r="D997" s="77"/>
      <c r="E997" s="77"/>
      <c r="F997" s="77"/>
      <c r="G997" s="152"/>
      <c r="H997" s="153"/>
      <c r="I997" s="153"/>
      <c r="J997" s="153"/>
      <c r="K997" s="153"/>
      <c r="L997" s="153"/>
      <c r="M997" s="152"/>
      <c r="N997" s="153"/>
      <c r="O997" s="153"/>
      <c r="P997" s="153"/>
      <c r="Q997" s="153"/>
      <c r="R997" s="153"/>
      <c r="S997" s="152"/>
      <c r="T997" s="153"/>
      <c r="U997" s="153"/>
      <c r="V997" s="153"/>
      <c r="W997" s="153"/>
      <c r="X997" s="153"/>
    </row>
    <row r="998" spans="1:24">
      <c r="A998" s="76"/>
      <c r="B998" s="77"/>
      <c r="C998" s="77"/>
      <c r="D998" s="77"/>
      <c r="E998" s="77"/>
      <c r="F998" s="77"/>
      <c r="G998" s="152"/>
      <c r="H998" s="153"/>
      <c r="I998" s="153"/>
      <c r="J998" s="153"/>
      <c r="K998" s="153"/>
      <c r="L998" s="153"/>
      <c r="M998" s="152"/>
      <c r="N998" s="153"/>
      <c r="O998" s="153"/>
      <c r="P998" s="153"/>
      <c r="Q998" s="153"/>
      <c r="R998" s="153"/>
      <c r="S998" s="152"/>
      <c r="T998" s="153"/>
      <c r="U998" s="153"/>
      <c r="V998" s="153"/>
      <c r="W998" s="153"/>
      <c r="X998" s="153"/>
    </row>
    <row r="999" spans="1:24">
      <c r="A999" s="76"/>
      <c r="B999" s="77"/>
      <c r="C999" s="77"/>
      <c r="D999" s="77"/>
      <c r="E999" s="77"/>
      <c r="F999" s="77"/>
      <c r="G999" s="152"/>
      <c r="H999" s="153"/>
      <c r="I999" s="153"/>
      <c r="J999" s="153"/>
      <c r="K999" s="153"/>
      <c r="L999" s="153"/>
      <c r="M999" s="152"/>
      <c r="N999" s="153"/>
      <c r="O999" s="153"/>
      <c r="P999" s="153"/>
      <c r="Q999" s="153"/>
      <c r="R999" s="153"/>
      <c r="S999" s="152"/>
      <c r="T999" s="153"/>
      <c r="U999" s="153"/>
      <c r="V999" s="153"/>
      <c r="W999" s="153"/>
      <c r="X999" s="153"/>
    </row>
    <row r="1000" spans="1:24">
      <c r="A1000" s="76"/>
      <c r="B1000" s="77"/>
      <c r="C1000" s="77"/>
      <c r="D1000" s="77"/>
      <c r="E1000" s="77"/>
      <c r="F1000" s="77"/>
      <c r="G1000" s="152"/>
      <c r="H1000" s="153"/>
      <c r="I1000" s="153"/>
      <c r="J1000" s="153"/>
      <c r="K1000" s="153"/>
      <c r="L1000" s="153"/>
      <c r="M1000" s="152"/>
      <c r="N1000" s="153"/>
      <c r="O1000" s="153"/>
      <c r="P1000" s="153"/>
      <c r="Q1000" s="153"/>
      <c r="R1000" s="153"/>
      <c r="S1000" s="152"/>
      <c r="T1000" s="153"/>
      <c r="U1000" s="153"/>
      <c r="V1000" s="153"/>
      <c r="W1000" s="153"/>
      <c r="X1000" s="153"/>
    </row>
  </sheetData>
  <mergeCells count="8">
    <mergeCell ref="B1:F1"/>
    <mergeCell ref="H1:L1"/>
    <mergeCell ref="N1:R1"/>
    <mergeCell ref="T1:X1"/>
    <mergeCell ref="B3:F3"/>
    <mergeCell ref="H3:L3"/>
    <mergeCell ref="N3:R3"/>
    <mergeCell ref="T3:X3"/>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5D752-A943-5C48-A7C3-6127274EEA23}">
  <sheetPr codeName="Sheet23"/>
  <dimension ref="A1:H926"/>
  <sheetViews>
    <sheetView workbookViewId="0"/>
  </sheetViews>
  <sheetFormatPr baseColWidth="10" defaultRowHeight="16"/>
  <cols>
    <col min="3" max="3" width="18.1640625" bestFit="1" customWidth="1"/>
    <col min="4" max="4" width="11.83203125" bestFit="1" customWidth="1"/>
    <col min="6" max="6" width="15.83203125" bestFit="1" customWidth="1"/>
  </cols>
  <sheetData>
    <row r="1" spans="1:8">
      <c r="A1" t="s">
        <v>1279</v>
      </c>
      <c r="B1" t="s">
        <v>531</v>
      </c>
      <c r="C1" t="s">
        <v>536</v>
      </c>
      <c r="D1" t="s">
        <v>1280</v>
      </c>
      <c r="E1" t="s">
        <v>1281</v>
      </c>
      <c r="F1" t="s">
        <v>1282</v>
      </c>
      <c r="G1" t="s">
        <v>535</v>
      </c>
      <c r="H1" t="s">
        <v>1260</v>
      </c>
    </row>
    <row r="2" spans="1:8">
      <c r="A2">
        <v>1</v>
      </c>
      <c r="B2">
        <v>409</v>
      </c>
      <c r="C2" s="128">
        <v>43101</v>
      </c>
      <c r="D2" s="25" t="e">
        <f>VLOOKUP(VLOOKUP(B2,SuiteCatSubElem!$G$2:$G$667,2,0),'SA Q4 18 W'!$A$33:$F$193,1+MATCH(VLOOKUP(A2,Personas!$A$2:$B$6,2,0),'SA Q4 18 W'!$B$4:$F$4,0),0)</f>
        <v>#REF!</v>
      </c>
      <c r="E2">
        <v>1</v>
      </c>
      <c r="G2">
        <v>1</v>
      </c>
      <c r="H2">
        <v>8</v>
      </c>
    </row>
    <row r="3" spans="1:8">
      <c r="A3">
        <v>1</v>
      </c>
      <c r="B3">
        <v>410</v>
      </c>
      <c r="C3" s="128">
        <v>43101</v>
      </c>
      <c r="D3" s="25" t="e">
        <f>VLOOKUP(VLOOKUP(B3,SuiteCatSubElem!$G$2:$G$667,2,0),'SA Q4 18 W'!$A$33:$F$193,1+MATCH(VLOOKUP(A3,Personas!$A$2:$B$6,2,0),'SA Q4 18 W'!$B$4:$F$4,0),0)</f>
        <v>#REF!</v>
      </c>
      <c r="E3">
        <v>1</v>
      </c>
      <c r="G3">
        <v>1</v>
      </c>
      <c r="H3">
        <v>8</v>
      </c>
    </row>
    <row r="4" spans="1:8">
      <c r="A4">
        <v>1</v>
      </c>
      <c r="B4">
        <v>411</v>
      </c>
      <c r="C4" s="128">
        <v>43101</v>
      </c>
      <c r="D4" s="25" t="e">
        <f>VLOOKUP(VLOOKUP(B4,SuiteCatSubElem!$G$2:$G$667,2,0),'SA Q4 18 W'!$A$33:$F$193,1+MATCH(VLOOKUP(A4,Personas!$A$2:$B$6,2,0),'SA Q4 18 W'!$B$4:$F$4,0),0)</f>
        <v>#REF!</v>
      </c>
      <c r="E4">
        <v>1</v>
      </c>
      <c r="G4">
        <v>1</v>
      </c>
      <c r="H4">
        <v>8</v>
      </c>
    </row>
    <row r="5" spans="1:8">
      <c r="A5">
        <v>1</v>
      </c>
      <c r="B5">
        <v>412</v>
      </c>
      <c r="C5" s="128">
        <v>43101</v>
      </c>
      <c r="D5" s="25" t="e">
        <f>VLOOKUP(VLOOKUP(B5,SuiteCatSubElem!$G$2:$G$667,2,0),'SA Q4 18 W'!$A$33:$F$193,1+MATCH(VLOOKUP(A5,Personas!$A$2:$B$6,2,0),'SA Q4 18 W'!$B$4:$F$4,0),0)</f>
        <v>#REF!</v>
      </c>
      <c r="E5">
        <v>1</v>
      </c>
      <c r="G5">
        <v>1</v>
      </c>
      <c r="H5">
        <v>8</v>
      </c>
    </row>
    <row r="6" spans="1:8">
      <c r="A6">
        <v>1</v>
      </c>
      <c r="B6">
        <v>413</v>
      </c>
      <c r="C6" s="128">
        <v>43101</v>
      </c>
      <c r="D6" s="25" t="e">
        <f>VLOOKUP(VLOOKUP(B6,SuiteCatSubElem!$G$2:$G$667,2,0),'SA Q4 18 W'!$A$33:$F$193,1+MATCH(VLOOKUP(A6,Personas!$A$2:$B$6,2,0),'SA Q4 18 W'!$B$4:$F$4,0),0)</f>
        <v>#REF!</v>
      </c>
      <c r="E6">
        <v>1</v>
      </c>
      <c r="G6">
        <v>1</v>
      </c>
      <c r="H6">
        <v>8</v>
      </c>
    </row>
    <row r="7" spans="1:8">
      <c r="A7">
        <v>1</v>
      </c>
      <c r="B7">
        <v>414</v>
      </c>
      <c r="C7" s="128">
        <v>43101</v>
      </c>
      <c r="D7" s="25" t="e">
        <f>VLOOKUP(VLOOKUP(B7,SuiteCatSubElem!$G$2:$G$667,2,0),'SA Q4 18 W'!$A$33:$F$193,1+MATCH(VLOOKUP(A7,Personas!$A$2:$B$6,2,0),'SA Q4 18 W'!$B$4:$F$4,0),0)</f>
        <v>#REF!</v>
      </c>
      <c r="E7">
        <v>1</v>
      </c>
      <c r="G7">
        <v>1</v>
      </c>
      <c r="H7">
        <v>8</v>
      </c>
    </row>
    <row r="8" spans="1:8">
      <c r="A8">
        <v>1</v>
      </c>
      <c r="B8">
        <v>415</v>
      </c>
      <c r="C8" s="128">
        <v>43101</v>
      </c>
      <c r="D8" s="25" t="e">
        <f>VLOOKUP(VLOOKUP(B8,SuiteCatSubElem!$G$2:$G$667,2,0),'SA Q4 18 W'!$A$33:$F$193,1+MATCH(VLOOKUP(A8,Personas!$A$2:$B$6,2,0),'SA Q4 18 W'!$B$4:$F$4,0),0)</f>
        <v>#REF!</v>
      </c>
      <c r="E8">
        <v>1</v>
      </c>
      <c r="G8">
        <v>1</v>
      </c>
      <c r="H8">
        <v>8</v>
      </c>
    </row>
    <row r="9" spans="1:8">
      <c r="A9">
        <v>1</v>
      </c>
      <c r="B9">
        <v>416</v>
      </c>
      <c r="C9" s="128">
        <v>43101</v>
      </c>
      <c r="D9" s="25" t="e">
        <f>VLOOKUP(VLOOKUP(B9,SuiteCatSubElem!$G$2:$G$667,2,0),'SA Q4 18 W'!$A$33:$F$193,1+MATCH(VLOOKUP(A9,Personas!$A$2:$B$6,2,0),'SA Q4 18 W'!$B$4:$F$4,0),0)</f>
        <v>#REF!</v>
      </c>
      <c r="E9">
        <v>1</v>
      </c>
      <c r="G9">
        <v>1</v>
      </c>
      <c r="H9">
        <v>8</v>
      </c>
    </row>
    <row r="10" spans="1:8">
      <c r="A10">
        <v>1</v>
      </c>
      <c r="B10">
        <v>417</v>
      </c>
      <c r="C10" s="128">
        <v>43101</v>
      </c>
      <c r="D10" s="25" t="e">
        <f>VLOOKUP(VLOOKUP(B10,SuiteCatSubElem!$G$2:$G$667,2,0),'SA Q4 18 W'!$A$33:$F$193,1+MATCH(VLOOKUP(A10,Personas!$A$2:$B$6,2,0),'SA Q4 18 W'!$B$4:$F$4,0),0)</f>
        <v>#REF!</v>
      </c>
      <c r="E10">
        <v>1</v>
      </c>
      <c r="G10">
        <v>1</v>
      </c>
      <c r="H10">
        <v>8</v>
      </c>
    </row>
    <row r="11" spans="1:8">
      <c r="A11">
        <v>1</v>
      </c>
      <c r="B11">
        <v>418</v>
      </c>
      <c r="C11" s="128">
        <v>43101</v>
      </c>
      <c r="D11" s="25" t="e">
        <f>VLOOKUP(VLOOKUP(B11,SuiteCatSubElem!$G$2:$G$667,2,0),'SA Q4 18 W'!$A$33:$F$193,1+MATCH(VLOOKUP(A11,Personas!$A$2:$B$6,2,0),'SA Q4 18 W'!$B$4:$F$4,0),0)</f>
        <v>#REF!</v>
      </c>
      <c r="E11">
        <v>1</v>
      </c>
      <c r="G11">
        <v>1</v>
      </c>
      <c r="H11">
        <v>8</v>
      </c>
    </row>
    <row r="12" spans="1:8">
      <c r="A12">
        <v>1</v>
      </c>
      <c r="B12">
        <v>419</v>
      </c>
      <c r="C12" s="128">
        <v>43101</v>
      </c>
      <c r="D12" s="25" t="e">
        <f>VLOOKUP(VLOOKUP(B12,SuiteCatSubElem!$G$2:$G$667,2,0),'SA Q4 18 W'!$A$33:$F$193,1+MATCH(VLOOKUP(A12,Personas!$A$2:$B$6,2,0),'SA Q4 18 W'!$B$4:$F$4,0),0)</f>
        <v>#REF!</v>
      </c>
      <c r="E12">
        <v>1</v>
      </c>
      <c r="G12">
        <v>1</v>
      </c>
      <c r="H12">
        <v>8</v>
      </c>
    </row>
    <row r="13" spans="1:8">
      <c r="A13">
        <v>1</v>
      </c>
      <c r="B13">
        <v>420</v>
      </c>
      <c r="C13" s="128">
        <v>43101</v>
      </c>
      <c r="D13" s="25" t="e">
        <f>VLOOKUP(VLOOKUP(B13,SuiteCatSubElem!$G$2:$G$667,2,0),'SA Q4 18 W'!$A$33:$F$193,1+MATCH(VLOOKUP(A13,Personas!$A$2:$B$6,2,0),'SA Q4 18 W'!$B$4:$F$4,0),0)</f>
        <v>#REF!</v>
      </c>
      <c r="E13">
        <v>1</v>
      </c>
      <c r="G13">
        <v>1</v>
      </c>
      <c r="H13">
        <v>8</v>
      </c>
    </row>
    <row r="14" spans="1:8">
      <c r="A14">
        <v>1</v>
      </c>
      <c r="B14">
        <v>421</v>
      </c>
      <c r="C14" s="128">
        <v>43101</v>
      </c>
      <c r="D14" s="25" t="e">
        <f>VLOOKUP(VLOOKUP(B14,SuiteCatSubElem!$G$2:$G$667,2,0),'SA Q4 18 W'!$A$33:$F$193,1+MATCH(VLOOKUP(A14,Personas!$A$2:$B$6,2,0),'SA Q4 18 W'!$B$4:$F$4,0),0)</f>
        <v>#REF!</v>
      </c>
      <c r="E14">
        <v>1</v>
      </c>
      <c r="G14">
        <v>1</v>
      </c>
      <c r="H14">
        <v>8</v>
      </c>
    </row>
    <row r="15" spans="1:8">
      <c r="A15">
        <v>1</v>
      </c>
      <c r="B15">
        <v>422</v>
      </c>
      <c r="C15" s="128">
        <v>43101</v>
      </c>
      <c r="D15" s="25" t="e">
        <f>VLOOKUP(VLOOKUP(B15,SuiteCatSubElem!$G$2:$G$667,2,0),'SA Q4 18 W'!$A$33:$F$193,1+MATCH(VLOOKUP(A15,Personas!$A$2:$B$6,2,0),'SA Q4 18 W'!$B$4:$F$4,0),0)</f>
        <v>#REF!</v>
      </c>
      <c r="E15">
        <v>1</v>
      </c>
      <c r="G15">
        <v>1</v>
      </c>
      <c r="H15">
        <v>8</v>
      </c>
    </row>
    <row r="16" spans="1:8">
      <c r="A16">
        <v>1</v>
      </c>
      <c r="B16">
        <v>423</v>
      </c>
      <c r="C16" s="128">
        <v>43101</v>
      </c>
      <c r="D16" s="25" t="e">
        <f>VLOOKUP(VLOOKUP(B16,SuiteCatSubElem!$G$2:$G$667,2,0),'SA Q4 18 W'!$A$33:$F$193,1+MATCH(VLOOKUP(A16,Personas!$A$2:$B$6,2,0),'SA Q4 18 W'!$B$4:$F$4,0),0)</f>
        <v>#REF!</v>
      </c>
      <c r="E16">
        <v>1</v>
      </c>
      <c r="G16">
        <v>1</v>
      </c>
      <c r="H16">
        <v>8</v>
      </c>
    </row>
    <row r="17" spans="1:8">
      <c r="A17">
        <v>1</v>
      </c>
      <c r="B17">
        <v>424</v>
      </c>
      <c r="C17" s="128">
        <v>43101</v>
      </c>
      <c r="D17" s="25" t="e">
        <f>VLOOKUP(VLOOKUP(B17,SuiteCatSubElem!$G$2:$G$667,2,0),'SA Q4 18 W'!$A$33:$F$193,1+MATCH(VLOOKUP(A17,Personas!$A$2:$B$6,2,0),'SA Q4 18 W'!$B$4:$F$4,0),0)</f>
        <v>#REF!</v>
      </c>
      <c r="E17">
        <v>1</v>
      </c>
      <c r="G17">
        <v>1</v>
      </c>
      <c r="H17">
        <v>8</v>
      </c>
    </row>
    <row r="18" spans="1:8">
      <c r="A18">
        <v>1</v>
      </c>
      <c r="B18">
        <v>425</v>
      </c>
      <c r="C18" s="128">
        <v>43101</v>
      </c>
      <c r="D18" s="25" t="e">
        <f>VLOOKUP(VLOOKUP(B18,SuiteCatSubElem!$G$2:$G$667,2,0),'SA Q4 18 W'!$A$33:$F$193,1+MATCH(VLOOKUP(A18,Personas!$A$2:$B$6,2,0),'SA Q4 18 W'!$B$4:$F$4,0),0)</f>
        <v>#REF!</v>
      </c>
      <c r="E18">
        <v>1</v>
      </c>
      <c r="G18">
        <v>1</v>
      </c>
      <c r="H18">
        <v>8</v>
      </c>
    </row>
    <row r="19" spans="1:8">
      <c r="A19">
        <v>1</v>
      </c>
      <c r="B19">
        <v>426</v>
      </c>
      <c r="C19" s="128">
        <v>43101</v>
      </c>
      <c r="D19" s="25" t="e">
        <f>VLOOKUP(VLOOKUP(B19,SuiteCatSubElem!$G$2:$G$667,2,0),'SA Q4 18 W'!$A$33:$F$193,1+MATCH(VLOOKUP(A19,Personas!$A$2:$B$6,2,0),'SA Q4 18 W'!$B$4:$F$4,0),0)</f>
        <v>#REF!</v>
      </c>
      <c r="E19">
        <v>1</v>
      </c>
      <c r="G19">
        <v>1</v>
      </c>
      <c r="H19">
        <v>8</v>
      </c>
    </row>
    <row r="20" spans="1:8">
      <c r="A20">
        <v>1</v>
      </c>
      <c r="B20">
        <v>427</v>
      </c>
      <c r="C20" s="128">
        <v>43101</v>
      </c>
      <c r="D20" s="25" t="e">
        <f>VLOOKUP(VLOOKUP(B20,SuiteCatSubElem!$G$2:$G$667,2,0),'SA Q4 18 W'!$A$33:$F$193,1+MATCH(VLOOKUP(A20,Personas!$A$2:$B$6,2,0),'SA Q4 18 W'!$B$4:$F$4,0),0)</f>
        <v>#REF!</v>
      </c>
      <c r="E20">
        <v>1</v>
      </c>
      <c r="G20">
        <v>1</v>
      </c>
      <c r="H20">
        <v>8</v>
      </c>
    </row>
    <row r="21" spans="1:8">
      <c r="A21">
        <v>1</v>
      </c>
      <c r="B21">
        <v>428</v>
      </c>
      <c r="C21" s="128">
        <v>43101</v>
      </c>
      <c r="D21" s="25" t="e">
        <f>VLOOKUP(VLOOKUP(B21,SuiteCatSubElem!$G$2:$G$667,2,0),'SA Q4 18 W'!$A$33:$F$193,1+MATCH(VLOOKUP(A21,Personas!$A$2:$B$6,2,0),'SA Q4 18 W'!$B$4:$F$4,0),0)</f>
        <v>#REF!</v>
      </c>
      <c r="E21">
        <v>1</v>
      </c>
      <c r="G21">
        <v>1</v>
      </c>
      <c r="H21">
        <v>8</v>
      </c>
    </row>
    <row r="22" spans="1:8">
      <c r="A22">
        <v>1</v>
      </c>
      <c r="B22">
        <v>429</v>
      </c>
      <c r="C22" s="128">
        <v>43101</v>
      </c>
      <c r="D22" s="25" t="e">
        <f>VLOOKUP(VLOOKUP(B22,SuiteCatSubElem!$G$2:$G$667,2,0),'SA Q4 18 W'!$A$33:$F$193,1+MATCH(VLOOKUP(A22,Personas!$A$2:$B$6,2,0),'SA Q4 18 W'!$B$4:$F$4,0),0)</f>
        <v>#REF!</v>
      </c>
      <c r="E22">
        <v>1</v>
      </c>
      <c r="G22">
        <v>1</v>
      </c>
      <c r="H22">
        <v>8</v>
      </c>
    </row>
    <row r="23" spans="1:8">
      <c r="A23">
        <v>1</v>
      </c>
      <c r="B23">
        <v>430</v>
      </c>
      <c r="C23" s="128">
        <v>43101</v>
      </c>
      <c r="D23" s="25" t="e">
        <f>VLOOKUP(VLOOKUP(B23,SuiteCatSubElem!$G$2:$G$667,2,0),'SA Q4 18 W'!$A$33:$F$193,1+MATCH(VLOOKUP(A23,Personas!$A$2:$B$6,2,0),'SA Q4 18 W'!$B$4:$F$4,0),0)</f>
        <v>#REF!</v>
      </c>
      <c r="E23">
        <v>1</v>
      </c>
      <c r="G23">
        <v>1</v>
      </c>
      <c r="H23">
        <v>8</v>
      </c>
    </row>
    <row r="24" spans="1:8">
      <c r="A24">
        <v>1</v>
      </c>
      <c r="B24">
        <v>431</v>
      </c>
      <c r="C24" s="128">
        <v>43101</v>
      </c>
      <c r="D24" s="25" t="e">
        <f>VLOOKUP(VLOOKUP(B24,SuiteCatSubElem!$G$2:$G$667,2,0),'SA Q4 18 W'!$A$33:$F$193,1+MATCH(VLOOKUP(A24,Personas!$A$2:$B$6,2,0),'SA Q4 18 W'!$B$4:$F$4,0),0)</f>
        <v>#REF!</v>
      </c>
      <c r="E24">
        <v>1</v>
      </c>
      <c r="G24">
        <v>1</v>
      </c>
      <c r="H24">
        <v>8</v>
      </c>
    </row>
    <row r="25" spans="1:8">
      <c r="A25">
        <v>1</v>
      </c>
      <c r="B25">
        <v>432</v>
      </c>
      <c r="C25" s="128">
        <v>43101</v>
      </c>
      <c r="D25" s="25" t="e">
        <f>VLOOKUP(VLOOKUP(B25,SuiteCatSubElem!$G$2:$G$667,2,0),'SA Q4 18 W'!$A$33:$F$193,1+MATCH(VLOOKUP(A25,Personas!$A$2:$B$6,2,0),'SA Q4 18 W'!$B$4:$F$4,0),0)</f>
        <v>#REF!</v>
      </c>
      <c r="E25">
        <v>1</v>
      </c>
      <c r="G25">
        <v>1</v>
      </c>
      <c r="H25">
        <v>8</v>
      </c>
    </row>
    <row r="26" spans="1:8">
      <c r="A26">
        <v>1</v>
      </c>
      <c r="B26">
        <v>433</v>
      </c>
      <c r="C26" s="128">
        <v>43101</v>
      </c>
      <c r="D26" s="25" t="e">
        <f>VLOOKUP(VLOOKUP(B26,SuiteCatSubElem!$G$2:$G$667,2,0),'SA Q4 18 W'!$A$33:$F$193,1+MATCH(VLOOKUP(A26,Personas!$A$2:$B$6,2,0),'SA Q4 18 W'!$B$4:$F$4,0),0)</f>
        <v>#REF!</v>
      </c>
      <c r="E26">
        <v>1</v>
      </c>
      <c r="G26">
        <v>1</v>
      </c>
      <c r="H26">
        <v>8</v>
      </c>
    </row>
    <row r="27" spans="1:8">
      <c r="A27">
        <v>1</v>
      </c>
      <c r="B27">
        <v>434</v>
      </c>
      <c r="C27" s="128">
        <v>43101</v>
      </c>
      <c r="D27" s="25" t="e">
        <f>VLOOKUP(VLOOKUP(B27,SuiteCatSubElem!$G$2:$G$667,2,0),'SA Q4 18 W'!$A$33:$F$193,1+MATCH(VLOOKUP(A27,Personas!$A$2:$B$6,2,0),'SA Q4 18 W'!$B$4:$F$4,0),0)</f>
        <v>#REF!</v>
      </c>
      <c r="E27">
        <v>1</v>
      </c>
      <c r="G27">
        <v>1</v>
      </c>
      <c r="H27">
        <v>8</v>
      </c>
    </row>
    <row r="28" spans="1:8">
      <c r="A28">
        <v>1</v>
      </c>
      <c r="B28">
        <v>435</v>
      </c>
      <c r="C28" s="128">
        <v>43101</v>
      </c>
      <c r="D28" s="25" t="e">
        <f>VLOOKUP(VLOOKUP(B28,SuiteCatSubElem!$G$2:$G$667,2,0),'SA Q4 18 W'!$A$33:$F$193,1+MATCH(VLOOKUP(A28,Personas!$A$2:$B$6,2,0),'SA Q4 18 W'!$B$4:$F$4,0),0)</f>
        <v>#REF!</v>
      </c>
      <c r="E28">
        <v>1</v>
      </c>
      <c r="G28">
        <v>1</v>
      </c>
      <c r="H28">
        <v>8</v>
      </c>
    </row>
    <row r="29" spans="1:8">
      <c r="A29">
        <v>1</v>
      </c>
      <c r="B29">
        <v>436</v>
      </c>
      <c r="C29" s="128">
        <v>43101</v>
      </c>
      <c r="D29" s="25" t="e">
        <f>VLOOKUP(VLOOKUP(B29,SuiteCatSubElem!$G$2:$G$667,2,0),'SA Q4 18 W'!$A$33:$F$193,1+MATCH(VLOOKUP(A29,Personas!$A$2:$B$6,2,0),'SA Q4 18 W'!$B$4:$F$4,0),0)</f>
        <v>#REF!</v>
      </c>
      <c r="E29">
        <v>1</v>
      </c>
      <c r="G29">
        <v>1</v>
      </c>
      <c r="H29">
        <v>8</v>
      </c>
    </row>
    <row r="30" spans="1:8">
      <c r="A30">
        <v>1</v>
      </c>
      <c r="B30">
        <v>437</v>
      </c>
      <c r="C30" s="128">
        <v>43101</v>
      </c>
      <c r="D30" s="25" t="e">
        <f>VLOOKUP(VLOOKUP(B30,SuiteCatSubElem!$G$2:$G$667,2,0),'SA Q4 18 W'!$A$33:$F$193,1+MATCH(VLOOKUP(A30,Personas!$A$2:$B$6,2,0),'SA Q4 18 W'!$B$4:$F$4,0),0)</f>
        <v>#REF!</v>
      </c>
      <c r="E30">
        <v>1</v>
      </c>
      <c r="G30">
        <v>1</v>
      </c>
      <c r="H30">
        <v>8</v>
      </c>
    </row>
    <row r="31" spans="1:8">
      <c r="A31">
        <v>1</v>
      </c>
      <c r="B31">
        <v>438</v>
      </c>
      <c r="C31" s="128">
        <v>43101</v>
      </c>
      <c r="D31" s="25" t="e">
        <f>VLOOKUP(VLOOKUP(B31,SuiteCatSubElem!$G$2:$G$667,2,0),'SA Q4 18 W'!$A$33:$F$193,1+MATCH(VLOOKUP(A31,Personas!$A$2:$B$6,2,0),'SA Q4 18 W'!$B$4:$F$4,0),0)</f>
        <v>#REF!</v>
      </c>
      <c r="E31">
        <v>1</v>
      </c>
      <c r="G31">
        <v>1</v>
      </c>
      <c r="H31">
        <v>8</v>
      </c>
    </row>
    <row r="32" spans="1:8">
      <c r="A32">
        <v>1</v>
      </c>
      <c r="B32">
        <v>439</v>
      </c>
      <c r="C32" s="128">
        <v>43101</v>
      </c>
      <c r="D32" s="25" t="e">
        <f>VLOOKUP(VLOOKUP(B32,SuiteCatSubElem!$G$2:$G$667,2,0),'SA Q4 18 W'!$A$33:$F$193,1+MATCH(VLOOKUP(A32,Personas!$A$2:$B$6,2,0),'SA Q4 18 W'!$B$4:$F$4,0),0)</f>
        <v>#REF!</v>
      </c>
      <c r="E32">
        <v>1</v>
      </c>
      <c r="G32">
        <v>1</v>
      </c>
      <c r="H32">
        <v>8</v>
      </c>
    </row>
    <row r="33" spans="1:8">
      <c r="A33">
        <v>1</v>
      </c>
      <c r="B33">
        <v>440</v>
      </c>
      <c r="C33" s="128">
        <v>43101</v>
      </c>
      <c r="D33" s="25" t="e">
        <f>VLOOKUP(VLOOKUP(B33,SuiteCatSubElem!$G$2:$G$667,2,0),'SA Q4 18 W'!$A$33:$F$193,1+MATCH(VLOOKUP(A33,Personas!$A$2:$B$6,2,0),'SA Q4 18 W'!$B$4:$F$4,0),0)</f>
        <v>#REF!</v>
      </c>
      <c r="E33">
        <v>1</v>
      </c>
      <c r="G33">
        <v>1</v>
      </c>
      <c r="H33">
        <v>8</v>
      </c>
    </row>
    <row r="34" spans="1:8">
      <c r="A34">
        <v>1</v>
      </c>
      <c r="B34">
        <v>441</v>
      </c>
      <c r="C34" s="128">
        <v>43101</v>
      </c>
      <c r="D34" s="25" t="e">
        <f>VLOOKUP(VLOOKUP(B34,SuiteCatSubElem!$G$2:$G$667,2,0),'SA Q4 18 W'!$A$33:$F$193,1+MATCH(VLOOKUP(A34,Personas!$A$2:$B$6,2,0),'SA Q4 18 W'!$B$4:$F$4,0),0)</f>
        <v>#REF!</v>
      </c>
      <c r="E34">
        <v>1</v>
      </c>
      <c r="G34">
        <v>1</v>
      </c>
      <c r="H34">
        <v>8</v>
      </c>
    </row>
    <row r="35" spans="1:8">
      <c r="A35">
        <v>1</v>
      </c>
      <c r="B35">
        <v>442</v>
      </c>
      <c r="C35" s="128">
        <v>43101</v>
      </c>
      <c r="D35" s="25" t="e">
        <f>VLOOKUP(VLOOKUP(B35,SuiteCatSubElem!$G$2:$G$667,2,0),'SA Q4 18 W'!$A$33:$F$193,1+MATCH(VLOOKUP(A35,Personas!$A$2:$B$6,2,0),'SA Q4 18 W'!$B$4:$F$4,0),0)</f>
        <v>#REF!</v>
      </c>
      <c r="E35">
        <v>1</v>
      </c>
      <c r="G35">
        <v>1</v>
      </c>
      <c r="H35">
        <v>8</v>
      </c>
    </row>
    <row r="36" spans="1:8">
      <c r="A36">
        <v>1</v>
      </c>
      <c r="B36">
        <v>443</v>
      </c>
      <c r="C36" s="128">
        <v>43101</v>
      </c>
      <c r="D36" s="25" t="e">
        <f>VLOOKUP(VLOOKUP(B36,SuiteCatSubElem!$G$2:$G$667,2,0),'SA Q4 18 W'!$A$33:$F$193,1+MATCH(VLOOKUP(A36,Personas!$A$2:$B$6,2,0),'SA Q4 18 W'!$B$4:$F$4,0),0)</f>
        <v>#REF!</v>
      </c>
      <c r="E36">
        <v>1</v>
      </c>
      <c r="G36">
        <v>1</v>
      </c>
      <c r="H36">
        <v>8</v>
      </c>
    </row>
    <row r="37" spans="1:8">
      <c r="A37">
        <v>1</v>
      </c>
      <c r="B37">
        <v>445</v>
      </c>
      <c r="C37" s="128">
        <v>43101</v>
      </c>
      <c r="D37" s="25" t="e">
        <f>VLOOKUP(VLOOKUP(B37,SuiteCatSubElem!$G$2:$G$667,2,0),'SA Q4 18 W'!$A$33:$F$193,1+MATCH(VLOOKUP(A37,Personas!$A$2:$B$6,2,0),'SA Q4 18 W'!$B$4:$F$4,0),0)</f>
        <v>#REF!</v>
      </c>
      <c r="E37">
        <v>1</v>
      </c>
      <c r="G37">
        <v>1</v>
      </c>
      <c r="H37">
        <v>8</v>
      </c>
    </row>
    <row r="38" spans="1:8">
      <c r="A38">
        <v>1</v>
      </c>
      <c r="B38">
        <v>446</v>
      </c>
      <c r="C38" s="128">
        <v>43101</v>
      </c>
      <c r="D38" s="25" t="e">
        <f>VLOOKUP(VLOOKUP(B38,SuiteCatSubElem!$G$2:$G$667,2,0),'SA Q4 18 W'!$A$33:$F$193,1+MATCH(VLOOKUP(A38,Personas!$A$2:$B$6,2,0),'SA Q4 18 W'!$B$4:$F$4,0),0)</f>
        <v>#REF!</v>
      </c>
      <c r="E38">
        <v>1</v>
      </c>
      <c r="G38">
        <v>1</v>
      </c>
      <c r="H38">
        <v>8</v>
      </c>
    </row>
    <row r="39" spans="1:8">
      <c r="A39">
        <v>1</v>
      </c>
      <c r="B39">
        <v>447</v>
      </c>
      <c r="C39" s="128">
        <v>43101</v>
      </c>
      <c r="D39" s="25" t="e">
        <f>VLOOKUP(VLOOKUP(B39,SuiteCatSubElem!$G$2:$G$667,2,0),'SA Q4 18 W'!$A$33:$F$193,1+MATCH(VLOOKUP(A39,Personas!$A$2:$B$6,2,0),'SA Q4 18 W'!$B$4:$F$4,0),0)</f>
        <v>#REF!</v>
      </c>
      <c r="E39">
        <v>1</v>
      </c>
      <c r="G39">
        <v>1</v>
      </c>
      <c r="H39">
        <v>8</v>
      </c>
    </row>
    <row r="40" spans="1:8">
      <c r="A40">
        <v>1</v>
      </c>
      <c r="B40">
        <v>448</v>
      </c>
      <c r="C40" s="128">
        <v>43101</v>
      </c>
      <c r="D40" s="25" t="e">
        <f>VLOOKUP(VLOOKUP(B40,SuiteCatSubElem!$G$2:$G$667,2,0),'SA Q4 18 W'!$A$33:$F$193,1+MATCH(VLOOKUP(A40,Personas!$A$2:$B$6,2,0),'SA Q4 18 W'!$B$4:$F$4,0),0)</f>
        <v>#REF!</v>
      </c>
      <c r="E40">
        <v>1</v>
      </c>
      <c r="G40">
        <v>1</v>
      </c>
      <c r="H40">
        <v>8</v>
      </c>
    </row>
    <row r="41" spans="1:8">
      <c r="A41">
        <v>1</v>
      </c>
      <c r="B41">
        <v>449</v>
      </c>
      <c r="C41" s="128">
        <v>43101</v>
      </c>
      <c r="D41" s="25" t="e">
        <f>VLOOKUP(VLOOKUP(B41,SuiteCatSubElem!$G$2:$G$667,2,0),'SA Q4 18 W'!$A$33:$F$193,1+MATCH(VLOOKUP(A41,Personas!$A$2:$B$6,2,0),'SA Q4 18 W'!$B$4:$F$4,0),0)</f>
        <v>#REF!</v>
      </c>
      <c r="E41">
        <v>1</v>
      </c>
      <c r="G41">
        <v>1</v>
      </c>
      <c r="H41">
        <v>8</v>
      </c>
    </row>
    <row r="42" spans="1:8">
      <c r="A42">
        <v>1</v>
      </c>
      <c r="B42">
        <v>450</v>
      </c>
      <c r="C42" s="128">
        <v>43101</v>
      </c>
      <c r="D42" s="25" t="e">
        <f>VLOOKUP(VLOOKUP(B42,SuiteCatSubElem!$G$2:$G$667,2,0),'SA Q4 18 W'!$A$33:$F$193,1+MATCH(VLOOKUP(A42,Personas!$A$2:$B$6,2,0),'SA Q4 18 W'!$B$4:$F$4,0),0)</f>
        <v>#REF!</v>
      </c>
      <c r="E42">
        <v>1</v>
      </c>
      <c r="G42">
        <v>1</v>
      </c>
      <c r="H42">
        <v>8</v>
      </c>
    </row>
    <row r="43" spans="1:8">
      <c r="A43">
        <v>1</v>
      </c>
      <c r="B43">
        <v>451</v>
      </c>
      <c r="C43" s="128">
        <v>43101</v>
      </c>
      <c r="D43" s="25" t="e">
        <f>VLOOKUP(VLOOKUP(B43,SuiteCatSubElem!$G$2:$G$667,2,0),'SA Q4 18 W'!$A$33:$F$193,1+MATCH(VLOOKUP(A43,Personas!$A$2:$B$6,2,0),'SA Q4 18 W'!$B$4:$F$4,0),0)</f>
        <v>#REF!</v>
      </c>
      <c r="E43">
        <v>1</v>
      </c>
      <c r="G43">
        <v>1</v>
      </c>
      <c r="H43">
        <v>8</v>
      </c>
    </row>
    <row r="44" spans="1:8">
      <c r="A44">
        <v>1</v>
      </c>
      <c r="B44">
        <v>452</v>
      </c>
      <c r="C44" s="128">
        <v>43101</v>
      </c>
      <c r="D44" s="25" t="e">
        <f>VLOOKUP(VLOOKUP(B44,SuiteCatSubElem!$G$2:$G$667,2,0),'SA Q4 18 W'!$A$33:$F$193,1+MATCH(VLOOKUP(A44,Personas!$A$2:$B$6,2,0),'SA Q4 18 W'!$B$4:$F$4,0),0)</f>
        <v>#REF!</v>
      </c>
      <c r="E44">
        <v>1</v>
      </c>
      <c r="G44">
        <v>1</v>
      </c>
      <c r="H44">
        <v>8</v>
      </c>
    </row>
    <row r="45" spans="1:8">
      <c r="A45">
        <v>1</v>
      </c>
      <c r="B45">
        <v>453</v>
      </c>
      <c r="C45" s="128">
        <v>43101</v>
      </c>
      <c r="D45" s="25" t="e">
        <f>VLOOKUP(VLOOKUP(B45,SuiteCatSubElem!$G$2:$G$667,2,0),'SA Q4 18 W'!$A$33:$F$193,1+MATCH(VLOOKUP(A45,Personas!$A$2:$B$6,2,0),'SA Q4 18 W'!$B$4:$F$4,0),0)</f>
        <v>#REF!</v>
      </c>
      <c r="E45">
        <v>1</v>
      </c>
      <c r="G45">
        <v>1</v>
      </c>
      <c r="H45">
        <v>8</v>
      </c>
    </row>
    <row r="46" spans="1:8">
      <c r="A46">
        <v>1</v>
      </c>
      <c r="B46">
        <v>454</v>
      </c>
      <c r="C46" s="128">
        <v>43101</v>
      </c>
      <c r="D46" s="25" t="e">
        <f>VLOOKUP(VLOOKUP(B46,SuiteCatSubElem!$G$2:$G$667,2,0),'SA Q4 18 W'!$A$33:$F$193,1+MATCH(VLOOKUP(A46,Personas!$A$2:$B$6,2,0),'SA Q4 18 W'!$B$4:$F$4,0),0)</f>
        <v>#REF!</v>
      </c>
      <c r="E46">
        <v>1</v>
      </c>
      <c r="G46">
        <v>1</v>
      </c>
      <c r="H46">
        <v>8</v>
      </c>
    </row>
    <row r="47" spans="1:8">
      <c r="A47">
        <v>1</v>
      </c>
      <c r="B47">
        <v>455</v>
      </c>
      <c r="C47" s="128">
        <v>43101</v>
      </c>
      <c r="D47" s="25" t="e">
        <f>VLOOKUP(VLOOKUP(B47,SuiteCatSubElem!$G$2:$G$667,2,0),'SA Q4 18 W'!$A$33:$F$193,1+MATCH(VLOOKUP(A47,Personas!$A$2:$B$6,2,0),'SA Q4 18 W'!$B$4:$F$4,0),0)</f>
        <v>#REF!</v>
      </c>
      <c r="E47">
        <v>1</v>
      </c>
      <c r="G47">
        <v>1</v>
      </c>
      <c r="H47">
        <v>8</v>
      </c>
    </row>
    <row r="48" spans="1:8">
      <c r="A48">
        <v>1</v>
      </c>
      <c r="B48">
        <v>456</v>
      </c>
      <c r="C48" s="128">
        <v>43101</v>
      </c>
      <c r="D48" s="25" t="e">
        <f>VLOOKUP(VLOOKUP(B48,SuiteCatSubElem!$G$2:$G$667,2,0),'SA Q4 18 W'!$A$33:$F$193,1+MATCH(VLOOKUP(A48,Personas!$A$2:$B$6,2,0),'SA Q4 18 W'!$B$4:$F$4,0),0)</f>
        <v>#REF!</v>
      </c>
      <c r="E48">
        <v>1</v>
      </c>
      <c r="G48">
        <v>1</v>
      </c>
      <c r="H48">
        <v>8</v>
      </c>
    </row>
    <row r="49" spans="1:8">
      <c r="A49">
        <v>1</v>
      </c>
      <c r="B49">
        <v>457</v>
      </c>
      <c r="C49" s="128">
        <v>43101</v>
      </c>
      <c r="D49" s="25" t="e">
        <f>VLOOKUP(VLOOKUP(B49,SuiteCatSubElem!$G$2:$G$667,2,0),'SA Q4 18 W'!$A$33:$F$193,1+MATCH(VLOOKUP(A49,Personas!$A$2:$B$6,2,0),'SA Q4 18 W'!$B$4:$F$4,0),0)</f>
        <v>#REF!</v>
      </c>
      <c r="E49">
        <v>1</v>
      </c>
      <c r="G49">
        <v>1</v>
      </c>
      <c r="H49">
        <v>8</v>
      </c>
    </row>
    <row r="50" spans="1:8">
      <c r="A50">
        <v>1</v>
      </c>
      <c r="B50">
        <v>458</v>
      </c>
      <c r="C50" s="128">
        <v>43101</v>
      </c>
      <c r="D50" s="25" t="e">
        <f>VLOOKUP(VLOOKUP(B50,SuiteCatSubElem!$G$2:$G$667,2,0),'SA Q4 18 W'!$A$33:$F$193,1+MATCH(VLOOKUP(A50,Personas!$A$2:$B$6,2,0),'SA Q4 18 W'!$B$4:$F$4,0),0)</f>
        <v>#REF!</v>
      </c>
      <c r="E50">
        <v>1</v>
      </c>
      <c r="G50">
        <v>1</v>
      </c>
      <c r="H50">
        <v>8</v>
      </c>
    </row>
    <row r="51" spans="1:8">
      <c r="A51">
        <v>1</v>
      </c>
      <c r="B51">
        <v>459</v>
      </c>
      <c r="C51" s="128">
        <v>43101</v>
      </c>
      <c r="D51" s="25" t="e">
        <f>VLOOKUP(VLOOKUP(B51,SuiteCatSubElem!$G$2:$G$667,2,0),'SA Q4 18 W'!$A$33:$F$193,1+MATCH(VLOOKUP(A51,Personas!$A$2:$B$6,2,0),'SA Q4 18 W'!$B$4:$F$4,0),0)</f>
        <v>#REF!</v>
      </c>
      <c r="E51">
        <v>1</v>
      </c>
      <c r="G51">
        <v>1</v>
      </c>
      <c r="H51">
        <v>8</v>
      </c>
    </row>
    <row r="52" spans="1:8">
      <c r="A52">
        <v>1</v>
      </c>
      <c r="B52">
        <v>460</v>
      </c>
      <c r="C52" s="128">
        <v>43101</v>
      </c>
      <c r="D52" s="25" t="e">
        <f>VLOOKUP(VLOOKUP(B52,SuiteCatSubElem!$G$2:$G$667,2,0),'SA Q4 18 W'!$A$33:$F$193,1+MATCH(VLOOKUP(A52,Personas!$A$2:$B$6,2,0),'SA Q4 18 W'!$B$4:$F$4,0),0)</f>
        <v>#REF!</v>
      </c>
      <c r="E52">
        <v>1</v>
      </c>
      <c r="G52">
        <v>1</v>
      </c>
      <c r="H52">
        <v>8</v>
      </c>
    </row>
    <row r="53" spans="1:8">
      <c r="A53">
        <v>1</v>
      </c>
      <c r="B53">
        <v>461</v>
      </c>
      <c r="C53" s="128">
        <v>43101</v>
      </c>
      <c r="D53" s="25" t="e">
        <f>VLOOKUP(VLOOKUP(B53,SuiteCatSubElem!$G$2:$G$667,2,0),'SA Q4 18 W'!$A$33:$F$193,1+MATCH(VLOOKUP(A53,Personas!$A$2:$B$6,2,0),'SA Q4 18 W'!$B$4:$F$4,0),0)</f>
        <v>#REF!</v>
      </c>
      <c r="E53">
        <v>1</v>
      </c>
      <c r="G53">
        <v>1</v>
      </c>
      <c r="H53">
        <v>8</v>
      </c>
    </row>
    <row r="54" spans="1:8">
      <c r="A54">
        <v>1</v>
      </c>
      <c r="B54">
        <v>462</v>
      </c>
      <c r="C54" s="128">
        <v>43101</v>
      </c>
      <c r="D54" s="25" t="e">
        <f>VLOOKUP(VLOOKUP(B54,SuiteCatSubElem!$G$2:$G$667,2,0),'SA Q4 18 W'!$A$33:$F$193,1+MATCH(VLOOKUP(A54,Personas!$A$2:$B$6,2,0),'SA Q4 18 W'!$B$4:$F$4,0),0)</f>
        <v>#REF!</v>
      </c>
      <c r="E54">
        <v>1</v>
      </c>
      <c r="G54">
        <v>1</v>
      </c>
      <c r="H54">
        <v>8</v>
      </c>
    </row>
    <row r="55" spans="1:8">
      <c r="A55">
        <v>1</v>
      </c>
      <c r="B55">
        <v>463</v>
      </c>
      <c r="C55" s="128">
        <v>43101</v>
      </c>
      <c r="D55" s="25" t="e">
        <f>VLOOKUP(VLOOKUP(B55,SuiteCatSubElem!$G$2:$G$667,2,0),'SA Q4 18 W'!$A$33:$F$193,1+MATCH(VLOOKUP(A55,Personas!$A$2:$B$6,2,0),'SA Q4 18 W'!$B$4:$F$4,0),0)</f>
        <v>#REF!</v>
      </c>
      <c r="E55">
        <v>1</v>
      </c>
      <c r="G55">
        <v>1</v>
      </c>
      <c r="H55">
        <v>8</v>
      </c>
    </row>
    <row r="56" spans="1:8">
      <c r="A56">
        <v>1</v>
      </c>
      <c r="B56">
        <v>464</v>
      </c>
      <c r="C56" s="128">
        <v>43101</v>
      </c>
      <c r="D56" s="25" t="e">
        <f>VLOOKUP(VLOOKUP(B56,SuiteCatSubElem!$G$2:$G$667,2,0),'SA Q4 18 W'!$A$33:$F$193,1+MATCH(VLOOKUP(A56,Personas!$A$2:$B$6,2,0),'SA Q4 18 W'!$B$4:$F$4,0),0)</f>
        <v>#REF!</v>
      </c>
      <c r="E56">
        <v>1</v>
      </c>
      <c r="G56">
        <v>1</v>
      </c>
      <c r="H56">
        <v>8</v>
      </c>
    </row>
    <row r="57" spans="1:8">
      <c r="A57">
        <v>1</v>
      </c>
      <c r="B57">
        <v>465</v>
      </c>
      <c r="C57" s="128">
        <v>43101</v>
      </c>
      <c r="D57" s="25" t="e">
        <f>VLOOKUP(VLOOKUP(B57,SuiteCatSubElem!$G$2:$G$667,2,0),'SA Q4 18 W'!$A$33:$F$193,1+MATCH(VLOOKUP(A57,Personas!$A$2:$B$6,2,0),'SA Q4 18 W'!$B$4:$F$4,0),0)</f>
        <v>#REF!</v>
      </c>
      <c r="E57">
        <v>1</v>
      </c>
      <c r="G57">
        <v>1</v>
      </c>
      <c r="H57">
        <v>8</v>
      </c>
    </row>
    <row r="58" spans="1:8">
      <c r="A58">
        <v>1</v>
      </c>
      <c r="B58">
        <v>466</v>
      </c>
      <c r="C58" s="128">
        <v>43101</v>
      </c>
      <c r="D58" s="25" t="e">
        <f>VLOOKUP(VLOOKUP(B58,SuiteCatSubElem!$G$2:$G$667,2,0),'SA Q4 18 W'!$A$33:$F$193,1+MATCH(VLOOKUP(A58,Personas!$A$2:$B$6,2,0),'SA Q4 18 W'!$B$4:$F$4,0),0)</f>
        <v>#REF!</v>
      </c>
      <c r="E58">
        <v>1</v>
      </c>
      <c r="G58">
        <v>1</v>
      </c>
      <c r="H58">
        <v>8</v>
      </c>
    </row>
    <row r="59" spans="1:8">
      <c r="A59">
        <v>1</v>
      </c>
      <c r="B59">
        <v>467</v>
      </c>
      <c r="C59" s="128">
        <v>43101</v>
      </c>
      <c r="D59" s="25" t="e">
        <f>VLOOKUP(VLOOKUP(B59,SuiteCatSubElem!$G$2:$G$667,2,0),'SA Q4 18 W'!$A$33:$F$193,1+MATCH(VLOOKUP(A59,Personas!$A$2:$B$6,2,0),'SA Q4 18 W'!$B$4:$F$4,0),0)</f>
        <v>#REF!</v>
      </c>
      <c r="E59">
        <v>1</v>
      </c>
      <c r="G59">
        <v>1</v>
      </c>
      <c r="H59">
        <v>8</v>
      </c>
    </row>
    <row r="60" spans="1:8">
      <c r="A60">
        <v>1</v>
      </c>
      <c r="B60">
        <v>468</v>
      </c>
      <c r="C60" s="128">
        <v>43101</v>
      </c>
      <c r="D60" s="25" t="e">
        <f>VLOOKUP(VLOOKUP(B60,SuiteCatSubElem!$G$2:$G$667,2,0),'SA Q4 18 W'!$A$33:$F$193,1+MATCH(VLOOKUP(A60,Personas!$A$2:$B$6,2,0),'SA Q4 18 W'!$B$4:$F$4,0),0)</f>
        <v>#REF!</v>
      </c>
      <c r="E60">
        <v>1</v>
      </c>
      <c r="G60">
        <v>1</v>
      </c>
      <c r="H60">
        <v>8</v>
      </c>
    </row>
    <row r="61" spans="1:8">
      <c r="A61">
        <v>1</v>
      </c>
      <c r="B61">
        <v>469</v>
      </c>
      <c r="C61" s="128">
        <v>43101</v>
      </c>
      <c r="D61" s="25" t="e">
        <f>VLOOKUP(VLOOKUP(B61,SuiteCatSubElem!$G$2:$G$667,2,0),'SA Q4 18 W'!$A$33:$F$193,1+MATCH(VLOOKUP(A61,Personas!$A$2:$B$6,2,0),'SA Q4 18 W'!$B$4:$F$4,0),0)</f>
        <v>#REF!</v>
      </c>
      <c r="E61">
        <v>1</v>
      </c>
      <c r="G61">
        <v>1</v>
      </c>
      <c r="H61">
        <v>8</v>
      </c>
    </row>
    <row r="62" spans="1:8">
      <c r="A62">
        <v>1</v>
      </c>
      <c r="B62">
        <v>470</v>
      </c>
      <c r="C62" s="128">
        <v>43101</v>
      </c>
      <c r="D62" s="25" t="e">
        <f>VLOOKUP(VLOOKUP(B62,SuiteCatSubElem!$G$2:$G$667,2,0),'SA Q4 18 W'!$A$33:$F$193,1+MATCH(VLOOKUP(A62,Personas!$A$2:$B$6,2,0),'SA Q4 18 W'!$B$4:$F$4,0),0)</f>
        <v>#REF!</v>
      </c>
      <c r="E62">
        <v>1</v>
      </c>
      <c r="G62">
        <v>1</v>
      </c>
      <c r="H62">
        <v>8</v>
      </c>
    </row>
    <row r="63" spans="1:8">
      <c r="A63">
        <v>1</v>
      </c>
      <c r="B63">
        <v>471</v>
      </c>
      <c r="C63" s="128">
        <v>43101</v>
      </c>
      <c r="D63" s="25" t="e">
        <f>VLOOKUP(VLOOKUP(B63,SuiteCatSubElem!$G$2:$G$667,2,0),'SA Q4 18 W'!$A$33:$F$193,1+MATCH(VLOOKUP(A63,Personas!$A$2:$B$6,2,0),'SA Q4 18 W'!$B$4:$F$4,0),0)</f>
        <v>#REF!</v>
      </c>
      <c r="E63">
        <v>1</v>
      </c>
      <c r="G63">
        <v>1</v>
      </c>
      <c r="H63">
        <v>8</v>
      </c>
    </row>
    <row r="64" spans="1:8">
      <c r="A64">
        <v>1</v>
      </c>
      <c r="B64">
        <v>472</v>
      </c>
      <c r="C64" s="128">
        <v>43101</v>
      </c>
      <c r="D64" s="25" t="e">
        <f>VLOOKUP(VLOOKUP(B64,SuiteCatSubElem!$G$2:$G$667,2,0),'SA Q4 18 W'!$A$33:$F$193,1+MATCH(VLOOKUP(A64,Personas!$A$2:$B$6,2,0),'SA Q4 18 W'!$B$4:$F$4,0),0)</f>
        <v>#REF!</v>
      </c>
      <c r="E64">
        <v>1</v>
      </c>
      <c r="G64">
        <v>1</v>
      </c>
      <c r="H64">
        <v>8</v>
      </c>
    </row>
    <row r="65" spans="1:8">
      <c r="A65">
        <v>1</v>
      </c>
      <c r="B65">
        <v>473</v>
      </c>
      <c r="C65" s="128">
        <v>43101</v>
      </c>
      <c r="D65" s="25" t="e">
        <f>VLOOKUP(VLOOKUP(B65,SuiteCatSubElem!$G$2:$G$667,2,0),'SA Q4 18 W'!$A$33:$F$193,1+MATCH(VLOOKUP(A65,Personas!$A$2:$B$6,2,0),'SA Q4 18 W'!$B$4:$F$4,0),0)</f>
        <v>#REF!</v>
      </c>
      <c r="E65">
        <v>1</v>
      </c>
      <c r="G65">
        <v>1</v>
      </c>
      <c r="H65">
        <v>8</v>
      </c>
    </row>
    <row r="66" spans="1:8">
      <c r="A66">
        <v>1</v>
      </c>
      <c r="B66">
        <v>474</v>
      </c>
      <c r="C66" s="128">
        <v>43101</v>
      </c>
      <c r="D66" s="25" t="e">
        <f>VLOOKUP(VLOOKUP(B66,SuiteCatSubElem!$G$2:$G$667,2,0),'SA Q4 18 W'!$A$33:$F$193,1+MATCH(VLOOKUP(A66,Personas!$A$2:$B$6,2,0),'SA Q4 18 W'!$B$4:$F$4,0),0)</f>
        <v>#REF!</v>
      </c>
      <c r="E66">
        <v>1</v>
      </c>
      <c r="G66">
        <v>1</v>
      </c>
      <c r="H66">
        <v>8</v>
      </c>
    </row>
    <row r="67" spans="1:8">
      <c r="A67">
        <v>1</v>
      </c>
      <c r="B67">
        <v>475</v>
      </c>
      <c r="C67" s="128">
        <v>43101</v>
      </c>
      <c r="D67" s="25" t="e">
        <f>VLOOKUP(VLOOKUP(B67,SuiteCatSubElem!$G$2:$G$667,2,0),'SA Q4 18 W'!$A$33:$F$193,1+MATCH(VLOOKUP(A67,Personas!$A$2:$B$6,2,0),'SA Q4 18 W'!$B$4:$F$4,0),0)</f>
        <v>#REF!</v>
      </c>
      <c r="E67">
        <v>1</v>
      </c>
      <c r="G67">
        <v>1</v>
      </c>
      <c r="H67">
        <v>8</v>
      </c>
    </row>
    <row r="68" spans="1:8">
      <c r="A68">
        <v>1</v>
      </c>
      <c r="B68">
        <v>476</v>
      </c>
      <c r="C68" s="128">
        <v>43101</v>
      </c>
      <c r="D68" s="25" t="e">
        <f>VLOOKUP(VLOOKUP(B68,SuiteCatSubElem!$G$2:$G$667,2,0),'SA Q4 18 W'!$A$33:$F$193,1+MATCH(VLOOKUP(A68,Personas!$A$2:$B$6,2,0),'SA Q4 18 W'!$B$4:$F$4,0),0)</f>
        <v>#REF!</v>
      </c>
      <c r="E68">
        <v>1</v>
      </c>
      <c r="G68">
        <v>1</v>
      </c>
      <c r="H68">
        <v>8</v>
      </c>
    </row>
    <row r="69" spans="1:8">
      <c r="A69">
        <v>1</v>
      </c>
      <c r="B69">
        <v>477</v>
      </c>
      <c r="C69" s="128">
        <v>43101</v>
      </c>
      <c r="D69" s="25" t="e">
        <f>VLOOKUP(VLOOKUP(B69,SuiteCatSubElem!$G$2:$G$667,2,0),'SA Q4 18 W'!$A$33:$F$193,1+MATCH(VLOOKUP(A69,Personas!$A$2:$B$6,2,0),'SA Q4 18 W'!$B$4:$F$4,0),0)</f>
        <v>#REF!</v>
      </c>
      <c r="E69">
        <v>1</v>
      </c>
      <c r="G69">
        <v>1</v>
      </c>
      <c r="H69">
        <v>8</v>
      </c>
    </row>
    <row r="70" spans="1:8">
      <c r="A70">
        <v>1</v>
      </c>
      <c r="B70">
        <v>478</v>
      </c>
      <c r="C70" s="128">
        <v>43101</v>
      </c>
      <c r="D70" s="25" t="e">
        <f>VLOOKUP(VLOOKUP(B70,SuiteCatSubElem!$G$2:$G$667,2,0),'SA Q4 18 W'!$A$33:$F$193,1+MATCH(VLOOKUP(A70,Personas!$A$2:$B$6,2,0),'SA Q4 18 W'!$B$4:$F$4,0),0)</f>
        <v>#REF!</v>
      </c>
      <c r="E70">
        <v>1</v>
      </c>
      <c r="G70">
        <v>1</v>
      </c>
      <c r="H70">
        <v>8</v>
      </c>
    </row>
    <row r="71" spans="1:8">
      <c r="A71">
        <v>1</v>
      </c>
      <c r="B71">
        <v>479</v>
      </c>
      <c r="C71" s="128">
        <v>43101</v>
      </c>
      <c r="D71" s="25" t="e">
        <f>VLOOKUP(VLOOKUP(B71,SuiteCatSubElem!$G$2:$G$667,2,0),'SA Q4 18 W'!$A$33:$F$193,1+MATCH(VLOOKUP(A71,Personas!$A$2:$B$6,2,0),'SA Q4 18 W'!$B$4:$F$4,0),0)</f>
        <v>#REF!</v>
      </c>
      <c r="E71">
        <v>1</v>
      </c>
      <c r="G71">
        <v>1</v>
      </c>
      <c r="H71">
        <v>8</v>
      </c>
    </row>
    <row r="72" spans="1:8">
      <c r="A72">
        <v>1</v>
      </c>
      <c r="B72">
        <v>480</v>
      </c>
      <c r="C72" s="128">
        <v>43101</v>
      </c>
      <c r="D72" s="25" t="e">
        <f>VLOOKUP(VLOOKUP(B72,SuiteCatSubElem!$G$2:$G$667,2,0),'SA Q4 18 W'!$A$33:$F$193,1+MATCH(VLOOKUP(A72,Personas!$A$2:$B$6,2,0),'SA Q4 18 W'!$B$4:$F$4,0),0)</f>
        <v>#REF!</v>
      </c>
      <c r="E72">
        <v>1</v>
      </c>
      <c r="G72">
        <v>1</v>
      </c>
      <c r="H72">
        <v>8</v>
      </c>
    </row>
    <row r="73" spans="1:8">
      <c r="A73">
        <v>1</v>
      </c>
      <c r="B73">
        <v>481</v>
      </c>
      <c r="C73" s="128">
        <v>43101</v>
      </c>
      <c r="D73" s="25" t="e">
        <f>VLOOKUP(VLOOKUP(B73,SuiteCatSubElem!$G$2:$G$667,2,0),'SA Q4 18 W'!$A$33:$F$193,1+MATCH(VLOOKUP(A73,Personas!$A$2:$B$6,2,0),'SA Q4 18 W'!$B$4:$F$4,0),0)</f>
        <v>#REF!</v>
      </c>
      <c r="E73">
        <v>1</v>
      </c>
      <c r="G73">
        <v>1</v>
      </c>
      <c r="H73">
        <v>8</v>
      </c>
    </row>
    <row r="74" spans="1:8">
      <c r="A74">
        <v>1</v>
      </c>
      <c r="B74">
        <v>482</v>
      </c>
      <c r="C74" s="128">
        <v>43101</v>
      </c>
      <c r="D74" s="25" t="e">
        <f>VLOOKUP(VLOOKUP(B74,SuiteCatSubElem!$G$2:$G$667,2,0),'SA Q4 18 W'!$A$33:$F$193,1+MATCH(VLOOKUP(A74,Personas!$A$2:$B$6,2,0),'SA Q4 18 W'!$B$4:$F$4,0),0)</f>
        <v>#REF!</v>
      </c>
      <c r="E74">
        <v>1</v>
      </c>
      <c r="G74">
        <v>1</v>
      </c>
      <c r="H74">
        <v>8</v>
      </c>
    </row>
    <row r="75" spans="1:8">
      <c r="A75">
        <v>1</v>
      </c>
      <c r="B75">
        <v>483</v>
      </c>
      <c r="C75" s="128">
        <v>43101</v>
      </c>
      <c r="D75" s="25" t="e">
        <f>VLOOKUP(VLOOKUP(B75,SuiteCatSubElem!$G$2:$G$667,2,0),'SA Q4 18 W'!$A$33:$F$193,1+MATCH(VLOOKUP(A75,Personas!$A$2:$B$6,2,0),'SA Q4 18 W'!$B$4:$F$4,0),0)</f>
        <v>#REF!</v>
      </c>
      <c r="E75">
        <v>1</v>
      </c>
      <c r="G75">
        <v>1</v>
      </c>
      <c r="H75">
        <v>8</v>
      </c>
    </row>
    <row r="76" spans="1:8">
      <c r="A76">
        <v>1</v>
      </c>
      <c r="B76">
        <v>484</v>
      </c>
      <c r="C76" s="128">
        <v>43101</v>
      </c>
      <c r="D76" s="25" t="e">
        <f>VLOOKUP(VLOOKUP(B76,SuiteCatSubElem!$G$2:$G$667,2,0),'SA Q4 18 W'!$A$33:$F$193,1+MATCH(VLOOKUP(A76,Personas!$A$2:$B$6,2,0),'SA Q4 18 W'!$B$4:$F$4,0),0)</f>
        <v>#REF!</v>
      </c>
      <c r="E76">
        <v>1</v>
      </c>
      <c r="G76">
        <v>1</v>
      </c>
      <c r="H76">
        <v>8</v>
      </c>
    </row>
    <row r="77" spans="1:8">
      <c r="A77">
        <v>1</v>
      </c>
      <c r="B77">
        <v>485</v>
      </c>
      <c r="C77" s="128">
        <v>43101</v>
      </c>
      <c r="D77" s="25" t="e">
        <f>VLOOKUP(VLOOKUP(B77,SuiteCatSubElem!$G$2:$G$667,2,0),'SA Q4 18 W'!$A$33:$F$193,1+MATCH(VLOOKUP(A77,Personas!$A$2:$B$6,2,0),'SA Q4 18 W'!$B$4:$F$4,0),0)</f>
        <v>#REF!</v>
      </c>
      <c r="E77">
        <v>1</v>
      </c>
      <c r="G77">
        <v>1</v>
      </c>
      <c r="H77">
        <v>8</v>
      </c>
    </row>
    <row r="78" spans="1:8">
      <c r="A78">
        <v>1</v>
      </c>
      <c r="B78">
        <v>486</v>
      </c>
      <c r="C78" s="128">
        <v>43101</v>
      </c>
      <c r="D78" s="25" t="e">
        <f>VLOOKUP(VLOOKUP(B78,SuiteCatSubElem!$G$2:$G$667,2,0),'SA Q4 18 W'!$A$33:$F$193,1+MATCH(VLOOKUP(A78,Personas!$A$2:$B$6,2,0),'SA Q4 18 W'!$B$4:$F$4,0),0)</f>
        <v>#REF!</v>
      </c>
      <c r="E78">
        <v>1</v>
      </c>
      <c r="G78">
        <v>1</v>
      </c>
      <c r="H78">
        <v>8</v>
      </c>
    </row>
    <row r="79" spans="1:8">
      <c r="A79">
        <v>1</v>
      </c>
      <c r="B79">
        <v>487</v>
      </c>
      <c r="C79" s="128">
        <v>43101</v>
      </c>
      <c r="D79" s="25" t="e">
        <f>VLOOKUP(VLOOKUP(B79,SuiteCatSubElem!$G$2:$G$667,2,0),'SA Q4 18 W'!$A$33:$F$193,1+MATCH(VLOOKUP(A79,Personas!$A$2:$B$6,2,0),'SA Q4 18 W'!$B$4:$F$4,0),0)</f>
        <v>#REF!</v>
      </c>
      <c r="E79">
        <v>1</v>
      </c>
      <c r="G79">
        <v>1</v>
      </c>
      <c r="H79">
        <v>8</v>
      </c>
    </row>
    <row r="80" spans="1:8">
      <c r="A80">
        <v>1</v>
      </c>
      <c r="B80">
        <v>488</v>
      </c>
      <c r="C80" s="128">
        <v>43101</v>
      </c>
      <c r="D80" s="25" t="e">
        <f>VLOOKUP(VLOOKUP(B80,SuiteCatSubElem!$G$2:$G$667,2,0),'SA Q4 18 W'!$A$33:$F$193,1+MATCH(VLOOKUP(A80,Personas!$A$2:$B$6,2,0),'SA Q4 18 W'!$B$4:$F$4,0),0)</f>
        <v>#REF!</v>
      </c>
      <c r="E80">
        <v>1</v>
      </c>
      <c r="G80">
        <v>1</v>
      </c>
      <c r="H80">
        <v>8</v>
      </c>
    </row>
    <row r="81" spans="1:8">
      <c r="A81">
        <v>1</v>
      </c>
      <c r="B81">
        <v>489</v>
      </c>
      <c r="C81" s="128">
        <v>43101</v>
      </c>
      <c r="D81" s="25" t="e">
        <f>VLOOKUP(VLOOKUP(B81,SuiteCatSubElem!$G$2:$G$667,2,0),'SA Q4 18 W'!$A$33:$F$193,1+MATCH(VLOOKUP(A81,Personas!$A$2:$B$6,2,0),'SA Q4 18 W'!$B$4:$F$4,0),0)</f>
        <v>#REF!</v>
      </c>
      <c r="E81">
        <v>1</v>
      </c>
      <c r="G81">
        <v>1</v>
      </c>
      <c r="H81">
        <v>8</v>
      </c>
    </row>
    <row r="82" spans="1:8">
      <c r="A82">
        <v>1</v>
      </c>
      <c r="B82">
        <v>490</v>
      </c>
      <c r="C82" s="128">
        <v>43101</v>
      </c>
      <c r="D82" s="25" t="e">
        <f>VLOOKUP(VLOOKUP(B82,SuiteCatSubElem!$G$2:$G$667,2,0),'SA Q4 18 W'!$A$33:$F$193,1+MATCH(VLOOKUP(A82,Personas!$A$2:$B$6,2,0),'SA Q4 18 W'!$B$4:$F$4,0),0)</f>
        <v>#REF!</v>
      </c>
      <c r="E82">
        <v>1</v>
      </c>
      <c r="G82">
        <v>1</v>
      </c>
      <c r="H82">
        <v>8</v>
      </c>
    </row>
    <row r="83" spans="1:8">
      <c r="A83">
        <v>1</v>
      </c>
      <c r="B83">
        <v>491</v>
      </c>
      <c r="C83" s="128">
        <v>43101</v>
      </c>
      <c r="D83" s="25" t="e">
        <f>VLOOKUP(VLOOKUP(B83,SuiteCatSubElem!$G$2:$G$667,2,0),'SA Q4 18 W'!$A$33:$F$193,1+MATCH(VLOOKUP(A83,Personas!$A$2:$B$6,2,0),'SA Q4 18 W'!$B$4:$F$4,0),0)</f>
        <v>#REF!</v>
      </c>
      <c r="E83">
        <v>1</v>
      </c>
      <c r="G83">
        <v>1</v>
      </c>
      <c r="H83">
        <v>8</v>
      </c>
    </row>
    <row r="84" spans="1:8">
      <c r="A84">
        <v>1</v>
      </c>
      <c r="B84">
        <v>492</v>
      </c>
      <c r="C84" s="128">
        <v>43101</v>
      </c>
      <c r="D84" s="25" t="e">
        <f>VLOOKUP(VLOOKUP(B84,SuiteCatSubElem!$G$2:$G$667,2,0),'SA Q4 18 W'!$A$33:$F$193,1+MATCH(VLOOKUP(A84,Personas!$A$2:$B$6,2,0),'SA Q4 18 W'!$B$4:$F$4,0),0)</f>
        <v>#REF!</v>
      </c>
      <c r="E84">
        <v>1</v>
      </c>
      <c r="G84">
        <v>1</v>
      </c>
      <c r="H84">
        <v>8</v>
      </c>
    </row>
    <row r="85" spans="1:8">
      <c r="A85">
        <v>1</v>
      </c>
      <c r="B85">
        <v>493</v>
      </c>
      <c r="C85" s="128">
        <v>43101</v>
      </c>
      <c r="D85" s="25" t="e">
        <f>VLOOKUP(VLOOKUP(B85,SuiteCatSubElem!$G$2:$G$667,2,0),'SA Q4 18 W'!$A$33:$F$193,1+MATCH(VLOOKUP(A85,Personas!$A$2:$B$6,2,0),'SA Q4 18 W'!$B$4:$F$4,0),0)</f>
        <v>#REF!</v>
      </c>
      <c r="E85">
        <v>1</v>
      </c>
      <c r="G85">
        <v>1</v>
      </c>
      <c r="H85">
        <v>8</v>
      </c>
    </row>
    <row r="86" spans="1:8">
      <c r="A86">
        <f>A2+1</f>
        <v>2</v>
      </c>
      <c r="B86">
        <f>B2</f>
        <v>409</v>
      </c>
      <c r="C86" s="128">
        <v>43101</v>
      </c>
      <c r="D86" s="25" t="e">
        <f>VLOOKUP(VLOOKUP(B86,SuiteCatSubElem!$G$2:$G$667,2,0),'SA Q4 18 W'!$A$33:$F$193,1+MATCH(VLOOKUP(A86,Personas!$A$2:$B$6,2,0),'SA Q4 18 W'!$B$4:$F$4,0),0)</f>
        <v>#REF!</v>
      </c>
      <c r="E86">
        <v>1</v>
      </c>
      <c r="G86">
        <v>1</v>
      </c>
      <c r="H86">
        <v>8</v>
      </c>
    </row>
    <row r="87" spans="1:8">
      <c r="A87">
        <f t="shared" ref="A87:A150" si="0">A3+1</f>
        <v>2</v>
      </c>
      <c r="B87">
        <f t="shared" ref="B87:B150" si="1">B3</f>
        <v>410</v>
      </c>
      <c r="C87" s="128">
        <v>43101</v>
      </c>
      <c r="D87" s="25" t="e">
        <f>VLOOKUP(VLOOKUP(B87,SuiteCatSubElem!$G$2:$G$667,2,0),'SA Q4 18 W'!$A$33:$F$193,1+MATCH(VLOOKUP(A87,Personas!$A$2:$B$6,2,0),'SA Q4 18 W'!$B$4:$F$4,0),0)</f>
        <v>#REF!</v>
      </c>
      <c r="E87">
        <v>1</v>
      </c>
      <c r="G87">
        <v>1</v>
      </c>
      <c r="H87">
        <v>8</v>
      </c>
    </row>
    <row r="88" spans="1:8">
      <c r="A88">
        <f t="shared" si="0"/>
        <v>2</v>
      </c>
      <c r="B88">
        <f t="shared" si="1"/>
        <v>411</v>
      </c>
      <c r="C88" s="128">
        <v>43101</v>
      </c>
      <c r="D88" s="25" t="e">
        <f>VLOOKUP(VLOOKUP(B88,SuiteCatSubElem!$G$2:$G$667,2,0),'SA Q4 18 W'!$A$33:$F$193,1+MATCH(VLOOKUP(A88,Personas!$A$2:$B$6,2,0),'SA Q4 18 W'!$B$4:$F$4,0),0)</f>
        <v>#REF!</v>
      </c>
      <c r="E88">
        <v>1</v>
      </c>
      <c r="G88">
        <v>1</v>
      </c>
      <c r="H88">
        <v>8</v>
      </c>
    </row>
    <row r="89" spans="1:8">
      <c r="A89">
        <f t="shared" si="0"/>
        <v>2</v>
      </c>
      <c r="B89">
        <f t="shared" si="1"/>
        <v>412</v>
      </c>
      <c r="C89" s="128">
        <v>43101</v>
      </c>
      <c r="D89" s="25" t="e">
        <f>VLOOKUP(VLOOKUP(B89,SuiteCatSubElem!$G$2:$G$667,2,0),'SA Q4 18 W'!$A$33:$F$193,1+MATCH(VLOOKUP(A89,Personas!$A$2:$B$6,2,0),'SA Q4 18 W'!$B$4:$F$4,0),0)</f>
        <v>#REF!</v>
      </c>
      <c r="E89">
        <v>1</v>
      </c>
      <c r="G89">
        <v>1</v>
      </c>
      <c r="H89">
        <v>8</v>
      </c>
    </row>
    <row r="90" spans="1:8">
      <c r="A90">
        <f t="shared" si="0"/>
        <v>2</v>
      </c>
      <c r="B90">
        <f t="shared" si="1"/>
        <v>413</v>
      </c>
      <c r="C90" s="128">
        <v>43101</v>
      </c>
      <c r="D90" s="25" t="e">
        <f>VLOOKUP(VLOOKUP(B90,SuiteCatSubElem!$G$2:$G$667,2,0),'SA Q4 18 W'!$A$33:$F$193,1+MATCH(VLOOKUP(A90,Personas!$A$2:$B$6,2,0),'SA Q4 18 W'!$B$4:$F$4,0),0)</f>
        <v>#REF!</v>
      </c>
      <c r="E90">
        <v>1</v>
      </c>
      <c r="G90">
        <v>1</v>
      </c>
      <c r="H90">
        <v>8</v>
      </c>
    </row>
    <row r="91" spans="1:8">
      <c r="A91">
        <f t="shared" si="0"/>
        <v>2</v>
      </c>
      <c r="B91">
        <f t="shared" si="1"/>
        <v>414</v>
      </c>
      <c r="C91" s="128">
        <v>43101</v>
      </c>
      <c r="D91" s="25" t="e">
        <f>VLOOKUP(VLOOKUP(B91,SuiteCatSubElem!$G$2:$G$667,2,0),'SA Q4 18 W'!$A$33:$F$193,1+MATCH(VLOOKUP(A91,Personas!$A$2:$B$6,2,0),'SA Q4 18 W'!$B$4:$F$4,0),0)</f>
        <v>#REF!</v>
      </c>
      <c r="E91">
        <v>1</v>
      </c>
      <c r="G91">
        <v>1</v>
      </c>
      <c r="H91">
        <v>8</v>
      </c>
    </row>
    <row r="92" spans="1:8">
      <c r="A92">
        <f t="shared" si="0"/>
        <v>2</v>
      </c>
      <c r="B92">
        <f t="shared" si="1"/>
        <v>415</v>
      </c>
      <c r="C92" s="128">
        <v>43101</v>
      </c>
      <c r="D92" s="25" t="e">
        <f>VLOOKUP(VLOOKUP(B92,SuiteCatSubElem!$G$2:$G$667,2,0),'SA Q4 18 W'!$A$33:$F$193,1+MATCH(VLOOKUP(A92,Personas!$A$2:$B$6,2,0),'SA Q4 18 W'!$B$4:$F$4,0),0)</f>
        <v>#REF!</v>
      </c>
      <c r="E92">
        <v>1</v>
      </c>
      <c r="G92">
        <v>1</v>
      </c>
      <c r="H92">
        <v>8</v>
      </c>
    </row>
    <row r="93" spans="1:8">
      <c r="A93">
        <f t="shared" si="0"/>
        <v>2</v>
      </c>
      <c r="B93">
        <f t="shared" si="1"/>
        <v>416</v>
      </c>
      <c r="C93" s="128">
        <v>43101</v>
      </c>
      <c r="D93" s="25" t="e">
        <f>VLOOKUP(VLOOKUP(B93,SuiteCatSubElem!$G$2:$G$667,2,0),'SA Q4 18 W'!$A$33:$F$193,1+MATCH(VLOOKUP(A93,Personas!$A$2:$B$6,2,0),'SA Q4 18 W'!$B$4:$F$4,0),0)</f>
        <v>#REF!</v>
      </c>
      <c r="E93">
        <v>1</v>
      </c>
      <c r="G93">
        <v>1</v>
      </c>
      <c r="H93">
        <v>8</v>
      </c>
    </row>
    <row r="94" spans="1:8">
      <c r="A94">
        <f t="shared" si="0"/>
        <v>2</v>
      </c>
      <c r="B94">
        <f t="shared" si="1"/>
        <v>417</v>
      </c>
      <c r="C94" s="128">
        <v>43101</v>
      </c>
      <c r="D94" s="25" t="e">
        <f>VLOOKUP(VLOOKUP(B94,SuiteCatSubElem!$G$2:$G$667,2,0),'SA Q4 18 W'!$A$33:$F$193,1+MATCH(VLOOKUP(A94,Personas!$A$2:$B$6,2,0),'SA Q4 18 W'!$B$4:$F$4,0),0)</f>
        <v>#REF!</v>
      </c>
      <c r="E94">
        <v>1</v>
      </c>
      <c r="G94">
        <v>1</v>
      </c>
      <c r="H94">
        <v>8</v>
      </c>
    </row>
    <row r="95" spans="1:8">
      <c r="A95">
        <f t="shared" si="0"/>
        <v>2</v>
      </c>
      <c r="B95">
        <f t="shared" si="1"/>
        <v>418</v>
      </c>
      <c r="C95" s="128">
        <v>43101</v>
      </c>
      <c r="D95" s="25" t="e">
        <f>VLOOKUP(VLOOKUP(B95,SuiteCatSubElem!$G$2:$G$667,2,0),'SA Q4 18 W'!$A$33:$F$193,1+MATCH(VLOOKUP(A95,Personas!$A$2:$B$6,2,0),'SA Q4 18 W'!$B$4:$F$4,0),0)</f>
        <v>#REF!</v>
      </c>
      <c r="E95">
        <v>1</v>
      </c>
      <c r="G95">
        <v>1</v>
      </c>
      <c r="H95">
        <v>8</v>
      </c>
    </row>
    <row r="96" spans="1:8">
      <c r="A96">
        <f t="shared" si="0"/>
        <v>2</v>
      </c>
      <c r="B96">
        <f t="shared" si="1"/>
        <v>419</v>
      </c>
      <c r="C96" s="128">
        <v>43101</v>
      </c>
      <c r="D96" s="25" t="e">
        <f>VLOOKUP(VLOOKUP(B96,SuiteCatSubElem!$G$2:$G$667,2,0),'SA Q4 18 W'!$A$33:$F$193,1+MATCH(VLOOKUP(A96,Personas!$A$2:$B$6,2,0),'SA Q4 18 W'!$B$4:$F$4,0),0)</f>
        <v>#REF!</v>
      </c>
      <c r="E96">
        <v>1</v>
      </c>
      <c r="G96">
        <v>1</v>
      </c>
      <c r="H96">
        <v>8</v>
      </c>
    </row>
    <row r="97" spans="1:8">
      <c r="A97">
        <f t="shared" si="0"/>
        <v>2</v>
      </c>
      <c r="B97">
        <f t="shared" si="1"/>
        <v>420</v>
      </c>
      <c r="C97" s="128">
        <v>43101</v>
      </c>
      <c r="D97" s="25" t="e">
        <f>VLOOKUP(VLOOKUP(B97,SuiteCatSubElem!$G$2:$G$667,2,0),'SA Q4 18 W'!$A$33:$F$193,1+MATCH(VLOOKUP(A97,Personas!$A$2:$B$6,2,0),'SA Q4 18 W'!$B$4:$F$4,0),0)</f>
        <v>#REF!</v>
      </c>
      <c r="E97">
        <v>1</v>
      </c>
      <c r="G97">
        <v>1</v>
      </c>
      <c r="H97">
        <v>8</v>
      </c>
    </row>
    <row r="98" spans="1:8">
      <c r="A98">
        <f t="shared" si="0"/>
        <v>2</v>
      </c>
      <c r="B98">
        <f t="shared" si="1"/>
        <v>421</v>
      </c>
      <c r="C98" s="128">
        <v>43101</v>
      </c>
      <c r="D98" s="25" t="e">
        <f>VLOOKUP(VLOOKUP(B98,SuiteCatSubElem!$G$2:$G$667,2,0),'SA Q4 18 W'!$A$33:$F$193,1+MATCH(VLOOKUP(A98,Personas!$A$2:$B$6,2,0),'SA Q4 18 W'!$B$4:$F$4,0),0)</f>
        <v>#REF!</v>
      </c>
      <c r="E98">
        <v>1</v>
      </c>
      <c r="G98">
        <v>1</v>
      </c>
      <c r="H98">
        <v>8</v>
      </c>
    </row>
    <row r="99" spans="1:8">
      <c r="A99">
        <f t="shared" si="0"/>
        <v>2</v>
      </c>
      <c r="B99">
        <f t="shared" si="1"/>
        <v>422</v>
      </c>
      <c r="C99" s="128">
        <v>43101</v>
      </c>
      <c r="D99" s="25" t="e">
        <f>VLOOKUP(VLOOKUP(B99,SuiteCatSubElem!$G$2:$G$667,2,0),'SA Q4 18 W'!$A$33:$F$193,1+MATCH(VLOOKUP(A99,Personas!$A$2:$B$6,2,0),'SA Q4 18 W'!$B$4:$F$4,0),0)</f>
        <v>#REF!</v>
      </c>
      <c r="E99">
        <v>1</v>
      </c>
      <c r="G99">
        <v>1</v>
      </c>
      <c r="H99">
        <v>8</v>
      </c>
    </row>
    <row r="100" spans="1:8">
      <c r="A100">
        <f t="shared" si="0"/>
        <v>2</v>
      </c>
      <c r="B100">
        <f t="shared" si="1"/>
        <v>423</v>
      </c>
      <c r="C100" s="128">
        <v>43101</v>
      </c>
      <c r="D100" s="25" t="e">
        <f>VLOOKUP(VLOOKUP(B100,SuiteCatSubElem!$G$2:$G$667,2,0),'SA Q4 18 W'!$A$33:$F$193,1+MATCH(VLOOKUP(A100,Personas!$A$2:$B$6,2,0),'SA Q4 18 W'!$B$4:$F$4,0),0)</f>
        <v>#REF!</v>
      </c>
      <c r="E100">
        <v>1</v>
      </c>
      <c r="G100">
        <v>1</v>
      </c>
      <c r="H100">
        <v>8</v>
      </c>
    </row>
    <row r="101" spans="1:8">
      <c r="A101">
        <f t="shared" si="0"/>
        <v>2</v>
      </c>
      <c r="B101">
        <f t="shared" si="1"/>
        <v>424</v>
      </c>
      <c r="C101" s="128">
        <v>43101</v>
      </c>
      <c r="D101" s="25" t="e">
        <f>VLOOKUP(VLOOKUP(B101,SuiteCatSubElem!$G$2:$G$667,2,0),'SA Q4 18 W'!$A$33:$F$193,1+MATCH(VLOOKUP(A101,Personas!$A$2:$B$6,2,0),'SA Q4 18 W'!$B$4:$F$4,0),0)</f>
        <v>#REF!</v>
      </c>
      <c r="E101">
        <v>1</v>
      </c>
      <c r="G101">
        <v>1</v>
      </c>
      <c r="H101">
        <v>8</v>
      </c>
    </row>
    <row r="102" spans="1:8">
      <c r="A102">
        <f t="shared" si="0"/>
        <v>2</v>
      </c>
      <c r="B102">
        <f t="shared" si="1"/>
        <v>425</v>
      </c>
      <c r="C102" s="128">
        <v>43101</v>
      </c>
      <c r="D102" s="25" t="e">
        <f>VLOOKUP(VLOOKUP(B102,SuiteCatSubElem!$G$2:$G$667,2,0),'SA Q4 18 W'!$A$33:$F$193,1+MATCH(VLOOKUP(A102,Personas!$A$2:$B$6,2,0),'SA Q4 18 W'!$B$4:$F$4,0),0)</f>
        <v>#REF!</v>
      </c>
      <c r="E102">
        <v>1</v>
      </c>
      <c r="G102">
        <v>1</v>
      </c>
      <c r="H102">
        <v>8</v>
      </c>
    </row>
    <row r="103" spans="1:8">
      <c r="A103">
        <f t="shared" si="0"/>
        <v>2</v>
      </c>
      <c r="B103">
        <f t="shared" si="1"/>
        <v>426</v>
      </c>
      <c r="C103" s="128">
        <v>43101</v>
      </c>
      <c r="D103" s="25" t="e">
        <f>VLOOKUP(VLOOKUP(B103,SuiteCatSubElem!$G$2:$G$667,2,0),'SA Q4 18 W'!$A$33:$F$193,1+MATCH(VLOOKUP(A103,Personas!$A$2:$B$6,2,0),'SA Q4 18 W'!$B$4:$F$4,0),0)</f>
        <v>#REF!</v>
      </c>
      <c r="E103">
        <v>1</v>
      </c>
      <c r="G103">
        <v>1</v>
      </c>
      <c r="H103">
        <v>8</v>
      </c>
    </row>
    <row r="104" spans="1:8">
      <c r="A104">
        <f t="shared" si="0"/>
        <v>2</v>
      </c>
      <c r="B104">
        <f t="shared" si="1"/>
        <v>427</v>
      </c>
      <c r="C104" s="128">
        <v>43101</v>
      </c>
      <c r="D104" s="25" t="e">
        <f>VLOOKUP(VLOOKUP(B104,SuiteCatSubElem!$G$2:$G$667,2,0),'SA Q4 18 W'!$A$33:$F$193,1+MATCH(VLOOKUP(A104,Personas!$A$2:$B$6,2,0),'SA Q4 18 W'!$B$4:$F$4,0),0)</f>
        <v>#REF!</v>
      </c>
      <c r="E104">
        <v>1</v>
      </c>
      <c r="G104">
        <v>1</v>
      </c>
      <c r="H104">
        <v>8</v>
      </c>
    </row>
    <row r="105" spans="1:8">
      <c r="A105">
        <f t="shared" si="0"/>
        <v>2</v>
      </c>
      <c r="B105">
        <f t="shared" si="1"/>
        <v>428</v>
      </c>
      <c r="C105" s="128">
        <v>43101</v>
      </c>
      <c r="D105" s="25" t="e">
        <f>VLOOKUP(VLOOKUP(B105,SuiteCatSubElem!$G$2:$G$667,2,0),'SA Q4 18 W'!$A$33:$F$193,1+MATCH(VLOOKUP(A105,Personas!$A$2:$B$6,2,0),'SA Q4 18 W'!$B$4:$F$4,0),0)</f>
        <v>#REF!</v>
      </c>
      <c r="E105">
        <v>1</v>
      </c>
      <c r="G105">
        <v>1</v>
      </c>
      <c r="H105">
        <v>8</v>
      </c>
    </row>
    <row r="106" spans="1:8">
      <c r="A106">
        <f t="shared" si="0"/>
        <v>2</v>
      </c>
      <c r="B106">
        <f t="shared" si="1"/>
        <v>429</v>
      </c>
      <c r="C106" s="128">
        <v>43101</v>
      </c>
      <c r="D106" s="25" t="e">
        <f>VLOOKUP(VLOOKUP(B106,SuiteCatSubElem!$G$2:$G$667,2,0),'SA Q4 18 W'!$A$33:$F$193,1+MATCH(VLOOKUP(A106,Personas!$A$2:$B$6,2,0),'SA Q4 18 W'!$B$4:$F$4,0),0)</f>
        <v>#REF!</v>
      </c>
      <c r="E106">
        <v>1</v>
      </c>
      <c r="G106">
        <v>1</v>
      </c>
      <c r="H106">
        <v>8</v>
      </c>
    </row>
    <row r="107" spans="1:8">
      <c r="A107">
        <f t="shared" si="0"/>
        <v>2</v>
      </c>
      <c r="B107">
        <f t="shared" si="1"/>
        <v>430</v>
      </c>
      <c r="C107" s="128">
        <v>43101</v>
      </c>
      <c r="D107" s="25" t="e">
        <f>VLOOKUP(VLOOKUP(B107,SuiteCatSubElem!$G$2:$G$667,2,0),'SA Q4 18 W'!$A$33:$F$193,1+MATCH(VLOOKUP(A107,Personas!$A$2:$B$6,2,0),'SA Q4 18 W'!$B$4:$F$4,0),0)</f>
        <v>#REF!</v>
      </c>
      <c r="E107">
        <v>1</v>
      </c>
      <c r="G107">
        <v>1</v>
      </c>
      <c r="H107">
        <v>8</v>
      </c>
    </row>
    <row r="108" spans="1:8">
      <c r="A108">
        <f t="shared" si="0"/>
        <v>2</v>
      </c>
      <c r="B108">
        <f t="shared" si="1"/>
        <v>431</v>
      </c>
      <c r="C108" s="128">
        <v>43101</v>
      </c>
      <c r="D108" s="25" t="e">
        <f>VLOOKUP(VLOOKUP(B108,SuiteCatSubElem!$G$2:$G$667,2,0),'SA Q4 18 W'!$A$33:$F$193,1+MATCH(VLOOKUP(A108,Personas!$A$2:$B$6,2,0),'SA Q4 18 W'!$B$4:$F$4,0),0)</f>
        <v>#REF!</v>
      </c>
      <c r="E108">
        <v>1</v>
      </c>
      <c r="G108">
        <v>1</v>
      </c>
      <c r="H108">
        <v>8</v>
      </c>
    </row>
    <row r="109" spans="1:8">
      <c r="A109">
        <f t="shared" si="0"/>
        <v>2</v>
      </c>
      <c r="B109">
        <f t="shared" si="1"/>
        <v>432</v>
      </c>
      <c r="C109" s="128">
        <v>43101</v>
      </c>
      <c r="D109" s="25" t="e">
        <f>VLOOKUP(VLOOKUP(B109,SuiteCatSubElem!$G$2:$G$667,2,0),'SA Q4 18 W'!$A$33:$F$193,1+MATCH(VLOOKUP(A109,Personas!$A$2:$B$6,2,0),'SA Q4 18 W'!$B$4:$F$4,0),0)</f>
        <v>#REF!</v>
      </c>
      <c r="E109">
        <v>1</v>
      </c>
      <c r="G109">
        <v>1</v>
      </c>
      <c r="H109">
        <v>8</v>
      </c>
    </row>
    <row r="110" spans="1:8">
      <c r="A110">
        <f t="shared" si="0"/>
        <v>2</v>
      </c>
      <c r="B110">
        <f t="shared" si="1"/>
        <v>433</v>
      </c>
      <c r="C110" s="128">
        <v>43101</v>
      </c>
      <c r="D110" s="25" t="e">
        <f>VLOOKUP(VLOOKUP(B110,SuiteCatSubElem!$G$2:$G$667,2,0),'SA Q4 18 W'!$A$33:$F$193,1+MATCH(VLOOKUP(A110,Personas!$A$2:$B$6,2,0),'SA Q4 18 W'!$B$4:$F$4,0),0)</f>
        <v>#REF!</v>
      </c>
      <c r="E110">
        <v>1</v>
      </c>
      <c r="G110">
        <v>1</v>
      </c>
      <c r="H110">
        <v>8</v>
      </c>
    </row>
    <row r="111" spans="1:8">
      <c r="A111">
        <f t="shared" si="0"/>
        <v>2</v>
      </c>
      <c r="B111">
        <f t="shared" si="1"/>
        <v>434</v>
      </c>
      <c r="C111" s="128">
        <v>43101</v>
      </c>
      <c r="D111" s="25" t="e">
        <f>VLOOKUP(VLOOKUP(B111,SuiteCatSubElem!$G$2:$G$667,2,0),'SA Q4 18 W'!$A$33:$F$193,1+MATCH(VLOOKUP(A111,Personas!$A$2:$B$6,2,0),'SA Q4 18 W'!$B$4:$F$4,0),0)</f>
        <v>#REF!</v>
      </c>
      <c r="E111">
        <v>1</v>
      </c>
      <c r="G111">
        <v>1</v>
      </c>
      <c r="H111">
        <v>8</v>
      </c>
    </row>
    <row r="112" spans="1:8">
      <c r="A112">
        <f t="shared" si="0"/>
        <v>2</v>
      </c>
      <c r="B112">
        <f t="shared" si="1"/>
        <v>435</v>
      </c>
      <c r="C112" s="128">
        <v>43101</v>
      </c>
      <c r="D112" s="25" t="e">
        <f>VLOOKUP(VLOOKUP(B112,SuiteCatSubElem!$G$2:$G$667,2,0),'SA Q4 18 W'!$A$33:$F$193,1+MATCH(VLOOKUP(A112,Personas!$A$2:$B$6,2,0),'SA Q4 18 W'!$B$4:$F$4,0),0)</f>
        <v>#REF!</v>
      </c>
      <c r="E112">
        <v>1</v>
      </c>
      <c r="G112">
        <v>1</v>
      </c>
      <c r="H112">
        <v>8</v>
      </c>
    </row>
    <row r="113" spans="1:8">
      <c r="A113">
        <f t="shared" si="0"/>
        <v>2</v>
      </c>
      <c r="B113">
        <f t="shared" si="1"/>
        <v>436</v>
      </c>
      <c r="C113" s="128">
        <v>43101</v>
      </c>
      <c r="D113" s="25" t="e">
        <f>VLOOKUP(VLOOKUP(B113,SuiteCatSubElem!$G$2:$G$667,2,0),'SA Q4 18 W'!$A$33:$F$193,1+MATCH(VLOOKUP(A113,Personas!$A$2:$B$6,2,0),'SA Q4 18 W'!$B$4:$F$4,0),0)</f>
        <v>#REF!</v>
      </c>
      <c r="E113">
        <v>1</v>
      </c>
      <c r="G113">
        <v>1</v>
      </c>
      <c r="H113">
        <v>8</v>
      </c>
    </row>
    <row r="114" spans="1:8">
      <c r="A114">
        <f t="shared" si="0"/>
        <v>2</v>
      </c>
      <c r="B114">
        <f t="shared" si="1"/>
        <v>437</v>
      </c>
      <c r="C114" s="128">
        <v>43101</v>
      </c>
      <c r="D114" s="25" t="e">
        <f>VLOOKUP(VLOOKUP(B114,SuiteCatSubElem!$G$2:$G$667,2,0),'SA Q4 18 W'!$A$33:$F$193,1+MATCH(VLOOKUP(A114,Personas!$A$2:$B$6,2,0),'SA Q4 18 W'!$B$4:$F$4,0),0)</f>
        <v>#REF!</v>
      </c>
      <c r="E114">
        <v>1</v>
      </c>
      <c r="G114">
        <v>1</v>
      </c>
      <c r="H114">
        <v>8</v>
      </c>
    </row>
    <row r="115" spans="1:8">
      <c r="A115">
        <f t="shared" si="0"/>
        <v>2</v>
      </c>
      <c r="B115">
        <f t="shared" si="1"/>
        <v>438</v>
      </c>
      <c r="C115" s="128">
        <v>43101</v>
      </c>
      <c r="D115" s="25" t="e">
        <f>VLOOKUP(VLOOKUP(B115,SuiteCatSubElem!$G$2:$G$667,2,0),'SA Q4 18 W'!$A$33:$F$193,1+MATCH(VLOOKUP(A115,Personas!$A$2:$B$6,2,0),'SA Q4 18 W'!$B$4:$F$4,0),0)</f>
        <v>#REF!</v>
      </c>
      <c r="E115">
        <v>1</v>
      </c>
      <c r="G115">
        <v>1</v>
      </c>
      <c r="H115">
        <v>8</v>
      </c>
    </row>
    <row r="116" spans="1:8">
      <c r="A116">
        <f t="shared" si="0"/>
        <v>2</v>
      </c>
      <c r="B116">
        <f t="shared" si="1"/>
        <v>439</v>
      </c>
      <c r="C116" s="128">
        <v>43101</v>
      </c>
      <c r="D116" s="25" t="e">
        <f>VLOOKUP(VLOOKUP(B116,SuiteCatSubElem!$G$2:$G$667,2,0),'SA Q4 18 W'!$A$33:$F$193,1+MATCH(VLOOKUP(A116,Personas!$A$2:$B$6,2,0),'SA Q4 18 W'!$B$4:$F$4,0),0)</f>
        <v>#REF!</v>
      </c>
      <c r="E116">
        <v>1</v>
      </c>
      <c r="G116">
        <v>1</v>
      </c>
      <c r="H116">
        <v>8</v>
      </c>
    </row>
    <row r="117" spans="1:8">
      <c r="A117">
        <f t="shared" si="0"/>
        <v>2</v>
      </c>
      <c r="B117">
        <f t="shared" si="1"/>
        <v>440</v>
      </c>
      <c r="C117" s="128">
        <v>43101</v>
      </c>
      <c r="D117" s="25" t="e">
        <f>VLOOKUP(VLOOKUP(B117,SuiteCatSubElem!$G$2:$G$667,2,0),'SA Q4 18 W'!$A$33:$F$193,1+MATCH(VLOOKUP(A117,Personas!$A$2:$B$6,2,0),'SA Q4 18 W'!$B$4:$F$4,0),0)</f>
        <v>#REF!</v>
      </c>
      <c r="E117">
        <v>1</v>
      </c>
      <c r="G117">
        <v>1</v>
      </c>
      <c r="H117">
        <v>8</v>
      </c>
    </row>
    <row r="118" spans="1:8">
      <c r="A118">
        <f t="shared" si="0"/>
        <v>2</v>
      </c>
      <c r="B118">
        <f t="shared" si="1"/>
        <v>441</v>
      </c>
      <c r="C118" s="128">
        <v>43101</v>
      </c>
      <c r="D118" s="25" t="e">
        <f>VLOOKUP(VLOOKUP(B118,SuiteCatSubElem!$G$2:$G$667,2,0),'SA Q4 18 W'!$A$33:$F$193,1+MATCH(VLOOKUP(A118,Personas!$A$2:$B$6,2,0),'SA Q4 18 W'!$B$4:$F$4,0),0)</f>
        <v>#REF!</v>
      </c>
      <c r="E118">
        <v>1</v>
      </c>
      <c r="G118">
        <v>1</v>
      </c>
      <c r="H118">
        <v>8</v>
      </c>
    </row>
    <row r="119" spans="1:8">
      <c r="A119">
        <f t="shared" si="0"/>
        <v>2</v>
      </c>
      <c r="B119">
        <f t="shared" si="1"/>
        <v>442</v>
      </c>
      <c r="C119" s="128">
        <v>43101</v>
      </c>
      <c r="D119" s="25" t="e">
        <f>VLOOKUP(VLOOKUP(B119,SuiteCatSubElem!$G$2:$G$667,2,0),'SA Q4 18 W'!$A$33:$F$193,1+MATCH(VLOOKUP(A119,Personas!$A$2:$B$6,2,0),'SA Q4 18 W'!$B$4:$F$4,0),0)</f>
        <v>#REF!</v>
      </c>
      <c r="E119">
        <v>1</v>
      </c>
      <c r="G119">
        <v>1</v>
      </c>
      <c r="H119">
        <v>8</v>
      </c>
    </row>
    <row r="120" spans="1:8">
      <c r="A120">
        <f t="shared" si="0"/>
        <v>2</v>
      </c>
      <c r="B120">
        <f t="shared" si="1"/>
        <v>443</v>
      </c>
      <c r="C120" s="128">
        <v>43101</v>
      </c>
      <c r="D120" s="25" t="e">
        <f>VLOOKUP(VLOOKUP(B120,SuiteCatSubElem!$G$2:$G$667,2,0),'SA Q4 18 W'!$A$33:$F$193,1+MATCH(VLOOKUP(A120,Personas!$A$2:$B$6,2,0),'SA Q4 18 W'!$B$4:$F$4,0),0)</f>
        <v>#REF!</v>
      </c>
      <c r="E120">
        <v>1</v>
      </c>
      <c r="G120">
        <v>1</v>
      </c>
      <c r="H120">
        <v>8</v>
      </c>
    </row>
    <row r="121" spans="1:8">
      <c r="A121">
        <f t="shared" si="0"/>
        <v>2</v>
      </c>
      <c r="B121">
        <f t="shared" si="1"/>
        <v>445</v>
      </c>
      <c r="C121" s="128">
        <v>43101</v>
      </c>
      <c r="D121" s="25" t="e">
        <f>VLOOKUP(VLOOKUP(B121,SuiteCatSubElem!$G$2:$G$667,2,0),'SA Q4 18 W'!$A$33:$F$193,1+MATCH(VLOOKUP(A121,Personas!$A$2:$B$6,2,0),'SA Q4 18 W'!$B$4:$F$4,0),0)</f>
        <v>#REF!</v>
      </c>
      <c r="E121">
        <v>1</v>
      </c>
      <c r="G121">
        <v>1</v>
      </c>
      <c r="H121">
        <v>8</v>
      </c>
    </row>
    <row r="122" spans="1:8">
      <c r="A122">
        <f t="shared" si="0"/>
        <v>2</v>
      </c>
      <c r="B122">
        <f t="shared" si="1"/>
        <v>446</v>
      </c>
      <c r="C122" s="128">
        <v>43101</v>
      </c>
      <c r="D122" s="25" t="e">
        <f>VLOOKUP(VLOOKUP(B122,SuiteCatSubElem!$G$2:$G$667,2,0),'SA Q4 18 W'!$A$33:$F$193,1+MATCH(VLOOKUP(A122,Personas!$A$2:$B$6,2,0),'SA Q4 18 W'!$B$4:$F$4,0),0)</f>
        <v>#REF!</v>
      </c>
      <c r="E122">
        <v>1</v>
      </c>
      <c r="G122">
        <v>1</v>
      </c>
      <c r="H122">
        <v>8</v>
      </c>
    </row>
    <row r="123" spans="1:8">
      <c r="A123">
        <f t="shared" si="0"/>
        <v>2</v>
      </c>
      <c r="B123">
        <f t="shared" si="1"/>
        <v>447</v>
      </c>
      <c r="C123" s="128">
        <v>43101</v>
      </c>
      <c r="D123" s="25" t="e">
        <f>VLOOKUP(VLOOKUP(B123,SuiteCatSubElem!$G$2:$G$667,2,0),'SA Q4 18 W'!$A$33:$F$193,1+MATCH(VLOOKUP(A123,Personas!$A$2:$B$6,2,0),'SA Q4 18 W'!$B$4:$F$4,0),0)</f>
        <v>#REF!</v>
      </c>
      <c r="E123">
        <v>1</v>
      </c>
      <c r="G123">
        <v>1</v>
      </c>
      <c r="H123">
        <v>8</v>
      </c>
    </row>
    <row r="124" spans="1:8">
      <c r="A124">
        <f t="shared" si="0"/>
        <v>2</v>
      </c>
      <c r="B124">
        <f t="shared" si="1"/>
        <v>448</v>
      </c>
      <c r="C124" s="128">
        <v>43101</v>
      </c>
      <c r="D124" s="25" t="e">
        <f>VLOOKUP(VLOOKUP(B124,SuiteCatSubElem!$G$2:$G$667,2,0),'SA Q4 18 W'!$A$33:$F$193,1+MATCH(VLOOKUP(A124,Personas!$A$2:$B$6,2,0),'SA Q4 18 W'!$B$4:$F$4,0),0)</f>
        <v>#REF!</v>
      </c>
      <c r="E124">
        <v>1</v>
      </c>
      <c r="G124">
        <v>1</v>
      </c>
      <c r="H124">
        <v>8</v>
      </c>
    </row>
    <row r="125" spans="1:8">
      <c r="A125">
        <f t="shared" si="0"/>
        <v>2</v>
      </c>
      <c r="B125">
        <f t="shared" si="1"/>
        <v>449</v>
      </c>
      <c r="C125" s="128">
        <v>43101</v>
      </c>
      <c r="D125" s="25" t="e">
        <f>VLOOKUP(VLOOKUP(B125,SuiteCatSubElem!$G$2:$G$667,2,0),'SA Q4 18 W'!$A$33:$F$193,1+MATCH(VLOOKUP(A125,Personas!$A$2:$B$6,2,0),'SA Q4 18 W'!$B$4:$F$4,0),0)</f>
        <v>#REF!</v>
      </c>
      <c r="E125">
        <v>1</v>
      </c>
      <c r="G125">
        <v>1</v>
      </c>
      <c r="H125">
        <v>8</v>
      </c>
    </row>
    <row r="126" spans="1:8">
      <c r="A126">
        <f t="shared" si="0"/>
        <v>2</v>
      </c>
      <c r="B126">
        <f t="shared" si="1"/>
        <v>450</v>
      </c>
      <c r="C126" s="128">
        <v>43101</v>
      </c>
      <c r="D126" s="25" t="e">
        <f>VLOOKUP(VLOOKUP(B126,SuiteCatSubElem!$G$2:$G$667,2,0),'SA Q4 18 W'!$A$33:$F$193,1+MATCH(VLOOKUP(A126,Personas!$A$2:$B$6,2,0),'SA Q4 18 W'!$B$4:$F$4,0),0)</f>
        <v>#REF!</v>
      </c>
      <c r="E126">
        <v>1</v>
      </c>
      <c r="G126">
        <v>1</v>
      </c>
      <c r="H126">
        <v>8</v>
      </c>
    </row>
    <row r="127" spans="1:8">
      <c r="A127">
        <f t="shared" si="0"/>
        <v>2</v>
      </c>
      <c r="B127">
        <f t="shared" si="1"/>
        <v>451</v>
      </c>
      <c r="C127" s="128">
        <v>43101</v>
      </c>
      <c r="D127" s="25" t="e">
        <f>VLOOKUP(VLOOKUP(B127,SuiteCatSubElem!$G$2:$G$667,2,0),'SA Q4 18 W'!$A$33:$F$193,1+MATCH(VLOOKUP(A127,Personas!$A$2:$B$6,2,0),'SA Q4 18 W'!$B$4:$F$4,0),0)</f>
        <v>#REF!</v>
      </c>
      <c r="E127">
        <v>1</v>
      </c>
      <c r="G127">
        <v>1</v>
      </c>
      <c r="H127">
        <v>8</v>
      </c>
    </row>
    <row r="128" spans="1:8">
      <c r="A128">
        <f t="shared" si="0"/>
        <v>2</v>
      </c>
      <c r="B128">
        <f t="shared" si="1"/>
        <v>452</v>
      </c>
      <c r="C128" s="128">
        <v>43101</v>
      </c>
      <c r="D128" s="25" t="e">
        <f>VLOOKUP(VLOOKUP(B128,SuiteCatSubElem!$G$2:$G$667,2,0),'SA Q4 18 W'!$A$33:$F$193,1+MATCH(VLOOKUP(A128,Personas!$A$2:$B$6,2,0),'SA Q4 18 W'!$B$4:$F$4,0),0)</f>
        <v>#REF!</v>
      </c>
      <c r="E128">
        <v>1</v>
      </c>
      <c r="G128">
        <v>1</v>
      </c>
      <c r="H128">
        <v>8</v>
      </c>
    </row>
    <row r="129" spans="1:8">
      <c r="A129">
        <f t="shared" si="0"/>
        <v>2</v>
      </c>
      <c r="B129">
        <f t="shared" si="1"/>
        <v>453</v>
      </c>
      <c r="C129" s="128">
        <v>43101</v>
      </c>
      <c r="D129" s="25" t="e">
        <f>VLOOKUP(VLOOKUP(B129,SuiteCatSubElem!$G$2:$G$667,2,0),'SA Q4 18 W'!$A$33:$F$193,1+MATCH(VLOOKUP(A129,Personas!$A$2:$B$6,2,0),'SA Q4 18 W'!$B$4:$F$4,0),0)</f>
        <v>#REF!</v>
      </c>
      <c r="E129">
        <v>1</v>
      </c>
      <c r="G129">
        <v>1</v>
      </c>
      <c r="H129">
        <v>8</v>
      </c>
    </row>
    <row r="130" spans="1:8">
      <c r="A130">
        <f t="shared" si="0"/>
        <v>2</v>
      </c>
      <c r="B130">
        <f t="shared" si="1"/>
        <v>454</v>
      </c>
      <c r="C130" s="128">
        <v>43101</v>
      </c>
      <c r="D130" s="25" t="e">
        <f>VLOOKUP(VLOOKUP(B130,SuiteCatSubElem!$G$2:$G$667,2,0),'SA Q4 18 W'!$A$33:$F$193,1+MATCH(VLOOKUP(A130,Personas!$A$2:$B$6,2,0),'SA Q4 18 W'!$B$4:$F$4,0),0)</f>
        <v>#REF!</v>
      </c>
      <c r="E130">
        <v>1</v>
      </c>
      <c r="G130">
        <v>1</v>
      </c>
      <c r="H130">
        <v>8</v>
      </c>
    </row>
    <row r="131" spans="1:8">
      <c r="A131">
        <f t="shared" si="0"/>
        <v>2</v>
      </c>
      <c r="B131">
        <f t="shared" si="1"/>
        <v>455</v>
      </c>
      <c r="C131" s="128">
        <v>43101</v>
      </c>
      <c r="D131" s="25" t="e">
        <f>VLOOKUP(VLOOKUP(B131,SuiteCatSubElem!$G$2:$G$667,2,0),'SA Q4 18 W'!$A$33:$F$193,1+MATCH(VLOOKUP(A131,Personas!$A$2:$B$6,2,0),'SA Q4 18 W'!$B$4:$F$4,0),0)</f>
        <v>#REF!</v>
      </c>
      <c r="E131">
        <v>1</v>
      </c>
      <c r="G131">
        <v>1</v>
      </c>
      <c r="H131">
        <v>8</v>
      </c>
    </row>
    <row r="132" spans="1:8">
      <c r="A132">
        <f t="shared" si="0"/>
        <v>2</v>
      </c>
      <c r="B132">
        <f t="shared" si="1"/>
        <v>456</v>
      </c>
      <c r="C132" s="128">
        <v>43101</v>
      </c>
      <c r="D132" s="25" t="e">
        <f>VLOOKUP(VLOOKUP(B132,SuiteCatSubElem!$G$2:$G$667,2,0),'SA Q4 18 W'!$A$33:$F$193,1+MATCH(VLOOKUP(A132,Personas!$A$2:$B$6,2,0),'SA Q4 18 W'!$B$4:$F$4,0),0)</f>
        <v>#REF!</v>
      </c>
      <c r="E132">
        <v>1</v>
      </c>
      <c r="G132">
        <v>1</v>
      </c>
      <c r="H132">
        <v>8</v>
      </c>
    </row>
    <row r="133" spans="1:8">
      <c r="A133">
        <f t="shared" si="0"/>
        <v>2</v>
      </c>
      <c r="B133">
        <f t="shared" si="1"/>
        <v>457</v>
      </c>
      <c r="C133" s="128">
        <v>43101</v>
      </c>
      <c r="D133" s="25" t="e">
        <f>VLOOKUP(VLOOKUP(B133,SuiteCatSubElem!$G$2:$G$667,2,0),'SA Q4 18 W'!$A$33:$F$193,1+MATCH(VLOOKUP(A133,Personas!$A$2:$B$6,2,0),'SA Q4 18 W'!$B$4:$F$4,0),0)</f>
        <v>#REF!</v>
      </c>
      <c r="E133">
        <v>1</v>
      </c>
      <c r="G133">
        <v>1</v>
      </c>
      <c r="H133">
        <v>8</v>
      </c>
    </row>
    <row r="134" spans="1:8">
      <c r="A134">
        <f t="shared" si="0"/>
        <v>2</v>
      </c>
      <c r="B134">
        <f t="shared" si="1"/>
        <v>458</v>
      </c>
      <c r="C134" s="128">
        <v>43101</v>
      </c>
      <c r="D134" s="25" t="e">
        <f>VLOOKUP(VLOOKUP(B134,SuiteCatSubElem!$G$2:$G$667,2,0),'SA Q4 18 W'!$A$33:$F$193,1+MATCH(VLOOKUP(A134,Personas!$A$2:$B$6,2,0),'SA Q4 18 W'!$B$4:$F$4,0),0)</f>
        <v>#REF!</v>
      </c>
      <c r="E134">
        <v>1</v>
      </c>
      <c r="G134">
        <v>1</v>
      </c>
      <c r="H134">
        <v>8</v>
      </c>
    </row>
    <row r="135" spans="1:8">
      <c r="A135">
        <f t="shared" si="0"/>
        <v>2</v>
      </c>
      <c r="B135">
        <f t="shared" si="1"/>
        <v>459</v>
      </c>
      <c r="C135" s="128">
        <v>43101</v>
      </c>
      <c r="D135" s="25" t="e">
        <f>VLOOKUP(VLOOKUP(B135,SuiteCatSubElem!$G$2:$G$667,2,0),'SA Q4 18 W'!$A$33:$F$193,1+MATCH(VLOOKUP(A135,Personas!$A$2:$B$6,2,0),'SA Q4 18 W'!$B$4:$F$4,0),0)</f>
        <v>#REF!</v>
      </c>
      <c r="E135">
        <v>1</v>
      </c>
      <c r="G135">
        <v>1</v>
      </c>
      <c r="H135">
        <v>8</v>
      </c>
    </row>
    <row r="136" spans="1:8">
      <c r="A136">
        <f t="shared" si="0"/>
        <v>2</v>
      </c>
      <c r="B136">
        <f t="shared" si="1"/>
        <v>460</v>
      </c>
      <c r="C136" s="128">
        <v>43101</v>
      </c>
      <c r="D136" s="25" t="e">
        <f>VLOOKUP(VLOOKUP(B136,SuiteCatSubElem!$G$2:$G$667,2,0),'SA Q4 18 W'!$A$33:$F$193,1+MATCH(VLOOKUP(A136,Personas!$A$2:$B$6,2,0),'SA Q4 18 W'!$B$4:$F$4,0),0)</f>
        <v>#REF!</v>
      </c>
      <c r="E136">
        <v>1</v>
      </c>
      <c r="G136">
        <v>1</v>
      </c>
      <c r="H136">
        <v>8</v>
      </c>
    </row>
    <row r="137" spans="1:8">
      <c r="A137">
        <f t="shared" si="0"/>
        <v>2</v>
      </c>
      <c r="B137">
        <f t="shared" si="1"/>
        <v>461</v>
      </c>
      <c r="C137" s="128">
        <v>43101</v>
      </c>
      <c r="D137" s="25" t="e">
        <f>VLOOKUP(VLOOKUP(B137,SuiteCatSubElem!$G$2:$G$667,2,0),'SA Q4 18 W'!$A$33:$F$193,1+MATCH(VLOOKUP(A137,Personas!$A$2:$B$6,2,0),'SA Q4 18 W'!$B$4:$F$4,0),0)</f>
        <v>#REF!</v>
      </c>
      <c r="E137">
        <v>1</v>
      </c>
      <c r="G137">
        <v>1</v>
      </c>
      <c r="H137">
        <v>8</v>
      </c>
    </row>
    <row r="138" spans="1:8">
      <c r="A138">
        <f t="shared" si="0"/>
        <v>2</v>
      </c>
      <c r="B138">
        <f t="shared" si="1"/>
        <v>462</v>
      </c>
      <c r="C138" s="128">
        <v>43101</v>
      </c>
      <c r="D138" s="25" t="e">
        <f>VLOOKUP(VLOOKUP(B138,SuiteCatSubElem!$G$2:$G$667,2,0),'SA Q4 18 W'!$A$33:$F$193,1+MATCH(VLOOKUP(A138,Personas!$A$2:$B$6,2,0),'SA Q4 18 W'!$B$4:$F$4,0),0)</f>
        <v>#REF!</v>
      </c>
      <c r="E138">
        <v>1</v>
      </c>
      <c r="G138">
        <v>1</v>
      </c>
      <c r="H138">
        <v>8</v>
      </c>
    </row>
    <row r="139" spans="1:8">
      <c r="A139">
        <f t="shared" si="0"/>
        <v>2</v>
      </c>
      <c r="B139">
        <f t="shared" si="1"/>
        <v>463</v>
      </c>
      <c r="C139" s="128">
        <v>43101</v>
      </c>
      <c r="D139" s="25" t="e">
        <f>VLOOKUP(VLOOKUP(B139,SuiteCatSubElem!$G$2:$G$667,2,0),'SA Q4 18 W'!$A$33:$F$193,1+MATCH(VLOOKUP(A139,Personas!$A$2:$B$6,2,0),'SA Q4 18 W'!$B$4:$F$4,0),0)</f>
        <v>#REF!</v>
      </c>
      <c r="E139">
        <v>1</v>
      </c>
      <c r="G139">
        <v>1</v>
      </c>
      <c r="H139">
        <v>8</v>
      </c>
    </row>
    <row r="140" spans="1:8">
      <c r="A140">
        <f t="shared" si="0"/>
        <v>2</v>
      </c>
      <c r="B140">
        <f t="shared" si="1"/>
        <v>464</v>
      </c>
      <c r="C140" s="128">
        <v>43101</v>
      </c>
      <c r="D140" s="25" t="e">
        <f>VLOOKUP(VLOOKUP(B140,SuiteCatSubElem!$G$2:$G$667,2,0),'SA Q4 18 W'!$A$33:$F$193,1+MATCH(VLOOKUP(A140,Personas!$A$2:$B$6,2,0),'SA Q4 18 W'!$B$4:$F$4,0),0)</f>
        <v>#REF!</v>
      </c>
      <c r="E140">
        <v>1</v>
      </c>
      <c r="G140">
        <v>1</v>
      </c>
      <c r="H140">
        <v>8</v>
      </c>
    </row>
    <row r="141" spans="1:8">
      <c r="A141">
        <f t="shared" si="0"/>
        <v>2</v>
      </c>
      <c r="B141">
        <f t="shared" si="1"/>
        <v>465</v>
      </c>
      <c r="C141" s="128">
        <v>43101</v>
      </c>
      <c r="D141" s="25" t="e">
        <f>VLOOKUP(VLOOKUP(B141,SuiteCatSubElem!$G$2:$G$667,2,0),'SA Q4 18 W'!$A$33:$F$193,1+MATCH(VLOOKUP(A141,Personas!$A$2:$B$6,2,0),'SA Q4 18 W'!$B$4:$F$4,0),0)</f>
        <v>#REF!</v>
      </c>
      <c r="E141">
        <v>1</v>
      </c>
      <c r="G141">
        <v>1</v>
      </c>
      <c r="H141">
        <v>8</v>
      </c>
    </row>
    <row r="142" spans="1:8">
      <c r="A142">
        <f t="shared" si="0"/>
        <v>2</v>
      </c>
      <c r="B142">
        <f t="shared" si="1"/>
        <v>466</v>
      </c>
      <c r="C142" s="128">
        <v>43101</v>
      </c>
      <c r="D142" s="25" t="e">
        <f>VLOOKUP(VLOOKUP(B142,SuiteCatSubElem!$G$2:$G$667,2,0),'SA Q4 18 W'!$A$33:$F$193,1+MATCH(VLOOKUP(A142,Personas!$A$2:$B$6,2,0),'SA Q4 18 W'!$B$4:$F$4,0),0)</f>
        <v>#REF!</v>
      </c>
      <c r="E142">
        <v>1</v>
      </c>
      <c r="G142">
        <v>1</v>
      </c>
      <c r="H142">
        <v>8</v>
      </c>
    </row>
    <row r="143" spans="1:8">
      <c r="A143">
        <f t="shared" si="0"/>
        <v>2</v>
      </c>
      <c r="B143">
        <f t="shared" si="1"/>
        <v>467</v>
      </c>
      <c r="C143" s="128">
        <v>43101</v>
      </c>
      <c r="D143" s="25" t="e">
        <f>VLOOKUP(VLOOKUP(B143,SuiteCatSubElem!$G$2:$G$667,2,0),'SA Q4 18 W'!$A$33:$F$193,1+MATCH(VLOOKUP(A143,Personas!$A$2:$B$6,2,0),'SA Q4 18 W'!$B$4:$F$4,0),0)</f>
        <v>#REF!</v>
      </c>
      <c r="E143">
        <v>1</v>
      </c>
      <c r="G143">
        <v>1</v>
      </c>
      <c r="H143">
        <v>8</v>
      </c>
    </row>
    <row r="144" spans="1:8">
      <c r="A144">
        <f t="shared" si="0"/>
        <v>2</v>
      </c>
      <c r="B144">
        <f t="shared" si="1"/>
        <v>468</v>
      </c>
      <c r="C144" s="128">
        <v>43101</v>
      </c>
      <c r="D144" s="25" t="e">
        <f>VLOOKUP(VLOOKUP(B144,SuiteCatSubElem!$G$2:$G$667,2,0),'SA Q4 18 W'!$A$33:$F$193,1+MATCH(VLOOKUP(A144,Personas!$A$2:$B$6,2,0),'SA Q4 18 W'!$B$4:$F$4,0),0)</f>
        <v>#REF!</v>
      </c>
      <c r="E144">
        <v>1</v>
      </c>
      <c r="G144">
        <v>1</v>
      </c>
      <c r="H144">
        <v>8</v>
      </c>
    </row>
    <row r="145" spans="1:8">
      <c r="A145">
        <f t="shared" si="0"/>
        <v>2</v>
      </c>
      <c r="B145">
        <f t="shared" si="1"/>
        <v>469</v>
      </c>
      <c r="C145" s="128">
        <v>43101</v>
      </c>
      <c r="D145" s="25" t="e">
        <f>VLOOKUP(VLOOKUP(B145,SuiteCatSubElem!$G$2:$G$667,2,0),'SA Q4 18 W'!$A$33:$F$193,1+MATCH(VLOOKUP(A145,Personas!$A$2:$B$6,2,0),'SA Q4 18 W'!$B$4:$F$4,0),0)</f>
        <v>#REF!</v>
      </c>
      <c r="E145">
        <v>1</v>
      </c>
      <c r="G145">
        <v>1</v>
      </c>
      <c r="H145">
        <v>8</v>
      </c>
    </row>
    <row r="146" spans="1:8">
      <c r="A146">
        <f t="shared" si="0"/>
        <v>2</v>
      </c>
      <c r="B146">
        <f t="shared" si="1"/>
        <v>470</v>
      </c>
      <c r="C146" s="128">
        <v>43101</v>
      </c>
      <c r="D146" s="25" t="e">
        <f>VLOOKUP(VLOOKUP(B146,SuiteCatSubElem!$G$2:$G$667,2,0),'SA Q4 18 W'!$A$33:$F$193,1+MATCH(VLOOKUP(A146,Personas!$A$2:$B$6,2,0),'SA Q4 18 W'!$B$4:$F$4,0),0)</f>
        <v>#REF!</v>
      </c>
      <c r="E146">
        <v>1</v>
      </c>
      <c r="G146">
        <v>1</v>
      </c>
      <c r="H146">
        <v>8</v>
      </c>
    </row>
    <row r="147" spans="1:8">
      <c r="A147">
        <f t="shared" si="0"/>
        <v>2</v>
      </c>
      <c r="B147">
        <f t="shared" si="1"/>
        <v>471</v>
      </c>
      <c r="C147" s="128">
        <v>43101</v>
      </c>
      <c r="D147" s="25" t="e">
        <f>VLOOKUP(VLOOKUP(B147,SuiteCatSubElem!$G$2:$G$667,2,0),'SA Q4 18 W'!$A$33:$F$193,1+MATCH(VLOOKUP(A147,Personas!$A$2:$B$6,2,0),'SA Q4 18 W'!$B$4:$F$4,0),0)</f>
        <v>#REF!</v>
      </c>
      <c r="E147">
        <v>1</v>
      </c>
      <c r="G147">
        <v>1</v>
      </c>
      <c r="H147">
        <v>8</v>
      </c>
    </row>
    <row r="148" spans="1:8">
      <c r="A148">
        <f t="shared" si="0"/>
        <v>2</v>
      </c>
      <c r="B148">
        <f t="shared" si="1"/>
        <v>472</v>
      </c>
      <c r="C148" s="128">
        <v>43101</v>
      </c>
      <c r="D148" s="25" t="e">
        <f>VLOOKUP(VLOOKUP(B148,SuiteCatSubElem!$G$2:$G$667,2,0),'SA Q4 18 W'!$A$33:$F$193,1+MATCH(VLOOKUP(A148,Personas!$A$2:$B$6,2,0),'SA Q4 18 W'!$B$4:$F$4,0),0)</f>
        <v>#REF!</v>
      </c>
      <c r="E148">
        <v>1</v>
      </c>
      <c r="G148">
        <v>1</v>
      </c>
      <c r="H148">
        <v>8</v>
      </c>
    </row>
    <row r="149" spans="1:8">
      <c r="A149">
        <f t="shared" si="0"/>
        <v>2</v>
      </c>
      <c r="B149">
        <f t="shared" si="1"/>
        <v>473</v>
      </c>
      <c r="C149" s="128">
        <v>43101</v>
      </c>
      <c r="D149" s="25" t="e">
        <f>VLOOKUP(VLOOKUP(B149,SuiteCatSubElem!$G$2:$G$667,2,0),'SA Q4 18 W'!$A$33:$F$193,1+MATCH(VLOOKUP(A149,Personas!$A$2:$B$6,2,0),'SA Q4 18 W'!$B$4:$F$4,0),0)</f>
        <v>#REF!</v>
      </c>
      <c r="E149">
        <v>1</v>
      </c>
      <c r="G149">
        <v>1</v>
      </c>
      <c r="H149">
        <v>8</v>
      </c>
    </row>
    <row r="150" spans="1:8">
      <c r="A150">
        <f t="shared" si="0"/>
        <v>2</v>
      </c>
      <c r="B150">
        <f t="shared" si="1"/>
        <v>474</v>
      </c>
      <c r="C150" s="128">
        <v>43101</v>
      </c>
      <c r="D150" s="25" t="e">
        <f>VLOOKUP(VLOOKUP(B150,SuiteCatSubElem!$G$2:$G$667,2,0),'SA Q4 18 W'!$A$33:$F$193,1+MATCH(VLOOKUP(A150,Personas!$A$2:$B$6,2,0),'SA Q4 18 W'!$B$4:$F$4,0),0)</f>
        <v>#REF!</v>
      </c>
      <c r="E150">
        <v>1</v>
      </c>
      <c r="G150">
        <v>1</v>
      </c>
      <c r="H150">
        <v>8</v>
      </c>
    </row>
    <row r="151" spans="1:8">
      <c r="A151">
        <f t="shared" ref="A151:A214" si="2">A67+1</f>
        <v>2</v>
      </c>
      <c r="B151">
        <f t="shared" ref="B151:B214" si="3">B67</f>
        <v>475</v>
      </c>
      <c r="C151" s="128">
        <v>43101</v>
      </c>
      <c r="D151" s="25" t="e">
        <f>VLOOKUP(VLOOKUP(B151,SuiteCatSubElem!$G$2:$G$667,2,0),'SA Q4 18 W'!$A$33:$F$193,1+MATCH(VLOOKUP(A151,Personas!$A$2:$B$6,2,0),'SA Q4 18 W'!$B$4:$F$4,0),0)</f>
        <v>#REF!</v>
      </c>
      <c r="E151">
        <v>1</v>
      </c>
      <c r="G151">
        <v>1</v>
      </c>
      <c r="H151">
        <v>8</v>
      </c>
    </row>
    <row r="152" spans="1:8">
      <c r="A152">
        <f t="shared" si="2"/>
        <v>2</v>
      </c>
      <c r="B152">
        <f t="shared" si="3"/>
        <v>476</v>
      </c>
      <c r="C152" s="128">
        <v>43101</v>
      </c>
      <c r="D152" s="25" t="e">
        <f>VLOOKUP(VLOOKUP(B152,SuiteCatSubElem!$G$2:$G$667,2,0),'SA Q4 18 W'!$A$33:$F$193,1+MATCH(VLOOKUP(A152,Personas!$A$2:$B$6,2,0),'SA Q4 18 W'!$B$4:$F$4,0),0)</f>
        <v>#REF!</v>
      </c>
      <c r="E152">
        <v>1</v>
      </c>
      <c r="G152">
        <v>1</v>
      </c>
      <c r="H152">
        <v>8</v>
      </c>
    </row>
    <row r="153" spans="1:8">
      <c r="A153">
        <f t="shared" si="2"/>
        <v>2</v>
      </c>
      <c r="B153">
        <f t="shared" si="3"/>
        <v>477</v>
      </c>
      <c r="C153" s="128">
        <v>43101</v>
      </c>
      <c r="D153" s="25" t="e">
        <f>VLOOKUP(VLOOKUP(B153,SuiteCatSubElem!$G$2:$G$667,2,0),'SA Q4 18 W'!$A$33:$F$193,1+MATCH(VLOOKUP(A153,Personas!$A$2:$B$6,2,0),'SA Q4 18 W'!$B$4:$F$4,0),0)</f>
        <v>#REF!</v>
      </c>
      <c r="E153">
        <v>1</v>
      </c>
      <c r="G153">
        <v>1</v>
      </c>
      <c r="H153">
        <v>8</v>
      </c>
    </row>
    <row r="154" spans="1:8">
      <c r="A154">
        <f t="shared" si="2"/>
        <v>2</v>
      </c>
      <c r="B154">
        <f t="shared" si="3"/>
        <v>478</v>
      </c>
      <c r="C154" s="128">
        <v>43101</v>
      </c>
      <c r="D154" s="25" t="e">
        <f>VLOOKUP(VLOOKUP(B154,SuiteCatSubElem!$G$2:$G$667,2,0),'SA Q4 18 W'!$A$33:$F$193,1+MATCH(VLOOKUP(A154,Personas!$A$2:$B$6,2,0),'SA Q4 18 W'!$B$4:$F$4,0),0)</f>
        <v>#REF!</v>
      </c>
      <c r="E154">
        <v>1</v>
      </c>
      <c r="G154">
        <v>1</v>
      </c>
      <c r="H154">
        <v>8</v>
      </c>
    </row>
    <row r="155" spans="1:8">
      <c r="A155">
        <f t="shared" si="2"/>
        <v>2</v>
      </c>
      <c r="B155">
        <f t="shared" si="3"/>
        <v>479</v>
      </c>
      <c r="C155" s="128">
        <v>43101</v>
      </c>
      <c r="D155" s="25" t="e">
        <f>VLOOKUP(VLOOKUP(B155,SuiteCatSubElem!$G$2:$G$667,2,0),'SA Q4 18 W'!$A$33:$F$193,1+MATCH(VLOOKUP(A155,Personas!$A$2:$B$6,2,0),'SA Q4 18 W'!$B$4:$F$4,0),0)</f>
        <v>#REF!</v>
      </c>
      <c r="E155">
        <v>1</v>
      </c>
      <c r="G155">
        <v>1</v>
      </c>
      <c r="H155">
        <v>8</v>
      </c>
    </row>
    <row r="156" spans="1:8">
      <c r="A156">
        <f t="shared" si="2"/>
        <v>2</v>
      </c>
      <c r="B156">
        <f t="shared" si="3"/>
        <v>480</v>
      </c>
      <c r="C156" s="128">
        <v>43101</v>
      </c>
      <c r="D156" s="25" t="e">
        <f>VLOOKUP(VLOOKUP(B156,SuiteCatSubElem!$G$2:$G$667,2,0),'SA Q4 18 W'!$A$33:$F$193,1+MATCH(VLOOKUP(A156,Personas!$A$2:$B$6,2,0),'SA Q4 18 W'!$B$4:$F$4,0),0)</f>
        <v>#REF!</v>
      </c>
      <c r="E156">
        <v>1</v>
      </c>
      <c r="G156">
        <v>1</v>
      </c>
      <c r="H156">
        <v>8</v>
      </c>
    </row>
    <row r="157" spans="1:8">
      <c r="A157">
        <f t="shared" si="2"/>
        <v>2</v>
      </c>
      <c r="B157">
        <f t="shared" si="3"/>
        <v>481</v>
      </c>
      <c r="C157" s="128">
        <v>43101</v>
      </c>
      <c r="D157" s="25" t="e">
        <f>VLOOKUP(VLOOKUP(B157,SuiteCatSubElem!$G$2:$G$667,2,0),'SA Q4 18 W'!$A$33:$F$193,1+MATCH(VLOOKUP(A157,Personas!$A$2:$B$6,2,0),'SA Q4 18 W'!$B$4:$F$4,0),0)</f>
        <v>#REF!</v>
      </c>
      <c r="E157">
        <v>1</v>
      </c>
      <c r="G157">
        <v>1</v>
      </c>
      <c r="H157">
        <v>8</v>
      </c>
    </row>
    <row r="158" spans="1:8">
      <c r="A158">
        <f t="shared" si="2"/>
        <v>2</v>
      </c>
      <c r="B158">
        <f t="shared" si="3"/>
        <v>482</v>
      </c>
      <c r="C158" s="128">
        <v>43101</v>
      </c>
      <c r="D158" s="25" t="e">
        <f>VLOOKUP(VLOOKUP(B158,SuiteCatSubElem!$G$2:$G$667,2,0),'SA Q4 18 W'!$A$33:$F$193,1+MATCH(VLOOKUP(A158,Personas!$A$2:$B$6,2,0),'SA Q4 18 W'!$B$4:$F$4,0),0)</f>
        <v>#REF!</v>
      </c>
      <c r="E158">
        <v>1</v>
      </c>
      <c r="G158">
        <v>1</v>
      </c>
      <c r="H158">
        <v>8</v>
      </c>
    </row>
    <row r="159" spans="1:8">
      <c r="A159">
        <f t="shared" si="2"/>
        <v>2</v>
      </c>
      <c r="B159">
        <f t="shared" si="3"/>
        <v>483</v>
      </c>
      <c r="C159" s="128">
        <v>43101</v>
      </c>
      <c r="D159" s="25" t="e">
        <f>VLOOKUP(VLOOKUP(B159,SuiteCatSubElem!$G$2:$G$667,2,0),'SA Q4 18 W'!$A$33:$F$193,1+MATCH(VLOOKUP(A159,Personas!$A$2:$B$6,2,0),'SA Q4 18 W'!$B$4:$F$4,0),0)</f>
        <v>#REF!</v>
      </c>
      <c r="E159">
        <v>1</v>
      </c>
      <c r="G159">
        <v>1</v>
      </c>
      <c r="H159">
        <v>8</v>
      </c>
    </row>
    <row r="160" spans="1:8">
      <c r="A160">
        <f t="shared" si="2"/>
        <v>2</v>
      </c>
      <c r="B160">
        <f t="shared" si="3"/>
        <v>484</v>
      </c>
      <c r="C160" s="128">
        <v>43101</v>
      </c>
      <c r="D160" s="25" t="e">
        <f>VLOOKUP(VLOOKUP(B160,SuiteCatSubElem!$G$2:$G$667,2,0),'SA Q4 18 W'!$A$33:$F$193,1+MATCH(VLOOKUP(A160,Personas!$A$2:$B$6,2,0),'SA Q4 18 W'!$B$4:$F$4,0),0)</f>
        <v>#REF!</v>
      </c>
      <c r="E160">
        <v>1</v>
      </c>
      <c r="G160">
        <v>1</v>
      </c>
      <c r="H160">
        <v>8</v>
      </c>
    </row>
    <row r="161" spans="1:8">
      <c r="A161">
        <f t="shared" si="2"/>
        <v>2</v>
      </c>
      <c r="B161">
        <f t="shared" si="3"/>
        <v>485</v>
      </c>
      <c r="C161" s="128">
        <v>43101</v>
      </c>
      <c r="D161" s="25" t="e">
        <f>VLOOKUP(VLOOKUP(B161,SuiteCatSubElem!$G$2:$G$667,2,0),'SA Q4 18 W'!$A$33:$F$193,1+MATCH(VLOOKUP(A161,Personas!$A$2:$B$6,2,0),'SA Q4 18 W'!$B$4:$F$4,0),0)</f>
        <v>#REF!</v>
      </c>
      <c r="E161">
        <v>1</v>
      </c>
      <c r="G161">
        <v>1</v>
      </c>
      <c r="H161">
        <v>8</v>
      </c>
    </row>
    <row r="162" spans="1:8">
      <c r="A162">
        <f t="shared" si="2"/>
        <v>2</v>
      </c>
      <c r="B162">
        <f t="shared" si="3"/>
        <v>486</v>
      </c>
      <c r="C162" s="128">
        <v>43101</v>
      </c>
      <c r="D162" s="25" t="e">
        <f>VLOOKUP(VLOOKUP(B162,SuiteCatSubElem!$G$2:$G$667,2,0),'SA Q4 18 W'!$A$33:$F$193,1+MATCH(VLOOKUP(A162,Personas!$A$2:$B$6,2,0),'SA Q4 18 W'!$B$4:$F$4,0),0)</f>
        <v>#REF!</v>
      </c>
      <c r="E162">
        <v>1</v>
      </c>
      <c r="G162">
        <v>1</v>
      </c>
      <c r="H162">
        <v>8</v>
      </c>
    </row>
    <row r="163" spans="1:8">
      <c r="A163">
        <f t="shared" si="2"/>
        <v>2</v>
      </c>
      <c r="B163">
        <f t="shared" si="3"/>
        <v>487</v>
      </c>
      <c r="C163" s="128">
        <v>43101</v>
      </c>
      <c r="D163" s="25" t="e">
        <f>VLOOKUP(VLOOKUP(B163,SuiteCatSubElem!$G$2:$G$667,2,0),'SA Q4 18 W'!$A$33:$F$193,1+MATCH(VLOOKUP(A163,Personas!$A$2:$B$6,2,0),'SA Q4 18 W'!$B$4:$F$4,0),0)</f>
        <v>#REF!</v>
      </c>
      <c r="E163">
        <v>1</v>
      </c>
      <c r="G163">
        <v>1</v>
      </c>
      <c r="H163">
        <v>8</v>
      </c>
    </row>
    <row r="164" spans="1:8">
      <c r="A164">
        <f t="shared" si="2"/>
        <v>2</v>
      </c>
      <c r="B164">
        <f t="shared" si="3"/>
        <v>488</v>
      </c>
      <c r="C164" s="128">
        <v>43101</v>
      </c>
      <c r="D164" s="25" t="e">
        <f>VLOOKUP(VLOOKUP(B164,SuiteCatSubElem!$G$2:$G$667,2,0),'SA Q4 18 W'!$A$33:$F$193,1+MATCH(VLOOKUP(A164,Personas!$A$2:$B$6,2,0),'SA Q4 18 W'!$B$4:$F$4,0),0)</f>
        <v>#REF!</v>
      </c>
      <c r="E164">
        <v>1</v>
      </c>
      <c r="G164">
        <v>1</v>
      </c>
      <c r="H164">
        <v>8</v>
      </c>
    </row>
    <row r="165" spans="1:8">
      <c r="A165">
        <f t="shared" si="2"/>
        <v>2</v>
      </c>
      <c r="B165">
        <f t="shared" si="3"/>
        <v>489</v>
      </c>
      <c r="C165" s="128">
        <v>43101</v>
      </c>
      <c r="D165" s="25" t="e">
        <f>VLOOKUP(VLOOKUP(B165,SuiteCatSubElem!$G$2:$G$667,2,0),'SA Q4 18 W'!$A$33:$F$193,1+MATCH(VLOOKUP(A165,Personas!$A$2:$B$6,2,0),'SA Q4 18 W'!$B$4:$F$4,0),0)</f>
        <v>#REF!</v>
      </c>
      <c r="E165">
        <v>1</v>
      </c>
      <c r="G165">
        <v>1</v>
      </c>
      <c r="H165">
        <v>8</v>
      </c>
    </row>
    <row r="166" spans="1:8">
      <c r="A166">
        <f t="shared" si="2"/>
        <v>2</v>
      </c>
      <c r="B166">
        <f t="shared" si="3"/>
        <v>490</v>
      </c>
      <c r="C166" s="128">
        <v>43101</v>
      </c>
      <c r="D166" s="25" t="e">
        <f>VLOOKUP(VLOOKUP(B166,SuiteCatSubElem!$G$2:$G$667,2,0),'SA Q4 18 W'!$A$33:$F$193,1+MATCH(VLOOKUP(A166,Personas!$A$2:$B$6,2,0),'SA Q4 18 W'!$B$4:$F$4,0),0)</f>
        <v>#REF!</v>
      </c>
      <c r="E166">
        <v>1</v>
      </c>
      <c r="G166">
        <v>1</v>
      </c>
      <c r="H166">
        <v>8</v>
      </c>
    </row>
    <row r="167" spans="1:8">
      <c r="A167">
        <f t="shared" si="2"/>
        <v>2</v>
      </c>
      <c r="B167">
        <f t="shared" si="3"/>
        <v>491</v>
      </c>
      <c r="C167" s="128">
        <v>43101</v>
      </c>
      <c r="D167" s="25" t="e">
        <f>VLOOKUP(VLOOKUP(B167,SuiteCatSubElem!$G$2:$G$667,2,0),'SA Q4 18 W'!$A$33:$F$193,1+MATCH(VLOOKUP(A167,Personas!$A$2:$B$6,2,0),'SA Q4 18 W'!$B$4:$F$4,0),0)</f>
        <v>#REF!</v>
      </c>
      <c r="E167">
        <v>1</v>
      </c>
      <c r="G167">
        <v>1</v>
      </c>
      <c r="H167">
        <v>8</v>
      </c>
    </row>
    <row r="168" spans="1:8">
      <c r="A168">
        <f t="shared" si="2"/>
        <v>2</v>
      </c>
      <c r="B168">
        <f t="shared" si="3"/>
        <v>492</v>
      </c>
      <c r="C168" s="128">
        <v>43101</v>
      </c>
      <c r="D168" s="25" t="e">
        <f>VLOOKUP(VLOOKUP(B168,SuiteCatSubElem!$G$2:$G$667,2,0),'SA Q4 18 W'!$A$33:$F$193,1+MATCH(VLOOKUP(A168,Personas!$A$2:$B$6,2,0),'SA Q4 18 W'!$B$4:$F$4,0),0)</f>
        <v>#REF!</v>
      </c>
      <c r="E168">
        <v>1</v>
      </c>
      <c r="G168">
        <v>1</v>
      </c>
      <c r="H168">
        <v>8</v>
      </c>
    </row>
    <row r="169" spans="1:8">
      <c r="A169">
        <f t="shared" si="2"/>
        <v>2</v>
      </c>
      <c r="B169">
        <f t="shared" si="3"/>
        <v>493</v>
      </c>
      <c r="C169" s="128">
        <v>43101</v>
      </c>
      <c r="D169" s="25" t="e">
        <f>VLOOKUP(VLOOKUP(B169,SuiteCatSubElem!$G$2:$G$667,2,0),'SA Q4 18 W'!$A$33:$F$193,1+MATCH(VLOOKUP(A169,Personas!$A$2:$B$6,2,0),'SA Q4 18 W'!$B$4:$F$4,0),0)</f>
        <v>#REF!</v>
      </c>
      <c r="E169">
        <v>1</v>
      </c>
      <c r="G169">
        <v>1</v>
      </c>
      <c r="H169">
        <v>8</v>
      </c>
    </row>
    <row r="170" spans="1:8">
      <c r="A170">
        <f t="shared" si="2"/>
        <v>3</v>
      </c>
      <c r="B170">
        <f t="shared" si="3"/>
        <v>409</v>
      </c>
      <c r="C170" s="128">
        <v>43101</v>
      </c>
      <c r="D170" s="25" t="e">
        <f>VLOOKUP(VLOOKUP(B170,SuiteCatSubElem!$G$2:$G$667,2,0),'SA Q4 18 W'!$A$33:$F$193,1+MATCH(VLOOKUP(A170,Personas!$A$2:$B$6,2,0),'SA Q4 18 W'!$B$4:$F$4,0),0)</f>
        <v>#REF!</v>
      </c>
      <c r="E170">
        <v>1</v>
      </c>
      <c r="G170">
        <v>1</v>
      </c>
      <c r="H170">
        <v>8</v>
      </c>
    </row>
    <row r="171" spans="1:8">
      <c r="A171">
        <f t="shared" si="2"/>
        <v>3</v>
      </c>
      <c r="B171">
        <f t="shared" si="3"/>
        <v>410</v>
      </c>
      <c r="C171" s="128">
        <v>43101</v>
      </c>
      <c r="D171" s="25" t="e">
        <f>VLOOKUP(VLOOKUP(B171,SuiteCatSubElem!$G$2:$G$667,2,0),'SA Q4 18 W'!$A$33:$F$193,1+MATCH(VLOOKUP(A171,Personas!$A$2:$B$6,2,0),'SA Q4 18 W'!$B$4:$F$4,0),0)</f>
        <v>#REF!</v>
      </c>
      <c r="E171">
        <v>1</v>
      </c>
      <c r="G171">
        <v>1</v>
      </c>
      <c r="H171">
        <v>8</v>
      </c>
    </row>
    <row r="172" spans="1:8">
      <c r="A172">
        <f t="shared" si="2"/>
        <v>3</v>
      </c>
      <c r="B172">
        <f t="shared" si="3"/>
        <v>411</v>
      </c>
      <c r="C172" s="128">
        <v>43101</v>
      </c>
      <c r="D172" s="25" t="e">
        <f>VLOOKUP(VLOOKUP(B172,SuiteCatSubElem!$G$2:$G$667,2,0),'SA Q4 18 W'!$A$33:$F$193,1+MATCH(VLOOKUP(A172,Personas!$A$2:$B$6,2,0),'SA Q4 18 W'!$B$4:$F$4,0),0)</f>
        <v>#REF!</v>
      </c>
      <c r="E172">
        <v>1</v>
      </c>
      <c r="G172">
        <v>1</v>
      </c>
      <c r="H172">
        <v>8</v>
      </c>
    </row>
    <row r="173" spans="1:8">
      <c r="A173">
        <f t="shared" si="2"/>
        <v>3</v>
      </c>
      <c r="B173">
        <f t="shared" si="3"/>
        <v>412</v>
      </c>
      <c r="C173" s="128">
        <v>43101</v>
      </c>
      <c r="D173" s="25" t="e">
        <f>VLOOKUP(VLOOKUP(B173,SuiteCatSubElem!$G$2:$G$667,2,0),'SA Q4 18 W'!$A$33:$F$193,1+MATCH(VLOOKUP(A173,Personas!$A$2:$B$6,2,0),'SA Q4 18 W'!$B$4:$F$4,0),0)</f>
        <v>#REF!</v>
      </c>
      <c r="E173">
        <v>1</v>
      </c>
      <c r="G173">
        <v>1</v>
      </c>
      <c r="H173">
        <v>8</v>
      </c>
    </row>
    <row r="174" spans="1:8">
      <c r="A174">
        <f t="shared" si="2"/>
        <v>3</v>
      </c>
      <c r="B174">
        <f t="shared" si="3"/>
        <v>413</v>
      </c>
      <c r="C174" s="128">
        <v>43101</v>
      </c>
      <c r="D174" s="25" t="e">
        <f>VLOOKUP(VLOOKUP(B174,SuiteCatSubElem!$G$2:$G$667,2,0),'SA Q4 18 W'!$A$33:$F$193,1+MATCH(VLOOKUP(A174,Personas!$A$2:$B$6,2,0),'SA Q4 18 W'!$B$4:$F$4,0),0)</f>
        <v>#REF!</v>
      </c>
      <c r="E174">
        <v>1</v>
      </c>
      <c r="G174">
        <v>1</v>
      </c>
      <c r="H174">
        <v>8</v>
      </c>
    </row>
    <row r="175" spans="1:8">
      <c r="A175">
        <f t="shared" si="2"/>
        <v>3</v>
      </c>
      <c r="B175">
        <f t="shared" si="3"/>
        <v>414</v>
      </c>
      <c r="C175" s="128">
        <v>43101</v>
      </c>
      <c r="D175" s="25" t="e">
        <f>VLOOKUP(VLOOKUP(B175,SuiteCatSubElem!$G$2:$G$667,2,0),'SA Q4 18 W'!$A$33:$F$193,1+MATCH(VLOOKUP(A175,Personas!$A$2:$B$6,2,0),'SA Q4 18 W'!$B$4:$F$4,0),0)</f>
        <v>#REF!</v>
      </c>
      <c r="E175">
        <v>1</v>
      </c>
      <c r="G175">
        <v>1</v>
      </c>
      <c r="H175">
        <v>8</v>
      </c>
    </row>
    <row r="176" spans="1:8">
      <c r="A176">
        <f t="shared" si="2"/>
        <v>3</v>
      </c>
      <c r="B176">
        <f t="shared" si="3"/>
        <v>415</v>
      </c>
      <c r="C176" s="128">
        <v>43101</v>
      </c>
      <c r="D176" s="25" t="e">
        <f>VLOOKUP(VLOOKUP(B176,SuiteCatSubElem!$G$2:$G$667,2,0),'SA Q4 18 W'!$A$33:$F$193,1+MATCH(VLOOKUP(A176,Personas!$A$2:$B$6,2,0),'SA Q4 18 W'!$B$4:$F$4,0),0)</f>
        <v>#REF!</v>
      </c>
      <c r="E176">
        <v>1</v>
      </c>
      <c r="G176">
        <v>1</v>
      </c>
      <c r="H176">
        <v>8</v>
      </c>
    </row>
    <row r="177" spans="1:8">
      <c r="A177">
        <f t="shared" si="2"/>
        <v>3</v>
      </c>
      <c r="B177">
        <f t="shared" si="3"/>
        <v>416</v>
      </c>
      <c r="C177" s="128">
        <v>43101</v>
      </c>
      <c r="D177" s="25" t="e">
        <f>VLOOKUP(VLOOKUP(B177,SuiteCatSubElem!$G$2:$G$667,2,0),'SA Q4 18 W'!$A$33:$F$193,1+MATCH(VLOOKUP(A177,Personas!$A$2:$B$6,2,0),'SA Q4 18 W'!$B$4:$F$4,0),0)</f>
        <v>#REF!</v>
      </c>
      <c r="E177">
        <v>1</v>
      </c>
      <c r="G177">
        <v>1</v>
      </c>
      <c r="H177">
        <v>8</v>
      </c>
    </row>
    <row r="178" spans="1:8">
      <c r="A178">
        <f t="shared" si="2"/>
        <v>3</v>
      </c>
      <c r="B178">
        <f t="shared" si="3"/>
        <v>417</v>
      </c>
      <c r="C178" s="128">
        <v>43101</v>
      </c>
      <c r="D178" s="25" t="e">
        <f>VLOOKUP(VLOOKUP(B178,SuiteCatSubElem!$G$2:$G$667,2,0),'SA Q4 18 W'!$A$33:$F$193,1+MATCH(VLOOKUP(A178,Personas!$A$2:$B$6,2,0),'SA Q4 18 W'!$B$4:$F$4,0),0)</f>
        <v>#REF!</v>
      </c>
      <c r="E178">
        <v>1</v>
      </c>
      <c r="G178">
        <v>1</v>
      </c>
      <c r="H178">
        <v>8</v>
      </c>
    </row>
    <row r="179" spans="1:8">
      <c r="A179">
        <f t="shared" si="2"/>
        <v>3</v>
      </c>
      <c r="B179">
        <f t="shared" si="3"/>
        <v>418</v>
      </c>
      <c r="C179" s="128">
        <v>43101</v>
      </c>
      <c r="D179" s="25" t="e">
        <f>VLOOKUP(VLOOKUP(B179,SuiteCatSubElem!$G$2:$G$667,2,0),'SA Q4 18 W'!$A$33:$F$193,1+MATCH(VLOOKUP(A179,Personas!$A$2:$B$6,2,0),'SA Q4 18 W'!$B$4:$F$4,0),0)</f>
        <v>#REF!</v>
      </c>
      <c r="E179">
        <v>1</v>
      </c>
      <c r="G179">
        <v>1</v>
      </c>
      <c r="H179">
        <v>8</v>
      </c>
    </row>
    <row r="180" spans="1:8">
      <c r="A180">
        <f t="shared" si="2"/>
        <v>3</v>
      </c>
      <c r="B180">
        <f t="shared" si="3"/>
        <v>419</v>
      </c>
      <c r="C180" s="128">
        <v>43101</v>
      </c>
      <c r="D180" s="25" t="e">
        <f>VLOOKUP(VLOOKUP(B180,SuiteCatSubElem!$G$2:$G$667,2,0),'SA Q4 18 W'!$A$33:$F$193,1+MATCH(VLOOKUP(A180,Personas!$A$2:$B$6,2,0),'SA Q4 18 W'!$B$4:$F$4,0),0)</f>
        <v>#REF!</v>
      </c>
      <c r="E180">
        <v>1</v>
      </c>
      <c r="G180">
        <v>1</v>
      </c>
      <c r="H180">
        <v>8</v>
      </c>
    </row>
    <row r="181" spans="1:8">
      <c r="A181">
        <f t="shared" si="2"/>
        <v>3</v>
      </c>
      <c r="B181">
        <f t="shared" si="3"/>
        <v>420</v>
      </c>
      <c r="C181" s="128">
        <v>43101</v>
      </c>
      <c r="D181" s="25" t="e">
        <f>VLOOKUP(VLOOKUP(B181,SuiteCatSubElem!$G$2:$G$667,2,0),'SA Q4 18 W'!$A$33:$F$193,1+MATCH(VLOOKUP(A181,Personas!$A$2:$B$6,2,0),'SA Q4 18 W'!$B$4:$F$4,0),0)</f>
        <v>#REF!</v>
      </c>
      <c r="E181">
        <v>1</v>
      </c>
      <c r="G181">
        <v>1</v>
      </c>
      <c r="H181">
        <v>8</v>
      </c>
    </row>
    <row r="182" spans="1:8">
      <c r="A182">
        <f t="shared" si="2"/>
        <v>3</v>
      </c>
      <c r="B182">
        <f t="shared" si="3"/>
        <v>421</v>
      </c>
      <c r="C182" s="128">
        <v>43101</v>
      </c>
      <c r="D182" s="25" t="e">
        <f>VLOOKUP(VLOOKUP(B182,SuiteCatSubElem!$G$2:$G$667,2,0),'SA Q4 18 W'!$A$33:$F$193,1+MATCH(VLOOKUP(A182,Personas!$A$2:$B$6,2,0),'SA Q4 18 W'!$B$4:$F$4,0),0)</f>
        <v>#REF!</v>
      </c>
      <c r="E182">
        <v>1</v>
      </c>
      <c r="G182">
        <v>1</v>
      </c>
      <c r="H182">
        <v>8</v>
      </c>
    </row>
    <row r="183" spans="1:8">
      <c r="A183">
        <f t="shared" si="2"/>
        <v>3</v>
      </c>
      <c r="B183">
        <f t="shared" si="3"/>
        <v>422</v>
      </c>
      <c r="C183" s="128">
        <v>43101</v>
      </c>
      <c r="D183" s="25" t="e">
        <f>VLOOKUP(VLOOKUP(B183,SuiteCatSubElem!$G$2:$G$667,2,0),'SA Q4 18 W'!$A$33:$F$193,1+MATCH(VLOOKUP(A183,Personas!$A$2:$B$6,2,0),'SA Q4 18 W'!$B$4:$F$4,0),0)</f>
        <v>#REF!</v>
      </c>
      <c r="E183">
        <v>1</v>
      </c>
      <c r="G183">
        <v>1</v>
      </c>
      <c r="H183">
        <v>8</v>
      </c>
    </row>
    <row r="184" spans="1:8">
      <c r="A184">
        <f t="shared" si="2"/>
        <v>3</v>
      </c>
      <c r="B184">
        <f t="shared" si="3"/>
        <v>423</v>
      </c>
      <c r="C184" s="128">
        <v>43101</v>
      </c>
      <c r="D184" s="25" t="e">
        <f>VLOOKUP(VLOOKUP(B184,SuiteCatSubElem!$G$2:$G$667,2,0),'SA Q4 18 W'!$A$33:$F$193,1+MATCH(VLOOKUP(A184,Personas!$A$2:$B$6,2,0),'SA Q4 18 W'!$B$4:$F$4,0),0)</f>
        <v>#REF!</v>
      </c>
      <c r="E184">
        <v>1</v>
      </c>
      <c r="G184">
        <v>1</v>
      </c>
      <c r="H184">
        <v>8</v>
      </c>
    </row>
    <row r="185" spans="1:8">
      <c r="A185">
        <f t="shared" si="2"/>
        <v>3</v>
      </c>
      <c r="B185">
        <f t="shared" si="3"/>
        <v>424</v>
      </c>
      <c r="C185" s="128">
        <v>43101</v>
      </c>
      <c r="D185" s="25" t="e">
        <f>VLOOKUP(VLOOKUP(B185,SuiteCatSubElem!$G$2:$G$667,2,0),'SA Q4 18 W'!$A$33:$F$193,1+MATCH(VLOOKUP(A185,Personas!$A$2:$B$6,2,0),'SA Q4 18 W'!$B$4:$F$4,0),0)</f>
        <v>#REF!</v>
      </c>
      <c r="E185">
        <v>1</v>
      </c>
      <c r="G185">
        <v>1</v>
      </c>
      <c r="H185">
        <v>8</v>
      </c>
    </row>
    <row r="186" spans="1:8">
      <c r="A186">
        <f t="shared" si="2"/>
        <v>3</v>
      </c>
      <c r="B186">
        <f t="shared" si="3"/>
        <v>425</v>
      </c>
      <c r="C186" s="128">
        <v>43101</v>
      </c>
      <c r="D186" s="25" t="e">
        <f>VLOOKUP(VLOOKUP(B186,SuiteCatSubElem!$G$2:$G$667,2,0),'SA Q4 18 W'!$A$33:$F$193,1+MATCH(VLOOKUP(A186,Personas!$A$2:$B$6,2,0),'SA Q4 18 W'!$B$4:$F$4,0),0)</f>
        <v>#REF!</v>
      </c>
      <c r="E186">
        <v>1</v>
      </c>
      <c r="G186">
        <v>1</v>
      </c>
      <c r="H186">
        <v>8</v>
      </c>
    </row>
    <row r="187" spans="1:8">
      <c r="A187">
        <f t="shared" si="2"/>
        <v>3</v>
      </c>
      <c r="B187">
        <f t="shared" si="3"/>
        <v>426</v>
      </c>
      <c r="C187" s="128">
        <v>43101</v>
      </c>
      <c r="D187" s="25" t="e">
        <f>VLOOKUP(VLOOKUP(B187,SuiteCatSubElem!$G$2:$G$667,2,0),'SA Q4 18 W'!$A$33:$F$193,1+MATCH(VLOOKUP(A187,Personas!$A$2:$B$6,2,0),'SA Q4 18 W'!$B$4:$F$4,0),0)</f>
        <v>#REF!</v>
      </c>
      <c r="E187">
        <v>1</v>
      </c>
      <c r="G187">
        <v>1</v>
      </c>
      <c r="H187">
        <v>8</v>
      </c>
    </row>
    <row r="188" spans="1:8">
      <c r="A188">
        <f t="shared" si="2"/>
        <v>3</v>
      </c>
      <c r="B188">
        <f t="shared" si="3"/>
        <v>427</v>
      </c>
      <c r="C188" s="128">
        <v>43101</v>
      </c>
      <c r="D188" s="25" t="e">
        <f>VLOOKUP(VLOOKUP(B188,SuiteCatSubElem!$G$2:$G$667,2,0),'SA Q4 18 W'!$A$33:$F$193,1+MATCH(VLOOKUP(A188,Personas!$A$2:$B$6,2,0),'SA Q4 18 W'!$B$4:$F$4,0),0)</f>
        <v>#REF!</v>
      </c>
      <c r="E188">
        <v>1</v>
      </c>
      <c r="G188">
        <v>1</v>
      </c>
      <c r="H188">
        <v>8</v>
      </c>
    </row>
    <row r="189" spans="1:8">
      <c r="A189">
        <f t="shared" si="2"/>
        <v>3</v>
      </c>
      <c r="B189">
        <f t="shared" si="3"/>
        <v>428</v>
      </c>
      <c r="C189" s="128">
        <v>43101</v>
      </c>
      <c r="D189" s="25" t="e">
        <f>VLOOKUP(VLOOKUP(B189,SuiteCatSubElem!$G$2:$G$667,2,0),'SA Q4 18 W'!$A$33:$F$193,1+MATCH(VLOOKUP(A189,Personas!$A$2:$B$6,2,0),'SA Q4 18 W'!$B$4:$F$4,0),0)</f>
        <v>#REF!</v>
      </c>
      <c r="E189">
        <v>1</v>
      </c>
      <c r="G189">
        <v>1</v>
      </c>
      <c r="H189">
        <v>8</v>
      </c>
    </row>
    <row r="190" spans="1:8">
      <c r="A190">
        <f t="shared" si="2"/>
        <v>3</v>
      </c>
      <c r="B190">
        <f t="shared" si="3"/>
        <v>429</v>
      </c>
      <c r="C190" s="128">
        <v>43101</v>
      </c>
      <c r="D190" s="25" t="e">
        <f>VLOOKUP(VLOOKUP(B190,SuiteCatSubElem!$G$2:$G$667,2,0),'SA Q4 18 W'!$A$33:$F$193,1+MATCH(VLOOKUP(A190,Personas!$A$2:$B$6,2,0),'SA Q4 18 W'!$B$4:$F$4,0),0)</f>
        <v>#REF!</v>
      </c>
      <c r="E190">
        <v>1</v>
      </c>
      <c r="G190">
        <v>1</v>
      </c>
      <c r="H190">
        <v>8</v>
      </c>
    </row>
    <row r="191" spans="1:8">
      <c r="A191">
        <f t="shared" si="2"/>
        <v>3</v>
      </c>
      <c r="B191">
        <f t="shared" si="3"/>
        <v>430</v>
      </c>
      <c r="C191" s="128">
        <v>43101</v>
      </c>
      <c r="D191" s="25" t="e">
        <f>VLOOKUP(VLOOKUP(B191,SuiteCatSubElem!$G$2:$G$667,2,0),'SA Q4 18 W'!$A$33:$F$193,1+MATCH(VLOOKUP(A191,Personas!$A$2:$B$6,2,0),'SA Q4 18 W'!$B$4:$F$4,0),0)</f>
        <v>#REF!</v>
      </c>
      <c r="E191">
        <v>1</v>
      </c>
      <c r="G191">
        <v>1</v>
      </c>
      <c r="H191">
        <v>8</v>
      </c>
    </row>
    <row r="192" spans="1:8">
      <c r="A192">
        <f t="shared" si="2"/>
        <v>3</v>
      </c>
      <c r="B192">
        <f t="shared" si="3"/>
        <v>431</v>
      </c>
      <c r="C192" s="128">
        <v>43101</v>
      </c>
      <c r="D192" s="25" t="e">
        <f>VLOOKUP(VLOOKUP(B192,SuiteCatSubElem!$G$2:$G$667,2,0),'SA Q4 18 W'!$A$33:$F$193,1+MATCH(VLOOKUP(A192,Personas!$A$2:$B$6,2,0),'SA Q4 18 W'!$B$4:$F$4,0),0)</f>
        <v>#REF!</v>
      </c>
      <c r="E192">
        <v>1</v>
      </c>
      <c r="G192">
        <v>1</v>
      </c>
      <c r="H192">
        <v>8</v>
      </c>
    </row>
    <row r="193" spans="1:8">
      <c r="A193">
        <f t="shared" si="2"/>
        <v>3</v>
      </c>
      <c r="B193">
        <f t="shared" si="3"/>
        <v>432</v>
      </c>
      <c r="C193" s="128">
        <v>43101</v>
      </c>
      <c r="D193" s="25" t="e">
        <f>VLOOKUP(VLOOKUP(B193,SuiteCatSubElem!$G$2:$G$667,2,0),'SA Q4 18 W'!$A$33:$F$193,1+MATCH(VLOOKUP(A193,Personas!$A$2:$B$6,2,0),'SA Q4 18 W'!$B$4:$F$4,0),0)</f>
        <v>#REF!</v>
      </c>
      <c r="E193">
        <v>1</v>
      </c>
      <c r="G193">
        <v>1</v>
      </c>
      <c r="H193">
        <v>8</v>
      </c>
    </row>
    <row r="194" spans="1:8">
      <c r="A194">
        <f t="shared" si="2"/>
        <v>3</v>
      </c>
      <c r="B194">
        <f t="shared" si="3"/>
        <v>433</v>
      </c>
      <c r="C194" s="128">
        <v>43101</v>
      </c>
      <c r="D194" s="25" t="e">
        <f>VLOOKUP(VLOOKUP(B194,SuiteCatSubElem!$G$2:$G$667,2,0),'SA Q4 18 W'!$A$33:$F$193,1+MATCH(VLOOKUP(A194,Personas!$A$2:$B$6,2,0),'SA Q4 18 W'!$B$4:$F$4,0),0)</f>
        <v>#REF!</v>
      </c>
      <c r="E194">
        <v>1</v>
      </c>
      <c r="G194">
        <v>1</v>
      </c>
      <c r="H194">
        <v>8</v>
      </c>
    </row>
    <row r="195" spans="1:8">
      <c r="A195">
        <f t="shared" si="2"/>
        <v>3</v>
      </c>
      <c r="B195">
        <f t="shared" si="3"/>
        <v>434</v>
      </c>
      <c r="C195" s="128">
        <v>43101</v>
      </c>
      <c r="D195" s="25" t="e">
        <f>VLOOKUP(VLOOKUP(B195,SuiteCatSubElem!$G$2:$G$667,2,0),'SA Q4 18 W'!$A$33:$F$193,1+MATCH(VLOOKUP(A195,Personas!$A$2:$B$6,2,0),'SA Q4 18 W'!$B$4:$F$4,0),0)</f>
        <v>#REF!</v>
      </c>
      <c r="E195">
        <v>1</v>
      </c>
      <c r="G195">
        <v>1</v>
      </c>
      <c r="H195">
        <v>8</v>
      </c>
    </row>
    <row r="196" spans="1:8">
      <c r="A196">
        <f t="shared" si="2"/>
        <v>3</v>
      </c>
      <c r="B196">
        <f t="shared" si="3"/>
        <v>435</v>
      </c>
      <c r="C196" s="128">
        <v>43101</v>
      </c>
      <c r="D196" s="25" t="e">
        <f>VLOOKUP(VLOOKUP(B196,SuiteCatSubElem!$G$2:$G$667,2,0),'SA Q4 18 W'!$A$33:$F$193,1+MATCH(VLOOKUP(A196,Personas!$A$2:$B$6,2,0),'SA Q4 18 W'!$B$4:$F$4,0),0)</f>
        <v>#REF!</v>
      </c>
      <c r="E196">
        <v>1</v>
      </c>
      <c r="G196">
        <v>1</v>
      </c>
      <c r="H196">
        <v>8</v>
      </c>
    </row>
    <row r="197" spans="1:8">
      <c r="A197">
        <f t="shared" si="2"/>
        <v>3</v>
      </c>
      <c r="B197">
        <f t="shared" si="3"/>
        <v>436</v>
      </c>
      <c r="C197" s="128">
        <v>43101</v>
      </c>
      <c r="D197" s="25" t="e">
        <f>VLOOKUP(VLOOKUP(B197,SuiteCatSubElem!$G$2:$G$667,2,0),'SA Q4 18 W'!$A$33:$F$193,1+MATCH(VLOOKUP(A197,Personas!$A$2:$B$6,2,0),'SA Q4 18 W'!$B$4:$F$4,0),0)</f>
        <v>#REF!</v>
      </c>
      <c r="E197">
        <v>1</v>
      </c>
      <c r="G197">
        <v>1</v>
      </c>
      <c r="H197">
        <v>8</v>
      </c>
    </row>
    <row r="198" spans="1:8">
      <c r="A198">
        <f t="shared" si="2"/>
        <v>3</v>
      </c>
      <c r="B198">
        <f t="shared" si="3"/>
        <v>437</v>
      </c>
      <c r="C198" s="128">
        <v>43101</v>
      </c>
      <c r="D198" s="25" t="e">
        <f>VLOOKUP(VLOOKUP(B198,SuiteCatSubElem!$G$2:$G$667,2,0),'SA Q4 18 W'!$A$33:$F$193,1+MATCH(VLOOKUP(A198,Personas!$A$2:$B$6,2,0),'SA Q4 18 W'!$B$4:$F$4,0),0)</f>
        <v>#REF!</v>
      </c>
      <c r="E198">
        <v>1</v>
      </c>
      <c r="G198">
        <v>1</v>
      </c>
      <c r="H198">
        <v>8</v>
      </c>
    </row>
    <row r="199" spans="1:8">
      <c r="A199">
        <f t="shared" si="2"/>
        <v>3</v>
      </c>
      <c r="B199">
        <f t="shared" si="3"/>
        <v>438</v>
      </c>
      <c r="C199" s="128">
        <v>43101</v>
      </c>
      <c r="D199" s="25" t="e">
        <f>VLOOKUP(VLOOKUP(B199,SuiteCatSubElem!$G$2:$G$667,2,0),'SA Q4 18 W'!$A$33:$F$193,1+MATCH(VLOOKUP(A199,Personas!$A$2:$B$6,2,0),'SA Q4 18 W'!$B$4:$F$4,0),0)</f>
        <v>#REF!</v>
      </c>
      <c r="E199">
        <v>1</v>
      </c>
      <c r="G199">
        <v>1</v>
      </c>
      <c r="H199">
        <v>8</v>
      </c>
    </row>
    <row r="200" spans="1:8">
      <c r="A200">
        <f t="shared" si="2"/>
        <v>3</v>
      </c>
      <c r="B200">
        <f t="shared" si="3"/>
        <v>439</v>
      </c>
      <c r="C200" s="128">
        <v>43101</v>
      </c>
      <c r="D200" s="25" t="e">
        <f>VLOOKUP(VLOOKUP(B200,SuiteCatSubElem!$G$2:$G$667,2,0),'SA Q4 18 W'!$A$33:$F$193,1+MATCH(VLOOKUP(A200,Personas!$A$2:$B$6,2,0),'SA Q4 18 W'!$B$4:$F$4,0),0)</f>
        <v>#REF!</v>
      </c>
      <c r="E200">
        <v>1</v>
      </c>
      <c r="G200">
        <v>1</v>
      </c>
      <c r="H200">
        <v>8</v>
      </c>
    </row>
    <row r="201" spans="1:8">
      <c r="A201">
        <f t="shared" si="2"/>
        <v>3</v>
      </c>
      <c r="B201">
        <f t="shared" si="3"/>
        <v>440</v>
      </c>
      <c r="C201" s="128">
        <v>43101</v>
      </c>
      <c r="D201" s="25" t="e">
        <f>VLOOKUP(VLOOKUP(B201,SuiteCatSubElem!$G$2:$G$667,2,0),'SA Q4 18 W'!$A$33:$F$193,1+MATCH(VLOOKUP(A201,Personas!$A$2:$B$6,2,0),'SA Q4 18 W'!$B$4:$F$4,0),0)</f>
        <v>#REF!</v>
      </c>
      <c r="E201">
        <v>1</v>
      </c>
      <c r="G201">
        <v>1</v>
      </c>
      <c r="H201">
        <v>8</v>
      </c>
    </row>
    <row r="202" spans="1:8">
      <c r="A202">
        <f t="shared" si="2"/>
        <v>3</v>
      </c>
      <c r="B202">
        <f t="shared" si="3"/>
        <v>441</v>
      </c>
      <c r="C202" s="128">
        <v>43101</v>
      </c>
      <c r="D202" s="25" t="e">
        <f>VLOOKUP(VLOOKUP(B202,SuiteCatSubElem!$G$2:$G$667,2,0),'SA Q4 18 W'!$A$33:$F$193,1+MATCH(VLOOKUP(A202,Personas!$A$2:$B$6,2,0),'SA Q4 18 W'!$B$4:$F$4,0),0)</f>
        <v>#REF!</v>
      </c>
      <c r="E202">
        <v>1</v>
      </c>
      <c r="G202">
        <v>1</v>
      </c>
      <c r="H202">
        <v>8</v>
      </c>
    </row>
    <row r="203" spans="1:8">
      <c r="A203">
        <f t="shared" si="2"/>
        <v>3</v>
      </c>
      <c r="B203">
        <f t="shared" si="3"/>
        <v>442</v>
      </c>
      <c r="C203" s="128">
        <v>43101</v>
      </c>
      <c r="D203" s="25" t="e">
        <f>VLOOKUP(VLOOKUP(B203,SuiteCatSubElem!$G$2:$G$667,2,0),'SA Q4 18 W'!$A$33:$F$193,1+MATCH(VLOOKUP(A203,Personas!$A$2:$B$6,2,0),'SA Q4 18 W'!$B$4:$F$4,0),0)</f>
        <v>#REF!</v>
      </c>
      <c r="E203">
        <v>1</v>
      </c>
      <c r="G203">
        <v>1</v>
      </c>
      <c r="H203">
        <v>8</v>
      </c>
    </row>
    <row r="204" spans="1:8">
      <c r="A204">
        <f t="shared" si="2"/>
        <v>3</v>
      </c>
      <c r="B204">
        <f t="shared" si="3"/>
        <v>443</v>
      </c>
      <c r="C204" s="128">
        <v>43101</v>
      </c>
      <c r="D204" s="25" t="e">
        <f>VLOOKUP(VLOOKUP(B204,SuiteCatSubElem!$G$2:$G$667,2,0),'SA Q4 18 W'!$A$33:$F$193,1+MATCH(VLOOKUP(A204,Personas!$A$2:$B$6,2,0),'SA Q4 18 W'!$B$4:$F$4,0),0)</f>
        <v>#REF!</v>
      </c>
      <c r="E204">
        <v>1</v>
      </c>
      <c r="G204">
        <v>1</v>
      </c>
      <c r="H204">
        <v>8</v>
      </c>
    </row>
    <row r="205" spans="1:8">
      <c r="A205">
        <f t="shared" si="2"/>
        <v>3</v>
      </c>
      <c r="B205">
        <f t="shared" si="3"/>
        <v>445</v>
      </c>
      <c r="C205" s="128">
        <v>43101</v>
      </c>
      <c r="D205" s="25" t="e">
        <f>VLOOKUP(VLOOKUP(B205,SuiteCatSubElem!$G$2:$G$667,2,0),'SA Q4 18 W'!$A$33:$F$193,1+MATCH(VLOOKUP(A205,Personas!$A$2:$B$6,2,0),'SA Q4 18 W'!$B$4:$F$4,0),0)</f>
        <v>#REF!</v>
      </c>
      <c r="E205">
        <v>1</v>
      </c>
      <c r="G205">
        <v>1</v>
      </c>
      <c r="H205">
        <v>8</v>
      </c>
    </row>
    <row r="206" spans="1:8">
      <c r="A206">
        <f t="shared" si="2"/>
        <v>3</v>
      </c>
      <c r="B206">
        <f t="shared" si="3"/>
        <v>446</v>
      </c>
      <c r="C206" s="128">
        <v>43101</v>
      </c>
      <c r="D206" s="25" t="e">
        <f>VLOOKUP(VLOOKUP(B206,SuiteCatSubElem!$G$2:$G$667,2,0),'SA Q4 18 W'!$A$33:$F$193,1+MATCH(VLOOKUP(A206,Personas!$A$2:$B$6,2,0),'SA Q4 18 W'!$B$4:$F$4,0),0)</f>
        <v>#REF!</v>
      </c>
      <c r="E206">
        <v>1</v>
      </c>
      <c r="G206">
        <v>1</v>
      </c>
      <c r="H206">
        <v>8</v>
      </c>
    </row>
    <row r="207" spans="1:8">
      <c r="A207">
        <f t="shared" si="2"/>
        <v>3</v>
      </c>
      <c r="B207">
        <f t="shared" si="3"/>
        <v>447</v>
      </c>
      <c r="C207" s="128">
        <v>43101</v>
      </c>
      <c r="D207" s="25" t="e">
        <f>VLOOKUP(VLOOKUP(B207,SuiteCatSubElem!$G$2:$G$667,2,0),'SA Q4 18 W'!$A$33:$F$193,1+MATCH(VLOOKUP(A207,Personas!$A$2:$B$6,2,0),'SA Q4 18 W'!$B$4:$F$4,0),0)</f>
        <v>#REF!</v>
      </c>
      <c r="E207">
        <v>1</v>
      </c>
      <c r="G207">
        <v>1</v>
      </c>
      <c r="H207">
        <v>8</v>
      </c>
    </row>
    <row r="208" spans="1:8">
      <c r="A208">
        <f t="shared" si="2"/>
        <v>3</v>
      </c>
      <c r="B208">
        <f t="shared" si="3"/>
        <v>448</v>
      </c>
      <c r="C208" s="128">
        <v>43101</v>
      </c>
      <c r="D208" s="25" t="e">
        <f>VLOOKUP(VLOOKUP(B208,SuiteCatSubElem!$G$2:$G$667,2,0),'SA Q4 18 W'!$A$33:$F$193,1+MATCH(VLOOKUP(A208,Personas!$A$2:$B$6,2,0),'SA Q4 18 W'!$B$4:$F$4,0),0)</f>
        <v>#REF!</v>
      </c>
      <c r="E208">
        <v>1</v>
      </c>
      <c r="G208">
        <v>1</v>
      </c>
      <c r="H208">
        <v>8</v>
      </c>
    </row>
    <row r="209" spans="1:8">
      <c r="A209">
        <f t="shared" si="2"/>
        <v>3</v>
      </c>
      <c r="B209">
        <f t="shared" si="3"/>
        <v>449</v>
      </c>
      <c r="C209" s="128">
        <v>43101</v>
      </c>
      <c r="D209" s="25" t="e">
        <f>VLOOKUP(VLOOKUP(B209,SuiteCatSubElem!$G$2:$G$667,2,0),'SA Q4 18 W'!$A$33:$F$193,1+MATCH(VLOOKUP(A209,Personas!$A$2:$B$6,2,0),'SA Q4 18 W'!$B$4:$F$4,0),0)</f>
        <v>#REF!</v>
      </c>
      <c r="E209">
        <v>1</v>
      </c>
      <c r="G209">
        <v>1</v>
      </c>
      <c r="H209">
        <v>8</v>
      </c>
    </row>
    <row r="210" spans="1:8">
      <c r="A210">
        <f t="shared" si="2"/>
        <v>3</v>
      </c>
      <c r="B210">
        <f t="shared" si="3"/>
        <v>450</v>
      </c>
      <c r="C210" s="128">
        <v>43101</v>
      </c>
      <c r="D210" s="25" t="e">
        <f>VLOOKUP(VLOOKUP(B210,SuiteCatSubElem!$G$2:$G$667,2,0),'SA Q4 18 W'!$A$33:$F$193,1+MATCH(VLOOKUP(A210,Personas!$A$2:$B$6,2,0),'SA Q4 18 W'!$B$4:$F$4,0),0)</f>
        <v>#REF!</v>
      </c>
      <c r="E210">
        <v>1</v>
      </c>
      <c r="G210">
        <v>1</v>
      </c>
      <c r="H210">
        <v>8</v>
      </c>
    </row>
    <row r="211" spans="1:8">
      <c r="A211">
        <f t="shared" si="2"/>
        <v>3</v>
      </c>
      <c r="B211">
        <f t="shared" si="3"/>
        <v>451</v>
      </c>
      <c r="C211" s="128">
        <v>43101</v>
      </c>
      <c r="D211" s="25" t="e">
        <f>VLOOKUP(VLOOKUP(B211,SuiteCatSubElem!$G$2:$G$667,2,0),'SA Q4 18 W'!$A$33:$F$193,1+MATCH(VLOOKUP(A211,Personas!$A$2:$B$6,2,0),'SA Q4 18 W'!$B$4:$F$4,0),0)</f>
        <v>#REF!</v>
      </c>
      <c r="E211">
        <v>1</v>
      </c>
      <c r="G211">
        <v>1</v>
      </c>
      <c r="H211">
        <v>8</v>
      </c>
    </row>
    <row r="212" spans="1:8">
      <c r="A212">
        <f t="shared" si="2"/>
        <v>3</v>
      </c>
      <c r="B212">
        <f t="shared" si="3"/>
        <v>452</v>
      </c>
      <c r="C212" s="128">
        <v>43101</v>
      </c>
      <c r="D212" s="25" t="e">
        <f>VLOOKUP(VLOOKUP(B212,SuiteCatSubElem!$G$2:$G$667,2,0),'SA Q4 18 W'!$A$33:$F$193,1+MATCH(VLOOKUP(A212,Personas!$A$2:$B$6,2,0),'SA Q4 18 W'!$B$4:$F$4,0),0)</f>
        <v>#REF!</v>
      </c>
      <c r="E212">
        <v>1</v>
      </c>
      <c r="G212">
        <v>1</v>
      </c>
      <c r="H212">
        <v>8</v>
      </c>
    </row>
    <row r="213" spans="1:8">
      <c r="A213">
        <f t="shared" si="2"/>
        <v>3</v>
      </c>
      <c r="B213">
        <f t="shared" si="3"/>
        <v>453</v>
      </c>
      <c r="C213" s="128">
        <v>43101</v>
      </c>
      <c r="D213" s="25" t="e">
        <f>VLOOKUP(VLOOKUP(B213,SuiteCatSubElem!$G$2:$G$667,2,0),'SA Q4 18 W'!$A$33:$F$193,1+MATCH(VLOOKUP(A213,Personas!$A$2:$B$6,2,0),'SA Q4 18 W'!$B$4:$F$4,0),0)</f>
        <v>#REF!</v>
      </c>
      <c r="E213">
        <v>1</v>
      </c>
      <c r="G213">
        <v>1</v>
      </c>
      <c r="H213">
        <v>8</v>
      </c>
    </row>
    <row r="214" spans="1:8">
      <c r="A214">
        <f t="shared" si="2"/>
        <v>3</v>
      </c>
      <c r="B214">
        <f t="shared" si="3"/>
        <v>454</v>
      </c>
      <c r="C214" s="128">
        <v>43101</v>
      </c>
      <c r="D214" s="25" t="e">
        <f>VLOOKUP(VLOOKUP(B214,SuiteCatSubElem!$G$2:$G$667,2,0),'SA Q4 18 W'!$A$33:$F$193,1+MATCH(VLOOKUP(A214,Personas!$A$2:$B$6,2,0),'SA Q4 18 W'!$B$4:$F$4,0),0)</f>
        <v>#REF!</v>
      </c>
      <c r="E214">
        <v>1</v>
      </c>
      <c r="G214">
        <v>1</v>
      </c>
      <c r="H214">
        <v>8</v>
      </c>
    </row>
    <row r="215" spans="1:8">
      <c r="A215">
        <f t="shared" ref="A215:A222" si="4">A131+1</f>
        <v>3</v>
      </c>
      <c r="B215">
        <f t="shared" ref="B215:B222" si="5">B131</f>
        <v>455</v>
      </c>
      <c r="C215" s="128">
        <v>43101</v>
      </c>
      <c r="D215" s="25" t="e">
        <f>VLOOKUP(VLOOKUP(B215,SuiteCatSubElem!$G$2:$G$667,2,0),'SA Q4 18 W'!$A$33:$F$193,1+MATCH(VLOOKUP(A215,Personas!$A$2:$B$6,2,0),'SA Q4 18 W'!$B$4:$F$4,0),0)</f>
        <v>#REF!</v>
      </c>
      <c r="E215">
        <v>1</v>
      </c>
      <c r="G215">
        <v>1</v>
      </c>
      <c r="H215">
        <v>8</v>
      </c>
    </row>
    <row r="216" spans="1:8">
      <c r="A216">
        <f t="shared" si="4"/>
        <v>3</v>
      </c>
      <c r="B216">
        <f t="shared" si="5"/>
        <v>456</v>
      </c>
      <c r="C216" s="128">
        <v>43101</v>
      </c>
      <c r="D216" s="25" t="e">
        <f>VLOOKUP(VLOOKUP(B216,SuiteCatSubElem!$G$2:$G$667,2,0),'SA Q4 18 W'!$A$33:$F$193,1+MATCH(VLOOKUP(A216,Personas!$A$2:$B$6,2,0),'SA Q4 18 W'!$B$4:$F$4,0),0)</f>
        <v>#REF!</v>
      </c>
      <c r="E216">
        <v>1</v>
      </c>
      <c r="G216">
        <v>1</v>
      </c>
      <c r="H216">
        <v>8</v>
      </c>
    </row>
    <row r="217" spans="1:8">
      <c r="A217">
        <f t="shared" si="4"/>
        <v>3</v>
      </c>
      <c r="B217">
        <f t="shared" si="5"/>
        <v>457</v>
      </c>
      <c r="C217" s="128">
        <v>43101</v>
      </c>
      <c r="D217" s="25" t="e">
        <f>VLOOKUP(VLOOKUP(B217,SuiteCatSubElem!$G$2:$G$667,2,0),'SA Q4 18 W'!$A$33:$F$193,1+MATCH(VLOOKUP(A217,Personas!$A$2:$B$6,2,0),'SA Q4 18 W'!$B$4:$F$4,0),0)</f>
        <v>#REF!</v>
      </c>
      <c r="E217">
        <v>1</v>
      </c>
      <c r="G217">
        <v>1</v>
      </c>
      <c r="H217">
        <v>8</v>
      </c>
    </row>
    <row r="218" spans="1:8">
      <c r="A218">
        <f t="shared" si="4"/>
        <v>3</v>
      </c>
      <c r="B218">
        <f t="shared" si="5"/>
        <v>458</v>
      </c>
      <c r="C218" s="128">
        <v>43101</v>
      </c>
      <c r="D218" s="25" t="e">
        <f>VLOOKUP(VLOOKUP(B218,SuiteCatSubElem!$G$2:$G$667,2,0),'SA Q4 18 W'!$A$33:$F$193,1+MATCH(VLOOKUP(A218,Personas!$A$2:$B$6,2,0),'SA Q4 18 W'!$B$4:$F$4,0),0)</f>
        <v>#REF!</v>
      </c>
      <c r="E218">
        <v>1</v>
      </c>
      <c r="G218">
        <v>1</v>
      </c>
      <c r="H218">
        <v>8</v>
      </c>
    </row>
    <row r="219" spans="1:8">
      <c r="A219">
        <f t="shared" si="4"/>
        <v>3</v>
      </c>
      <c r="B219">
        <f t="shared" si="5"/>
        <v>459</v>
      </c>
      <c r="C219" s="128">
        <v>43101</v>
      </c>
      <c r="D219" s="25" t="e">
        <f>VLOOKUP(VLOOKUP(B219,SuiteCatSubElem!$G$2:$G$667,2,0),'SA Q4 18 W'!$A$33:$F$193,1+MATCH(VLOOKUP(A219,Personas!$A$2:$B$6,2,0),'SA Q4 18 W'!$B$4:$F$4,0),0)</f>
        <v>#REF!</v>
      </c>
      <c r="E219">
        <v>1</v>
      </c>
      <c r="G219">
        <v>1</v>
      </c>
      <c r="H219">
        <v>8</v>
      </c>
    </row>
    <row r="220" spans="1:8">
      <c r="A220">
        <f t="shared" si="4"/>
        <v>3</v>
      </c>
      <c r="B220">
        <f t="shared" si="5"/>
        <v>460</v>
      </c>
      <c r="C220" s="128">
        <v>43101</v>
      </c>
      <c r="D220" s="25" t="e">
        <f>VLOOKUP(VLOOKUP(B220,SuiteCatSubElem!$G$2:$G$667,2,0),'SA Q4 18 W'!$A$33:$F$193,1+MATCH(VLOOKUP(A220,Personas!$A$2:$B$6,2,0),'SA Q4 18 W'!$B$4:$F$4,0),0)</f>
        <v>#REF!</v>
      </c>
      <c r="E220">
        <v>1</v>
      </c>
      <c r="G220">
        <v>1</v>
      </c>
      <c r="H220">
        <v>8</v>
      </c>
    </row>
    <row r="221" spans="1:8">
      <c r="A221">
        <f t="shared" si="4"/>
        <v>3</v>
      </c>
      <c r="B221">
        <f t="shared" si="5"/>
        <v>461</v>
      </c>
      <c r="C221" s="128">
        <v>43101</v>
      </c>
      <c r="D221" s="25" t="e">
        <f>VLOOKUP(VLOOKUP(B221,SuiteCatSubElem!$G$2:$G$667,2,0),'SA Q4 18 W'!$A$33:$F$193,1+MATCH(VLOOKUP(A221,Personas!$A$2:$B$6,2,0),'SA Q4 18 W'!$B$4:$F$4,0),0)</f>
        <v>#REF!</v>
      </c>
      <c r="E221">
        <v>1</v>
      </c>
      <c r="G221">
        <v>1</v>
      </c>
      <c r="H221">
        <v>8</v>
      </c>
    </row>
    <row r="222" spans="1:8">
      <c r="A222">
        <f t="shared" si="4"/>
        <v>3</v>
      </c>
      <c r="B222">
        <f t="shared" si="5"/>
        <v>462</v>
      </c>
      <c r="C222" s="128">
        <v>43101</v>
      </c>
      <c r="D222" s="25" t="e">
        <f>VLOOKUP(VLOOKUP(B222,SuiteCatSubElem!$G$2:$G$667,2,0),'SA Q4 18 W'!$A$33:$F$193,1+MATCH(VLOOKUP(A222,Personas!$A$2:$B$6,2,0),'SA Q4 18 W'!$B$4:$F$4,0),0)</f>
        <v>#REF!</v>
      </c>
      <c r="E222">
        <v>1</v>
      </c>
      <c r="G222">
        <v>1</v>
      </c>
      <c r="H222">
        <v>8</v>
      </c>
    </row>
    <row r="223" spans="1:8">
      <c r="A223">
        <f>A139+1</f>
        <v>3</v>
      </c>
      <c r="B223">
        <f>B139</f>
        <v>463</v>
      </c>
      <c r="C223" s="128">
        <v>43101</v>
      </c>
      <c r="D223" s="25" t="e">
        <f>VLOOKUP(VLOOKUP(B223,SuiteCatSubElem!$G$2:$G$667,2,0),'SA Q4 18 W'!$A$33:$F$193,1+MATCH(VLOOKUP(A223,Personas!$A$2:$B$6,2,0),'SA Q4 18 W'!$B$4:$F$4,0),0)</f>
        <v>#REF!</v>
      </c>
      <c r="E223">
        <v>1</v>
      </c>
      <c r="G223">
        <v>1</v>
      </c>
      <c r="H223">
        <v>8</v>
      </c>
    </row>
    <row r="224" spans="1:8">
      <c r="A224">
        <f t="shared" ref="A224:A287" si="6">A140+1</f>
        <v>3</v>
      </c>
      <c r="B224">
        <f t="shared" ref="B224:B287" si="7">B140</f>
        <v>464</v>
      </c>
      <c r="C224" s="128">
        <v>43101</v>
      </c>
      <c r="D224" s="25" t="e">
        <f>VLOOKUP(VLOOKUP(B224,SuiteCatSubElem!$G$2:$G$667,2,0),'SA Q4 18 W'!$A$33:$F$193,1+MATCH(VLOOKUP(A224,Personas!$A$2:$B$6,2,0),'SA Q4 18 W'!$B$4:$F$4,0),0)</f>
        <v>#REF!</v>
      </c>
      <c r="E224">
        <v>1</v>
      </c>
      <c r="G224">
        <v>1</v>
      </c>
      <c r="H224">
        <v>8</v>
      </c>
    </row>
    <row r="225" spans="1:8">
      <c r="A225">
        <f t="shared" si="6"/>
        <v>3</v>
      </c>
      <c r="B225">
        <f t="shared" si="7"/>
        <v>465</v>
      </c>
      <c r="C225" s="128">
        <v>43101</v>
      </c>
      <c r="D225" s="25" t="e">
        <f>VLOOKUP(VLOOKUP(B225,SuiteCatSubElem!$G$2:$G$667,2,0),'SA Q4 18 W'!$A$33:$F$193,1+MATCH(VLOOKUP(A225,Personas!$A$2:$B$6,2,0),'SA Q4 18 W'!$B$4:$F$4,0),0)</f>
        <v>#REF!</v>
      </c>
      <c r="E225">
        <v>1</v>
      </c>
      <c r="G225">
        <v>1</v>
      </c>
      <c r="H225">
        <v>8</v>
      </c>
    </row>
    <row r="226" spans="1:8">
      <c r="A226">
        <f t="shared" si="6"/>
        <v>3</v>
      </c>
      <c r="B226">
        <f t="shared" si="7"/>
        <v>466</v>
      </c>
      <c r="C226" s="128">
        <v>43101</v>
      </c>
      <c r="D226" s="25" t="e">
        <f>VLOOKUP(VLOOKUP(B226,SuiteCatSubElem!$G$2:$G$667,2,0),'SA Q4 18 W'!$A$33:$F$193,1+MATCH(VLOOKUP(A226,Personas!$A$2:$B$6,2,0),'SA Q4 18 W'!$B$4:$F$4,0),0)</f>
        <v>#REF!</v>
      </c>
      <c r="E226">
        <v>1</v>
      </c>
      <c r="G226">
        <v>1</v>
      </c>
      <c r="H226">
        <v>8</v>
      </c>
    </row>
    <row r="227" spans="1:8">
      <c r="A227">
        <f t="shared" si="6"/>
        <v>3</v>
      </c>
      <c r="B227">
        <f t="shared" si="7"/>
        <v>467</v>
      </c>
      <c r="C227" s="128">
        <v>43101</v>
      </c>
      <c r="D227" s="25" t="e">
        <f>VLOOKUP(VLOOKUP(B227,SuiteCatSubElem!$G$2:$G$667,2,0),'SA Q4 18 W'!$A$33:$F$193,1+MATCH(VLOOKUP(A227,Personas!$A$2:$B$6,2,0),'SA Q4 18 W'!$B$4:$F$4,0),0)</f>
        <v>#REF!</v>
      </c>
      <c r="E227">
        <v>1</v>
      </c>
      <c r="G227">
        <v>1</v>
      </c>
      <c r="H227">
        <v>8</v>
      </c>
    </row>
    <row r="228" spans="1:8">
      <c r="A228">
        <f t="shared" si="6"/>
        <v>3</v>
      </c>
      <c r="B228">
        <f t="shared" si="7"/>
        <v>468</v>
      </c>
      <c r="C228" s="128">
        <v>43101</v>
      </c>
      <c r="D228" s="25" t="e">
        <f>VLOOKUP(VLOOKUP(B228,SuiteCatSubElem!$G$2:$G$667,2,0),'SA Q4 18 W'!$A$33:$F$193,1+MATCH(VLOOKUP(A228,Personas!$A$2:$B$6,2,0),'SA Q4 18 W'!$B$4:$F$4,0),0)</f>
        <v>#REF!</v>
      </c>
      <c r="E228">
        <v>1</v>
      </c>
      <c r="G228">
        <v>1</v>
      </c>
      <c r="H228">
        <v>8</v>
      </c>
    </row>
    <row r="229" spans="1:8">
      <c r="A229">
        <f t="shared" si="6"/>
        <v>3</v>
      </c>
      <c r="B229">
        <f t="shared" si="7"/>
        <v>469</v>
      </c>
      <c r="C229" s="128">
        <v>43101</v>
      </c>
      <c r="D229" s="25" t="e">
        <f>VLOOKUP(VLOOKUP(B229,SuiteCatSubElem!$G$2:$G$667,2,0),'SA Q4 18 W'!$A$33:$F$193,1+MATCH(VLOOKUP(A229,Personas!$A$2:$B$6,2,0),'SA Q4 18 W'!$B$4:$F$4,0),0)</f>
        <v>#REF!</v>
      </c>
      <c r="E229">
        <v>1</v>
      </c>
      <c r="G229">
        <v>1</v>
      </c>
      <c r="H229">
        <v>8</v>
      </c>
    </row>
    <row r="230" spans="1:8">
      <c r="A230">
        <f t="shared" si="6"/>
        <v>3</v>
      </c>
      <c r="B230">
        <f t="shared" si="7"/>
        <v>470</v>
      </c>
      <c r="C230" s="128">
        <v>43101</v>
      </c>
      <c r="D230" s="25" t="e">
        <f>VLOOKUP(VLOOKUP(B230,SuiteCatSubElem!$G$2:$G$667,2,0),'SA Q4 18 W'!$A$33:$F$193,1+MATCH(VLOOKUP(A230,Personas!$A$2:$B$6,2,0),'SA Q4 18 W'!$B$4:$F$4,0),0)</f>
        <v>#REF!</v>
      </c>
      <c r="E230">
        <v>1</v>
      </c>
      <c r="G230">
        <v>1</v>
      </c>
      <c r="H230">
        <v>8</v>
      </c>
    </row>
    <row r="231" spans="1:8">
      <c r="A231">
        <f t="shared" si="6"/>
        <v>3</v>
      </c>
      <c r="B231">
        <f t="shared" si="7"/>
        <v>471</v>
      </c>
      <c r="C231" s="128">
        <v>43101</v>
      </c>
      <c r="D231" s="25" t="e">
        <f>VLOOKUP(VLOOKUP(B231,SuiteCatSubElem!$G$2:$G$667,2,0),'SA Q4 18 W'!$A$33:$F$193,1+MATCH(VLOOKUP(A231,Personas!$A$2:$B$6,2,0),'SA Q4 18 W'!$B$4:$F$4,0),0)</f>
        <v>#REF!</v>
      </c>
      <c r="E231">
        <v>1</v>
      </c>
      <c r="G231">
        <v>1</v>
      </c>
      <c r="H231">
        <v>8</v>
      </c>
    </row>
    <row r="232" spans="1:8">
      <c r="A232">
        <f t="shared" si="6"/>
        <v>3</v>
      </c>
      <c r="B232">
        <f t="shared" si="7"/>
        <v>472</v>
      </c>
      <c r="C232" s="128">
        <v>43101</v>
      </c>
      <c r="D232" s="25" t="e">
        <f>VLOOKUP(VLOOKUP(B232,SuiteCatSubElem!$G$2:$G$667,2,0),'SA Q4 18 W'!$A$33:$F$193,1+MATCH(VLOOKUP(A232,Personas!$A$2:$B$6,2,0),'SA Q4 18 W'!$B$4:$F$4,0),0)</f>
        <v>#REF!</v>
      </c>
      <c r="E232">
        <v>1</v>
      </c>
      <c r="G232">
        <v>1</v>
      </c>
      <c r="H232">
        <v>8</v>
      </c>
    </row>
    <row r="233" spans="1:8">
      <c r="A233">
        <f t="shared" si="6"/>
        <v>3</v>
      </c>
      <c r="B233">
        <f t="shared" si="7"/>
        <v>473</v>
      </c>
      <c r="C233" s="128">
        <v>43101</v>
      </c>
      <c r="D233" s="25" t="e">
        <f>VLOOKUP(VLOOKUP(B233,SuiteCatSubElem!$G$2:$G$667,2,0),'SA Q4 18 W'!$A$33:$F$193,1+MATCH(VLOOKUP(A233,Personas!$A$2:$B$6,2,0),'SA Q4 18 W'!$B$4:$F$4,0),0)</f>
        <v>#REF!</v>
      </c>
      <c r="E233">
        <v>1</v>
      </c>
      <c r="G233">
        <v>1</v>
      </c>
      <c r="H233">
        <v>8</v>
      </c>
    </row>
    <row r="234" spans="1:8">
      <c r="A234">
        <f t="shared" si="6"/>
        <v>3</v>
      </c>
      <c r="B234">
        <f t="shared" si="7"/>
        <v>474</v>
      </c>
      <c r="C234" s="128">
        <v>43101</v>
      </c>
      <c r="D234" s="25" t="e">
        <f>VLOOKUP(VLOOKUP(B234,SuiteCatSubElem!$G$2:$G$667,2,0),'SA Q4 18 W'!$A$33:$F$193,1+MATCH(VLOOKUP(A234,Personas!$A$2:$B$6,2,0),'SA Q4 18 W'!$B$4:$F$4,0),0)</f>
        <v>#REF!</v>
      </c>
      <c r="E234">
        <v>1</v>
      </c>
      <c r="G234">
        <v>1</v>
      </c>
      <c r="H234">
        <v>8</v>
      </c>
    </row>
    <row r="235" spans="1:8">
      <c r="A235">
        <f t="shared" si="6"/>
        <v>3</v>
      </c>
      <c r="B235">
        <f t="shared" si="7"/>
        <v>475</v>
      </c>
      <c r="C235" s="128">
        <v>43101</v>
      </c>
      <c r="D235" s="25" t="e">
        <f>VLOOKUP(VLOOKUP(B235,SuiteCatSubElem!$G$2:$G$667,2,0),'SA Q4 18 W'!$A$33:$F$193,1+MATCH(VLOOKUP(A235,Personas!$A$2:$B$6,2,0),'SA Q4 18 W'!$B$4:$F$4,0),0)</f>
        <v>#REF!</v>
      </c>
      <c r="E235">
        <v>1</v>
      </c>
      <c r="G235">
        <v>1</v>
      </c>
      <c r="H235">
        <v>8</v>
      </c>
    </row>
    <row r="236" spans="1:8">
      <c r="A236">
        <f t="shared" si="6"/>
        <v>3</v>
      </c>
      <c r="B236">
        <f t="shared" si="7"/>
        <v>476</v>
      </c>
      <c r="C236" s="128">
        <v>43101</v>
      </c>
      <c r="D236" s="25" t="e">
        <f>VLOOKUP(VLOOKUP(B236,SuiteCatSubElem!$G$2:$G$667,2,0),'SA Q4 18 W'!$A$33:$F$193,1+MATCH(VLOOKUP(A236,Personas!$A$2:$B$6,2,0),'SA Q4 18 W'!$B$4:$F$4,0),0)</f>
        <v>#REF!</v>
      </c>
      <c r="E236">
        <v>1</v>
      </c>
      <c r="G236">
        <v>1</v>
      </c>
      <c r="H236">
        <v>8</v>
      </c>
    </row>
    <row r="237" spans="1:8">
      <c r="A237">
        <f t="shared" si="6"/>
        <v>3</v>
      </c>
      <c r="B237">
        <f t="shared" si="7"/>
        <v>477</v>
      </c>
      <c r="C237" s="128">
        <v>43101</v>
      </c>
      <c r="D237" s="25" t="e">
        <f>VLOOKUP(VLOOKUP(B237,SuiteCatSubElem!$G$2:$G$667,2,0),'SA Q4 18 W'!$A$33:$F$193,1+MATCH(VLOOKUP(A237,Personas!$A$2:$B$6,2,0),'SA Q4 18 W'!$B$4:$F$4,0),0)</f>
        <v>#REF!</v>
      </c>
      <c r="E237">
        <v>1</v>
      </c>
      <c r="G237">
        <v>1</v>
      </c>
      <c r="H237">
        <v>8</v>
      </c>
    </row>
    <row r="238" spans="1:8">
      <c r="A238">
        <f t="shared" si="6"/>
        <v>3</v>
      </c>
      <c r="B238">
        <f t="shared" si="7"/>
        <v>478</v>
      </c>
      <c r="C238" s="128">
        <v>43101</v>
      </c>
      <c r="D238" s="25" t="e">
        <f>VLOOKUP(VLOOKUP(B238,SuiteCatSubElem!$G$2:$G$667,2,0),'SA Q4 18 W'!$A$33:$F$193,1+MATCH(VLOOKUP(A238,Personas!$A$2:$B$6,2,0),'SA Q4 18 W'!$B$4:$F$4,0),0)</f>
        <v>#REF!</v>
      </c>
      <c r="E238">
        <v>1</v>
      </c>
      <c r="G238">
        <v>1</v>
      </c>
      <c r="H238">
        <v>8</v>
      </c>
    </row>
    <row r="239" spans="1:8">
      <c r="A239">
        <f t="shared" si="6"/>
        <v>3</v>
      </c>
      <c r="B239">
        <f t="shared" si="7"/>
        <v>479</v>
      </c>
      <c r="C239" s="128">
        <v>43101</v>
      </c>
      <c r="D239" s="25" t="e">
        <f>VLOOKUP(VLOOKUP(B239,SuiteCatSubElem!$G$2:$G$667,2,0),'SA Q4 18 W'!$A$33:$F$193,1+MATCH(VLOOKUP(A239,Personas!$A$2:$B$6,2,0),'SA Q4 18 W'!$B$4:$F$4,0),0)</f>
        <v>#REF!</v>
      </c>
      <c r="E239">
        <v>1</v>
      </c>
      <c r="G239">
        <v>1</v>
      </c>
      <c r="H239">
        <v>8</v>
      </c>
    </row>
    <row r="240" spans="1:8">
      <c r="A240">
        <f t="shared" si="6"/>
        <v>3</v>
      </c>
      <c r="B240">
        <f t="shared" si="7"/>
        <v>480</v>
      </c>
      <c r="C240" s="128">
        <v>43101</v>
      </c>
      <c r="D240" s="25" t="e">
        <f>VLOOKUP(VLOOKUP(B240,SuiteCatSubElem!$G$2:$G$667,2,0),'SA Q4 18 W'!$A$33:$F$193,1+MATCH(VLOOKUP(A240,Personas!$A$2:$B$6,2,0),'SA Q4 18 W'!$B$4:$F$4,0),0)</f>
        <v>#REF!</v>
      </c>
      <c r="E240">
        <v>1</v>
      </c>
      <c r="G240">
        <v>1</v>
      </c>
      <c r="H240">
        <v>8</v>
      </c>
    </row>
    <row r="241" spans="1:8">
      <c r="A241">
        <f t="shared" si="6"/>
        <v>3</v>
      </c>
      <c r="B241">
        <f t="shared" si="7"/>
        <v>481</v>
      </c>
      <c r="C241" s="128">
        <v>43101</v>
      </c>
      <c r="D241" s="25" t="e">
        <f>VLOOKUP(VLOOKUP(B241,SuiteCatSubElem!$G$2:$G$667,2,0),'SA Q4 18 W'!$A$33:$F$193,1+MATCH(VLOOKUP(A241,Personas!$A$2:$B$6,2,0),'SA Q4 18 W'!$B$4:$F$4,0),0)</f>
        <v>#REF!</v>
      </c>
      <c r="E241">
        <v>1</v>
      </c>
      <c r="G241">
        <v>1</v>
      </c>
      <c r="H241">
        <v>8</v>
      </c>
    </row>
    <row r="242" spans="1:8">
      <c r="A242">
        <f t="shared" si="6"/>
        <v>3</v>
      </c>
      <c r="B242">
        <f t="shared" si="7"/>
        <v>482</v>
      </c>
      <c r="C242" s="128">
        <v>43101</v>
      </c>
      <c r="D242" s="25" t="e">
        <f>VLOOKUP(VLOOKUP(B242,SuiteCatSubElem!$G$2:$G$667,2,0),'SA Q4 18 W'!$A$33:$F$193,1+MATCH(VLOOKUP(A242,Personas!$A$2:$B$6,2,0),'SA Q4 18 W'!$B$4:$F$4,0),0)</f>
        <v>#REF!</v>
      </c>
      <c r="E242">
        <v>1</v>
      </c>
      <c r="G242">
        <v>1</v>
      </c>
      <c r="H242">
        <v>8</v>
      </c>
    </row>
    <row r="243" spans="1:8">
      <c r="A243">
        <f t="shared" si="6"/>
        <v>3</v>
      </c>
      <c r="B243">
        <f t="shared" si="7"/>
        <v>483</v>
      </c>
      <c r="C243" s="128">
        <v>43101</v>
      </c>
      <c r="D243" s="25" t="e">
        <f>VLOOKUP(VLOOKUP(B243,SuiteCatSubElem!$G$2:$G$667,2,0),'SA Q4 18 W'!$A$33:$F$193,1+MATCH(VLOOKUP(A243,Personas!$A$2:$B$6,2,0),'SA Q4 18 W'!$B$4:$F$4,0),0)</f>
        <v>#REF!</v>
      </c>
      <c r="E243">
        <v>1</v>
      </c>
      <c r="G243">
        <v>1</v>
      </c>
      <c r="H243">
        <v>8</v>
      </c>
    </row>
    <row r="244" spans="1:8">
      <c r="A244">
        <f t="shared" si="6"/>
        <v>3</v>
      </c>
      <c r="B244">
        <f t="shared" si="7"/>
        <v>484</v>
      </c>
      <c r="C244" s="128">
        <v>43101</v>
      </c>
      <c r="D244" s="25" t="e">
        <f>VLOOKUP(VLOOKUP(B244,SuiteCatSubElem!$G$2:$G$667,2,0),'SA Q4 18 W'!$A$33:$F$193,1+MATCH(VLOOKUP(A244,Personas!$A$2:$B$6,2,0),'SA Q4 18 W'!$B$4:$F$4,0),0)</f>
        <v>#REF!</v>
      </c>
      <c r="E244">
        <v>1</v>
      </c>
      <c r="G244">
        <v>1</v>
      </c>
      <c r="H244">
        <v>8</v>
      </c>
    </row>
    <row r="245" spans="1:8">
      <c r="A245">
        <f t="shared" si="6"/>
        <v>3</v>
      </c>
      <c r="B245">
        <f t="shared" si="7"/>
        <v>485</v>
      </c>
      <c r="C245" s="128">
        <v>43101</v>
      </c>
      <c r="D245" s="25" t="e">
        <f>VLOOKUP(VLOOKUP(B245,SuiteCatSubElem!$G$2:$G$667,2,0),'SA Q4 18 W'!$A$33:$F$193,1+MATCH(VLOOKUP(A245,Personas!$A$2:$B$6,2,0),'SA Q4 18 W'!$B$4:$F$4,0),0)</f>
        <v>#REF!</v>
      </c>
      <c r="E245">
        <v>1</v>
      </c>
      <c r="G245">
        <v>1</v>
      </c>
      <c r="H245">
        <v>8</v>
      </c>
    </row>
    <row r="246" spans="1:8">
      <c r="A246">
        <f t="shared" si="6"/>
        <v>3</v>
      </c>
      <c r="B246">
        <f t="shared" si="7"/>
        <v>486</v>
      </c>
      <c r="C246" s="128">
        <v>43101</v>
      </c>
      <c r="D246" s="25" t="e">
        <f>VLOOKUP(VLOOKUP(B246,SuiteCatSubElem!$G$2:$G$667,2,0),'SA Q4 18 W'!$A$33:$F$193,1+MATCH(VLOOKUP(A246,Personas!$A$2:$B$6,2,0),'SA Q4 18 W'!$B$4:$F$4,0),0)</f>
        <v>#REF!</v>
      </c>
      <c r="E246">
        <v>1</v>
      </c>
      <c r="G246">
        <v>1</v>
      </c>
      <c r="H246">
        <v>8</v>
      </c>
    </row>
    <row r="247" spans="1:8">
      <c r="A247">
        <f t="shared" si="6"/>
        <v>3</v>
      </c>
      <c r="B247">
        <f t="shared" si="7"/>
        <v>487</v>
      </c>
      <c r="C247" s="128">
        <v>43101</v>
      </c>
      <c r="D247" s="25" t="e">
        <f>VLOOKUP(VLOOKUP(B247,SuiteCatSubElem!$G$2:$G$667,2,0),'SA Q4 18 W'!$A$33:$F$193,1+MATCH(VLOOKUP(A247,Personas!$A$2:$B$6,2,0),'SA Q4 18 W'!$B$4:$F$4,0),0)</f>
        <v>#REF!</v>
      </c>
      <c r="E247">
        <v>1</v>
      </c>
      <c r="G247">
        <v>1</v>
      </c>
      <c r="H247">
        <v>8</v>
      </c>
    </row>
    <row r="248" spans="1:8">
      <c r="A248">
        <f t="shared" si="6"/>
        <v>3</v>
      </c>
      <c r="B248">
        <f t="shared" si="7"/>
        <v>488</v>
      </c>
      <c r="C248" s="128">
        <v>43101</v>
      </c>
      <c r="D248" s="25" t="e">
        <f>VLOOKUP(VLOOKUP(B248,SuiteCatSubElem!$G$2:$G$667,2,0),'SA Q4 18 W'!$A$33:$F$193,1+MATCH(VLOOKUP(A248,Personas!$A$2:$B$6,2,0),'SA Q4 18 W'!$B$4:$F$4,0),0)</f>
        <v>#REF!</v>
      </c>
      <c r="E248">
        <v>1</v>
      </c>
      <c r="G248">
        <v>1</v>
      </c>
      <c r="H248">
        <v>8</v>
      </c>
    </row>
    <row r="249" spans="1:8">
      <c r="A249">
        <f t="shared" si="6"/>
        <v>3</v>
      </c>
      <c r="B249">
        <f t="shared" si="7"/>
        <v>489</v>
      </c>
      <c r="C249" s="128">
        <v>43101</v>
      </c>
      <c r="D249" s="25" t="e">
        <f>VLOOKUP(VLOOKUP(B249,SuiteCatSubElem!$G$2:$G$667,2,0),'SA Q4 18 W'!$A$33:$F$193,1+MATCH(VLOOKUP(A249,Personas!$A$2:$B$6,2,0),'SA Q4 18 W'!$B$4:$F$4,0),0)</f>
        <v>#REF!</v>
      </c>
      <c r="E249">
        <v>1</v>
      </c>
      <c r="G249">
        <v>1</v>
      </c>
      <c r="H249">
        <v>8</v>
      </c>
    </row>
    <row r="250" spans="1:8">
      <c r="A250">
        <f t="shared" si="6"/>
        <v>3</v>
      </c>
      <c r="B250">
        <f t="shared" si="7"/>
        <v>490</v>
      </c>
      <c r="C250" s="128">
        <v>43101</v>
      </c>
      <c r="D250" s="25" t="e">
        <f>VLOOKUP(VLOOKUP(B250,SuiteCatSubElem!$G$2:$G$667,2,0),'SA Q4 18 W'!$A$33:$F$193,1+MATCH(VLOOKUP(A250,Personas!$A$2:$B$6,2,0),'SA Q4 18 W'!$B$4:$F$4,0),0)</f>
        <v>#REF!</v>
      </c>
      <c r="E250">
        <v>1</v>
      </c>
      <c r="G250">
        <v>1</v>
      </c>
      <c r="H250">
        <v>8</v>
      </c>
    </row>
    <row r="251" spans="1:8">
      <c r="A251">
        <f t="shared" si="6"/>
        <v>3</v>
      </c>
      <c r="B251">
        <f t="shared" si="7"/>
        <v>491</v>
      </c>
      <c r="C251" s="128">
        <v>43101</v>
      </c>
      <c r="D251" s="25" t="e">
        <f>VLOOKUP(VLOOKUP(B251,SuiteCatSubElem!$G$2:$G$667,2,0),'SA Q4 18 W'!$A$33:$F$193,1+MATCH(VLOOKUP(A251,Personas!$A$2:$B$6,2,0),'SA Q4 18 W'!$B$4:$F$4,0),0)</f>
        <v>#REF!</v>
      </c>
      <c r="E251">
        <v>1</v>
      </c>
      <c r="G251">
        <v>1</v>
      </c>
      <c r="H251">
        <v>8</v>
      </c>
    </row>
    <row r="252" spans="1:8">
      <c r="A252">
        <f t="shared" si="6"/>
        <v>3</v>
      </c>
      <c r="B252">
        <f t="shared" si="7"/>
        <v>492</v>
      </c>
      <c r="C252" s="128">
        <v>43101</v>
      </c>
      <c r="D252" s="25" t="e">
        <f>VLOOKUP(VLOOKUP(B252,SuiteCatSubElem!$G$2:$G$667,2,0),'SA Q4 18 W'!$A$33:$F$193,1+MATCH(VLOOKUP(A252,Personas!$A$2:$B$6,2,0),'SA Q4 18 W'!$B$4:$F$4,0),0)</f>
        <v>#REF!</v>
      </c>
      <c r="E252">
        <v>1</v>
      </c>
      <c r="G252">
        <v>1</v>
      </c>
      <c r="H252">
        <v>8</v>
      </c>
    </row>
    <row r="253" spans="1:8">
      <c r="A253">
        <f t="shared" si="6"/>
        <v>3</v>
      </c>
      <c r="B253">
        <f t="shared" si="7"/>
        <v>493</v>
      </c>
      <c r="C253" s="128">
        <v>43101</v>
      </c>
      <c r="D253" s="25" t="e">
        <f>VLOOKUP(VLOOKUP(B253,SuiteCatSubElem!$G$2:$G$667,2,0),'SA Q4 18 W'!$A$33:$F$193,1+MATCH(VLOOKUP(A253,Personas!$A$2:$B$6,2,0),'SA Q4 18 W'!$B$4:$F$4,0),0)</f>
        <v>#REF!</v>
      </c>
      <c r="E253">
        <v>1</v>
      </c>
      <c r="G253">
        <v>1</v>
      </c>
      <c r="H253">
        <v>8</v>
      </c>
    </row>
    <row r="254" spans="1:8">
      <c r="A254">
        <f t="shared" si="6"/>
        <v>4</v>
      </c>
      <c r="B254">
        <f t="shared" si="7"/>
        <v>409</v>
      </c>
      <c r="C254" s="128">
        <v>43101</v>
      </c>
      <c r="D254" s="25" t="e">
        <f>VLOOKUP(VLOOKUP(B254,SuiteCatSubElem!$G$2:$G$667,2,0),'SA Q4 18 W'!$A$33:$F$193,1+MATCH(VLOOKUP(A254,Personas!$A$2:$B$6,2,0),'SA Q4 18 W'!$B$4:$F$4,0),0)</f>
        <v>#REF!</v>
      </c>
      <c r="E254">
        <v>1</v>
      </c>
      <c r="G254">
        <v>1</v>
      </c>
      <c r="H254">
        <v>8</v>
      </c>
    </row>
    <row r="255" spans="1:8">
      <c r="A255">
        <f t="shared" si="6"/>
        <v>4</v>
      </c>
      <c r="B255">
        <f t="shared" si="7"/>
        <v>410</v>
      </c>
      <c r="C255" s="128">
        <v>43101</v>
      </c>
      <c r="D255" s="25" t="e">
        <f>VLOOKUP(VLOOKUP(B255,SuiteCatSubElem!$G$2:$G$667,2,0),'SA Q4 18 W'!$A$33:$F$193,1+MATCH(VLOOKUP(A255,Personas!$A$2:$B$6,2,0),'SA Q4 18 W'!$B$4:$F$4,0),0)</f>
        <v>#REF!</v>
      </c>
      <c r="E255">
        <v>1</v>
      </c>
      <c r="G255">
        <v>1</v>
      </c>
      <c r="H255">
        <v>8</v>
      </c>
    </row>
    <row r="256" spans="1:8">
      <c r="A256">
        <f t="shared" si="6"/>
        <v>4</v>
      </c>
      <c r="B256">
        <f t="shared" si="7"/>
        <v>411</v>
      </c>
      <c r="C256" s="128">
        <v>43101</v>
      </c>
      <c r="D256" s="25" t="e">
        <f>VLOOKUP(VLOOKUP(B256,SuiteCatSubElem!$G$2:$G$667,2,0),'SA Q4 18 W'!$A$33:$F$193,1+MATCH(VLOOKUP(A256,Personas!$A$2:$B$6,2,0),'SA Q4 18 W'!$B$4:$F$4,0),0)</f>
        <v>#REF!</v>
      </c>
      <c r="E256">
        <v>1</v>
      </c>
      <c r="G256">
        <v>1</v>
      </c>
      <c r="H256">
        <v>8</v>
      </c>
    </row>
    <row r="257" spans="1:8">
      <c r="A257">
        <f t="shared" si="6"/>
        <v>4</v>
      </c>
      <c r="B257">
        <f t="shared" si="7"/>
        <v>412</v>
      </c>
      <c r="C257" s="128">
        <v>43101</v>
      </c>
      <c r="D257" s="25" t="e">
        <f>VLOOKUP(VLOOKUP(B257,SuiteCatSubElem!$G$2:$G$667,2,0),'SA Q4 18 W'!$A$33:$F$193,1+MATCH(VLOOKUP(A257,Personas!$A$2:$B$6,2,0),'SA Q4 18 W'!$B$4:$F$4,0),0)</f>
        <v>#REF!</v>
      </c>
      <c r="E257">
        <v>1</v>
      </c>
      <c r="G257">
        <v>1</v>
      </c>
      <c r="H257">
        <v>8</v>
      </c>
    </row>
    <row r="258" spans="1:8">
      <c r="A258">
        <f t="shared" si="6"/>
        <v>4</v>
      </c>
      <c r="B258">
        <f t="shared" si="7"/>
        <v>413</v>
      </c>
      <c r="C258" s="128">
        <v>43101</v>
      </c>
      <c r="D258" s="25" t="e">
        <f>VLOOKUP(VLOOKUP(B258,SuiteCatSubElem!$G$2:$G$667,2,0),'SA Q4 18 W'!$A$33:$F$193,1+MATCH(VLOOKUP(A258,Personas!$A$2:$B$6,2,0),'SA Q4 18 W'!$B$4:$F$4,0),0)</f>
        <v>#REF!</v>
      </c>
      <c r="E258">
        <v>1</v>
      </c>
      <c r="G258">
        <v>1</v>
      </c>
      <c r="H258">
        <v>8</v>
      </c>
    </row>
    <row r="259" spans="1:8">
      <c r="A259">
        <f t="shared" si="6"/>
        <v>4</v>
      </c>
      <c r="B259">
        <f t="shared" si="7"/>
        <v>414</v>
      </c>
      <c r="C259" s="128">
        <v>43101</v>
      </c>
      <c r="D259" s="25" t="e">
        <f>VLOOKUP(VLOOKUP(B259,SuiteCatSubElem!$G$2:$G$667,2,0),'SA Q4 18 W'!$A$33:$F$193,1+MATCH(VLOOKUP(A259,Personas!$A$2:$B$6,2,0),'SA Q4 18 W'!$B$4:$F$4,0),0)</f>
        <v>#REF!</v>
      </c>
      <c r="E259">
        <v>1</v>
      </c>
      <c r="G259">
        <v>1</v>
      </c>
      <c r="H259">
        <v>8</v>
      </c>
    </row>
    <row r="260" spans="1:8">
      <c r="A260">
        <f t="shared" si="6"/>
        <v>4</v>
      </c>
      <c r="B260">
        <f t="shared" si="7"/>
        <v>415</v>
      </c>
      <c r="C260" s="128">
        <v>43101</v>
      </c>
      <c r="D260" s="25" t="e">
        <f>VLOOKUP(VLOOKUP(B260,SuiteCatSubElem!$G$2:$G$667,2,0),'SA Q4 18 W'!$A$33:$F$193,1+MATCH(VLOOKUP(A260,Personas!$A$2:$B$6,2,0),'SA Q4 18 W'!$B$4:$F$4,0),0)</f>
        <v>#REF!</v>
      </c>
      <c r="E260">
        <v>1</v>
      </c>
      <c r="G260">
        <v>1</v>
      </c>
      <c r="H260">
        <v>8</v>
      </c>
    </row>
    <row r="261" spans="1:8">
      <c r="A261">
        <f t="shared" si="6"/>
        <v>4</v>
      </c>
      <c r="B261">
        <f t="shared" si="7"/>
        <v>416</v>
      </c>
      <c r="C261" s="128">
        <v>43101</v>
      </c>
      <c r="D261" s="25" t="e">
        <f>VLOOKUP(VLOOKUP(B261,SuiteCatSubElem!$G$2:$G$667,2,0),'SA Q4 18 W'!$A$33:$F$193,1+MATCH(VLOOKUP(A261,Personas!$A$2:$B$6,2,0),'SA Q4 18 W'!$B$4:$F$4,0),0)</f>
        <v>#REF!</v>
      </c>
      <c r="E261">
        <v>1</v>
      </c>
      <c r="G261">
        <v>1</v>
      </c>
      <c r="H261">
        <v>8</v>
      </c>
    </row>
    <row r="262" spans="1:8">
      <c r="A262">
        <f t="shared" si="6"/>
        <v>4</v>
      </c>
      <c r="B262">
        <f t="shared" si="7"/>
        <v>417</v>
      </c>
      <c r="C262" s="128">
        <v>43101</v>
      </c>
      <c r="D262" s="25" t="e">
        <f>VLOOKUP(VLOOKUP(B262,SuiteCatSubElem!$G$2:$G$667,2,0),'SA Q4 18 W'!$A$33:$F$193,1+MATCH(VLOOKUP(A262,Personas!$A$2:$B$6,2,0),'SA Q4 18 W'!$B$4:$F$4,0),0)</f>
        <v>#REF!</v>
      </c>
      <c r="E262">
        <v>1</v>
      </c>
      <c r="G262">
        <v>1</v>
      </c>
      <c r="H262">
        <v>8</v>
      </c>
    </row>
    <row r="263" spans="1:8">
      <c r="A263">
        <f t="shared" si="6"/>
        <v>4</v>
      </c>
      <c r="B263">
        <f t="shared" si="7"/>
        <v>418</v>
      </c>
      <c r="C263" s="128">
        <v>43101</v>
      </c>
      <c r="D263" s="25" t="e">
        <f>VLOOKUP(VLOOKUP(B263,SuiteCatSubElem!$G$2:$G$667,2,0),'SA Q4 18 W'!$A$33:$F$193,1+MATCH(VLOOKUP(A263,Personas!$A$2:$B$6,2,0),'SA Q4 18 W'!$B$4:$F$4,0),0)</f>
        <v>#REF!</v>
      </c>
      <c r="E263">
        <v>1</v>
      </c>
      <c r="G263">
        <v>1</v>
      </c>
      <c r="H263">
        <v>8</v>
      </c>
    </row>
    <row r="264" spans="1:8">
      <c r="A264">
        <f t="shared" si="6"/>
        <v>4</v>
      </c>
      <c r="B264">
        <f t="shared" si="7"/>
        <v>419</v>
      </c>
      <c r="C264" s="128">
        <v>43101</v>
      </c>
      <c r="D264" s="25" t="e">
        <f>VLOOKUP(VLOOKUP(B264,SuiteCatSubElem!$G$2:$G$667,2,0),'SA Q4 18 W'!$A$33:$F$193,1+MATCH(VLOOKUP(A264,Personas!$A$2:$B$6,2,0),'SA Q4 18 W'!$B$4:$F$4,0),0)</f>
        <v>#REF!</v>
      </c>
      <c r="E264">
        <v>1</v>
      </c>
      <c r="G264">
        <v>1</v>
      </c>
      <c r="H264">
        <v>8</v>
      </c>
    </row>
    <row r="265" spans="1:8">
      <c r="A265">
        <f t="shared" si="6"/>
        <v>4</v>
      </c>
      <c r="B265">
        <f t="shared" si="7"/>
        <v>420</v>
      </c>
      <c r="C265" s="128">
        <v>43101</v>
      </c>
      <c r="D265" s="25" t="e">
        <f>VLOOKUP(VLOOKUP(B265,SuiteCatSubElem!$G$2:$G$667,2,0),'SA Q4 18 W'!$A$33:$F$193,1+MATCH(VLOOKUP(A265,Personas!$A$2:$B$6,2,0),'SA Q4 18 W'!$B$4:$F$4,0),0)</f>
        <v>#REF!</v>
      </c>
      <c r="E265">
        <v>1</v>
      </c>
      <c r="G265">
        <v>1</v>
      </c>
      <c r="H265">
        <v>8</v>
      </c>
    </row>
    <row r="266" spans="1:8">
      <c r="A266">
        <f t="shared" si="6"/>
        <v>4</v>
      </c>
      <c r="B266">
        <f t="shared" si="7"/>
        <v>421</v>
      </c>
      <c r="C266" s="128">
        <v>43101</v>
      </c>
      <c r="D266" s="25" t="e">
        <f>VLOOKUP(VLOOKUP(B266,SuiteCatSubElem!$G$2:$G$667,2,0),'SA Q4 18 W'!$A$33:$F$193,1+MATCH(VLOOKUP(A266,Personas!$A$2:$B$6,2,0),'SA Q4 18 W'!$B$4:$F$4,0),0)</f>
        <v>#REF!</v>
      </c>
      <c r="E266">
        <v>1</v>
      </c>
      <c r="G266">
        <v>1</v>
      </c>
      <c r="H266">
        <v>8</v>
      </c>
    </row>
    <row r="267" spans="1:8">
      <c r="A267">
        <f t="shared" si="6"/>
        <v>4</v>
      </c>
      <c r="B267">
        <f t="shared" si="7"/>
        <v>422</v>
      </c>
      <c r="C267" s="128">
        <v>43101</v>
      </c>
      <c r="D267" s="25" t="e">
        <f>VLOOKUP(VLOOKUP(B267,SuiteCatSubElem!$G$2:$G$667,2,0),'SA Q4 18 W'!$A$33:$F$193,1+MATCH(VLOOKUP(A267,Personas!$A$2:$B$6,2,0),'SA Q4 18 W'!$B$4:$F$4,0),0)</f>
        <v>#REF!</v>
      </c>
      <c r="E267">
        <v>1</v>
      </c>
      <c r="G267">
        <v>1</v>
      </c>
      <c r="H267">
        <v>8</v>
      </c>
    </row>
    <row r="268" spans="1:8">
      <c r="A268">
        <f t="shared" si="6"/>
        <v>4</v>
      </c>
      <c r="B268">
        <f t="shared" si="7"/>
        <v>423</v>
      </c>
      <c r="C268" s="128">
        <v>43101</v>
      </c>
      <c r="D268" s="25" t="e">
        <f>VLOOKUP(VLOOKUP(B268,SuiteCatSubElem!$G$2:$G$667,2,0),'SA Q4 18 W'!$A$33:$F$193,1+MATCH(VLOOKUP(A268,Personas!$A$2:$B$6,2,0),'SA Q4 18 W'!$B$4:$F$4,0),0)</f>
        <v>#REF!</v>
      </c>
      <c r="E268">
        <v>1</v>
      </c>
      <c r="G268">
        <v>1</v>
      </c>
      <c r="H268">
        <v>8</v>
      </c>
    </row>
    <row r="269" spans="1:8">
      <c r="A269">
        <f t="shared" si="6"/>
        <v>4</v>
      </c>
      <c r="B269">
        <f t="shared" si="7"/>
        <v>424</v>
      </c>
      <c r="C269" s="128">
        <v>43101</v>
      </c>
      <c r="D269" s="25" t="e">
        <f>VLOOKUP(VLOOKUP(B269,SuiteCatSubElem!$G$2:$G$667,2,0),'SA Q4 18 W'!$A$33:$F$193,1+MATCH(VLOOKUP(A269,Personas!$A$2:$B$6,2,0),'SA Q4 18 W'!$B$4:$F$4,0),0)</f>
        <v>#REF!</v>
      </c>
      <c r="E269">
        <v>1</v>
      </c>
      <c r="G269">
        <v>1</v>
      </c>
      <c r="H269">
        <v>8</v>
      </c>
    </row>
    <row r="270" spans="1:8">
      <c r="A270">
        <f t="shared" si="6"/>
        <v>4</v>
      </c>
      <c r="B270">
        <f t="shared" si="7"/>
        <v>425</v>
      </c>
      <c r="C270" s="128">
        <v>43101</v>
      </c>
      <c r="D270" s="25" t="e">
        <f>VLOOKUP(VLOOKUP(B270,SuiteCatSubElem!$G$2:$G$667,2,0),'SA Q4 18 W'!$A$33:$F$193,1+MATCH(VLOOKUP(A270,Personas!$A$2:$B$6,2,0),'SA Q4 18 W'!$B$4:$F$4,0),0)</f>
        <v>#REF!</v>
      </c>
      <c r="E270">
        <v>1</v>
      </c>
      <c r="G270">
        <v>1</v>
      </c>
      <c r="H270">
        <v>8</v>
      </c>
    </row>
    <row r="271" spans="1:8">
      <c r="A271">
        <f t="shared" si="6"/>
        <v>4</v>
      </c>
      <c r="B271">
        <f t="shared" si="7"/>
        <v>426</v>
      </c>
      <c r="C271" s="128">
        <v>43101</v>
      </c>
      <c r="D271" s="25" t="e">
        <f>VLOOKUP(VLOOKUP(B271,SuiteCatSubElem!$G$2:$G$667,2,0),'SA Q4 18 W'!$A$33:$F$193,1+MATCH(VLOOKUP(A271,Personas!$A$2:$B$6,2,0),'SA Q4 18 W'!$B$4:$F$4,0),0)</f>
        <v>#REF!</v>
      </c>
      <c r="E271">
        <v>1</v>
      </c>
      <c r="G271">
        <v>1</v>
      </c>
      <c r="H271">
        <v>8</v>
      </c>
    </row>
    <row r="272" spans="1:8">
      <c r="A272">
        <f t="shared" si="6"/>
        <v>4</v>
      </c>
      <c r="B272">
        <f t="shared" si="7"/>
        <v>427</v>
      </c>
      <c r="C272" s="128">
        <v>43101</v>
      </c>
      <c r="D272" s="25" t="e">
        <f>VLOOKUP(VLOOKUP(B272,SuiteCatSubElem!$G$2:$G$667,2,0),'SA Q4 18 W'!$A$33:$F$193,1+MATCH(VLOOKUP(A272,Personas!$A$2:$B$6,2,0),'SA Q4 18 W'!$B$4:$F$4,0),0)</f>
        <v>#REF!</v>
      </c>
      <c r="E272">
        <v>1</v>
      </c>
      <c r="G272">
        <v>1</v>
      </c>
      <c r="H272">
        <v>8</v>
      </c>
    </row>
    <row r="273" spans="1:8">
      <c r="A273">
        <f t="shared" si="6"/>
        <v>4</v>
      </c>
      <c r="B273">
        <f t="shared" si="7"/>
        <v>428</v>
      </c>
      <c r="C273" s="128">
        <v>43101</v>
      </c>
      <c r="D273" s="25" t="e">
        <f>VLOOKUP(VLOOKUP(B273,SuiteCatSubElem!$G$2:$G$667,2,0),'SA Q4 18 W'!$A$33:$F$193,1+MATCH(VLOOKUP(A273,Personas!$A$2:$B$6,2,0),'SA Q4 18 W'!$B$4:$F$4,0),0)</f>
        <v>#REF!</v>
      </c>
      <c r="E273">
        <v>1</v>
      </c>
      <c r="G273">
        <v>1</v>
      </c>
      <c r="H273">
        <v>8</v>
      </c>
    </row>
    <row r="274" spans="1:8">
      <c r="A274">
        <f t="shared" si="6"/>
        <v>4</v>
      </c>
      <c r="B274">
        <f t="shared" si="7"/>
        <v>429</v>
      </c>
      <c r="C274" s="128">
        <v>43101</v>
      </c>
      <c r="D274" s="25" t="e">
        <f>VLOOKUP(VLOOKUP(B274,SuiteCatSubElem!$G$2:$G$667,2,0),'SA Q4 18 W'!$A$33:$F$193,1+MATCH(VLOOKUP(A274,Personas!$A$2:$B$6,2,0),'SA Q4 18 W'!$B$4:$F$4,0),0)</f>
        <v>#REF!</v>
      </c>
      <c r="E274">
        <v>1</v>
      </c>
      <c r="G274">
        <v>1</v>
      </c>
      <c r="H274">
        <v>8</v>
      </c>
    </row>
    <row r="275" spans="1:8">
      <c r="A275">
        <f t="shared" si="6"/>
        <v>4</v>
      </c>
      <c r="B275">
        <f t="shared" si="7"/>
        <v>430</v>
      </c>
      <c r="C275" s="128">
        <v>43101</v>
      </c>
      <c r="D275" s="25" t="e">
        <f>VLOOKUP(VLOOKUP(B275,SuiteCatSubElem!$G$2:$G$667,2,0),'SA Q4 18 W'!$A$33:$F$193,1+MATCH(VLOOKUP(A275,Personas!$A$2:$B$6,2,0),'SA Q4 18 W'!$B$4:$F$4,0),0)</f>
        <v>#REF!</v>
      </c>
      <c r="E275">
        <v>1</v>
      </c>
      <c r="G275">
        <v>1</v>
      </c>
      <c r="H275">
        <v>8</v>
      </c>
    </row>
    <row r="276" spans="1:8">
      <c r="A276">
        <f t="shared" si="6"/>
        <v>4</v>
      </c>
      <c r="B276">
        <f t="shared" si="7"/>
        <v>431</v>
      </c>
      <c r="C276" s="128">
        <v>43101</v>
      </c>
      <c r="D276" s="25" t="e">
        <f>VLOOKUP(VLOOKUP(B276,SuiteCatSubElem!$G$2:$G$667,2,0),'SA Q4 18 W'!$A$33:$F$193,1+MATCH(VLOOKUP(A276,Personas!$A$2:$B$6,2,0),'SA Q4 18 W'!$B$4:$F$4,0),0)</f>
        <v>#REF!</v>
      </c>
      <c r="E276">
        <v>1</v>
      </c>
      <c r="G276">
        <v>1</v>
      </c>
      <c r="H276">
        <v>8</v>
      </c>
    </row>
    <row r="277" spans="1:8">
      <c r="A277">
        <f t="shared" si="6"/>
        <v>4</v>
      </c>
      <c r="B277">
        <f t="shared" si="7"/>
        <v>432</v>
      </c>
      <c r="C277" s="128">
        <v>43101</v>
      </c>
      <c r="D277" s="25" t="e">
        <f>VLOOKUP(VLOOKUP(B277,SuiteCatSubElem!$G$2:$G$667,2,0),'SA Q4 18 W'!$A$33:$F$193,1+MATCH(VLOOKUP(A277,Personas!$A$2:$B$6,2,0),'SA Q4 18 W'!$B$4:$F$4,0),0)</f>
        <v>#REF!</v>
      </c>
      <c r="E277">
        <v>1</v>
      </c>
      <c r="G277">
        <v>1</v>
      </c>
      <c r="H277">
        <v>8</v>
      </c>
    </row>
    <row r="278" spans="1:8">
      <c r="A278">
        <f t="shared" si="6"/>
        <v>4</v>
      </c>
      <c r="B278">
        <f t="shared" si="7"/>
        <v>433</v>
      </c>
      <c r="C278" s="128">
        <v>43101</v>
      </c>
      <c r="D278" s="25" t="e">
        <f>VLOOKUP(VLOOKUP(B278,SuiteCatSubElem!$G$2:$G$667,2,0),'SA Q4 18 W'!$A$33:$F$193,1+MATCH(VLOOKUP(A278,Personas!$A$2:$B$6,2,0),'SA Q4 18 W'!$B$4:$F$4,0),0)</f>
        <v>#REF!</v>
      </c>
      <c r="E278">
        <v>1</v>
      </c>
      <c r="G278">
        <v>1</v>
      </c>
      <c r="H278">
        <v>8</v>
      </c>
    </row>
    <row r="279" spans="1:8">
      <c r="A279">
        <f t="shared" si="6"/>
        <v>4</v>
      </c>
      <c r="B279">
        <f t="shared" si="7"/>
        <v>434</v>
      </c>
      <c r="C279" s="128">
        <v>43101</v>
      </c>
      <c r="D279" s="25" t="e">
        <f>VLOOKUP(VLOOKUP(B279,SuiteCatSubElem!$G$2:$G$667,2,0),'SA Q4 18 W'!$A$33:$F$193,1+MATCH(VLOOKUP(A279,Personas!$A$2:$B$6,2,0),'SA Q4 18 W'!$B$4:$F$4,0),0)</f>
        <v>#REF!</v>
      </c>
      <c r="E279">
        <v>1</v>
      </c>
      <c r="G279">
        <v>1</v>
      </c>
      <c r="H279">
        <v>8</v>
      </c>
    </row>
    <row r="280" spans="1:8">
      <c r="A280">
        <f t="shared" si="6"/>
        <v>4</v>
      </c>
      <c r="B280">
        <f t="shared" si="7"/>
        <v>435</v>
      </c>
      <c r="C280" s="128">
        <v>43101</v>
      </c>
      <c r="D280" s="25" t="e">
        <f>VLOOKUP(VLOOKUP(B280,SuiteCatSubElem!$G$2:$G$667,2,0),'SA Q4 18 W'!$A$33:$F$193,1+MATCH(VLOOKUP(A280,Personas!$A$2:$B$6,2,0),'SA Q4 18 W'!$B$4:$F$4,0),0)</f>
        <v>#REF!</v>
      </c>
      <c r="E280">
        <v>1</v>
      </c>
      <c r="G280">
        <v>1</v>
      </c>
      <c r="H280">
        <v>8</v>
      </c>
    </row>
    <row r="281" spans="1:8">
      <c r="A281">
        <f t="shared" si="6"/>
        <v>4</v>
      </c>
      <c r="B281">
        <f t="shared" si="7"/>
        <v>436</v>
      </c>
      <c r="C281" s="128">
        <v>43101</v>
      </c>
      <c r="D281" s="25" t="e">
        <f>VLOOKUP(VLOOKUP(B281,SuiteCatSubElem!$G$2:$G$667,2,0),'SA Q4 18 W'!$A$33:$F$193,1+MATCH(VLOOKUP(A281,Personas!$A$2:$B$6,2,0),'SA Q4 18 W'!$B$4:$F$4,0),0)</f>
        <v>#REF!</v>
      </c>
      <c r="E281">
        <v>1</v>
      </c>
      <c r="G281">
        <v>1</v>
      </c>
      <c r="H281">
        <v>8</v>
      </c>
    </row>
    <row r="282" spans="1:8">
      <c r="A282">
        <f t="shared" si="6"/>
        <v>4</v>
      </c>
      <c r="B282">
        <f t="shared" si="7"/>
        <v>437</v>
      </c>
      <c r="C282" s="128">
        <v>43101</v>
      </c>
      <c r="D282" s="25" t="e">
        <f>VLOOKUP(VLOOKUP(B282,SuiteCatSubElem!$G$2:$G$667,2,0),'SA Q4 18 W'!$A$33:$F$193,1+MATCH(VLOOKUP(A282,Personas!$A$2:$B$6,2,0),'SA Q4 18 W'!$B$4:$F$4,0),0)</f>
        <v>#REF!</v>
      </c>
      <c r="E282">
        <v>1</v>
      </c>
      <c r="G282">
        <v>1</v>
      </c>
      <c r="H282">
        <v>8</v>
      </c>
    </row>
    <row r="283" spans="1:8">
      <c r="A283">
        <f t="shared" si="6"/>
        <v>4</v>
      </c>
      <c r="B283">
        <f t="shared" si="7"/>
        <v>438</v>
      </c>
      <c r="C283" s="128">
        <v>43101</v>
      </c>
      <c r="D283" s="25" t="e">
        <f>VLOOKUP(VLOOKUP(B283,SuiteCatSubElem!$G$2:$G$667,2,0),'SA Q4 18 W'!$A$33:$F$193,1+MATCH(VLOOKUP(A283,Personas!$A$2:$B$6,2,0),'SA Q4 18 W'!$B$4:$F$4,0),0)</f>
        <v>#REF!</v>
      </c>
      <c r="E283">
        <v>1</v>
      </c>
      <c r="G283">
        <v>1</v>
      </c>
      <c r="H283">
        <v>8</v>
      </c>
    </row>
    <row r="284" spans="1:8">
      <c r="A284">
        <f t="shared" si="6"/>
        <v>4</v>
      </c>
      <c r="B284">
        <f t="shared" si="7"/>
        <v>439</v>
      </c>
      <c r="C284" s="128">
        <v>43101</v>
      </c>
      <c r="D284" s="25" t="e">
        <f>VLOOKUP(VLOOKUP(B284,SuiteCatSubElem!$G$2:$G$667,2,0),'SA Q4 18 W'!$A$33:$F$193,1+MATCH(VLOOKUP(A284,Personas!$A$2:$B$6,2,0),'SA Q4 18 W'!$B$4:$F$4,0),0)</f>
        <v>#REF!</v>
      </c>
      <c r="E284">
        <v>1</v>
      </c>
      <c r="G284">
        <v>1</v>
      </c>
      <c r="H284">
        <v>8</v>
      </c>
    </row>
    <row r="285" spans="1:8">
      <c r="A285">
        <f t="shared" si="6"/>
        <v>4</v>
      </c>
      <c r="B285">
        <f t="shared" si="7"/>
        <v>440</v>
      </c>
      <c r="C285" s="128">
        <v>43101</v>
      </c>
      <c r="D285" s="25" t="e">
        <f>VLOOKUP(VLOOKUP(B285,SuiteCatSubElem!$G$2:$G$667,2,0),'SA Q4 18 W'!$A$33:$F$193,1+MATCH(VLOOKUP(A285,Personas!$A$2:$B$6,2,0),'SA Q4 18 W'!$B$4:$F$4,0),0)</f>
        <v>#REF!</v>
      </c>
      <c r="E285">
        <v>1</v>
      </c>
      <c r="G285">
        <v>1</v>
      </c>
      <c r="H285">
        <v>8</v>
      </c>
    </row>
    <row r="286" spans="1:8">
      <c r="A286">
        <f t="shared" si="6"/>
        <v>4</v>
      </c>
      <c r="B286">
        <f t="shared" si="7"/>
        <v>441</v>
      </c>
      <c r="C286" s="128">
        <v>43101</v>
      </c>
      <c r="D286" s="25" t="e">
        <f>VLOOKUP(VLOOKUP(B286,SuiteCatSubElem!$G$2:$G$667,2,0),'SA Q4 18 W'!$A$33:$F$193,1+MATCH(VLOOKUP(A286,Personas!$A$2:$B$6,2,0),'SA Q4 18 W'!$B$4:$F$4,0),0)</f>
        <v>#REF!</v>
      </c>
      <c r="E286">
        <v>1</v>
      </c>
      <c r="G286">
        <v>1</v>
      </c>
      <c r="H286">
        <v>8</v>
      </c>
    </row>
    <row r="287" spans="1:8">
      <c r="A287">
        <f t="shared" si="6"/>
        <v>4</v>
      </c>
      <c r="B287">
        <f t="shared" si="7"/>
        <v>442</v>
      </c>
      <c r="C287" s="128">
        <v>43101</v>
      </c>
      <c r="D287" s="25" t="e">
        <f>VLOOKUP(VLOOKUP(B287,SuiteCatSubElem!$G$2:$G$667,2,0),'SA Q4 18 W'!$A$33:$F$193,1+MATCH(VLOOKUP(A287,Personas!$A$2:$B$6,2,0),'SA Q4 18 W'!$B$4:$F$4,0),0)</f>
        <v>#REF!</v>
      </c>
      <c r="E287">
        <v>1</v>
      </c>
      <c r="G287">
        <v>1</v>
      </c>
      <c r="H287">
        <v>8</v>
      </c>
    </row>
    <row r="288" spans="1:8">
      <c r="A288">
        <f t="shared" ref="A288:A290" si="8">A204+1</f>
        <v>4</v>
      </c>
      <c r="B288">
        <f t="shared" ref="B288:B290" si="9">B204</f>
        <v>443</v>
      </c>
      <c r="C288" s="128">
        <v>43101</v>
      </c>
      <c r="D288" s="25" t="e">
        <f>VLOOKUP(VLOOKUP(B288,SuiteCatSubElem!$G$2:$G$667,2,0),'SA Q4 18 W'!$A$33:$F$193,1+MATCH(VLOOKUP(A288,Personas!$A$2:$B$6,2,0),'SA Q4 18 W'!$B$4:$F$4,0),0)</f>
        <v>#REF!</v>
      </c>
      <c r="E288">
        <v>1</v>
      </c>
      <c r="G288">
        <v>1</v>
      </c>
      <c r="H288">
        <v>8</v>
      </c>
    </row>
    <row r="289" spans="1:8">
      <c r="A289">
        <f t="shared" si="8"/>
        <v>4</v>
      </c>
      <c r="B289">
        <f t="shared" si="9"/>
        <v>445</v>
      </c>
      <c r="C289" s="128">
        <v>43101</v>
      </c>
      <c r="D289" s="25" t="e">
        <f>VLOOKUP(VLOOKUP(B289,SuiteCatSubElem!$G$2:$G$667,2,0),'SA Q4 18 W'!$A$33:$F$193,1+MATCH(VLOOKUP(A289,Personas!$A$2:$B$6,2,0),'SA Q4 18 W'!$B$4:$F$4,0),0)</f>
        <v>#REF!</v>
      </c>
      <c r="E289">
        <v>1</v>
      </c>
      <c r="G289">
        <v>1</v>
      </c>
      <c r="H289">
        <v>8</v>
      </c>
    </row>
    <row r="290" spans="1:8">
      <c r="A290">
        <f t="shared" si="8"/>
        <v>4</v>
      </c>
      <c r="B290">
        <f t="shared" si="9"/>
        <v>446</v>
      </c>
      <c r="C290" s="128">
        <v>43101</v>
      </c>
      <c r="D290" s="25" t="e">
        <f>VLOOKUP(VLOOKUP(B290,SuiteCatSubElem!$G$2:$G$667,2,0),'SA Q4 18 W'!$A$33:$F$193,1+MATCH(VLOOKUP(A290,Personas!$A$2:$B$6,2,0),'SA Q4 18 W'!$B$4:$F$4,0),0)</f>
        <v>#REF!</v>
      </c>
      <c r="E290">
        <v>1</v>
      </c>
      <c r="G290">
        <v>1</v>
      </c>
      <c r="H290">
        <v>8</v>
      </c>
    </row>
    <row r="291" spans="1:8">
      <c r="A291">
        <f>A207+1</f>
        <v>4</v>
      </c>
      <c r="B291">
        <f>B207</f>
        <v>447</v>
      </c>
      <c r="C291" s="128">
        <v>43101</v>
      </c>
      <c r="D291" s="25" t="e">
        <f>VLOOKUP(VLOOKUP(B291,SuiteCatSubElem!$G$2:$G$667,2,0),'SA Q4 18 W'!$A$33:$F$193,1+MATCH(VLOOKUP(A291,Personas!$A$2:$B$6,2,0),'SA Q4 18 W'!$B$4:$F$4,0),0)</f>
        <v>#REF!</v>
      </c>
      <c r="E291">
        <v>1</v>
      </c>
      <c r="G291">
        <v>1</v>
      </c>
      <c r="H291">
        <v>8</v>
      </c>
    </row>
    <row r="292" spans="1:8">
      <c r="A292">
        <f t="shared" ref="A292:A355" si="10">A208+1</f>
        <v>4</v>
      </c>
      <c r="B292">
        <f t="shared" ref="B292:B355" si="11">B208</f>
        <v>448</v>
      </c>
      <c r="C292" s="128">
        <v>43101</v>
      </c>
      <c r="D292" s="25" t="e">
        <f>VLOOKUP(VLOOKUP(B292,SuiteCatSubElem!$G$2:$G$667,2,0),'SA Q4 18 W'!$A$33:$F$193,1+MATCH(VLOOKUP(A292,Personas!$A$2:$B$6,2,0),'SA Q4 18 W'!$B$4:$F$4,0),0)</f>
        <v>#REF!</v>
      </c>
      <c r="E292">
        <v>1</v>
      </c>
      <c r="G292">
        <v>1</v>
      </c>
      <c r="H292">
        <v>8</v>
      </c>
    </row>
    <row r="293" spans="1:8">
      <c r="A293">
        <f t="shared" si="10"/>
        <v>4</v>
      </c>
      <c r="B293">
        <f t="shared" si="11"/>
        <v>449</v>
      </c>
      <c r="C293" s="128">
        <v>43101</v>
      </c>
      <c r="D293" s="25" t="e">
        <f>VLOOKUP(VLOOKUP(B293,SuiteCatSubElem!$G$2:$G$667,2,0),'SA Q4 18 W'!$A$33:$F$193,1+MATCH(VLOOKUP(A293,Personas!$A$2:$B$6,2,0),'SA Q4 18 W'!$B$4:$F$4,0),0)</f>
        <v>#REF!</v>
      </c>
      <c r="E293">
        <v>1</v>
      </c>
      <c r="G293">
        <v>1</v>
      </c>
      <c r="H293">
        <v>8</v>
      </c>
    </row>
    <row r="294" spans="1:8">
      <c r="A294">
        <f t="shared" si="10"/>
        <v>4</v>
      </c>
      <c r="B294">
        <f t="shared" si="11"/>
        <v>450</v>
      </c>
      <c r="C294" s="128">
        <v>43101</v>
      </c>
      <c r="D294" s="25" t="e">
        <f>VLOOKUP(VLOOKUP(B294,SuiteCatSubElem!$G$2:$G$667,2,0),'SA Q4 18 W'!$A$33:$F$193,1+MATCH(VLOOKUP(A294,Personas!$A$2:$B$6,2,0),'SA Q4 18 W'!$B$4:$F$4,0),0)</f>
        <v>#REF!</v>
      </c>
      <c r="E294">
        <v>1</v>
      </c>
      <c r="G294">
        <v>1</v>
      </c>
      <c r="H294">
        <v>8</v>
      </c>
    </row>
    <row r="295" spans="1:8">
      <c r="A295">
        <f t="shared" si="10"/>
        <v>4</v>
      </c>
      <c r="B295">
        <f t="shared" si="11"/>
        <v>451</v>
      </c>
      <c r="C295" s="128">
        <v>43101</v>
      </c>
      <c r="D295" s="25" t="e">
        <f>VLOOKUP(VLOOKUP(B295,SuiteCatSubElem!$G$2:$G$667,2,0),'SA Q4 18 W'!$A$33:$F$193,1+MATCH(VLOOKUP(A295,Personas!$A$2:$B$6,2,0),'SA Q4 18 W'!$B$4:$F$4,0),0)</f>
        <v>#REF!</v>
      </c>
      <c r="E295">
        <v>1</v>
      </c>
      <c r="G295">
        <v>1</v>
      </c>
      <c r="H295">
        <v>8</v>
      </c>
    </row>
    <row r="296" spans="1:8">
      <c r="A296">
        <f t="shared" si="10"/>
        <v>4</v>
      </c>
      <c r="B296">
        <f t="shared" si="11"/>
        <v>452</v>
      </c>
      <c r="C296" s="128">
        <v>43101</v>
      </c>
      <c r="D296" s="25" t="e">
        <f>VLOOKUP(VLOOKUP(B296,SuiteCatSubElem!$G$2:$G$667,2,0),'SA Q4 18 W'!$A$33:$F$193,1+MATCH(VLOOKUP(A296,Personas!$A$2:$B$6,2,0),'SA Q4 18 W'!$B$4:$F$4,0),0)</f>
        <v>#REF!</v>
      </c>
      <c r="E296">
        <v>1</v>
      </c>
      <c r="G296">
        <v>1</v>
      </c>
      <c r="H296">
        <v>8</v>
      </c>
    </row>
    <row r="297" spans="1:8">
      <c r="A297">
        <f t="shared" si="10"/>
        <v>4</v>
      </c>
      <c r="B297">
        <f t="shared" si="11"/>
        <v>453</v>
      </c>
      <c r="C297" s="128">
        <v>43101</v>
      </c>
      <c r="D297" s="25" t="e">
        <f>VLOOKUP(VLOOKUP(B297,SuiteCatSubElem!$G$2:$G$667,2,0),'SA Q4 18 W'!$A$33:$F$193,1+MATCH(VLOOKUP(A297,Personas!$A$2:$B$6,2,0),'SA Q4 18 W'!$B$4:$F$4,0),0)</f>
        <v>#REF!</v>
      </c>
      <c r="E297">
        <v>1</v>
      </c>
      <c r="G297">
        <v>1</v>
      </c>
      <c r="H297">
        <v>8</v>
      </c>
    </row>
    <row r="298" spans="1:8">
      <c r="A298">
        <f t="shared" si="10"/>
        <v>4</v>
      </c>
      <c r="B298">
        <f t="shared" si="11"/>
        <v>454</v>
      </c>
      <c r="C298" s="128">
        <v>43101</v>
      </c>
      <c r="D298" s="25" t="e">
        <f>VLOOKUP(VLOOKUP(B298,SuiteCatSubElem!$G$2:$G$667,2,0),'SA Q4 18 W'!$A$33:$F$193,1+MATCH(VLOOKUP(A298,Personas!$A$2:$B$6,2,0),'SA Q4 18 W'!$B$4:$F$4,0),0)</f>
        <v>#REF!</v>
      </c>
      <c r="E298">
        <v>1</v>
      </c>
      <c r="G298">
        <v>1</v>
      </c>
      <c r="H298">
        <v>8</v>
      </c>
    </row>
    <row r="299" spans="1:8">
      <c r="A299">
        <f t="shared" si="10"/>
        <v>4</v>
      </c>
      <c r="B299">
        <f t="shared" si="11"/>
        <v>455</v>
      </c>
      <c r="C299" s="128">
        <v>43101</v>
      </c>
      <c r="D299" s="25" t="e">
        <f>VLOOKUP(VLOOKUP(B299,SuiteCatSubElem!$G$2:$G$667,2,0),'SA Q4 18 W'!$A$33:$F$193,1+MATCH(VLOOKUP(A299,Personas!$A$2:$B$6,2,0),'SA Q4 18 W'!$B$4:$F$4,0),0)</f>
        <v>#REF!</v>
      </c>
      <c r="E299">
        <v>1</v>
      </c>
      <c r="G299">
        <v>1</v>
      </c>
      <c r="H299">
        <v>8</v>
      </c>
    </row>
    <row r="300" spans="1:8">
      <c r="A300">
        <f t="shared" si="10"/>
        <v>4</v>
      </c>
      <c r="B300">
        <f t="shared" si="11"/>
        <v>456</v>
      </c>
      <c r="C300" s="128">
        <v>43101</v>
      </c>
      <c r="D300" s="25" t="e">
        <f>VLOOKUP(VLOOKUP(B300,SuiteCatSubElem!$G$2:$G$667,2,0),'SA Q4 18 W'!$A$33:$F$193,1+MATCH(VLOOKUP(A300,Personas!$A$2:$B$6,2,0),'SA Q4 18 W'!$B$4:$F$4,0),0)</f>
        <v>#REF!</v>
      </c>
      <c r="E300">
        <v>1</v>
      </c>
      <c r="G300">
        <v>1</v>
      </c>
      <c r="H300">
        <v>8</v>
      </c>
    </row>
    <row r="301" spans="1:8">
      <c r="A301">
        <f t="shared" si="10"/>
        <v>4</v>
      </c>
      <c r="B301">
        <f t="shared" si="11"/>
        <v>457</v>
      </c>
      <c r="C301" s="128">
        <v>43101</v>
      </c>
      <c r="D301" s="25" t="e">
        <f>VLOOKUP(VLOOKUP(B301,SuiteCatSubElem!$G$2:$G$667,2,0),'SA Q4 18 W'!$A$33:$F$193,1+MATCH(VLOOKUP(A301,Personas!$A$2:$B$6,2,0),'SA Q4 18 W'!$B$4:$F$4,0),0)</f>
        <v>#REF!</v>
      </c>
      <c r="E301">
        <v>1</v>
      </c>
      <c r="G301">
        <v>1</v>
      </c>
      <c r="H301">
        <v>8</v>
      </c>
    </row>
    <row r="302" spans="1:8">
      <c r="A302">
        <f t="shared" si="10"/>
        <v>4</v>
      </c>
      <c r="B302">
        <f t="shared" si="11"/>
        <v>458</v>
      </c>
      <c r="C302" s="128">
        <v>43101</v>
      </c>
      <c r="D302" s="25" t="e">
        <f>VLOOKUP(VLOOKUP(B302,SuiteCatSubElem!$G$2:$G$667,2,0),'SA Q4 18 W'!$A$33:$F$193,1+MATCH(VLOOKUP(A302,Personas!$A$2:$B$6,2,0),'SA Q4 18 W'!$B$4:$F$4,0),0)</f>
        <v>#REF!</v>
      </c>
      <c r="E302">
        <v>1</v>
      </c>
      <c r="G302">
        <v>1</v>
      </c>
      <c r="H302">
        <v>8</v>
      </c>
    </row>
    <row r="303" spans="1:8">
      <c r="A303">
        <f t="shared" si="10"/>
        <v>4</v>
      </c>
      <c r="B303">
        <f t="shared" si="11"/>
        <v>459</v>
      </c>
      <c r="C303" s="128">
        <v>43101</v>
      </c>
      <c r="D303" s="25" t="e">
        <f>VLOOKUP(VLOOKUP(B303,SuiteCatSubElem!$G$2:$G$667,2,0),'SA Q4 18 W'!$A$33:$F$193,1+MATCH(VLOOKUP(A303,Personas!$A$2:$B$6,2,0),'SA Q4 18 W'!$B$4:$F$4,0),0)</f>
        <v>#REF!</v>
      </c>
      <c r="E303">
        <v>1</v>
      </c>
      <c r="G303">
        <v>1</v>
      </c>
      <c r="H303">
        <v>8</v>
      </c>
    </row>
    <row r="304" spans="1:8">
      <c r="A304">
        <f t="shared" si="10"/>
        <v>4</v>
      </c>
      <c r="B304">
        <f t="shared" si="11"/>
        <v>460</v>
      </c>
      <c r="C304" s="128">
        <v>43101</v>
      </c>
      <c r="D304" s="25" t="e">
        <f>VLOOKUP(VLOOKUP(B304,SuiteCatSubElem!$G$2:$G$667,2,0),'SA Q4 18 W'!$A$33:$F$193,1+MATCH(VLOOKUP(A304,Personas!$A$2:$B$6,2,0),'SA Q4 18 W'!$B$4:$F$4,0),0)</f>
        <v>#REF!</v>
      </c>
      <c r="E304">
        <v>1</v>
      </c>
      <c r="G304">
        <v>1</v>
      </c>
      <c r="H304">
        <v>8</v>
      </c>
    </row>
    <row r="305" spans="1:8">
      <c r="A305">
        <f t="shared" si="10"/>
        <v>4</v>
      </c>
      <c r="B305">
        <f t="shared" si="11"/>
        <v>461</v>
      </c>
      <c r="C305" s="128">
        <v>43101</v>
      </c>
      <c r="D305" s="25" t="e">
        <f>VLOOKUP(VLOOKUP(B305,SuiteCatSubElem!$G$2:$G$667,2,0),'SA Q4 18 W'!$A$33:$F$193,1+MATCH(VLOOKUP(A305,Personas!$A$2:$B$6,2,0),'SA Q4 18 W'!$B$4:$F$4,0),0)</f>
        <v>#REF!</v>
      </c>
      <c r="E305">
        <v>1</v>
      </c>
      <c r="G305">
        <v>1</v>
      </c>
      <c r="H305">
        <v>8</v>
      </c>
    </row>
    <row r="306" spans="1:8">
      <c r="A306">
        <f t="shared" si="10"/>
        <v>4</v>
      </c>
      <c r="B306">
        <f t="shared" si="11"/>
        <v>462</v>
      </c>
      <c r="C306" s="128">
        <v>43101</v>
      </c>
      <c r="D306" s="25" t="e">
        <f>VLOOKUP(VLOOKUP(B306,SuiteCatSubElem!$G$2:$G$667,2,0),'SA Q4 18 W'!$A$33:$F$193,1+MATCH(VLOOKUP(A306,Personas!$A$2:$B$6,2,0),'SA Q4 18 W'!$B$4:$F$4,0),0)</f>
        <v>#REF!</v>
      </c>
      <c r="E306">
        <v>1</v>
      </c>
      <c r="G306">
        <v>1</v>
      </c>
      <c r="H306">
        <v>8</v>
      </c>
    </row>
    <row r="307" spans="1:8">
      <c r="A307">
        <f t="shared" si="10"/>
        <v>4</v>
      </c>
      <c r="B307">
        <f t="shared" si="11"/>
        <v>463</v>
      </c>
      <c r="C307" s="128">
        <v>43101</v>
      </c>
      <c r="D307" s="25" t="e">
        <f>VLOOKUP(VLOOKUP(B307,SuiteCatSubElem!$G$2:$G$667,2,0),'SA Q4 18 W'!$A$33:$F$193,1+MATCH(VLOOKUP(A307,Personas!$A$2:$B$6,2,0),'SA Q4 18 W'!$B$4:$F$4,0),0)</f>
        <v>#REF!</v>
      </c>
      <c r="E307">
        <v>1</v>
      </c>
      <c r="G307">
        <v>1</v>
      </c>
      <c r="H307">
        <v>8</v>
      </c>
    </row>
    <row r="308" spans="1:8">
      <c r="A308">
        <f t="shared" si="10"/>
        <v>4</v>
      </c>
      <c r="B308">
        <f t="shared" si="11"/>
        <v>464</v>
      </c>
      <c r="C308" s="128">
        <v>43101</v>
      </c>
      <c r="D308" s="25" t="e">
        <f>VLOOKUP(VLOOKUP(B308,SuiteCatSubElem!$G$2:$G$667,2,0),'SA Q4 18 W'!$A$33:$F$193,1+MATCH(VLOOKUP(A308,Personas!$A$2:$B$6,2,0),'SA Q4 18 W'!$B$4:$F$4,0),0)</f>
        <v>#REF!</v>
      </c>
      <c r="E308">
        <v>1</v>
      </c>
      <c r="G308">
        <v>1</v>
      </c>
      <c r="H308">
        <v>8</v>
      </c>
    </row>
    <row r="309" spans="1:8">
      <c r="A309">
        <f t="shared" si="10"/>
        <v>4</v>
      </c>
      <c r="B309">
        <f t="shared" si="11"/>
        <v>465</v>
      </c>
      <c r="C309" s="128">
        <v>43101</v>
      </c>
      <c r="D309" s="25" t="e">
        <f>VLOOKUP(VLOOKUP(B309,SuiteCatSubElem!$G$2:$G$667,2,0),'SA Q4 18 W'!$A$33:$F$193,1+MATCH(VLOOKUP(A309,Personas!$A$2:$B$6,2,0),'SA Q4 18 W'!$B$4:$F$4,0),0)</f>
        <v>#REF!</v>
      </c>
      <c r="E309">
        <v>1</v>
      </c>
      <c r="G309">
        <v>1</v>
      </c>
      <c r="H309">
        <v>8</v>
      </c>
    </row>
    <row r="310" spans="1:8">
      <c r="A310">
        <f t="shared" si="10"/>
        <v>4</v>
      </c>
      <c r="B310">
        <f t="shared" si="11"/>
        <v>466</v>
      </c>
      <c r="C310" s="128">
        <v>43101</v>
      </c>
      <c r="D310" s="25" t="e">
        <f>VLOOKUP(VLOOKUP(B310,SuiteCatSubElem!$G$2:$G$667,2,0),'SA Q4 18 W'!$A$33:$F$193,1+MATCH(VLOOKUP(A310,Personas!$A$2:$B$6,2,0),'SA Q4 18 W'!$B$4:$F$4,0),0)</f>
        <v>#REF!</v>
      </c>
      <c r="E310">
        <v>1</v>
      </c>
      <c r="G310">
        <v>1</v>
      </c>
      <c r="H310">
        <v>8</v>
      </c>
    </row>
    <row r="311" spans="1:8">
      <c r="A311">
        <f t="shared" si="10"/>
        <v>4</v>
      </c>
      <c r="B311">
        <f t="shared" si="11"/>
        <v>467</v>
      </c>
      <c r="C311" s="128">
        <v>43101</v>
      </c>
      <c r="D311" s="25" t="e">
        <f>VLOOKUP(VLOOKUP(B311,SuiteCatSubElem!$G$2:$G$667,2,0),'SA Q4 18 W'!$A$33:$F$193,1+MATCH(VLOOKUP(A311,Personas!$A$2:$B$6,2,0),'SA Q4 18 W'!$B$4:$F$4,0),0)</f>
        <v>#REF!</v>
      </c>
      <c r="E311">
        <v>1</v>
      </c>
      <c r="G311">
        <v>1</v>
      </c>
      <c r="H311">
        <v>8</v>
      </c>
    </row>
    <row r="312" spans="1:8">
      <c r="A312">
        <f t="shared" si="10"/>
        <v>4</v>
      </c>
      <c r="B312">
        <f t="shared" si="11"/>
        <v>468</v>
      </c>
      <c r="C312" s="128">
        <v>43101</v>
      </c>
      <c r="D312" s="25" t="e">
        <f>VLOOKUP(VLOOKUP(B312,SuiteCatSubElem!$G$2:$G$667,2,0),'SA Q4 18 W'!$A$33:$F$193,1+MATCH(VLOOKUP(A312,Personas!$A$2:$B$6,2,0),'SA Q4 18 W'!$B$4:$F$4,0),0)</f>
        <v>#REF!</v>
      </c>
      <c r="E312">
        <v>1</v>
      </c>
      <c r="G312">
        <v>1</v>
      </c>
      <c r="H312">
        <v>8</v>
      </c>
    </row>
    <row r="313" spans="1:8">
      <c r="A313">
        <f t="shared" si="10"/>
        <v>4</v>
      </c>
      <c r="B313">
        <f t="shared" si="11"/>
        <v>469</v>
      </c>
      <c r="C313" s="128">
        <v>43101</v>
      </c>
      <c r="D313" s="25" t="e">
        <f>VLOOKUP(VLOOKUP(B313,SuiteCatSubElem!$G$2:$G$667,2,0),'SA Q4 18 W'!$A$33:$F$193,1+MATCH(VLOOKUP(A313,Personas!$A$2:$B$6,2,0),'SA Q4 18 W'!$B$4:$F$4,0),0)</f>
        <v>#REF!</v>
      </c>
      <c r="E313">
        <v>1</v>
      </c>
      <c r="G313">
        <v>1</v>
      </c>
      <c r="H313">
        <v>8</v>
      </c>
    </row>
    <row r="314" spans="1:8">
      <c r="A314">
        <f t="shared" si="10"/>
        <v>4</v>
      </c>
      <c r="B314">
        <f t="shared" si="11"/>
        <v>470</v>
      </c>
      <c r="C314" s="128">
        <v>43101</v>
      </c>
      <c r="D314" s="25" t="e">
        <f>VLOOKUP(VLOOKUP(B314,SuiteCatSubElem!$G$2:$G$667,2,0),'SA Q4 18 W'!$A$33:$F$193,1+MATCH(VLOOKUP(A314,Personas!$A$2:$B$6,2,0),'SA Q4 18 W'!$B$4:$F$4,0),0)</f>
        <v>#REF!</v>
      </c>
      <c r="E314">
        <v>1</v>
      </c>
      <c r="G314">
        <v>1</v>
      </c>
      <c r="H314">
        <v>8</v>
      </c>
    </row>
    <row r="315" spans="1:8">
      <c r="A315">
        <f t="shared" si="10"/>
        <v>4</v>
      </c>
      <c r="B315">
        <f t="shared" si="11"/>
        <v>471</v>
      </c>
      <c r="C315" s="128">
        <v>43101</v>
      </c>
      <c r="D315" s="25" t="e">
        <f>VLOOKUP(VLOOKUP(B315,SuiteCatSubElem!$G$2:$G$667,2,0),'SA Q4 18 W'!$A$33:$F$193,1+MATCH(VLOOKUP(A315,Personas!$A$2:$B$6,2,0),'SA Q4 18 W'!$B$4:$F$4,0),0)</f>
        <v>#REF!</v>
      </c>
      <c r="E315">
        <v>1</v>
      </c>
      <c r="G315">
        <v>1</v>
      </c>
      <c r="H315">
        <v>8</v>
      </c>
    </row>
    <row r="316" spans="1:8">
      <c r="A316">
        <f t="shared" si="10"/>
        <v>4</v>
      </c>
      <c r="B316">
        <f t="shared" si="11"/>
        <v>472</v>
      </c>
      <c r="C316" s="128">
        <v>43101</v>
      </c>
      <c r="D316" s="25" t="e">
        <f>VLOOKUP(VLOOKUP(B316,SuiteCatSubElem!$G$2:$G$667,2,0),'SA Q4 18 W'!$A$33:$F$193,1+MATCH(VLOOKUP(A316,Personas!$A$2:$B$6,2,0),'SA Q4 18 W'!$B$4:$F$4,0),0)</f>
        <v>#REF!</v>
      </c>
      <c r="E316">
        <v>1</v>
      </c>
      <c r="G316">
        <v>1</v>
      </c>
      <c r="H316">
        <v>8</v>
      </c>
    </row>
    <row r="317" spans="1:8">
      <c r="A317">
        <f t="shared" si="10"/>
        <v>4</v>
      </c>
      <c r="B317">
        <f t="shared" si="11"/>
        <v>473</v>
      </c>
      <c r="C317" s="128">
        <v>43101</v>
      </c>
      <c r="D317" s="25" t="e">
        <f>VLOOKUP(VLOOKUP(B317,SuiteCatSubElem!$G$2:$G$667,2,0),'SA Q4 18 W'!$A$33:$F$193,1+MATCH(VLOOKUP(A317,Personas!$A$2:$B$6,2,0),'SA Q4 18 W'!$B$4:$F$4,0),0)</f>
        <v>#REF!</v>
      </c>
      <c r="E317">
        <v>1</v>
      </c>
      <c r="G317">
        <v>1</v>
      </c>
      <c r="H317">
        <v>8</v>
      </c>
    </row>
    <row r="318" spans="1:8">
      <c r="A318">
        <f t="shared" si="10"/>
        <v>4</v>
      </c>
      <c r="B318">
        <f t="shared" si="11"/>
        <v>474</v>
      </c>
      <c r="C318" s="128">
        <v>43101</v>
      </c>
      <c r="D318" s="25" t="e">
        <f>VLOOKUP(VLOOKUP(B318,SuiteCatSubElem!$G$2:$G$667,2,0),'SA Q4 18 W'!$A$33:$F$193,1+MATCH(VLOOKUP(A318,Personas!$A$2:$B$6,2,0),'SA Q4 18 W'!$B$4:$F$4,0),0)</f>
        <v>#REF!</v>
      </c>
      <c r="E318">
        <v>1</v>
      </c>
      <c r="G318">
        <v>1</v>
      </c>
      <c r="H318">
        <v>8</v>
      </c>
    </row>
    <row r="319" spans="1:8">
      <c r="A319">
        <f t="shared" si="10"/>
        <v>4</v>
      </c>
      <c r="B319">
        <f t="shared" si="11"/>
        <v>475</v>
      </c>
      <c r="C319" s="128">
        <v>43101</v>
      </c>
      <c r="D319" s="25" t="e">
        <f>VLOOKUP(VLOOKUP(B319,SuiteCatSubElem!$G$2:$G$667,2,0),'SA Q4 18 W'!$A$33:$F$193,1+MATCH(VLOOKUP(A319,Personas!$A$2:$B$6,2,0),'SA Q4 18 W'!$B$4:$F$4,0),0)</f>
        <v>#REF!</v>
      </c>
      <c r="E319">
        <v>1</v>
      </c>
      <c r="G319">
        <v>1</v>
      </c>
      <c r="H319">
        <v>8</v>
      </c>
    </row>
    <row r="320" spans="1:8">
      <c r="A320">
        <f t="shared" si="10"/>
        <v>4</v>
      </c>
      <c r="B320">
        <f t="shared" si="11"/>
        <v>476</v>
      </c>
      <c r="C320" s="128">
        <v>43101</v>
      </c>
      <c r="D320" s="25" t="e">
        <f>VLOOKUP(VLOOKUP(B320,SuiteCatSubElem!$G$2:$G$667,2,0),'SA Q4 18 W'!$A$33:$F$193,1+MATCH(VLOOKUP(A320,Personas!$A$2:$B$6,2,0),'SA Q4 18 W'!$B$4:$F$4,0),0)</f>
        <v>#REF!</v>
      </c>
      <c r="E320">
        <v>1</v>
      </c>
      <c r="G320">
        <v>1</v>
      </c>
      <c r="H320">
        <v>8</v>
      </c>
    </row>
    <row r="321" spans="1:8">
      <c r="A321">
        <f t="shared" si="10"/>
        <v>4</v>
      </c>
      <c r="B321">
        <f t="shared" si="11"/>
        <v>477</v>
      </c>
      <c r="C321" s="128">
        <v>43101</v>
      </c>
      <c r="D321" s="25" t="e">
        <f>VLOOKUP(VLOOKUP(B321,SuiteCatSubElem!$G$2:$G$667,2,0),'SA Q4 18 W'!$A$33:$F$193,1+MATCH(VLOOKUP(A321,Personas!$A$2:$B$6,2,0),'SA Q4 18 W'!$B$4:$F$4,0),0)</f>
        <v>#REF!</v>
      </c>
      <c r="E321">
        <v>1</v>
      </c>
      <c r="G321">
        <v>1</v>
      </c>
      <c r="H321">
        <v>8</v>
      </c>
    </row>
    <row r="322" spans="1:8">
      <c r="A322">
        <f t="shared" si="10"/>
        <v>4</v>
      </c>
      <c r="B322">
        <f t="shared" si="11"/>
        <v>478</v>
      </c>
      <c r="C322" s="128">
        <v>43101</v>
      </c>
      <c r="D322" s="25" t="e">
        <f>VLOOKUP(VLOOKUP(B322,SuiteCatSubElem!$G$2:$G$667,2,0),'SA Q4 18 W'!$A$33:$F$193,1+MATCH(VLOOKUP(A322,Personas!$A$2:$B$6,2,0),'SA Q4 18 W'!$B$4:$F$4,0),0)</f>
        <v>#REF!</v>
      </c>
      <c r="E322">
        <v>1</v>
      </c>
      <c r="G322">
        <v>1</v>
      </c>
      <c r="H322">
        <v>8</v>
      </c>
    </row>
    <row r="323" spans="1:8">
      <c r="A323">
        <f t="shared" si="10"/>
        <v>4</v>
      </c>
      <c r="B323">
        <f t="shared" si="11"/>
        <v>479</v>
      </c>
      <c r="C323" s="128">
        <v>43101</v>
      </c>
      <c r="D323" s="25" t="e">
        <f>VLOOKUP(VLOOKUP(B323,SuiteCatSubElem!$G$2:$G$667,2,0),'SA Q4 18 W'!$A$33:$F$193,1+MATCH(VLOOKUP(A323,Personas!$A$2:$B$6,2,0),'SA Q4 18 W'!$B$4:$F$4,0),0)</f>
        <v>#REF!</v>
      </c>
      <c r="E323">
        <v>1</v>
      </c>
      <c r="G323">
        <v>1</v>
      </c>
      <c r="H323">
        <v>8</v>
      </c>
    </row>
    <row r="324" spans="1:8">
      <c r="A324">
        <f t="shared" si="10"/>
        <v>4</v>
      </c>
      <c r="B324">
        <f t="shared" si="11"/>
        <v>480</v>
      </c>
      <c r="C324" s="128">
        <v>43101</v>
      </c>
      <c r="D324" s="25" t="e">
        <f>VLOOKUP(VLOOKUP(B324,SuiteCatSubElem!$G$2:$G$667,2,0),'SA Q4 18 W'!$A$33:$F$193,1+MATCH(VLOOKUP(A324,Personas!$A$2:$B$6,2,0),'SA Q4 18 W'!$B$4:$F$4,0),0)</f>
        <v>#REF!</v>
      </c>
      <c r="E324">
        <v>1</v>
      </c>
      <c r="G324">
        <v>1</v>
      </c>
      <c r="H324">
        <v>8</v>
      </c>
    </row>
    <row r="325" spans="1:8">
      <c r="A325">
        <f t="shared" si="10"/>
        <v>4</v>
      </c>
      <c r="B325">
        <f t="shared" si="11"/>
        <v>481</v>
      </c>
      <c r="C325" s="128">
        <v>43101</v>
      </c>
      <c r="D325" s="25" t="e">
        <f>VLOOKUP(VLOOKUP(B325,SuiteCatSubElem!$G$2:$G$667,2,0),'SA Q4 18 W'!$A$33:$F$193,1+MATCH(VLOOKUP(A325,Personas!$A$2:$B$6,2,0),'SA Q4 18 W'!$B$4:$F$4,0),0)</f>
        <v>#REF!</v>
      </c>
      <c r="E325">
        <v>1</v>
      </c>
      <c r="G325">
        <v>1</v>
      </c>
      <c r="H325">
        <v>8</v>
      </c>
    </row>
    <row r="326" spans="1:8">
      <c r="A326">
        <f t="shared" si="10"/>
        <v>4</v>
      </c>
      <c r="B326">
        <f t="shared" si="11"/>
        <v>482</v>
      </c>
      <c r="C326" s="128">
        <v>43101</v>
      </c>
      <c r="D326" s="25" t="e">
        <f>VLOOKUP(VLOOKUP(B326,SuiteCatSubElem!$G$2:$G$667,2,0),'SA Q4 18 W'!$A$33:$F$193,1+MATCH(VLOOKUP(A326,Personas!$A$2:$B$6,2,0),'SA Q4 18 W'!$B$4:$F$4,0),0)</f>
        <v>#REF!</v>
      </c>
      <c r="E326">
        <v>1</v>
      </c>
      <c r="G326">
        <v>1</v>
      </c>
      <c r="H326">
        <v>8</v>
      </c>
    </row>
    <row r="327" spans="1:8">
      <c r="A327">
        <f t="shared" si="10"/>
        <v>4</v>
      </c>
      <c r="B327">
        <f t="shared" si="11"/>
        <v>483</v>
      </c>
      <c r="C327" s="128">
        <v>43101</v>
      </c>
      <c r="D327" s="25" t="e">
        <f>VLOOKUP(VLOOKUP(B327,SuiteCatSubElem!$G$2:$G$667,2,0),'SA Q4 18 W'!$A$33:$F$193,1+MATCH(VLOOKUP(A327,Personas!$A$2:$B$6,2,0),'SA Q4 18 W'!$B$4:$F$4,0),0)</f>
        <v>#REF!</v>
      </c>
      <c r="E327">
        <v>1</v>
      </c>
      <c r="G327">
        <v>1</v>
      </c>
      <c r="H327">
        <v>8</v>
      </c>
    </row>
    <row r="328" spans="1:8">
      <c r="A328">
        <f t="shared" si="10"/>
        <v>4</v>
      </c>
      <c r="B328">
        <f t="shared" si="11"/>
        <v>484</v>
      </c>
      <c r="C328" s="128">
        <v>43101</v>
      </c>
      <c r="D328" s="25" t="e">
        <f>VLOOKUP(VLOOKUP(B328,SuiteCatSubElem!$G$2:$G$667,2,0),'SA Q4 18 W'!$A$33:$F$193,1+MATCH(VLOOKUP(A328,Personas!$A$2:$B$6,2,0),'SA Q4 18 W'!$B$4:$F$4,0),0)</f>
        <v>#REF!</v>
      </c>
      <c r="E328">
        <v>1</v>
      </c>
      <c r="G328">
        <v>1</v>
      </c>
      <c r="H328">
        <v>8</v>
      </c>
    </row>
    <row r="329" spans="1:8">
      <c r="A329">
        <f t="shared" si="10"/>
        <v>4</v>
      </c>
      <c r="B329">
        <f t="shared" si="11"/>
        <v>485</v>
      </c>
      <c r="C329" s="128">
        <v>43101</v>
      </c>
      <c r="D329" s="25" t="e">
        <f>VLOOKUP(VLOOKUP(B329,SuiteCatSubElem!$G$2:$G$667,2,0),'SA Q4 18 W'!$A$33:$F$193,1+MATCH(VLOOKUP(A329,Personas!$A$2:$B$6,2,0),'SA Q4 18 W'!$B$4:$F$4,0),0)</f>
        <v>#REF!</v>
      </c>
      <c r="E329">
        <v>1</v>
      </c>
      <c r="G329">
        <v>1</v>
      </c>
      <c r="H329">
        <v>8</v>
      </c>
    </row>
    <row r="330" spans="1:8">
      <c r="A330">
        <f t="shared" si="10"/>
        <v>4</v>
      </c>
      <c r="B330">
        <f t="shared" si="11"/>
        <v>486</v>
      </c>
      <c r="C330" s="128">
        <v>43101</v>
      </c>
      <c r="D330" s="25" t="e">
        <f>VLOOKUP(VLOOKUP(B330,SuiteCatSubElem!$G$2:$G$667,2,0),'SA Q4 18 W'!$A$33:$F$193,1+MATCH(VLOOKUP(A330,Personas!$A$2:$B$6,2,0),'SA Q4 18 W'!$B$4:$F$4,0),0)</f>
        <v>#REF!</v>
      </c>
      <c r="E330">
        <v>1</v>
      </c>
      <c r="G330">
        <v>1</v>
      </c>
      <c r="H330">
        <v>8</v>
      </c>
    </row>
    <row r="331" spans="1:8">
      <c r="A331">
        <f t="shared" si="10"/>
        <v>4</v>
      </c>
      <c r="B331">
        <f t="shared" si="11"/>
        <v>487</v>
      </c>
      <c r="C331" s="128">
        <v>43101</v>
      </c>
      <c r="D331" s="25" t="e">
        <f>VLOOKUP(VLOOKUP(B331,SuiteCatSubElem!$G$2:$G$667,2,0),'SA Q4 18 W'!$A$33:$F$193,1+MATCH(VLOOKUP(A331,Personas!$A$2:$B$6,2,0),'SA Q4 18 W'!$B$4:$F$4,0),0)</f>
        <v>#REF!</v>
      </c>
      <c r="E331">
        <v>1</v>
      </c>
      <c r="G331">
        <v>1</v>
      </c>
      <c r="H331">
        <v>8</v>
      </c>
    </row>
    <row r="332" spans="1:8">
      <c r="A332">
        <f t="shared" si="10"/>
        <v>4</v>
      </c>
      <c r="B332">
        <f t="shared" si="11"/>
        <v>488</v>
      </c>
      <c r="C332" s="128">
        <v>43101</v>
      </c>
      <c r="D332" s="25" t="e">
        <f>VLOOKUP(VLOOKUP(B332,SuiteCatSubElem!$G$2:$G$667,2,0),'SA Q4 18 W'!$A$33:$F$193,1+MATCH(VLOOKUP(A332,Personas!$A$2:$B$6,2,0),'SA Q4 18 W'!$B$4:$F$4,0),0)</f>
        <v>#REF!</v>
      </c>
      <c r="E332">
        <v>1</v>
      </c>
      <c r="G332">
        <v>1</v>
      </c>
      <c r="H332">
        <v>8</v>
      </c>
    </row>
    <row r="333" spans="1:8">
      <c r="A333">
        <f t="shared" si="10"/>
        <v>4</v>
      </c>
      <c r="B333">
        <f t="shared" si="11"/>
        <v>489</v>
      </c>
      <c r="C333" s="128">
        <v>43101</v>
      </c>
      <c r="D333" s="25" t="e">
        <f>VLOOKUP(VLOOKUP(B333,SuiteCatSubElem!$G$2:$G$667,2,0),'SA Q4 18 W'!$A$33:$F$193,1+MATCH(VLOOKUP(A333,Personas!$A$2:$B$6,2,0),'SA Q4 18 W'!$B$4:$F$4,0),0)</f>
        <v>#REF!</v>
      </c>
      <c r="E333">
        <v>1</v>
      </c>
      <c r="G333">
        <v>1</v>
      </c>
      <c r="H333">
        <v>8</v>
      </c>
    </row>
    <row r="334" spans="1:8">
      <c r="A334">
        <f t="shared" si="10"/>
        <v>4</v>
      </c>
      <c r="B334">
        <f t="shared" si="11"/>
        <v>490</v>
      </c>
      <c r="C334" s="128">
        <v>43101</v>
      </c>
      <c r="D334" s="25" t="e">
        <f>VLOOKUP(VLOOKUP(B334,SuiteCatSubElem!$G$2:$G$667,2,0),'SA Q4 18 W'!$A$33:$F$193,1+MATCH(VLOOKUP(A334,Personas!$A$2:$B$6,2,0),'SA Q4 18 W'!$B$4:$F$4,0),0)</f>
        <v>#REF!</v>
      </c>
      <c r="E334">
        <v>1</v>
      </c>
      <c r="G334">
        <v>1</v>
      </c>
      <c r="H334">
        <v>8</v>
      </c>
    </row>
    <row r="335" spans="1:8">
      <c r="A335">
        <f t="shared" si="10"/>
        <v>4</v>
      </c>
      <c r="B335">
        <f t="shared" si="11"/>
        <v>491</v>
      </c>
      <c r="C335" s="128">
        <v>43101</v>
      </c>
      <c r="D335" s="25" t="e">
        <f>VLOOKUP(VLOOKUP(B335,SuiteCatSubElem!$G$2:$G$667,2,0),'SA Q4 18 W'!$A$33:$F$193,1+MATCH(VLOOKUP(A335,Personas!$A$2:$B$6,2,0),'SA Q4 18 W'!$B$4:$F$4,0),0)</f>
        <v>#REF!</v>
      </c>
      <c r="E335">
        <v>1</v>
      </c>
      <c r="G335">
        <v>1</v>
      </c>
      <c r="H335">
        <v>8</v>
      </c>
    </row>
    <row r="336" spans="1:8">
      <c r="A336">
        <f t="shared" si="10"/>
        <v>4</v>
      </c>
      <c r="B336">
        <f t="shared" si="11"/>
        <v>492</v>
      </c>
      <c r="C336" s="128">
        <v>43101</v>
      </c>
      <c r="D336" s="25" t="e">
        <f>VLOOKUP(VLOOKUP(B336,SuiteCatSubElem!$G$2:$G$667,2,0),'SA Q4 18 W'!$A$33:$F$193,1+MATCH(VLOOKUP(A336,Personas!$A$2:$B$6,2,0),'SA Q4 18 W'!$B$4:$F$4,0),0)</f>
        <v>#REF!</v>
      </c>
      <c r="E336">
        <v>1</v>
      </c>
      <c r="G336">
        <v>1</v>
      </c>
      <c r="H336">
        <v>8</v>
      </c>
    </row>
    <row r="337" spans="1:8">
      <c r="A337">
        <f t="shared" si="10"/>
        <v>4</v>
      </c>
      <c r="B337">
        <f t="shared" si="11"/>
        <v>493</v>
      </c>
      <c r="C337" s="128">
        <v>43101</v>
      </c>
      <c r="D337" s="25" t="e">
        <f>VLOOKUP(VLOOKUP(B337,SuiteCatSubElem!$G$2:$G$667,2,0),'SA Q4 18 W'!$A$33:$F$193,1+MATCH(VLOOKUP(A337,Personas!$A$2:$B$6,2,0),'SA Q4 18 W'!$B$4:$F$4,0),0)</f>
        <v>#REF!</v>
      </c>
      <c r="E337">
        <v>1</v>
      </c>
      <c r="G337">
        <v>1</v>
      </c>
      <c r="H337">
        <v>8</v>
      </c>
    </row>
    <row r="338" spans="1:8">
      <c r="A338">
        <f t="shared" si="10"/>
        <v>5</v>
      </c>
      <c r="B338">
        <f t="shared" si="11"/>
        <v>409</v>
      </c>
      <c r="C338" s="128">
        <v>43101</v>
      </c>
      <c r="D338" s="25" t="e">
        <f>VLOOKUP(VLOOKUP(B338,SuiteCatSubElem!$G$2:$G$667,2,0),'SA Q4 18 W'!$A$33:$F$193,1+MATCH(VLOOKUP(A338,Personas!$A$2:$B$6,2,0),'SA Q4 18 W'!$B$4:$F$4,0),0)</f>
        <v>#REF!</v>
      </c>
      <c r="E338">
        <v>1</v>
      </c>
      <c r="G338">
        <v>1</v>
      </c>
      <c r="H338">
        <v>8</v>
      </c>
    </row>
    <row r="339" spans="1:8">
      <c r="A339">
        <f t="shared" si="10"/>
        <v>5</v>
      </c>
      <c r="B339">
        <f t="shared" si="11"/>
        <v>410</v>
      </c>
      <c r="C339" s="128">
        <v>43101</v>
      </c>
      <c r="D339" s="25" t="e">
        <f>VLOOKUP(VLOOKUP(B339,SuiteCatSubElem!$G$2:$G$667,2,0),'SA Q4 18 W'!$A$33:$F$193,1+MATCH(VLOOKUP(A339,Personas!$A$2:$B$6,2,0),'SA Q4 18 W'!$B$4:$F$4,0),0)</f>
        <v>#REF!</v>
      </c>
      <c r="E339">
        <v>1</v>
      </c>
      <c r="G339">
        <v>1</v>
      </c>
      <c r="H339">
        <v>8</v>
      </c>
    </row>
    <row r="340" spans="1:8">
      <c r="A340">
        <f t="shared" si="10"/>
        <v>5</v>
      </c>
      <c r="B340">
        <f t="shared" si="11"/>
        <v>411</v>
      </c>
      <c r="C340" s="128">
        <v>43101</v>
      </c>
      <c r="D340" s="25" t="e">
        <f>VLOOKUP(VLOOKUP(B340,SuiteCatSubElem!$G$2:$G$667,2,0),'SA Q4 18 W'!$A$33:$F$193,1+MATCH(VLOOKUP(A340,Personas!$A$2:$B$6,2,0),'SA Q4 18 W'!$B$4:$F$4,0),0)</f>
        <v>#REF!</v>
      </c>
      <c r="E340">
        <v>1</v>
      </c>
      <c r="G340">
        <v>1</v>
      </c>
      <c r="H340">
        <v>8</v>
      </c>
    </row>
    <row r="341" spans="1:8">
      <c r="A341">
        <f t="shared" si="10"/>
        <v>5</v>
      </c>
      <c r="B341">
        <f t="shared" si="11"/>
        <v>412</v>
      </c>
      <c r="C341" s="128">
        <v>43101</v>
      </c>
      <c r="D341" s="25" t="e">
        <f>VLOOKUP(VLOOKUP(B341,SuiteCatSubElem!$G$2:$G$667,2,0),'SA Q4 18 W'!$A$33:$F$193,1+MATCH(VLOOKUP(A341,Personas!$A$2:$B$6,2,0),'SA Q4 18 W'!$B$4:$F$4,0),0)</f>
        <v>#REF!</v>
      </c>
      <c r="E341">
        <v>1</v>
      </c>
      <c r="G341">
        <v>1</v>
      </c>
      <c r="H341">
        <v>8</v>
      </c>
    </row>
    <row r="342" spans="1:8">
      <c r="A342">
        <f t="shared" si="10"/>
        <v>5</v>
      </c>
      <c r="B342">
        <f t="shared" si="11"/>
        <v>413</v>
      </c>
      <c r="C342" s="128">
        <v>43101</v>
      </c>
      <c r="D342" s="25" t="e">
        <f>VLOOKUP(VLOOKUP(B342,SuiteCatSubElem!$G$2:$G$667,2,0),'SA Q4 18 W'!$A$33:$F$193,1+MATCH(VLOOKUP(A342,Personas!$A$2:$B$6,2,0),'SA Q4 18 W'!$B$4:$F$4,0),0)</f>
        <v>#REF!</v>
      </c>
      <c r="E342">
        <v>1</v>
      </c>
      <c r="G342">
        <v>1</v>
      </c>
      <c r="H342">
        <v>8</v>
      </c>
    </row>
    <row r="343" spans="1:8">
      <c r="A343">
        <f t="shared" si="10"/>
        <v>5</v>
      </c>
      <c r="B343">
        <f t="shared" si="11"/>
        <v>414</v>
      </c>
      <c r="C343" s="128">
        <v>43101</v>
      </c>
      <c r="D343" s="25" t="e">
        <f>VLOOKUP(VLOOKUP(B343,SuiteCatSubElem!$G$2:$G$667,2,0),'SA Q4 18 W'!$A$33:$F$193,1+MATCH(VLOOKUP(A343,Personas!$A$2:$B$6,2,0),'SA Q4 18 W'!$B$4:$F$4,0),0)</f>
        <v>#REF!</v>
      </c>
      <c r="E343">
        <v>1</v>
      </c>
      <c r="G343">
        <v>1</v>
      </c>
      <c r="H343">
        <v>8</v>
      </c>
    </row>
    <row r="344" spans="1:8">
      <c r="A344">
        <f t="shared" si="10"/>
        <v>5</v>
      </c>
      <c r="B344">
        <f t="shared" si="11"/>
        <v>415</v>
      </c>
      <c r="C344" s="128">
        <v>43101</v>
      </c>
      <c r="D344" s="25" t="e">
        <f>VLOOKUP(VLOOKUP(B344,SuiteCatSubElem!$G$2:$G$667,2,0),'SA Q4 18 W'!$A$33:$F$193,1+MATCH(VLOOKUP(A344,Personas!$A$2:$B$6,2,0),'SA Q4 18 W'!$B$4:$F$4,0),0)</f>
        <v>#REF!</v>
      </c>
      <c r="E344">
        <v>1</v>
      </c>
      <c r="G344">
        <v>1</v>
      </c>
      <c r="H344">
        <v>8</v>
      </c>
    </row>
    <row r="345" spans="1:8">
      <c r="A345">
        <f t="shared" si="10"/>
        <v>5</v>
      </c>
      <c r="B345">
        <f t="shared" si="11"/>
        <v>416</v>
      </c>
      <c r="C345" s="128">
        <v>43101</v>
      </c>
      <c r="D345" s="25" t="e">
        <f>VLOOKUP(VLOOKUP(B345,SuiteCatSubElem!$G$2:$G$667,2,0),'SA Q4 18 W'!$A$33:$F$193,1+MATCH(VLOOKUP(A345,Personas!$A$2:$B$6,2,0),'SA Q4 18 W'!$B$4:$F$4,0),0)</f>
        <v>#REF!</v>
      </c>
      <c r="E345">
        <v>1</v>
      </c>
      <c r="G345">
        <v>1</v>
      </c>
      <c r="H345">
        <v>8</v>
      </c>
    </row>
    <row r="346" spans="1:8">
      <c r="A346">
        <f t="shared" si="10"/>
        <v>5</v>
      </c>
      <c r="B346">
        <f t="shared" si="11"/>
        <v>417</v>
      </c>
      <c r="C346" s="128">
        <v>43101</v>
      </c>
      <c r="D346" s="25" t="e">
        <f>VLOOKUP(VLOOKUP(B346,SuiteCatSubElem!$G$2:$G$667,2,0),'SA Q4 18 W'!$A$33:$F$193,1+MATCH(VLOOKUP(A346,Personas!$A$2:$B$6,2,0),'SA Q4 18 W'!$B$4:$F$4,0),0)</f>
        <v>#REF!</v>
      </c>
      <c r="E346">
        <v>1</v>
      </c>
      <c r="G346">
        <v>1</v>
      </c>
      <c r="H346">
        <v>8</v>
      </c>
    </row>
    <row r="347" spans="1:8">
      <c r="A347">
        <f t="shared" si="10"/>
        <v>5</v>
      </c>
      <c r="B347">
        <f t="shared" si="11"/>
        <v>418</v>
      </c>
      <c r="C347" s="128">
        <v>43101</v>
      </c>
      <c r="D347" s="25" t="e">
        <f>VLOOKUP(VLOOKUP(B347,SuiteCatSubElem!$G$2:$G$667,2,0),'SA Q4 18 W'!$A$33:$F$193,1+MATCH(VLOOKUP(A347,Personas!$A$2:$B$6,2,0),'SA Q4 18 W'!$B$4:$F$4,0),0)</f>
        <v>#REF!</v>
      </c>
      <c r="E347">
        <v>1</v>
      </c>
      <c r="G347">
        <v>1</v>
      </c>
      <c r="H347">
        <v>8</v>
      </c>
    </row>
    <row r="348" spans="1:8">
      <c r="A348">
        <f t="shared" si="10"/>
        <v>5</v>
      </c>
      <c r="B348">
        <f t="shared" si="11"/>
        <v>419</v>
      </c>
      <c r="C348" s="128">
        <v>43101</v>
      </c>
      <c r="D348" s="25" t="e">
        <f>VLOOKUP(VLOOKUP(B348,SuiteCatSubElem!$G$2:$G$667,2,0),'SA Q4 18 W'!$A$33:$F$193,1+MATCH(VLOOKUP(A348,Personas!$A$2:$B$6,2,0),'SA Q4 18 W'!$B$4:$F$4,0),0)</f>
        <v>#REF!</v>
      </c>
      <c r="E348">
        <v>1</v>
      </c>
      <c r="G348">
        <v>1</v>
      </c>
      <c r="H348">
        <v>8</v>
      </c>
    </row>
    <row r="349" spans="1:8">
      <c r="A349">
        <f t="shared" si="10"/>
        <v>5</v>
      </c>
      <c r="B349">
        <f t="shared" si="11"/>
        <v>420</v>
      </c>
      <c r="C349" s="128">
        <v>43101</v>
      </c>
      <c r="D349" s="25" t="e">
        <f>VLOOKUP(VLOOKUP(B349,SuiteCatSubElem!$G$2:$G$667,2,0),'SA Q4 18 W'!$A$33:$F$193,1+MATCH(VLOOKUP(A349,Personas!$A$2:$B$6,2,0),'SA Q4 18 W'!$B$4:$F$4,0),0)</f>
        <v>#REF!</v>
      </c>
      <c r="E349">
        <v>1</v>
      </c>
      <c r="G349">
        <v>1</v>
      </c>
      <c r="H349">
        <v>8</v>
      </c>
    </row>
    <row r="350" spans="1:8">
      <c r="A350">
        <f t="shared" si="10"/>
        <v>5</v>
      </c>
      <c r="B350">
        <f t="shared" si="11"/>
        <v>421</v>
      </c>
      <c r="C350" s="128">
        <v>43101</v>
      </c>
      <c r="D350" s="25" t="e">
        <f>VLOOKUP(VLOOKUP(B350,SuiteCatSubElem!$G$2:$G$667,2,0),'SA Q4 18 W'!$A$33:$F$193,1+MATCH(VLOOKUP(A350,Personas!$A$2:$B$6,2,0),'SA Q4 18 W'!$B$4:$F$4,0),0)</f>
        <v>#REF!</v>
      </c>
      <c r="E350">
        <v>1</v>
      </c>
      <c r="G350">
        <v>1</v>
      </c>
      <c r="H350">
        <v>8</v>
      </c>
    </row>
    <row r="351" spans="1:8">
      <c r="A351">
        <f t="shared" si="10"/>
        <v>5</v>
      </c>
      <c r="B351">
        <f t="shared" si="11"/>
        <v>422</v>
      </c>
      <c r="C351" s="128">
        <v>43101</v>
      </c>
      <c r="D351" s="25" t="e">
        <f>VLOOKUP(VLOOKUP(B351,SuiteCatSubElem!$G$2:$G$667,2,0),'SA Q4 18 W'!$A$33:$F$193,1+MATCH(VLOOKUP(A351,Personas!$A$2:$B$6,2,0),'SA Q4 18 W'!$B$4:$F$4,0),0)</f>
        <v>#REF!</v>
      </c>
      <c r="E351">
        <v>1</v>
      </c>
      <c r="G351">
        <v>1</v>
      </c>
      <c r="H351">
        <v>8</v>
      </c>
    </row>
    <row r="352" spans="1:8">
      <c r="A352">
        <f t="shared" si="10"/>
        <v>5</v>
      </c>
      <c r="B352">
        <f t="shared" si="11"/>
        <v>423</v>
      </c>
      <c r="C352" s="128">
        <v>43101</v>
      </c>
      <c r="D352" s="25" t="e">
        <f>VLOOKUP(VLOOKUP(B352,SuiteCatSubElem!$G$2:$G$667,2,0),'SA Q4 18 W'!$A$33:$F$193,1+MATCH(VLOOKUP(A352,Personas!$A$2:$B$6,2,0),'SA Q4 18 W'!$B$4:$F$4,0),0)</f>
        <v>#REF!</v>
      </c>
      <c r="E352">
        <v>1</v>
      </c>
      <c r="G352">
        <v>1</v>
      </c>
      <c r="H352">
        <v>8</v>
      </c>
    </row>
    <row r="353" spans="1:8">
      <c r="A353">
        <f t="shared" si="10"/>
        <v>5</v>
      </c>
      <c r="B353">
        <f t="shared" si="11"/>
        <v>424</v>
      </c>
      <c r="C353" s="128">
        <v>43101</v>
      </c>
      <c r="D353" s="25" t="e">
        <f>VLOOKUP(VLOOKUP(B353,SuiteCatSubElem!$G$2:$G$667,2,0),'SA Q4 18 W'!$A$33:$F$193,1+MATCH(VLOOKUP(A353,Personas!$A$2:$B$6,2,0),'SA Q4 18 W'!$B$4:$F$4,0),0)</f>
        <v>#REF!</v>
      </c>
      <c r="E353">
        <v>1</v>
      </c>
      <c r="G353">
        <v>1</v>
      </c>
      <c r="H353">
        <v>8</v>
      </c>
    </row>
    <row r="354" spans="1:8">
      <c r="A354">
        <f t="shared" si="10"/>
        <v>5</v>
      </c>
      <c r="B354">
        <f t="shared" si="11"/>
        <v>425</v>
      </c>
      <c r="C354" s="128">
        <v>43101</v>
      </c>
      <c r="D354" s="25" t="e">
        <f>VLOOKUP(VLOOKUP(B354,SuiteCatSubElem!$G$2:$G$667,2,0),'SA Q4 18 W'!$A$33:$F$193,1+MATCH(VLOOKUP(A354,Personas!$A$2:$B$6,2,0),'SA Q4 18 W'!$B$4:$F$4,0),0)</f>
        <v>#REF!</v>
      </c>
      <c r="E354">
        <v>1</v>
      </c>
      <c r="G354">
        <v>1</v>
      </c>
      <c r="H354">
        <v>8</v>
      </c>
    </row>
    <row r="355" spans="1:8">
      <c r="A355">
        <f t="shared" si="10"/>
        <v>5</v>
      </c>
      <c r="B355">
        <f t="shared" si="11"/>
        <v>426</v>
      </c>
      <c r="C355" s="128">
        <v>43101</v>
      </c>
      <c r="D355" s="25" t="e">
        <f>VLOOKUP(VLOOKUP(B355,SuiteCatSubElem!$G$2:$G$667,2,0),'SA Q4 18 W'!$A$33:$F$193,1+MATCH(VLOOKUP(A355,Personas!$A$2:$B$6,2,0),'SA Q4 18 W'!$B$4:$F$4,0),0)</f>
        <v>#REF!</v>
      </c>
      <c r="E355">
        <v>1</v>
      </c>
      <c r="G355">
        <v>1</v>
      </c>
      <c r="H355">
        <v>8</v>
      </c>
    </row>
    <row r="356" spans="1:8">
      <c r="A356">
        <f t="shared" ref="A356:A395" si="12">A272+1</f>
        <v>5</v>
      </c>
      <c r="B356">
        <f t="shared" ref="B356:B395" si="13">B272</f>
        <v>427</v>
      </c>
      <c r="C356" s="128">
        <v>43101</v>
      </c>
      <c r="D356" s="25" t="e">
        <f>VLOOKUP(VLOOKUP(B356,SuiteCatSubElem!$G$2:$G$667,2,0),'SA Q4 18 W'!$A$33:$F$193,1+MATCH(VLOOKUP(A356,Personas!$A$2:$B$6,2,0),'SA Q4 18 W'!$B$4:$F$4,0),0)</f>
        <v>#REF!</v>
      </c>
      <c r="E356">
        <v>1</v>
      </c>
      <c r="G356">
        <v>1</v>
      </c>
      <c r="H356">
        <v>8</v>
      </c>
    </row>
    <row r="357" spans="1:8">
      <c r="A357">
        <f t="shared" si="12"/>
        <v>5</v>
      </c>
      <c r="B357">
        <f t="shared" si="13"/>
        <v>428</v>
      </c>
      <c r="C357" s="128">
        <v>43101</v>
      </c>
      <c r="D357" s="25" t="e">
        <f>VLOOKUP(VLOOKUP(B357,SuiteCatSubElem!$G$2:$G$667,2,0),'SA Q4 18 W'!$A$33:$F$193,1+MATCH(VLOOKUP(A357,Personas!$A$2:$B$6,2,0),'SA Q4 18 W'!$B$4:$F$4,0),0)</f>
        <v>#REF!</v>
      </c>
      <c r="E357">
        <v>1</v>
      </c>
      <c r="G357">
        <v>1</v>
      </c>
      <c r="H357">
        <v>8</v>
      </c>
    </row>
    <row r="358" spans="1:8">
      <c r="A358">
        <f t="shared" si="12"/>
        <v>5</v>
      </c>
      <c r="B358">
        <f t="shared" si="13"/>
        <v>429</v>
      </c>
      <c r="C358" s="128">
        <v>43101</v>
      </c>
      <c r="D358" s="25" t="e">
        <f>VLOOKUP(VLOOKUP(B358,SuiteCatSubElem!$G$2:$G$667,2,0),'SA Q4 18 W'!$A$33:$F$193,1+MATCH(VLOOKUP(A358,Personas!$A$2:$B$6,2,0),'SA Q4 18 W'!$B$4:$F$4,0),0)</f>
        <v>#REF!</v>
      </c>
      <c r="E358">
        <v>1</v>
      </c>
      <c r="G358">
        <v>1</v>
      </c>
      <c r="H358">
        <v>8</v>
      </c>
    </row>
    <row r="359" spans="1:8">
      <c r="A359">
        <f t="shared" si="12"/>
        <v>5</v>
      </c>
      <c r="B359">
        <f t="shared" si="13"/>
        <v>430</v>
      </c>
      <c r="C359" s="128">
        <v>43101</v>
      </c>
      <c r="D359" s="25" t="e">
        <f>VLOOKUP(VLOOKUP(B359,SuiteCatSubElem!$G$2:$G$667,2,0),'SA Q4 18 W'!$A$33:$F$193,1+MATCH(VLOOKUP(A359,Personas!$A$2:$B$6,2,0),'SA Q4 18 W'!$B$4:$F$4,0),0)</f>
        <v>#REF!</v>
      </c>
      <c r="E359">
        <v>1</v>
      </c>
      <c r="G359">
        <v>1</v>
      </c>
      <c r="H359">
        <v>8</v>
      </c>
    </row>
    <row r="360" spans="1:8">
      <c r="A360">
        <f t="shared" si="12"/>
        <v>5</v>
      </c>
      <c r="B360">
        <f t="shared" si="13"/>
        <v>431</v>
      </c>
      <c r="C360" s="128">
        <v>43101</v>
      </c>
      <c r="D360" s="25" t="e">
        <f>VLOOKUP(VLOOKUP(B360,SuiteCatSubElem!$G$2:$G$667,2,0),'SA Q4 18 W'!$A$33:$F$193,1+MATCH(VLOOKUP(A360,Personas!$A$2:$B$6,2,0),'SA Q4 18 W'!$B$4:$F$4,0),0)</f>
        <v>#REF!</v>
      </c>
      <c r="E360">
        <v>1</v>
      </c>
      <c r="G360">
        <v>1</v>
      </c>
      <c r="H360">
        <v>8</v>
      </c>
    </row>
    <row r="361" spans="1:8">
      <c r="A361">
        <f t="shared" si="12"/>
        <v>5</v>
      </c>
      <c r="B361">
        <f t="shared" si="13"/>
        <v>432</v>
      </c>
      <c r="C361" s="128">
        <v>43101</v>
      </c>
      <c r="D361" s="25" t="e">
        <f>VLOOKUP(VLOOKUP(B361,SuiteCatSubElem!$G$2:$G$667,2,0),'SA Q4 18 W'!$A$33:$F$193,1+MATCH(VLOOKUP(A361,Personas!$A$2:$B$6,2,0),'SA Q4 18 W'!$B$4:$F$4,0),0)</f>
        <v>#REF!</v>
      </c>
      <c r="E361">
        <v>1</v>
      </c>
      <c r="G361">
        <v>1</v>
      </c>
      <c r="H361">
        <v>8</v>
      </c>
    </row>
    <row r="362" spans="1:8">
      <c r="A362">
        <f t="shared" si="12"/>
        <v>5</v>
      </c>
      <c r="B362">
        <f t="shared" si="13"/>
        <v>433</v>
      </c>
      <c r="C362" s="128">
        <v>43101</v>
      </c>
      <c r="D362" s="25" t="e">
        <f>VLOOKUP(VLOOKUP(B362,SuiteCatSubElem!$G$2:$G$667,2,0),'SA Q4 18 W'!$A$33:$F$193,1+MATCH(VLOOKUP(A362,Personas!$A$2:$B$6,2,0),'SA Q4 18 W'!$B$4:$F$4,0),0)</f>
        <v>#REF!</v>
      </c>
      <c r="E362">
        <v>1</v>
      </c>
      <c r="G362">
        <v>1</v>
      </c>
      <c r="H362">
        <v>8</v>
      </c>
    </row>
    <row r="363" spans="1:8">
      <c r="A363">
        <f t="shared" si="12"/>
        <v>5</v>
      </c>
      <c r="B363">
        <f t="shared" si="13"/>
        <v>434</v>
      </c>
      <c r="C363" s="128">
        <v>43101</v>
      </c>
      <c r="D363" s="25" t="e">
        <f>VLOOKUP(VLOOKUP(B363,SuiteCatSubElem!$G$2:$G$667,2,0),'SA Q4 18 W'!$A$33:$F$193,1+MATCH(VLOOKUP(A363,Personas!$A$2:$B$6,2,0),'SA Q4 18 W'!$B$4:$F$4,0),0)</f>
        <v>#REF!</v>
      </c>
      <c r="E363">
        <v>1</v>
      </c>
      <c r="G363">
        <v>1</v>
      </c>
      <c r="H363">
        <v>8</v>
      </c>
    </row>
    <row r="364" spans="1:8">
      <c r="A364">
        <f t="shared" si="12"/>
        <v>5</v>
      </c>
      <c r="B364">
        <f t="shared" si="13"/>
        <v>435</v>
      </c>
      <c r="C364" s="128">
        <v>43101</v>
      </c>
      <c r="D364" s="25" t="e">
        <f>VLOOKUP(VLOOKUP(B364,SuiteCatSubElem!$G$2:$G$667,2,0),'SA Q4 18 W'!$A$33:$F$193,1+MATCH(VLOOKUP(A364,Personas!$A$2:$B$6,2,0),'SA Q4 18 W'!$B$4:$F$4,0),0)</f>
        <v>#REF!</v>
      </c>
      <c r="E364">
        <v>1</v>
      </c>
      <c r="G364">
        <v>1</v>
      </c>
      <c r="H364">
        <v>8</v>
      </c>
    </row>
    <row r="365" spans="1:8">
      <c r="A365">
        <f t="shared" si="12"/>
        <v>5</v>
      </c>
      <c r="B365">
        <f t="shared" si="13"/>
        <v>436</v>
      </c>
      <c r="C365" s="128">
        <v>43101</v>
      </c>
      <c r="D365" s="25" t="e">
        <f>VLOOKUP(VLOOKUP(B365,SuiteCatSubElem!$G$2:$G$667,2,0),'SA Q4 18 W'!$A$33:$F$193,1+MATCH(VLOOKUP(A365,Personas!$A$2:$B$6,2,0),'SA Q4 18 W'!$B$4:$F$4,0),0)</f>
        <v>#REF!</v>
      </c>
      <c r="E365">
        <v>1</v>
      </c>
      <c r="G365">
        <v>1</v>
      </c>
      <c r="H365">
        <v>8</v>
      </c>
    </row>
    <row r="366" spans="1:8">
      <c r="A366">
        <f t="shared" si="12"/>
        <v>5</v>
      </c>
      <c r="B366">
        <f t="shared" si="13"/>
        <v>437</v>
      </c>
      <c r="C366" s="128">
        <v>43101</v>
      </c>
      <c r="D366" s="25" t="e">
        <f>VLOOKUP(VLOOKUP(B366,SuiteCatSubElem!$G$2:$G$667,2,0),'SA Q4 18 W'!$A$33:$F$193,1+MATCH(VLOOKUP(A366,Personas!$A$2:$B$6,2,0),'SA Q4 18 W'!$B$4:$F$4,0),0)</f>
        <v>#REF!</v>
      </c>
      <c r="E366">
        <v>1</v>
      </c>
      <c r="G366">
        <v>1</v>
      </c>
      <c r="H366">
        <v>8</v>
      </c>
    </row>
    <row r="367" spans="1:8">
      <c r="A367">
        <f t="shared" si="12"/>
        <v>5</v>
      </c>
      <c r="B367">
        <f t="shared" si="13"/>
        <v>438</v>
      </c>
      <c r="C367" s="128">
        <v>43101</v>
      </c>
      <c r="D367" s="25" t="e">
        <f>VLOOKUP(VLOOKUP(B367,SuiteCatSubElem!$G$2:$G$667,2,0),'SA Q4 18 W'!$A$33:$F$193,1+MATCH(VLOOKUP(A367,Personas!$A$2:$B$6,2,0),'SA Q4 18 W'!$B$4:$F$4,0),0)</f>
        <v>#REF!</v>
      </c>
      <c r="E367">
        <v>1</v>
      </c>
      <c r="G367">
        <v>1</v>
      </c>
      <c r="H367">
        <v>8</v>
      </c>
    </row>
    <row r="368" spans="1:8">
      <c r="A368">
        <f t="shared" si="12"/>
        <v>5</v>
      </c>
      <c r="B368">
        <f t="shared" si="13"/>
        <v>439</v>
      </c>
      <c r="C368" s="128">
        <v>43101</v>
      </c>
      <c r="D368" s="25" t="e">
        <f>VLOOKUP(VLOOKUP(B368,SuiteCatSubElem!$G$2:$G$667,2,0),'SA Q4 18 W'!$A$33:$F$193,1+MATCH(VLOOKUP(A368,Personas!$A$2:$B$6,2,0),'SA Q4 18 W'!$B$4:$F$4,0),0)</f>
        <v>#REF!</v>
      </c>
      <c r="E368">
        <v>1</v>
      </c>
      <c r="G368">
        <v>1</v>
      </c>
      <c r="H368">
        <v>8</v>
      </c>
    </row>
    <row r="369" spans="1:8">
      <c r="A369">
        <f t="shared" si="12"/>
        <v>5</v>
      </c>
      <c r="B369">
        <f t="shared" si="13"/>
        <v>440</v>
      </c>
      <c r="C369" s="128">
        <v>43101</v>
      </c>
      <c r="D369" s="25" t="e">
        <f>VLOOKUP(VLOOKUP(B369,SuiteCatSubElem!$G$2:$G$667,2,0),'SA Q4 18 W'!$A$33:$F$193,1+MATCH(VLOOKUP(A369,Personas!$A$2:$B$6,2,0),'SA Q4 18 W'!$B$4:$F$4,0),0)</f>
        <v>#REF!</v>
      </c>
      <c r="E369">
        <v>1</v>
      </c>
      <c r="G369">
        <v>1</v>
      </c>
      <c r="H369">
        <v>8</v>
      </c>
    </row>
    <row r="370" spans="1:8">
      <c r="A370">
        <f t="shared" si="12"/>
        <v>5</v>
      </c>
      <c r="B370">
        <f t="shared" si="13"/>
        <v>441</v>
      </c>
      <c r="C370" s="128">
        <v>43101</v>
      </c>
      <c r="D370" s="25" t="e">
        <f>VLOOKUP(VLOOKUP(B370,SuiteCatSubElem!$G$2:$G$667,2,0),'SA Q4 18 W'!$A$33:$F$193,1+MATCH(VLOOKUP(A370,Personas!$A$2:$B$6,2,0),'SA Q4 18 W'!$B$4:$F$4,0),0)</f>
        <v>#REF!</v>
      </c>
      <c r="E370">
        <v>1</v>
      </c>
      <c r="G370">
        <v>1</v>
      </c>
      <c r="H370">
        <v>8</v>
      </c>
    </row>
    <row r="371" spans="1:8">
      <c r="A371">
        <f t="shared" si="12"/>
        <v>5</v>
      </c>
      <c r="B371">
        <f t="shared" si="13"/>
        <v>442</v>
      </c>
      <c r="C371" s="128">
        <v>43101</v>
      </c>
      <c r="D371" s="25" t="e">
        <f>VLOOKUP(VLOOKUP(B371,SuiteCatSubElem!$G$2:$G$667,2,0),'SA Q4 18 W'!$A$33:$F$193,1+MATCH(VLOOKUP(A371,Personas!$A$2:$B$6,2,0),'SA Q4 18 W'!$B$4:$F$4,0),0)</f>
        <v>#REF!</v>
      </c>
      <c r="E371">
        <v>1</v>
      </c>
      <c r="G371">
        <v>1</v>
      </c>
      <c r="H371">
        <v>8</v>
      </c>
    </row>
    <row r="372" spans="1:8">
      <c r="A372">
        <f t="shared" si="12"/>
        <v>5</v>
      </c>
      <c r="B372">
        <f t="shared" si="13"/>
        <v>443</v>
      </c>
      <c r="C372" s="128">
        <v>43101</v>
      </c>
      <c r="D372" s="25" t="e">
        <f>VLOOKUP(VLOOKUP(B372,SuiteCatSubElem!$G$2:$G$667,2,0),'SA Q4 18 W'!$A$33:$F$193,1+MATCH(VLOOKUP(A372,Personas!$A$2:$B$6,2,0),'SA Q4 18 W'!$B$4:$F$4,0),0)</f>
        <v>#REF!</v>
      </c>
      <c r="E372">
        <v>1</v>
      </c>
      <c r="G372">
        <v>1</v>
      </c>
      <c r="H372">
        <v>8</v>
      </c>
    </row>
    <row r="373" spans="1:8">
      <c r="A373">
        <f t="shared" si="12"/>
        <v>5</v>
      </c>
      <c r="B373">
        <f t="shared" si="13"/>
        <v>445</v>
      </c>
      <c r="C373" s="128">
        <v>43101</v>
      </c>
      <c r="D373" s="25" t="e">
        <f>VLOOKUP(VLOOKUP(B373,SuiteCatSubElem!$G$2:$G$667,2,0),'SA Q4 18 W'!$A$33:$F$193,1+MATCH(VLOOKUP(A373,Personas!$A$2:$B$6,2,0),'SA Q4 18 W'!$B$4:$F$4,0),0)</f>
        <v>#REF!</v>
      </c>
      <c r="E373">
        <v>1</v>
      </c>
      <c r="G373">
        <v>1</v>
      </c>
      <c r="H373">
        <v>8</v>
      </c>
    </row>
    <row r="374" spans="1:8">
      <c r="A374">
        <f t="shared" si="12"/>
        <v>5</v>
      </c>
      <c r="B374">
        <f t="shared" si="13"/>
        <v>446</v>
      </c>
      <c r="C374" s="128">
        <v>43101</v>
      </c>
      <c r="D374" s="25" t="e">
        <f>VLOOKUP(VLOOKUP(B374,SuiteCatSubElem!$G$2:$G$667,2,0),'SA Q4 18 W'!$A$33:$F$193,1+MATCH(VLOOKUP(A374,Personas!$A$2:$B$6,2,0),'SA Q4 18 W'!$B$4:$F$4,0),0)</f>
        <v>#REF!</v>
      </c>
      <c r="E374">
        <v>1</v>
      </c>
      <c r="G374">
        <v>1</v>
      </c>
      <c r="H374">
        <v>8</v>
      </c>
    </row>
    <row r="375" spans="1:8">
      <c r="A375">
        <f t="shared" si="12"/>
        <v>5</v>
      </c>
      <c r="B375">
        <f t="shared" si="13"/>
        <v>447</v>
      </c>
      <c r="C375" s="128">
        <v>43101</v>
      </c>
      <c r="D375" s="25" t="e">
        <f>VLOOKUP(VLOOKUP(B375,SuiteCatSubElem!$G$2:$G$667,2,0),'SA Q4 18 W'!$A$33:$F$193,1+MATCH(VLOOKUP(A375,Personas!$A$2:$B$6,2,0),'SA Q4 18 W'!$B$4:$F$4,0),0)</f>
        <v>#REF!</v>
      </c>
      <c r="E375">
        <v>1</v>
      </c>
      <c r="G375">
        <v>1</v>
      </c>
      <c r="H375">
        <v>8</v>
      </c>
    </row>
    <row r="376" spans="1:8">
      <c r="A376">
        <f t="shared" si="12"/>
        <v>5</v>
      </c>
      <c r="B376">
        <f t="shared" si="13"/>
        <v>448</v>
      </c>
      <c r="C376" s="128">
        <v>43101</v>
      </c>
      <c r="D376" s="25" t="e">
        <f>VLOOKUP(VLOOKUP(B376,SuiteCatSubElem!$G$2:$G$667,2,0),'SA Q4 18 W'!$A$33:$F$193,1+MATCH(VLOOKUP(A376,Personas!$A$2:$B$6,2,0),'SA Q4 18 W'!$B$4:$F$4,0),0)</f>
        <v>#REF!</v>
      </c>
      <c r="E376">
        <v>1</v>
      </c>
      <c r="G376">
        <v>1</v>
      </c>
      <c r="H376">
        <v>8</v>
      </c>
    </row>
    <row r="377" spans="1:8">
      <c r="A377">
        <f t="shared" si="12"/>
        <v>5</v>
      </c>
      <c r="B377">
        <f t="shared" si="13"/>
        <v>449</v>
      </c>
      <c r="C377" s="128">
        <v>43101</v>
      </c>
      <c r="D377" s="25" t="e">
        <f>VLOOKUP(VLOOKUP(B377,SuiteCatSubElem!$G$2:$G$667,2,0),'SA Q4 18 W'!$A$33:$F$193,1+MATCH(VLOOKUP(A377,Personas!$A$2:$B$6,2,0),'SA Q4 18 W'!$B$4:$F$4,0),0)</f>
        <v>#REF!</v>
      </c>
      <c r="E377">
        <v>1</v>
      </c>
      <c r="G377">
        <v>1</v>
      </c>
      <c r="H377">
        <v>8</v>
      </c>
    </row>
    <row r="378" spans="1:8">
      <c r="A378">
        <f t="shared" si="12"/>
        <v>5</v>
      </c>
      <c r="B378">
        <f t="shared" si="13"/>
        <v>450</v>
      </c>
      <c r="C378" s="128">
        <v>43101</v>
      </c>
      <c r="D378" s="25" t="e">
        <f>VLOOKUP(VLOOKUP(B378,SuiteCatSubElem!$G$2:$G$667,2,0),'SA Q4 18 W'!$A$33:$F$193,1+MATCH(VLOOKUP(A378,Personas!$A$2:$B$6,2,0),'SA Q4 18 W'!$B$4:$F$4,0),0)</f>
        <v>#REF!</v>
      </c>
      <c r="E378">
        <v>1</v>
      </c>
      <c r="G378">
        <v>1</v>
      </c>
      <c r="H378">
        <v>8</v>
      </c>
    </row>
    <row r="379" spans="1:8">
      <c r="A379">
        <f t="shared" si="12"/>
        <v>5</v>
      </c>
      <c r="B379">
        <f t="shared" si="13"/>
        <v>451</v>
      </c>
      <c r="C379" s="128">
        <v>43101</v>
      </c>
      <c r="D379" s="25" t="e">
        <f>VLOOKUP(VLOOKUP(B379,SuiteCatSubElem!$G$2:$G$667,2,0),'SA Q4 18 W'!$A$33:$F$193,1+MATCH(VLOOKUP(A379,Personas!$A$2:$B$6,2,0),'SA Q4 18 W'!$B$4:$F$4,0),0)</f>
        <v>#REF!</v>
      </c>
      <c r="E379">
        <v>1</v>
      </c>
      <c r="G379">
        <v>1</v>
      </c>
      <c r="H379">
        <v>8</v>
      </c>
    </row>
    <row r="380" spans="1:8">
      <c r="A380">
        <f t="shared" si="12"/>
        <v>5</v>
      </c>
      <c r="B380">
        <f t="shared" si="13"/>
        <v>452</v>
      </c>
      <c r="C380" s="128">
        <v>43101</v>
      </c>
      <c r="D380" s="25" t="e">
        <f>VLOOKUP(VLOOKUP(B380,SuiteCatSubElem!$G$2:$G$667,2,0),'SA Q4 18 W'!$A$33:$F$193,1+MATCH(VLOOKUP(A380,Personas!$A$2:$B$6,2,0),'SA Q4 18 W'!$B$4:$F$4,0),0)</f>
        <v>#REF!</v>
      </c>
      <c r="E380">
        <v>1</v>
      </c>
      <c r="G380">
        <v>1</v>
      </c>
      <c r="H380">
        <v>8</v>
      </c>
    </row>
    <row r="381" spans="1:8">
      <c r="A381">
        <f t="shared" si="12"/>
        <v>5</v>
      </c>
      <c r="B381">
        <f t="shared" si="13"/>
        <v>453</v>
      </c>
      <c r="C381" s="128">
        <v>43101</v>
      </c>
      <c r="D381" s="25" t="e">
        <f>VLOOKUP(VLOOKUP(B381,SuiteCatSubElem!$G$2:$G$667,2,0),'SA Q4 18 W'!$A$33:$F$193,1+MATCH(VLOOKUP(A381,Personas!$A$2:$B$6,2,0),'SA Q4 18 W'!$B$4:$F$4,0),0)</f>
        <v>#REF!</v>
      </c>
      <c r="E381">
        <v>1</v>
      </c>
      <c r="G381">
        <v>1</v>
      </c>
      <c r="H381">
        <v>8</v>
      </c>
    </row>
    <row r="382" spans="1:8">
      <c r="A382">
        <f t="shared" si="12"/>
        <v>5</v>
      </c>
      <c r="B382">
        <f t="shared" si="13"/>
        <v>454</v>
      </c>
      <c r="C382" s="128">
        <v>43101</v>
      </c>
      <c r="D382" s="25" t="e">
        <f>VLOOKUP(VLOOKUP(B382,SuiteCatSubElem!$G$2:$G$667,2,0),'SA Q4 18 W'!$A$33:$F$193,1+MATCH(VLOOKUP(A382,Personas!$A$2:$B$6,2,0),'SA Q4 18 W'!$B$4:$F$4,0),0)</f>
        <v>#REF!</v>
      </c>
      <c r="E382">
        <v>1</v>
      </c>
      <c r="G382">
        <v>1</v>
      </c>
      <c r="H382">
        <v>8</v>
      </c>
    </row>
    <row r="383" spans="1:8">
      <c r="A383">
        <f t="shared" si="12"/>
        <v>5</v>
      </c>
      <c r="B383">
        <f t="shared" si="13"/>
        <v>455</v>
      </c>
      <c r="C383" s="128">
        <v>43101</v>
      </c>
      <c r="D383" s="25" t="e">
        <f>VLOOKUP(VLOOKUP(B383,SuiteCatSubElem!$G$2:$G$667,2,0),'SA Q4 18 W'!$A$33:$F$193,1+MATCH(VLOOKUP(A383,Personas!$A$2:$B$6,2,0),'SA Q4 18 W'!$B$4:$F$4,0),0)</f>
        <v>#REF!</v>
      </c>
      <c r="E383">
        <v>1</v>
      </c>
      <c r="G383">
        <v>1</v>
      </c>
      <c r="H383">
        <v>8</v>
      </c>
    </row>
    <row r="384" spans="1:8">
      <c r="A384">
        <f t="shared" si="12"/>
        <v>5</v>
      </c>
      <c r="B384">
        <f t="shared" si="13"/>
        <v>456</v>
      </c>
      <c r="C384" s="128">
        <v>43101</v>
      </c>
      <c r="D384" s="25" t="e">
        <f>VLOOKUP(VLOOKUP(B384,SuiteCatSubElem!$G$2:$G$667,2,0),'SA Q4 18 W'!$A$33:$F$193,1+MATCH(VLOOKUP(A384,Personas!$A$2:$B$6,2,0),'SA Q4 18 W'!$B$4:$F$4,0),0)</f>
        <v>#REF!</v>
      </c>
      <c r="E384">
        <v>1</v>
      </c>
      <c r="G384">
        <v>1</v>
      </c>
      <c r="H384">
        <v>8</v>
      </c>
    </row>
    <row r="385" spans="1:8">
      <c r="A385">
        <f t="shared" si="12"/>
        <v>5</v>
      </c>
      <c r="B385">
        <f t="shared" si="13"/>
        <v>457</v>
      </c>
      <c r="C385" s="128">
        <v>43101</v>
      </c>
      <c r="D385" s="25" t="e">
        <f>VLOOKUP(VLOOKUP(B385,SuiteCatSubElem!$G$2:$G$667,2,0),'SA Q4 18 W'!$A$33:$F$193,1+MATCH(VLOOKUP(A385,Personas!$A$2:$B$6,2,0),'SA Q4 18 W'!$B$4:$F$4,0),0)</f>
        <v>#REF!</v>
      </c>
      <c r="E385">
        <v>1</v>
      </c>
      <c r="G385">
        <v>1</v>
      </c>
      <c r="H385">
        <v>8</v>
      </c>
    </row>
    <row r="386" spans="1:8">
      <c r="A386">
        <f t="shared" si="12"/>
        <v>5</v>
      </c>
      <c r="B386">
        <f t="shared" si="13"/>
        <v>458</v>
      </c>
      <c r="C386" s="128">
        <v>43101</v>
      </c>
      <c r="D386" s="25" t="e">
        <f>VLOOKUP(VLOOKUP(B386,SuiteCatSubElem!$G$2:$G$667,2,0),'SA Q4 18 W'!$A$33:$F$193,1+MATCH(VLOOKUP(A386,Personas!$A$2:$B$6,2,0),'SA Q4 18 W'!$B$4:$F$4,0),0)</f>
        <v>#REF!</v>
      </c>
      <c r="E386">
        <v>1</v>
      </c>
      <c r="G386">
        <v>1</v>
      </c>
      <c r="H386">
        <v>8</v>
      </c>
    </row>
    <row r="387" spans="1:8">
      <c r="A387">
        <f t="shared" si="12"/>
        <v>5</v>
      </c>
      <c r="B387">
        <f t="shared" si="13"/>
        <v>459</v>
      </c>
      <c r="C387" s="128">
        <v>43101</v>
      </c>
      <c r="D387" s="25" t="e">
        <f>VLOOKUP(VLOOKUP(B387,SuiteCatSubElem!$G$2:$G$667,2,0),'SA Q4 18 W'!$A$33:$F$193,1+MATCH(VLOOKUP(A387,Personas!$A$2:$B$6,2,0),'SA Q4 18 W'!$B$4:$F$4,0),0)</f>
        <v>#REF!</v>
      </c>
      <c r="E387">
        <v>1</v>
      </c>
      <c r="G387">
        <v>1</v>
      </c>
      <c r="H387">
        <v>8</v>
      </c>
    </row>
    <row r="388" spans="1:8">
      <c r="A388">
        <f t="shared" si="12"/>
        <v>5</v>
      </c>
      <c r="B388">
        <f t="shared" si="13"/>
        <v>460</v>
      </c>
      <c r="C388" s="128">
        <v>43101</v>
      </c>
      <c r="D388" s="25" t="e">
        <f>VLOOKUP(VLOOKUP(B388,SuiteCatSubElem!$G$2:$G$667,2,0),'SA Q4 18 W'!$A$33:$F$193,1+MATCH(VLOOKUP(A388,Personas!$A$2:$B$6,2,0),'SA Q4 18 W'!$B$4:$F$4,0),0)</f>
        <v>#REF!</v>
      </c>
      <c r="E388">
        <v>1</v>
      </c>
      <c r="G388">
        <v>1</v>
      </c>
      <c r="H388">
        <v>8</v>
      </c>
    </row>
    <row r="389" spans="1:8">
      <c r="A389">
        <f t="shared" si="12"/>
        <v>5</v>
      </c>
      <c r="B389">
        <f t="shared" si="13"/>
        <v>461</v>
      </c>
      <c r="C389" s="128">
        <v>43101</v>
      </c>
      <c r="D389" s="25" t="e">
        <f>VLOOKUP(VLOOKUP(B389,SuiteCatSubElem!$G$2:$G$667,2,0),'SA Q4 18 W'!$A$33:$F$193,1+MATCH(VLOOKUP(A389,Personas!$A$2:$B$6,2,0),'SA Q4 18 W'!$B$4:$F$4,0),0)</f>
        <v>#REF!</v>
      </c>
      <c r="E389">
        <v>1</v>
      </c>
      <c r="G389">
        <v>1</v>
      </c>
      <c r="H389">
        <v>8</v>
      </c>
    </row>
    <row r="390" spans="1:8">
      <c r="A390">
        <f t="shared" si="12"/>
        <v>5</v>
      </c>
      <c r="B390">
        <f t="shared" si="13"/>
        <v>462</v>
      </c>
      <c r="C390" s="128">
        <v>43101</v>
      </c>
      <c r="D390" s="25" t="e">
        <f>VLOOKUP(VLOOKUP(B390,SuiteCatSubElem!$G$2:$G$667,2,0),'SA Q4 18 W'!$A$33:$F$193,1+MATCH(VLOOKUP(A390,Personas!$A$2:$B$6,2,0),'SA Q4 18 W'!$B$4:$F$4,0),0)</f>
        <v>#REF!</v>
      </c>
      <c r="E390">
        <v>1</v>
      </c>
      <c r="G390">
        <v>1</v>
      </c>
      <c r="H390">
        <v>8</v>
      </c>
    </row>
    <row r="391" spans="1:8">
      <c r="A391">
        <f t="shared" si="12"/>
        <v>5</v>
      </c>
      <c r="B391">
        <f t="shared" si="13"/>
        <v>463</v>
      </c>
      <c r="C391" s="128">
        <v>43101</v>
      </c>
      <c r="D391" s="25" t="e">
        <f>VLOOKUP(VLOOKUP(B391,SuiteCatSubElem!$G$2:$G$667,2,0),'SA Q4 18 W'!$A$33:$F$193,1+MATCH(VLOOKUP(A391,Personas!$A$2:$B$6,2,0),'SA Q4 18 W'!$B$4:$F$4,0),0)</f>
        <v>#REF!</v>
      </c>
      <c r="E391">
        <v>1</v>
      </c>
      <c r="G391">
        <v>1</v>
      </c>
      <c r="H391">
        <v>8</v>
      </c>
    </row>
    <row r="392" spans="1:8">
      <c r="A392">
        <f t="shared" si="12"/>
        <v>5</v>
      </c>
      <c r="B392">
        <f t="shared" si="13"/>
        <v>464</v>
      </c>
      <c r="C392" s="128">
        <v>43101</v>
      </c>
      <c r="D392" s="25" t="e">
        <f>VLOOKUP(VLOOKUP(B392,SuiteCatSubElem!$G$2:$G$667,2,0),'SA Q4 18 W'!$A$33:$F$193,1+MATCH(VLOOKUP(A392,Personas!$A$2:$B$6,2,0),'SA Q4 18 W'!$B$4:$F$4,0),0)</f>
        <v>#REF!</v>
      </c>
      <c r="E392">
        <v>1</v>
      </c>
      <c r="G392">
        <v>1</v>
      </c>
      <c r="H392">
        <v>8</v>
      </c>
    </row>
    <row r="393" spans="1:8">
      <c r="A393">
        <f t="shared" si="12"/>
        <v>5</v>
      </c>
      <c r="B393">
        <f t="shared" si="13"/>
        <v>465</v>
      </c>
      <c r="C393" s="128">
        <v>43101</v>
      </c>
      <c r="D393" s="25" t="e">
        <f>VLOOKUP(VLOOKUP(B393,SuiteCatSubElem!$G$2:$G$667,2,0),'SA Q4 18 W'!$A$33:$F$193,1+MATCH(VLOOKUP(A393,Personas!$A$2:$B$6,2,0),'SA Q4 18 W'!$B$4:$F$4,0),0)</f>
        <v>#REF!</v>
      </c>
      <c r="E393">
        <v>1</v>
      </c>
      <c r="G393">
        <v>1</v>
      </c>
      <c r="H393">
        <v>8</v>
      </c>
    </row>
    <row r="394" spans="1:8">
      <c r="A394">
        <f t="shared" si="12"/>
        <v>5</v>
      </c>
      <c r="B394">
        <f t="shared" si="13"/>
        <v>466</v>
      </c>
      <c r="C394" s="128">
        <v>43101</v>
      </c>
      <c r="D394" s="25" t="e">
        <f>VLOOKUP(VLOOKUP(B394,SuiteCatSubElem!$G$2:$G$667,2,0),'SA Q4 18 W'!$A$33:$F$193,1+MATCH(VLOOKUP(A394,Personas!$A$2:$B$6,2,0),'SA Q4 18 W'!$B$4:$F$4,0),0)</f>
        <v>#REF!</v>
      </c>
      <c r="E394">
        <v>1</v>
      </c>
      <c r="G394">
        <v>1</v>
      </c>
      <c r="H394">
        <v>8</v>
      </c>
    </row>
    <row r="395" spans="1:8">
      <c r="A395">
        <f t="shared" si="12"/>
        <v>5</v>
      </c>
      <c r="B395">
        <f t="shared" si="13"/>
        <v>467</v>
      </c>
      <c r="C395" s="128">
        <v>43101</v>
      </c>
      <c r="D395" s="25" t="e">
        <f>VLOOKUP(VLOOKUP(B395,SuiteCatSubElem!$G$2:$G$667,2,0),'SA Q4 18 W'!$A$33:$F$193,1+MATCH(VLOOKUP(A395,Personas!$A$2:$B$6,2,0),'SA Q4 18 W'!$B$4:$F$4,0),0)</f>
        <v>#REF!</v>
      </c>
      <c r="E395">
        <v>1</v>
      </c>
      <c r="G395">
        <v>1</v>
      </c>
      <c r="H395">
        <v>8</v>
      </c>
    </row>
    <row r="396" spans="1:8">
      <c r="A396">
        <f>A312+1</f>
        <v>5</v>
      </c>
      <c r="B396">
        <f>B312</f>
        <v>468</v>
      </c>
      <c r="C396" s="128">
        <v>43101</v>
      </c>
      <c r="D396" s="25" t="e">
        <f>VLOOKUP(VLOOKUP(B396,SuiteCatSubElem!$G$2:$G$667,2,0),'SA Q4 18 W'!$A$33:$F$193,1+MATCH(VLOOKUP(A396,Personas!$A$2:$B$6,2,0),'SA Q4 18 W'!$B$4:$F$4,0),0)</f>
        <v>#REF!</v>
      </c>
      <c r="E396">
        <v>1</v>
      </c>
      <c r="G396">
        <v>1</v>
      </c>
      <c r="H396">
        <v>8</v>
      </c>
    </row>
    <row r="397" spans="1:8">
      <c r="A397">
        <f t="shared" ref="A397:A421" si="14">A313+1</f>
        <v>5</v>
      </c>
      <c r="B397">
        <f t="shared" ref="B397:B421" si="15">B313</f>
        <v>469</v>
      </c>
      <c r="C397" s="128">
        <v>43101</v>
      </c>
      <c r="D397" s="25" t="e">
        <f>VLOOKUP(VLOOKUP(B397,SuiteCatSubElem!$G$2:$G$667,2,0),'SA Q4 18 W'!$A$33:$F$193,1+MATCH(VLOOKUP(A397,Personas!$A$2:$B$6,2,0),'SA Q4 18 W'!$B$4:$F$4,0),0)</f>
        <v>#REF!</v>
      </c>
      <c r="E397">
        <v>1</v>
      </c>
      <c r="G397">
        <v>1</v>
      </c>
      <c r="H397">
        <v>8</v>
      </c>
    </row>
    <row r="398" spans="1:8">
      <c r="A398">
        <f t="shared" si="14"/>
        <v>5</v>
      </c>
      <c r="B398">
        <f t="shared" si="15"/>
        <v>470</v>
      </c>
      <c r="C398" s="128">
        <v>43101</v>
      </c>
      <c r="D398" s="25" t="e">
        <f>VLOOKUP(VLOOKUP(B398,SuiteCatSubElem!$G$2:$G$667,2,0),'SA Q4 18 W'!$A$33:$F$193,1+MATCH(VLOOKUP(A398,Personas!$A$2:$B$6,2,0),'SA Q4 18 W'!$B$4:$F$4,0),0)</f>
        <v>#REF!</v>
      </c>
      <c r="E398">
        <v>1</v>
      </c>
      <c r="G398">
        <v>1</v>
      </c>
      <c r="H398">
        <v>8</v>
      </c>
    </row>
    <row r="399" spans="1:8">
      <c r="A399">
        <f t="shared" si="14"/>
        <v>5</v>
      </c>
      <c r="B399">
        <f t="shared" si="15"/>
        <v>471</v>
      </c>
      <c r="C399" s="128">
        <v>43101</v>
      </c>
      <c r="D399" s="25" t="e">
        <f>VLOOKUP(VLOOKUP(B399,SuiteCatSubElem!$G$2:$G$667,2,0),'SA Q4 18 W'!$A$33:$F$193,1+MATCH(VLOOKUP(A399,Personas!$A$2:$B$6,2,0),'SA Q4 18 W'!$B$4:$F$4,0),0)</f>
        <v>#REF!</v>
      </c>
      <c r="E399">
        <v>1</v>
      </c>
      <c r="G399">
        <v>1</v>
      </c>
      <c r="H399">
        <v>8</v>
      </c>
    </row>
    <row r="400" spans="1:8">
      <c r="A400">
        <f t="shared" si="14"/>
        <v>5</v>
      </c>
      <c r="B400">
        <f t="shared" si="15"/>
        <v>472</v>
      </c>
      <c r="C400" s="128">
        <v>43101</v>
      </c>
      <c r="D400" s="25" t="e">
        <f>VLOOKUP(VLOOKUP(B400,SuiteCatSubElem!$G$2:$G$667,2,0),'SA Q4 18 W'!$A$33:$F$193,1+MATCH(VLOOKUP(A400,Personas!$A$2:$B$6,2,0),'SA Q4 18 W'!$B$4:$F$4,0),0)</f>
        <v>#REF!</v>
      </c>
      <c r="E400">
        <v>1</v>
      </c>
      <c r="G400">
        <v>1</v>
      </c>
      <c r="H400">
        <v>8</v>
      </c>
    </row>
    <row r="401" spans="1:8">
      <c r="A401">
        <f t="shared" si="14"/>
        <v>5</v>
      </c>
      <c r="B401">
        <f t="shared" si="15"/>
        <v>473</v>
      </c>
      <c r="C401" s="128">
        <v>43101</v>
      </c>
      <c r="D401" s="25" t="e">
        <f>VLOOKUP(VLOOKUP(B401,SuiteCatSubElem!$G$2:$G$667,2,0),'SA Q4 18 W'!$A$33:$F$193,1+MATCH(VLOOKUP(A401,Personas!$A$2:$B$6,2,0),'SA Q4 18 W'!$B$4:$F$4,0),0)</f>
        <v>#REF!</v>
      </c>
      <c r="E401">
        <v>1</v>
      </c>
      <c r="G401">
        <v>1</v>
      </c>
      <c r="H401">
        <v>8</v>
      </c>
    </row>
    <row r="402" spans="1:8">
      <c r="A402">
        <f t="shared" si="14"/>
        <v>5</v>
      </c>
      <c r="B402">
        <f t="shared" si="15"/>
        <v>474</v>
      </c>
      <c r="C402" s="128">
        <v>43101</v>
      </c>
      <c r="D402" s="25" t="e">
        <f>VLOOKUP(VLOOKUP(B402,SuiteCatSubElem!$G$2:$G$667,2,0),'SA Q4 18 W'!$A$33:$F$193,1+MATCH(VLOOKUP(A402,Personas!$A$2:$B$6,2,0),'SA Q4 18 W'!$B$4:$F$4,0),0)</f>
        <v>#REF!</v>
      </c>
      <c r="E402">
        <v>1</v>
      </c>
      <c r="G402">
        <v>1</v>
      </c>
      <c r="H402">
        <v>8</v>
      </c>
    </row>
    <row r="403" spans="1:8">
      <c r="A403">
        <f t="shared" si="14"/>
        <v>5</v>
      </c>
      <c r="B403">
        <f t="shared" si="15"/>
        <v>475</v>
      </c>
      <c r="C403" s="128">
        <v>43101</v>
      </c>
      <c r="D403" s="25" t="e">
        <f>VLOOKUP(VLOOKUP(B403,SuiteCatSubElem!$G$2:$G$667,2,0),'SA Q4 18 W'!$A$33:$F$193,1+MATCH(VLOOKUP(A403,Personas!$A$2:$B$6,2,0),'SA Q4 18 W'!$B$4:$F$4,0),0)</f>
        <v>#REF!</v>
      </c>
      <c r="E403">
        <v>1</v>
      </c>
      <c r="G403">
        <v>1</v>
      </c>
      <c r="H403">
        <v>8</v>
      </c>
    </row>
    <row r="404" spans="1:8">
      <c r="A404">
        <f t="shared" si="14"/>
        <v>5</v>
      </c>
      <c r="B404">
        <f t="shared" si="15"/>
        <v>476</v>
      </c>
      <c r="C404" s="128">
        <v>43101</v>
      </c>
      <c r="D404" s="25" t="e">
        <f>VLOOKUP(VLOOKUP(B404,SuiteCatSubElem!$G$2:$G$667,2,0),'SA Q4 18 W'!$A$33:$F$193,1+MATCH(VLOOKUP(A404,Personas!$A$2:$B$6,2,0),'SA Q4 18 W'!$B$4:$F$4,0),0)</f>
        <v>#REF!</v>
      </c>
      <c r="E404">
        <v>1</v>
      </c>
      <c r="G404">
        <v>1</v>
      </c>
      <c r="H404">
        <v>8</v>
      </c>
    </row>
    <row r="405" spans="1:8">
      <c r="A405">
        <f t="shared" si="14"/>
        <v>5</v>
      </c>
      <c r="B405">
        <f t="shared" si="15"/>
        <v>477</v>
      </c>
      <c r="C405" s="128">
        <v>43101</v>
      </c>
      <c r="D405" s="25" t="e">
        <f>VLOOKUP(VLOOKUP(B405,SuiteCatSubElem!$G$2:$G$667,2,0),'SA Q4 18 W'!$A$33:$F$193,1+MATCH(VLOOKUP(A405,Personas!$A$2:$B$6,2,0),'SA Q4 18 W'!$B$4:$F$4,0),0)</f>
        <v>#REF!</v>
      </c>
      <c r="E405">
        <v>1</v>
      </c>
      <c r="G405">
        <v>1</v>
      </c>
      <c r="H405">
        <v>8</v>
      </c>
    </row>
    <row r="406" spans="1:8">
      <c r="A406">
        <f t="shared" si="14"/>
        <v>5</v>
      </c>
      <c r="B406">
        <f t="shared" si="15"/>
        <v>478</v>
      </c>
      <c r="C406" s="128">
        <v>43101</v>
      </c>
      <c r="D406" s="25" t="e">
        <f>VLOOKUP(VLOOKUP(B406,SuiteCatSubElem!$G$2:$G$667,2,0),'SA Q4 18 W'!$A$33:$F$193,1+MATCH(VLOOKUP(A406,Personas!$A$2:$B$6,2,0),'SA Q4 18 W'!$B$4:$F$4,0),0)</f>
        <v>#REF!</v>
      </c>
      <c r="E406">
        <v>1</v>
      </c>
      <c r="G406">
        <v>1</v>
      </c>
      <c r="H406">
        <v>8</v>
      </c>
    </row>
    <row r="407" spans="1:8">
      <c r="A407">
        <f t="shared" si="14"/>
        <v>5</v>
      </c>
      <c r="B407">
        <f t="shared" si="15"/>
        <v>479</v>
      </c>
      <c r="C407" s="128">
        <v>43101</v>
      </c>
      <c r="D407" s="25" t="e">
        <f>VLOOKUP(VLOOKUP(B407,SuiteCatSubElem!$G$2:$G$667,2,0),'SA Q4 18 W'!$A$33:$F$193,1+MATCH(VLOOKUP(A407,Personas!$A$2:$B$6,2,0),'SA Q4 18 W'!$B$4:$F$4,0),0)</f>
        <v>#REF!</v>
      </c>
      <c r="E407">
        <v>1</v>
      </c>
      <c r="G407">
        <v>1</v>
      </c>
      <c r="H407">
        <v>8</v>
      </c>
    </row>
    <row r="408" spans="1:8">
      <c r="A408">
        <f t="shared" si="14"/>
        <v>5</v>
      </c>
      <c r="B408">
        <f t="shared" si="15"/>
        <v>480</v>
      </c>
      <c r="C408" s="128">
        <v>43101</v>
      </c>
      <c r="D408" s="25" t="e">
        <f>VLOOKUP(VLOOKUP(B408,SuiteCatSubElem!$G$2:$G$667,2,0),'SA Q4 18 W'!$A$33:$F$193,1+MATCH(VLOOKUP(A408,Personas!$A$2:$B$6,2,0),'SA Q4 18 W'!$B$4:$F$4,0),0)</f>
        <v>#REF!</v>
      </c>
      <c r="E408">
        <v>1</v>
      </c>
      <c r="G408">
        <v>1</v>
      </c>
      <c r="H408">
        <v>8</v>
      </c>
    </row>
    <row r="409" spans="1:8">
      <c r="A409">
        <f t="shared" si="14"/>
        <v>5</v>
      </c>
      <c r="B409">
        <f t="shared" si="15"/>
        <v>481</v>
      </c>
      <c r="C409" s="128">
        <v>43101</v>
      </c>
      <c r="D409" s="25" t="e">
        <f>VLOOKUP(VLOOKUP(B409,SuiteCatSubElem!$G$2:$G$667,2,0),'SA Q4 18 W'!$A$33:$F$193,1+MATCH(VLOOKUP(A409,Personas!$A$2:$B$6,2,0),'SA Q4 18 W'!$B$4:$F$4,0),0)</f>
        <v>#REF!</v>
      </c>
      <c r="E409">
        <v>1</v>
      </c>
      <c r="G409">
        <v>1</v>
      </c>
      <c r="H409">
        <v>8</v>
      </c>
    </row>
    <row r="410" spans="1:8">
      <c r="A410">
        <f t="shared" si="14"/>
        <v>5</v>
      </c>
      <c r="B410">
        <f t="shared" si="15"/>
        <v>482</v>
      </c>
      <c r="C410" s="128">
        <v>43101</v>
      </c>
      <c r="D410" s="25" t="e">
        <f>VLOOKUP(VLOOKUP(B410,SuiteCatSubElem!$G$2:$G$667,2,0),'SA Q4 18 W'!$A$33:$F$193,1+MATCH(VLOOKUP(A410,Personas!$A$2:$B$6,2,0),'SA Q4 18 W'!$B$4:$F$4,0),0)</f>
        <v>#REF!</v>
      </c>
      <c r="E410">
        <v>1</v>
      </c>
      <c r="G410">
        <v>1</v>
      </c>
      <c r="H410">
        <v>8</v>
      </c>
    </row>
    <row r="411" spans="1:8">
      <c r="A411">
        <f t="shared" si="14"/>
        <v>5</v>
      </c>
      <c r="B411">
        <f t="shared" si="15"/>
        <v>483</v>
      </c>
      <c r="C411" s="128">
        <v>43101</v>
      </c>
      <c r="D411" s="25" t="e">
        <f>VLOOKUP(VLOOKUP(B411,SuiteCatSubElem!$G$2:$G$667,2,0),'SA Q4 18 W'!$A$33:$F$193,1+MATCH(VLOOKUP(A411,Personas!$A$2:$B$6,2,0),'SA Q4 18 W'!$B$4:$F$4,0),0)</f>
        <v>#REF!</v>
      </c>
      <c r="E411">
        <v>1</v>
      </c>
      <c r="G411">
        <v>1</v>
      </c>
      <c r="H411">
        <v>8</v>
      </c>
    </row>
    <row r="412" spans="1:8">
      <c r="A412">
        <f t="shared" si="14"/>
        <v>5</v>
      </c>
      <c r="B412">
        <f t="shared" si="15"/>
        <v>484</v>
      </c>
      <c r="C412" s="128">
        <v>43101</v>
      </c>
      <c r="D412" s="25" t="e">
        <f>VLOOKUP(VLOOKUP(B412,SuiteCatSubElem!$G$2:$G$667,2,0),'SA Q4 18 W'!$A$33:$F$193,1+MATCH(VLOOKUP(A412,Personas!$A$2:$B$6,2,0),'SA Q4 18 W'!$B$4:$F$4,0),0)</f>
        <v>#REF!</v>
      </c>
      <c r="E412">
        <v>1</v>
      </c>
      <c r="G412">
        <v>1</v>
      </c>
      <c r="H412">
        <v>8</v>
      </c>
    </row>
    <row r="413" spans="1:8">
      <c r="A413">
        <f t="shared" si="14"/>
        <v>5</v>
      </c>
      <c r="B413">
        <f t="shared" si="15"/>
        <v>485</v>
      </c>
      <c r="C413" s="128">
        <v>43101</v>
      </c>
      <c r="D413" s="25" t="e">
        <f>VLOOKUP(VLOOKUP(B413,SuiteCatSubElem!$G$2:$G$667,2,0),'SA Q4 18 W'!$A$33:$F$193,1+MATCH(VLOOKUP(A413,Personas!$A$2:$B$6,2,0),'SA Q4 18 W'!$B$4:$F$4,0),0)</f>
        <v>#REF!</v>
      </c>
      <c r="E413">
        <v>1</v>
      </c>
      <c r="G413">
        <v>1</v>
      </c>
      <c r="H413">
        <v>8</v>
      </c>
    </row>
    <row r="414" spans="1:8">
      <c r="A414">
        <f t="shared" si="14"/>
        <v>5</v>
      </c>
      <c r="B414">
        <f t="shared" si="15"/>
        <v>486</v>
      </c>
      <c r="C414" s="128">
        <v>43101</v>
      </c>
      <c r="D414" s="25" t="e">
        <f>VLOOKUP(VLOOKUP(B414,SuiteCatSubElem!$G$2:$G$667,2,0),'SA Q4 18 W'!$A$33:$F$193,1+MATCH(VLOOKUP(A414,Personas!$A$2:$B$6,2,0),'SA Q4 18 W'!$B$4:$F$4,0),0)</f>
        <v>#REF!</v>
      </c>
      <c r="E414">
        <v>1</v>
      </c>
      <c r="G414">
        <v>1</v>
      </c>
      <c r="H414">
        <v>8</v>
      </c>
    </row>
    <row r="415" spans="1:8">
      <c r="A415">
        <f t="shared" si="14"/>
        <v>5</v>
      </c>
      <c r="B415">
        <f t="shared" si="15"/>
        <v>487</v>
      </c>
      <c r="C415" s="128">
        <v>43101</v>
      </c>
      <c r="D415" s="25" t="e">
        <f>VLOOKUP(VLOOKUP(B415,SuiteCatSubElem!$G$2:$G$667,2,0),'SA Q4 18 W'!$A$33:$F$193,1+MATCH(VLOOKUP(A415,Personas!$A$2:$B$6,2,0),'SA Q4 18 W'!$B$4:$F$4,0),0)</f>
        <v>#REF!</v>
      </c>
      <c r="E415">
        <v>1</v>
      </c>
      <c r="G415">
        <v>1</v>
      </c>
      <c r="H415">
        <v>8</v>
      </c>
    </row>
    <row r="416" spans="1:8">
      <c r="A416">
        <f t="shared" si="14"/>
        <v>5</v>
      </c>
      <c r="B416">
        <f t="shared" si="15"/>
        <v>488</v>
      </c>
      <c r="C416" s="128">
        <v>43101</v>
      </c>
      <c r="D416" s="25" t="e">
        <f>VLOOKUP(VLOOKUP(B416,SuiteCatSubElem!$G$2:$G$667,2,0),'SA Q4 18 W'!$A$33:$F$193,1+MATCH(VLOOKUP(A416,Personas!$A$2:$B$6,2,0),'SA Q4 18 W'!$B$4:$F$4,0),0)</f>
        <v>#REF!</v>
      </c>
      <c r="E416">
        <v>1</v>
      </c>
      <c r="G416">
        <v>1</v>
      </c>
      <c r="H416">
        <v>8</v>
      </c>
    </row>
    <row r="417" spans="1:8">
      <c r="A417">
        <f t="shared" si="14"/>
        <v>5</v>
      </c>
      <c r="B417">
        <f t="shared" si="15"/>
        <v>489</v>
      </c>
      <c r="C417" s="128">
        <v>43101</v>
      </c>
      <c r="D417" s="25" t="e">
        <f>VLOOKUP(VLOOKUP(B417,SuiteCatSubElem!$G$2:$G$667,2,0),'SA Q4 18 W'!$A$33:$F$193,1+MATCH(VLOOKUP(A417,Personas!$A$2:$B$6,2,0),'SA Q4 18 W'!$B$4:$F$4,0),0)</f>
        <v>#REF!</v>
      </c>
      <c r="E417">
        <v>1</v>
      </c>
      <c r="G417">
        <v>1</v>
      </c>
      <c r="H417">
        <v>8</v>
      </c>
    </row>
    <row r="418" spans="1:8">
      <c r="A418">
        <f t="shared" si="14"/>
        <v>5</v>
      </c>
      <c r="B418">
        <f t="shared" si="15"/>
        <v>490</v>
      </c>
      <c r="C418" s="128">
        <v>43101</v>
      </c>
      <c r="D418" s="25" t="e">
        <f>VLOOKUP(VLOOKUP(B418,SuiteCatSubElem!$G$2:$G$667,2,0),'SA Q4 18 W'!$A$33:$F$193,1+MATCH(VLOOKUP(A418,Personas!$A$2:$B$6,2,0),'SA Q4 18 W'!$B$4:$F$4,0),0)</f>
        <v>#REF!</v>
      </c>
      <c r="E418">
        <v>1</v>
      </c>
      <c r="G418">
        <v>1</v>
      </c>
      <c r="H418">
        <v>8</v>
      </c>
    </row>
    <row r="419" spans="1:8">
      <c r="A419">
        <f t="shared" si="14"/>
        <v>5</v>
      </c>
      <c r="B419">
        <f t="shared" si="15"/>
        <v>491</v>
      </c>
      <c r="C419" s="128">
        <v>43101</v>
      </c>
      <c r="D419" s="25" t="e">
        <f>VLOOKUP(VLOOKUP(B419,SuiteCatSubElem!$G$2:$G$667,2,0),'SA Q4 18 W'!$A$33:$F$193,1+MATCH(VLOOKUP(A419,Personas!$A$2:$B$6,2,0),'SA Q4 18 W'!$B$4:$F$4,0),0)</f>
        <v>#REF!</v>
      </c>
      <c r="E419">
        <v>1</v>
      </c>
      <c r="G419">
        <v>1</v>
      </c>
      <c r="H419">
        <v>8</v>
      </c>
    </row>
    <row r="420" spans="1:8">
      <c r="A420">
        <f t="shared" si="14"/>
        <v>5</v>
      </c>
      <c r="B420">
        <f t="shared" si="15"/>
        <v>492</v>
      </c>
      <c r="C420" s="128">
        <v>43101</v>
      </c>
      <c r="D420" s="25" t="e">
        <f>VLOOKUP(VLOOKUP(B420,SuiteCatSubElem!$G$2:$G$667,2,0),'SA Q4 18 W'!$A$33:$F$193,1+MATCH(VLOOKUP(A420,Personas!$A$2:$B$6,2,0),'SA Q4 18 W'!$B$4:$F$4,0),0)</f>
        <v>#REF!</v>
      </c>
      <c r="E420">
        <v>1</v>
      </c>
      <c r="G420">
        <v>1</v>
      </c>
      <c r="H420">
        <v>8</v>
      </c>
    </row>
    <row r="421" spans="1:8">
      <c r="A421">
        <f t="shared" si="14"/>
        <v>5</v>
      </c>
      <c r="B421">
        <f t="shared" si="15"/>
        <v>493</v>
      </c>
      <c r="C421" s="128">
        <v>43101</v>
      </c>
      <c r="D421" s="25" t="e">
        <f>VLOOKUP(VLOOKUP(B421,SuiteCatSubElem!$G$2:$G$667,2,0),'SA Q4 18 W'!$A$33:$F$193,1+MATCH(VLOOKUP(A421,Personas!$A$2:$B$6,2,0),'SA Q4 18 W'!$B$4:$F$4,0),0)</f>
        <v>#REF!</v>
      </c>
      <c r="E421">
        <v>1</v>
      </c>
      <c r="G421">
        <v>1</v>
      </c>
      <c r="H421">
        <v>8</v>
      </c>
    </row>
    <row r="422" spans="1:8">
      <c r="A422">
        <v>1</v>
      </c>
      <c r="B422">
        <v>494</v>
      </c>
      <c r="C422" s="128">
        <v>43101</v>
      </c>
      <c r="D422" s="25" t="e">
        <f>VLOOKUP(VLOOKUP(B422,SuiteCatSubElem!$G$2:$G$667,2,0),'SXM Q4 18 W'!$A$32:$F$196,1+MATCH(VLOOKUP(A422,Personas!$A$2:$B$6,2,0),'SXM Q4 18 W'!$B$4:$F$4,0),0)</f>
        <v>#REF!</v>
      </c>
      <c r="E422">
        <v>1</v>
      </c>
      <c r="G422">
        <v>1</v>
      </c>
      <c r="H422">
        <v>9</v>
      </c>
    </row>
    <row r="423" spans="1:8">
      <c r="A423">
        <v>1</v>
      </c>
      <c r="B423">
        <v>495</v>
      </c>
      <c r="C423" s="128">
        <v>43101</v>
      </c>
      <c r="D423" s="25" t="e">
        <f>VLOOKUP(VLOOKUP(B423,SuiteCatSubElem!$G$2:$G$667,2,0),'SXM Q4 18 W'!$A$32:$F$196,1+MATCH(VLOOKUP(A423,Personas!$A$2:$B$6,2,0),'SXM Q4 18 W'!$B$4:$F$4,0),0)</f>
        <v>#REF!</v>
      </c>
      <c r="E423">
        <v>1</v>
      </c>
      <c r="G423">
        <v>1</v>
      </c>
      <c r="H423">
        <v>9</v>
      </c>
    </row>
    <row r="424" spans="1:8">
      <c r="A424">
        <v>1</v>
      </c>
      <c r="B424">
        <v>496</v>
      </c>
      <c r="C424" s="128">
        <v>43101</v>
      </c>
      <c r="D424" s="25" t="e">
        <f>VLOOKUP(VLOOKUP(B424,SuiteCatSubElem!$G$2:$G$667,2,0),'SXM Q4 18 W'!$A$32:$F$196,1+MATCH(VLOOKUP(A424,Personas!$A$2:$B$6,2,0),'SXM Q4 18 W'!$B$4:$F$4,0),0)</f>
        <v>#REF!</v>
      </c>
      <c r="E424">
        <v>1</v>
      </c>
      <c r="G424">
        <v>1</v>
      </c>
      <c r="H424">
        <v>9</v>
      </c>
    </row>
    <row r="425" spans="1:8">
      <c r="A425">
        <v>1</v>
      </c>
      <c r="B425">
        <v>497</v>
      </c>
      <c r="C425" s="128">
        <v>43101</v>
      </c>
      <c r="D425" s="25" t="e">
        <f>VLOOKUP(VLOOKUP(B425,SuiteCatSubElem!$G$2:$G$667,2,0),'SXM Q4 18 W'!$A$32:$F$196,1+MATCH(VLOOKUP(A425,Personas!$A$2:$B$6,2,0),'SXM Q4 18 W'!$B$4:$F$4,0),0)</f>
        <v>#REF!</v>
      </c>
      <c r="E425">
        <v>1</v>
      </c>
      <c r="G425">
        <v>1</v>
      </c>
      <c r="H425">
        <v>9</v>
      </c>
    </row>
    <row r="426" spans="1:8">
      <c r="A426">
        <v>1</v>
      </c>
      <c r="B426">
        <v>498</v>
      </c>
      <c r="C426" s="128">
        <v>43101</v>
      </c>
      <c r="D426" s="25" t="e">
        <f>VLOOKUP(VLOOKUP(B426,SuiteCatSubElem!$G$2:$G$667,2,0),'SXM Q4 18 W'!$A$32:$F$196,1+MATCH(VLOOKUP(A426,Personas!$A$2:$B$6,2,0),'SXM Q4 18 W'!$B$4:$F$4,0),0)</f>
        <v>#REF!</v>
      </c>
      <c r="E426">
        <v>1</v>
      </c>
      <c r="G426">
        <v>1</v>
      </c>
      <c r="H426">
        <v>9</v>
      </c>
    </row>
    <row r="427" spans="1:8">
      <c r="A427">
        <v>1</v>
      </c>
      <c r="B427">
        <v>499</v>
      </c>
      <c r="C427" s="128">
        <v>43101</v>
      </c>
      <c r="D427" s="25" t="e">
        <f>VLOOKUP(VLOOKUP(B427,SuiteCatSubElem!$G$2:$G$667,2,0),'SXM Q4 18 W'!$A$32:$F$196,1+MATCH(VLOOKUP(A427,Personas!$A$2:$B$6,2,0),'SXM Q4 18 W'!$B$4:$F$4,0),0)</f>
        <v>#REF!</v>
      </c>
      <c r="E427">
        <v>1</v>
      </c>
      <c r="G427">
        <v>1</v>
      </c>
      <c r="H427">
        <v>9</v>
      </c>
    </row>
    <row r="428" spans="1:8">
      <c r="A428">
        <v>1</v>
      </c>
      <c r="B428">
        <v>500</v>
      </c>
      <c r="C428" s="128">
        <v>43101</v>
      </c>
      <c r="D428" s="25" t="e">
        <f>VLOOKUP(VLOOKUP(B428,SuiteCatSubElem!$G$2:$G$667,2,0),'SXM Q4 18 W'!$A$32:$F$196,1+MATCH(VLOOKUP(A428,Personas!$A$2:$B$6,2,0),'SXM Q4 18 W'!$B$4:$F$4,0),0)</f>
        <v>#REF!</v>
      </c>
      <c r="E428">
        <v>1</v>
      </c>
      <c r="G428">
        <v>1</v>
      </c>
      <c r="H428">
        <v>9</v>
      </c>
    </row>
    <row r="429" spans="1:8">
      <c r="A429">
        <v>1</v>
      </c>
      <c r="B429">
        <v>501</v>
      </c>
      <c r="C429" s="128">
        <v>43101</v>
      </c>
      <c r="D429" s="25" t="e">
        <f>VLOOKUP(VLOOKUP(B429,SuiteCatSubElem!$G$2:$G$667,2,0),'SXM Q4 18 W'!$A$32:$F$196,1+MATCH(VLOOKUP(A429,Personas!$A$2:$B$6,2,0),'SXM Q4 18 W'!$B$4:$F$4,0),0)</f>
        <v>#REF!</v>
      </c>
      <c r="E429">
        <v>1</v>
      </c>
      <c r="G429">
        <v>1</v>
      </c>
      <c r="H429">
        <v>9</v>
      </c>
    </row>
    <row r="430" spans="1:8">
      <c r="A430">
        <v>1</v>
      </c>
      <c r="B430">
        <v>502</v>
      </c>
      <c r="C430" s="128">
        <v>43101</v>
      </c>
      <c r="D430" s="25" t="e">
        <f>VLOOKUP(VLOOKUP(B430,SuiteCatSubElem!$G$2:$G$667,2,0),'SXM Q4 18 W'!$A$32:$F$196,1+MATCH(VLOOKUP(A430,Personas!$A$2:$B$6,2,0),'SXM Q4 18 W'!$B$4:$F$4,0),0)</f>
        <v>#REF!</v>
      </c>
      <c r="E430">
        <v>1</v>
      </c>
      <c r="G430">
        <v>1</v>
      </c>
      <c r="H430">
        <v>9</v>
      </c>
    </row>
    <row r="431" spans="1:8">
      <c r="A431">
        <v>1</v>
      </c>
      <c r="B431">
        <v>503</v>
      </c>
      <c r="C431" s="128">
        <v>43101</v>
      </c>
      <c r="D431" s="25" t="e">
        <f>VLOOKUP(VLOOKUP(B431,SuiteCatSubElem!$G$2:$G$667,2,0),'SXM Q4 18 W'!$A$32:$F$196,1+MATCH(VLOOKUP(A431,Personas!$A$2:$B$6,2,0),'SXM Q4 18 W'!$B$4:$F$4,0),0)</f>
        <v>#REF!</v>
      </c>
      <c r="E431">
        <v>1</v>
      </c>
      <c r="G431">
        <v>1</v>
      </c>
      <c r="H431">
        <v>9</v>
      </c>
    </row>
    <row r="432" spans="1:8">
      <c r="A432">
        <v>1</v>
      </c>
      <c r="B432">
        <v>504</v>
      </c>
      <c r="C432" s="128">
        <v>43101</v>
      </c>
      <c r="D432" s="25" t="e">
        <f>VLOOKUP(VLOOKUP(B432,SuiteCatSubElem!$G$2:$G$667,2,0),'SXM Q4 18 W'!$A$32:$F$196,1+MATCH(VLOOKUP(A432,Personas!$A$2:$B$6,2,0),'SXM Q4 18 W'!$B$4:$F$4,0),0)</f>
        <v>#REF!</v>
      </c>
      <c r="E432">
        <v>1</v>
      </c>
      <c r="G432">
        <v>1</v>
      </c>
      <c r="H432">
        <v>9</v>
      </c>
    </row>
    <row r="433" spans="1:8">
      <c r="A433">
        <v>1</v>
      </c>
      <c r="B433">
        <v>505</v>
      </c>
      <c r="C433" s="128">
        <v>43101</v>
      </c>
      <c r="D433" s="25" t="e">
        <f>VLOOKUP(VLOOKUP(B433,SuiteCatSubElem!$G$2:$G$667,2,0),'SXM Q4 18 W'!$A$32:$F$196,1+MATCH(VLOOKUP(A433,Personas!$A$2:$B$6,2,0),'SXM Q4 18 W'!$B$4:$F$4,0),0)</f>
        <v>#REF!</v>
      </c>
      <c r="E433">
        <v>1</v>
      </c>
      <c r="G433">
        <v>1</v>
      </c>
      <c r="H433">
        <v>9</v>
      </c>
    </row>
    <row r="434" spans="1:8">
      <c r="A434">
        <v>1</v>
      </c>
      <c r="B434">
        <v>506</v>
      </c>
      <c r="C434" s="128">
        <v>43101</v>
      </c>
      <c r="D434" s="25" t="e">
        <f>VLOOKUP(VLOOKUP(B434,SuiteCatSubElem!$G$2:$G$667,2,0),'SXM Q4 18 W'!$A$32:$F$196,1+MATCH(VLOOKUP(A434,Personas!$A$2:$B$6,2,0),'SXM Q4 18 W'!$B$4:$F$4,0),0)</f>
        <v>#REF!</v>
      </c>
      <c r="E434">
        <v>1</v>
      </c>
      <c r="G434">
        <v>1</v>
      </c>
      <c r="H434">
        <v>9</v>
      </c>
    </row>
    <row r="435" spans="1:8">
      <c r="A435">
        <v>1</v>
      </c>
      <c r="B435">
        <v>507</v>
      </c>
      <c r="C435" s="128">
        <v>43101</v>
      </c>
      <c r="D435" s="25" t="e">
        <f>VLOOKUP(VLOOKUP(B435,SuiteCatSubElem!$G$2:$G$667,2,0),'SXM Q4 18 W'!$A$32:$F$196,1+MATCH(VLOOKUP(A435,Personas!$A$2:$B$6,2,0),'SXM Q4 18 W'!$B$4:$F$4,0),0)</f>
        <v>#REF!</v>
      </c>
      <c r="E435">
        <v>1</v>
      </c>
      <c r="G435">
        <v>1</v>
      </c>
      <c r="H435">
        <v>9</v>
      </c>
    </row>
    <row r="436" spans="1:8">
      <c r="A436">
        <v>1</v>
      </c>
      <c r="B436">
        <v>508</v>
      </c>
      <c r="C436" s="128">
        <v>43101</v>
      </c>
      <c r="D436" s="25" t="e">
        <f>VLOOKUP(VLOOKUP(B436,SuiteCatSubElem!$G$2:$G$667,2,0),'SXM Q4 18 W'!$A$32:$F$196,1+MATCH(VLOOKUP(A436,Personas!$A$2:$B$6,2,0),'SXM Q4 18 W'!$B$4:$F$4,0),0)</f>
        <v>#REF!</v>
      </c>
      <c r="E436">
        <v>1</v>
      </c>
      <c r="G436">
        <v>1</v>
      </c>
      <c r="H436">
        <v>9</v>
      </c>
    </row>
    <row r="437" spans="1:8">
      <c r="A437">
        <v>1</v>
      </c>
      <c r="B437">
        <v>509</v>
      </c>
      <c r="C437" s="128">
        <v>43101</v>
      </c>
      <c r="D437" s="25" t="e">
        <f>VLOOKUP(VLOOKUP(B437,SuiteCatSubElem!$G$2:$G$667,2,0),'SXM Q4 18 W'!$A$32:$F$196,1+MATCH(VLOOKUP(A437,Personas!$A$2:$B$6,2,0),'SXM Q4 18 W'!$B$4:$F$4,0),0)</f>
        <v>#REF!</v>
      </c>
      <c r="E437">
        <v>1</v>
      </c>
      <c r="G437">
        <v>1</v>
      </c>
      <c r="H437">
        <v>9</v>
      </c>
    </row>
    <row r="438" spans="1:8">
      <c r="A438">
        <v>1</v>
      </c>
      <c r="B438">
        <v>510</v>
      </c>
      <c r="C438" s="128">
        <v>43101</v>
      </c>
      <c r="D438" s="25" t="e">
        <f>VLOOKUP(VLOOKUP(B438,SuiteCatSubElem!$G$2:$G$667,2,0),'SXM Q4 18 W'!$A$32:$F$196,1+MATCH(VLOOKUP(A438,Personas!$A$2:$B$6,2,0),'SXM Q4 18 W'!$B$4:$F$4,0),0)</f>
        <v>#REF!</v>
      </c>
      <c r="E438">
        <v>1</v>
      </c>
      <c r="G438">
        <v>1</v>
      </c>
      <c r="H438">
        <v>9</v>
      </c>
    </row>
    <row r="439" spans="1:8">
      <c r="A439">
        <v>1</v>
      </c>
      <c r="B439">
        <v>511</v>
      </c>
      <c r="C439" s="128">
        <v>43101</v>
      </c>
      <c r="D439" s="25" t="e">
        <f>VLOOKUP(VLOOKUP(B439,SuiteCatSubElem!$G$2:$G$667,2,0),'SXM Q4 18 W'!$A$32:$F$196,1+MATCH(VLOOKUP(A439,Personas!$A$2:$B$6,2,0),'SXM Q4 18 W'!$B$4:$F$4,0),0)</f>
        <v>#REF!</v>
      </c>
      <c r="E439">
        <v>1</v>
      </c>
      <c r="G439">
        <v>1</v>
      </c>
      <c r="H439">
        <v>9</v>
      </c>
    </row>
    <row r="440" spans="1:8">
      <c r="A440">
        <v>1</v>
      </c>
      <c r="B440">
        <v>512</v>
      </c>
      <c r="C440" s="128">
        <v>43101</v>
      </c>
      <c r="D440" s="25" t="e">
        <f>VLOOKUP(VLOOKUP(B440,SuiteCatSubElem!$G$2:$G$667,2,0),'SXM Q4 18 W'!$A$32:$F$196,1+MATCH(VLOOKUP(A440,Personas!$A$2:$B$6,2,0),'SXM Q4 18 W'!$B$4:$F$4,0),0)</f>
        <v>#REF!</v>
      </c>
      <c r="E440">
        <v>1</v>
      </c>
      <c r="G440">
        <v>1</v>
      </c>
      <c r="H440">
        <v>9</v>
      </c>
    </row>
    <row r="441" spans="1:8">
      <c r="A441">
        <v>1</v>
      </c>
      <c r="B441">
        <v>513</v>
      </c>
      <c r="C441" s="128">
        <v>43101</v>
      </c>
      <c r="D441" s="25" t="e">
        <f>VLOOKUP(VLOOKUP(B441,SuiteCatSubElem!$G$2:$G$667,2,0),'SXM Q4 18 W'!$A$32:$F$196,1+MATCH(VLOOKUP(A441,Personas!$A$2:$B$6,2,0),'SXM Q4 18 W'!$B$4:$F$4,0),0)</f>
        <v>#REF!</v>
      </c>
      <c r="E441">
        <v>1</v>
      </c>
      <c r="G441">
        <v>1</v>
      </c>
      <c r="H441">
        <v>9</v>
      </c>
    </row>
    <row r="442" spans="1:8">
      <c r="A442">
        <v>1</v>
      </c>
      <c r="B442">
        <v>514</v>
      </c>
      <c r="C442" s="128">
        <v>43101</v>
      </c>
      <c r="D442" s="25" t="e">
        <f>VLOOKUP(VLOOKUP(B442,SuiteCatSubElem!$G$2:$G$667,2,0),'SXM Q4 18 W'!$A$32:$F$196,1+MATCH(VLOOKUP(A442,Personas!$A$2:$B$6,2,0),'SXM Q4 18 W'!$B$4:$F$4,0),0)</f>
        <v>#REF!</v>
      </c>
      <c r="E442">
        <v>1</v>
      </c>
      <c r="G442">
        <v>1</v>
      </c>
      <c r="H442">
        <v>9</v>
      </c>
    </row>
    <row r="443" spans="1:8">
      <c r="A443">
        <v>1</v>
      </c>
      <c r="B443">
        <v>515</v>
      </c>
      <c r="C443" s="128">
        <v>43101</v>
      </c>
      <c r="D443" s="25" t="e">
        <f>VLOOKUP(VLOOKUP(B443,SuiteCatSubElem!$G$2:$G$667,2,0),'SXM Q4 18 W'!$A$32:$F$196,1+MATCH(VLOOKUP(A443,Personas!$A$2:$B$6,2,0),'SXM Q4 18 W'!$B$4:$F$4,0),0)</f>
        <v>#REF!</v>
      </c>
      <c r="E443">
        <v>1</v>
      </c>
      <c r="G443">
        <v>1</v>
      </c>
      <c r="H443">
        <v>9</v>
      </c>
    </row>
    <row r="444" spans="1:8">
      <c r="A444">
        <v>1</v>
      </c>
      <c r="B444">
        <v>516</v>
      </c>
      <c r="C444" s="128">
        <v>43101</v>
      </c>
      <c r="D444" s="25" t="e">
        <f>VLOOKUP(VLOOKUP(B444,SuiteCatSubElem!$G$2:$G$667,2,0),'SXM Q4 18 W'!$A$32:$F$196,1+MATCH(VLOOKUP(A444,Personas!$A$2:$B$6,2,0),'SXM Q4 18 W'!$B$4:$F$4,0),0)</f>
        <v>#REF!</v>
      </c>
      <c r="E444">
        <v>1</v>
      </c>
      <c r="G444">
        <v>1</v>
      </c>
      <c r="H444">
        <v>9</v>
      </c>
    </row>
    <row r="445" spans="1:8">
      <c r="A445">
        <v>1</v>
      </c>
      <c r="B445">
        <v>517</v>
      </c>
      <c r="C445" s="128">
        <v>43101</v>
      </c>
      <c r="D445" s="25" t="e">
        <f>VLOOKUP(VLOOKUP(B445,SuiteCatSubElem!$G$2:$G$667,2,0),'SXM Q4 18 W'!$A$32:$F$196,1+MATCH(VLOOKUP(A445,Personas!$A$2:$B$6,2,0),'SXM Q4 18 W'!$B$4:$F$4,0),0)</f>
        <v>#REF!</v>
      </c>
      <c r="E445">
        <v>1</v>
      </c>
      <c r="G445">
        <v>1</v>
      </c>
      <c r="H445">
        <v>9</v>
      </c>
    </row>
    <row r="446" spans="1:8">
      <c r="A446">
        <v>1</v>
      </c>
      <c r="B446">
        <v>518</v>
      </c>
      <c r="C446" s="128">
        <v>43101</v>
      </c>
      <c r="D446" s="25" t="e">
        <f>VLOOKUP(VLOOKUP(B446,SuiteCatSubElem!$G$2:$G$667,2,0),'SXM Q4 18 W'!$A$32:$F$196,1+MATCH(VLOOKUP(A446,Personas!$A$2:$B$6,2,0),'SXM Q4 18 W'!$B$4:$F$4,0),0)</f>
        <v>#REF!</v>
      </c>
      <c r="E446">
        <v>1</v>
      </c>
      <c r="G446">
        <v>1</v>
      </c>
      <c r="H446">
        <v>9</v>
      </c>
    </row>
    <row r="447" spans="1:8">
      <c r="A447">
        <v>1</v>
      </c>
      <c r="B447">
        <v>519</v>
      </c>
      <c r="C447" s="128">
        <v>43101</v>
      </c>
      <c r="D447" s="25" t="e">
        <f>VLOOKUP(VLOOKUP(B447,SuiteCatSubElem!$G$2:$G$667,2,0),'SXM Q4 18 W'!$A$32:$F$196,1+MATCH(VLOOKUP(A447,Personas!$A$2:$B$6,2,0),'SXM Q4 18 W'!$B$4:$F$4,0),0)</f>
        <v>#REF!</v>
      </c>
      <c r="E447">
        <v>1</v>
      </c>
      <c r="G447">
        <v>1</v>
      </c>
      <c r="H447">
        <v>9</v>
      </c>
    </row>
    <row r="448" spans="1:8">
      <c r="A448">
        <v>1</v>
      </c>
      <c r="B448">
        <v>520</v>
      </c>
      <c r="C448" s="128">
        <v>43101</v>
      </c>
      <c r="D448" s="25" t="e">
        <f>VLOOKUP(VLOOKUP(B448,SuiteCatSubElem!$G$2:$G$667,2,0),'SXM Q4 18 W'!$A$32:$F$196,1+MATCH(VLOOKUP(A448,Personas!$A$2:$B$6,2,0),'SXM Q4 18 W'!$B$4:$F$4,0),0)</f>
        <v>#REF!</v>
      </c>
      <c r="E448">
        <v>1</v>
      </c>
      <c r="G448">
        <v>1</v>
      </c>
      <c r="H448">
        <v>9</v>
      </c>
    </row>
    <row r="449" spans="1:8">
      <c r="A449">
        <v>1</v>
      </c>
      <c r="B449">
        <v>521</v>
      </c>
      <c r="C449" s="128">
        <v>43101</v>
      </c>
      <c r="D449" s="25" t="e">
        <f>VLOOKUP(VLOOKUP(B449,SuiteCatSubElem!$G$2:$G$667,2,0),'SXM Q4 18 W'!$A$32:$F$196,1+MATCH(VLOOKUP(A449,Personas!$A$2:$B$6,2,0),'SXM Q4 18 W'!$B$4:$F$4,0),0)</f>
        <v>#REF!</v>
      </c>
      <c r="E449">
        <v>1</v>
      </c>
      <c r="G449">
        <v>1</v>
      </c>
      <c r="H449">
        <v>9</v>
      </c>
    </row>
    <row r="450" spans="1:8">
      <c r="A450">
        <v>1</v>
      </c>
      <c r="B450">
        <v>522</v>
      </c>
      <c r="C450" s="128">
        <v>43101</v>
      </c>
      <c r="D450" s="25" t="e">
        <f>VLOOKUP(VLOOKUP(B450,SuiteCatSubElem!$G$2:$G$667,2,0),'SXM Q4 18 W'!$A$32:$F$196,1+MATCH(VLOOKUP(A450,Personas!$A$2:$B$6,2,0),'SXM Q4 18 W'!$B$4:$F$4,0),0)</f>
        <v>#REF!</v>
      </c>
      <c r="E450">
        <v>1</v>
      </c>
      <c r="G450">
        <v>1</v>
      </c>
      <c r="H450">
        <v>9</v>
      </c>
    </row>
    <row r="451" spans="1:8">
      <c r="A451">
        <v>1</v>
      </c>
      <c r="B451">
        <v>523</v>
      </c>
      <c r="C451" s="128">
        <v>43101</v>
      </c>
      <c r="D451" s="25" t="e">
        <f>VLOOKUP(VLOOKUP(B451,SuiteCatSubElem!$G$2:$G$667,2,0),'SXM Q4 18 W'!$A$32:$F$196,1+MATCH(VLOOKUP(A451,Personas!$A$2:$B$6,2,0),'SXM Q4 18 W'!$B$4:$F$4,0),0)</f>
        <v>#REF!</v>
      </c>
      <c r="E451">
        <v>1</v>
      </c>
      <c r="G451">
        <v>1</v>
      </c>
      <c r="H451">
        <v>9</v>
      </c>
    </row>
    <row r="452" spans="1:8">
      <c r="A452">
        <v>1</v>
      </c>
      <c r="B452">
        <v>524</v>
      </c>
      <c r="C452" s="128">
        <v>43101</v>
      </c>
      <c r="D452" s="25" t="e">
        <f>VLOOKUP(VLOOKUP(B452,SuiteCatSubElem!$G$2:$G$667,2,0),'SXM Q4 18 W'!$A$32:$F$196,1+MATCH(VLOOKUP(A452,Personas!$A$2:$B$6,2,0),'SXM Q4 18 W'!$B$4:$F$4,0),0)</f>
        <v>#REF!</v>
      </c>
      <c r="E452">
        <v>1</v>
      </c>
      <c r="G452">
        <v>1</v>
      </c>
      <c r="H452">
        <v>9</v>
      </c>
    </row>
    <row r="453" spans="1:8">
      <c r="A453">
        <v>1</v>
      </c>
      <c r="B453">
        <v>525</v>
      </c>
      <c r="C453" s="128">
        <v>43101</v>
      </c>
      <c r="D453" s="25" t="e">
        <f>VLOOKUP(VLOOKUP(B453,SuiteCatSubElem!$G$2:$G$667,2,0),'SXM Q4 18 W'!$A$32:$F$196,1+MATCH(VLOOKUP(A453,Personas!$A$2:$B$6,2,0),'SXM Q4 18 W'!$B$4:$F$4,0),0)</f>
        <v>#REF!</v>
      </c>
      <c r="E453">
        <v>1</v>
      </c>
      <c r="G453">
        <v>1</v>
      </c>
      <c r="H453">
        <v>9</v>
      </c>
    </row>
    <row r="454" spans="1:8">
      <c r="A454">
        <v>1</v>
      </c>
      <c r="B454">
        <v>526</v>
      </c>
      <c r="C454" s="128">
        <v>43101</v>
      </c>
      <c r="D454" s="25" t="e">
        <f>VLOOKUP(VLOOKUP(B454,SuiteCatSubElem!$G$2:$G$667,2,0),'SXM Q4 18 W'!$A$32:$F$196,1+MATCH(VLOOKUP(A454,Personas!$A$2:$B$6,2,0),'SXM Q4 18 W'!$B$4:$F$4,0),0)</f>
        <v>#REF!</v>
      </c>
      <c r="E454">
        <v>1</v>
      </c>
      <c r="G454">
        <v>1</v>
      </c>
      <c r="H454">
        <v>9</v>
      </c>
    </row>
    <row r="455" spans="1:8">
      <c r="A455">
        <v>1</v>
      </c>
      <c r="B455">
        <v>527</v>
      </c>
      <c r="C455" s="128">
        <v>43101</v>
      </c>
      <c r="D455" s="25" t="e">
        <f>VLOOKUP(VLOOKUP(B455,SuiteCatSubElem!$G$2:$G$667,2,0),'SXM Q4 18 W'!$A$32:$F$196,1+MATCH(VLOOKUP(A455,Personas!$A$2:$B$6,2,0),'SXM Q4 18 W'!$B$4:$F$4,0),0)</f>
        <v>#REF!</v>
      </c>
      <c r="E455">
        <v>1</v>
      </c>
      <c r="G455">
        <v>1</v>
      </c>
      <c r="H455">
        <v>9</v>
      </c>
    </row>
    <row r="456" spans="1:8">
      <c r="A456">
        <v>1</v>
      </c>
      <c r="B456">
        <v>528</v>
      </c>
      <c r="C456" s="128">
        <v>43101</v>
      </c>
      <c r="D456" s="25" t="e">
        <f>VLOOKUP(VLOOKUP(B456,SuiteCatSubElem!$G$2:$G$667,2,0),'SXM Q4 18 W'!$A$32:$F$196,1+MATCH(VLOOKUP(A456,Personas!$A$2:$B$6,2,0),'SXM Q4 18 W'!$B$4:$F$4,0),0)</f>
        <v>#REF!</v>
      </c>
      <c r="E456">
        <v>1</v>
      </c>
      <c r="G456">
        <v>1</v>
      </c>
      <c r="H456">
        <v>9</v>
      </c>
    </row>
    <row r="457" spans="1:8">
      <c r="A457">
        <v>1</v>
      </c>
      <c r="B457">
        <v>529</v>
      </c>
      <c r="C457" s="128">
        <v>43101</v>
      </c>
      <c r="D457" s="25" t="e">
        <f>VLOOKUP(VLOOKUP(B457,SuiteCatSubElem!$G$2:$G$667,2,0),'SXM Q4 18 W'!$A$32:$F$196,1+MATCH(VLOOKUP(A457,Personas!$A$2:$B$6,2,0),'SXM Q4 18 W'!$B$4:$F$4,0),0)</f>
        <v>#REF!</v>
      </c>
      <c r="E457">
        <v>1</v>
      </c>
      <c r="G457">
        <v>1</v>
      </c>
      <c r="H457">
        <v>9</v>
      </c>
    </row>
    <row r="458" spans="1:8">
      <c r="A458">
        <v>1</v>
      </c>
      <c r="B458">
        <v>530</v>
      </c>
      <c r="C458" s="128">
        <v>43101</v>
      </c>
      <c r="D458" s="25" t="e">
        <f>VLOOKUP(VLOOKUP(B458,SuiteCatSubElem!$G$2:$G$667,2,0),'SXM Q4 18 W'!$A$32:$F$196,1+MATCH(VLOOKUP(A458,Personas!$A$2:$B$6,2,0),'SXM Q4 18 W'!$B$4:$F$4,0),0)</f>
        <v>#REF!</v>
      </c>
      <c r="E458">
        <v>1</v>
      </c>
      <c r="G458">
        <v>1</v>
      </c>
      <c r="H458">
        <v>9</v>
      </c>
    </row>
    <row r="459" spans="1:8">
      <c r="A459">
        <v>1</v>
      </c>
      <c r="B459">
        <v>531</v>
      </c>
      <c r="C459" s="128">
        <v>43101</v>
      </c>
      <c r="D459" s="25" t="e">
        <f>VLOOKUP(VLOOKUP(B459,SuiteCatSubElem!$G$2:$G$667,2,0),'SXM Q4 18 W'!$A$32:$F$196,1+MATCH(VLOOKUP(A459,Personas!$A$2:$B$6,2,0),'SXM Q4 18 W'!$B$4:$F$4,0),0)</f>
        <v>#REF!</v>
      </c>
      <c r="E459">
        <v>1</v>
      </c>
      <c r="G459">
        <v>1</v>
      </c>
      <c r="H459">
        <v>9</v>
      </c>
    </row>
    <row r="460" spans="1:8">
      <c r="A460">
        <v>1</v>
      </c>
      <c r="B460">
        <v>532</v>
      </c>
      <c r="C460" s="128">
        <v>43101</v>
      </c>
      <c r="D460" s="25" t="e">
        <f>VLOOKUP(VLOOKUP(B460,SuiteCatSubElem!$G$2:$G$667,2,0),'SXM Q4 18 W'!$A$32:$F$196,1+MATCH(VLOOKUP(A460,Personas!$A$2:$B$6,2,0),'SXM Q4 18 W'!$B$4:$F$4,0),0)</f>
        <v>#REF!</v>
      </c>
      <c r="E460">
        <v>1</v>
      </c>
      <c r="G460">
        <v>1</v>
      </c>
      <c r="H460">
        <v>9</v>
      </c>
    </row>
    <row r="461" spans="1:8">
      <c r="A461">
        <v>1</v>
      </c>
      <c r="B461">
        <v>533</v>
      </c>
      <c r="C461" s="128">
        <v>43101</v>
      </c>
      <c r="D461" s="25" t="e">
        <f>VLOOKUP(VLOOKUP(B461,SuiteCatSubElem!$G$2:$G$667,2,0),'SXM Q4 18 W'!$A$32:$F$196,1+MATCH(VLOOKUP(A461,Personas!$A$2:$B$6,2,0),'SXM Q4 18 W'!$B$4:$F$4,0),0)</f>
        <v>#REF!</v>
      </c>
      <c r="E461">
        <v>1</v>
      </c>
      <c r="G461">
        <v>1</v>
      </c>
      <c r="H461">
        <v>9</v>
      </c>
    </row>
    <row r="462" spans="1:8">
      <c r="A462">
        <v>1</v>
      </c>
      <c r="B462">
        <v>534</v>
      </c>
      <c r="C462" s="128">
        <v>43101</v>
      </c>
      <c r="D462" s="25" t="e">
        <f>VLOOKUP(VLOOKUP(B462,SuiteCatSubElem!$G$2:$G$667,2,0),'SXM Q4 18 W'!$A$32:$F$196,1+MATCH(VLOOKUP(A462,Personas!$A$2:$B$6,2,0),'SXM Q4 18 W'!$B$4:$F$4,0),0)</f>
        <v>#REF!</v>
      </c>
      <c r="E462">
        <v>1</v>
      </c>
      <c r="G462">
        <v>1</v>
      </c>
      <c r="H462">
        <v>9</v>
      </c>
    </row>
    <row r="463" spans="1:8">
      <c r="A463">
        <v>1</v>
      </c>
      <c r="B463">
        <v>535</v>
      </c>
      <c r="C463" s="128">
        <v>43101</v>
      </c>
      <c r="D463" s="25" t="e">
        <f>VLOOKUP(VLOOKUP(B463,SuiteCatSubElem!$G$2:$G$667,2,0),'SXM Q4 18 W'!$A$32:$F$196,1+MATCH(VLOOKUP(A463,Personas!$A$2:$B$6,2,0),'SXM Q4 18 W'!$B$4:$F$4,0),0)</f>
        <v>#REF!</v>
      </c>
      <c r="E463">
        <v>1</v>
      </c>
      <c r="G463">
        <v>1</v>
      </c>
      <c r="H463">
        <v>9</v>
      </c>
    </row>
    <row r="464" spans="1:8">
      <c r="A464">
        <v>1</v>
      </c>
      <c r="B464">
        <v>536</v>
      </c>
      <c r="C464" s="128">
        <v>43101</v>
      </c>
      <c r="D464" s="25" t="e">
        <f>VLOOKUP(VLOOKUP(B464,SuiteCatSubElem!$G$2:$G$667,2,0),'SXM Q4 18 W'!$A$32:$F$196,1+MATCH(VLOOKUP(A464,Personas!$A$2:$B$6,2,0),'SXM Q4 18 W'!$B$4:$F$4,0),0)</f>
        <v>#REF!</v>
      </c>
      <c r="E464">
        <v>1</v>
      </c>
      <c r="G464">
        <v>1</v>
      </c>
      <c r="H464">
        <v>9</v>
      </c>
    </row>
    <row r="465" spans="1:8">
      <c r="A465">
        <v>1</v>
      </c>
      <c r="B465">
        <v>537</v>
      </c>
      <c r="C465" s="128">
        <v>43101</v>
      </c>
      <c r="D465" s="25" t="e">
        <f>VLOOKUP(VLOOKUP(B465,SuiteCatSubElem!$G$2:$G$667,2,0),'SXM Q4 18 W'!$A$32:$F$196,1+MATCH(VLOOKUP(A465,Personas!$A$2:$B$6,2,0),'SXM Q4 18 W'!$B$4:$F$4,0),0)</f>
        <v>#REF!</v>
      </c>
      <c r="E465">
        <v>1</v>
      </c>
      <c r="G465">
        <v>1</v>
      </c>
      <c r="H465">
        <v>9</v>
      </c>
    </row>
    <row r="466" spans="1:8">
      <c r="A466">
        <v>1</v>
      </c>
      <c r="B466">
        <v>538</v>
      </c>
      <c r="C466" s="128">
        <v>43101</v>
      </c>
      <c r="D466" s="25" t="e">
        <f>VLOOKUP(VLOOKUP(B466,SuiteCatSubElem!$G$2:$G$667,2,0),'SXM Q4 18 W'!$A$32:$F$196,1+MATCH(VLOOKUP(A466,Personas!$A$2:$B$6,2,0),'SXM Q4 18 W'!$B$4:$F$4,0),0)</f>
        <v>#REF!</v>
      </c>
      <c r="E466">
        <v>1</v>
      </c>
      <c r="G466">
        <v>1</v>
      </c>
      <c r="H466">
        <v>9</v>
      </c>
    </row>
    <row r="467" spans="1:8">
      <c r="A467">
        <v>1</v>
      </c>
      <c r="B467">
        <v>539</v>
      </c>
      <c r="C467" s="128">
        <v>43101</v>
      </c>
      <c r="D467" s="25" t="e">
        <f>VLOOKUP(VLOOKUP(B467,SuiteCatSubElem!$G$2:$G$667,2,0),'SXM Q4 18 W'!$A$32:$F$196,1+MATCH(VLOOKUP(A467,Personas!$A$2:$B$6,2,0),'SXM Q4 18 W'!$B$4:$F$4,0),0)</f>
        <v>#REF!</v>
      </c>
      <c r="E467">
        <v>1</v>
      </c>
      <c r="G467">
        <v>1</v>
      </c>
      <c r="H467">
        <v>9</v>
      </c>
    </row>
    <row r="468" spans="1:8">
      <c r="A468">
        <v>1</v>
      </c>
      <c r="B468">
        <v>540</v>
      </c>
      <c r="C468" s="128">
        <v>43101</v>
      </c>
      <c r="D468" s="25" t="e">
        <f>VLOOKUP(VLOOKUP(B468,SuiteCatSubElem!$G$2:$G$667,2,0),'SXM Q4 18 W'!$A$32:$F$196,1+MATCH(VLOOKUP(A468,Personas!$A$2:$B$6,2,0),'SXM Q4 18 W'!$B$4:$F$4,0),0)</f>
        <v>#REF!</v>
      </c>
      <c r="E468">
        <v>1</v>
      </c>
      <c r="G468">
        <v>1</v>
      </c>
      <c r="H468">
        <v>9</v>
      </c>
    </row>
    <row r="469" spans="1:8">
      <c r="A469">
        <v>1</v>
      </c>
      <c r="B469">
        <v>541</v>
      </c>
      <c r="C469" s="128">
        <v>43101</v>
      </c>
      <c r="D469" s="25" t="e">
        <f>VLOOKUP(VLOOKUP(B469,SuiteCatSubElem!$G$2:$G$667,2,0),'SXM Q4 18 W'!$A$32:$F$196,1+MATCH(VLOOKUP(A469,Personas!$A$2:$B$6,2,0),'SXM Q4 18 W'!$B$4:$F$4,0),0)</f>
        <v>#REF!</v>
      </c>
      <c r="E469">
        <v>1</v>
      </c>
      <c r="G469">
        <v>1</v>
      </c>
      <c r="H469">
        <v>9</v>
      </c>
    </row>
    <row r="470" spans="1:8">
      <c r="A470">
        <v>1</v>
      </c>
      <c r="B470">
        <v>542</v>
      </c>
      <c r="C470" s="128">
        <v>43101</v>
      </c>
      <c r="D470" s="25" t="e">
        <f>VLOOKUP(VLOOKUP(B470,SuiteCatSubElem!$G$2:$G$667,2,0),'SXM Q4 18 W'!$A$32:$F$196,1+MATCH(VLOOKUP(A470,Personas!$A$2:$B$6,2,0),'SXM Q4 18 W'!$B$4:$F$4,0),0)</f>
        <v>#REF!</v>
      </c>
      <c r="E470">
        <v>1</v>
      </c>
      <c r="G470">
        <v>1</v>
      </c>
      <c r="H470">
        <v>9</v>
      </c>
    </row>
    <row r="471" spans="1:8">
      <c r="A471">
        <v>1</v>
      </c>
      <c r="B471">
        <v>543</v>
      </c>
      <c r="C471" s="128">
        <v>43101</v>
      </c>
      <c r="D471" s="25" t="e">
        <f>VLOOKUP(VLOOKUP(B471,SuiteCatSubElem!$G$2:$G$667,2,0),'SXM Q4 18 W'!$A$32:$F$196,1+MATCH(VLOOKUP(A471,Personas!$A$2:$B$6,2,0),'SXM Q4 18 W'!$B$4:$F$4,0),0)</f>
        <v>#REF!</v>
      </c>
      <c r="E471">
        <v>1</v>
      </c>
      <c r="G471">
        <v>1</v>
      </c>
      <c r="H471">
        <v>9</v>
      </c>
    </row>
    <row r="472" spans="1:8">
      <c r="A472">
        <v>1</v>
      </c>
      <c r="B472">
        <v>544</v>
      </c>
      <c r="C472" s="128">
        <v>43101</v>
      </c>
      <c r="D472" s="25" t="e">
        <f>VLOOKUP(VLOOKUP(B472,SuiteCatSubElem!$G$2:$G$667,2,0),'SXM Q4 18 W'!$A$32:$F$196,1+MATCH(VLOOKUP(A472,Personas!$A$2:$B$6,2,0),'SXM Q4 18 W'!$B$4:$F$4,0),0)</f>
        <v>#REF!</v>
      </c>
      <c r="E472">
        <v>1</v>
      </c>
      <c r="G472">
        <v>1</v>
      </c>
      <c r="H472">
        <v>9</v>
      </c>
    </row>
    <row r="473" spans="1:8">
      <c r="A473">
        <v>1</v>
      </c>
      <c r="B473">
        <v>545</v>
      </c>
      <c r="C473" s="128">
        <v>43101</v>
      </c>
      <c r="D473" s="25" t="e">
        <f>VLOOKUP(VLOOKUP(B473,SuiteCatSubElem!$G$2:$G$667,2,0),'SXM Q4 18 W'!$A$32:$F$196,1+MATCH(VLOOKUP(A473,Personas!$A$2:$B$6,2,0),'SXM Q4 18 W'!$B$4:$F$4,0),0)</f>
        <v>#REF!</v>
      </c>
      <c r="E473">
        <v>1</v>
      </c>
      <c r="G473">
        <v>1</v>
      </c>
      <c r="H473">
        <v>9</v>
      </c>
    </row>
    <row r="474" spans="1:8">
      <c r="A474">
        <v>1</v>
      </c>
      <c r="B474">
        <v>546</v>
      </c>
      <c r="C474" s="128">
        <v>43101</v>
      </c>
      <c r="D474" s="25" t="e">
        <f>VLOOKUP(VLOOKUP(B474,SuiteCatSubElem!$G$2:$G$667,2,0),'SXM Q4 18 W'!$A$32:$F$196,1+MATCH(VLOOKUP(A474,Personas!$A$2:$B$6,2,0),'SXM Q4 18 W'!$B$4:$F$4,0),0)</f>
        <v>#REF!</v>
      </c>
      <c r="E474">
        <v>1</v>
      </c>
      <c r="G474">
        <v>1</v>
      </c>
      <c r="H474">
        <v>9</v>
      </c>
    </row>
    <row r="475" spans="1:8">
      <c r="A475">
        <v>1</v>
      </c>
      <c r="B475">
        <v>547</v>
      </c>
      <c r="C475" s="128">
        <v>43101</v>
      </c>
      <c r="D475" s="25" t="e">
        <f>VLOOKUP(VLOOKUP(B475,SuiteCatSubElem!$G$2:$G$667,2,0),'SXM Q4 18 W'!$A$32:$F$196,1+MATCH(VLOOKUP(A475,Personas!$A$2:$B$6,2,0),'SXM Q4 18 W'!$B$4:$F$4,0),0)</f>
        <v>#REF!</v>
      </c>
      <c r="E475">
        <v>1</v>
      </c>
      <c r="G475">
        <v>1</v>
      </c>
      <c r="H475">
        <v>9</v>
      </c>
    </row>
    <row r="476" spans="1:8">
      <c r="A476">
        <v>1</v>
      </c>
      <c r="B476">
        <v>548</v>
      </c>
      <c r="C476" s="128">
        <v>43101</v>
      </c>
      <c r="D476" s="25" t="e">
        <f>VLOOKUP(VLOOKUP(B476,SuiteCatSubElem!$G$2:$G$667,2,0),'SXM Q4 18 W'!$A$32:$F$196,1+MATCH(VLOOKUP(A476,Personas!$A$2:$B$6,2,0),'SXM Q4 18 W'!$B$4:$F$4,0),0)</f>
        <v>#REF!</v>
      </c>
      <c r="E476">
        <v>1</v>
      </c>
      <c r="G476">
        <v>1</v>
      </c>
      <c r="H476">
        <v>9</v>
      </c>
    </row>
    <row r="477" spans="1:8">
      <c r="A477">
        <v>1</v>
      </c>
      <c r="B477">
        <v>549</v>
      </c>
      <c r="C477" s="128">
        <v>43101</v>
      </c>
      <c r="D477" s="25" t="e">
        <f>VLOOKUP(VLOOKUP(B477,SuiteCatSubElem!$G$2:$G$667,2,0),'SXM Q4 18 W'!$A$32:$F$196,1+MATCH(VLOOKUP(A477,Personas!$A$2:$B$6,2,0),'SXM Q4 18 W'!$B$4:$F$4,0),0)</f>
        <v>#REF!</v>
      </c>
      <c r="E477">
        <v>1</v>
      </c>
      <c r="G477">
        <v>1</v>
      </c>
      <c r="H477">
        <v>9</v>
      </c>
    </row>
    <row r="478" spans="1:8">
      <c r="A478">
        <v>1</v>
      </c>
      <c r="B478">
        <v>550</v>
      </c>
      <c r="C478" s="128">
        <v>43101</v>
      </c>
      <c r="D478" s="25" t="e">
        <f>VLOOKUP(VLOOKUP(B478,SuiteCatSubElem!$G$2:$G$667,2,0),'SXM Q4 18 W'!$A$32:$F$196,1+MATCH(VLOOKUP(A478,Personas!$A$2:$B$6,2,0),'SXM Q4 18 W'!$B$4:$F$4,0),0)</f>
        <v>#REF!</v>
      </c>
      <c r="E478">
        <v>1</v>
      </c>
      <c r="G478">
        <v>1</v>
      </c>
      <c r="H478">
        <v>9</v>
      </c>
    </row>
    <row r="479" spans="1:8">
      <c r="A479">
        <v>1</v>
      </c>
      <c r="B479">
        <v>551</v>
      </c>
      <c r="C479" s="128">
        <v>43101</v>
      </c>
      <c r="D479" s="25" t="e">
        <f>VLOOKUP(VLOOKUP(B479,SuiteCatSubElem!$G$2:$G$667,2,0),'SXM Q4 18 W'!$A$32:$F$196,1+MATCH(VLOOKUP(A479,Personas!$A$2:$B$6,2,0),'SXM Q4 18 W'!$B$4:$F$4,0),0)</f>
        <v>#REF!</v>
      </c>
      <c r="E479">
        <v>1</v>
      </c>
      <c r="G479">
        <v>1</v>
      </c>
      <c r="H479">
        <v>9</v>
      </c>
    </row>
    <row r="480" spans="1:8">
      <c r="A480">
        <v>1</v>
      </c>
      <c r="B480">
        <v>552</v>
      </c>
      <c r="C480" s="128">
        <v>43101</v>
      </c>
      <c r="D480" s="25" t="e">
        <f>VLOOKUP(VLOOKUP(B480,SuiteCatSubElem!$G$2:$G$667,2,0),'SXM Q4 18 W'!$A$32:$F$196,1+MATCH(VLOOKUP(A480,Personas!$A$2:$B$6,2,0),'SXM Q4 18 W'!$B$4:$F$4,0),0)</f>
        <v>#REF!</v>
      </c>
      <c r="E480">
        <v>1</v>
      </c>
      <c r="G480">
        <v>1</v>
      </c>
      <c r="H480">
        <v>9</v>
      </c>
    </row>
    <row r="481" spans="1:8">
      <c r="A481">
        <v>1</v>
      </c>
      <c r="B481">
        <v>553</v>
      </c>
      <c r="C481" s="128">
        <v>43101</v>
      </c>
      <c r="D481" s="25" t="e">
        <f>VLOOKUP(VLOOKUP(B481,SuiteCatSubElem!$G$2:$G$667,2,0),'SXM Q4 18 W'!$A$32:$F$196,1+MATCH(VLOOKUP(A481,Personas!$A$2:$B$6,2,0),'SXM Q4 18 W'!$B$4:$F$4,0),0)</f>
        <v>#REF!</v>
      </c>
      <c r="E481">
        <v>1</v>
      </c>
      <c r="G481">
        <v>1</v>
      </c>
      <c r="H481">
        <v>9</v>
      </c>
    </row>
    <row r="482" spans="1:8">
      <c r="A482">
        <v>1</v>
      </c>
      <c r="B482">
        <v>554</v>
      </c>
      <c r="C482" s="128">
        <v>43101</v>
      </c>
      <c r="D482" s="25" t="e">
        <f>VLOOKUP(VLOOKUP(B482,SuiteCatSubElem!$G$2:$G$667,2,0),'SXM Q4 18 W'!$A$32:$F$196,1+MATCH(VLOOKUP(A482,Personas!$A$2:$B$6,2,0),'SXM Q4 18 W'!$B$4:$F$4,0),0)</f>
        <v>#REF!</v>
      </c>
      <c r="E482">
        <v>1</v>
      </c>
      <c r="G482">
        <v>1</v>
      </c>
      <c r="H482">
        <v>9</v>
      </c>
    </row>
    <row r="483" spans="1:8">
      <c r="A483">
        <v>1</v>
      </c>
      <c r="B483">
        <v>555</v>
      </c>
      <c r="C483" s="128">
        <v>43101</v>
      </c>
      <c r="D483" s="25" t="e">
        <f>VLOOKUP(VLOOKUP(B483,SuiteCatSubElem!$G$2:$G$667,2,0),'SXM Q4 18 W'!$A$32:$F$196,1+MATCH(VLOOKUP(A483,Personas!$A$2:$B$6,2,0),'SXM Q4 18 W'!$B$4:$F$4,0),0)</f>
        <v>#REF!</v>
      </c>
      <c r="E483">
        <v>1</v>
      </c>
      <c r="G483">
        <v>1</v>
      </c>
      <c r="H483">
        <v>9</v>
      </c>
    </row>
    <row r="484" spans="1:8">
      <c r="A484">
        <v>1</v>
      </c>
      <c r="B484">
        <v>556</v>
      </c>
      <c r="C484" s="128">
        <v>43101</v>
      </c>
      <c r="D484" s="25" t="e">
        <f>VLOOKUP(VLOOKUP(B484,SuiteCatSubElem!$G$2:$G$667,2,0),'SXM Q4 18 W'!$A$32:$F$196,1+MATCH(VLOOKUP(A484,Personas!$A$2:$B$6,2,0),'SXM Q4 18 W'!$B$4:$F$4,0),0)</f>
        <v>#REF!</v>
      </c>
      <c r="E484">
        <v>1</v>
      </c>
      <c r="G484">
        <v>1</v>
      </c>
      <c r="H484">
        <v>9</v>
      </c>
    </row>
    <row r="485" spans="1:8">
      <c r="A485">
        <v>1</v>
      </c>
      <c r="B485">
        <v>557</v>
      </c>
      <c r="C485" s="128">
        <v>43101</v>
      </c>
      <c r="D485" s="25" t="e">
        <f>VLOOKUP(VLOOKUP(B485,SuiteCatSubElem!$G$2:$G$667,2,0),'SXM Q4 18 W'!$A$32:$F$196,1+MATCH(VLOOKUP(A485,Personas!$A$2:$B$6,2,0),'SXM Q4 18 W'!$B$4:$F$4,0),0)</f>
        <v>#REF!</v>
      </c>
      <c r="E485">
        <v>1</v>
      </c>
      <c r="G485">
        <v>1</v>
      </c>
      <c r="H485">
        <v>9</v>
      </c>
    </row>
    <row r="486" spans="1:8">
      <c r="A486">
        <v>1</v>
      </c>
      <c r="B486">
        <v>558</v>
      </c>
      <c r="C486" s="128">
        <v>43101</v>
      </c>
      <c r="D486" s="25" t="e">
        <f>VLOOKUP(VLOOKUP(B486,SuiteCatSubElem!$G$2:$G$667,2,0),'SXM Q4 18 W'!$A$32:$F$196,1+MATCH(VLOOKUP(A486,Personas!$A$2:$B$6,2,0),'SXM Q4 18 W'!$B$4:$F$4,0),0)</f>
        <v>#REF!</v>
      </c>
      <c r="E486">
        <v>1</v>
      </c>
      <c r="G486">
        <v>1</v>
      </c>
      <c r="H486">
        <v>9</v>
      </c>
    </row>
    <row r="487" spans="1:8">
      <c r="A487">
        <v>1</v>
      </c>
      <c r="B487">
        <v>559</v>
      </c>
      <c r="C487" s="128">
        <v>43101</v>
      </c>
      <c r="D487" s="25" t="e">
        <f>VLOOKUP(VLOOKUP(B487,SuiteCatSubElem!$G$2:$G$667,2,0),'SXM Q4 18 W'!$A$32:$F$196,1+MATCH(VLOOKUP(A487,Personas!$A$2:$B$6,2,0),'SXM Q4 18 W'!$B$4:$F$4,0),0)</f>
        <v>#REF!</v>
      </c>
      <c r="E487">
        <v>1</v>
      </c>
      <c r="G487">
        <v>1</v>
      </c>
      <c r="H487">
        <v>9</v>
      </c>
    </row>
    <row r="488" spans="1:8">
      <c r="A488">
        <v>1</v>
      </c>
      <c r="B488">
        <v>560</v>
      </c>
      <c r="C488" s="128">
        <v>43101</v>
      </c>
      <c r="D488" s="25" t="e">
        <f>VLOOKUP(VLOOKUP(B488,SuiteCatSubElem!$G$2:$G$667,2,0),'SXM Q4 18 W'!$A$32:$F$196,1+MATCH(VLOOKUP(A488,Personas!$A$2:$B$6,2,0),'SXM Q4 18 W'!$B$4:$F$4,0),0)</f>
        <v>#REF!</v>
      </c>
      <c r="E488">
        <v>1</v>
      </c>
      <c r="G488">
        <v>1</v>
      </c>
      <c r="H488">
        <v>9</v>
      </c>
    </row>
    <row r="489" spans="1:8">
      <c r="A489">
        <v>1</v>
      </c>
      <c r="B489">
        <v>561</v>
      </c>
      <c r="C489" s="128">
        <v>43101</v>
      </c>
      <c r="D489" s="25" t="e">
        <f>VLOOKUP(VLOOKUP(B489,SuiteCatSubElem!$G$2:$G$667,2,0),'SXM Q4 18 W'!$A$32:$F$196,1+MATCH(VLOOKUP(A489,Personas!$A$2:$B$6,2,0),'SXM Q4 18 W'!$B$4:$F$4,0),0)</f>
        <v>#REF!</v>
      </c>
      <c r="E489">
        <v>1</v>
      </c>
      <c r="G489">
        <v>1</v>
      </c>
      <c r="H489">
        <v>9</v>
      </c>
    </row>
    <row r="490" spans="1:8">
      <c r="A490">
        <v>1</v>
      </c>
      <c r="B490">
        <v>562</v>
      </c>
      <c r="C490" s="128">
        <v>43101</v>
      </c>
      <c r="D490" s="25" t="e">
        <f>VLOOKUP(VLOOKUP(B490,SuiteCatSubElem!$G$2:$G$667,2,0),'SXM Q4 18 W'!$A$32:$F$196,1+MATCH(VLOOKUP(A490,Personas!$A$2:$B$6,2,0),'SXM Q4 18 W'!$B$4:$F$4,0),0)</f>
        <v>#REF!</v>
      </c>
      <c r="E490">
        <v>1</v>
      </c>
      <c r="G490">
        <v>1</v>
      </c>
      <c r="H490">
        <v>9</v>
      </c>
    </row>
    <row r="491" spans="1:8">
      <c r="A491">
        <v>1</v>
      </c>
      <c r="B491">
        <v>563</v>
      </c>
      <c r="C491" s="128">
        <v>43101</v>
      </c>
      <c r="D491" s="25" t="e">
        <f>VLOOKUP(VLOOKUP(B491,SuiteCatSubElem!$G$2:$G$667,2,0),'SXM Q4 18 W'!$A$32:$F$196,1+MATCH(VLOOKUP(A491,Personas!$A$2:$B$6,2,0),'SXM Q4 18 W'!$B$4:$F$4,0),0)</f>
        <v>#REF!</v>
      </c>
      <c r="E491">
        <v>1</v>
      </c>
      <c r="G491">
        <v>1</v>
      </c>
      <c r="H491">
        <v>9</v>
      </c>
    </row>
    <row r="492" spans="1:8">
      <c r="A492">
        <v>1</v>
      </c>
      <c r="B492">
        <v>564</v>
      </c>
      <c r="C492" s="128">
        <v>43101</v>
      </c>
      <c r="D492" s="25" t="e">
        <f>VLOOKUP(VLOOKUP(B492,SuiteCatSubElem!$G$2:$G$667,2,0),'SXM Q4 18 W'!$A$32:$F$196,1+MATCH(VLOOKUP(A492,Personas!$A$2:$B$6,2,0),'SXM Q4 18 W'!$B$4:$F$4,0),0)</f>
        <v>#REF!</v>
      </c>
      <c r="E492">
        <v>1</v>
      </c>
      <c r="G492">
        <v>1</v>
      </c>
      <c r="H492">
        <v>9</v>
      </c>
    </row>
    <row r="493" spans="1:8">
      <c r="A493">
        <v>1</v>
      </c>
      <c r="B493">
        <v>565</v>
      </c>
      <c r="C493" s="128">
        <v>43101</v>
      </c>
      <c r="D493" s="25" t="e">
        <f>VLOOKUP(VLOOKUP(B493,SuiteCatSubElem!$G$2:$G$667,2,0),'SXM Q4 18 W'!$A$32:$F$196,1+MATCH(VLOOKUP(A493,Personas!$A$2:$B$6,2,0),'SXM Q4 18 W'!$B$4:$F$4,0),0)</f>
        <v>#REF!</v>
      </c>
      <c r="E493">
        <v>1</v>
      </c>
      <c r="G493">
        <v>1</v>
      </c>
      <c r="H493">
        <v>9</v>
      </c>
    </row>
    <row r="494" spans="1:8">
      <c r="A494">
        <v>1</v>
      </c>
      <c r="B494">
        <v>566</v>
      </c>
      <c r="C494" s="128">
        <v>43101</v>
      </c>
      <c r="D494" s="25" t="e">
        <f>VLOOKUP(VLOOKUP(B494,SuiteCatSubElem!$G$2:$G$667,2,0),'SXM Q4 18 W'!$A$32:$F$196,1+MATCH(VLOOKUP(A494,Personas!$A$2:$B$6,2,0),'SXM Q4 18 W'!$B$4:$F$4,0),0)</f>
        <v>#REF!</v>
      </c>
      <c r="E494">
        <v>1</v>
      </c>
      <c r="G494">
        <v>1</v>
      </c>
      <c r="H494">
        <v>9</v>
      </c>
    </row>
    <row r="495" spans="1:8">
      <c r="A495">
        <v>1</v>
      </c>
      <c r="B495">
        <v>567</v>
      </c>
      <c r="C495" s="128">
        <v>43101</v>
      </c>
      <c r="D495" s="25" t="e">
        <f>VLOOKUP(VLOOKUP(B495,SuiteCatSubElem!$G$2:$G$667,2,0),'SXM Q4 18 W'!$A$32:$F$196,1+MATCH(VLOOKUP(A495,Personas!$A$2:$B$6,2,0),'SXM Q4 18 W'!$B$4:$F$4,0),0)</f>
        <v>#REF!</v>
      </c>
      <c r="E495">
        <v>1</v>
      </c>
      <c r="G495">
        <v>1</v>
      </c>
      <c r="H495">
        <v>9</v>
      </c>
    </row>
    <row r="496" spans="1:8">
      <c r="A496">
        <v>1</v>
      </c>
      <c r="B496">
        <v>568</v>
      </c>
      <c r="C496" s="128">
        <v>43101</v>
      </c>
      <c r="D496" s="25" t="e">
        <f>VLOOKUP(VLOOKUP(B496,SuiteCatSubElem!$G$2:$G$667,2,0),'SXM Q4 18 W'!$A$32:$F$196,1+MATCH(VLOOKUP(A496,Personas!$A$2:$B$6,2,0),'SXM Q4 18 W'!$B$4:$F$4,0),0)</f>
        <v>#REF!</v>
      </c>
      <c r="E496">
        <v>1</v>
      </c>
      <c r="G496">
        <v>1</v>
      </c>
      <c r="H496">
        <v>9</v>
      </c>
    </row>
    <row r="497" spans="1:8">
      <c r="A497">
        <v>1</v>
      </c>
      <c r="B497">
        <v>569</v>
      </c>
      <c r="C497" s="128">
        <v>43101</v>
      </c>
      <c r="D497" s="25" t="e">
        <f>VLOOKUP(VLOOKUP(B497,SuiteCatSubElem!$G$2:$G$667,2,0),'SXM Q4 18 W'!$A$32:$F$196,1+MATCH(VLOOKUP(A497,Personas!$A$2:$B$6,2,0),'SXM Q4 18 W'!$B$4:$F$4,0),0)</f>
        <v>#REF!</v>
      </c>
      <c r="E497">
        <v>1</v>
      </c>
      <c r="G497">
        <v>1</v>
      </c>
      <c r="H497">
        <v>9</v>
      </c>
    </row>
    <row r="498" spans="1:8">
      <c r="A498">
        <v>1</v>
      </c>
      <c r="B498">
        <v>570</v>
      </c>
      <c r="C498" s="128">
        <v>43101</v>
      </c>
      <c r="D498" s="25" t="e">
        <f>VLOOKUP(VLOOKUP(B498,SuiteCatSubElem!$G$2:$G$667,2,0),'SXM Q4 18 W'!$A$32:$F$196,1+MATCH(VLOOKUP(A498,Personas!$A$2:$B$6,2,0),'SXM Q4 18 W'!$B$4:$F$4,0),0)</f>
        <v>#REF!</v>
      </c>
      <c r="E498">
        <v>1</v>
      </c>
      <c r="G498">
        <v>1</v>
      </c>
      <c r="H498">
        <v>9</v>
      </c>
    </row>
    <row r="499" spans="1:8">
      <c r="A499">
        <v>1</v>
      </c>
      <c r="B499">
        <v>571</v>
      </c>
      <c r="C499" s="128">
        <v>43101</v>
      </c>
      <c r="D499" s="25" t="e">
        <f>VLOOKUP(VLOOKUP(B499,SuiteCatSubElem!$G$2:$G$667,2,0),'SXM Q4 18 W'!$A$32:$F$196,1+MATCH(VLOOKUP(A499,Personas!$A$2:$B$6,2,0),'SXM Q4 18 W'!$B$4:$F$4,0),0)</f>
        <v>#REF!</v>
      </c>
      <c r="E499">
        <v>1</v>
      </c>
      <c r="G499">
        <v>1</v>
      </c>
      <c r="H499">
        <v>9</v>
      </c>
    </row>
    <row r="500" spans="1:8">
      <c r="A500">
        <v>1</v>
      </c>
      <c r="B500">
        <v>572</v>
      </c>
      <c r="C500" s="128">
        <v>43101</v>
      </c>
      <c r="D500" s="25" t="e">
        <f>VLOOKUP(VLOOKUP(B500,SuiteCatSubElem!$G$2:$G$667,2,0),'SXM Q4 18 W'!$A$32:$F$196,1+MATCH(VLOOKUP(A500,Personas!$A$2:$B$6,2,0),'SXM Q4 18 W'!$B$4:$F$4,0),0)</f>
        <v>#REF!</v>
      </c>
      <c r="E500">
        <v>1</v>
      </c>
      <c r="G500">
        <v>1</v>
      </c>
      <c r="H500">
        <v>9</v>
      </c>
    </row>
    <row r="501" spans="1:8">
      <c r="A501">
        <v>1</v>
      </c>
      <c r="B501">
        <v>573</v>
      </c>
      <c r="C501" s="128">
        <v>43101</v>
      </c>
      <c r="D501" s="25" t="e">
        <f>VLOOKUP(VLOOKUP(B501,SuiteCatSubElem!$G$2:$G$667,2,0),'SXM Q4 18 W'!$A$32:$F$196,1+MATCH(VLOOKUP(A501,Personas!$A$2:$B$6,2,0),'SXM Q4 18 W'!$B$4:$F$4,0),0)</f>
        <v>#REF!</v>
      </c>
      <c r="E501">
        <v>1</v>
      </c>
      <c r="G501">
        <v>1</v>
      </c>
      <c r="H501">
        <v>9</v>
      </c>
    </row>
    <row r="502" spans="1:8">
      <c r="A502">
        <v>1</v>
      </c>
      <c r="B502">
        <v>574</v>
      </c>
      <c r="C502" s="128">
        <v>43101</v>
      </c>
      <c r="D502" s="25" t="e">
        <f>VLOOKUP(VLOOKUP(B502,SuiteCatSubElem!$G$2:$G$667,2,0),'SXM Q4 18 W'!$A$32:$F$196,1+MATCH(VLOOKUP(A502,Personas!$A$2:$B$6,2,0),'SXM Q4 18 W'!$B$4:$F$4,0),0)</f>
        <v>#REF!</v>
      </c>
      <c r="E502">
        <v>1</v>
      </c>
      <c r="G502">
        <v>1</v>
      </c>
      <c r="H502">
        <v>9</v>
      </c>
    </row>
    <row r="503" spans="1:8">
      <c r="A503">
        <v>1</v>
      </c>
      <c r="B503">
        <v>575</v>
      </c>
      <c r="C503" s="128">
        <v>43101</v>
      </c>
      <c r="D503" s="25" t="e">
        <f>VLOOKUP(VLOOKUP(B503,SuiteCatSubElem!$G$2:$G$667,2,0),'SXM Q4 18 W'!$A$32:$F$196,1+MATCH(VLOOKUP(A503,Personas!$A$2:$B$6,2,0),'SXM Q4 18 W'!$B$4:$F$4,0),0)</f>
        <v>#REF!</v>
      </c>
      <c r="E503">
        <v>1</v>
      </c>
      <c r="G503">
        <v>1</v>
      </c>
      <c r="H503">
        <v>9</v>
      </c>
    </row>
    <row r="504" spans="1:8">
      <c r="A504">
        <v>1</v>
      </c>
      <c r="B504">
        <v>576</v>
      </c>
      <c r="C504" s="128">
        <v>43101</v>
      </c>
      <c r="D504" s="25" t="e">
        <f>VLOOKUP(VLOOKUP(B504,SuiteCatSubElem!$G$2:$G$667,2,0),'SXM Q4 18 W'!$A$32:$F$196,1+MATCH(VLOOKUP(A504,Personas!$A$2:$B$6,2,0),'SXM Q4 18 W'!$B$4:$F$4,0),0)</f>
        <v>#REF!</v>
      </c>
      <c r="E504">
        <v>1</v>
      </c>
      <c r="G504">
        <v>1</v>
      </c>
      <c r="H504">
        <v>9</v>
      </c>
    </row>
    <row r="505" spans="1:8">
      <c r="A505">
        <v>1</v>
      </c>
      <c r="B505">
        <v>577</v>
      </c>
      <c r="C505" s="128">
        <v>43101</v>
      </c>
      <c r="D505" s="25" t="e">
        <f>VLOOKUP(VLOOKUP(B505,SuiteCatSubElem!$G$2:$G$667,2,0),'SXM Q4 18 W'!$A$32:$F$196,1+MATCH(VLOOKUP(A505,Personas!$A$2:$B$6,2,0),'SXM Q4 18 W'!$B$4:$F$4,0),0)</f>
        <v>#REF!</v>
      </c>
      <c r="E505">
        <v>1</v>
      </c>
      <c r="G505">
        <v>1</v>
      </c>
      <c r="H505">
        <v>9</v>
      </c>
    </row>
    <row r="506" spans="1:8">
      <c r="A506">
        <v>1</v>
      </c>
      <c r="B506">
        <v>578</v>
      </c>
      <c r="C506" s="128">
        <v>43101</v>
      </c>
      <c r="D506" s="25" t="e">
        <f>VLOOKUP(VLOOKUP(B506,SuiteCatSubElem!$G$2:$G$667,2,0),'SXM Q4 18 W'!$A$32:$F$196,1+MATCH(VLOOKUP(A506,Personas!$A$2:$B$6,2,0),'SXM Q4 18 W'!$B$4:$F$4,0),0)</f>
        <v>#REF!</v>
      </c>
      <c r="E506">
        <v>1</v>
      </c>
      <c r="G506">
        <v>1</v>
      </c>
      <c r="H506">
        <v>9</v>
      </c>
    </row>
    <row r="507" spans="1:8">
      <c r="A507">
        <v>1</v>
      </c>
      <c r="B507">
        <v>579</v>
      </c>
      <c r="C507" s="128">
        <v>43101</v>
      </c>
      <c r="D507" s="25" t="e">
        <f>VLOOKUP(VLOOKUP(B507,SuiteCatSubElem!$G$2:$G$667,2,0),'SXM Q4 18 W'!$A$32:$F$196,1+MATCH(VLOOKUP(A507,Personas!$A$2:$B$6,2,0),'SXM Q4 18 W'!$B$4:$F$4,0),0)</f>
        <v>#REF!</v>
      </c>
      <c r="E507">
        <v>1</v>
      </c>
      <c r="G507">
        <v>1</v>
      </c>
      <c r="H507">
        <v>9</v>
      </c>
    </row>
    <row r="508" spans="1:8">
      <c r="A508">
        <v>1</v>
      </c>
      <c r="B508">
        <v>580</v>
      </c>
      <c r="C508" s="128">
        <v>43101</v>
      </c>
      <c r="D508" s="25" t="e">
        <f>VLOOKUP(VLOOKUP(B508,SuiteCatSubElem!$G$2:$G$667,2,0),'SXM Q4 18 W'!$A$32:$F$196,1+MATCH(VLOOKUP(A508,Personas!$A$2:$B$6,2,0),'SXM Q4 18 W'!$B$4:$F$4,0),0)</f>
        <v>#REF!</v>
      </c>
      <c r="E508">
        <v>1</v>
      </c>
      <c r="G508">
        <v>1</v>
      </c>
      <c r="H508">
        <v>9</v>
      </c>
    </row>
    <row r="509" spans="1:8">
      <c r="A509">
        <v>1</v>
      </c>
      <c r="B509">
        <v>581</v>
      </c>
      <c r="C509" s="128">
        <v>43101</v>
      </c>
      <c r="D509" s="25" t="e">
        <f>VLOOKUP(VLOOKUP(B509,SuiteCatSubElem!$G$2:$G$667,2,0),'SXM Q4 18 W'!$A$32:$F$196,1+MATCH(VLOOKUP(A509,Personas!$A$2:$B$6,2,0),'SXM Q4 18 W'!$B$4:$F$4,0),0)</f>
        <v>#REF!</v>
      </c>
      <c r="E509">
        <v>1</v>
      </c>
      <c r="G509">
        <v>1</v>
      </c>
      <c r="H509">
        <v>9</v>
      </c>
    </row>
    <row r="510" spans="1:8">
      <c r="A510">
        <v>1</v>
      </c>
      <c r="B510">
        <v>582</v>
      </c>
      <c r="C510" s="128">
        <v>43101</v>
      </c>
      <c r="D510" s="25" t="e">
        <f>VLOOKUP(VLOOKUP(B510,SuiteCatSubElem!$G$2:$G$667,2,0),'SXM Q4 18 W'!$A$32:$F$196,1+MATCH(VLOOKUP(A510,Personas!$A$2:$B$6,2,0),'SXM Q4 18 W'!$B$4:$F$4,0),0)</f>
        <v>#REF!</v>
      </c>
      <c r="E510">
        <v>1</v>
      </c>
      <c r="G510">
        <v>1</v>
      </c>
      <c r="H510">
        <v>9</v>
      </c>
    </row>
    <row r="511" spans="1:8">
      <c r="A511">
        <v>1</v>
      </c>
      <c r="B511">
        <v>583</v>
      </c>
      <c r="C511" s="128">
        <v>43101</v>
      </c>
      <c r="D511" s="25" t="e">
        <f>VLOOKUP(VLOOKUP(B511,SuiteCatSubElem!$G$2:$G$667,2,0),'SXM Q4 18 W'!$A$32:$F$196,1+MATCH(VLOOKUP(A511,Personas!$A$2:$B$6,2,0),'SXM Q4 18 W'!$B$4:$F$4,0),0)</f>
        <v>#REF!</v>
      </c>
      <c r="E511">
        <v>1</v>
      </c>
      <c r="G511">
        <v>1</v>
      </c>
      <c r="H511">
        <v>9</v>
      </c>
    </row>
    <row r="512" spans="1:8">
      <c r="A512">
        <v>1</v>
      </c>
      <c r="B512">
        <v>584</v>
      </c>
      <c r="C512" s="128">
        <v>43101</v>
      </c>
      <c r="D512" s="25" t="e">
        <f>VLOOKUP(VLOOKUP(B512,SuiteCatSubElem!$G$2:$G$667,2,0),'SXM Q4 18 W'!$A$32:$F$196,1+MATCH(VLOOKUP(A512,Personas!$A$2:$B$6,2,0),'SXM Q4 18 W'!$B$4:$F$4,0),0)</f>
        <v>#REF!</v>
      </c>
      <c r="E512">
        <v>1</v>
      </c>
      <c r="G512">
        <v>1</v>
      </c>
      <c r="H512">
        <v>9</v>
      </c>
    </row>
    <row r="513" spans="1:8">
      <c r="A513">
        <v>1</v>
      </c>
      <c r="B513">
        <v>585</v>
      </c>
      <c r="C513" s="128">
        <v>43101</v>
      </c>
      <c r="D513" s="25" t="e">
        <f>VLOOKUP(VLOOKUP(B513,SuiteCatSubElem!$G$2:$G$667,2,0),'SXM Q4 18 W'!$A$32:$F$196,1+MATCH(VLOOKUP(A513,Personas!$A$2:$B$6,2,0),'SXM Q4 18 W'!$B$4:$F$4,0),0)</f>
        <v>#REF!</v>
      </c>
      <c r="E513">
        <v>1</v>
      </c>
      <c r="G513">
        <v>1</v>
      </c>
      <c r="H513">
        <v>9</v>
      </c>
    </row>
    <row r="514" spans="1:8">
      <c r="A514">
        <v>1</v>
      </c>
      <c r="B514">
        <v>586</v>
      </c>
      <c r="C514" s="128">
        <v>43101</v>
      </c>
      <c r="D514" s="25" t="e">
        <f>VLOOKUP(VLOOKUP(B514,SuiteCatSubElem!$G$2:$G$667,2,0),'SXM Q4 18 W'!$A$32:$F$196,1+MATCH(VLOOKUP(A514,Personas!$A$2:$B$6,2,0),'SXM Q4 18 W'!$B$4:$F$4,0),0)</f>
        <v>#REF!</v>
      </c>
      <c r="E514">
        <v>1</v>
      </c>
      <c r="G514">
        <v>1</v>
      </c>
      <c r="H514">
        <v>9</v>
      </c>
    </row>
    <row r="515" spans="1:8">
      <c r="A515">
        <v>1</v>
      </c>
      <c r="B515">
        <v>587</v>
      </c>
      <c r="C515" s="128">
        <v>43101</v>
      </c>
      <c r="D515" s="25" t="e">
        <f>VLOOKUP(VLOOKUP(B515,SuiteCatSubElem!$G$2:$G$667,2,0),'SXM Q4 18 W'!$A$32:$F$196,1+MATCH(VLOOKUP(A515,Personas!$A$2:$B$6,2,0),'SXM Q4 18 W'!$B$4:$F$4,0),0)</f>
        <v>#REF!</v>
      </c>
      <c r="E515">
        <v>1</v>
      </c>
      <c r="G515">
        <v>1</v>
      </c>
      <c r="H515">
        <v>9</v>
      </c>
    </row>
    <row r="516" spans="1:8">
      <c r="A516">
        <v>1</v>
      </c>
      <c r="B516">
        <v>588</v>
      </c>
      <c r="C516" s="128">
        <v>43101</v>
      </c>
      <c r="D516" s="25" t="e">
        <f>VLOOKUP(VLOOKUP(B516,SuiteCatSubElem!$G$2:$G$667,2,0),'SXM Q4 18 W'!$A$32:$F$196,1+MATCH(VLOOKUP(A516,Personas!$A$2:$B$6,2,0),'SXM Q4 18 W'!$B$4:$F$4,0),0)</f>
        <v>#REF!</v>
      </c>
      <c r="E516">
        <v>1</v>
      </c>
      <c r="G516">
        <v>1</v>
      </c>
      <c r="H516">
        <v>9</v>
      </c>
    </row>
    <row r="517" spans="1:8">
      <c r="A517">
        <v>1</v>
      </c>
      <c r="B517">
        <v>589</v>
      </c>
      <c r="C517" s="128">
        <v>43101</v>
      </c>
      <c r="D517" s="25" t="e">
        <f>VLOOKUP(VLOOKUP(B517,SuiteCatSubElem!$G$2:$G$667,2,0),'SXM Q4 18 W'!$A$32:$F$196,1+MATCH(VLOOKUP(A517,Personas!$A$2:$B$6,2,0),'SXM Q4 18 W'!$B$4:$F$4,0),0)</f>
        <v>#REF!</v>
      </c>
      <c r="E517">
        <v>1</v>
      </c>
      <c r="G517">
        <v>1</v>
      </c>
      <c r="H517">
        <v>9</v>
      </c>
    </row>
    <row r="518" spans="1:8">
      <c r="A518">
        <v>1</v>
      </c>
      <c r="B518">
        <v>590</v>
      </c>
      <c r="C518" s="128">
        <v>43101</v>
      </c>
      <c r="D518" s="25" t="e">
        <f>VLOOKUP(VLOOKUP(B518,SuiteCatSubElem!$G$2:$G$667,2,0),'SXM Q4 18 W'!$A$32:$F$196,1+MATCH(VLOOKUP(A518,Personas!$A$2:$B$6,2,0),'SXM Q4 18 W'!$B$4:$F$4,0),0)</f>
        <v>#REF!</v>
      </c>
      <c r="E518">
        <v>1</v>
      </c>
      <c r="G518">
        <v>1</v>
      </c>
      <c r="H518">
        <v>9</v>
      </c>
    </row>
    <row r="519" spans="1:8">
      <c r="A519">
        <v>1</v>
      </c>
      <c r="B519">
        <v>591</v>
      </c>
      <c r="C519" s="128">
        <v>43101</v>
      </c>
      <c r="D519" s="25" t="e">
        <f>VLOOKUP(VLOOKUP(B519,SuiteCatSubElem!$G$2:$G$667,2,0),'SXM Q4 18 W'!$A$32:$F$196,1+MATCH(VLOOKUP(A519,Personas!$A$2:$B$6,2,0),'SXM Q4 18 W'!$B$4:$F$4,0),0)</f>
        <v>#REF!</v>
      </c>
      <c r="E519">
        <v>1</v>
      </c>
      <c r="G519">
        <v>1</v>
      </c>
      <c r="H519">
        <v>9</v>
      </c>
    </row>
    <row r="520" spans="1:8">
      <c r="A520">
        <v>1</v>
      </c>
      <c r="B520">
        <v>592</v>
      </c>
      <c r="C520" s="128">
        <v>43101</v>
      </c>
      <c r="D520" s="25" t="e">
        <f>VLOOKUP(VLOOKUP(B520,SuiteCatSubElem!$G$2:$G$667,2,0),'SXM Q4 18 W'!$A$32:$F$196,1+MATCH(VLOOKUP(A520,Personas!$A$2:$B$6,2,0),'SXM Q4 18 W'!$B$4:$F$4,0),0)</f>
        <v>#REF!</v>
      </c>
      <c r="E520">
        <v>1</v>
      </c>
      <c r="G520">
        <v>1</v>
      </c>
      <c r="H520">
        <v>9</v>
      </c>
    </row>
    <row r="521" spans="1:8">
      <c r="A521">
        <v>1</v>
      </c>
      <c r="B521">
        <v>593</v>
      </c>
      <c r="C521" s="128">
        <v>43101</v>
      </c>
      <c r="D521" s="25" t="e">
        <f>VLOOKUP(VLOOKUP(B521,SuiteCatSubElem!$G$2:$G$667,2,0),'SXM Q4 18 W'!$A$32:$F$196,1+MATCH(VLOOKUP(A521,Personas!$A$2:$B$6,2,0),'SXM Q4 18 W'!$B$4:$F$4,0),0)</f>
        <v>#REF!</v>
      </c>
      <c r="E521">
        <v>1</v>
      </c>
      <c r="G521">
        <v>1</v>
      </c>
      <c r="H521">
        <v>9</v>
      </c>
    </row>
    <row r="522" spans="1:8">
      <c r="A522">
        <v>1</v>
      </c>
      <c r="B522">
        <v>594</v>
      </c>
      <c r="C522" s="128">
        <v>43101</v>
      </c>
      <c r="D522" s="25" t="e">
        <f>VLOOKUP(VLOOKUP(B522,SuiteCatSubElem!$G$2:$G$667,2,0),'SXM Q4 18 W'!$A$32:$F$196,1+MATCH(VLOOKUP(A522,Personas!$A$2:$B$6,2,0),'SXM Q4 18 W'!$B$4:$F$4,0),0)</f>
        <v>#REF!</v>
      </c>
      <c r="E522">
        <v>1</v>
      </c>
      <c r="G522">
        <v>1</v>
      </c>
      <c r="H522">
        <v>9</v>
      </c>
    </row>
    <row r="523" spans="1:8">
      <c r="A523">
        <f>A422+1</f>
        <v>2</v>
      </c>
      <c r="B523">
        <f>B422</f>
        <v>494</v>
      </c>
      <c r="C523" s="128">
        <v>43101</v>
      </c>
      <c r="D523" s="25" t="e">
        <f>VLOOKUP(VLOOKUP(B523,SuiteCatSubElem!$G$2:$G$667,2,0),'SXM Q4 18 W'!$A$32:$F$196,1+MATCH(VLOOKUP(A523,Personas!$A$2:$B$6,2,0),'SXM Q4 18 W'!$B$4:$F$4,0),0)</f>
        <v>#REF!</v>
      </c>
      <c r="E523">
        <v>1</v>
      </c>
      <c r="G523">
        <v>1</v>
      </c>
      <c r="H523">
        <v>9</v>
      </c>
    </row>
    <row r="524" spans="1:8">
      <c r="A524">
        <f t="shared" ref="A524:A587" si="16">A423+1</f>
        <v>2</v>
      </c>
      <c r="B524">
        <f t="shared" ref="B524:B587" si="17">B423</f>
        <v>495</v>
      </c>
      <c r="C524" s="128">
        <v>43101</v>
      </c>
      <c r="D524" s="25" t="e">
        <f>VLOOKUP(VLOOKUP(B524,SuiteCatSubElem!$G$2:$G$667,2,0),'SXM Q4 18 W'!$A$32:$F$196,1+MATCH(VLOOKUP(A524,Personas!$A$2:$B$6,2,0),'SXM Q4 18 W'!$B$4:$F$4,0),0)</f>
        <v>#REF!</v>
      </c>
      <c r="E524">
        <v>1</v>
      </c>
      <c r="G524">
        <v>1</v>
      </c>
      <c r="H524">
        <v>9</v>
      </c>
    </row>
    <row r="525" spans="1:8">
      <c r="A525">
        <f t="shared" si="16"/>
        <v>2</v>
      </c>
      <c r="B525">
        <f t="shared" si="17"/>
        <v>496</v>
      </c>
      <c r="C525" s="128">
        <v>43101</v>
      </c>
      <c r="D525" s="25" t="e">
        <f>VLOOKUP(VLOOKUP(B525,SuiteCatSubElem!$G$2:$G$667,2,0),'SXM Q4 18 W'!$A$32:$F$196,1+MATCH(VLOOKUP(A525,Personas!$A$2:$B$6,2,0),'SXM Q4 18 W'!$B$4:$F$4,0),0)</f>
        <v>#REF!</v>
      </c>
      <c r="E525">
        <v>1</v>
      </c>
      <c r="G525">
        <v>1</v>
      </c>
      <c r="H525">
        <v>9</v>
      </c>
    </row>
    <row r="526" spans="1:8">
      <c r="A526">
        <f t="shared" si="16"/>
        <v>2</v>
      </c>
      <c r="B526">
        <f t="shared" si="17"/>
        <v>497</v>
      </c>
      <c r="C526" s="128">
        <v>43101</v>
      </c>
      <c r="D526" s="25" t="e">
        <f>VLOOKUP(VLOOKUP(B526,SuiteCatSubElem!$G$2:$G$667,2,0),'SXM Q4 18 W'!$A$32:$F$196,1+MATCH(VLOOKUP(A526,Personas!$A$2:$B$6,2,0),'SXM Q4 18 W'!$B$4:$F$4,0),0)</f>
        <v>#REF!</v>
      </c>
      <c r="E526">
        <v>1</v>
      </c>
      <c r="G526">
        <v>1</v>
      </c>
      <c r="H526">
        <v>9</v>
      </c>
    </row>
    <row r="527" spans="1:8">
      <c r="A527">
        <f t="shared" si="16"/>
        <v>2</v>
      </c>
      <c r="B527">
        <f t="shared" si="17"/>
        <v>498</v>
      </c>
      <c r="C527" s="128">
        <v>43101</v>
      </c>
      <c r="D527" s="25" t="e">
        <f>VLOOKUP(VLOOKUP(B527,SuiteCatSubElem!$G$2:$G$667,2,0),'SXM Q4 18 W'!$A$32:$F$196,1+MATCH(VLOOKUP(A527,Personas!$A$2:$B$6,2,0),'SXM Q4 18 W'!$B$4:$F$4,0),0)</f>
        <v>#REF!</v>
      </c>
      <c r="E527">
        <v>1</v>
      </c>
      <c r="G527">
        <v>1</v>
      </c>
      <c r="H527">
        <v>9</v>
      </c>
    </row>
    <row r="528" spans="1:8">
      <c r="A528">
        <f t="shared" si="16"/>
        <v>2</v>
      </c>
      <c r="B528">
        <f t="shared" si="17"/>
        <v>499</v>
      </c>
      <c r="C528" s="128">
        <v>43101</v>
      </c>
      <c r="D528" s="25" t="e">
        <f>VLOOKUP(VLOOKUP(B528,SuiteCatSubElem!$G$2:$G$667,2,0),'SXM Q4 18 W'!$A$32:$F$196,1+MATCH(VLOOKUP(A528,Personas!$A$2:$B$6,2,0),'SXM Q4 18 W'!$B$4:$F$4,0),0)</f>
        <v>#REF!</v>
      </c>
      <c r="E528">
        <v>1</v>
      </c>
      <c r="G528">
        <v>1</v>
      </c>
      <c r="H528">
        <v>9</v>
      </c>
    </row>
    <row r="529" spans="1:8">
      <c r="A529">
        <f t="shared" si="16"/>
        <v>2</v>
      </c>
      <c r="B529">
        <f t="shared" si="17"/>
        <v>500</v>
      </c>
      <c r="C529" s="128">
        <v>43101</v>
      </c>
      <c r="D529" s="25" t="e">
        <f>VLOOKUP(VLOOKUP(B529,SuiteCatSubElem!$G$2:$G$667,2,0),'SXM Q4 18 W'!$A$32:$F$196,1+MATCH(VLOOKUP(A529,Personas!$A$2:$B$6,2,0),'SXM Q4 18 W'!$B$4:$F$4,0),0)</f>
        <v>#REF!</v>
      </c>
      <c r="E529">
        <v>1</v>
      </c>
      <c r="G529">
        <v>1</v>
      </c>
      <c r="H529">
        <v>9</v>
      </c>
    </row>
    <row r="530" spans="1:8">
      <c r="A530">
        <f t="shared" si="16"/>
        <v>2</v>
      </c>
      <c r="B530">
        <f t="shared" si="17"/>
        <v>501</v>
      </c>
      <c r="C530" s="128">
        <v>43101</v>
      </c>
      <c r="D530" s="25" t="e">
        <f>VLOOKUP(VLOOKUP(B530,SuiteCatSubElem!$G$2:$G$667,2,0),'SXM Q4 18 W'!$A$32:$F$196,1+MATCH(VLOOKUP(A530,Personas!$A$2:$B$6,2,0),'SXM Q4 18 W'!$B$4:$F$4,0),0)</f>
        <v>#REF!</v>
      </c>
      <c r="E530">
        <v>1</v>
      </c>
      <c r="G530">
        <v>1</v>
      </c>
      <c r="H530">
        <v>9</v>
      </c>
    </row>
    <row r="531" spans="1:8">
      <c r="A531">
        <f t="shared" si="16"/>
        <v>2</v>
      </c>
      <c r="B531">
        <f t="shared" si="17"/>
        <v>502</v>
      </c>
      <c r="C531" s="128">
        <v>43101</v>
      </c>
      <c r="D531" s="25" t="e">
        <f>VLOOKUP(VLOOKUP(B531,SuiteCatSubElem!$G$2:$G$667,2,0),'SXM Q4 18 W'!$A$32:$F$196,1+MATCH(VLOOKUP(A531,Personas!$A$2:$B$6,2,0),'SXM Q4 18 W'!$B$4:$F$4,0),0)</f>
        <v>#REF!</v>
      </c>
      <c r="E531">
        <v>1</v>
      </c>
      <c r="G531">
        <v>1</v>
      </c>
      <c r="H531">
        <v>9</v>
      </c>
    </row>
    <row r="532" spans="1:8">
      <c r="A532">
        <f t="shared" si="16"/>
        <v>2</v>
      </c>
      <c r="B532">
        <f t="shared" si="17"/>
        <v>503</v>
      </c>
      <c r="C532" s="128">
        <v>43101</v>
      </c>
      <c r="D532" s="25" t="e">
        <f>VLOOKUP(VLOOKUP(B532,SuiteCatSubElem!$G$2:$G$667,2,0),'SXM Q4 18 W'!$A$32:$F$196,1+MATCH(VLOOKUP(A532,Personas!$A$2:$B$6,2,0),'SXM Q4 18 W'!$B$4:$F$4,0),0)</f>
        <v>#REF!</v>
      </c>
      <c r="E532">
        <v>1</v>
      </c>
      <c r="G532">
        <v>1</v>
      </c>
      <c r="H532">
        <v>9</v>
      </c>
    </row>
    <row r="533" spans="1:8">
      <c r="A533">
        <f t="shared" si="16"/>
        <v>2</v>
      </c>
      <c r="B533">
        <f t="shared" si="17"/>
        <v>504</v>
      </c>
      <c r="C533" s="128">
        <v>43101</v>
      </c>
      <c r="D533" s="25" t="e">
        <f>VLOOKUP(VLOOKUP(B533,SuiteCatSubElem!$G$2:$G$667,2,0),'SXM Q4 18 W'!$A$32:$F$196,1+MATCH(VLOOKUP(A533,Personas!$A$2:$B$6,2,0),'SXM Q4 18 W'!$B$4:$F$4,0),0)</f>
        <v>#REF!</v>
      </c>
      <c r="E533">
        <v>1</v>
      </c>
      <c r="G533">
        <v>1</v>
      </c>
      <c r="H533">
        <v>9</v>
      </c>
    </row>
    <row r="534" spans="1:8">
      <c r="A534">
        <f t="shared" si="16"/>
        <v>2</v>
      </c>
      <c r="B534">
        <f t="shared" si="17"/>
        <v>505</v>
      </c>
      <c r="C534" s="128">
        <v>43101</v>
      </c>
      <c r="D534" s="25" t="e">
        <f>VLOOKUP(VLOOKUP(B534,SuiteCatSubElem!$G$2:$G$667,2,0),'SXM Q4 18 W'!$A$32:$F$196,1+MATCH(VLOOKUP(A534,Personas!$A$2:$B$6,2,0),'SXM Q4 18 W'!$B$4:$F$4,0),0)</f>
        <v>#REF!</v>
      </c>
      <c r="E534">
        <v>1</v>
      </c>
      <c r="G534">
        <v>1</v>
      </c>
      <c r="H534">
        <v>9</v>
      </c>
    </row>
    <row r="535" spans="1:8">
      <c r="A535">
        <f t="shared" si="16"/>
        <v>2</v>
      </c>
      <c r="B535">
        <f t="shared" si="17"/>
        <v>506</v>
      </c>
      <c r="C535" s="128">
        <v>43101</v>
      </c>
      <c r="D535" s="25" t="e">
        <f>VLOOKUP(VLOOKUP(B535,SuiteCatSubElem!$G$2:$G$667,2,0),'SXM Q4 18 W'!$A$32:$F$196,1+MATCH(VLOOKUP(A535,Personas!$A$2:$B$6,2,0),'SXM Q4 18 W'!$B$4:$F$4,0),0)</f>
        <v>#REF!</v>
      </c>
      <c r="E535">
        <v>1</v>
      </c>
      <c r="G535">
        <v>1</v>
      </c>
      <c r="H535">
        <v>9</v>
      </c>
    </row>
    <row r="536" spans="1:8">
      <c r="A536">
        <f t="shared" si="16"/>
        <v>2</v>
      </c>
      <c r="B536">
        <f t="shared" si="17"/>
        <v>507</v>
      </c>
      <c r="C536" s="128">
        <v>43101</v>
      </c>
      <c r="D536" s="25" t="e">
        <f>VLOOKUP(VLOOKUP(B536,SuiteCatSubElem!$G$2:$G$667,2,0),'SXM Q4 18 W'!$A$32:$F$196,1+MATCH(VLOOKUP(A536,Personas!$A$2:$B$6,2,0),'SXM Q4 18 W'!$B$4:$F$4,0),0)</f>
        <v>#REF!</v>
      </c>
      <c r="E536">
        <v>1</v>
      </c>
      <c r="G536">
        <v>1</v>
      </c>
      <c r="H536">
        <v>9</v>
      </c>
    </row>
    <row r="537" spans="1:8">
      <c r="A537">
        <f t="shared" si="16"/>
        <v>2</v>
      </c>
      <c r="B537">
        <f t="shared" si="17"/>
        <v>508</v>
      </c>
      <c r="C537" s="128">
        <v>43101</v>
      </c>
      <c r="D537" s="25" t="e">
        <f>VLOOKUP(VLOOKUP(B537,SuiteCatSubElem!$G$2:$G$667,2,0),'SXM Q4 18 W'!$A$32:$F$196,1+MATCH(VLOOKUP(A537,Personas!$A$2:$B$6,2,0),'SXM Q4 18 W'!$B$4:$F$4,0),0)</f>
        <v>#REF!</v>
      </c>
      <c r="E537">
        <v>1</v>
      </c>
      <c r="G537">
        <v>1</v>
      </c>
      <c r="H537">
        <v>9</v>
      </c>
    </row>
    <row r="538" spans="1:8">
      <c r="A538">
        <f t="shared" si="16"/>
        <v>2</v>
      </c>
      <c r="B538">
        <f t="shared" si="17"/>
        <v>509</v>
      </c>
      <c r="C538" s="128">
        <v>43101</v>
      </c>
      <c r="D538" s="25" t="e">
        <f>VLOOKUP(VLOOKUP(B538,SuiteCatSubElem!$G$2:$G$667,2,0),'SXM Q4 18 W'!$A$32:$F$196,1+MATCH(VLOOKUP(A538,Personas!$A$2:$B$6,2,0),'SXM Q4 18 W'!$B$4:$F$4,0),0)</f>
        <v>#REF!</v>
      </c>
      <c r="E538">
        <v>1</v>
      </c>
      <c r="G538">
        <v>1</v>
      </c>
      <c r="H538">
        <v>9</v>
      </c>
    </row>
    <row r="539" spans="1:8">
      <c r="A539">
        <f t="shared" si="16"/>
        <v>2</v>
      </c>
      <c r="B539">
        <f t="shared" si="17"/>
        <v>510</v>
      </c>
      <c r="C539" s="128">
        <v>43101</v>
      </c>
      <c r="D539" s="25" t="e">
        <f>VLOOKUP(VLOOKUP(B539,SuiteCatSubElem!$G$2:$G$667,2,0),'SXM Q4 18 W'!$A$32:$F$196,1+MATCH(VLOOKUP(A539,Personas!$A$2:$B$6,2,0),'SXM Q4 18 W'!$B$4:$F$4,0),0)</f>
        <v>#REF!</v>
      </c>
      <c r="E539">
        <v>1</v>
      </c>
      <c r="G539">
        <v>1</v>
      </c>
      <c r="H539">
        <v>9</v>
      </c>
    </row>
    <row r="540" spans="1:8">
      <c r="A540">
        <f t="shared" si="16"/>
        <v>2</v>
      </c>
      <c r="B540">
        <f t="shared" si="17"/>
        <v>511</v>
      </c>
      <c r="C540" s="128">
        <v>43101</v>
      </c>
      <c r="D540" s="25" t="e">
        <f>VLOOKUP(VLOOKUP(B540,SuiteCatSubElem!$G$2:$G$667,2,0),'SXM Q4 18 W'!$A$32:$F$196,1+MATCH(VLOOKUP(A540,Personas!$A$2:$B$6,2,0),'SXM Q4 18 W'!$B$4:$F$4,0),0)</f>
        <v>#REF!</v>
      </c>
      <c r="E540">
        <v>1</v>
      </c>
      <c r="G540">
        <v>1</v>
      </c>
      <c r="H540">
        <v>9</v>
      </c>
    </row>
    <row r="541" spans="1:8">
      <c r="A541">
        <f t="shared" si="16"/>
        <v>2</v>
      </c>
      <c r="B541">
        <f t="shared" si="17"/>
        <v>512</v>
      </c>
      <c r="C541" s="128">
        <v>43101</v>
      </c>
      <c r="D541" s="25" t="e">
        <f>VLOOKUP(VLOOKUP(B541,SuiteCatSubElem!$G$2:$G$667,2,0),'SXM Q4 18 W'!$A$32:$F$196,1+MATCH(VLOOKUP(A541,Personas!$A$2:$B$6,2,0),'SXM Q4 18 W'!$B$4:$F$4,0),0)</f>
        <v>#REF!</v>
      </c>
      <c r="E541">
        <v>1</v>
      </c>
      <c r="G541">
        <v>1</v>
      </c>
      <c r="H541">
        <v>9</v>
      </c>
    </row>
    <row r="542" spans="1:8">
      <c r="A542">
        <f t="shared" si="16"/>
        <v>2</v>
      </c>
      <c r="B542">
        <f t="shared" si="17"/>
        <v>513</v>
      </c>
      <c r="C542" s="128">
        <v>43101</v>
      </c>
      <c r="D542" s="25" t="e">
        <f>VLOOKUP(VLOOKUP(B542,SuiteCatSubElem!$G$2:$G$667,2,0),'SXM Q4 18 W'!$A$32:$F$196,1+MATCH(VLOOKUP(A542,Personas!$A$2:$B$6,2,0),'SXM Q4 18 W'!$B$4:$F$4,0),0)</f>
        <v>#REF!</v>
      </c>
      <c r="E542">
        <v>1</v>
      </c>
      <c r="G542">
        <v>1</v>
      </c>
      <c r="H542">
        <v>9</v>
      </c>
    </row>
    <row r="543" spans="1:8">
      <c r="A543">
        <f t="shared" si="16"/>
        <v>2</v>
      </c>
      <c r="B543">
        <f t="shared" si="17"/>
        <v>514</v>
      </c>
      <c r="C543" s="128">
        <v>43101</v>
      </c>
      <c r="D543" s="25" t="e">
        <f>VLOOKUP(VLOOKUP(B543,SuiteCatSubElem!$G$2:$G$667,2,0),'SXM Q4 18 W'!$A$32:$F$196,1+MATCH(VLOOKUP(A543,Personas!$A$2:$B$6,2,0),'SXM Q4 18 W'!$B$4:$F$4,0),0)</f>
        <v>#REF!</v>
      </c>
      <c r="E543">
        <v>1</v>
      </c>
      <c r="G543">
        <v>1</v>
      </c>
      <c r="H543">
        <v>9</v>
      </c>
    </row>
    <row r="544" spans="1:8">
      <c r="A544">
        <f t="shared" si="16"/>
        <v>2</v>
      </c>
      <c r="B544">
        <f t="shared" si="17"/>
        <v>515</v>
      </c>
      <c r="C544" s="128">
        <v>43101</v>
      </c>
      <c r="D544" s="25" t="e">
        <f>VLOOKUP(VLOOKUP(B544,SuiteCatSubElem!$G$2:$G$667,2,0),'SXM Q4 18 W'!$A$32:$F$196,1+MATCH(VLOOKUP(A544,Personas!$A$2:$B$6,2,0),'SXM Q4 18 W'!$B$4:$F$4,0),0)</f>
        <v>#REF!</v>
      </c>
      <c r="E544">
        <v>1</v>
      </c>
      <c r="G544">
        <v>1</v>
      </c>
      <c r="H544">
        <v>9</v>
      </c>
    </row>
    <row r="545" spans="1:8">
      <c r="A545">
        <f t="shared" si="16"/>
        <v>2</v>
      </c>
      <c r="B545">
        <f t="shared" si="17"/>
        <v>516</v>
      </c>
      <c r="C545" s="128">
        <v>43101</v>
      </c>
      <c r="D545" s="25" t="e">
        <f>VLOOKUP(VLOOKUP(B545,SuiteCatSubElem!$G$2:$G$667,2,0),'SXM Q4 18 W'!$A$32:$F$196,1+MATCH(VLOOKUP(A545,Personas!$A$2:$B$6,2,0),'SXM Q4 18 W'!$B$4:$F$4,0),0)</f>
        <v>#REF!</v>
      </c>
      <c r="E545">
        <v>1</v>
      </c>
      <c r="G545">
        <v>1</v>
      </c>
      <c r="H545">
        <v>9</v>
      </c>
    </row>
    <row r="546" spans="1:8">
      <c r="A546">
        <f t="shared" si="16"/>
        <v>2</v>
      </c>
      <c r="B546">
        <f t="shared" si="17"/>
        <v>517</v>
      </c>
      <c r="C546" s="128">
        <v>43101</v>
      </c>
      <c r="D546" s="25" t="e">
        <f>VLOOKUP(VLOOKUP(B546,SuiteCatSubElem!$G$2:$G$667,2,0),'SXM Q4 18 W'!$A$32:$F$196,1+MATCH(VLOOKUP(A546,Personas!$A$2:$B$6,2,0),'SXM Q4 18 W'!$B$4:$F$4,0),0)</f>
        <v>#REF!</v>
      </c>
      <c r="E546">
        <v>1</v>
      </c>
      <c r="G546">
        <v>1</v>
      </c>
      <c r="H546">
        <v>9</v>
      </c>
    </row>
    <row r="547" spans="1:8">
      <c r="A547">
        <f t="shared" si="16"/>
        <v>2</v>
      </c>
      <c r="B547">
        <f t="shared" si="17"/>
        <v>518</v>
      </c>
      <c r="C547" s="128">
        <v>43101</v>
      </c>
      <c r="D547" s="25" t="e">
        <f>VLOOKUP(VLOOKUP(B547,SuiteCatSubElem!$G$2:$G$667,2,0),'SXM Q4 18 W'!$A$32:$F$196,1+MATCH(VLOOKUP(A547,Personas!$A$2:$B$6,2,0),'SXM Q4 18 W'!$B$4:$F$4,0),0)</f>
        <v>#REF!</v>
      </c>
      <c r="E547">
        <v>1</v>
      </c>
      <c r="G547">
        <v>1</v>
      </c>
      <c r="H547">
        <v>9</v>
      </c>
    </row>
    <row r="548" spans="1:8">
      <c r="A548">
        <f t="shared" si="16"/>
        <v>2</v>
      </c>
      <c r="B548">
        <f t="shared" si="17"/>
        <v>519</v>
      </c>
      <c r="C548" s="128">
        <v>43101</v>
      </c>
      <c r="D548" s="25" t="e">
        <f>VLOOKUP(VLOOKUP(B548,SuiteCatSubElem!$G$2:$G$667,2,0),'SXM Q4 18 W'!$A$32:$F$196,1+MATCH(VLOOKUP(A548,Personas!$A$2:$B$6,2,0),'SXM Q4 18 W'!$B$4:$F$4,0),0)</f>
        <v>#REF!</v>
      </c>
      <c r="E548">
        <v>1</v>
      </c>
      <c r="G548">
        <v>1</v>
      </c>
      <c r="H548">
        <v>9</v>
      </c>
    </row>
    <row r="549" spans="1:8">
      <c r="A549">
        <f t="shared" si="16"/>
        <v>2</v>
      </c>
      <c r="B549">
        <f t="shared" si="17"/>
        <v>520</v>
      </c>
      <c r="C549" s="128">
        <v>43101</v>
      </c>
      <c r="D549" s="25" t="e">
        <f>VLOOKUP(VLOOKUP(B549,SuiteCatSubElem!$G$2:$G$667,2,0),'SXM Q4 18 W'!$A$32:$F$196,1+MATCH(VLOOKUP(A549,Personas!$A$2:$B$6,2,0),'SXM Q4 18 W'!$B$4:$F$4,0),0)</f>
        <v>#REF!</v>
      </c>
      <c r="E549">
        <v>1</v>
      </c>
      <c r="G549">
        <v>1</v>
      </c>
      <c r="H549">
        <v>9</v>
      </c>
    </row>
    <row r="550" spans="1:8">
      <c r="A550">
        <f t="shared" si="16"/>
        <v>2</v>
      </c>
      <c r="B550">
        <f t="shared" si="17"/>
        <v>521</v>
      </c>
      <c r="C550" s="128">
        <v>43101</v>
      </c>
      <c r="D550" s="25" t="e">
        <f>VLOOKUP(VLOOKUP(B550,SuiteCatSubElem!$G$2:$G$667,2,0),'SXM Q4 18 W'!$A$32:$F$196,1+MATCH(VLOOKUP(A550,Personas!$A$2:$B$6,2,0),'SXM Q4 18 W'!$B$4:$F$4,0),0)</f>
        <v>#REF!</v>
      </c>
      <c r="E550">
        <v>1</v>
      </c>
      <c r="G550">
        <v>1</v>
      </c>
      <c r="H550">
        <v>9</v>
      </c>
    </row>
    <row r="551" spans="1:8">
      <c r="A551">
        <f t="shared" si="16"/>
        <v>2</v>
      </c>
      <c r="B551">
        <f t="shared" si="17"/>
        <v>522</v>
      </c>
      <c r="C551" s="128">
        <v>43101</v>
      </c>
      <c r="D551" s="25" t="e">
        <f>VLOOKUP(VLOOKUP(B551,SuiteCatSubElem!$G$2:$G$667,2,0),'SXM Q4 18 W'!$A$32:$F$196,1+MATCH(VLOOKUP(A551,Personas!$A$2:$B$6,2,0),'SXM Q4 18 W'!$B$4:$F$4,0),0)</f>
        <v>#REF!</v>
      </c>
      <c r="E551">
        <v>1</v>
      </c>
      <c r="G551">
        <v>1</v>
      </c>
      <c r="H551">
        <v>9</v>
      </c>
    </row>
    <row r="552" spans="1:8">
      <c r="A552">
        <f t="shared" si="16"/>
        <v>2</v>
      </c>
      <c r="B552">
        <f t="shared" si="17"/>
        <v>523</v>
      </c>
      <c r="C552" s="128">
        <v>43101</v>
      </c>
      <c r="D552" s="25" t="e">
        <f>VLOOKUP(VLOOKUP(B552,SuiteCatSubElem!$G$2:$G$667,2,0),'SXM Q4 18 W'!$A$32:$F$196,1+MATCH(VLOOKUP(A552,Personas!$A$2:$B$6,2,0),'SXM Q4 18 W'!$B$4:$F$4,0),0)</f>
        <v>#REF!</v>
      </c>
      <c r="E552">
        <v>1</v>
      </c>
      <c r="G552">
        <v>1</v>
      </c>
      <c r="H552">
        <v>9</v>
      </c>
    </row>
    <row r="553" spans="1:8">
      <c r="A553">
        <f t="shared" si="16"/>
        <v>2</v>
      </c>
      <c r="B553">
        <f t="shared" si="17"/>
        <v>524</v>
      </c>
      <c r="C553" s="128">
        <v>43101</v>
      </c>
      <c r="D553" s="25" t="e">
        <f>VLOOKUP(VLOOKUP(B553,SuiteCatSubElem!$G$2:$G$667,2,0),'SXM Q4 18 W'!$A$32:$F$196,1+MATCH(VLOOKUP(A553,Personas!$A$2:$B$6,2,0),'SXM Q4 18 W'!$B$4:$F$4,0),0)</f>
        <v>#REF!</v>
      </c>
      <c r="E553">
        <v>1</v>
      </c>
      <c r="G553">
        <v>1</v>
      </c>
      <c r="H553">
        <v>9</v>
      </c>
    </row>
    <row r="554" spans="1:8">
      <c r="A554">
        <f t="shared" si="16"/>
        <v>2</v>
      </c>
      <c r="B554">
        <f t="shared" si="17"/>
        <v>525</v>
      </c>
      <c r="C554" s="128">
        <v>43101</v>
      </c>
      <c r="D554" s="25" t="e">
        <f>VLOOKUP(VLOOKUP(B554,SuiteCatSubElem!$G$2:$G$667,2,0),'SXM Q4 18 W'!$A$32:$F$196,1+MATCH(VLOOKUP(A554,Personas!$A$2:$B$6,2,0),'SXM Q4 18 W'!$B$4:$F$4,0),0)</f>
        <v>#REF!</v>
      </c>
      <c r="E554">
        <v>1</v>
      </c>
      <c r="G554">
        <v>1</v>
      </c>
      <c r="H554">
        <v>9</v>
      </c>
    </row>
    <row r="555" spans="1:8">
      <c r="A555">
        <f t="shared" si="16"/>
        <v>2</v>
      </c>
      <c r="B555">
        <f t="shared" si="17"/>
        <v>526</v>
      </c>
      <c r="C555" s="128">
        <v>43101</v>
      </c>
      <c r="D555" s="25" t="e">
        <f>VLOOKUP(VLOOKUP(B555,SuiteCatSubElem!$G$2:$G$667,2,0),'SXM Q4 18 W'!$A$32:$F$196,1+MATCH(VLOOKUP(A555,Personas!$A$2:$B$6,2,0),'SXM Q4 18 W'!$B$4:$F$4,0),0)</f>
        <v>#REF!</v>
      </c>
      <c r="E555">
        <v>1</v>
      </c>
      <c r="G555">
        <v>1</v>
      </c>
      <c r="H555">
        <v>9</v>
      </c>
    </row>
    <row r="556" spans="1:8">
      <c r="A556">
        <f t="shared" si="16"/>
        <v>2</v>
      </c>
      <c r="B556">
        <f t="shared" si="17"/>
        <v>527</v>
      </c>
      <c r="C556" s="128">
        <v>43101</v>
      </c>
      <c r="D556" s="25" t="e">
        <f>VLOOKUP(VLOOKUP(B556,SuiteCatSubElem!$G$2:$G$667,2,0),'SXM Q4 18 W'!$A$32:$F$196,1+MATCH(VLOOKUP(A556,Personas!$A$2:$B$6,2,0),'SXM Q4 18 W'!$B$4:$F$4,0),0)</f>
        <v>#REF!</v>
      </c>
      <c r="E556">
        <v>1</v>
      </c>
      <c r="G556">
        <v>1</v>
      </c>
      <c r="H556">
        <v>9</v>
      </c>
    </row>
    <row r="557" spans="1:8">
      <c r="A557">
        <f t="shared" si="16"/>
        <v>2</v>
      </c>
      <c r="B557">
        <f t="shared" si="17"/>
        <v>528</v>
      </c>
      <c r="C557" s="128">
        <v>43101</v>
      </c>
      <c r="D557" s="25" t="e">
        <f>VLOOKUP(VLOOKUP(B557,SuiteCatSubElem!$G$2:$G$667,2,0),'SXM Q4 18 W'!$A$32:$F$196,1+MATCH(VLOOKUP(A557,Personas!$A$2:$B$6,2,0),'SXM Q4 18 W'!$B$4:$F$4,0),0)</f>
        <v>#REF!</v>
      </c>
      <c r="E557">
        <v>1</v>
      </c>
      <c r="G557">
        <v>1</v>
      </c>
      <c r="H557">
        <v>9</v>
      </c>
    </row>
    <row r="558" spans="1:8">
      <c r="A558">
        <f t="shared" si="16"/>
        <v>2</v>
      </c>
      <c r="B558">
        <f t="shared" si="17"/>
        <v>529</v>
      </c>
      <c r="C558" s="128">
        <v>43101</v>
      </c>
      <c r="D558" s="25" t="e">
        <f>VLOOKUP(VLOOKUP(B558,SuiteCatSubElem!$G$2:$G$667,2,0),'SXM Q4 18 W'!$A$32:$F$196,1+MATCH(VLOOKUP(A558,Personas!$A$2:$B$6,2,0),'SXM Q4 18 W'!$B$4:$F$4,0),0)</f>
        <v>#REF!</v>
      </c>
      <c r="E558">
        <v>1</v>
      </c>
      <c r="G558">
        <v>1</v>
      </c>
      <c r="H558">
        <v>9</v>
      </c>
    </row>
    <row r="559" spans="1:8">
      <c r="A559">
        <f t="shared" si="16"/>
        <v>2</v>
      </c>
      <c r="B559">
        <f t="shared" si="17"/>
        <v>530</v>
      </c>
      <c r="C559" s="128">
        <v>43101</v>
      </c>
      <c r="D559" s="25" t="e">
        <f>VLOOKUP(VLOOKUP(B559,SuiteCatSubElem!$G$2:$G$667,2,0),'SXM Q4 18 W'!$A$32:$F$196,1+MATCH(VLOOKUP(A559,Personas!$A$2:$B$6,2,0),'SXM Q4 18 W'!$B$4:$F$4,0),0)</f>
        <v>#REF!</v>
      </c>
      <c r="E559">
        <v>1</v>
      </c>
      <c r="G559">
        <v>1</v>
      </c>
      <c r="H559">
        <v>9</v>
      </c>
    </row>
    <row r="560" spans="1:8">
      <c r="A560">
        <f t="shared" si="16"/>
        <v>2</v>
      </c>
      <c r="B560">
        <f t="shared" si="17"/>
        <v>531</v>
      </c>
      <c r="C560" s="128">
        <v>43101</v>
      </c>
      <c r="D560" s="25" t="e">
        <f>VLOOKUP(VLOOKUP(B560,SuiteCatSubElem!$G$2:$G$667,2,0),'SXM Q4 18 W'!$A$32:$F$196,1+MATCH(VLOOKUP(A560,Personas!$A$2:$B$6,2,0),'SXM Q4 18 W'!$B$4:$F$4,0),0)</f>
        <v>#REF!</v>
      </c>
      <c r="E560">
        <v>1</v>
      </c>
      <c r="G560">
        <v>1</v>
      </c>
      <c r="H560">
        <v>9</v>
      </c>
    </row>
    <row r="561" spans="1:8">
      <c r="A561">
        <f t="shared" si="16"/>
        <v>2</v>
      </c>
      <c r="B561">
        <f t="shared" si="17"/>
        <v>532</v>
      </c>
      <c r="C561" s="128">
        <v>43101</v>
      </c>
      <c r="D561" s="25" t="e">
        <f>VLOOKUP(VLOOKUP(B561,SuiteCatSubElem!$G$2:$G$667,2,0),'SXM Q4 18 W'!$A$32:$F$196,1+MATCH(VLOOKUP(A561,Personas!$A$2:$B$6,2,0),'SXM Q4 18 W'!$B$4:$F$4,0),0)</f>
        <v>#REF!</v>
      </c>
      <c r="E561">
        <v>1</v>
      </c>
      <c r="G561">
        <v>1</v>
      </c>
      <c r="H561">
        <v>9</v>
      </c>
    </row>
    <row r="562" spans="1:8">
      <c r="A562">
        <f t="shared" si="16"/>
        <v>2</v>
      </c>
      <c r="B562">
        <f t="shared" si="17"/>
        <v>533</v>
      </c>
      <c r="C562" s="128">
        <v>43101</v>
      </c>
      <c r="D562" s="25" t="e">
        <f>VLOOKUP(VLOOKUP(B562,SuiteCatSubElem!$G$2:$G$667,2,0),'SXM Q4 18 W'!$A$32:$F$196,1+MATCH(VLOOKUP(A562,Personas!$A$2:$B$6,2,0),'SXM Q4 18 W'!$B$4:$F$4,0),0)</f>
        <v>#REF!</v>
      </c>
      <c r="E562">
        <v>1</v>
      </c>
      <c r="G562">
        <v>1</v>
      </c>
      <c r="H562">
        <v>9</v>
      </c>
    </row>
    <row r="563" spans="1:8">
      <c r="A563">
        <f t="shared" si="16"/>
        <v>2</v>
      </c>
      <c r="B563">
        <f t="shared" si="17"/>
        <v>534</v>
      </c>
      <c r="C563" s="128">
        <v>43101</v>
      </c>
      <c r="D563" s="25" t="e">
        <f>VLOOKUP(VLOOKUP(B563,SuiteCatSubElem!$G$2:$G$667,2,0),'SXM Q4 18 W'!$A$32:$F$196,1+MATCH(VLOOKUP(A563,Personas!$A$2:$B$6,2,0),'SXM Q4 18 W'!$B$4:$F$4,0),0)</f>
        <v>#REF!</v>
      </c>
      <c r="E563">
        <v>1</v>
      </c>
      <c r="G563">
        <v>1</v>
      </c>
      <c r="H563">
        <v>9</v>
      </c>
    </row>
    <row r="564" spans="1:8">
      <c r="A564">
        <f t="shared" si="16"/>
        <v>2</v>
      </c>
      <c r="B564">
        <f t="shared" si="17"/>
        <v>535</v>
      </c>
      <c r="C564" s="128">
        <v>43101</v>
      </c>
      <c r="D564" s="25" t="e">
        <f>VLOOKUP(VLOOKUP(B564,SuiteCatSubElem!$G$2:$G$667,2,0),'SXM Q4 18 W'!$A$32:$F$196,1+MATCH(VLOOKUP(A564,Personas!$A$2:$B$6,2,0),'SXM Q4 18 W'!$B$4:$F$4,0),0)</f>
        <v>#REF!</v>
      </c>
      <c r="E564">
        <v>1</v>
      </c>
      <c r="G564">
        <v>1</v>
      </c>
      <c r="H564">
        <v>9</v>
      </c>
    </row>
    <row r="565" spans="1:8">
      <c r="A565">
        <f t="shared" si="16"/>
        <v>2</v>
      </c>
      <c r="B565">
        <f t="shared" si="17"/>
        <v>536</v>
      </c>
      <c r="C565" s="128">
        <v>43101</v>
      </c>
      <c r="D565" s="25" t="e">
        <f>VLOOKUP(VLOOKUP(B565,SuiteCatSubElem!$G$2:$G$667,2,0),'SXM Q4 18 W'!$A$32:$F$196,1+MATCH(VLOOKUP(A565,Personas!$A$2:$B$6,2,0),'SXM Q4 18 W'!$B$4:$F$4,0),0)</f>
        <v>#REF!</v>
      </c>
      <c r="E565">
        <v>1</v>
      </c>
      <c r="G565">
        <v>1</v>
      </c>
      <c r="H565">
        <v>9</v>
      </c>
    </row>
    <row r="566" spans="1:8">
      <c r="A566">
        <f t="shared" si="16"/>
        <v>2</v>
      </c>
      <c r="B566">
        <f t="shared" si="17"/>
        <v>537</v>
      </c>
      <c r="C566" s="128">
        <v>43101</v>
      </c>
      <c r="D566" s="25" t="e">
        <f>VLOOKUP(VLOOKUP(B566,SuiteCatSubElem!$G$2:$G$667,2,0),'SXM Q4 18 W'!$A$32:$F$196,1+MATCH(VLOOKUP(A566,Personas!$A$2:$B$6,2,0),'SXM Q4 18 W'!$B$4:$F$4,0),0)</f>
        <v>#REF!</v>
      </c>
      <c r="E566">
        <v>1</v>
      </c>
      <c r="G566">
        <v>1</v>
      </c>
      <c r="H566">
        <v>9</v>
      </c>
    </row>
    <row r="567" spans="1:8">
      <c r="A567">
        <f t="shared" si="16"/>
        <v>2</v>
      </c>
      <c r="B567">
        <f t="shared" si="17"/>
        <v>538</v>
      </c>
      <c r="C567" s="128">
        <v>43101</v>
      </c>
      <c r="D567" s="25" t="e">
        <f>VLOOKUP(VLOOKUP(B567,SuiteCatSubElem!$G$2:$G$667,2,0),'SXM Q4 18 W'!$A$32:$F$196,1+MATCH(VLOOKUP(A567,Personas!$A$2:$B$6,2,0),'SXM Q4 18 W'!$B$4:$F$4,0),0)</f>
        <v>#REF!</v>
      </c>
      <c r="E567">
        <v>1</v>
      </c>
      <c r="G567">
        <v>1</v>
      </c>
      <c r="H567">
        <v>9</v>
      </c>
    </row>
    <row r="568" spans="1:8">
      <c r="A568">
        <f t="shared" si="16"/>
        <v>2</v>
      </c>
      <c r="B568">
        <f t="shared" si="17"/>
        <v>539</v>
      </c>
      <c r="C568" s="128">
        <v>43101</v>
      </c>
      <c r="D568" s="25" t="e">
        <f>VLOOKUP(VLOOKUP(B568,SuiteCatSubElem!$G$2:$G$667,2,0),'SXM Q4 18 W'!$A$32:$F$196,1+MATCH(VLOOKUP(A568,Personas!$A$2:$B$6,2,0),'SXM Q4 18 W'!$B$4:$F$4,0),0)</f>
        <v>#REF!</v>
      </c>
      <c r="E568">
        <v>1</v>
      </c>
      <c r="G568">
        <v>1</v>
      </c>
      <c r="H568">
        <v>9</v>
      </c>
    </row>
    <row r="569" spans="1:8">
      <c r="A569">
        <f t="shared" si="16"/>
        <v>2</v>
      </c>
      <c r="B569">
        <f t="shared" si="17"/>
        <v>540</v>
      </c>
      <c r="C569" s="128">
        <v>43101</v>
      </c>
      <c r="D569" s="25" t="e">
        <f>VLOOKUP(VLOOKUP(B569,SuiteCatSubElem!$G$2:$G$667,2,0),'SXM Q4 18 W'!$A$32:$F$196,1+MATCH(VLOOKUP(A569,Personas!$A$2:$B$6,2,0),'SXM Q4 18 W'!$B$4:$F$4,0),0)</f>
        <v>#REF!</v>
      </c>
      <c r="E569">
        <v>1</v>
      </c>
      <c r="G569">
        <v>1</v>
      </c>
      <c r="H569">
        <v>9</v>
      </c>
    </row>
    <row r="570" spans="1:8">
      <c r="A570">
        <f t="shared" si="16"/>
        <v>2</v>
      </c>
      <c r="B570">
        <f t="shared" si="17"/>
        <v>541</v>
      </c>
      <c r="C570" s="128">
        <v>43101</v>
      </c>
      <c r="D570" s="25" t="e">
        <f>VLOOKUP(VLOOKUP(B570,SuiteCatSubElem!$G$2:$G$667,2,0),'SXM Q4 18 W'!$A$32:$F$196,1+MATCH(VLOOKUP(A570,Personas!$A$2:$B$6,2,0),'SXM Q4 18 W'!$B$4:$F$4,0),0)</f>
        <v>#REF!</v>
      </c>
      <c r="E570">
        <v>1</v>
      </c>
      <c r="G570">
        <v>1</v>
      </c>
      <c r="H570">
        <v>9</v>
      </c>
    </row>
    <row r="571" spans="1:8">
      <c r="A571">
        <f t="shared" si="16"/>
        <v>2</v>
      </c>
      <c r="B571">
        <f t="shared" si="17"/>
        <v>542</v>
      </c>
      <c r="C571" s="128">
        <v>43101</v>
      </c>
      <c r="D571" s="25" t="e">
        <f>VLOOKUP(VLOOKUP(B571,SuiteCatSubElem!$G$2:$G$667,2,0),'SXM Q4 18 W'!$A$32:$F$196,1+MATCH(VLOOKUP(A571,Personas!$A$2:$B$6,2,0),'SXM Q4 18 W'!$B$4:$F$4,0),0)</f>
        <v>#REF!</v>
      </c>
      <c r="E571">
        <v>1</v>
      </c>
      <c r="G571">
        <v>1</v>
      </c>
      <c r="H571">
        <v>9</v>
      </c>
    </row>
    <row r="572" spans="1:8">
      <c r="A572">
        <f t="shared" si="16"/>
        <v>2</v>
      </c>
      <c r="B572">
        <f t="shared" si="17"/>
        <v>543</v>
      </c>
      <c r="C572" s="128">
        <v>43101</v>
      </c>
      <c r="D572" s="25" t="e">
        <f>VLOOKUP(VLOOKUP(B572,SuiteCatSubElem!$G$2:$G$667,2,0),'SXM Q4 18 W'!$A$32:$F$196,1+MATCH(VLOOKUP(A572,Personas!$A$2:$B$6,2,0),'SXM Q4 18 W'!$B$4:$F$4,0),0)</f>
        <v>#REF!</v>
      </c>
      <c r="E572">
        <v>1</v>
      </c>
      <c r="G572">
        <v>1</v>
      </c>
      <c r="H572">
        <v>9</v>
      </c>
    </row>
    <row r="573" spans="1:8">
      <c r="A573">
        <f t="shared" si="16"/>
        <v>2</v>
      </c>
      <c r="B573">
        <f t="shared" si="17"/>
        <v>544</v>
      </c>
      <c r="C573" s="128">
        <v>43101</v>
      </c>
      <c r="D573" s="25" t="e">
        <f>VLOOKUP(VLOOKUP(B573,SuiteCatSubElem!$G$2:$G$667,2,0),'SXM Q4 18 W'!$A$32:$F$196,1+MATCH(VLOOKUP(A573,Personas!$A$2:$B$6,2,0),'SXM Q4 18 W'!$B$4:$F$4,0),0)</f>
        <v>#REF!</v>
      </c>
      <c r="E573">
        <v>1</v>
      </c>
      <c r="G573">
        <v>1</v>
      </c>
      <c r="H573">
        <v>9</v>
      </c>
    </row>
    <row r="574" spans="1:8">
      <c r="A574">
        <f t="shared" si="16"/>
        <v>2</v>
      </c>
      <c r="B574">
        <f t="shared" si="17"/>
        <v>545</v>
      </c>
      <c r="C574" s="128">
        <v>43101</v>
      </c>
      <c r="D574" s="25" t="e">
        <f>VLOOKUP(VLOOKUP(B574,SuiteCatSubElem!$G$2:$G$667,2,0),'SXM Q4 18 W'!$A$32:$F$196,1+MATCH(VLOOKUP(A574,Personas!$A$2:$B$6,2,0),'SXM Q4 18 W'!$B$4:$F$4,0),0)</f>
        <v>#REF!</v>
      </c>
      <c r="E574">
        <v>1</v>
      </c>
      <c r="G574">
        <v>1</v>
      </c>
      <c r="H574">
        <v>9</v>
      </c>
    </row>
    <row r="575" spans="1:8">
      <c r="A575">
        <f t="shared" si="16"/>
        <v>2</v>
      </c>
      <c r="B575">
        <f t="shared" si="17"/>
        <v>546</v>
      </c>
      <c r="C575" s="128">
        <v>43101</v>
      </c>
      <c r="D575" s="25" t="e">
        <f>VLOOKUP(VLOOKUP(B575,SuiteCatSubElem!$G$2:$G$667,2,0),'SXM Q4 18 W'!$A$32:$F$196,1+MATCH(VLOOKUP(A575,Personas!$A$2:$B$6,2,0),'SXM Q4 18 W'!$B$4:$F$4,0),0)</f>
        <v>#REF!</v>
      </c>
      <c r="E575">
        <v>1</v>
      </c>
      <c r="G575">
        <v>1</v>
      </c>
      <c r="H575">
        <v>9</v>
      </c>
    </row>
    <row r="576" spans="1:8">
      <c r="A576">
        <f t="shared" si="16"/>
        <v>2</v>
      </c>
      <c r="B576">
        <f t="shared" si="17"/>
        <v>547</v>
      </c>
      <c r="C576" s="128">
        <v>43101</v>
      </c>
      <c r="D576" s="25" t="e">
        <f>VLOOKUP(VLOOKUP(B576,SuiteCatSubElem!$G$2:$G$667,2,0),'SXM Q4 18 W'!$A$32:$F$196,1+MATCH(VLOOKUP(A576,Personas!$A$2:$B$6,2,0),'SXM Q4 18 W'!$B$4:$F$4,0),0)</f>
        <v>#REF!</v>
      </c>
      <c r="E576">
        <v>1</v>
      </c>
      <c r="G576">
        <v>1</v>
      </c>
      <c r="H576">
        <v>9</v>
      </c>
    </row>
    <row r="577" spans="1:8">
      <c r="A577">
        <f t="shared" si="16"/>
        <v>2</v>
      </c>
      <c r="B577">
        <f t="shared" si="17"/>
        <v>548</v>
      </c>
      <c r="C577" s="128">
        <v>43101</v>
      </c>
      <c r="D577" s="25" t="e">
        <f>VLOOKUP(VLOOKUP(B577,SuiteCatSubElem!$G$2:$G$667,2,0),'SXM Q4 18 W'!$A$32:$F$196,1+MATCH(VLOOKUP(A577,Personas!$A$2:$B$6,2,0),'SXM Q4 18 W'!$B$4:$F$4,0),0)</f>
        <v>#REF!</v>
      </c>
      <c r="E577">
        <v>1</v>
      </c>
      <c r="G577">
        <v>1</v>
      </c>
      <c r="H577">
        <v>9</v>
      </c>
    </row>
    <row r="578" spans="1:8">
      <c r="A578">
        <f t="shared" si="16"/>
        <v>2</v>
      </c>
      <c r="B578">
        <f t="shared" si="17"/>
        <v>549</v>
      </c>
      <c r="C578" s="128">
        <v>43101</v>
      </c>
      <c r="D578" s="25" t="e">
        <f>VLOOKUP(VLOOKUP(B578,SuiteCatSubElem!$G$2:$G$667,2,0),'SXM Q4 18 W'!$A$32:$F$196,1+MATCH(VLOOKUP(A578,Personas!$A$2:$B$6,2,0),'SXM Q4 18 W'!$B$4:$F$4,0),0)</f>
        <v>#REF!</v>
      </c>
      <c r="E578">
        <v>1</v>
      </c>
      <c r="G578">
        <v>1</v>
      </c>
      <c r="H578">
        <v>9</v>
      </c>
    </row>
    <row r="579" spans="1:8">
      <c r="A579">
        <f t="shared" si="16"/>
        <v>2</v>
      </c>
      <c r="B579">
        <f t="shared" si="17"/>
        <v>550</v>
      </c>
      <c r="C579" s="128">
        <v>43101</v>
      </c>
      <c r="D579" s="25" t="e">
        <f>VLOOKUP(VLOOKUP(B579,SuiteCatSubElem!$G$2:$G$667,2,0),'SXM Q4 18 W'!$A$32:$F$196,1+MATCH(VLOOKUP(A579,Personas!$A$2:$B$6,2,0),'SXM Q4 18 W'!$B$4:$F$4,0),0)</f>
        <v>#REF!</v>
      </c>
      <c r="E579">
        <v>1</v>
      </c>
      <c r="G579">
        <v>1</v>
      </c>
      <c r="H579">
        <v>9</v>
      </c>
    </row>
    <row r="580" spans="1:8">
      <c r="A580">
        <f t="shared" si="16"/>
        <v>2</v>
      </c>
      <c r="B580">
        <f t="shared" si="17"/>
        <v>551</v>
      </c>
      <c r="C580" s="128">
        <v>43101</v>
      </c>
      <c r="D580" s="25" t="e">
        <f>VLOOKUP(VLOOKUP(B580,SuiteCatSubElem!$G$2:$G$667,2,0),'SXM Q4 18 W'!$A$32:$F$196,1+MATCH(VLOOKUP(A580,Personas!$A$2:$B$6,2,0),'SXM Q4 18 W'!$B$4:$F$4,0),0)</f>
        <v>#REF!</v>
      </c>
      <c r="E580">
        <v>1</v>
      </c>
      <c r="G580">
        <v>1</v>
      </c>
      <c r="H580">
        <v>9</v>
      </c>
    </row>
    <row r="581" spans="1:8">
      <c r="A581">
        <f t="shared" si="16"/>
        <v>2</v>
      </c>
      <c r="B581">
        <f t="shared" si="17"/>
        <v>552</v>
      </c>
      <c r="C581" s="128">
        <v>43101</v>
      </c>
      <c r="D581" s="25" t="e">
        <f>VLOOKUP(VLOOKUP(B581,SuiteCatSubElem!$G$2:$G$667,2,0),'SXM Q4 18 W'!$A$32:$F$196,1+MATCH(VLOOKUP(A581,Personas!$A$2:$B$6,2,0),'SXM Q4 18 W'!$B$4:$F$4,0),0)</f>
        <v>#REF!</v>
      </c>
      <c r="E581">
        <v>1</v>
      </c>
      <c r="G581">
        <v>1</v>
      </c>
      <c r="H581">
        <v>9</v>
      </c>
    </row>
    <row r="582" spans="1:8">
      <c r="A582">
        <f t="shared" si="16"/>
        <v>2</v>
      </c>
      <c r="B582">
        <f t="shared" si="17"/>
        <v>553</v>
      </c>
      <c r="C582" s="128">
        <v>43101</v>
      </c>
      <c r="D582" s="25" t="e">
        <f>VLOOKUP(VLOOKUP(B582,SuiteCatSubElem!$G$2:$G$667,2,0),'SXM Q4 18 W'!$A$32:$F$196,1+MATCH(VLOOKUP(A582,Personas!$A$2:$B$6,2,0),'SXM Q4 18 W'!$B$4:$F$4,0),0)</f>
        <v>#REF!</v>
      </c>
      <c r="E582">
        <v>1</v>
      </c>
      <c r="G582">
        <v>1</v>
      </c>
      <c r="H582">
        <v>9</v>
      </c>
    </row>
    <row r="583" spans="1:8">
      <c r="A583">
        <f t="shared" si="16"/>
        <v>2</v>
      </c>
      <c r="B583">
        <f t="shared" si="17"/>
        <v>554</v>
      </c>
      <c r="C583" s="128">
        <v>43101</v>
      </c>
      <c r="D583" s="25" t="e">
        <f>VLOOKUP(VLOOKUP(B583,SuiteCatSubElem!$G$2:$G$667,2,0),'SXM Q4 18 W'!$A$32:$F$196,1+MATCH(VLOOKUP(A583,Personas!$A$2:$B$6,2,0),'SXM Q4 18 W'!$B$4:$F$4,0),0)</f>
        <v>#REF!</v>
      </c>
      <c r="E583">
        <v>1</v>
      </c>
      <c r="G583">
        <v>1</v>
      </c>
      <c r="H583">
        <v>9</v>
      </c>
    </row>
    <row r="584" spans="1:8">
      <c r="A584">
        <f t="shared" si="16"/>
        <v>2</v>
      </c>
      <c r="B584">
        <f t="shared" si="17"/>
        <v>555</v>
      </c>
      <c r="C584" s="128">
        <v>43101</v>
      </c>
      <c r="D584" s="25" t="e">
        <f>VLOOKUP(VLOOKUP(B584,SuiteCatSubElem!$G$2:$G$667,2,0),'SXM Q4 18 W'!$A$32:$F$196,1+MATCH(VLOOKUP(A584,Personas!$A$2:$B$6,2,0),'SXM Q4 18 W'!$B$4:$F$4,0),0)</f>
        <v>#REF!</v>
      </c>
      <c r="E584">
        <v>1</v>
      </c>
      <c r="G584">
        <v>1</v>
      </c>
      <c r="H584">
        <v>9</v>
      </c>
    </row>
    <row r="585" spans="1:8">
      <c r="A585">
        <f t="shared" si="16"/>
        <v>2</v>
      </c>
      <c r="B585">
        <f t="shared" si="17"/>
        <v>556</v>
      </c>
      <c r="C585" s="128">
        <v>43101</v>
      </c>
      <c r="D585" s="25" t="e">
        <f>VLOOKUP(VLOOKUP(B585,SuiteCatSubElem!$G$2:$G$667,2,0),'SXM Q4 18 W'!$A$32:$F$196,1+MATCH(VLOOKUP(A585,Personas!$A$2:$B$6,2,0),'SXM Q4 18 W'!$B$4:$F$4,0),0)</f>
        <v>#REF!</v>
      </c>
      <c r="E585">
        <v>1</v>
      </c>
      <c r="G585">
        <v>1</v>
      </c>
      <c r="H585">
        <v>9</v>
      </c>
    </row>
    <row r="586" spans="1:8">
      <c r="A586">
        <f t="shared" si="16"/>
        <v>2</v>
      </c>
      <c r="B586">
        <f t="shared" si="17"/>
        <v>557</v>
      </c>
      <c r="C586" s="128">
        <v>43101</v>
      </c>
      <c r="D586" s="25" t="e">
        <f>VLOOKUP(VLOOKUP(B586,SuiteCatSubElem!$G$2:$G$667,2,0),'SXM Q4 18 W'!$A$32:$F$196,1+MATCH(VLOOKUP(A586,Personas!$A$2:$B$6,2,0),'SXM Q4 18 W'!$B$4:$F$4,0),0)</f>
        <v>#REF!</v>
      </c>
      <c r="E586">
        <v>1</v>
      </c>
      <c r="G586">
        <v>1</v>
      </c>
      <c r="H586">
        <v>9</v>
      </c>
    </row>
    <row r="587" spans="1:8">
      <c r="A587">
        <f t="shared" si="16"/>
        <v>2</v>
      </c>
      <c r="B587">
        <f t="shared" si="17"/>
        <v>558</v>
      </c>
      <c r="C587" s="128">
        <v>43101</v>
      </c>
      <c r="D587" s="25" t="e">
        <f>VLOOKUP(VLOOKUP(B587,SuiteCatSubElem!$G$2:$G$667,2,0),'SXM Q4 18 W'!$A$32:$F$196,1+MATCH(VLOOKUP(A587,Personas!$A$2:$B$6,2,0),'SXM Q4 18 W'!$B$4:$F$4,0),0)</f>
        <v>#REF!</v>
      </c>
      <c r="E587">
        <v>1</v>
      </c>
      <c r="G587">
        <v>1</v>
      </c>
      <c r="H587">
        <v>9</v>
      </c>
    </row>
    <row r="588" spans="1:8">
      <c r="A588">
        <f t="shared" ref="A588:A651" si="18">A487+1</f>
        <v>2</v>
      </c>
      <c r="B588">
        <f t="shared" ref="B588:B651" si="19">B487</f>
        <v>559</v>
      </c>
      <c r="C588" s="128">
        <v>43101</v>
      </c>
      <c r="D588" s="25" t="e">
        <f>VLOOKUP(VLOOKUP(B588,SuiteCatSubElem!$G$2:$G$667,2,0),'SXM Q4 18 W'!$A$32:$F$196,1+MATCH(VLOOKUP(A588,Personas!$A$2:$B$6,2,0),'SXM Q4 18 W'!$B$4:$F$4,0),0)</f>
        <v>#REF!</v>
      </c>
      <c r="E588">
        <v>1</v>
      </c>
      <c r="G588">
        <v>1</v>
      </c>
      <c r="H588">
        <v>9</v>
      </c>
    </row>
    <row r="589" spans="1:8">
      <c r="A589">
        <f t="shared" si="18"/>
        <v>2</v>
      </c>
      <c r="B589">
        <f t="shared" si="19"/>
        <v>560</v>
      </c>
      <c r="C589" s="128">
        <v>43101</v>
      </c>
      <c r="D589" s="25" t="e">
        <f>VLOOKUP(VLOOKUP(B589,SuiteCatSubElem!$G$2:$G$667,2,0),'SXM Q4 18 W'!$A$32:$F$196,1+MATCH(VLOOKUP(A589,Personas!$A$2:$B$6,2,0),'SXM Q4 18 W'!$B$4:$F$4,0),0)</f>
        <v>#REF!</v>
      </c>
      <c r="E589">
        <v>1</v>
      </c>
      <c r="G589">
        <v>1</v>
      </c>
      <c r="H589">
        <v>9</v>
      </c>
    </row>
    <row r="590" spans="1:8">
      <c r="A590">
        <f t="shared" si="18"/>
        <v>2</v>
      </c>
      <c r="B590">
        <f t="shared" si="19"/>
        <v>561</v>
      </c>
      <c r="C590" s="128">
        <v>43101</v>
      </c>
      <c r="D590" s="25" t="e">
        <f>VLOOKUP(VLOOKUP(B590,SuiteCatSubElem!$G$2:$G$667,2,0),'SXM Q4 18 W'!$A$32:$F$196,1+MATCH(VLOOKUP(A590,Personas!$A$2:$B$6,2,0),'SXM Q4 18 W'!$B$4:$F$4,0),0)</f>
        <v>#REF!</v>
      </c>
      <c r="E590">
        <v>1</v>
      </c>
      <c r="G590">
        <v>1</v>
      </c>
      <c r="H590">
        <v>9</v>
      </c>
    </row>
    <row r="591" spans="1:8">
      <c r="A591">
        <f t="shared" si="18"/>
        <v>2</v>
      </c>
      <c r="B591">
        <f t="shared" si="19"/>
        <v>562</v>
      </c>
      <c r="C591" s="128">
        <v>43101</v>
      </c>
      <c r="D591" s="25" t="e">
        <f>VLOOKUP(VLOOKUP(B591,SuiteCatSubElem!$G$2:$G$667,2,0),'SXM Q4 18 W'!$A$32:$F$196,1+MATCH(VLOOKUP(A591,Personas!$A$2:$B$6,2,0),'SXM Q4 18 W'!$B$4:$F$4,0),0)</f>
        <v>#REF!</v>
      </c>
      <c r="E591">
        <v>1</v>
      </c>
      <c r="G591">
        <v>1</v>
      </c>
      <c r="H591">
        <v>9</v>
      </c>
    </row>
    <row r="592" spans="1:8">
      <c r="A592">
        <f t="shared" si="18"/>
        <v>2</v>
      </c>
      <c r="B592">
        <f t="shared" si="19"/>
        <v>563</v>
      </c>
      <c r="C592" s="128">
        <v>43101</v>
      </c>
      <c r="D592" s="25" t="e">
        <f>VLOOKUP(VLOOKUP(B592,SuiteCatSubElem!$G$2:$G$667,2,0),'SXM Q4 18 W'!$A$32:$F$196,1+MATCH(VLOOKUP(A592,Personas!$A$2:$B$6,2,0),'SXM Q4 18 W'!$B$4:$F$4,0),0)</f>
        <v>#REF!</v>
      </c>
      <c r="E592">
        <v>1</v>
      </c>
      <c r="G592">
        <v>1</v>
      </c>
      <c r="H592">
        <v>9</v>
      </c>
    </row>
    <row r="593" spans="1:8">
      <c r="A593">
        <f t="shared" si="18"/>
        <v>2</v>
      </c>
      <c r="B593">
        <f t="shared" si="19"/>
        <v>564</v>
      </c>
      <c r="C593" s="128">
        <v>43101</v>
      </c>
      <c r="D593" s="25" t="e">
        <f>VLOOKUP(VLOOKUP(B593,SuiteCatSubElem!$G$2:$G$667,2,0),'SXM Q4 18 W'!$A$32:$F$196,1+MATCH(VLOOKUP(A593,Personas!$A$2:$B$6,2,0),'SXM Q4 18 W'!$B$4:$F$4,0),0)</f>
        <v>#REF!</v>
      </c>
      <c r="E593">
        <v>1</v>
      </c>
      <c r="G593">
        <v>1</v>
      </c>
      <c r="H593">
        <v>9</v>
      </c>
    </row>
    <row r="594" spans="1:8">
      <c r="A594">
        <f t="shared" si="18"/>
        <v>2</v>
      </c>
      <c r="B594">
        <f t="shared" si="19"/>
        <v>565</v>
      </c>
      <c r="C594" s="128">
        <v>43101</v>
      </c>
      <c r="D594" s="25" t="e">
        <f>VLOOKUP(VLOOKUP(B594,SuiteCatSubElem!$G$2:$G$667,2,0),'SXM Q4 18 W'!$A$32:$F$196,1+MATCH(VLOOKUP(A594,Personas!$A$2:$B$6,2,0),'SXM Q4 18 W'!$B$4:$F$4,0),0)</f>
        <v>#REF!</v>
      </c>
      <c r="E594">
        <v>1</v>
      </c>
      <c r="G594">
        <v>1</v>
      </c>
      <c r="H594">
        <v>9</v>
      </c>
    </row>
    <row r="595" spans="1:8">
      <c r="A595">
        <f t="shared" si="18"/>
        <v>2</v>
      </c>
      <c r="B595">
        <f t="shared" si="19"/>
        <v>566</v>
      </c>
      <c r="C595" s="128">
        <v>43101</v>
      </c>
      <c r="D595" s="25" t="e">
        <f>VLOOKUP(VLOOKUP(B595,SuiteCatSubElem!$G$2:$G$667,2,0),'SXM Q4 18 W'!$A$32:$F$196,1+MATCH(VLOOKUP(A595,Personas!$A$2:$B$6,2,0),'SXM Q4 18 W'!$B$4:$F$4,0),0)</f>
        <v>#REF!</v>
      </c>
      <c r="E595">
        <v>1</v>
      </c>
      <c r="G595">
        <v>1</v>
      </c>
      <c r="H595">
        <v>9</v>
      </c>
    </row>
    <row r="596" spans="1:8">
      <c r="A596">
        <f t="shared" si="18"/>
        <v>2</v>
      </c>
      <c r="B596">
        <f t="shared" si="19"/>
        <v>567</v>
      </c>
      <c r="C596" s="128">
        <v>43101</v>
      </c>
      <c r="D596" s="25" t="e">
        <f>VLOOKUP(VLOOKUP(B596,SuiteCatSubElem!$G$2:$G$667,2,0),'SXM Q4 18 W'!$A$32:$F$196,1+MATCH(VLOOKUP(A596,Personas!$A$2:$B$6,2,0),'SXM Q4 18 W'!$B$4:$F$4,0),0)</f>
        <v>#REF!</v>
      </c>
      <c r="E596">
        <v>1</v>
      </c>
      <c r="G596">
        <v>1</v>
      </c>
      <c r="H596">
        <v>9</v>
      </c>
    </row>
    <row r="597" spans="1:8">
      <c r="A597">
        <f t="shared" si="18"/>
        <v>2</v>
      </c>
      <c r="B597">
        <f t="shared" si="19"/>
        <v>568</v>
      </c>
      <c r="C597" s="128">
        <v>43101</v>
      </c>
      <c r="D597" s="25" t="e">
        <f>VLOOKUP(VLOOKUP(B597,SuiteCatSubElem!$G$2:$G$667,2,0),'SXM Q4 18 W'!$A$32:$F$196,1+MATCH(VLOOKUP(A597,Personas!$A$2:$B$6,2,0),'SXM Q4 18 W'!$B$4:$F$4,0),0)</f>
        <v>#REF!</v>
      </c>
      <c r="E597">
        <v>1</v>
      </c>
      <c r="G597">
        <v>1</v>
      </c>
      <c r="H597">
        <v>9</v>
      </c>
    </row>
    <row r="598" spans="1:8">
      <c r="A598">
        <f t="shared" si="18"/>
        <v>2</v>
      </c>
      <c r="B598">
        <f t="shared" si="19"/>
        <v>569</v>
      </c>
      <c r="C598" s="128">
        <v>43101</v>
      </c>
      <c r="D598" s="25" t="e">
        <f>VLOOKUP(VLOOKUP(B598,SuiteCatSubElem!$G$2:$G$667,2,0),'SXM Q4 18 W'!$A$32:$F$196,1+MATCH(VLOOKUP(A598,Personas!$A$2:$B$6,2,0),'SXM Q4 18 W'!$B$4:$F$4,0),0)</f>
        <v>#REF!</v>
      </c>
      <c r="E598">
        <v>1</v>
      </c>
      <c r="G598">
        <v>1</v>
      </c>
      <c r="H598">
        <v>9</v>
      </c>
    </row>
    <row r="599" spans="1:8">
      <c r="A599">
        <f t="shared" si="18"/>
        <v>2</v>
      </c>
      <c r="B599">
        <f t="shared" si="19"/>
        <v>570</v>
      </c>
      <c r="C599" s="128">
        <v>43101</v>
      </c>
      <c r="D599" s="25" t="e">
        <f>VLOOKUP(VLOOKUP(B599,SuiteCatSubElem!$G$2:$G$667,2,0),'SXM Q4 18 W'!$A$32:$F$196,1+MATCH(VLOOKUP(A599,Personas!$A$2:$B$6,2,0),'SXM Q4 18 W'!$B$4:$F$4,0),0)</f>
        <v>#REF!</v>
      </c>
      <c r="E599">
        <v>1</v>
      </c>
      <c r="G599">
        <v>1</v>
      </c>
      <c r="H599">
        <v>9</v>
      </c>
    </row>
    <row r="600" spans="1:8">
      <c r="A600">
        <f t="shared" si="18"/>
        <v>2</v>
      </c>
      <c r="B600">
        <f t="shared" si="19"/>
        <v>571</v>
      </c>
      <c r="C600" s="128">
        <v>43101</v>
      </c>
      <c r="D600" s="25" t="e">
        <f>VLOOKUP(VLOOKUP(B600,SuiteCatSubElem!$G$2:$G$667,2,0),'SXM Q4 18 W'!$A$32:$F$196,1+MATCH(VLOOKUP(A600,Personas!$A$2:$B$6,2,0),'SXM Q4 18 W'!$B$4:$F$4,0),0)</f>
        <v>#REF!</v>
      </c>
      <c r="E600">
        <v>1</v>
      </c>
      <c r="G600">
        <v>1</v>
      </c>
      <c r="H600">
        <v>9</v>
      </c>
    </row>
    <row r="601" spans="1:8">
      <c r="A601">
        <f t="shared" si="18"/>
        <v>2</v>
      </c>
      <c r="B601">
        <f t="shared" si="19"/>
        <v>572</v>
      </c>
      <c r="C601" s="128">
        <v>43101</v>
      </c>
      <c r="D601" s="25" t="e">
        <f>VLOOKUP(VLOOKUP(B601,SuiteCatSubElem!$G$2:$G$667,2,0),'SXM Q4 18 W'!$A$32:$F$196,1+MATCH(VLOOKUP(A601,Personas!$A$2:$B$6,2,0),'SXM Q4 18 W'!$B$4:$F$4,0),0)</f>
        <v>#REF!</v>
      </c>
      <c r="E601">
        <v>1</v>
      </c>
      <c r="G601">
        <v>1</v>
      </c>
      <c r="H601">
        <v>9</v>
      </c>
    </row>
    <row r="602" spans="1:8">
      <c r="A602">
        <f t="shared" si="18"/>
        <v>2</v>
      </c>
      <c r="B602">
        <f t="shared" si="19"/>
        <v>573</v>
      </c>
      <c r="C602" s="128">
        <v>43101</v>
      </c>
      <c r="D602" s="25" t="e">
        <f>VLOOKUP(VLOOKUP(B602,SuiteCatSubElem!$G$2:$G$667,2,0),'SXM Q4 18 W'!$A$32:$F$196,1+MATCH(VLOOKUP(A602,Personas!$A$2:$B$6,2,0),'SXM Q4 18 W'!$B$4:$F$4,0),0)</f>
        <v>#REF!</v>
      </c>
      <c r="E602">
        <v>1</v>
      </c>
      <c r="G602">
        <v>1</v>
      </c>
      <c r="H602">
        <v>9</v>
      </c>
    </row>
    <row r="603" spans="1:8">
      <c r="A603">
        <f t="shared" si="18"/>
        <v>2</v>
      </c>
      <c r="B603">
        <f t="shared" si="19"/>
        <v>574</v>
      </c>
      <c r="C603" s="128">
        <v>43101</v>
      </c>
      <c r="D603" s="25" t="e">
        <f>VLOOKUP(VLOOKUP(B603,SuiteCatSubElem!$G$2:$G$667,2,0),'SXM Q4 18 W'!$A$32:$F$196,1+MATCH(VLOOKUP(A603,Personas!$A$2:$B$6,2,0),'SXM Q4 18 W'!$B$4:$F$4,0),0)</f>
        <v>#REF!</v>
      </c>
      <c r="E603">
        <v>1</v>
      </c>
      <c r="G603">
        <v>1</v>
      </c>
      <c r="H603">
        <v>9</v>
      </c>
    </row>
    <row r="604" spans="1:8">
      <c r="A604">
        <f t="shared" si="18"/>
        <v>2</v>
      </c>
      <c r="B604">
        <f t="shared" si="19"/>
        <v>575</v>
      </c>
      <c r="C604" s="128">
        <v>43101</v>
      </c>
      <c r="D604" s="25" t="e">
        <f>VLOOKUP(VLOOKUP(B604,SuiteCatSubElem!$G$2:$G$667,2,0),'SXM Q4 18 W'!$A$32:$F$196,1+MATCH(VLOOKUP(A604,Personas!$A$2:$B$6,2,0),'SXM Q4 18 W'!$B$4:$F$4,0),0)</f>
        <v>#REF!</v>
      </c>
      <c r="E604">
        <v>1</v>
      </c>
      <c r="G604">
        <v>1</v>
      </c>
      <c r="H604">
        <v>9</v>
      </c>
    </row>
    <row r="605" spans="1:8">
      <c r="A605">
        <f t="shared" si="18"/>
        <v>2</v>
      </c>
      <c r="B605">
        <f t="shared" si="19"/>
        <v>576</v>
      </c>
      <c r="C605" s="128">
        <v>43101</v>
      </c>
      <c r="D605" s="25" t="e">
        <f>VLOOKUP(VLOOKUP(B605,SuiteCatSubElem!$G$2:$G$667,2,0),'SXM Q4 18 W'!$A$32:$F$196,1+MATCH(VLOOKUP(A605,Personas!$A$2:$B$6,2,0),'SXM Q4 18 W'!$B$4:$F$4,0),0)</f>
        <v>#REF!</v>
      </c>
      <c r="E605">
        <v>1</v>
      </c>
      <c r="G605">
        <v>1</v>
      </c>
      <c r="H605">
        <v>9</v>
      </c>
    </row>
    <row r="606" spans="1:8">
      <c r="A606">
        <f t="shared" si="18"/>
        <v>2</v>
      </c>
      <c r="B606">
        <f t="shared" si="19"/>
        <v>577</v>
      </c>
      <c r="C606" s="128">
        <v>43101</v>
      </c>
      <c r="D606" s="25" t="e">
        <f>VLOOKUP(VLOOKUP(B606,SuiteCatSubElem!$G$2:$G$667,2,0),'SXM Q4 18 W'!$A$32:$F$196,1+MATCH(VLOOKUP(A606,Personas!$A$2:$B$6,2,0),'SXM Q4 18 W'!$B$4:$F$4,0),0)</f>
        <v>#REF!</v>
      </c>
      <c r="E606">
        <v>1</v>
      </c>
      <c r="G606">
        <v>1</v>
      </c>
      <c r="H606">
        <v>9</v>
      </c>
    </row>
    <row r="607" spans="1:8">
      <c r="A607">
        <f t="shared" si="18"/>
        <v>2</v>
      </c>
      <c r="B607">
        <f t="shared" si="19"/>
        <v>578</v>
      </c>
      <c r="C607" s="128">
        <v>43101</v>
      </c>
      <c r="D607" s="25" t="e">
        <f>VLOOKUP(VLOOKUP(B607,SuiteCatSubElem!$G$2:$G$667,2,0),'SXM Q4 18 W'!$A$32:$F$196,1+MATCH(VLOOKUP(A607,Personas!$A$2:$B$6,2,0),'SXM Q4 18 W'!$B$4:$F$4,0),0)</f>
        <v>#REF!</v>
      </c>
      <c r="E607">
        <v>1</v>
      </c>
      <c r="G607">
        <v>1</v>
      </c>
      <c r="H607">
        <v>9</v>
      </c>
    </row>
    <row r="608" spans="1:8">
      <c r="A608">
        <f t="shared" si="18"/>
        <v>2</v>
      </c>
      <c r="B608">
        <f t="shared" si="19"/>
        <v>579</v>
      </c>
      <c r="C608" s="128">
        <v>43101</v>
      </c>
      <c r="D608" s="25" t="e">
        <f>VLOOKUP(VLOOKUP(B608,SuiteCatSubElem!$G$2:$G$667,2,0),'SXM Q4 18 W'!$A$32:$F$196,1+MATCH(VLOOKUP(A608,Personas!$A$2:$B$6,2,0),'SXM Q4 18 W'!$B$4:$F$4,0),0)</f>
        <v>#REF!</v>
      </c>
      <c r="E608">
        <v>1</v>
      </c>
      <c r="G608">
        <v>1</v>
      </c>
      <c r="H608">
        <v>9</v>
      </c>
    </row>
    <row r="609" spans="1:8">
      <c r="A609">
        <f t="shared" si="18"/>
        <v>2</v>
      </c>
      <c r="B609">
        <f t="shared" si="19"/>
        <v>580</v>
      </c>
      <c r="C609" s="128">
        <v>43101</v>
      </c>
      <c r="D609" s="25" t="e">
        <f>VLOOKUP(VLOOKUP(B609,SuiteCatSubElem!$G$2:$G$667,2,0),'SXM Q4 18 W'!$A$32:$F$196,1+MATCH(VLOOKUP(A609,Personas!$A$2:$B$6,2,0),'SXM Q4 18 W'!$B$4:$F$4,0),0)</f>
        <v>#REF!</v>
      </c>
      <c r="E609">
        <v>1</v>
      </c>
      <c r="G609">
        <v>1</v>
      </c>
      <c r="H609">
        <v>9</v>
      </c>
    </row>
    <row r="610" spans="1:8">
      <c r="A610">
        <f t="shared" si="18"/>
        <v>2</v>
      </c>
      <c r="B610">
        <f t="shared" si="19"/>
        <v>581</v>
      </c>
      <c r="C610" s="128">
        <v>43101</v>
      </c>
      <c r="D610" s="25" t="e">
        <f>VLOOKUP(VLOOKUP(B610,SuiteCatSubElem!$G$2:$G$667,2,0),'SXM Q4 18 W'!$A$32:$F$196,1+MATCH(VLOOKUP(A610,Personas!$A$2:$B$6,2,0),'SXM Q4 18 W'!$B$4:$F$4,0),0)</f>
        <v>#REF!</v>
      </c>
      <c r="E610">
        <v>1</v>
      </c>
      <c r="G610">
        <v>1</v>
      </c>
      <c r="H610">
        <v>9</v>
      </c>
    </row>
    <row r="611" spans="1:8">
      <c r="A611">
        <f t="shared" si="18"/>
        <v>2</v>
      </c>
      <c r="B611">
        <f t="shared" si="19"/>
        <v>582</v>
      </c>
      <c r="C611" s="128">
        <v>43101</v>
      </c>
      <c r="D611" s="25" t="e">
        <f>VLOOKUP(VLOOKUP(B611,SuiteCatSubElem!$G$2:$G$667,2,0),'SXM Q4 18 W'!$A$32:$F$196,1+MATCH(VLOOKUP(A611,Personas!$A$2:$B$6,2,0),'SXM Q4 18 W'!$B$4:$F$4,0),0)</f>
        <v>#REF!</v>
      </c>
      <c r="E611">
        <v>1</v>
      </c>
      <c r="G611">
        <v>1</v>
      </c>
      <c r="H611">
        <v>9</v>
      </c>
    </row>
    <row r="612" spans="1:8">
      <c r="A612">
        <f t="shared" si="18"/>
        <v>2</v>
      </c>
      <c r="B612">
        <f t="shared" si="19"/>
        <v>583</v>
      </c>
      <c r="C612" s="128">
        <v>43101</v>
      </c>
      <c r="D612" s="25" t="e">
        <f>VLOOKUP(VLOOKUP(B612,SuiteCatSubElem!$G$2:$G$667,2,0),'SXM Q4 18 W'!$A$32:$F$196,1+MATCH(VLOOKUP(A612,Personas!$A$2:$B$6,2,0),'SXM Q4 18 W'!$B$4:$F$4,0),0)</f>
        <v>#REF!</v>
      </c>
      <c r="E612">
        <v>1</v>
      </c>
      <c r="G612">
        <v>1</v>
      </c>
      <c r="H612">
        <v>9</v>
      </c>
    </row>
    <row r="613" spans="1:8">
      <c r="A613">
        <f t="shared" si="18"/>
        <v>2</v>
      </c>
      <c r="B613">
        <f t="shared" si="19"/>
        <v>584</v>
      </c>
      <c r="C613" s="128">
        <v>43101</v>
      </c>
      <c r="D613" s="25" t="e">
        <f>VLOOKUP(VLOOKUP(B613,SuiteCatSubElem!$G$2:$G$667,2,0),'SXM Q4 18 W'!$A$32:$F$196,1+MATCH(VLOOKUP(A613,Personas!$A$2:$B$6,2,0),'SXM Q4 18 W'!$B$4:$F$4,0),0)</f>
        <v>#REF!</v>
      </c>
      <c r="E613">
        <v>1</v>
      </c>
      <c r="G613">
        <v>1</v>
      </c>
      <c r="H613">
        <v>9</v>
      </c>
    </row>
    <row r="614" spans="1:8">
      <c r="A614">
        <f t="shared" si="18"/>
        <v>2</v>
      </c>
      <c r="B614">
        <f t="shared" si="19"/>
        <v>585</v>
      </c>
      <c r="C614" s="128">
        <v>43101</v>
      </c>
      <c r="D614" s="25" t="e">
        <f>VLOOKUP(VLOOKUP(B614,SuiteCatSubElem!$G$2:$G$667,2,0),'SXM Q4 18 W'!$A$32:$F$196,1+MATCH(VLOOKUP(A614,Personas!$A$2:$B$6,2,0),'SXM Q4 18 W'!$B$4:$F$4,0),0)</f>
        <v>#REF!</v>
      </c>
      <c r="E614">
        <v>1</v>
      </c>
      <c r="G614">
        <v>1</v>
      </c>
      <c r="H614">
        <v>9</v>
      </c>
    </row>
    <row r="615" spans="1:8">
      <c r="A615">
        <f t="shared" si="18"/>
        <v>2</v>
      </c>
      <c r="B615">
        <f t="shared" si="19"/>
        <v>586</v>
      </c>
      <c r="C615" s="128">
        <v>43101</v>
      </c>
      <c r="D615" s="25" t="e">
        <f>VLOOKUP(VLOOKUP(B615,SuiteCatSubElem!$G$2:$G$667,2,0),'SXM Q4 18 W'!$A$32:$F$196,1+MATCH(VLOOKUP(A615,Personas!$A$2:$B$6,2,0),'SXM Q4 18 W'!$B$4:$F$4,0),0)</f>
        <v>#REF!</v>
      </c>
      <c r="E615">
        <v>1</v>
      </c>
      <c r="G615">
        <v>1</v>
      </c>
      <c r="H615">
        <v>9</v>
      </c>
    </row>
    <row r="616" spans="1:8">
      <c r="A616">
        <f t="shared" si="18"/>
        <v>2</v>
      </c>
      <c r="B616">
        <f t="shared" si="19"/>
        <v>587</v>
      </c>
      <c r="C616" s="128">
        <v>43101</v>
      </c>
      <c r="D616" s="25" t="e">
        <f>VLOOKUP(VLOOKUP(B616,SuiteCatSubElem!$G$2:$G$667,2,0),'SXM Q4 18 W'!$A$32:$F$196,1+MATCH(VLOOKUP(A616,Personas!$A$2:$B$6,2,0),'SXM Q4 18 W'!$B$4:$F$4,0),0)</f>
        <v>#REF!</v>
      </c>
      <c r="E616">
        <v>1</v>
      </c>
      <c r="G616">
        <v>1</v>
      </c>
      <c r="H616">
        <v>9</v>
      </c>
    </row>
    <row r="617" spans="1:8">
      <c r="A617">
        <f t="shared" si="18"/>
        <v>2</v>
      </c>
      <c r="B617">
        <f t="shared" si="19"/>
        <v>588</v>
      </c>
      <c r="C617" s="128">
        <v>43101</v>
      </c>
      <c r="D617" s="25" t="e">
        <f>VLOOKUP(VLOOKUP(B617,SuiteCatSubElem!$G$2:$G$667,2,0),'SXM Q4 18 W'!$A$32:$F$196,1+MATCH(VLOOKUP(A617,Personas!$A$2:$B$6,2,0),'SXM Q4 18 W'!$B$4:$F$4,0),0)</f>
        <v>#REF!</v>
      </c>
      <c r="E617">
        <v>1</v>
      </c>
      <c r="G617">
        <v>1</v>
      </c>
      <c r="H617">
        <v>9</v>
      </c>
    </row>
    <row r="618" spans="1:8">
      <c r="A618">
        <f t="shared" si="18"/>
        <v>2</v>
      </c>
      <c r="B618">
        <f t="shared" si="19"/>
        <v>589</v>
      </c>
      <c r="C618" s="128">
        <v>43101</v>
      </c>
      <c r="D618" s="25" t="e">
        <f>VLOOKUP(VLOOKUP(B618,SuiteCatSubElem!$G$2:$G$667,2,0),'SXM Q4 18 W'!$A$32:$F$196,1+MATCH(VLOOKUP(A618,Personas!$A$2:$B$6,2,0),'SXM Q4 18 W'!$B$4:$F$4,0),0)</f>
        <v>#REF!</v>
      </c>
      <c r="E618">
        <v>1</v>
      </c>
      <c r="G618">
        <v>1</v>
      </c>
      <c r="H618">
        <v>9</v>
      </c>
    </row>
    <row r="619" spans="1:8">
      <c r="A619">
        <f t="shared" si="18"/>
        <v>2</v>
      </c>
      <c r="B619">
        <f t="shared" si="19"/>
        <v>590</v>
      </c>
      <c r="C619" s="128">
        <v>43101</v>
      </c>
      <c r="D619" s="25" t="e">
        <f>VLOOKUP(VLOOKUP(B619,SuiteCatSubElem!$G$2:$G$667,2,0),'SXM Q4 18 W'!$A$32:$F$196,1+MATCH(VLOOKUP(A619,Personas!$A$2:$B$6,2,0),'SXM Q4 18 W'!$B$4:$F$4,0),0)</f>
        <v>#REF!</v>
      </c>
      <c r="E619">
        <v>1</v>
      </c>
      <c r="G619">
        <v>1</v>
      </c>
      <c r="H619">
        <v>9</v>
      </c>
    </row>
    <row r="620" spans="1:8">
      <c r="A620">
        <f t="shared" si="18"/>
        <v>2</v>
      </c>
      <c r="B620">
        <f t="shared" si="19"/>
        <v>591</v>
      </c>
      <c r="C620" s="128">
        <v>43101</v>
      </c>
      <c r="D620" s="25" t="e">
        <f>VLOOKUP(VLOOKUP(B620,SuiteCatSubElem!$G$2:$G$667,2,0),'SXM Q4 18 W'!$A$32:$F$196,1+MATCH(VLOOKUP(A620,Personas!$A$2:$B$6,2,0),'SXM Q4 18 W'!$B$4:$F$4,0),0)</f>
        <v>#REF!</v>
      </c>
      <c r="E620">
        <v>1</v>
      </c>
      <c r="G620">
        <v>1</v>
      </c>
      <c r="H620">
        <v>9</v>
      </c>
    </row>
    <row r="621" spans="1:8">
      <c r="A621">
        <f t="shared" si="18"/>
        <v>2</v>
      </c>
      <c r="B621">
        <f t="shared" si="19"/>
        <v>592</v>
      </c>
      <c r="C621" s="128">
        <v>43101</v>
      </c>
      <c r="D621" s="25" t="e">
        <f>VLOOKUP(VLOOKUP(B621,SuiteCatSubElem!$G$2:$G$667,2,0),'SXM Q4 18 W'!$A$32:$F$196,1+MATCH(VLOOKUP(A621,Personas!$A$2:$B$6,2,0),'SXM Q4 18 W'!$B$4:$F$4,0),0)</f>
        <v>#REF!</v>
      </c>
      <c r="E621">
        <v>1</v>
      </c>
      <c r="G621">
        <v>1</v>
      </c>
      <c r="H621">
        <v>9</v>
      </c>
    </row>
    <row r="622" spans="1:8">
      <c r="A622">
        <f t="shared" si="18"/>
        <v>2</v>
      </c>
      <c r="B622">
        <f t="shared" si="19"/>
        <v>593</v>
      </c>
      <c r="C622" s="128">
        <v>43101</v>
      </c>
      <c r="D622" s="25" t="e">
        <f>VLOOKUP(VLOOKUP(B622,SuiteCatSubElem!$G$2:$G$667,2,0),'SXM Q4 18 W'!$A$32:$F$196,1+MATCH(VLOOKUP(A622,Personas!$A$2:$B$6,2,0),'SXM Q4 18 W'!$B$4:$F$4,0),0)</f>
        <v>#REF!</v>
      </c>
      <c r="E622">
        <v>1</v>
      </c>
      <c r="G622">
        <v>1</v>
      </c>
      <c r="H622">
        <v>9</v>
      </c>
    </row>
    <row r="623" spans="1:8">
      <c r="A623">
        <f t="shared" si="18"/>
        <v>2</v>
      </c>
      <c r="B623">
        <f t="shared" si="19"/>
        <v>594</v>
      </c>
      <c r="C623" s="128">
        <v>43101</v>
      </c>
      <c r="D623" s="25" t="e">
        <f>VLOOKUP(VLOOKUP(B623,SuiteCatSubElem!$G$2:$G$667,2,0),'SXM Q4 18 W'!$A$32:$F$196,1+MATCH(VLOOKUP(A623,Personas!$A$2:$B$6,2,0),'SXM Q4 18 W'!$B$4:$F$4,0),0)</f>
        <v>#REF!</v>
      </c>
      <c r="E623">
        <v>1</v>
      </c>
      <c r="G623">
        <v>1</v>
      </c>
      <c r="H623">
        <v>9</v>
      </c>
    </row>
    <row r="624" spans="1:8">
      <c r="A624">
        <f t="shared" si="18"/>
        <v>3</v>
      </c>
      <c r="B624">
        <f t="shared" si="19"/>
        <v>494</v>
      </c>
      <c r="C624" s="128">
        <v>43101</v>
      </c>
      <c r="D624" s="25" t="e">
        <f>VLOOKUP(VLOOKUP(B624,SuiteCatSubElem!$G$2:$G$667,2,0),'SXM Q4 18 W'!$A$32:$F$196,1+MATCH(VLOOKUP(A624,Personas!$A$2:$B$6,2,0),'SXM Q4 18 W'!$B$4:$F$4,0),0)</f>
        <v>#REF!</v>
      </c>
      <c r="E624">
        <v>1</v>
      </c>
      <c r="G624">
        <v>1</v>
      </c>
      <c r="H624">
        <v>9</v>
      </c>
    </row>
    <row r="625" spans="1:8">
      <c r="A625">
        <f t="shared" si="18"/>
        <v>3</v>
      </c>
      <c r="B625">
        <f t="shared" si="19"/>
        <v>495</v>
      </c>
      <c r="C625" s="128">
        <v>43101</v>
      </c>
      <c r="D625" s="25" t="e">
        <f>VLOOKUP(VLOOKUP(B625,SuiteCatSubElem!$G$2:$G$667,2,0),'SXM Q4 18 W'!$A$32:$F$196,1+MATCH(VLOOKUP(A625,Personas!$A$2:$B$6,2,0),'SXM Q4 18 W'!$B$4:$F$4,0),0)</f>
        <v>#REF!</v>
      </c>
      <c r="E625">
        <v>1</v>
      </c>
      <c r="G625">
        <v>1</v>
      </c>
      <c r="H625">
        <v>9</v>
      </c>
    </row>
    <row r="626" spans="1:8">
      <c r="A626">
        <f t="shared" si="18"/>
        <v>3</v>
      </c>
      <c r="B626">
        <f t="shared" si="19"/>
        <v>496</v>
      </c>
      <c r="C626" s="128">
        <v>43101</v>
      </c>
      <c r="D626" s="25" t="e">
        <f>VLOOKUP(VLOOKUP(B626,SuiteCatSubElem!$G$2:$G$667,2,0),'SXM Q4 18 W'!$A$32:$F$196,1+MATCH(VLOOKUP(A626,Personas!$A$2:$B$6,2,0),'SXM Q4 18 W'!$B$4:$F$4,0),0)</f>
        <v>#REF!</v>
      </c>
      <c r="E626">
        <v>1</v>
      </c>
      <c r="G626">
        <v>1</v>
      </c>
      <c r="H626">
        <v>9</v>
      </c>
    </row>
    <row r="627" spans="1:8">
      <c r="A627">
        <f t="shared" si="18"/>
        <v>3</v>
      </c>
      <c r="B627">
        <f t="shared" si="19"/>
        <v>497</v>
      </c>
      <c r="C627" s="128">
        <v>43101</v>
      </c>
      <c r="D627" s="25" t="e">
        <f>VLOOKUP(VLOOKUP(B627,SuiteCatSubElem!$G$2:$G$667,2,0),'SXM Q4 18 W'!$A$32:$F$196,1+MATCH(VLOOKUP(A627,Personas!$A$2:$B$6,2,0),'SXM Q4 18 W'!$B$4:$F$4,0),0)</f>
        <v>#REF!</v>
      </c>
      <c r="E627">
        <v>1</v>
      </c>
      <c r="G627">
        <v>1</v>
      </c>
      <c r="H627">
        <v>9</v>
      </c>
    </row>
    <row r="628" spans="1:8">
      <c r="A628">
        <f t="shared" si="18"/>
        <v>3</v>
      </c>
      <c r="B628">
        <f t="shared" si="19"/>
        <v>498</v>
      </c>
      <c r="C628" s="128">
        <v>43101</v>
      </c>
      <c r="D628" s="25" t="e">
        <f>VLOOKUP(VLOOKUP(B628,SuiteCatSubElem!$G$2:$G$667,2,0),'SXM Q4 18 W'!$A$32:$F$196,1+MATCH(VLOOKUP(A628,Personas!$A$2:$B$6,2,0),'SXM Q4 18 W'!$B$4:$F$4,0),0)</f>
        <v>#REF!</v>
      </c>
      <c r="E628">
        <v>1</v>
      </c>
      <c r="G628">
        <v>1</v>
      </c>
      <c r="H628">
        <v>9</v>
      </c>
    </row>
    <row r="629" spans="1:8">
      <c r="A629">
        <f t="shared" si="18"/>
        <v>3</v>
      </c>
      <c r="B629">
        <f t="shared" si="19"/>
        <v>499</v>
      </c>
      <c r="C629" s="128">
        <v>43101</v>
      </c>
      <c r="D629" s="25" t="e">
        <f>VLOOKUP(VLOOKUP(B629,SuiteCatSubElem!$G$2:$G$667,2,0),'SXM Q4 18 W'!$A$32:$F$196,1+MATCH(VLOOKUP(A629,Personas!$A$2:$B$6,2,0),'SXM Q4 18 W'!$B$4:$F$4,0),0)</f>
        <v>#REF!</v>
      </c>
      <c r="E629">
        <v>1</v>
      </c>
      <c r="G629">
        <v>1</v>
      </c>
      <c r="H629">
        <v>9</v>
      </c>
    </row>
    <row r="630" spans="1:8">
      <c r="A630">
        <f t="shared" si="18"/>
        <v>3</v>
      </c>
      <c r="B630">
        <f t="shared" si="19"/>
        <v>500</v>
      </c>
      <c r="C630" s="128">
        <v>43101</v>
      </c>
      <c r="D630" s="25" t="e">
        <f>VLOOKUP(VLOOKUP(B630,SuiteCatSubElem!$G$2:$G$667,2,0),'SXM Q4 18 W'!$A$32:$F$196,1+MATCH(VLOOKUP(A630,Personas!$A$2:$B$6,2,0),'SXM Q4 18 W'!$B$4:$F$4,0),0)</f>
        <v>#REF!</v>
      </c>
      <c r="E630">
        <v>1</v>
      </c>
      <c r="G630">
        <v>1</v>
      </c>
      <c r="H630">
        <v>9</v>
      </c>
    </row>
    <row r="631" spans="1:8">
      <c r="A631">
        <f t="shared" si="18"/>
        <v>3</v>
      </c>
      <c r="B631">
        <f t="shared" si="19"/>
        <v>501</v>
      </c>
      <c r="C631" s="128">
        <v>43101</v>
      </c>
      <c r="D631" s="25" t="e">
        <f>VLOOKUP(VLOOKUP(B631,SuiteCatSubElem!$G$2:$G$667,2,0),'SXM Q4 18 W'!$A$32:$F$196,1+MATCH(VLOOKUP(A631,Personas!$A$2:$B$6,2,0),'SXM Q4 18 W'!$B$4:$F$4,0),0)</f>
        <v>#REF!</v>
      </c>
      <c r="E631">
        <v>1</v>
      </c>
      <c r="G631">
        <v>1</v>
      </c>
      <c r="H631">
        <v>9</v>
      </c>
    </row>
    <row r="632" spans="1:8">
      <c r="A632">
        <f t="shared" si="18"/>
        <v>3</v>
      </c>
      <c r="B632">
        <f t="shared" si="19"/>
        <v>502</v>
      </c>
      <c r="C632" s="128">
        <v>43101</v>
      </c>
      <c r="D632" s="25" t="e">
        <f>VLOOKUP(VLOOKUP(B632,SuiteCatSubElem!$G$2:$G$667,2,0),'SXM Q4 18 W'!$A$32:$F$196,1+MATCH(VLOOKUP(A632,Personas!$A$2:$B$6,2,0),'SXM Q4 18 W'!$B$4:$F$4,0),0)</f>
        <v>#REF!</v>
      </c>
      <c r="E632">
        <v>1</v>
      </c>
      <c r="G632">
        <v>1</v>
      </c>
      <c r="H632">
        <v>9</v>
      </c>
    </row>
    <row r="633" spans="1:8">
      <c r="A633">
        <f t="shared" si="18"/>
        <v>3</v>
      </c>
      <c r="B633">
        <f t="shared" si="19"/>
        <v>503</v>
      </c>
      <c r="C633" s="128">
        <v>43101</v>
      </c>
      <c r="D633" s="25" t="e">
        <f>VLOOKUP(VLOOKUP(B633,SuiteCatSubElem!$G$2:$G$667,2,0),'SXM Q4 18 W'!$A$32:$F$196,1+MATCH(VLOOKUP(A633,Personas!$A$2:$B$6,2,0),'SXM Q4 18 W'!$B$4:$F$4,0),0)</f>
        <v>#REF!</v>
      </c>
      <c r="E633">
        <v>1</v>
      </c>
      <c r="G633">
        <v>1</v>
      </c>
      <c r="H633">
        <v>9</v>
      </c>
    </row>
    <row r="634" spans="1:8">
      <c r="A634">
        <f t="shared" si="18"/>
        <v>3</v>
      </c>
      <c r="B634">
        <f t="shared" si="19"/>
        <v>504</v>
      </c>
      <c r="C634" s="128">
        <v>43101</v>
      </c>
      <c r="D634" s="25" t="e">
        <f>VLOOKUP(VLOOKUP(B634,SuiteCatSubElem!$G$2:$G$667,2,0),'SXM Q4 18 W'!$A$32:$F$196,1+MATCH(VLOOKUP(A634,Personas!$A$2:$B$6,2,0),'SXM Q4 18 W'!$B$4:$F$4,0),0)</f>
        <v>#REF!</v>
      </c>
      <c r="E634">
        <v>1</v>
      </c>
      <c r="G634">
        <v>1</v>
      </c>
      <c r="H634">
        <v>9</v>
      </c>
    </row>
    <row r="635" spans="1:8">
      <c r="A635">
        <f t="shared" si="18"/>
        <v>3</v>
      </c>
      <c r="B635">
        <f t="shared" si="19"/>
        <v>505</v>
      </c>
      <c r="C635" s="128">
        <v>43101</v>
      </c>
      <c r="D635" s="25" t="e">
        <f>VLOOKUP(VLOOKUP(B635,SuiteCatSubElem!$G$2:$G$667,2,0),'SXM Q4 18 W'!$A$32:$F$196,1+MATCH(VLOOKUP(A635,Personas!$A$2:$B$6,2,0),'SXM Q4 18 W'!$B$4:$F$4,0),0)</f>
        <v>#REF!</v>
      </c>
      <c r="E635">
        <v>1</v>
      </c>
      <c r="G635">
        <v>1</v>
      </c>
      <c r="H635">
        <v>9</v>
      </c>
    </row>
    <row r="636" spans="1:8">
      <c r="A636">
        <f t="shared" si="18"/>
        <v>3</v>
      </c>
      <c r="B636">
        <f t="shared" si="19"/>
        <v>506</v>
      </c>
      <c r="C636" s="128">
        <v>43101</v>
      </c>
      <c r="D636" s="25" t="e">
        <f>VLOOKUP(VLOOKUP(B636,SuiteCatSubElem!$G$2:$G$667,2,0),'SXM Q4 18 W'!$A$32:$F$196,1+MATCH(VLOOKUP(A636,Personas!$A$2:$B$6,2,0),'SXM Q4 18 W'!$B$4:$F$4,0),0)</f>
        <v>#REF!</v>
      </c>
      <c r="E636">
        <v>1</v>
      </c>
      <c r="G636">
        <v>1</v>
      </c>
      <c r="H636">
        <v>9</v>
      </c>
    </row>
    <row r="637" spans="1:8">
      <c r="A637">
        <f t="shared" si="18"/>
        <v>3</v>
      </c>
      <c r="B637">
        <f t="shared" si="19"/>
        <v>507</v>
      </c>
      <c r="C637" s="128">
        <v>43101</v>
      </c>
      <c r="D637" s="25" t="e">
        <f>VLOOKUP(VLOOKUP(B637,SuiteCatSubElem!$G$2:$G$667,2,0),'SXM Q4 18 W'!$A$32:$F$196,1+MATCH(VLOOKUP(A637,Personas!$A$2:$B$6,2,0),'SXM Q4 18 W'!$B$4:$F$4,0),0)</f>
        <v>#REF!</v>
      </c>
      <c r="E637">
        <v>1</v>
      </c>
      <c r="G637">
        <v>1</v>
      </c>
      <c r="H637">
        <v>9</v>
      </c>
    </row>
    <row r="638" spans="1:8">
      <c r="A638">
        <f t="shared" si="18"/>
        <v>3</v>
      </c>
      <c r="B638">
        <f t="shared" si="19"/>
        <v>508</v>
      </c>
      <c r="C638" s="128">
        <v>43101</v>
      </c>
      <c r="D638" s="25" t="e">
        <f>VLOOKUP(VLOOKUP(B638,SuiteCatSubElem!$G$2:$G$667,2,0),'SXM Q4 18 W'!$A$32:$F$196,1+MATCH(VLOOKUP(A638,Personas!$A$2:$B$6,2,0),'SXM Q4 18 W'!$B$4:$F$4,0),0)</f>
        <v>#REF!</v>
      </c>
      <c r="E638">
        <v>1</v>
      </c>
      <c r="G638">
        <v>1</v>
      </c>
      <c r="H638">
        <v>9</v>
      </c>
    </row>
    <row r="639" spans="1:8">
      <c r="A639">
        <f t="shared" si="18"/>
        <v>3</v>
      </c>
      <c r="B639">
        <f t="shared" si="19"/>
        <v>509</v>
      </c>
      <c r="C639" s="128">
        <v>43101</v>
      </c>
      <c r="D639" s="25" t="e">
        <f>VLOOKUP(VLOOKUP(B639,SuiteCatSubElem!$G$2:$G$667,2,0),'SXM Q4 18 W'!$A$32:$F$196,1+MATCH(VLOOKUP(A639,Personas!$A$2:$B$6,2,0),'SXM Q4 18 W'!$B$4:$F$4,0),0)</f>
        <v>#REF!</v>
      </c>
      <c r="E639">
        <v>1</v>
      </c>
      <c r="G639">
        <v>1</v>
      </c>
      <c r="H639">
        <v>9</v>
      </c>
    </row>
    <row r="640" spans="1:8">
      <c r="A640">
        <f t="shared" si="18"/>
        <v>3</v>
      </c>
      <c r="B640">
        <f t="shared" si="19"/>
        <v>510</v>
      </c>
      <c r="C640" s="128">
        <v>43101</v>
      </c>
      <c r="D640" s="25" t="e">
        <f>VLOOKUP(VLOOKUP(B640,SuiteCatSubElem!$G$2:$G$667,2,0),'SXM Q4 18 W'!$A$32:$F$196,1+MATCH(VLOOKUP(A640,Personas!$A$2:$B$6,2,0),'SXM Q4 18 W'!$B$4:$F$4,0),0)</f>
        <v>#REF!</v>
      </c>
      <c r="E640">
        <v>1</v>
      </c>
      <c r="G640">
        <v>1</v>
      </c>
      <c r="H640">
        <v>9</v>
      </c>
    </row>
    <row r="641" spans="1:8">
      <c r="A641">
        <f t="shared" si="18"/>
        <v>3</v>
      </c>
      <c r="B641">
        <f t="shared" si="19"/>
        <v>511</v>
      </c>
      <c r="C641" s="128">
        <v>43101</v>
      </c>
      <c r="D641" s="25" t="e">
        <f>VLOOKUP(VLOOKUP(B641,SuiteCatSubElem!$G$2:$G$667,2,0),'SXM Q4 18 W'!$A$32:$F$196,1+MATCH(VLOOKUP(A641,Personas!$A$2:$B$6,2,0),'SXM Q4 18 W'!$B$4:$F$4,0),0)</f>
        <v>#REF!</v>
      </c>
      <c r="E641">
        <v>1</v>
      </c>
      <c r="G641">
        <v>1</v>
      </c>
      <c r="H641">
        <v>9</v>
      </c>
    </row>
    <row r="642" spans="1:8">
      <c r="A642">
        <f t="shared" si="18"/>
        <v>3</v>
      </c>
      <c r="B642">
        <f t="shared" si="19"/>
        <v>512</v>
      </c>
      <c r="C642" s="128">
        <v>43101</v>
      </c>
      <c r="D642" s="25" t="e">
        <f>VLOOKUP(VLOOKUP(B642,SuiteCatSubElem!$G$2:$G$667,2,0),'SXM Q4 18 W'!$A$32:$F$196,1+MATCH(VLOOKUP(A642,Personas!$A$2:$B$6,2,0),'SXM Q4 18 W'!$B$4:$F$4,0),0)</f>
        <v>#REF!</v>
      </c>
      <c r="E642">
        <v>1</v>
      </c>
      <c r="G642">
        <v>1</v>
      </c>
      <c r="H642">
        <v>9</v>
      </c>
    </row>
    <row r="643" spans="1:8">
      <c r="A643">
        <f t="shared" si="18"/>
        <v>3</v>
      </c>
      <c r="B643">
        <f t="shared" si="19"/>
        <v>513</v>
      </c>
      <c r="C643" s="128">
        <v>43101</v>
      </c>
      <c r="D643" s="25" t="e">
        <f>VLOOKUP(VLOOKUP(B643,SuiteCatSubElem!$G$2:$G$667,2,0),'SXM Q4 18 W'!$A$32:$F$196,1+MATCH(VLOOKUP(A643,Personas!$A$2:$B$6,2,0),'SXM Q4 18 W'!$B$4:$F$4,0),0)</f>
        <v>#REF!</v>
      </c>
      <c r="E643">
        <v>1</v>
      </c>
      <c r="G643">
        <v>1</v>
      </c>
      <c r="H643">
        <v>9</v>
      </c>
    </row>
    <row r="644" spans="1:8">
      <c r="A644">
        <f t="shared" si="18"/>
        <v>3</v>
      </c>
      <c r="B644">
        <f t="shared" si="19"/>
        <v>514</v>
      </c>
      <c r="C644" s="128">
        <v>43101</v>
      </c>
      <c r="D644" s="25" t="e">
        <f>VLOOKUP(VLOOKUP(B644,SuiteCatSubElem!$G$2:$G$667,2,0),'SXM Q4 18 W'!$A$32:$F$196,1+MATCH(VLOOKUP(A644,Personas!$A$2:$B$6,2,0),'SXM Q4 18 W'!$B$4:$F$4,0),0)</f>
        <v>#REF!</v>
      </c>
      <c r="E644">
        <v>1</v>
      </c>
      <c r="G644">
        <v>1</v>
      </c>
      <c r="H644">
        <v>9</v>
      </c>
    </row>
    <row r="645" spans="1:8">
      <c r="A645">
        <f t="shared" si="18"/>
        <v>3</v>
      </c>
      <c r="B645">
        <f t="shared" si="19"/>
        <v>515</v>
      </c>
      <c r="C645" s="128">
        <v>43101</v>
      </c>
      <c r="D645" s="25" t="e">
        <f>VLOOKUP(VLOOKUP(B645,SuiteCatSubElem!$G$2:$G$667,2,0),'SXM Q4 18 W'!$A$32:$F$196,1+MATCH(VLOOKUP(A645,Personas!$A$2:$B$6,2,0),'SXM Q4 18 W'!$B$4:$F$4,0),0)</f>
        <v>#REF!</v>
      </c>
      <c r="E645">
        <v>1</v>
      </c>
      <c r="G645">
        <v>1</v>
      </c>
      <c r="H645">
        <v>9</v>
      </c>
    </row>
    <row r="646" spans="1:8">
      <c r="A646">
        <f t="shared" si="18"/>
        <v>3</v>
      </c>
      <c r="B646">
        <f t="shared" si="19"/>
        <v>516</v>
      </c>
      <c r="C646" s="128">
        <v>43101</v>
      </c>
      <c r="D646" s="25" t="e">
        <f>VLOOKUP(VLOOKUP(B646,SuiteCatSubElem!$G$2:$G$667,2,0),'SXM Q4 18 W'!$A$32:$F$196,1+MATCH(VLOOKUP(A646,Personas!$A$2:$B$6,2,0),'SXM Q4 18 W'!$B$4:$F$4,0),0)</f>
        <v>#REF!</v>
      </c>
      <c r="E646">
        <v>1</v>
      </c>
      <c r="G646">
        <v>1</v>
      </c>
      <c r="H646">
        <v>9</v>
      </c>
    </row>
    <row r="647" spans="1:8">
      <c r="A647">
        <f t="shared" si="18"/>
        <v>3</v>
      </c>
      <c r="B647">
        <f t="shared" si="19"/>
        <v>517</v>
      </c>
      <c r="C647" s="128">
        <v>43101</v>
      </c>
      <c r="D647" s="25" t="e">
        <f>VLOOKUP(VLOOKUP(B647,SuiteCatSubElem!$G$2:$G$667,2,0),'SXM Q4 18 W'!$A$32:$F$196,1+MATCH(VLOOKUP(A647,Personas!$A$2:$B$6,2,0),'SXM Q4 18 W'!$B$4:$F$4,0),0)</f>
        <v>#REF!</v>
      </c>
      <c r="E647">
        <v>1</v>
      </c>
      <c r="G647">
        <v>1</v>
      </c>
      <c r="H647">
        <v>9</v>
      </c>
    </row>
    <row r="648" spans="1:8">
      <c r="A648">
        <f t="shared" si="18"/>
        <v>3</v>
      </c>
      <c r="B648">
        <f t="shared" si="19"/>
        <v>518</v>
      </c>
      <c r="C648" s="128">
        <v>43101</v>
      </c>
      <c r="D648" s="25" t="e">
        <f>VLOOKUP(VLOOKUP(B648,SuiteCatSubElem!$G$2:$G$667,2,0),'SXM Q4 18 W'!$A$32:$F$196,1+MATCH(VLOOKUP(A648,Personas!$A$2:$B$6,2,0),'SXM Q4 18 W'!$B$4:$F$4,0),0)</f>
        <v>#REF!</v>
      </c>
      <c r="E648">
        <v>1</v>
      </c>
      <c r="G648">
        <v>1</v>
      </c>
      <c r="H648">
        <v>9</v>
      </c>
    </row>
    <row r="649" spans="1:8">
      <c r="A649">
        <f t="shared" si="18"/>
        <v>3</v>
      </c>
      <c r="B649">
        <f t="shared" si="19"/>
        <v>519</v>
      </c>
      <c r="C649" s="128">
        <v>43101</v>
      </c>
      <c r="D649" s="25" t="e">
        <f>VLOOKUP(VLOOKUP(B649,SuiteCatSubElem!$G$2:$G$667,2,0),'SXM Q4 18 W'!$A$32:$F$196,1+MATCH(VLOOKUP(A649,Personas!$A$2:$B$6,2,0),'SXM Q4 18 W'!$B$4:$F$4,0),0)</f>
        <v>#REF!</v>
      </c>
      <c r="E649">
        <v>1</v>
      </c>
      <c r="G649">
        <v>1</v>
      </c>
      <c r="H649">
        <v>9</v>
      </c>
    </row>
    <row r="650" spans="1:8">
      <c r="A650">
        <f t="shared" si="18"/>
        <v>3</v>
      </c>
      <c r="B650">
        <f t="shared" si="19"/>
        <v>520</v>
      </c>
      <c r="C650" s="128">
        <v>43101</v>
      </c>
      <c r="D650" s="25" t="e">
        <f>VLOOKUP(VLOOKUP(B650,SuiteCatSubElem!$G$2:$G$667,2,0),'SXM Q4 18 W'!$A$32:$F$196,1+MATCH(VLOOKUP(A650,Personas!$A$2:$B$6,2,0),'SXM Q4 18 W'!$B$4:$F$4,0),0)</f>
        <v>#REF!</v>
      </c>
      <c r="E650">
        <v>1</v>
      </c>
      <c r="G650">
        <v>1</v>
      </c>
      <c r="H650">
        <v>9</v>
      </c>
    </row>
    <row r="651" spans="1:8">
      <c r="A651">
        <f t="shared" si="18"/>
        <v>3</v>
      </c>
      <c r="B651">
        <f t="shared" si="19"/>
        <v>521</v>
      </c>
      <c r="C651" s="128">
        <v>43101</v>
      </c>
      <c r="D651" s="25" t="e">
        <f>VLOOKUP(VLOOKUP(B651,SuiteCatSubElem!$G$2:$G$667,2,0),'SXM Q4 18 W'!$A$32:$F$196,1+MATCH(VLOOKUP(A651,Personas!$A$2:$B$6,2,0),'SXM Q4 18 W'!$B$4:$F$4,0),0)</f>
        <v>#REF!</v>
      </c>
      <c r="E651">
        <v>1</v>
      </c>
      <c r="G651">
        <v>1</v>
      </c>
      <c r="H651">
        <v>9</v>
      </c>
    </row>
    <row r="652" spans="1:8">
      <c r="A652">
        <f t="shared" ref="A652:A707" si="20">A551+1</f>
        <v>3</v>
      </c>
      <c r="B652">
        <f t="shared" ref="B652:B707" si="21">B551</f>
        <v>522</v>
      </c>
      <c r="C652" s="128">
        <v>43101</v>
      </c>
      <c r="D652" s="25" t="e">
        <f>VLOOKUP(VLOOKUP(B652,SuiteCatSubElem!$G$2:$G$667,2,0),'SXM Q4 18 W'!$A$32:$F$196,1+MATCH(VLOOKUP(A652,Personas!$A$2:$B$6,2,0),'SXM Q4 18 W'!$B$4:$F$4,0),0)</f>
        <v>#REF!</v>
      </c>
      <c r="E652">
        <v>1</v>
      </c>
      <c r="G652">
        <v>1</v>
      </c>
      <c r="H652">
        <v>9</v>
      </c>
    </row>
    <row r="653" spans="1:8">
      <c r="A653">
        <f t="shared" si="20"/>
        <v>3</v>
      </c>
      <c r="B653">
        <f t="shared" si="21"/>
        <v>523</v>
      </c>
      <c r="C653" s="128">
        <v>43101</v>
      </c>
      <c r="D653" s="25" t="e">
        <f>VLOOKUP(VLOOKUP(B653,SuiteCatSubElem!$G$2:$G$667,2,0),'SXM Q4 18 W'!$A$32:$F$196,1+MATCH(VLOOKUP(A653,Personas!$A$2:$B$6,2,0),'SXM Q4 18 W'!$B$4:$F$4,0),0)</f>
        <v>#REF!</v>
      </c>
      <c r="E653">
        <v>1</v>
      </c>
      <c r="G653">
        <v>1</v>
      </c>
      <c r="H653">
        <v>9</v>
      </c>
    </row>
    <row r="654" spans="1:8">
      <c r="A654">
        <f t="shared" si="20"/>
        <v>3</v>
      </c>
      <c r="B654">
        <f t="shared" si="21"/>
        <v>524</v>
      </c>
      <c r="C654" s="128">
        <v>43101</v>
      </c>
      <c r="D654" s="25" t="e">
        <f>VLOOKUP(VLOOKUP(B654,SuiteCatSubElem!$G$2:$G$667,2,0),'SXM Q4 18 W'!$A$32:$F$196,1+MATCH(VLOOKUP(A654,Personas!$A$2:$B$6,2,0),'SXM Q4 18 W'!$B$4:$F$4,0),0)</f>
        <v>#REF!</v>
      </c>
      <c r="E654">
        <v>1</v>
      </c>
      <c r="G654">
        <v>1</v>
      </c>
      <c r="H654">
        <v>9</v>
      </c>
    </row>
    <row r="655" spans="1:8">
      <c r="A655">
        <f t="shared" si="20"/>
        <v>3</v>
      </c>
      <c r="B655">
        <f t="shared" si="21"/>
        <v>525</v>
      </c>
      <c r="C655" s="128">
        <v>43101</v>
      </c>
      <c r="D655" s="25" t="e">
        <f>VLOOKUP(VLOOKUP(B655,SuiteCatSubElem!$G$2:$G$667,2,0),'SXM Q4 18 W'!$A$32:$F$196,1+MATCH(VLOOKUP(A655,Personas!$A$2:$B$6,2,0),'SXM Q4 18 W'!$B$4:$F$4,0),0)</f>
        <v>#REF!</v>
      </c>
      <c r="E655">
        <v>1</v>
      </c>
      <c r="G655">
        <v>1</v>
      </c>
      <c r="H655">
        <v>9</v>
      </c>
    </row>
    <row r="656" spans="1:8">
      <c r="A656">
        <f t="shared" si="20"/>
        <v>3</v>
      </c>
      <c r="B656">
        <f t="shared" si="21"/>
        <v>526</v>
      </c>
      <c r="C656" s="128">
        <v>43101</v>
      </c>
      <c r="D656" s="25" t="e">
        <f>VLOOKUP(VLOOKUP(B656,SuiteCatSubElem!$G$2:$G$667,2,0),'SXM Q4 18 W'!$A$32:$F$196,1+MATCH(VLOOKUP(A656,Personas!$A$2:$B$6,2,0),'SXM Q4 18 W'!$B$4:$F$4,0),0)</f>
        <v>#REF!</v>
      </c>
      <c r="E656">
        <v>1</v>
      </c>
      <c r="G656">
        <v>1</v>
      </c>
      <c r="H656">
        <v>9</v>
      </c>
    </row>
    <row r="657" spans="1:8">
      <c r="A657">
        <f t="shared" si="20"/>
        <v>3</v>
      </c>
      <c r="B657">
        <f t="shared" si="21"/>
        <v>527</v>
      </c>
      <c r="C657" s="128">
        <v>43101</v>
      </c>
      <c r="D657" s="25" t="e">
        <f>VLOOKUP(VLOOKUP(B657,SuiteCatSubElem!$G$2:$G$667,2,0),'SXM Q4 18 W'!$A$32:$F$196,1+MATCH(VLOOKUP(A657,Personas!$A$2:$B$6,2,0),'SXM Q4 18 W'!$B$4:$F$4,0),0)</f>
        <v>#REF!</v>
      </c>
      <c r="E657">
        <v>1</v>
      </c>
      <c r="G657">
        <v>1</v>
      </c>
      <c r="H657">
        <v>9</v>
      </c>
    </row>
    <row r="658" spans="1:8">
      <c r="A658">
        <f t="shared" si="20"/>
        <v>3</v>
      </c>
      <c r="B658">
        <f t="shared" si="21"/>
        <v>528</v>
      </c>
      <c r="C658" s="128">
        <v>43101</v>
      </c>
      <c r="D658" s="25" t="e">
        <f>VLOOKUP(VLOOKUP(B658,SuiteCatSubElem!$G$2:$G$667,2,0),'SXM Q4 18 W'!$A$32:$F$196,1+MATCH(VLOOKUP(A658,Personas!$A$2:$B$6,2,0),'SXM Q4 18 W'!$B$4:$F$4,0),0)</f>
        <v>#REF!</v>
      </c>
      <c r="E658">
        <v>1</v>
      </c>
      <c r="G658">
        <v>1</v>
      </c>
      <c r="H658">
        <v>9</v>
      </c>
    </row>
    <row r="659" spans="1:8">
      <c r="A659">
        <f t="shared" si="20"/>
        <v>3</v>
      </c>
      <c r="B659">
        <f t="shared" si="21"/>
        <v>529</v>
      </c>
      <c r="C659" s="128">
        <v>43101</v>
      </c>
      <c r="D659" s="25" t="e">
        <f>VLOOKUP(VLOOKUP(B659,SuiteCatSubElem!$G$2:$G$667,2,0),'SXM Q4 18 W'!$A$32:$F$196,1+MATCH(VLOOKUP(A659,Personas!$A$2:$B$6,2,0),'SXM Q4 18 W'!$B$4:$F$4,0),0)</f>
        <v>#REF!</v>
      </c>
      <c r="E659">
        <v>1</v>
      </c>
      <c r="G659">
        <v>1</v>
      </c>
      <c r="H659">
        <v>9</v>
      </c>
    </row>
    <row r="660" spans="1:8">
      <c r="A660">
        <f t="shared" si="20"/>
        <v>3</v>
      </c>
      <c r="B660">
        <f t="shared" si="21"/>
        <v>530</v>
      </c>
      <c r="C660" s="128">
        <v>43101</v>
      </c>
      <c r="D660" s="25" t="e">
        <f>VLOOKUP(VLOOKUP(B660,SuiteCatSubElem!$G$2:$G$667,2,0),'SXM Q4 18 W'!$A$32:$F$196,1+MATCH(VLOOKUP(A660,Personas!$A$2:$B$6,2,0),'SXM Q4 18 W'!$B$4:$F$4,0),0)</f>
        <v>#REF!</v>
      </c>
      <c r="E660">
        <v>1</v>
      </c>
      <c r="G660">
        <v>1</v>
      </c>
      <c r="H660">
        <v>9</v>
      </c>
    </row>
    <row r="661" spans="1:8">
      <c r="A661">
        <f t="shared" si="20"/>
        <v>3</v>
      </c>
      <c r="B661">
        <f t="shared" si="21"/>
        <v>531</v>
      </c>
      <c r="C661" s="128">
        <v>43101</v>
      </c>
      <c r="D661" s="25" t="e">
        <f>VLOOKUP(VLOOKUP(B661,SuiteCatSubElem!$G$2:$G$667,2,0),'SXM Q4 18 W'!$A$32:$F$196,1+MATCH(VLOOKUP(A661,Personas!$A$2:$B$6,2,0),'SXM Q4 18 W'!$B$4:$F$4,0),0)</f>
        <v>#REF!</v>
      </c>
      <c r="E661">
        <v>1</v>
      </c>
      <c r="G661">
        <v>1</v>
      </c>
      <c r="H661">
        <v>9</v>
      </c>
    </row>
    <row r="662" spans="1:8">
      <c r="A662">
        <f t="shared" si="20"/>
        <v>3</v>
      </c>
      <c r="B662">
        <f t="shared" si="21"/>
        <v>532</v>
      </c>
      <c r="C662" s="128">
        <v>43101</v>
      </c>
      <c r="D662" s="25" t="e">
        <f>VLOOKUP(VLOOKUP(B662,SuiteCatSubElem!$G$2:$G$667,2,0),'SXM Q4 18 W'!$A$32:$F$196,1+MATCH(VLOOKUP(A662,Personas!$A$2:$B$6,2,0),'SXM Q4 18 W'!$B$4:$F$4,0),0)</f>
        <v>#REF!</v>
      </c>
      <c r="E662">
        <v>1</v>
      </c>
      <c r="G662">
        <v>1</v>
      </c>
      <c r="H662">
        <v>9</v>
      </c>
    </row>
    <row r="663" spans="1:8">
      <c r="A663">
        <f t="shared" si="20"/>
        <v>3</v>
      </c>
      <c r="B663">
        <f t="shared" si="21"/>
        <v>533</v>
      </c>
      <c r="C663" s="128">
        <v>43101</v>
      </c>
      <c r="D663" s="25" t="e">
        <f>VLOOKUP(VLOOKUP(B663,SuiteCatSubElem!$G$2:$G$667,2,0),'SXM Q4 18 W'!$A$32:$F$196,1+MATCH(VLOOKUP(A663,Personas!$A$2:$B$6,2,0),'SXM Q4 18 W'!$B$4:$F$4,0),0)</f>
        <v>#REF!</v>
      </c>
      <c r="E663">
        <v>1</v>
      </c>
      <c r="G663">
        <v>1</v>
      </c>
      <c r="H663">
        <v>9</v>
      </c>
    </row>
    <row r="664" spans="1:8">
      <c r="A664">
        <f t="shared" si="20"/>
        <v>3</v>
      </c>
      <c r="B664">
        <f t="shared" si="21"/>
        <v>534</v>
      </c>
      <c r="C664" s="128">
        <v>43101</v>
      </c>
      <c r="D664" s="25" t="e">
        <f>VLOOKUP(VLOOKUP(B664,SuiteCatSubElem!$G$2:$G$667,2,0),'SXM Q4 18 W'!$A$32:$F$196,1+MATCH(VLOOKUP(A664,Personas!$A$2:$B$6,2,0),'SXM Q4 18 W'!$B$4:$F$4,0),0)</f>
        <v>#REF!</v>
      </c>
      <c r="E664">
        <v>1</v>
      </c>
      <c r="G664">
        <v>1</v>
      </c>
      <c r="H664">
        <v>9</v>
      </c>
    </row>
    <row r="665" spans="1:8">
      <c r="A665">
        <f t="shared" si="20"/>
        <v>3</v>
      </c>
      <c r="B665">
        <f t="shared" si="21"/>
        <v>535</v>
      </c>
      <c r="C665" s="128">
        <v>43101</v>
      </c>
      <c r="D665" s="25" t="e">
        <f>VLOOKUP(VLOOKUP(B665,SuiteCatSubElem!$G$2:$G$667,2,0),'SXM Q4 18 W'!$A$32:$F$196,1+MATCH(VLOOKUP(A665,Personas!$A$2:$B$6,2,0),'SXM Q4 18 W'!$B$4:$F$4,0),0)</f>
        <v>#REF!</v>
      </c>
      <c r="E665">
        <v>1</v>
      </c>
      <c r="G665">
        <v>1</v>
      </c>
      <c r="H665">
        <v>9</v>
      </c>
    </row>
    <row r="666" spans="1:8">
      <c r="A666">
        <f t="shared" si="20"/>
        <v>3</v>
      </c>
      <c r="B666">
        <f t="shared" si="21"/>
        <v>536</v>
      </c>
      <c r="C666" s="128">
        <v>43101</v>
      </c>
      <c r="D666" s="25" t="e">
        <f>VLOOKUP(VLOOKUP(B666,SuiteCatSubElem!$G$2:$G$667,2,0),'SXM Q4 18 W'!$A$32:$F$196,1+MATCH(VLOOKUP(A666,Personas!$A$2:$B$6,2,0),'SXM Q4 18 W'!$B$4:$F$4,0),0)</f>
        <v>#REF!</v>
      </c>
      <c r="E666">
        <v>1</v>
      </c>
      <c r="G666">
        <v>1</v>
      </c>
      <c r="H666">
        <v>9</v>
      </c>
    </row>
    <row r="667" spans="1:8">
      <c r="A667">
        <f t="shared" si="20"/>
        <v>3</v>
      </c>
      <c r="B667">
        <f t="shared" si="21"/>
        <v>537</v>
      </c>
      <c r="C667" s="128">
        <v>43101</v>
      </c>
      <c r="D667" s="25" t="e">
        <f>VLOOKUP(VLOOKUP(B667,SuiteCatSubElem!$G$2:$G$667,2,0),'SXM Q4 18 W'!$A$32:$F$196,1+MATCH(VLOOKUP(A667,Personas!$A$2:$B$6,2,0),'SXM Q4 18 W'!$B$4:$F$4,0),0)</f>
        <v>#REF!</v>
      </c>
      <c r="E667">
        <v>1</v>
      </c>
      <c r="G667">
        <v>1</v>
      </c>
      <c r="H667">
        <v>9</v>
      </c>
    </row>
    <row r="668" spans="1:8">
      <c r="A668">
        <f t="shared" si="20"/>
        <v>3</v>
      </c>
      <c r="B668">
        <f t="shared" si="21"/>
        <v>538</v>
      </c>
      <c r="C668" s="128">
        <v>43101</v>
      </c>
      <c r="D668" s="25" t="e">
        <f>VLOOKUP(VLOOKUP(B668,SuiteCatSubElem!$G$2:$G$667,2,0),'SXM Q4 18 W'!$A$32:$F$196,1+MATCH(VLOOKUP(A668,Personas!$A$2:$B$6,2,0),'SXM Q4 18 W'!$B$4:$F$4,0),0)</f>
        <v>#REF!</v>
      </c>
      <c r="E668">
        <v>1</v>
      </c>
      <c r="G668">
        <v>1</v>
      </c>
      <c r="H668">
        <v>9</v>
      </c>
    </row>
    <row r="669" spans="1:8">
      <c r="A669">
        <f t="shared" si="20"/>
        <v>3</v>
      </c>
      <c r="B669">
        <f t="shared" si="21"/>
        <v>539</v>
      </c>
      <c r="C669" s="128">
        <v>43101</v>
      </c>
      <c r="D669" s="25" t="e">
        <f>VLOOKUP(VLOOKUP(B669,SuiteCatSubElem!$G$2:$G$667,2,0),'SXM Q4 18 W'!$A$32:$F$196,1+MATCH(VLOOKUP(A669,Personas!$A$2:$B$6,2,0),'SXM Q4 18 W'!$B$4:$F$4,0),0)</f>
        <v>#REF!</v>
      </c>
      <c r="E669">
        <v>1</v>
      </c>
      <c r="G669">
        <v>1</v>
      </c>
      <c r="H669">
        <v>9</v>
      </c>
    </row>
    <row r="670" spans="1:8">
      <c r="A670">
        <f t="shared" si="20"/>
        <v>3</v>
      </c>
      <c r="B670">
        <f t="shared" si="21"/>
        <v>540</v>
      </c>
      <c r="C670" s="128">
        <v>43101</v>
      </c>
      <c r="D670" s="25" t="e">
        <f>VLOOKUP(VLOOKUP(B670,SuiteCatSubElem!$G$2:$G$667,2,0),'SXM Q4 18 W'!$A$32:$F$196,1+MATCH(VLOOKUP(A670,Personas!$A$2:$B$6,2,0),'SXM Q4 18 W'!$B$4:$F$4,0),0)</f>
        <v>#REF!</v>
      </c>
      <c r="E670">
        <v>1</v>
      </c>
      <c r="G670">
        <v>1</v>
      </c>
      <c r="H670">
        <v>9</v>
      </c>
    </row>
    <row r="671" spans="1:8">
      <c r="A671">
        <f t="shared" si="20"/>
        <v>3</v>
      </c>
      <c r="B671">
        <f t="shared" si="21"/>
        <v>541</v>
      </c>
      <c r="C671" s="128">
        <v>43101</v>
      </c>
      <c r="D671" s="25" t="e">
        <f>VLOOKUP(VLOOKUP(B671,SuiteCatSubElem!$G$2:$G$667,2,0),'SXM Q4 18 W'!$A$32:$F$196,1+MATCH(VLOOKUP(A671,Personas!$A$2:$B$6,2,0),'SXM Q4 18 W'!$B$4:$F$4,0),0)</f>
        <v>#REF!</v>
      </c>
      <c r="E671">
        <v>1</v>
      </c>
      <c r="G671">
        <v>1</v>
      </c>
      <c r="H671">
        <v>9</v>
      </c>
    </row>
    <row r="672" spans="1:8">
      <c r="A672">
        <f t="shared" si="20"/>
        <v>3</v>
      </c>
      <c r="B672">
        <f t="shared" si="21"/>
        <v>542</v>
      </c>
      <c r="C672" s="128">
        <v>43101</v>
      </c>
      <c r="D672" s="25" t="e">
        <f>VLOOKUP(VLOOKUP(B672,SuiteCatSubElem!$G$2:$G$667,2,0),'SXM Q4 18 W'!$A$32:$F$196,1+MATCH(VLOOKUP(A672,Personas!$A$2:$B$6,2,0),'SXM Q4 18 W'!$B$4:$F$4,0),0)</f>
        <v>#REF!</v>
      </c>
      <c r="E672">
        <v>1</v>
      </c>
      <c r="G672">
        <v>1</v>
      </c>
      <c r="H672">
        <v>9</v>
      </c>
    </row>
    <row r="673" spans="1:8">
      <c r="A673">
        <f t="shared" si="20"/>
        <v>3</v>
      </c>
      <c r="B673">
        <f t="shared" si="21"/>
        <v>543</v>
      </c>
      <c r="C673" s="128">
        <v>43101</v>
      </c>
      <c r="D673" s="25" t="e">
        <f>VLOOKUP(VLOOKUP(B673,SuiteCatSubElem!$G$2:$G$667,2,0),'SXM Q4 18 W'!$A$32:$F$196,1+MATCH(VLOOKUP(A673,Personas!$A$2:$B$6,2,0),'SXM Q4 18 W'!$B$4:$F$4,0),0)</f>
        <v>#REF!</v>
      </c>
      <c r="E673">
        <v>1</v>
      </c>
      <c r="G673">
        <v>1</v>
      </c>
      <c r="H673">
        <v>9</v>
      </c>
    </row>
    <row r="674" spans="1:8">
      <c r="A674">
        <f t="shared" si="20"/>
        <v>3</v>
      </c>
      <c r="B674">
        <f t="shared" si="21"/>
        <v>544</v>
      </c>
      <c r="C674" s="128">
        <v>43101</v>
      </c>
      <c r="D674" s="25" t="e">
        <f>VLOOKUP(VLOOKUP(B674,SuiteCatSubElem!$G$2:$G$667,2,0),'SXM Q4 18 W'!$A$32:$F$196,1+MATCH(VLOOKUP(A674,Personas!$A$2:$B$6,2,0),'SXM Q4 18 W'!$B$4:$F$4,0),0)</f>
        <v>#REF!</v>
      </c>
      <c r="E674">
        <v>1</v>
      </c>
      <c r="G674">
        <v>1</v>
      </c>
      <c r="H674">
        <v>9</v>
      </c>
    </row>
    <row r="675" spans="1:8">
      <c r="A675">
        <f t="shared" si="20"/>
        <v>3</v>
      </c>
      <c r="B675">
        <f t="shared" si="21"/>
        <v>545</v>
      </c>
      <c r="C675" s="128">
        <v>43101</v>
      </c>
      <c r="D675" s="25" t="e">
        <f>VLOOKUP(VLOOKUP(B675,SuiteCatSubElem!$G$2:$G$667,2,0),'SXM Q4 18 W'!$A$32:$F$196,1+MATCH(VLOOKUP(A675,Personas!$A$2:$B$6,2,0),'SXM Q4 18 W'!$B$4:$F$4,0),0)</f>
        <v>#REF!</v>
      </c>
      <c r="E675">
        <v>1</v>
      </c>
      <c r="G675">
        <v>1</v>
      </c>
      <c r="H675">
        <v>9</v>
      </c>
    </row>
    <row r="676" spans="1:8">
      <c r="A676">
        <f t="shared" si="20"/>
        <v>3</v>
      </c>
      <c r="B676">
        <f t="shared" si="21"/>
        <v>546</v>
      </c>
      <c r="C676" s="128">
        <v>43101</v>
      </c>
      <c r="D676" s="25" t="e">
        <f>VLOOKUP(VLOOKUP(B676,SuiteCatSubElem!$G$2:$G$667,2,0),'SXM Q4 18 W'!$A$32:$F$196,1+MATCH(VLOOKUP(A676,Personas!$A$2:$B$6,2,0),'SXM Q4 18 W'!$B$4:$F$4,0),0)</f>
        <v>#REF!</v>
      </c>
      <c r="E676">
        <v>1</v>
      </c>
      <c r="G676">
        <v>1</v>
      </c>
      <c r="H676">
        <v>9</v>
      </c>
    </row>
    <row r="677" spans="1:8">
      <c r="A677">
        <f t="shared" si="20"/>
        <v>3</v>
      </c>
      <c r="B677">
        <f t="shared" si="21"/>
        <v>547</v>
      </c>
      <c r="C677" s="128">
        <v>43101</v>
      </c>
      <c r="D677" s="25" t="e">
        <f>VLOOKUP(VLOOKUP(B677,SuiteCatSubElem!$G$2:$G$667,2,0),'SXM Q4 18 W'!$A$32:$F$196,1+MATCH(VLOOKUP(A677,Personas!$A$2:$B$6,2,0),'SXM Q4 18 W'!$B$4:$F$4,0),0)</f>
        <v>#REF!</v>
      </c>
      <c r="E677">
        <v>1</v>
      </c>
      <c r="G677">
        <v>1</v>
      </c>
      <c r="H677">
        <v>9</v>
      </c>
    </row>
    <row r="678" spans="1:8">
      <c r="A678">
        <f t="shared" si="20"/>
        <v>3</v>
      </c>
      <c r="B678">
        <f t="shared" si="21"/>
        <v>548</v>
      </c>
      <c r="C678" s="128">
        <v>43101</v>
      </c>
      <c r="D678" s="25" t="e">
        <f>VLOOKUP(VLOOKUP(B678,SuiteCatSubElem!$G$2:$G$667,2,0),'SXM Q4 18 W'!$A$32:$F$196,1+MATCH(VLOOKUP(A678,Personas!$A$2:$B$6,2,0),'SXM Q4 18 W'!$B$4:$F$4,0),0)</f>
        <v>#REF!</v>
      </c>
      <c r="E678">
        <v>1</v>
      </c>
      <c r="G678">
        <v>1</v>
      </c>
      <c r="H678">
        <v>9</v>
      </c>
    </row>
    <row r="679" spans="1:8">
      <c r="A679">
        <f t="shared" si="20"/>
        <v>3</v>
      </c>
      <c r="B679">
        <f t="shared" si="21"/>
        <v>549</v>
      </c>
      <c r="C679" s="128">
        <v>43101</v>
      </c>
      <c r="D679" s="25" t="e">
        <f>VLOOKUP(VLOOKUP(B679,SuiteCatSubElem!$G$2:$G$667,2,0),'SXM Q4 18 W'!$A$32:$F$196,1+MATCH(VLOOKUP(A679,Personas!$A$2:$B$6,2,0),'SXM Q4 18 W'!$B$4:$F$4,0),0)</f>
        <v>#REF!</v>
      </c>
      <c r="E679">
        <v>1</v>
      </c>
      <c r="G679">
        <v>1</v>
      </c>
      <c r="H679">
        <v>9</v>
      </c>
    </row>
    <row r="680" spans="1:8">
      <c r="A680">
        <f t="shared" si="20"/>
        <v>3</v>
      </c>
      <c r="B680">
        <f t="shared" si="21"/>
        <v>550</v>
      </c>
      <c r="C680" s="128">
        <v>43101</v>
      </c>
      <c r="D680" s="25" t="e">
        <f>VLOOKUP(VLOOKUP(B680,SuiteCatSubElem!$G$2:$G$667,2,0),'SXM Q4 18 W'!$A$32:$F$196,1+MATCH(VLOOKUP(A680,Personas!$A$2:$B$6,2,0),'SXM Q4 18 W'!$B$4:$F$4,0),0)</f>
        <v>#REF!</v>
      </c>
      <c r="E680">
        <v>1</v>
      </c>
      <c r="G680">
        <v>1</v>
      </c>
      <c r="H680">
        <v>9</v>
      </c>
    </row>
    <row r="681" spans="1:8">
      <c r="A681">
        <f t="shared" si="20"/>
        <v>3</v>
      </c>
      <c r="B681">
        <f t="shared" si="21"/>
        <v>551</v>
      </c>
      <c r="C681" s="128">
        <v>43101</v>
      </c>
      <c r="D681" s="25" t="e">
        <f>VLOOKUP(VLOOKUP(B681,SuiteCatSubElem!$G$2:$G$667,2,0),'SXM Q4 18 W'!$A$32:$F$196,1+MATCH(VLOOKUP(A681,Personas!$A$2:$B$6,2,0),'SXM Q4 18 W'!$B$4:$F$4,0),0)</f>
        <v>#REF!</v>
      </c>
      <c r="E681">
        <v>1</v>
      </c>
      <c r="G681">
        <v>1</v>
      </c>
      <c r="H681">
        <v>9</v>
      </c>
    </row>
    <row r="682" spans="1:8">
      <c r="A682">
        <f t="shared" si="20"/>
        <v>3</v>
      </c>
      <c r="B682">
        <f t="shared" si="21"/>
        <v>552</v>
      </c>
      <c r="C682" s="128">
        <v>43101</v>
      </c>
      <c r="D682" s="25" t="e">
        <f>VLOOKUP(VLOOKUP(B682,SuiteCatSubElem!$G$2:$G$667,2,0),'SXM Q4 18 W'!$A$32:$F$196,1+MATCH(VLOOKUP(A682,Personas!$A$2:$B$6,2,0),'SXM Q4 18 W'!$B$4:$F$4,0),0)</f>
        <v>#REF!</v>
      </c>
      <c r="E682">
        <v>1</v>
      </c>
      <c r="G682">
        <v>1</v>
      </c>
      <c r="H682">
        <v>9</v>
      </c>
    </row>
    <row r="683" spans="1:8">
      <c r="A683">
        <f t="shared" si="20"/>
        <v>3</v>
      </c>
      <c r="B683">
        <f t="shared" si="21"/>
        <v>553</v>
      </c>
      <c r="C683" s="128">
        <v>43101</v>
      </c>
      <c r="D683" s="25" t="e">
        <f>VLOOKUP(VLOOKUP(B683,SuiteCatSubElem!$G$2:$G$667,2,0),'SXM Q4 18 W'!$A$32:$F$196,1+MATCH(VLOOKUP(A683,Personas!$A$2:$B$6,2,0),'SXM Q4 18 W'!$B$4:$F$4,0),0)</f>
        <v>#REF!</v>
      </c>
      <c r="E683">
        <v>1</v>
      </c>
      <c r="G683">
        <v>1</v>
      </c>
      <c r="H683">
        <v>9</v>
      </c>
    </row>
    <row r="684" spans="1:8">
      <c r="A684">
        <f t="shared" si="20"/>
        <v>3</v>
      </c>
      <c r="B684">
        <f t="shared" si="21"/>
        <v>554</v>
      </c>
      <c r="C684" s="128">
        <v>43101</v>
      </c>
      <c r="D684" s="25" t="e">
        <f>VLOOKUP(VLOOKUP(B684,SuiteCatSubElem!$G$2:$G$667,2,0),'SXM Q4 18 W'!$A$32:$F$196,1+MATCH(VLOOKUP(A684,Personas!$A$2:$B$6,2,0),'SXM Q4 18 W'!$B$4:$F$4,0),0)</f>
        <v>#REF!</v>
      </c>
      <c r="E684">
        <v>1</v>
      </c>
      <c r="G684">
        <v>1</v>
      </c>
      <c r="H684">
        <v>9</v>
      </c>
    </row>
    <row r="685" spans="1:8">
      <c r="A685">
        <f t="shared" si="20"/>
        <v>3</v>
      </c>
      <c r="B685">
        <f t="shared" si="21"/>
        <v>555</v>
      </c>
      <c r="C685" s="128">
        <v>43101</v>
      </c>
      <c r="D685" s="25" t="e">
        <f>VLOOKUP(VLOOKUP(B685,SuiteCatSubElem!$G$2:$G$667,2,0),'SXM Q4 18 W'!$A$32:$F$196,1+MATCH(VLOOKUP(A685,Personas!$A$2:$B$6,2,0),'SXM Q4 18 W'!$B$4:$F$4,0),0)</f>
        <v>#REF!</v>
      </c>
      <c r="E685">
        <v>1</v>
      </c>
      <c r="G685">
        <v>1</v>
      </c>
      <c r="H685">
        <v>9</v>
      </c>
    </row>
    <row r="686" spans="1:8">
      <c r="A686">
        <f t="shared" si="20"/>
        <v>3</v>
      </c>
      <c r="B686">
        <f t="shared" si="21"/>
        <v>556</v>
      </c>
      <c r="C686" s="128">
        <v>43101</v>
      </c>
      <c r="D686" s="25" t="e">
        <f>VLOOKUP(VLOOKUP(B686,SuiteCatSubElem!$G$2:$G$667,2,0),'SXM Q4 18 W'!$A$32:$F$196,1+MATCH(VLOOKUP(A686,Personas!$A$2:$B$6,2,0),'SXM Q4 18 W'!$B$4:$F$4,0),0)</f>
        <v>#REF!</v>
      </c>
      <c r="E686">
        <v>1</v>
      </c>
      <c r="G686">
        <v>1</v>
      </c>
      <c r="H686">
        <v>9</v>
      </c>
    </row>
    <row r="687" spans="1:8">
      <c r="A687">
        <f t="shared" si="20"/>
        <v>3</v>
      </c>
      <c r="B687">
        <f t="shared" si="21"/>
        <v>557</v>
      </c>
      <c r="C687" s="128">
        <v>43101</v>
      </c>
      <c r="D687" s="25" t="e">
        <f>VLOOKUP(VLOOKUP(B687,SuiteCatSubElem!$G$2:$G$667,2,0),'SXM Q4 18 W'!$A$32:$F$196,1+MATCH(VLOOKUP(A687,Personas!$A$2:$B$6,2,0),'SXM Q4 18 W'!$B$4:$F$4,0),0)</f>
        <v>#REF!</v>
      </c>
      <c r="E687">
        <v>1</v>
      </c>
      <c r="G687">
        <v>1</v>
      </c>
      <c r="H687">
        <v>9</v>
      </c>
    </row>
    <row r="688" spans="1:8">
      <c r="A688">
        <f t="shared" si="20"/>
        <v>3</v>
      </c>
      <c r="B688">
        <f t="shared" si="21"/>
        <v>558</v>
      </c>
      <c r="C688" s="128">
        <v>43101</v>
      </c>
      <c r="D688" s="25" t="e">
        <f>VLOOKUP(VLOOKUP(B688,SuiteCatSubElem!$G$2:$G$667,2,0),'SXM Q4 18 W'!$A$32:$F$196,1+MATCH(VLOOKUP(A688,Personas!$A$2:$B$6,2,0),'SXM Q4 18 W'!$B$4:$F$4,0),0)</f>
        <v>#REF!</v>
      </c>
      <c r="E688">
        <v>1</v>
      </c>
      <c r="G688">
        <v>1</v>
      </c>
      <c r="H688">
        <v>9</v>
      </c>
    </row>
    <row r="689" spans="1:8">
      <c r="A689">
        <f t="shared" si="20"/>
        <v>3</v>
      </c>
      <c r="B689">
        <f t="shared" si="21"/>
        <v>559</v>
      </c>
      <c r="C689" s="128">
        <v>43101</v>
      </c>
      <c r="D689" s="25" t="e">
        <f>VLOOKUP(VLOOKUP(B689,SuiteCatSubElem!$G$2:$G$667,2,0),'SXM Q4 18 W'!$A$32:$F$196,1+MATCH(VLOOKUP(A689,Personas!$A$2:$B$6,2,0),'SXM Q4 18 W'!$B$4:$F$4,0),0)</f>
        <v>#REF!</v>
      </c>
      <c r="E689">
        <v>1</v>
      </c>
      <c r="G689">
        <v>1</v>
      </c>
      <c r="H689">
        <v>9</v>
      </c>
    </row>
    <row r="690" spans="1:8">
      <c r="A690">
        <f t="shared" si="20"/>
        <v>3</v>
      </c>
      <c r="B690">
        <f t="shared" si="21"/>
        <v>560</v>
      </c>
      <c r="C690" s="128">
        <v>43101</v>
      </c>
      <c r="D690" s="25" t="e">
        <f>VLOOKUP(VLOOKUP(B690,SuiteCatSubElem!$G$2:$G$667,2,0),'SXM Q4 18 W'!$A$32:$F$196,1+MATCH(VLOOKUP(A690,Personas!$A$2:$B$6,2,0),'SXM Q4 18 W'!$B$4:$F$4,0),0)</f>
        <v>#REF!</v>
      </c>
      <c r="E690">
        <v>1</v>
      </c>
      <c r="G690">
        <v>1</v>
      </c>
      <c r="H690">
        <v>9</v>
      </c>
    </row>
    <row r="691" spans="1:8">
      <c r="A691">
        <f t="shared" si="20"/>
        <v>3</v>
      </c>
      <c r="B691">
        <f t="shared" si="21"/>
        <v>561</v>
      </c>
      <c r="C691" s="128">
        <v>43101</v>
      </c>
      <c r="D691" s="25" t="e">
        <f>VLOOKUP(VLOOKUP(B691,SuiteCatSubElem!$G$2:$G$667,2,0),'SXM Q4 18 W'!$A$32:$F$196,1+MATCH(VLOOKUP(A691,Personas!$A$2:$B$6,2,0),'SXM Q4 18 W'!$B$4:$F$4,0),0)</f>
        <v>#REF!</v>
      </c>
      <c r="E691">
        <v>1</v>
      </c>
      <c r="G691">
        <v>1</v>
      </c>
      <c r="H691">
        <v>9</v>
      </c>
    </row>
    <row r="692" spans="1:8">
      <c r="A692">
        <f t="shared" si="20"/>
        <v>3</v>
      </c>
      <c r="B692">
        <f t="shared" si="21"/>
        <v>562</v>
      </c>
      <c r="C692" s="128">
        <v>43101</v>
      </c>
      <c r="D692" s="25" t="e">
        <f>VLOOKUP(VLOOKUP(B692,SuiteCatSubElem!$G$2:$G$667,2,0),'SXM Q4 18 W'!$A$32:$F$196,1+MATCH(VLOOKUP(A692,Personas!$A$2:$B$6,2,0),'SXM Q4 18 W'!$B$4:$F$4,0),0)</f>
        <v>#REF!</v>
      </c>
      <c r="E692">
        <v>1</v>
      </c>
      <c r="G692">
        <v>1</v>
      </c>
      <c r="H692">
        <v>9</v>
      </c>
    </row>
    <row r="693" spans="1:8">
      <c r="A693">
        <f t="shared" si="20"/>
        <v>3</v>
      </c>
      <c r="B693">
        <f t="shared" si="21"/>
        <v>563</v>
      </c>
      <c r="C693" s="128">
        <v>43101</v>
      </c>
      <c r="D693" s="25" t="e">
        <f>VLOOKUP(VLOOKUP(B693,SuiteCatSubElem!$G$2:$G$667,2,0),'SXM Q4 18 W'!$A$32:$F$196,1+MATCH(VLOOKUP(A693,Personas!$A$2:$B$6,2,0),'SXM Q4 18 W'!$B$4:$F$4,0),0)</f>
        <v>#REF!</v>
      </c>
      <c r="E693">
        <v>1</v>
      </c>
      <c r="G693">
        <v>1</v>
      </c>
      <c r="H693">
        <v>9</v>
      </c>
    </row>
    <row r="694" spans="1:8">
      <c r="A694">
        <f t="shared" si="20"/>
        <v>3</v>
      </c>
      <c r="B694">
        <f t="shared" si="21"/>
        <v>564</v>
      </c>
      <c r="C694" s="128">
        <v>43101</v>
      </c>
      <c r="D694" s="25" t="e">
        <f>VLOOKUP(VLOOKUP(B694,SuiteCatSubElem!$G$2:$G$667,2,0),'SXM Q4 18 W'!$A$32:$F$196,1+MATCH(VLOOKUP(A694,Personas!$A$2:$B$6,2,0),'SXM Q4 18 W'!$B$4:$F$4,0),0)</f>
        <v>#REF!</v>
      </c>
      <c r="E694">
        <v>1</v>
      </c>
      <c r="G694">
        <v>1</v>
      </c>
      <c r="H694">
        <v>9</v>
      </c>
    </row>
    <row r="695" spans="1:8">
      <c r="A695">
        <f t="shared" si="20"/>
        <v>3</v>
      </c>
      <c r="B695">
        <f t="shared" si="21"/>
        <v>565</v>
      </c>
      <c r="C695" s="128">
        <v>43101</v>
      </c>
      <c r="D695" s="25" t="e">
        <f>VLOOKUP(VLOOKUP(B695,SuiteCatSubElem!$G$2:$G$667,2,0),'SXM Q4 18 W'!$A$32:$F$196,1+MATCH(VLOOKUP(A695,Personas!$A$2:$B$6,2,0),'SXM Q4 18 W'!$B$4:$F$4,0),0)</f>
        <v>#REF!</v>
      </c>
      <c r="E695">
        <v>1</v>
      </c>
      <c r="G695">
        <v>1</v>
      </c>
      <c r="H695">
        <v>9</v>
      </c>
    </row>
    <row r="696" spans="1:8">
      <c r="A696">
        <f t="shared" si="20"/>
        <v>3</v>
      </c>
      <c r="B696">
        <f t="shared" si="21"/>
        <v>566</v>
      </c>
      <c r="C696" s="128">
        <v>43101</v>
      </c>
      <c r="D696" s="25" t="e">
        <f>VLOOKUP(VLOOKUP(B696,SuiteCatSubElem!$G$2:$G$667,2,0),'SXM Q4 18 W'!$A$32:$F$196,1+MATCH(VLOOKUP(A696,Personas!$A$2:$B$6,2,0),'SXM Q4 18 W'!$B$4:$F$4,0),0)</f>
        <v>#REF!</v>
      </c>
      <c r="E696">
        <v>1</v>
      </c>
      <c r="G696">
        <v>1</v>
      </c>
      <c r="H696">
        <v>9</v>
      </c>
    </row>
    <row r="697" spans="1:8">
      <c r="A697">
        <f t="shared" si="20"/>
        <v>3</v>
      </c>
      <c r="B697">
        <f t="shared" si="21"/>
        <v>567</v>
      </c>
      <c r="C697" s="128">
        <v>43101</v>
      </c>
      <c r="D697" s="25" t="e">
        <f>VLOOKUP(VLOOKUP(B697,SuiteCatSubElem!$G$2:$G$667,2,0),'SXM Q4 18 W'!$A$32:$F$196,1+MATCH(VLOOKUP(A697,Personas!$A$2:$B$6,2,0),'SXM Q4 18 W'!$B$4:$F$4,0),0)</f>
        <v>#REF!</v>
      </c>
      <c r="E697">
        <v>1</v>
      </c>
      <c r="G697">
        <v>1</v>
      </c>
      <c r="H697">
        <v>9</v>
      </c>
    </row>
    <row r="698" spans="1:8">
      <c r="A698">
        <f t="shared" si="20"/>
        <v>3</v>
      </c>
      <c r="B698">
        <f t="shared" si="21"/>
        <v>568</v>
      </c>
      <c r="C698" s="128">
        <v>43101</v>
      </c>
      <c r="D698" s="25" t="e">
        <f>VLOOKUP(VLOOKUP(B698,SuiteCatSubElem!$G$2:$G$667,2,0),'SXM Q4 18 W'!$A$32:$F$196,1+MATCH(VLOOKUP(A698,Personas!$A$2:$B$6,2,0),'SXM Q4 18 W'!$B$4:$F$4,0),0)</f>
        <v>#REF!</v>
      </c>
      <c r="E698">
        <v>1</v>
      </c>
      <c r="G698">
        <v>1</v>
      </c>
      <c r="H698">
        <v>9</v>
      </c>
    </row>
    <row r="699" spans="1:8">
      <c r="A699">
        <f t="shared" si="20"/>
        <v>3</v>
      </c>
      <c r="B699">
        <f t="shared" si="21"/>
        <v>569</v>
      </c>
      <c r="C699" s="128">
        <v>43101</v>
      </c>
      <c r="D699" s="25" t="e">
        <f>VLOOKUP(VLOOKUP(B699,SuiteCatSubElem!$G$2:$G$667,2,0),'SXM Q4 18 W'!$A$32:$F$196,1+MATCH(VLOOKUP(A699,Personas!$A$2:$B$6,2,0),'SXM Q4 18 W'!$B$4:$F$4,0),0)</f>
        <v>#REF!</v>
      </c>
      <c r="E699">
        <v>1</v>
      </c>
      <c r="G699">
        <v>1</v>
      </c>
      <c r="H699">
        <v>9</v>
      </c>
    </row>
    <row r="700" spans="1:8">
      <c r="A700">
        <f t="shared" si="20"/>
        <v>3</v>
      </c>
      <c r="B700">
        <f t="shared" si="21"/>
        <v>570</v>
      </c>
      <c r="C700" s="128">
        <v>43101</v>
      </c>
      <c r="D700" s="25" t="e">
        <f>VLOOKUP(VLOOKUP(B700,SuiteCatSubElem!$G$2:$G$667,2,0),'SXM Q4 18 W'!$A$32:$F$196,1+MATCH(VLOOKUP(A700,Personas!$A$2:$B$6,2,0),'SXM Q4 18 W'!$B$4:$F$4,0),0)</f>
        <v>#REF!</v>
      </c>
      <c r="E700">
        <v>1</v>
      </c>
      <c r="G700">
        <v>1</v>
      </c>
      <c r="H700">
        <v>9</v>
      </c>
    </row>
    <row r="701" spans="1:8">
      <c r="A701">
        <f t="shared" si="20"/>
        <v>3</v>
      </c>
      <c r="B701">
        <f t="shared" si="21"/>
        <v>571</v>
      </c>
      <c r="C701" s="128">
        <v>43101</v>
      </c>
      <c r="D701" s="25" t="e">
        <f>VLOOKUP(VLOOKUP(B701,SuiteCatSubElem!$G$2:$G$667,2,0),'SXM Q4 18 W'!$A$32:$F$196,1+MATCH(VLOOKUP(A701,Personas!$A$2:$B$6,2,0),'SXM Q4 18 W'!$B$4:$F$4,0),0)</f>
        <v>#REF!</v>
      </c>
      <c r="E701">
        <v>1</v>
      </c>
      <c r="G701">
        <v>1</v>
      </c>
      <c r="H701">
        <v>9</v>
      </c>
    </row>
    <row r="702" spans="1:8">
      <c r="A702">
        <f t="shared" si="20"/>
        <v>3</v>
      </c>
      <c r="B702">
        <f t="shared" si="21"/>
        <v>572</v>
      </c>
      <c r="C702" s="128">
        <v>43101</v>
      </c>
      <c r="D702" s="25" t="e">
        <f>VLOOKUP(VLOOKUP(B702,SuiteCatSubElem!$G$2:$G$667,2,0),'SXM Q4 18 W'!$A$32:$F$196,1+MATCH(VLOOKUP(A702,Personas!$A$2:$B$6,2,0),'SXM Q4 18 W'!$B$4:$F$4,0),0)</f>
        <v>#REF!</v>
      </c>
      <c r="E702">
        <v>1</v>
      </c>
      <c r="G702">
        <v>1</v>
      </c>
      <c r="H702">
        <v>9</v>
      </c>
    </row>
    <row r="703" spans="1:8">
      <c r="A703">
        <f t="shared" si="20"/>
        <v>3</v>
      </c>
      <c r="B703">
        <f t="shared" si="21"/>
        <v>573</v>
      </c>
      <c r="C703" s="128">
        <v>43101</v>
      </c>
      <c r="D703" s="25" t="e">
        <f>VLOOKUP(VLOOKUP(B703,SuiteCatSubElem!$G$2:$G$667,2,0),'SXM Q4 18 W'!$A$32:$F$196,1+MATCH(VLOOKUP(A703,Personas!$A$2:$B$6,2,0),'SXM Q4 18 W'!$B$4:$F$4,0),0)</f>
        <v>#REF!</v>
      </c>
      <c r="E703">
        <v>1</v>
      </c>
      <c r="G703">
        <v>1</v>
      </c>
      <c r="H703">
        <v>9</v>
      </c>
    </row>
    <row r="704" spans="1:8">
      <c r="A704">
        <f t="shared" si="20"/>
        <v>3</v>
      </c>
      <c r="B704">
        <f t="shared" si="21"/>
        <v>574</v>
      </c>
      <c r="C704" s="128">
        <v>43101</v>
      </c>
      <c r="D704" s="25" t="e">
        <f>VLOOKUP(VLOOKUP(B704,SuiteCatSubElem!$G$2:$G$667,2,0),'SXM Q4 18 W'!$A$32:$F$196,1+MATCH(VLOOKUP(A704,Personas!$A$2:$B$6,2,0),'SXM Q4 18 W'!$B$4:$F$4,0),0)</f>
        <v>#REF!</v>
      </c>
      <c r="E704">
        <v>1</v>
      </c>
      <c r="G704">
        <v>1</v>
      </c>
      <c r="H704">
        <v>9</v>
      </c>
    </row>
    <row r="705" spans="1:8">
      <c r="A705">
        <f t="shared" si="20"/>
        <v>3</v>
      </c>
      <c r="B705">
        <f t="shared" si="21"/>
        <v>575</v>
      </c>
      <c r="C705" s="128">
        <v>43101</v>
      </c>
      <c r="D705" s="25" t="e">
        <f>VLOOKUP(VLOOKUP(B705,SuiteCatSubElem!$G$2:$G$667,2,0),'SXM Q4 18 W'!$A$32:$F$196,1+MATCH(VLOOKUP(A705,Personas!$A$2:$B$6,2,0),'SXM Q4 18 W'!$B$4:$F$4,0),0)</f>
        <v>#REF!</v>
      </c>
      <c r="E705">
        <v>1</v>
      </c>
      <c r="G705">
        <v>1</v>
      </c>
      <c r="H705">
        <v>9</v>
      </c>
    </row>
    <row r="706" spans="1:8">
      <c r="A706">
        <f t="shared" si="20"/>
        <v>3</v>
      </c>
      <c r="B706">
        <f t="shared" si="21"/>
        <v>576</v>
      </c>
      <c r="C706" s="128">
        <v>43101</v>
      </c>
      <c r="D706" s="25" t="e">
        <f>VLOOKUP(VLOOKUP(B706,SuiteCatSubElem!$G$2:$G$667,2,0),'SXM Q4 18 W'!$A$32:$F$196,1+MATCH(VLOOKUP(A706,Personas!$A$2:$B$6,2,0),'SXM Q4 18 W'!$B$4:$F$4,0),0)</f>
        <v>#REF!</v>
      </c>
      <c r="E706">
        <v>1</v>
      </c>
      <c r="G706">
        <v>1</v>
      </c>
      <c r="H706">
        <v>9</v>
      </c>
    </row>
    <row r="707" spans="1:8">
      <c r="A707">
        <f t="shared" si="20"/>
        <v>3</v>
      </c>
      <c r="B707">
        <f t="shared" si="21"/>
        <v>577</v>
      </c>
      <c r="C707" s="128">
        <v>43101</v>
      </c>
      <c r="D707" s="25" t="e">
        <f>VLOOKUP(VLOOKUP(B707,SuiteCatSubElem!$G$2:$G$667,2,0),'SXM Q4 18 W'!$A$32:$F$196,1+MATCH(VLOOKUP(A707,Personas!$A$2:$B$6,2,0),'SXM Q4 18 W'!$B$4:$F$4,0),0)</f>
        <v>#REF!</v>
      </c>
      <c r="E707">
        <v>1</v>
      </c>
      <c r="G707">
        <v>1</v>
      </c>
      <c r="H707">
        <v>9</v>
      </c>
    </row>
    <row r="708" spans="1:8">
      <c r="A708">
        <f>A607+1</f>
        <v>3</v>
      </c>
      <c r="B708">
        <f>B607</f>
        <v>578</v>
      </c>
      <c r="C708" s="128">
        <v>43101</v>
      </c>
      <c r="D708" s="25" t="e">
        <f>VLOOKUP(VLOOKUP(B708,SuiteCatSubElem!$G$2:$G$667,2,0),'SXM Q4 18 W'!$A$32:$F$196,1+MATCH(VLOOKUP(A708,Personas!$A$2:$B$6,2,0),'SXM Q4 18 W'!$B$4:$F$4,0),0)</f>
        <v>#REF!</v>
      </c>
      <c r="E708">
        <v>1</v>
      </c>
      <c r="G708">
        <v>1</v>
      </c>
      <c r="H708">
        <v>9</v>
      </c>
    </row>
    <row r="709" spans="1:8">
      <c r="A709">
        <f t="shared" ref="A709:A772" si="22">A608+1</f>
        <v>3</v>
      </c>
      <c r="B709">
        <f t="shared" ref="B709:B772" si="23">B608</f>
        <v>579</v>
      </c>
      <c r="C709" s="128">
        <v>43101</v>
      </c>
      <c r="D709" s="25" t="e">
        <f>VLOOKUP(VLOOKUP(B709,SuiteCatSubElem!$G$2:$G$667,2,0),'SXM Q4 18 W'!$A$32:$F$196,1+MATCH(VLOOKUP(A709,Personas!$A$2:$B$6,2,0),'SXM Q4 18 W'!$B$4:$F$4,0),0)</f>
        <v>#REF!</v>
      </c>
      <c r="E709">
        <v>1</v>
      </c>
      <c r="G709">
        <v>1</v>
      </c>
      <c r="H709">
        <v>9</v>
      </c>
    </row>
    <row r="710" spans="1:8">
      <c r="A710">
        <f t="shared" si="22"/>
        <v>3</v>
      </c>
      <c r="B710">
        <f t="shared" si="23"/>
        <v>580</v>
      </c>
      <c r="C710" s="128">
        <v>43101</v>
      </c>
      <c r="D710" s="25" t="e">
        <f>VLOOKUP(VLOOKUP(B710,SuiteCatSubElem!$G$2:$G$667,2,0),'SXM Q4 18 W'!$A$32:$F$196,1+MATCH(VLOOKUP(A710,Personas!$A$2:$B$6,2,0),'SXM Q4 18 W'!$B$4:$F$4,0),0)</f>
        <v>#REF!</v>
      </c>
      <c r="E710">
        <v>1</v>
      </c>
      <c r="G710">
        <v>1</v>
      </c>
      <c r="H710">
        <v>9</v>
      </c>
    </row>
    <row r="711" spans="1:8">
      <c r="A711">
        <f t="shared" si="22"/>
        <v>3</v>
      </c>
      <c r="B711">
        <f t="shared" si="23"/>
        <v>581</v>
      </c>
      <c r="C711" s="128">
        <v>43101</v>
      </c>
      <c r="D711" s="25" t="e">
        <f>VLOOKUP(VLOOKUP(B711,SuiteCatSubElem!$G$2:$G$667,2,0),'SXM Q4 18 W'!$A$32:$F$196,1+MATCH(VLOOKUP(A711,Personas!$A$2:$B$6,2,0),'SXM Q4 18 W'!$B$4:$F$4,0),0)</f>
        <v>#REF!</v>
      </c>
      <c r="E711">
        <v>1</v>
      </c>
      <c r="G711">
        <v>1</v>
      </c>
      <c r="H711">
        <v>9</v>
      </c>
    </row>
    <row r="712" spans="1:8">
      <c r="A712">
        <f t="shared" si="22"/>
        <v>3</v>
      </c>
      <c r="B712">
        <f t="shared" si="23"/>
        <v>582</v>
      </c>
      <c r="C712" s="128">
        <v>43101</v>
      </c>
      <c r="D712" s="25" t="e">
        <f>VLOOKUP(VLOOKUP(B712,SuiteCatSubElem!$G$2:$G$667,2,0),'SXM Q4 18 W'!$A$32:$F$196,1+MATCH(VLOOKUP(A712,Personas!$A$2:$B$6,2,0),'SXM Q4 18 W'!$B$4:$F$4,0),0)</f>
        <v>#REF!</v>
      </c>
      <c r="E712">
        <v>1</v>
      </c>
      <c r="G712">
        <v>1</v>
      </c>
      <c r="H712">
        <v>9</v>
      </c>
    </row>
    <row r="713" spans="1:8">
      <c r="A713">
        <f t="shared" si="22"/>
        <v>3</v>
      </c>
      <c r="B713">
        <f t="shared" si="23"/>
        <v>583</v>
      </c>
      <c r="C713" s="128">
        <v>43101</v>
      </c>
      <c r="D713" s="25" t="e">
        <f>VLOOKUP(VLOOKUP(B713,SuiteCatSubElem!$G$2:$G$667,2,0),'SXM Q4 18 W'!$A$32:$F$196,1+MATCH(VLOOKUP(A713,Personas!$A$2:$B$6,2,0),'SXM Q4 18 W'!$B$4:$F$4,0),0)</f>
        <v>#REF!</v>
      </c>
      <c r="E713">
        <v>1</v>
      </c>
      <c r="G713">
        <v>1</v>
      </c>
      <c r="H713">
        <v>9</v>
      </c>
    </row>
    <row r="714" spans="1:8">
      <c r="A714">
        <f t="shared" si="22"/>
        <v>3</v>
      </c>
      <c r="B714">
        <f t="shared" si="23"/>
        <v>584</v>
      </c>
      <c r="C714" s="128">
        <v>43101</v>
      </c>
      <c r="D714" s="25" t="e">
        <f>VLOOKUP(VLOOKUP(B714,SuiteCatSubElem!$G$2:$G$667,2,0),'SXM Q4 18 W'!$A$32:$F$196,1+MATCH(VLOOKUP(A714,Personas!$A$2:$B$6,2,0),'SXM Q4 18 W'!$B$4:$F$4,0),0)</f>
        <v>#REF!</v>
      </c>
      <c r="E714">
        <v>1</v>
      </c>
      <c r="G714">
        <v>1</v>
      </c>
      <c r="H714">
        <v>9</v>
      </c>
    </row>
    <row r="715" spans="1:8">
      <c r="A715">
        <f t="shared" si="22"/>
        <v>3</v>
      </c>
      <c r="B715">
        <f t="shared" si="23"/>
        <v>585</v>
      </c>
      <c r="C715" s="128">
        <v>43101</v>
      </c>
      <c r="D715" s="25" t="e">
        <f>VLOOKUP(VLOOKUP(B715,SuiteCatSubElem!$G$2:$G$667,2,0),'SXM Q4 18 W'!$A$32:$F$196,1+MATCH(VLOOKUP(A715,Personas!$A$2:$B$6,2,0),'SXM Q4 18 W'!$B$4:$F$4,0),0)</f>
        <v>#REF!</v>
      </c>
      <c r="E715">
        <v>1</v>
      </c>
      <c r="G715">
        <v>1</v>
      </c>
      <c r="H715">
        <v>9</v>
      </c>
    </row>
    <row r="716" spans="1:8">
      <c r="A716">
        <f t="shared" si="22"/>
        <v>3</v>
      </c>
      <c r="B716">
        <f t="shared" si="23"/>
        <v>586</v>
      </c>
      <c r="C716" s="128">
        <v>43101</v>
      </c>
      <c r="D716" s="25" t="e">
        <f>VLOOKUP(VLOOKUP(B716,SuiteCatSubElem!$G$2:$G$667,2,0),'SXM Q4 18 W'!$A$32:$F$196,1+MATCH(VLOOKUP(A716,Personas!$A$2:$B$6,2,0),'SXM Q4 18 W'!$B$4:$F$4,0),0)</f>
        <v>#REF!</v>
      </c>
      <c r="E716">
        <v>1</v>
      </c>
      <c r="G716">
        <v>1</v>
      </c>
      <c r="H716">
        <v>9</v>
      </c>
    </row>
    <row r="717" spans="1:8">
      <c r="A717">
        <f t="shared" si="22"/>
        <v>3</v>
      </c>
      <c r="B717">
        <f t="shared" si="23"/>
        <v>587</v>
      </c>
      <c r="C717" s="128">
        <v>43101</v>
      </c>
      <c r="D717" s="25" t="e">
        <f>VLOOKUP(VLOOKUP(B717,SuiteCatSubElem!$G$2:$G$667,2,0),'SXM Q4 18 W'!$A$32:$F$196,1+MATCH(VLOOKUP(A717,Personas!$A$2:$B$6,2,0),'SXM Q4 18 W'!$B$4:$F$4,0),0)</f>
        <v>#REF!</v>
      </c>
      <c r="E717">
        <v>1</v>
      </c>
      <c r="G717">
        <v>1</v>
      </c>
      <c r="H717">
        <v>9</v>
      </c>
    </row>
    <row r="718" spans="1:8">
      <c r="A718">
        <f t="shared" si="22"/>
        <v>3</v>
      </c>
      <c r="B718">
        <f t="shared" si="23"/>
        <v>588</v>
      </c>
      <c r="C718" s="128">
        <v>43101</v>
      </c>
      <c r="D718" s="25" t="e">
        <f>VLOOKUP(VLOOKUP(B718,SuiteCatSubElem!$G$2:$G$667,2,0),'SXM Q4 18 W'!$A$32:$F$196,1+MATCH(VLOOKUP(A718,Personas!$A$2:$B$6,2,0),'SXM Q4 18 W'!$B$4:$F$4,0),0)</f>
        <v>#REF!</v>
      </c>
      <c r="E718">
        <v>1</v>
      </c>
      <c r="G718">
        <v>1</v>
      </c>
      <c r="H718">
        <v>9</v>
      </c>
    </row>
    <row r="719" spans="1:8">
      <c r="A719">
        <f t="shared" si="22"/>
        <v>3</v>
      </c>
      <c r="B719">
        <f t="shared" si="23"/>
        <v>589</v>
      </c>
      <c r="C719" s="128">
        <v>43101</v>
      </c>
      <c r="D719" s="25" t="e">
        <f>VLOOKUP(VLOOKUP(B719,SuiteCatSubElem!$G$2:$G$667,2,0),'SXM Q4 18 W'!$A$32:$F$196,1+MATCH(VLOOKUP(A719,Personas!$A$2:$B$6,2,0),'SXM Q4 18 W'!$B$4:$F$4,0),0)</f>
        <v>#REF!</v>
      </c>
      <c r="E719">
        <v>1</v>
      </c>
      <c r="G719">
        <v>1</v>
      </c>
      <c r="H719">
        <v>9</v>
      </c>
    </row>
    <row r="720" spans="1:8">
      <c r="A720">
        <f t="shared" si="22"/>
        <v>3</v>
      </c>
      <c r="B720">
        <f t="shared" si="23"/>
        <v>590</v>
      </c>
      <c r="C720" s="128">
        <v>43101</v>
      </c>
      <c r="D720" s="25" t="e">
        <f>VLOOKUP(VLOOKUP(B720,SuiteCatSubElem!$G$2:$G$667,2,0),'SXM Q4 18 W'!$A$32:$F$196,1+MATCH(VLOOKUP(A720,Personas!$A$2:$B$6,2,0),'SXM Q4 18 W'!$B$4:$F$4,0),0)</f>
        <v>#REF!</v>
      </c>
      <c r="E720">
        <v>1</v>
      </c>
      <c r="G720">
        <v>1</v>
      </c>
      <c r="H720">
        <v>9</v>
      </c>
    </row>
    <row r="721" spans="1:8">
      <c r="A721">
        <f t="shared" si="22"/>
        <v>3</v>
      </c>
      <c r="B721">
        <f t="shared" si="23"/>
        <v>591</v>
      </c>
      <c r="C721" s="128">
        <v>43101</v>
      </c>
      <c r="D721" s="25" t="e">
        <f>VLOOKUP(VLOOKUP(B721,SuiteCatSubElem!$G$2:$G$667,2,0),'SXM Q4 18 W'!$A$32:$F$196,1+MATCH(VLOOKUP(A721,Personas!$A$2:$B$6,2,0),'SXM Q4 18 W'!$B$4:$F$4,0),0)</f>
        <v>#REF!</v>
      </c>
      <c r="E721">
        <v>1</v>
      </c>
      <c r="G721">
        <v>1</v>
      </c>
      <c r="H721">
        <v>9</v>
      </c>
    </row>
    <row r="722" spans="1:8">
      <c r="A722">
        <f t="shared" si="22"/>
        <v>3</v>
      </c>
      <c r="B722">
        <f t="shared" si="23"/>
        <v>592</v>
      </c>
      <c r="C722" s="128">
        <v>43101</v>
      </c>
      <c r="D722" s="25" t="e">
        <f>VLOOKUP(VLOOKUP(B722,SuiteCatSubElem!$G$2:$G$667,2,0),'SXM Q4 18 W'!$A$32:$F$196,1+MATCH(VLOOKUP(A722,Personas!$A$2:$B$6,2,0),'SXM Q4 18 W'!$B$4:$F$4,0),0)</f>
        <v>#REF!</v>
      </c>
      <c r="E722">
        <v>1</v>
      </c>
      <c r="G722">
        <v>1</v>
      </c>
      <c r="H722">
        <v>9</v>
      </c>
    </row>
    <row r="723" spans="1:8">
      <c r="A723">
        <f t="shared" si="22"/>
        <v>3</v>
      </c>
      <c r="B723">
        <f t="shared" si="23"/>
        <v>593</v>
      </c>
      <c r="C723" s="128">
        <v>43101</v>
      </c>
      <c r="D723" s="25" t="e">
        <f>VLOOKUP(VLOOKUP(B723,SuiteCatSubElem!$G$2:$G$667,2,0),'SXM Q4 18 W'!$A$32:$F$196,1+MATCH(VLOOKUP(A723,Personas!$A$2:$B$6,2,0),'SXM Q4 18 W'!$B$4:$F$4,0),0)</f>
        <v>#REF!</v>
      </c>
      <c r="E723">
        <v>1</v>
      </c>
      <c r="G723">
        <v>1</v>
      </c>
      <c r="H723">
        <v>9</v>
      </c>
    </row>
    <row r="724" spans="1:8">
      <c r="A724">
        <f t="shared" si="22"/>
        <v>3</v>
      </c>
      <c r="B724">
        <f t="shared" si="23"/>
        <v>594</v>
      </c>
      <c r="C724" s="128">
        <v>43101</v>
      </c>
      <c r="D724" s="25" t="e">
        <f>VLOOKUP(VLOOKUP(B724,SuiteCatSubElem!$G$2:$G$667,2,0),'SXM Q4 18 W'!$A$32:$F$196,1+MATCH(VLOOKUP(A724,Personas!$A$2:$B$6,2,0),'SXM Q4 18 W'!$B$4:$F$4,0),0)</f>
        <v>#REF!</v>
      </c>
      <c r="E724">
        <v>1</v>
      </c>
      <c r="G724">
        <v>1</v>
      </c>
      <c r="H724">
        <v>9</v>
      </c>
    </row>
    <row r="725" spans="1:8">
      <c r="A725">
        <f t="shared" si="22"/>
        <v>4</v>
      </c>
      <c r="B725">
        <f t="shared" si="23"/>
        <v>494</v>
      </c>
      <c r="C725" s="128">
        <v>43101</v>
      </c>
      <c r="D725" s="25" t="e">
        <f>VLOOKUP(VLOOKUP(B725,SuiteCatSubElem!$G$2:$G$667,2,0),'SXM Q4 18 W'!$A$32:$F$196,1+MATCH(VLOOKUP(A725,Personas!$A$2:$B$6,2,0),'SXM Q4 18 W'!$B$4:$F$4,0),0)</f>
        <v>#REF!</v>
      </c>
      <c r="E725">
        <v>1</v>
      </c>
      <c r="G725">
        <v>1</v>
      </c>
      <c r="H725">
        <v>9</v>
      </c>
    </row>
    <row r="726" spans="1:8">
      <c r="A726">
        <f t="shared" si="22"/>
        <v>4</v>
      </c>
      <c r="B726">
        <f t="shared" si="23"/>
        <v>495</v>
      </c>
      <c r="C726" s="128">
        <v>43101</v>
      </c>
      <c r="D726" s="25" t="e">
        <f>VLOOKUP(VLOOKUP(B726,SuiteCatSubElem!$G$2:$G$667,2,0),'SXM Q4 18 W'!$A$32:$F$196,1+MATCH(VLOOKUP(A726,Personas!$A$2:$B$6,2,0),'SXM Q4 18 W'!$B$4:$F$4,0),0)</f>
        <v>#REF!</v>
      </c>
      <c r="E726">
        <v>1</v>
      </c>
      <c r="G726">
        <v>1</v>
      </c>
      <c r="H726">
        <v>9</v>
      </c>
    </row>
    <row r="727" spans="1:8">
      <c r="A727">
        <f t="shared" si="22"/>
        <v>4</v>
      </c>
      <c r="B727">
        <f t="shared" si="23"/>
        <v>496</v>
      </c>
      <c r="C727" s="128">
        <v>43101</v>
      </c>
      <c r="D727" s="25" t="e">
        <f>VLOOKUP(VLOOKUP(B727,SuiteCatSubElem!$G$2:$G$667,2,0),'SXM Q4 18 W'!$A$32:$F$196,1+MATCH(VLOOKUP(A727,Personas!$A$2:$B$6,2,0),'SXM Q4 18 W'!$B$4:$F$4,0),0)</f>
        <v>#REF!</v>
      </c>
      <c r="E727">
        <v>1</v>
      </c>
      <c r="G727">
        <v>1</v>
      </c>
      <c r="H727">
        <v>9</v>
      </c>
    </row>
    <row r="728" spans="1:8">
      <c r="A728">
        <f t="shared" si="22"/>
        <v>4</v>
      </c>
      <c r="B728">
        <f t="shared" si="23"/>
        <v>497</v>
      </c>
      <c r="C728" s="128">
        <v>43101</v>
      </c>
      <c r="D728" s="25" t="e">
        <f>VLOOKUP(VLOOKUP(B728,SuiteCatSubElem!$G$2:$G$667,2,0),'SXM Q4 18 W'!$A$32:$F$196,1+MATCH(VLOOKUP(A728,Personas!$A$2:$B$6,2,0),'SXM Q4 18 W'!$B$4:$F$4,0),0)</f>
        <v>#REF!</v>
      </c>
      <c r="E728">
        <v>1</v>
      </c>
      <c r="G728">
        <v>1</v>
      </c>
      <c r="H728">
        <v>9</v>
      </c>
    </row>
    <row r="729" spans="1:8">
      <c r="A729">
        <f t="shared" si="22"/>
        <v>4</v>
      </c>
      <c r="B729">
        <f t="shared" si="23"/>
        <v>498</v>
      </c>
      <c r="C729" s="128">
        <v>43101</v>
      </c>
      <c r="D729" s="25" t="e">
        <f>VLOOKUP(VLOOKUP(B729,SuiteCatSubElem!$G$2:$G$667,2,0),'SXM Q4 18 W'!$A$32:$F$196,1+MATCH(VLOOKUP(A729,Personas!$A$2:$B$6,2,0),'SXM Q4 18 W'!$B$4:$F$4,0),0)</f>
        <v>#REF!</v>
      </c>
      <c r="E729">
        <v>1</v>
      </c>
      <c r="G729">
        <v>1</v>
      </c>
      <c r="H729">
        <v>9</v>
      </c>
    </row>
    <row r="730" spans="1:8">
      <c r="A730">
        <f t="shared" si="22"/>
        <v>4</v>
      </c>
      <c r="B730">
        <f t="shared" si="23"/>
        <v>499</v>
      </c>
      <c r="C730" s="128">
        <v>43101</v>
      </c>
      <c r="D730" s="25" t="e">
        <f>VLOOKUP(VLOOKUP(B730,SuiteCatSubElem!$G$2:$G$667,2,0),'SXM Q4 18 W'!$A$32:$F$196,1+MATCH(VLOOKUP(A730,Personas!$A$2:$B$6,2,0),'SXM Q4 18 W'!$B$4:$F$4,0),0)</f>
        <v>#REF!</v>
      </c>
      <c r="E730">
        <v>1</v>
      </c>
      <c r="G730">
        <v>1</v>
      </c>
      <c r="H730">
        <v>9</v>
      </c>
    </row>
    <row r="731" spans="1:8">
      <c r="A731">
        <f t="shared" si="22"/>
        <v>4</v>
      </c>
      <c r="B731">
        <f t="shared" si="23"/>
        <v>500</v>
      </c>
      <c r="C731" s="128">
        <v>43101</v>
      </c>
      <c r="D731" s="25" t="e">
        <f>VLOOKUP(VLOOKUP(B731,SuiteCatSubElem!$G$2:$G$667,2,0),'SXM Q4 18 W'!$A$32:$F$196,1+MATCH(VLOOKUP(A731,Personas!$A$2:$B$6,2,0),'SXM Q4 18 W'!$B$4:$F$4,0),0)</f>
        <v>#REF!</v>
      </c>
      <c r="E731">
        <v>1</v>
      </c>
      <c r="G731">
        <v>1</v>
      </c>
      <c r="H731">
        <v>9</v>
      </c>
    </row>
    <row r="732" spans="1:8">
      <c r="A732">
        <f t="shared" si="22"/>
        <v>4</v>
      </c>
      <c r="B732">
        <f t="shared" si="23"/>
        <v>501</v>
      </c>
      <c r="C732" s="128">
        <v>43101</v>
      </c>
      <c r="D732" s="25" t="e">
        <f>VLOOKUP(VLOOKUP(B732,SuiteCatSubElem!$G$2:$G$667,2,0),'SXM Q4 18 W'!$A$32:$F$196,1+MATCH(VLOOKUP(A732,Personas!$A$2:$B$6,2,0),'SXM Q4 18 W'!$B$4:$F$4,0),0)</f>
        <v>#REF!</v>
      </c>
      <c r="E732">
        <v>1</v>
      </c>
      <c r="G732">
        <v>1</v>
      </c>
      <c r="H732">
        <v>9</v>
      </c>
    </row>
    <row r="733" spans="1:8">
      <c r="A733">
        <f t="shared" si="22"/>
        <v>4</v>
      </c>
      <c r="B733">
        <f t="shared" si="23"/>
        <v>502</v>
      </c>
      <c r="C733" s="128">
        <v>43101</v>
      </c>
      <c r="D733" s="25" t="e">
        <f>VLOOKUP(VLOOKUP(B733,SuiteCatSubElem!$G$2:$G$667,2,0),'SXM Q4 18 W'!$A$32:$F$196,1+MATCH(VLOOKUP(A733,Personas!$A$2:$B$6,2,0),'SXM Q4 18 W'!$B$4:$F$4,0),0)</f>
        <v>#REF!</v>
      </c>
      <c r="E733">
        <v>1</v>
      </c>
      <c r="G733">
        <v>1</v>
      </c>
      <c r="H733">
        <v>9</v>
      </c>
    </row>
    <row r="734" spans="1:8">
      <c r="A734">
        <f t="shared" si="22"/>
        <v>4</v>
      </c>
      <c r="B734">
        <f t="shared" si="23"/>
        <v>503</v>
      </c>
      <c r="C734" s="128">
        <v>43101</v>
      </c>
      <c r="D734" s="25" t="e">
        <f>VLOOKUP(VLOOKUP(B734,SuiteCatSubElem!$G$2:$G$667,2,0),'SXM Q4 18 W'!$A$32:$F$196,1+MATCH(VLOOKUP(A734,Personas!$A$2:$B$6,2,0),'SXM Q4 18 W'!$B$4:$F$4,0),0)</f>
        <v>#REF!</v>
      </c>
      <c r="E734">
        <v>1</v>
      </c>
      <c r="G734">
        <v>1</v>
      </c>
      <c r="H734">
        <v>9</v>
      </c>
    </row>
    <row r="735" spans="1:8">
      <c r="A735">
        <f t="shared" si="22"/>
        <v>4</v>
      </c>
      <c r="B735">
        <f t="shared" si="23"/>
        <v>504</v>
      </c>
      <c r="C735" s="128">
        <v>43101</v>
      </c>
      <c r="D735" s="25" t="e">
        <f>VLOOKUP(VLOOKUP(B735,SuiteCatSubElem!$G$2:$G$667,2,0),'SXM Q4 18 W'!$A$32:$F$196,1+MATCH(VLOOKUP(A735,Personas!$A$2:$B$6,2,0),'SXM Q4 18 W'!$B$4:$F$4,0),0)</f>
        <v>#REF!</v>
      </c>
      <c r="E735">
        <v>1</v>
      </c>
      <c r="G735">
        <v>1</v>
      </c>
      <c r="H735">
        <v>9</v>
      </c>
    </row>
    <row r="736" spans="1:8">
      <c r="A736">
        <f t="shared" si="22"/>
        <v>4</v>
      </c>
      <c r="B736">
        <f t="shared" si="23"/>
        <v>505</v>
      </c>
      <c r="C736" s="128">
        <v>43101</v>
      </c>
      <c r="D736" s="25" t="e">
        <f>VLOOKUP(VLOOKUP(B736,SuiteCatSubElem!$G$2:$G$667,2,0),'SXM Q4 18 W'!$A$32:$F$196,1+MATCH(VLOOKUP(A736,Personas!$A$2:$B$6,2,0),'SXM Q4 18 W'!$B$4:$F$4,0),0)</f>
        <v>#REF!</v>
      </c>
      <c r="E736">
        <v>1</v>
      </c>
      <c r="G736">
        <v>1</v>
      </c>
      <c r="H736">
        <v>9</v>
      </c>
    </row>
    <row r="737" spans="1:8">
      <c r="A737">
        <f t="shared" si="22"/>
        <v>4</v>
      </c>
      <c r="B737">
        <f t="shared" si="23"/>
        <v>506</v>
      </c>
      <c r="C737" s="128">
        <v>43101</v>
      </c>
      <c r="D737" s="25" t="e">
        <f>VLOOKUP(VLOOKUP(B737,SuiteCatSubElem!$G$2:$G$667,2,0),'SXM Q4 18 W'!$A$32:$F$196,1+MATCH(VLOOKUP(A737,Personas!$A$2:$B$6,2,0),'SXM Q4 18 W'!$B$4:$F$4,0),0)</f>
        <v>#REF!</v>
      </c>
      <c r="E737">
        <v>1</v>
      </c>
      <c r="G737">
        <v>1</v>
      </c>
      <c r="H737">
        <v>9</v>
      </c>
    </row>
    <row r="738" spans="1:8">
      <c r="A738">
        <f t="shared" si="22"/>
        <v>4</v>
      </c>
      <c r="B738">
        <f t="shared" si="23"/>
        <v>507</v>
      </c>
      <c r="C738" s="128">
        <v>43101</v>
      </c>
      <c r="D738" s="25" t="e">
        <f>VLOOKUP(VLOOKUP(B738,SuiteCatSubElem!$G$2:$G$667,2,0),'SXM Q4 18 W'!$A$32:$F$196,1+MATCH(VLOOKUP(A738,Personas!$A$2:$B$6,2,0),'SXM Q4 18 W'!$B$4:$F$4,0),0)</f>
        <v>#REF!</v>
      </c>
      <c r="E738">
        <v>1</v>
      </c>
      <c r="G738">
        <v>1</v>
      </c>
      <c r="H738">
        <v>9</v>
      </c>
    </row>
    <row r="739" spans="1:8">
      <c r="A739">
        <f t="shared" si="22"/>
        <v>4</v>
      </c>
      <c r="B739">
        <f t="shared" si="23"/>
        <v>508</v>
      </c>
      <c r="C739" s="128">
        <v>43101</v>
      </c>
      <c r="D739" s="25" t="e">
        <f>VLOOKUP(VLOOKUP(B739,SuiteCatSubElem!$G$2:$G$667,2,0),'SXM Q4 18 W'!$A$32:$F$196,1+MATCH(VLOOKUP(A739,Personas!$A$2:$B$6,2,0),'SXM Q4 18 W'!$B$4:$F$4,0),0)</f>
        <v>#REF!</v>
      </c>
      <c r="E739">
        <v>1</v>
      </c>
      <c r="G739">
        <v>1</v>
      </c>
      <c r="H739">
        <v>9</v>
      </c>
    </row>
    <row r="740" spans="1:8">
      <c r="A740">
        <f t="shared" si="22"/>
        <v>4</v>
      </c>
      <c r="B740">
        <f t="shared" si="23"/>
        <v>509</v>
      </c>
      <c r="C740" s="128">
        <v>43101</v>
      </c>
      <c r="D740" s="25" t="e">
        <f>VLOOKUP(VLOOKUP(B740,SuiteCatSubElem!$G$2:$G$667,2,0),'SXM Q4 18 W'!$A$32:$F$196,1+MATCH(VLOOKUP(A740,Personas!$A$2:$B$6,2,0),'SXM Q4 18 W'!$B$4:$F$4,0),0)</f>
        <v>#REF!</v>
      </c>
      <c r="E740">
        <v>1</v>
      </c>
      <c r="G740">
        <v>1</v>
      </c>
      <c r="H740">
        <v>9</v>
      </c>
    </row>
    <row r="741" spans="1:8">
      <c r="A741">
        <f t="shared" si="22"/>
        <v>4</v>
      </c>
      <c r="B741">
        <f t="shared" si="23"/>
        <v>510</v>
      </c>
      <c r="C741" s="128">
        <v>43101</v>
      </c>
      <c r="D741" s="25" t="e">
        <f>VLOOKUP(VLOOKUP(B741,SuiteCatSubElem!$G$2:$G$667,2,0),'SXM Q4 18 W'!$A$32:$F$196,1+MATCH(VLOOKUP(A741,Personas!$A$2:$B$6,2,0),'SXM Q4 18 W'!$B$4:$F$4,0),0)</f>
        <v>#REF!</v>
      </c>
      <c r="E741">
        <v>1</v>
      </c>
      <c r="G741">
        <v>1</v>
      </c>
      <c r="H741">
        <v>9</v>
      </c>
    </row>
    <row r="742" spans="1:8">
      <c r="A742">
        <f t="shared" si="22"/>
        <v>4</v>
      </c>
      <c r="B742">
        <f t="shared" si="23"/>
        <v>511</v>
      </c>
      <c r="C742" s="128">
        <v>43101</v>
      </c>
      <c r="D742" s="25" t="e">
        <f>VLOOKUP(VLOOKUP(B742,SuiteCatSubElem!$G$2:$G$667,2,0),'SXM Q4 18 W'!$A$32:$F$196,1+MATCH(VLOOKUP(A742,Personas!$A$2:$B$6,2,0),'SXM Q4 18 W'!$B$4:$F$4,0),0)</f>
        <v>#REF!</v>
      </c>
      <c r="E742">
        <v>1</v>
      </c>
      <c r="G742">
        <v>1</v>
      </c>
      <c r="H742">
        <v>9</v>
      </c>
    </row>
    <row r="743" spans="1:8">
      <c r="A743">
        <f t="shared" si="22"/>
        <v>4</v>
      </c>
      <c r="B743">
        <f t="shared" si="23"/>
        <v>512</v>
      </c>
      <c r="C743" s="128">
        <v>43101</v>
      </c>
      <c r="D743" s="25" t="e">
        <f>VLOOKUP(VLOOKUP(B743,SuiteCatSubElem!$G$2:$G$667,2,0),'SXM Q4 18 W'!$A$32:$F$196,1+MATCH(VLOOKUP(A743,Personas!$A$2:$B$6,2,0),'SXM Q4 18 W'!$B$4:$F$4,0),0)</f>
        <v>#REF!</v>
      </c>
      <c r="E743">
        <v>1</v>
      </c>
      <c r="G743">
        <v>1</v>
      </c>
      <c r="H743">
        <v>9</v>
      </c>
    </row>
    <row r="744" spans="1:8">
      <c r="A744">
        <f t="shared" si="22"/>
        <v>4</v>
      </c>
      <c r="B744">
        <f t="shared" si="23"/>
        <v>513</v>
      </c>
      <c r="C744" s="128">
        <v>43101</v>
      </c>
      <c r="D744" s="25" t="e">
        <f>VLOOKUP(VLOOKUP(B744,SuiteCatSubElem!$G$2:$G$667,2,0),'SXM Q4 18 W'!$A$32:$F$196,1+MATCH(VLOOKUP(A744,Personas!$A$2:$B$6,2,0),'SXM Q4 18 W'!$B$4:$F$4,0),0)</f>
        <v>#REF!</v>
      </c>
      <c r="E744">
        <v>1</v>
      </c>
      <c r="G744">
        <v>1</v>
      </c>
      <c r="H744">
        <v>9</v>
      </c>
    </row>
    <row r="745" spans="1:8">
      <c r="A745">
        <f t="shared" si="22"/>
        <v>4</v>
      </c>
      <c r="B745">
        <f t="shared" si="23"/>
        <v>514</v>
      </c>
      <c r="C745" s="128">
        <v>43101</v>
      </c>
      <c r="D745" s="25" t="e">
        <f>VLOOKUP(VLOOKUP(B745,SuiteCatSubElem!$G$2:$G$667,2,0),'SXM Q4 18 W'!$A$32:$F$196,1+MATCH(VLOOKUP(A745,Personas!$A$2:$B$6,2,0),'SXM Q4 18 W'!$B$4:$F$4,0),0)</f>
        <v>#REF!</v>
      </c>
      <c r="E745">
        <v>1</v>
      </c>
      <c r="G745">
        <v>1</v>
      </c>
      <c r="H745">
        <v>9</v>
      </c>
    </row>
    <row r="746" spans="1:8">
      <c r="A746">
        <f t="shared" si="22"/>
        <v>4</v>
      </c>
      <c r="B746">
        <f t="shared" si="23"/>
        <v>515</v>
      </c>
      <c r="C746" s="128">
        <v>43101</v>
      </c>
      <c r="D746" s="25" t="e">
        <f>VLOOKUP(VLOOKUP(B746,SuiteCatSubElem!$G$2:$G$667,2,0),'SXM Q4 18 W'!$A$32:$F$196,1+MATCH(VLOOKUP(A746,Personas!$A$2:$B$6,2,0),'SXM Q4 18 W'!$B$4:$F$4,0),0)</f>
        <v>#REF!</v>
      </c>
      <c r="E746">
        <v>1</v>
      </c>
      <c r="G746">
        <v>1</v>
      </c>
      <c r="H746">
        <v>9</v>
      </c>
    </row>
    <row r="747" spans="1:8">
      <c r="A747">
        <f t="shared" si="22"/>
        <v>4</v>
      </c>
      <c r="B747">
        <f t="shared" si="23"/>
        <v>516</v>
      </c>
      <c r="C747" s="128">
        <v>43101</v>
      </c>
      <c r="D747" s="25" t="e">
        <f>VLOOKUP(VLOOKUP(B747,SuiteCatSubElem!$G$2:$G$667,2,0),'SXM Q4 18 W'!$A$32:$F$196,1+MATCH(VLOOKUP(A747,Personas!$A$2:$B$6,2,0),'SXM Q4 18 W'!$B$4:$F$4,0),0)</f>
        <v>#REF!</v>
      </c>
      <c r="E747">
        <v>1</v>
      </c>
      <c r="G747">
        <v>1</v>
      </c>
      <c r="H747">
        <v>9</v>
      </c>
    </row>
    <row r="748" spans="1:8">
      <c r="A748">
        <f t="shared" si="22"/>
        <v>4</v>
      </c>
      <c r="B748">
        <f t="shared" si="23"/>
        <v>517</v>
      </c>
      <c r="C748" s="128">
        <v>43101</v>
      </c>
      <c r="D748" s="25" t="e">
        <f>VLOOKUP(VLOOKUP(B748,SuiteCatSubElem!$G$2:$G$667,2,0),'SXM Q4 18 W'!$A$32:$F$196,1+MATCH(VLOOKUP(A748,Personas!$A$2:$B$6,2,0),'SXM Q4 18 W'!$B$4:$F$4,0),0)</f>
        <v>#REF!</v>
      </c>
      <c r="E748">
        <v>1</v>
      </c>
      <c r="G748">
        <v>1</v>
      </c>
      <c r="H748">
        <v>9</v>
      </c>
    </row>
    <row r="749" spans="1:8">
      <c r="A749">
        <f t="shared" si="22"/>
        <v>4</v>
      </c>
      <c r="B749">
        <f t="shared" si="23"/>
        <v>518</v>
      </c>
      <c r="C749" s="128">
        <v>43101</v>
      </c>
      <c r="D749" s="25" t="e">
        <f>VLOOKUP(VLOOKUP(B749,SuiteCatSubElem!$G$2:$G$667,2,0),'SXM Q4 18 W'!$A$32:$F$196,1+MATCH(VLOOKUP(A749,Personas!$A$2:$B$6,2,0),'SXM Q4 18 W'!$B$4:$F$4,0),0)</f>
        <v>#REF!</v>
      </c>
      <c r="E749">
        <v>1</v>
      </c>
      <c r="G749">
        <v>1</v>
      </c>
      <c r="H749">
        <v>9</v>
      </c>
    </row>
    <row r="750" spans="1:8">
      <c r="A750">
        <f t="shared" si="22"/>
        <v>4</v>
      </c>
      <c r="B750">
        <f t="shared" si="23"/>
        <v>519</v>
      </c>
      <c r="C750" s="128">
        <v>43101</v>
      </c>
      <c r="D750" s="25" t="e">
        <f>VLOOKUP(VLOOKUP(B750,SuiteCatSubElem!$G$2:$G$667,2,0),'SXM Q4 18 W'!$A$32:$F$196,1+MATCH(VLOOKUP(A750,Personas!$A$2:$B$6,2,0),'SXM Q4 18 W'!$B$4:$F$4,0),0)</f>
        <v>#REF!</v>
      </c>
      <c r="E750">
        <v>1</v>
      </c>
      <c r="G750">
        <v>1</v>
      </c>
      <c r="H750">
        <v>9</v>
      </c>
    </row>
    <row r="751" spans="1:8">
      <c r="A751">
        <f t="shared" si="22"/>
        <v>4</v>
      </c>
      <c r="B751">
        <f t="shared" si="23"/>
        <v>520</v>
      </c>
      <c r="C751" s="128">
        <v>43101</v>
      </c>
      <c r="D751" s="25" t="e">
        <f>VLOOKUP(VLOOKUP(B751,SuiteCatSubElem!$G$2:$G$667,2,0),'SXM Q4 18 W'!$A$32:$F$196,1+MATCH(VLOOKUP(A751,Personas!$A$2:$B$6,2,0),'SXM Q4 18 W'!$B$4:$F$4,0),0)</f>
        <v>#REF!</v>
      </c>
      <c r="E751">
        <v>1</v>
      </c>
      <c r="G751">
        <v>1</v>
      </c>
      <c r="H751">
        <v>9</v>
      </c>
    </row>
    <row r="752" spans="1:8">
      <c r="A752">
        <f t="shared" si="22"/>
        <v>4</v>
      </c>
      <c r="B752">
        <f t="shared" si="23"/>
        <v>521</v>
      </c>
      <c r="C752" s="128">
        <v>43101</v>
      </c>
      <c r="D752" s="25" t="e">
        <f>VLOOKUP(VLOOKUP(B752,SuiteCatSubElem!$G$2:$G$667,2,0),'SXM Q4 18 W'!$A$32:$F$196,1+MATCH(VLOOKUP(A752,Personas!$A$2:$B$6,2,0),'SXM Q4 18 W'!$B$4:$F$4,0),0)</f>
        <v>#REF!</v>
      </c>
      <c r="E752">
        <v>1</v>
      </c>
      <c r="G752">
        <v>1</v>
      </c>
      <c r="H752">
        <v>9</v>
      </c>
    </row>
    <row r="753" spans="1:8">
      <c r="A753">
        <f t="shared" si="22"/>
        <v>4</v>
      </c>
      <c r="B753">
        <f t="shared" si="23"/>
        <v>522</v>
      </c>
      <c r="C753" s="128">
        <v>43101</v>
      </c>
      <c r="D753" s="25" t="e">
        <f>VLOOKUP(VLOOKUP(B753,SuiteCatSubElem!$G$2:$G$667,2,0),'SXM Q4 18 W'!$A$32:$F$196,1+MATCH(VLOOKUP(A753,Personas!$A$2:$B$6,2,0),'SXM Q4 18 W'!$B$4:$F$4,0),0)</f>
        <v>#REF!</v>
      </c>
      <c r="E753">
        <v>1</v>
      </c>
      <c r="G753">
        <v>1</v>
      </c>
      <c r="H753">
        <v>9</v>
      </c>
    </row>
    <row r="754" spans="1:8">
      <c r="A754">
        <f t="shared" si="22"/>
        <v>4</v>
      </c>
      <c r="B754">
        <f t="shared" si="23"/>
        <v>523</v>
      </c>
      <c r="C754" s="128">
        <v>43101</v>
      </c>
      <c r="D754" s="25" t="e">
        <f>VLOOKUP(VLOOKUP(B754,SuiteCatSubElem!$G$2:$G$667,2,0),'SXM Q4 18 W'!$A$32:$F$196,1+MATCH(VLOOKUP(A754,Personas!$A$2:$B$6,2,0),'SXM Q4 18 W'!$B$4:$F$4,0),0)</f>
        <v>#REF!</v>
      </c>
      <c r="E754">
        <v>1</v>
      </c>
      <c r="G754">
        <v>1</v>
      </c>
      <c r="H754">
        <v>9</v>
      </c>
    </row>
    <row r="755" spans="1:8">
      <c r="A755">
        <f t="shared" si="22"/>
        <v>4</v>
      </c>
      <c r="B755">
        <f t="shared" si="23"/>
        <v>524</v>
      </c>
      <c r="C755" s="128">
        <v>43101</v>
      </c>
      <c r="D755" s="25" t="e">
        <f>VLOOKUP(VLOOKUP(B755,SuiteCatSubElem!$G$2:$G$667,2,0),'SXM Q4 18 W'!$A$32:$F$196,1+MATCH(VLOOKUP(A755,Personas!$A$2:$B$6,2,0),'SXM Q4 18 W'!$B$4:$F$4,0),0)</f>
        <v>#REF!</v>
      </c>
      <c r="E755">
        <v>1</v>
      </c>
      <c r="G755">
        <v>1</v>
      </c>
      <c r="H755">
        <v>9</v>
      </c>
    </row>
    <row r="756" spans="1:8">
      <c r="A756">
        <f t="shared" si="22"/>
        <v>4</v>
      </c>
      <c r="B756">
        <f t="shared" si="23"/>
        <v>525</v>
      </c>
      <c r="C756" s="128">
        <v>43101</v>
      </c>
      <c r="D756" s="25" t="e">
        <f>VLOOKUP(VLOOKUP(B756,SuiteCatSubElem!$G$2:$G$667,2,0),'SXM Q4 18 W'!$A$32:$F$196,1+MATCH(VLOOKUP(A756,Personas!$A$2:$B$6,2,0),'SXM Q4 18 W'!$B$4:$F$4,0),0)</f>
        <v>#REF!</v>
      </c>
      <c r="E756">
        <v>1</v>
      </c>
      <c r="G756">
        <v>1</v>
      </c>
      <c r="H756">
        <v>9</v>
      </c>
    </row>
    <row r="757" spans="1:8">
      <c r="A757">
        <f t="shared" si="22"/>
        <v>4</v>
      </c>
      <c r="B757">
        <f t="shared" si="23"/>
        <v>526</v>
      </c>
      <c r="C757" s="128">
        <v>43101</v>
      </c>
      <c r="D757" s="25" t="e">
        <f>VLOOKUP(VLOOKUP(B757,SuiteCatSubElem!$G$2:$G$667,2,0),'SXM Q4 18 W'!$A$32:$F$196,1+MATCH(VLOOKUP(A757,Personas!$A$2:$B$6,2,0),'SXM Q4 18 W'!$B$4:$F$4,0),0)</f>
        <v>#REF!</v>
      </c>
      <c r="E757">
        <v>1</v>
      </c>
      <c r="G757">
        <v>1</v>
      </c>
      <c r="H757">
        <v>9</v>
      </c>
    </row>
    <row r="758" spans="1:8">
      <c r="A758">
        <f t="shared" si="22"/>
        <v>4</v>
      </c>
      <c r="B758">
        <f t="shared" si="23"/>
        <v>527</v>
      </c>
      <c r="C758" s="128">
        <v>43101</v>
      </c>
      <c r="D758" s="25" t="e">
        <f>VLOOKUP(VLOOKUP(B758,SuiteCatSubElem!$G$2:$G$667,2,0),'SXM Q4 18 W'!$A$32:$F$196,1+MATCH(VLOOKUP(A758,Personas!$A$2:$B$6,2,0),'SXM Q4 18 W'!$B$4:$F$4,0),0)</f>
        <v>#REF!</v>
      </c>
      <c r="E758">
        <v>1</v>
      </c>
      <c r="G758">
        <v>1</v>
      </c>
      <c r="H758">
        <v>9</v>
      </c>
    </row>
    <row r="759" spans="1:8">
      <c r="A759">
        <f t="shared" si="22"/>
        <v>4</v>
      </c>
      <c r="B759">
        <f t="shared" si="23"/>
        <v>528</v>
      </c>
      <c r="C759" s="128">
        <v>43101</v>
      </c>
      <c r="D759" s="25" t="e">
        <f>VLOOKUP(VLOOKUP(B759,SuiteCatSubElem!$G$2:$G$667,2,0),'SXM Q4 18 W'!$A$32:$F$196,1+MATCH(VLOOKUP(A759,Personas!$A$2:$B$6,2,0),'SXM Q4 18 W'!$B$4:$F$4,0),0)</f>
        <v>#REF!</v>
      </c>
      <c r="E759">
        <v>1</v>
      </c>
      <c r="G759">
        <v>1</v>
      </c>
      <c r="H759">
        <v>9</v>
      </c>
    </row>
    <row r="760" spans="1:8">
      <c r="A760">
        <f t="shared" si="22"/>
        <v>4</v>
      </c>
      <c r="B760">
        <f t="shared" si="23"/>
        <v>529</v>
      </c>
      <c r="C760" s="128">
        <v>43101</v>
      </c>
      <c r="D760" s="25" t="e">
        <f>VLOOKUP(VLOOKUP(B760,SuiteCatSubElem!$G$2:$G$667,2,0),'SXM Q4 18 W'!$A$32:$F$196,1+MATCH(VLOOKUP(A760,Personas!$A$2:$B$6,2,0),'SXM Q4 18 W'!$B$4:$F$4,0),0)</f>
        <v>#REF!</v>
      </c>
      <c r="E760">
        <v>1</v>
      </c>
      <c r="G760">
        <v>1</v>
      </c>
      <c r="H760">
        <v>9</v>
      </c>
    </row>
    <row r="761" spans="1:8">
      <c r="A761">
        <f t="shared" si="22"/>
        <v>4</v>
      </c>
      <c r="B761">
        <f t="shared" si="23"/>
        <v>530</v>
      </c>
      <c r="C761" s="128">
        <v>43101</v>
      </c>
      <c r="D761" s="25" t="e">
        <f>VLOOKUP(VLOOKUP(B761,SuiteCatSubElem!$G$2:$G$667,2,0),'SXM Q4 18 W'!$A$32:$F$196,1+MATCH(VLOOKUP(A761,Personas!$A$2:$B$6,2,0),'SXM Q4 18 W'!$B$4:$F$4,0),0)</f>
        <v>#REF!</v>
      </c>
      <c r="E761">
        <v>1</v>
      </c>
      <c r="G761">
        <v>1</v>
      </c>
      <c r="H761">
        <v>9</v>
      </c>
    </row>
    <row r="762" spans="1:8">
      <c r="A762">
        <f t="shared" si="22"/>
        <v>4</v>
      </c>
      <c r="B762">
        <f t="shared" si="23"/>
        <v>531</v>
      </c>
      <c r="C762" s="128">
        <v>43101</v>
      </c>
      <c r="D762" s="25" t="e">
        <f>VLOOKUP(VLOOKUP(B762,SuiteCatSubElem!$G$2:$G$667,2,0),'SXM Q4 18 W'!$A$32:$F$196,1+MATCH(VLOOKUP(A762,Personas!$A$2:$B$6,2,0),'SXM Q4 18 W'!$B$4:$F$4,0),0)</f>
        <v>#REF!</v>
      </c>
      <c r="E762">
        <v>1</v>
      </c>
      <c r="G762">
        <v>1</v>
      </c>
      <c r="H762">
        <v>9</v>
      </c>
    </row>
    <row r="763" spans="1:8">
      <c r="A763">
        <f t="shared" si="22"/>
        <v>4</v>
      </c>
      <c r="B763">
        <f t="shared" si="23"/>
        <v>532</v>
      </c>
      <c r="C763" s="128">
        <v>43101</v>
      </c>
      <c r="D763" s="25" t="e">
        <f>VLOOKUP(VLOOKUP(B763,SuiteCatSubElem!$G$2:$G$667,2,0),'SXM Q4 18 W'!$A$32:$F$196,1+MATCH(VLOOKUP(A763,Personas!$A$2:$B$6,2,0),'SXM Q4 18 W'!$B$4:$F$4,0),0)</f>
        <v>#REF!</v>
      </c>
      <c r="E763">
        <v>1</v>
      </c>
      <c r="G763">
        <v>1</v>
      </c>
      <c r="H763">
        <v>9</v>
      </c>
    </row>
    <row r="764" spans="1:8">
      <c r="A764">
        <f t="shared" si="22"/>
        <v>4</v>
      </c>
      <c r="B764">
        <f t="shared" si="23"/>
        <v>533</v>
      </c>
      <c r="C764" s="128">
        <v>43101</v>
      </c>
      <c r="D764" s="25" t="e">
        <f>VLOOKUP(VLOOKUP(B764,SuiteCatSubElem!$G$2:$G$667,2,0),'SXM Q4 18 W'!$A$32:$F$196,1+MATCH(VLOOKUP(A764,Personas!$A$2:$B$6,2,0),'SXM Q4 18 W'!$B$4:$F$4,0),0)</f>
        <v>#REF!</v>
      </c>
      <c r="E764">
        <v>1</v>
      </c>
      <c r="G764">
        <v>1</v>
      </c>
      <c r="H764">
        <v>9</v>
      </c>
    </row>
    <row r="765" spans="1:8">
      <c r="A765">
        <f t="shared" si="22"/>
        <v>4</v>
      </c>
      <c r="B765">
        <f t="shared" si="23"/>
        <v>534</v>
      </c>
      <c r="C765" s="128">
        <v>43101</v>
      </c>
      <c r="D765" s="25" t="e">
        <f>VLOOKUP(VLOOKUP(B765,SuiteCatSubElem!$G$2:$G$667,2,0),'SXM Q4 18 W'!$A$32:$F$196,1+MATCH(VLOOKUP(A765,Personas!$A$2:$B$6,2,0),'SXM Q4 18 W'!$B$4:$F$4,0),0)</f>
        <v>#REF!</v>
      </c>
      <c r="E765">
        <v>1</v>
      </c>
      <c r="G765">
        <v>1</v>
      </c>
      <c r="H765">
        <v>9</v>
      </c>
    </row>
    <row r="766" spans="1:8">
      <c r="A766">
        <f t="shared" si="22"/>
        <v>4</v>
      </c>
      <c r="B766">
        <f t="shared" si="23"/>
        <v>535</v>
      </c>
      <c r="C766" s="128">
        <v>43101</v>
      </c>
      <c r="D766" s="25" t="e">
        <f>VLOOKUP(VLOOKUP(B766,SuiteCatSubElem!$G$2:$G$667,2,0),'SXM Q4 18 W'!$A$32:$F$196,1+MATCH(VLOOKUP(A766,Personas!$A$2:$B$6,2,0),'SXM Q4 18 W'!$B$4:$F$4,0),0)</f>
        <v>#REF!</v>
      </c>
      <c r="E766">
        <v>1</v>
      </c>
      <c r="G766">
        <v>1</v>
      </c>
      <c r="H766">
        <v>9</v>
      </c>
    </row>
    <row r="767" spans="1:8">
      <c r="A767">
        <f t="shared" si="22"/>
        <v>4</v>
      </c>
      <c r="B767">
        <f t="shared" si="23"/>
        <v>536</v>
      </c>
      <c r="C767" s="128">
        <v>43101</v>
      </c>
      <c r="D767" s="25" t="e">
        <f>VLOOKUP(VLOOKUP(B767,SuiteCatSubElem!$G$2:$G$667,2,0),'SXM Q4 18 W'!$A$32:$F$196,1+MATCH(VLOOKUP(A767,Personas!$A$2:$B$6,2,0),'SXM Q4 18 W'!$B$4:$F$4,0),0)</f>
        <v>#REF!</v>
      </c>
      <c r="E767">
        <v>1</v>
      </c>
      <c r="G767">
        <v>1</v>
      </c>
      <c r="H767">
        <v>9</v>
      </c>
    </row>
    <row r="768" spans="1:8">
      <c r="A768">
        <f t="shared" si="22"/>
        <v>4</v>
      </c>
      <c r="B768">
        <f t="shared" si="23"/>
        <v>537</v>
      </c>
      <c r="C768" s="128">
        <v>43101</v>
      </c>
      <c r="D768" s="25" t="e">
        <f>VLOOKUP(VLOOKUP(B768,SuiteCatSubElem!$G$2:$G$667,2,0),'SXM Q4 18 W'!$A$32:$F$196,1+MATCH(VLOOKUP(A768,Personas!$A$2:$B$6,2,0),'SXM Q4 18 W'!$B$4:$F$4,0),0)</f>
        <v>#REF!</v>
      </c>
      <c r="E768">
        <v>1</v>
      </c>
      <c r="G768">
        <v>1</v>
      </c>
      <c r="H768">
        <v>9</v>
      </c>
    </row>
    <row r="769" spans="1:8">
      <c r="A769">
        <f t="shared" si="22"/>
        <v>4</v>
      </c>
      <c r="B769">
        <f t="shared" si="23"/>
        <v>538</v>
      </c>
      <c r="C769" s="128">
        <v>43101</v>
      </c>
      <c r="D769" s="25" t="e">
        <f>VLOOKUP(VLOOKUP(B769,SuiteCatSubElem!$G$2:$G$667,2,0),'SXM Q4 18 W'!$A$32:$F$196,1+MATCH(VLOOKUP(A769,Personas!$A$2:$B$6,2,0),'SXM Q4 18 W'!$B$4:$F$4,0),0)</f>
        <v>#REF!</v>
      </c>
      <c r="E769">
        <v>1</v>
      </c>
      <c r="G769">
        <v>1</v>
      </c>
      <c r="H769">
        <v>9</v>
      </c>
    </row>
    <row r="770" spans="1:8">
      <c r="A770">
        <f t="shared" si="22"/>
        <v>4</v>
      </c>
      <c r="B770">
        <f t="shared" si="23"/>
        <v>539</v>
      </c>
      <c r="C770" s="128">
        <v>43101</v>
      </c>
      <c r="D770" s="25" t="e">
        <f>VLOOKUP(VLOOKUP(B770,SuiteCatSubElem!$G$2:$G$667,2,0),'SXM Q4 18 W'!$A$32:$F$196,1+MATCH(VLOOKUP(A770,Personas!$A$2:$B$6,2,0),'SXM Q4 18 W'!$B$4:$F$4,0),0)</f>
        <v>#REF!</v>
      </c>
      <c r="E770">
        <v>1</v>
      </c>
      <c r="G770">
        <v>1</v>
      </c>
      <c r="H770">
        <v>9</v>
      </c>
    </row>
    <row r="771" spans="1:8">
      <c r="A771">
        <f t="shared" si="22"/>
        <v>4</v>
      </c>
      <c r="B771">
        <f t="shared" si="23"/>
        <v>540</v>
      </c>
      <c r="C771" s="128">
        <v>43101</v>
      </c>
      <c r="D771" s="25" t="e">
        <f>VLOOKUP(VLOOKUP(B771,SuiteCatSubElem!$G$2:$G$667,2,0),'SXM Q4 18 W'!$A$32:$F$196,1+MATCH(VLOOKUP(A771,Personas!$A$2:$B$6,2,0),'SXM Q4 18 W'!$B$4:$F$4,0),0)</f>
        <v>#REF!</v>
      </c>
      <c r="E771">
        <v>1</v>
      </c>
      <c r="G771">
        <v>1</v>
      </c>
      <c r="H771">
        <v>9</v>
      </c>
    </row>
    <row r="772" spans="1:8">
      <c r="A772">
        <f t="shared" si="22"/>
        <v>4</v>
      </c>
      <c r="B772">
        <f t="shared" si="23"/>
        <v>541</v>
      </c>
      <c r="C772" s="128">
        <v>43101</v>
      </c>
      <c r="D772" s="25" t="e">
        <f>VLOOKUP(VLOOKUP(B772,SuiteCatSubElem!$G$2:$G$667,2,0),'SXM Q4 18 W'!$A$32:$F$196,1+MATCH(VLOOKUP(A772,Personas!$A$2:$B$6,2,0),'SXM Q4 18 W'!$B$4:$F$4,0),0)</f>
        <v>#REF!</v>
      </c>
      <c r="E772">
        <v>1</v>
      </c>
      <c r="G772">
        <v>1</v>
      </c>
      <c r="H772">
        <v>9</v>
      </c>
    </row>
    <row r="773" spans="1:8">
      <c r="A773">
        <f t="shared" ref="A773:A836" si="24">A672+1</f>
        <v>4</v>
      </c>
      <c r="B773">
        <f t="shared" ref="B773:B836" si="25">B672</f>
        <v>542</v>
      </c>
      <c r="C773" s="128">
        <v>43101</v>
      </c>
      <c r="D773" s="25" t="e">
        <f>VLOOKUP(VLOOKUP(B773,SuiteCatSubElem!$G$2:$G$667,2,0),'SXM Q4 18 W'!$A$32:$F$196,1+MATCH(VLOOKUP(A773,Personas!$A$2:$B$6,2,0),'SXM Q4 18 W'!$B$4:$F$4,0),0)</f>
        <v>#REF!</v>
      </c>
      <c r="E773">
        <v>1</v>
      </c>
      <c r="G773">
        <v>1</v>
      </c>
      <c r="H773">
        <v>9</v>
      </c>
    </row>
    <row r="774" spans="1:8">
      <c r="A774">
        <f t="shared" si="24"/>
        <v>4</v>
      </c>
      <c r="B774">
        <f t="shared" si="25"/>
        <v>543</v>
      </c>
      <c r="C774" s="128">
        <v>43101</v>
      </c>
      <c r="D774" s="25" t="e">
        <f>VLOOKUP(VLOOKUP(B774,SuiteCatSubElem!$G$2:$G$667,2,0),'SXM Q4 18 W'!$A$32:$F$196,1+MATCH(VLOOKUP(A774,Personas!$A$2:$B$6,2,0),'SXM Q4 18 W'!$B$4:$F$4,0),0)</f>
        <v>#REF!</v>
      </c>
      <c r="E774">
        <v>1</v>
      </c>
      <c r="G774">
        <v>1</v>
      </c>
      <c r="H774">
        <v>9</v>
      </c>
    </row>
    <row r="775" spans="1:8">
      <c r="A775">
        <f t="shared" si="24"/>
        <v>4</v>
      </c>
      <c r="B775">
        <f t="shared" si="25"/>
        <v>544</v>
      </c>
      <c r="C775" s="128">
        <v>43101</v>
      </c>
      <c r="D775" s="25" t="e">
        <f>VLOOKUP(VLOOKUP(B775,SuiteCatSubElem!$G$2:$G$667,2,0),'SXM Q4 18 W'!$A$32:$F$196,1+MATCH(VLOOKUP(A775,Personas!$A$2:$B$6,2,0),'SXM Q4 18 W'!$B$4:$F$4,0),0)</f>
        <v>#REF!</v>
      </c>
      <c r="E775">
        <v>1</v>
      </c>
      <c r="G775">
        <v>1</v>
      </c>
      <c r="H775">
        <v>9</v>
      </c>
    </row>
    <row r="776" spans="1:8">
      <c r="A776">
        <f t="shared" si="24"/>
        <v>4</v>
      </c>
      <c r="B776">
        <f t="shared" si="25"/>
        <v>545</v>
      </c>
      <c r="C776" s="128">
        <v>43101</v>
      </c>
      <c r="D776" s="25" t="e">
        <f>VLOOKUP(VLOOKUP(B776,SuiteCatSubElem!$G$2:$G$667,2,0),'SXM Q4 18 W'!$A$32:$F$196,1+MATCH(VLOOKUP(A776,Personas!$A$2:$B$6,2,0),'SXM Q4 18 W'!$B$4:$F$4,0),0)</f>
        <v>#REF!</v>
      </c>
      <c r="E776">
        <v>1</v>
      </c>
      <c r="G776">
        <v>1</v>
      </c>
      <c r="H776">
        <v>9</v>
      </c>
    </row>
    <row r="777" spans="1:8">
      <c r="A777">
        <f t="shared" si="24"/>
        <v>4</v>
      </c>
      <c r="B777">
        <f t="shared" si="25"/>
        <v>546</v>
      </c>
      <c r="C777" s="128">
        <v>43101</v>
      </c>
      <c r="D777" s="25" t="e">
        <f>VLOOKUP(VLOOKUP(B777,SuiteCatSubElem!$G$2:$G$667,2,0),'SXM Q4 18 W'!$A$32:$F$196,1+MATCH(VLOOKUP(A777,Personas!$A$2:$B$6,2,0),'SXM Q4 18 W'!$B$4:$F$4,0),0)</f>
        <v>#REF!</v>
      </c>
      <c r="E777">
        <v>1</v>
      </c>
      <c r="G777">
        <v>1</v>
      </c>
      <c r="H777">
        <v>9</v>
      </c>
    </row>
    <row r="778" spans="1:8">
      <c r="A778">
        <f t="shared" si="24"/>
        <v>4</v>
      </c>
      <c r="B778">
        <f t="shared" si="25"/>
        <v>547</v>
      </c>
      <c r="C778" s="128">
        <v>43101</v>
      </c>
      <c r="D778" s="25" t="e">
        <f>VLOOKUP(VLOOKUP(B778,SuiteCatSubElem!$G$2:$G$667,2,0),'SXM Q4 18 W'!$A$32:$F$196,1+MATCH(VLOOKUP(A778,Personas!$A$2:$B$6,2,0),'SXM Q4 18 W'!$B$4:$F$4,0),0)</f>
        <v>#REF!</v>
      </c>
      <c r="E778">
        <v>1</v>
      </c>
      <c r="G778">
        <v>1</v>
      </c>
      <c r="H778">
        <v>9</v>
      </c>
    </row>
    <row r="779" spans="1:8">
      <c r="A779">
        <f t="shared" si="24"/>
        <v>4</v>
      </c>
      <c r="B779">
        <f t="shared" si="25"/>
        <v>548</v>
      </c>
      <c r="C779" s="128">
        <v>43101</v>
      </c>
      <c r="D779" s="25" t="e">
        <f>VLOOKUP(VLOOKUP(B779,SuiteCatSubElem!$G$2:$G$667,2,0),'SXM Q4 18 W'!$A$32:$F$196,1+MATCH(VLOOKUP(A779,Personas!$A$2:$B$6,2,0),'SXM Q4 18 W'!$B$4:$F$4,0),0)</f>
        <v>#REF!</v>
      </c>
      <c r="E779">
        <v>1</v>
      </c>
      <c r="G779">
        <v>1</v>
      </c>
      <c r="H779">
        <v>9</v>
      </c>
    </row>
    <row r="780" spans="1:8">
      <c r="A780">
        <f t="shared" si="24"/>
        <v>4</v>
      </c>
      <c r="B780">
        <f t="shared" si="25"/>
        <v>549</v>
      </c>
      <c r="C780" s="128">
        <v>43101</v>
      </c>
      <c r="D780" s="25" t="e">
        <f>VLOOKUP(VLOOKUP(B780,SuiteCatSubElem!$G$2:$G$667,2,0),'SXM Q4 18 W'!$A$32:$F$196,1+MATCH(VLOOKUP(A780,Personas!$A$2:$B$6,2,0),'SXM Q4 18 W'!$B$4:$F$4,0),0)</f>
        <v>#REF!</v>
      </c>
      <c r="E780">
        <v>1</v>
      </c>
      <c r="G780">
        <v>1</v>
      </c>
      <c r="H780">
        <v>9</v>
      </c>
    </row>
    <row r="781" spans="1:8">
      <c r="A781">
        <f t="shared" si="24"/>
        <v>4</v>
      </c>
      <c r="B781">
        <f t="shared" si="25"/>
        <v>550</v>
      </c>
      <c r="C781" s="128">
        <v>43101</v>
      </c>
      <c r="D781" s="25" t="e">
        <f>VLOOKUP(VLOOKUP(B781,SuiteCatSubElem!$G$2:$G$667,2,0),'SXM Q4 18 W'!$A$32:$F$196,1+MATCH(VLOOKUP(A781,Personas!$A$2:$B$6,2,0),'SXM Q4 18 W'!$B$4:$F$4,0),0)</f>
        <v>#REF!</v>
      </c>
      <c r="E781">
        <v>1</v>
      </c>
      <c r="G781">
        <v>1</v>
      </c>
      <c r="H781">
        <v>9</v>
      </c>
    </row>
    <row r="782" spans="1:8">
      <c r="A782">
        <f t="shared" si="24"/>
        <v>4</v>
      </c>
      <c r="B782">
        <f t="shared" si="25"/>
        <v>551</v>
      </c>
      <c r="C782" s="128">
        <v>43101</v>
      </c>
      <c r="D782" s="25" t="e">
        <f>VLOOKUP(VLOOKUP(B782,SuiteCatSubElem!$G$2:$G$667,2,0),'SXM Q4 18 W'!$A$32:$F$196,1+MATCH(VLOOKUP(A782,Personas!$A$2:$B$6,2,0),'SXM Q4 18 W'!$B$4:$F$4,0),0)</f>
        <v>#REF!</v>
      </c>
      <c r="E782">
        <v>1</v>
      </c>
      <c r="G782">
        <v>1</v>
      </c>
      <c r="H782">
        <v>9</v>
      </c>
    </row>
    <row r="783" spans="1:8">
      <c r="A783">
        <f t="shared" si="24"/>
        <v>4</v>
      </c>
      <c r="B783">
        <f t="shared" si="25"/>
        <v>552</v>
      </c>
      <c r="C783" s="128">
        <v>43101</v>
      </c>
      <c r="D783" s="25" t="e">
        <f>VLOOKUP(VLOOKUP(B783,SuiteCatSubElem!$G$2:$G$667,2,0),'SXM Q4 18 W'!$A$32:$F$196,1+MATCH(VLOOKUP(A783,Personas!$A$2:$B$6,2,0),'SXM Q4 18 W'!$B$4:$F$4,0),0)</f>
        <v>#REF!</v>
      </c>
      <c r="E783">
        <v>1</v>
      </c>
      <c r="G783">
        <v>1</v>
      </c>
      <c r="H783">
        <v>9</v>
      </c>
    </row>
    <row r="784" spans="1:8">
      <c r="A784">
        <f t="shared" si="24"/>
        <v>4</v>
      </c>
      <c r="B784">
        <f t="shared" si="25"/>
        <v>553</v>
      </c>
      <c r="C784" s="128">
        <v>43101</v>
      </c>
      <c r="D784" s="25" t="e">
        <f>VLOOKUP(VLOOKUP(B784,SuiteCatSubElem!$G$2:$G$667,2,0),'SXM Q4 18 W'!$A$32:$F$196,1+MATCH(VLOOKUP(A784,Personas!$A$2:$B$6,2,0),'SXM Q4 18 W'!$B$4:$F$4,0),0)</f>
        <v>#REF!</v>
      </c>
      <c r="E784">
        <v>1</v>
      </c>
      <c r="G784">
        <v>1</v>
      </c>
      <c r="H784">
        <v>9</v>
      </c>
    </row>
    <row r="785" spans="1:8">
      <c r="A785">
        <f t="shared" si="24"/>
        <v>4</v>
      </c>
      <c r="B785">
        <f t="shared" si="25"/>
        <v>554</v>
      </c>
      <c r="C785" s="128">
        <v>43101</v>
      </c>
      <c r="D785" s="25" t="e">
        <f>VLOOKUP(VLOOKUP(B785,SuiteCatSubElem!$G$2:$G$667,2,0),'SXM Q4 18 W'!$A$32:$F$196,1+MATCH(VLOOKUP(A785,Personas!$A$2:$B$6,2,0),'SXM Q4 18 W'!$B$4:$F$4,0),0)</f>
        <v>#REF!</v>
      </c>
      <c r="E785">
        <v>1</v>
      </c>
      <c r="G785">
        <v>1</v>
      </c>
      <c r="H785">
        <v>9</v>
      </c>
    </row>
    <row r="786" spans="1:8">
      <c r="A786">
        <f t="shared" si="24"/>
        <v>4</v>
      </c>
      <c r="B786">
        <f t="shared" si="25"/>
        <v>555</v>
      </c>
      <c r="C786" s="128">
        <v>43101</v>
      </c>
      <c r="D786" s="25" t="e">
        <f>VLOOKUP(VLOOKUP(B786,SuiteCatSubElem!$G$2:$G$667,2,0),'SXM Q4 18 W'!$A$32:$F$196,1+MATCH(VLOOKUP(A786,Personas!$A$2:$B$6,2,0),'SXM Q4 18 W'!$B$4:$F$4,0),0)</f>
        <v>#REF!</v>
      </c>
      <c r="E786">
        <v>1</v>
      </c>
      <c r="G786">
        <v>1</v>
      </c>
      <c r="H786">
        <v>9</v>
      </c>
    </row>
    <row r="787" spans="1:8">
      <c r="A787">
        <f t="shared" si="24"/>
        <v>4</v>
      </c>
      <c r="B787">
        <f t="shared" si="25"/>
        <v>556</v>
      </c>
      <c r="C787" s="128">
        <v>43101</v>
      </c>
      <c r="D787" s="25" t="e">
        <f>VLOOKUP(VLOOKUP(B787,SuiteCatSubElem!$G$2:$G$667,2,0),'SXM Q4 18 W'!$A$32:$F$196,1+MATCH(VLOOKUP(A787,Personas!$A$2:$B$6,2,0),'SXM Q4 18 W'!$B$4:$F$4,0),0)</f>
        <v>#REF!</v>
      </c>
      <c r="E787">
        <v>1</v>
      </c>
      <c r="G787">
        <v>1</v>
      </c>
      <c r="H787">
        <v>9</v>
      </c>
    </row>
    <row r="788" spans="1:8">
      <c r="A788">
        <f t="shared" si="24"/>
        <v>4</v>
      </c>
      <c r="B788">
        <f t="shared" si="25"/>
        <v>557</v>
      </c>
      <c r="C788" s="128">
        <v>43101</v>
      </c>
      <c r="D788" s="25" t="e">
        <f>VLOOKUP(VLOOKUP(B788,SuiteCatSubElem!$G$2:$G$667,2,0),'SXM Q4 18 W'!$A$32:$F$196,1+MATCH(VLOOKUP(A788,Personas!$A$2:$B$6,2,0),'SXM Q4 18 W'!$B$4:$F$4,0),0)</f>
        <v>#REF!</v>
      </c>
      <c r="E788">
        <v>1</v>
      </c>
      <c r="G788">
        <v>1</v>
      </c>
      <c r="H788">
        <v>9</v>
      </c>
    </row>
    <row r="789" spans="1:8">
      <c r="A789">
        <f t="shared" si="24"/>
        <v>4</v>
      </c>
      <c r="B789">
        <f t="shared" si="25"/>
        <v>558</v>
      </c>
      <c r="C789" s="128">
        <v>43101</v>
      </c>
      <c r="D789" s="25" t="e">
        <f>VLOOKUP(VLOOKUP(B789,SuiteCatSubElem!$G$2:$G$667,2,0),'SXM Q4 18 W'!$A$32:$F$196,1+MATCH(VLOOKUP(A789,Personas!$A$2:$B$6,2,0),'SXM Q4 18 W'!$B$4:$F$4,0),0)</f>
        <v>#REF!</v>
      </c>
      <c r="E789">
        <v>1</v>
      </c>
      <c r="G789">
        <v>1</v>
      </c>
      <c r="H789">
        <v>9</v>
      </c>
    </row>
    <row r="790" spans="1:8">
      <c r="A790">
        <f t="shared" si="24"/>
        <v>4</v>
      </c>
      <c r="B790">
        <f t="shared" si="25"/>
        <v>559</v>
      </c>
      <c r="C790" s="128">
        <v>43101</v>
      </c>
      <c r="D790" s="25" t="e">
        <f>VLOOKUP(VLOOKUP(B790,SuiteCatSubElem!$G$2:$G$667,2,0),'SXM Q4 18 W'!$A$32:$F$196,1+MATCH(VLOOKUP(A790,Personas!$A$2:$B$6,2,0),'SXM Q4 18 W'!$B$4:$F$4,0),0)</f>
        <v>#REF!</v>
      </c>
      <c r="E790">
        <v>1</v>
      </c>
      <c r="G790">
        <v>1</v>
      </c>
      <c r="H790">
        <v>9</v>
      </c>
    </row>
    <row r="791" spans="1:8">
      <c r="A791">
        <f t="shared" si="24"/>
        <v>4</v>
      </c>
      <c r="B791">
        <f t="shared" si="25"/>
        <v>560</v>
      </c>
      <c r="C791" s="128">
        <v>43101</v>
      </c>
      <c r="D791" s="25" t="e">
        <f>VLOOKUP(VLOOKUP(B791,SuiteCatSubElem!$G$2:$G$667,2,0),'SXM Q4 18 W'!$A$32:$F$196,1+MATCH(VLOOKUP(A791,Personas!$A$2:$B$6,2,0),'SXM Q4 18 W'!$B$4:$F$4,0),0)</f>
        <v>#REF!</v>
      </c>
      <c r="E791">
        <v>1</v>
      </c>
      <c r="G791">
        <v>1</v>
      </c>
      <c r="H791">
        <v>9</v>
      </c>
    </row>
    <row r="792" spans="1:8">
      <c r="A792">
        <f t="shared" si="24"/>
        <v>4</v>
      </c>
      <c r="B792">
        <f t="shared" si="25"/>
        <v>561</v>
      </c>
      <c r="C792" s="128">
        <v>43101</v>
      </c>
      <c r="D792" s="25" t="e">
        <f>VLOOKUP(VLOOKUP(B792,SuiteCatSubElem!$G$2:$G$667,2,0),'SXM Q4 18 W'!$A$32:$F$196,1+MATCH(VLOOKUP(A792,Personas!$A$2:$B$6,2,0),'SXM Q4 18 W'!$B$4:$F$4,0),0)</f>
        <v>#REF!</v>
      </c>
      <c r="E792">
        <v>1</v>
      </c>
      <c r="G792">
        <v>1</v>
      </c>
      <c r="H792">
        <v>9</v>
      </c>
    </row>
    <row r="793" spans="1:8">
      <c r="A793">
        <f t="shared" si="24"/>
        <v>4</v>
      </c>
      <c r="B793">
        <f t="shared" si="25"/>
        <v>562</v>
      </c>
      <c r="C793" s="128">
        <v>43101</v>
      </c>
      <c r="D793" s="25" t="e">
        <f>VLOOKUP(VLOOKUP(B793,SuiteCatSubElem!$G$2:$G$667,2,0),'SXM Q4 18 W'!$A$32:$F$196,1+MATCH(VLOOKUP(A793,Personas!$A$2:$B$6,2,0),'SXM Q4 18 W'!$B$4:$F$4,0),0)</f>
        <v>#REF!</v>
      </c>
      <c r="E793">
        <v>1</v>
      </c>
      <c r="G793">
        <v>1</v>
      </c>
      <c r="H793">
        <v>9</v>
      </c>
    </row>
    <row r="794" spans="1:8">
      <c r="A794">
        <f t="shared" si="24"/>
        <v>4</v>
      </c>
      <c r="B794">
        <f t="shared" si="25"/>
        <v>563</v>
      </c>
      <c r="C794" s="128">
        <v>43101</v>
      </c>
      <c r="D794" s="25" t="e">
        <f>VLOOKUP(VLOOKUP(B794,SuiteCatSubElem!$G$2:$G$667,2,0),'SXM Q4 18 W'!$A$32:$F$196,1+MATCH(VLOOKUP(A794,Personas!$A$2:$B$6,2,0),'SXM Q4 18 W'!$B$4:$F$4,0),0)</f>
        <v>#REF!</v>
      </c>
      <c r="E794">
        <v>1</v>
      </c>
      <c r="G794">
        <v>1</v>
      </c>
      <c r="H794">
        <v>9</v>
      </c>
    </row>
    <row r="795" spans="1:8">
      <c r="A795">
        <f t="shared" si="24"/>
        <v>4</v>
      </c>
      <c r="B795">
        <f t="shared" si="25"/>
        <v>564</v>
      </c>
      <c r="C795" s="128">
        <v>43101</v>
      </c>
      <c r="D795" s="25" t="e">
        <f>VLOOKUP(VLOOKUP(B795,SuiteCatSubElem!$G$2:$G$667,2,0),'SXM Q4 18 W'!$A$32:$F$196,1+MATCH(VLOOKUP(A795,Personas!$A$2:$B$6,2,0),'SXM Q4 18 W'!$B$4:$F$4,0),0)</f>
        <v>#REF!</v>
      </c>
      <c r="E795">
        <v>1</v>
      </c>
      <c r="G795">
        <v>1</v>
      </c>
      <c r="H795">
        <v>9</v>
      </c>
    </row>
    <row r="796" spans="1:8">
      <c r="A796">
        <f t="shared" si="24"/>
        <v>4</v>
      </c>
      <c r="B796">
        <f t="shared" si="25"/>
        <v>565</v>
      </c>
      <c r="C796" s="128">
        <v>43101</v>
      </c>
      <c r="D796" s="25" t="e">
        <f>VLOOKUP(VLOOKUP(B796,SuiteCatSubElem!$G$2:$G$667,2,0),'SXM Q4 18 W'!$A$32:$F$196,1+MATCH(VLOOKUP(A796,Personas!$A$2:$B$6,2,0),'SXM Q4 18 W'!$B$4:$F$4,0),0)</f>
        <v>#REF!</v>
      </c>
      <c r="E796">
        <v>1</v>
      </c>
      <c r="G796">
        <v>1</v>
      </c>
      <c r="H796">
        <v>9</v>
      </c>
    </row>
    <row r="797" spans="1:8">
      <c r="A797">
        <f t="shared" si="24"/>
        <v>4</v>
      </c>
      <c r="B797">
        <f t="shared" si="25"/>
        <v>566</v>
      </c>
      <c r="C797" s="128">
        <v>43101</v>
      </c>
      <c r="D797" s="25" t="e">
        <f>VLOOKUP(VLOOKUP(B797,SuiteCatSubElem!$G$2:$G$667,2,0),'SXM Q4 18 W'!$A$32:$F$196,1+MATCH(VLOOKUP(A797,Personas!$A$2:$B$6,2,0),'SXM Q4 18 W'!$B$4:$F$4,0),0)</f>
        <v>#REF!</v>
      </c>
      <c r="E797">
        <v>1</v>
      </c>
      <c r="G797">
        <v>1</v>
      </c>
      <c r="H797">
        <v>9</v>
      </c>
    </row>
    <row r="798" spans="1:8">
      <c r="A798">
        <f t="shared" si="24"/>
        <v>4</v>
      </c>
      <c r="B798">
        <f t="shared" si="25"/>
        <v>567</v>
      </c>
      <c r="C798" s="128">
        <v>43101</v>
      </c>
      <c r="D798" s="25" t="e">
        <f>VLOOKUP(VLOOKUP(B798,SuiteCatSubElem!$G$2:$G$667,2,0),'SXM Q4 18 W'!$A$32:$F$196,1+MATCH(VLOOKUP(A798,Personas!$A$2:$B$6,2,0),'SXM Q4 18 W'!$B$4:$F$4,0),0)</f>
        <v>#REF!</v>
      </c>
      <c r="E798">
        <v>1</v>
      </c>
      <c r="G798">
        <v>1</v>
      </c>
      <c r="H798">
        <v>9</v>
      </c>
    </row>
    <row r="799" spans="1:8">
      <c r="A799">
        <f t="shared" si="24"/>
        <v>4</v>
      </c>
      <c r="B799">
        <f t="shared" si="25"/>
        <v>568</v>
      </c>
      <c r="C799" s="128">
        <v>43101</v>
      </c>
      <c r="D799" s="25" t="e">
        <f>VLOOKUP(VLOOKUP(B799,SuiteCatSubElem!$G$2:$G$667,2,0),'SXM Q4 18 W'!$A$32:$F$196,1+MATCH(VLOOKUP(A799,Personas!$A$2:$B$6,2,0),'SXM Q4 18 W'!$B$4:$F$4,0),0)</f>
        <v>#REF!</v>
      </c>
      <c r="E799">
        <v>1</v>
      </c>
      <c r="G799">
        <v>1</v>
      </c>
      <c r="H799">
        <v>9</v>
      </c>
    </row>
    <row r="800" spans="1:8">
      <c r="A800">
        <f t="shared" si="24"/>
        <v>4</v>
      </c>
      <c r="B800">
        <f t="shared" si="25"/>
        <v>569</v>
      </c>
      <c r="C800" s="128">
        <v>43101</v>
      </c>
      <c r="D800" s="25" t="e">
        <f>VLOOKUP(VLOOKUP(B800,SuiteCatSubElem!$G$2:$G$667,2,0),'SXM Q4 18 W'!$A$32:$F$196,1+MATCH(VLOOKUP(A800,Personas!$A$2:$B$6,2,0),'SXM Q4 18 W'!$B$4:$F$4,0),0)</f>
        <v>#REF!</v>
      </c>
      <c r="E800">
        <v>1</v>
      </c>
      <c r="G800">
        <v>1</v>
      </c>
      <c r="H800">
        <v>9</v>
      </c>
    </row>
    <row r="801" spans="1:8">
      <c r="A801">
        <f t="shared" si="24"/>
        <v>4</v>
      </c>
      <c r="B801">
        <f t="shared" si="25"/>
        <v>570</v>
      </c>
      <c r="C801" s="128">
        <v>43101</v>
      </c>
      <c r="D801" s="25" t="e">
        <f>VLOOKUP(VLOOKUP(B801,SuiteCatSubElem!$G$2:$G$667,2,0),'SXM Q4 18 W'!$A$32:$F$196,1+MATCH(VLOOKUP(A801,Personas!$A$2:$B$6,2,0),'SXM Q4 18 W'!$B$4:$F$4,0),0)</f>
        <v>#REF!</v>
      </c>
      <c r="E801">
        <v>1</v>
      </c>
      <c r="G801">
        <v>1</v>
      </c>
      <c r="H801">
        <v>9</v>
      </c>
    </row>
    <row r="802" spans="1:8">
      <c r="A802">
        <f t="shared" si="24"/>
        <v>4</v>
      </c>
      <c r="B802">
        <f t="shared" si="25"/>
        <v>571</v>
      </c>
      <c r="C802" s="128">
        <v>43101</v>
      </c>
      <c r="D802" s="25" t="e">
        <f>VLOOKUP(VLOOKUP(B802,SuiteCatSubElem!$G$2:$G$667,2,0),'SXM Q4 18 W'!$A$32:$F$196,1+MATCH(VLOOKUP(A802,Personas!$A$2:$B$6,2,0),'SXM Q4 18 W'!$B$4:$F$4,0),0)</f>
        <v>#REF!</v>
      </c>
      <c r="E802">
        <v>1</v>
      </c>
      <c r="G802">
        <v>1</v>
      </c>
      <c r="H802">
        <v>9</v>
      </c>
    </row>
    <row r="803" spans="1:8">
      <c r="A803">
        <f t="shared" si="24"/>
        <v>4</v>
      </c>
      <c r="B803">
        <f t="shared" si="25"/>
        <v>572</v>
      </c>
      <c r="C803" s="128">
        <v>43101</v>
      </c>
      <c r="D803" s="25" t="e">
        <f>VLOOKUP(VLOOKUP(B803,SuiteCatSubElem!$G$2:$G$667,2,0),'SXM Q4 18 W'!$A$32:$F$196,1+MATCH(VLOOKUP(A803,Personas!$A$2:$B$6,2,0),'SXM Q4 18 W'!$B$4:$F$4,0),0)</f>
        <v>#REF!</v>
      </c>
      <c r="E803">
        <v>1</v>
      </c>
      <c r="G803">
        <v>1</v>
      </c>
      <c r="H803">
        <v>9</v>
      </c>
    </row>
    <row r="804" spans="1:8">
      <c r="A804">
        <f t="shared" si="24"/>
        <v>4</v>
      </c>
      <c r="B804">
        <f t="shared" si="25"/>
        <v>573</v>
      </c>
      <c r="C804" s="128">
        <v>43101</v>
      </c>
      <c r="D804" s="25" t="e">
        <f>VLOOKUP(VLOOKUP(B804,SuiteCatSubElem!$G$2:$G$667,2,0),'SXM Q4 18 W'!$A$32:$F$196,1+MATCH(VLOOKUP(A804,Personas!$A$2:$B$6,2,0),'SXM Q4 18 W'!$B$4:$F$4,0),0)</f>
        <v>#REF!</v>
      </c>
      <c r="E804">
        <v>1</v>
      </c>
      <c r="G804">
        <v>1</v>
      </c>
      <c r="H804">
        <v>9</v>
      </c>
    </row>
    <row r="805" spans="1:8">
      <c r="A805">
        <f t="shared" si="24"/>
        <v>4</v>
      </c>
      <c r="B805">
        <f t="shared" si="25"/>
        <v>574</v>
      </c>
      <c r="C805" s="128">
        <v>43101</v>
      </c>
      <c r="D805" s="25" t="e">
        <f>VLOOKUP(VLOOKUP(B805,SuiteCatSubElem!$G$2:$G$667,2,0),'SXM Q4 18 W'!$A$32:$F$196,1+MATCH(VLOOKUP(A805,Personas!$A$2:$B$6,2,0),'SXM Q4 18 W'!$B$4:$F$4,0),0)</f>
        <v>#REF!</v>
      </c>
      <c r="E805">
        <v>1</v>
      </c>
      <c r="G805">
        <v>1</v>
      </c>
      <c r="H805">
        <v>9</v>
      </c>
    </row>
    <row r="806" spans="1:8">
      <c r="A806">
        <f t="shared" si="24"/>
        <v>4</v>
      </c>
      <c r="B806">
        <f t="shared" si="25"/>
        <v>575</v>
      </c>
      <c r="C806" s="128">
        <v>43101</v>
      </c>
      <c r="D806" s="25" t="e">
        <f>VLOOKUP(VLOOKUP(B806,SuiteCatSubElem!$G$2:$G$667,2,0),'SXM Q4 18 W'!$A$32:$F$196,1+MATCH(VLOOKUP(A806,Personas!$A$2:$B$6,2,0),'SXM Q4 18 W'!$B$4:$F$4,0),0)</f>
        <v>#REF!</v>
      </c>
      <c r="E806">
        <v>1</v>
      </c>
      <c r="G806">
        <v>1</v>
      </c>
      <c r="H806">
        <v>9</v>
      </c>
    </row>
    <row r="807" spans="1:8">
      <c r="A807">
        <f t="shared" si="24"/>
        <v>4</v>
      </c>
      <c r="B807">
        <f t="shared" si="25"/>
        <v>576</v>
      </c>
      <c r="C807" s="128">
        <v>43101</v>
      </c>
      <c r="D807" s="25" t="e">
        <f>VLOOKUP(VLOOKUP(B807,SuiteCatSubElem!$G$2:$G$667,2,0),'SXM Q4 18 W'!$A$32:$F$196,1+MATCH(VLOOKUP(A807,Personas!$A$2:$B$6,2,0),'SXM Q4 18 W'!$B$4:$F$4,0),0)</f>
        <v>#REF!</v>
      </c>
      <c r="E807">
        <v>1</v>
      </c>
      <c r="G807">
        <v>1</v>
      </c>
      <c r="H807">
        <v>9</v>
      </c>
    </row>
    <row r="808" spans="1:8">
      <c r="A808">
        <f t="shared" si="24"/>
        <v>4</v>
      </c>
      <c r="B808">
        <f t="shared" si="25"/>
        <v>577</v>
      </c>
      <c r="C808" s="128">
        <v>43101</v>
      </c>
      <c r="D808" s="25" t="e">
        <f>VLOOKUP(VLOOKUP(B808,SuiteCatSubElem!$G$2:$G$667,2,0),'SXM Q4 18 W'!$A$32:$F$196,1+MATCH(VLOOKUP(A808,Personas!$A$2:$B$6,2,0),'SXM Q4 18 W'!$B$4:$F$4,0),0)</f>
        <v>#REF!</v>
      </c>
      <c r="E808">
        <v>1</v>
      </c>
      <c r="G808">
        <v>1</v>
      </c>
      <c r="H808">
        <v>9</v>
      </c>
    </row>
    <row r="809" spans="1:8">
      <c r="A809">
        <f t="shared" si="24"/>
        <v>4</v>
      </c>
      <c r="B809">
        <f t="shared" si="25"/>
        <v>578</v>
      </c>
      <c r="C809" s="128">
        <v>43101</v>
      </c>
      <c r="D809" s="25" t="e">
        <f>VLOOKUP(VLOOKUP(B809,SuiteCatSubElem!$G$2:$G$667,2,0),'SXM Q4 18 W'!$A$32:$F$196,1+MATCH(VLOOKUP(A809,Personas!$A$2:$B$6,2,0),'SXM Q4 18 W'!$B$4:$F$4,0),0)</f>
        <v>#REF!</v>
      </c>
      <c r="E809">
        <v>1</v>
      </c>
      <c r="G809">
        <v>1</v>
      </c>
      <c r="H809">
        <v>9</v>
      </c>
    </row>
    <row r="810" spans="1:8">
      <c r="A810">
        <f t="shared" si="24"/>
        <v>4</v>
      </c>
      <c r="B810">
        <f t="shared" si="25"/>
        <v>579</v>
      </c>
      <c r="C810" s="128">
        <v>43101</v>
      </c>
      <c r="D810" s="25" t="e">
        <f>VLOOKUP(VLOOKUP(B810,SuiteCatSubElem!$G$2:$G$667,2,0),'SXM Q4 18 W'!$A$32:$F$196,1+MATCH(VLOOKUP(A810,Personas!$A$2:$B$6,2,0),'SXM Q4 18 W'!$B$4:$F$4,0),0)</f>
        <v>#REF!</v>
      </c>
      <c r="E810">
        <v>1</v>
      </c>
      <c r="G810">
        <v>1</v>
      </c>
      <c r="H810">
        <v>9</v>
      </c>
    </row>
    <row r="811" spans="1:8">
      <c r="A811">
        <f t="shared" si="24"/>
        <v>4</v>
      </c>
      <c r="B811">
        <f t="shared" si="25"/>
        <v>580</v>
      </c>
      <c r="C811" s="128">
        <v>43101</v>
      </c>
      <c r="D811" s="25" t="e">
        <f>VLOOKUP(VLOOKUP(B811,SuiteCatSubElem!$G$2:$G$667,2,0),'SXM Q4 18 W'!$A$32:$F$196,1+MATCH(VLOOKUP(A811,Personas!$A$2:$B$6,2,0),'SXM Q4 18 W'!$B$4:$F$4,0),0)</f>
        <v>#REF!</v>
      </c>
      <c r="E811">
        <v>1</v>
      </c>
      <c r="G811">
        <v>1</v>
      </c>
      <c r="H811">
        <v>9</v>
      </c>
    </row>
    <row r="812" spans="1:8">
      <c r="A812">
        <f t="shared" si="24"/>
        <v>4</v>
      </c>
      <c r="B812">
        <f t="shared" si="25"/>
        <v>581</v>
      </c>
      <c r="C812" s="128">
        <v>43101</v>
      </c>
      <c r="D812" s="25" t="e">
        <f>VLOOKUP(VLOOKUP(B812,SuiteCatSubElem!$G$2:$G$667,2,0),'SXM Q4 18 W'!$A$32:$F$196,1+MATCH(VLOOKUP(A812,Personas!$A$2:$B$6,2,0),'SXM Q4 18 W'!$B$4:$F$4,0),0)</f>
        <v>#REF!</v>
      </c>
      <c r="E812">
        <v>1</v>
      </c>
      <c r="G812">
        <v>1</v>
      </c>
      <c r="H812">
        <v>9</v>
      </c>
    </row>
    <row r="813" spans="1:8">
      <c r="A813">
        <f t="shared" si="24"/>
        <v>4</v>
      </c>
      <c r="B813">
        <f t="shared" si="25"/>
        <v>582</v>
      </c>
      <c r="C813" s="128">
        <v>43101</v>
      </c>
      <c r="D813" s="25" t="e">
        <f>VLOOKUP(VLOOKUP(B813,SuiteCatSubElem!$G$2:$G$667,2,0),'SXM Q4 18 W'!$A$32:$F$196,1+MATCH(VLOOKUP(A813,Personas!$A$2:$B$6,2,0),'SXM Q4 18 W'!$B$4:$F$4,0),0)</f>
        <v>#REF!</v>
      </c>
      <c r="E813">
        <v>1</v>
      </c>
      <c r="G813">
        <v>1</v>
      </c>
      <c r="H813">
        <v>9</v>
      </c>
    </row>
    <row r="814" spans="1:8">
      <c r="A814">
        <f t="shared" si="24"/>
        <v>4</v>
      </c>
      <c r="B814">
        <f t="shared" si="25"/>
        <v>583</v>
      </c>
      <c r="C814" s="128">
        <v>43101</v>
      </c>
      <c r="D814" s="25" t="e">
        <f>VLOOKUP(VLOOKUP(B814,SuiteCatSubElem!$G$2:$G$667,2,0),'SXM Q4 18 W'!$A$32:$F$196,1+MATCH(VLOOKUP(A814,Personas!$A$2:$B$6,2,0),'SXM Q4 18 W'!$B$4:$F$4,0),0)</f>
        <v>#REF!</v>
      </c>
      <c r="E814">
        <v>1</v>
      </c>
      <c r="G814">
        <v>1</v>
      </c>
      <c r="H814">
        <v>9</v>
      </c>
    </row>
    <row r="815" spans="1:8">
      <c r="A815">
        <f t="shared" si="24"/>
        <v>4</v>
      </c>
      <c r="B815">
        <f t="shared" si="25"/>
        <v>584</v>
      </c>
      <c r="C815" s="128">
        <v>43101</v>
      </c>
      <c r="D815" s="25" t="e">
        <f>VLOOKUP(VLOOKUP(B815,SuiteCatSubElem!$G$2:$G$667,2,0),'SXM Q4 18 W'!$A$32:$F$196,1+MATCH(VLOOKUP(A815,Personas!$A$2:$B$6,2,0),'SXM Q4 18 W'!$B$4:$F$4,0),0)</f>
        <v>#REF!</v>
      </c>
      <c r="E815">
        <v>1</v>
      </c>
      <c r="G815">
        <v>1</v>
      </c>
      <c r="H815">
        <v>9</v>
      </c>
    </row>
    <row r="816" spans="1:8">
      <c r="A816">
        <f t="shared" si="24"/>
        <v>4</v>
      </c>
      <c r="B816">
        <f t="shared" si="25"/>
        <v>585</v>
      </c>
      <c r="C816" s="128">
        <v>43101</v>
      </c>
      <c r="D816" s="25" t="e">
        <f>VLOOKUP(VLOOKUP(B816,SuiteCatSubElem!$G$2:$G$667,2,0),'SXM Q4 18 W'!$A$32:$F$196,1+MATCH(VLOOKUP(A816,Personas!$A$2:$B$6,2,0),'SXM Q4 18 W'!$B$4:$F$4,0),0)</f>
        <v>#REF!</v>
      </c>
      <c r="E816">
        <v>1</v>
      </c>
      <c r="G816">
        <v>1</v>
      </c>
      <c r="H816">
        <v>9</v>
      </c>
    </row>
    <row r="817" spans="1:8">
      <c r="A817">
        <f t="shared" si="24"/>
        <v>4</v>
      </c>
      <c r="B817">
        <f t="shared" si="25"/>
        <v>586</v>
      </c>
      <c r="C817" s="128">
        <v>43101</v>
      </c>
      <c r="D817" s="25" t="e">
        <f>VLOOKUP(VLOOKUP(B817,SuiteCatSubElem!$G$2:$G$667,2,0),'SXM Q4 18 W'!$A$32:$F$196,1+MATCH(VLOOKUP(A817,Personas!$A$2:$B$6,2,0),'SXM Q4 18 W'!$B$4:$F$4,0),0)</f>
        <v>#REF!</v>
      </c>
      <c r="E817">
        <v>1</v>
      </c>
      <c r="G817">
        <v>1</v>
      </c>
      <c r="H817">
        <v>9</v>
      </c>
    </row>
    <row r="818" spans="1:8">
      <c r="A818">
        <f t="shared" si="24"/>
        <v>4</v>
      </c>
      <c r="B818">
        <f t="shared" si="25"/>
        <v>587</v>
      </c>
      <c r="C818" s="128">
        <v>43101</v>
      </c>
      <c r="D818" s="25" t="e">
        <f>VLOOKUP(VLOOKUP(B818,SuiteCatSubElem!$G$2:$G$667,2,0),'SXM Q4 18 W'!$A$32:$F$196,1+MATCH(VLOOKUP(A818,Personas!$A$2:$B$6,2,0),'SXM Q4 18 W'!$B$4:$F$4,0),0)</f>
        <v>#REF!</v>
      </c>
      <c r="E818">
        <v>1</v>
      </c>
      <c r="G818">
        <v>1</v>
      </c>
      <c r="H818">
        <v>9</v>
      </c>
    </row>
    <row r="819" spans="1:8">
      <c r="A819">
        <f t="shared" si="24"/>
        <v>4</v>
      </c>
      <c r="B819">
        <f t="shared" si="25"/>
        <v>588</v>
      </c>
      <c r="C819" s="128">
        <v>43101</v>
      </c>
      <c r="D819" s="25" t="e">
        <f>VLOOKUP(VLOOKUP(B819,SuiteCatSubElem!$G$2:$G$667,2,0),'SXM Q4 18 W'!$A$32:$F$196,1+MATCH(VLOOKUP(A819,Personas!$A$2:$B$6,2,0),'SXM Q4 18 W'!$B$4:$F$4,0),0)</f>
        <v>#REF!</v>
      </c>
      <c r="E819">
        <v>1</v>
      </c>
      <c r="G819">
        <v>1</v>
      </c>
      <c r="H819">
        <v>9</v>
      </c>
    </row>
    <row r="820" spans="1:8">
      <c r="A820">
        <f t="shared" si="24"/>
        <v>4</v>
      </c>
      <c r="B820">
        <f t="shared" si="25"/>
        <v>589</v>
      </c>
      <c r="C820" s="128">
        <v>43101</v>
      </c>
      <c r="D820" s="25" t="e">
        <f>VLOOKUP(VLOOKUP(B820,SuiteCatSubElem!$G$2:$G$667,2,0),'SXM Q4 18 W'!$A$32:$F$196,1+MATCH(VLOOKUP(A820,Personas!$A$2:$B$6,2,0),'SXM Q4 18 W'!$B$4:$F$4,0),0)</f>
        <v>#REF!</v>
      </c>
      <c r="E820">
        <v>1</v>
      </c>
      <c r="G820">
        <v>1</v>
      </c>
      <c r="H820">
        <v>9</v>
      </c>
    </row>
    <row r="821" spans="1:8">
      <c r="A821">
        <f t="shared" si="24"/>
        <v>4</v>
      </c>
      <c r="B821">
        <f t="shared" si="25"/>
        <v>590</v>
      </c>
      <c r="C821" s="128">
        <v>43101</v>
      </c>
      <c r="D821" s="25" t="e">
        <f>VLOOKUP(VLOOKUP(B821,SuiteCatSubElem!$G$2:$G$667,2,0),'SXM Q4 18 W'!$A$32:$F$196,1+MATCH(VLOOKUP(A821,Personas!$A$2:$B$6,2,0),'SXM Q4 18 W'!$B$4:$F$4,0),0)</f>
        <v>#REF!</v>
      </c>
      <c r="E821">
        <v>1</v>
      </c>
      <c r="G821">
        <v>1</v>
      </c>
      <c r="H821">
        <v>9</v>
      </c>
    </row>
    <row r="822" spans="1:8">
      <c r="A822">
        <f t="shared" si="24"/>
        <v>4</v>
      </c>
      <c r="B822">
        <f t="shared" si="25"/>
        <v>591</v>
      </c>
      <c r="C822" s="128">
        <v>43101</v>
      </c>
      <c r="D822" s="25" t="e">
        <f>VLOOKUP(VLOOKUP(B822,SuiteCatSubElem!$G$2:$G$667,2,0),'SXM Q4 18 W'!$A$32:$F$196,1+MATCH(VLOOKUP(A822,Personas!$A$2:$B$6,2,0),'SXM Q4 18 W'!$B$4:$F$4,0),0)</f>
        <v>#REF!</v>
      </c>
      <c r="E822">
        <v>1</v>
      </c>
      <c r="G822">
        <v>1</v>
      </c>
      <c r="H822">
        <v>9</v>
      </c>
    </row>
    <row r="823" spans="1:8">
      <c r="A823">
        <f t="shared" si="24"/>
        <v>4</v>
      </c>
      <c r="B823">
        <f t="shared" si="25"/>
        <v>592</v>
      </c>
      <c r="C823" s="128">
        <v>43101</v>
      </c>
      <c r="D823" s="25" t="e">
        <f>VLOOKUP(VLOOKUP(B823,SuiteCatSubElem!$G$2:$G$667,2,0),'SXM Q4 18 W'!$A$32:$F$196,1+MATCH(VLOOKUP(A823,Personas!$A$2:$B$6,2,0),'SXM Q4 18 W'!$B$4:$F$4,0),0)</f>
        <v>#REF!</v>
      </c>
      <c r="E823">
        <v>1</v>
      </c>
      <c r="G823">
        <v>1</v>
      </c>
      <c r="H823">
        <v>9</v>
      </c>
    </row>
    <row r="824" spans="1:8">
      <c r="A824">
        <f t="shared" si="24"/>
        <v>4</v>
      </c>
      <c r="B824">
        <f t="shared" si="25"/>
        <v>593</v>
      </c>
      <c r="C824" s="128">
        <v>43101</v>
      </c>
      <c r="D824" s="25" t="e">
        <f>VLOOKUP(VLOOKUP(B824,SuiteCatSubElem!$G$2:$G$667,2,0),'SXM Q4 18 W'!$A$32:$F$196,1+MATCH(VLOOKUP(A824,Personas!$A$2:$B$6,2,0),'SXM Q4 18 W'!$B$4:$F$4,0),0)</f>
        <v>#REF!</v>
      </c>
      <c r="E824">
        <v>1</v>
      </c>
      <c r="G824">
        <v>1</v>
      </c>
      <c r="H824">
        <v>9</v>
      </c>
    </row>
    <row r="825" spans="1:8">
      <c r="A825">
        <f t="shared" si="24"/>
        <v>4</v>
      </c>
      <c r="B825">
        <f t="shared" si="25"/>
        <v>594</v>
      </c>
      <c r="C825" s="128">
        <v>43101</v>
      </c>
      <c r="D825" s="25" t="e">
        <f>VLOOKUP(VLOOKUP(B825,SuiteCatSubElem!$G$2:$G$667,2,0),'SXM Q4 18 W'!$A$32:$F$196,1+MATCH(VLOOKUP(A825,Personas!$A$2:$B$6,2,0),'SXM Q4 18 W'!$B$4:$F$4,0),0)</f>
        <v>#REF!</v>
      </c>
      <c r="E825">
        <v>1</v>
      </c>
      <c r="G825">
        <v>1</v>
      </c>
      <c r="H825">
        <v>9</v>
      </c>
    </row>
    <row r="826" spans="1:8">
      <c r="A826">
        <f t="shared" si="24"/>
        <v>5</v>
      </c>
      <c r="B826">
        <f t="shared" si="25"/>
        <v>494</v>
      </c>
      <c r="C826" s="128">
        <v>43101</v>
      </c>
      <c r="D826" s="25" t="e">
        <f>VLOOKUP(VLOOKUP(B826,SuiteCatSubElem!$G$2:$G$667,2,0),'SXM Q4 18 W'!$A$32:$F$196,1+MATCH(VLOOKUP(A826,Personas!$A$2:$B$6,2,0),'SXM Q4 18 W'!$B$4:$F$4,0),0)</f>
        <v>#REF!</v>
      </c>
      <c r="E826">
        <v>1</v>
      </c>
      <c r="G826">
        <v>1</v>
      </c>
      <c r="H826">
        <v>9</v>
      </c>
    </row>
    <row r="827" spans="1:8">
      <c r="A827">
        <f t="shared" si="24"/>
        <v>5</v>
      </c>
      <c r="B827">
        <f t="shared" si="25"/>
        <v>495</v>
      </c>
      <c r="C827" s="128">
        <v>43101</v>
      </c>
      <c r="D827" s="25" t="e">
        <f>VLOOKUP(VLOOKUP(B827,SuiteCatSubElem!$G$2:$G$667,2,0),'SXM Q4 18 W'!$A$32:$F$196,1+MATCH(VLOOKUP(A827,Personas!$A$2:$B$6,2,0),'SXM Q4 18 W'!$B$4:$F$4,0),0)</f>
        <v>#REF!</v>
      </c>
      <c r="E827">
        <v>1</v>
      </c>
      <c r="G827">
        <v>1</v>
      </c>
      <c r="H827">
        <v>9</v>
      </c>
    </row>
    <row r="828" spans="1:8">
      <c r="A828">
        <f t="shared" si="24"/>
        <v>5</v>
      </c>
      <c r="B828">
        <f t="shared" si="25"/>
        <v>496</v>
      </c>
      <c r="C828" s="128">
        <v>43101</v>
      </c>
      <c r="D828" s="25" t="e">
        <f>VLOOKUP(VLOOKUP(B828,SuiteCatSubElem!$G$2:$G$667,2,0),'SXM Q4 18 W'!$A$32:$F$196,1+MATCH(VLOOKUP(A828,Personas!$A$2:$B$6,2,0),'SXM Q4 18 W'!$B$4:$F$4,0),0)</f>
        <v>#REF!</v>
      </c>
      <c r="E828">
        <v>1</v>
      </c>
      <c r="G828">
        <v>1</v>
      </c>
      <c r="H828">
        <v>9</v>
      </c>
    </row>
    <row r="829" spans="1:8">
      <c r="A829">
        <f t="shared" si="24"/>
        <v>5</v>
      </c>
      <c r="B829">
        <f t="shared" si="25"/>
        <v>497</v>
      </c>
      <c r="C829" s="128">
        <v>43101</v>
      </c>
      <c r="D829" s="25" t="e">
        <f>VLOOKUP(VLOOKUP(B829,SuiteCatSubElem!$G$2:$G$667,2,0),'SXM Q4 18 W'!$A$32:$F$196,1+MATCH(VLOOKUP(A829,Personas!$A$2:$B$6,2,0),'SXM Q4 18 W'!$B$4:$F$4,0),0)</f>
        <v>#REF!</v>
      </c>
      <c r="E829">
        <v>1</v>
      </c>
      <c r="G829">
        <v>1</v>
      </c>
      <c r="H829">
        <v>9</v>
      </c>
    </row>
    <row r="830" spans="1:8">
      <c r="A830">
        <f t="shared" si="24"/>
        <v>5</v>
      </c>
      <c r="B830">
        <f t="shared" si="25"/>
        <v>498</v>
      </c>
      <c r="C830" s="128">
        <v>43101</v>
      </c>
      <c r="D830" s="25" t="e">
        <f>VLOOKUP(VLOOKUP(B830,SuiteCatSubElem!$G$2:$G$667,2,0),'SXM Q4 18 W'!$A$32:$F$196,1+MATCH(VLOOKUP(A830,Personas!$A$2:$B$6,2,0),'SXM Q4 18 W'!$B$4:$F$4,0),0)</f>
        <v>#REF!</v>
      </c>
      <c r="E830">
        <v>1</v>
      </c>
      <c r="G830">
        <v>1</v>
      </c>
      <c r="H830">
        <v>9</v>
      </c>
    </row>
    <row r="831" spans="1:8">
      <c r="A831">
        <f t="shared" si="24"/>
        <v>5</v>
      </c>
      <c r="B831">
        <f t="shared" si="25"/>
        <v>499</v>
      </c>
      <c r="C831" s="128">
        <v>43101</v>
      </c>
      <c r="D831" s="25" t="e">
        <f>VLOOKUP(VLOOKUP(B831,SuiteCatSubElem!$G$2:$G$667,2,0),'SXM Q4 18 W'!$A$32:$F$196,1+MATCH(VLOOKUP(A831,Personas!$A$2:$B$6,2,0),'SXM Q4 18 W'!$B$4:$F$4,0),0)</f>
        <v>#REF!</v>
      </c>
      <c r="E831">
        <v>1</v>
      </c>
      <c r="G831">
        <v>1</v>
      </c>
      <c r="H831">
        <v>9</v>
      </c>
    </row>
    <row r="832" spans="1:8">
      <c r="A832">
        <f t="shared" si="24"/>
        <v>5</v>
      </c>
      <c r="B832">
        <f t="shared" si="25"/>
        <v>500</v>
      </c>
      <c r="C832" s="128">
        <v>43101</v>
      </c>
      <c r="D832" s="25" t="e">
        <f>VLOOKUP(VLOOKUP(B832,SuiteCatSubElem!$G$2:$G$667,2,0),'SXM Q4 18 W'!$A$32:$F$196,1+MATCH(VLOOKUP(A832,Personas!$A$2:$B$6,2,0),'SXM Q4 18 W'!$B$4:$F$4,0),0)</f>
        <v>#REF!</v>
      </c>
      <c r="E832">
        <v>1</v>
      </c>
      <c r="G832">
        <v>1</v>
      </c>
      <c r="H832">
        <v>9</v>
      </c>
    </row>
    <row r="833" spans="1:8">
      <c r="A833">
        <f t="shared" si="24"/>
        <v>5</v>
      </c>
      <c r="B833">
        <f t="shared" si="25"/>
        <v>501</v>
      </c>
      <c r="C833" s="128">
        <v>43101</v>
      </c>
      <c r="D833" s="25" t="e">
        <f>VLOOKUP(VLOOKUP(B833,SuiteCatSubElem!$G$2:$G$667,2,0),'SXM Q4 18 W'!$A$32:$F$196,1+MATCH(VLOOKUP(A833,Personas!$A$2:$B$6,2,0),'SXM Q4 18 W'!$B$4:$F$4,0),0)</f>
        <v>#REF!</v>
      </c>
      <c r="E833">
        <v>1</v>
      </c>
      <c r="G833">
        <v>1</v>
      </c>
      <c r="H833">
        <v>9</v>
      </c>
    </row>
    <row r="834" spans="1:8">
      <c r="A834">
        <f t="shared" si="24"/>
        <v>5</v>
      </c>
      <c r="B834">
        <f t="shared" si="25"/>
        <v>502</v>
      </c>
      <c r="C834" s="128">
        <v>43101</v>
      </c>
      <c r="D834" s="25" t="e">
        <f>VLOOKUP(VLOOKUP(B834,SuiteCatSubElem!$G$2:$G$667,2,0),'SXM Q4 18 W'!$A$32:$F$196,1+MATCH(VLOOKUP(A834,Personas!$A$2:$B$6,2,0),'SXM Q4 18 W'!$B$4:$F$4,0),0)</f>
        <v>#REF!</v>
      </c>
      <c r="E834">
        <v>1</v>
      </c>
      <c r="G834">
        <v>1</v>
      </c>
      <c r="H834">
        <v>9</v>
      </c>
    </row>
    <row r="835" spans="1:8">
      <c r="A835">
        <f t="shared" si="24"/>
        <v>5</v>
      </c>
      <c r="B835">
        <f t="shared" si="25"/>
        <v>503</v>
      </c>
      <c r="C835" s="128">
        <v>43101</v>
      </c>
      <c r="D835" s="25" t="e">
        <f>VLOOKUP(VLOOKUP(B835,SuiteCatSubElem!$G$2:$G$667,2,0),'SXM Q4 18 W'!$A$32:$F$196,1+MATCH(VLOOKUP(A835,Personas!$A$2:$B$6,2,0),'SXM Q4 18 W'!$B$4:$F$4,0),0)</f>
        <v>#REF!</v>
      </c>
      <c r="E835">
        <v>1</v>
      </c>
      <c r="G835">
        <v>1</v>
      </c>
      <c r="H835">
        <v>9</v>
      </c>
    </row>
    <row r="836" spans="1:8">
      <c r="A836">
        <f t="shared" si="24"/>
        <v>5</v>
      </c>
      <c r="B836">
        <f t="shared" si="25"/>
        <v>504</v>
      </c>
      <c r="C836" s="128">
        <v>43101</v>
      </c>
      <c r="D836" s="25" t="e">
        <f>VLOOKUP(VLOOKUP(B836,SuiteCatSubElem!$G$2:$G$667,2,0),'SXM Q4 18 W'!$A$32:$F$196,1+MATCH(VLOOKUP(A836,Personas!$A$2:$B$6,2,0),'SXM Q4 18 W'!$B$4:$F$4,0),0)</f>
        <v>#REF!</v>
      </c>
      <c r="E836">
        <v>1</v>
      </c>
      <c r="G836">
        <v>1</v>
      </c>
      <c r="H836">
        <v>9</v>
      </c>
    </row>
    <row r="837" spans="1:8">
      <c r="A837">
        <f t="shared" ref="A837:A865" si="26">A736+1</f>
        <v>5</v>
      </c>
      <c r="B837">
        <f t="shared" ref="B837:B865" si="27">B736</f>
        <v>505</v>
      </c>
      <c r="C837" s="128">
        <v>43101</v>
      </c>
      <c r="D837" s="25" t="e">
        <f>VLOOKUP(VLOOKUP(B837,SuiteCatSubElem!$G$2:$G$667,2,0),'SXM Q4 18 W'!$A$32:$F$196,1+MATCH(VLOOKUP(A837,Personas!$A$2:$B$6,2,0),'SXM Q4 18 W'!$B$4:$F$4,0),0)</f>
        <v>#REF!</v>
      </c>
      <c r="E837">
        <v>1</v>
      </c>
      <c r="G837">
        <v>1</v>
      </c>
      <c r="H837">
        <v>9</v>
      </c>
    </row>
    <row r="838" spans="1:8">
      <c r="A838">
        <f t="shared" si="26"/>
        <v>5</v>
      </c>
      <c r="B838">
        <f t="shared" si="27"/>
        <v>506</v>
      </c>
      <c r="C838" s="128">
        <v>43101</v>
      </c>
      <c r="D838" s="25" t="e">
        <f>VLOOKUP(VLOOKUP(B838,SuiteCatSubElem!$G$2:$G$667,2,0),'SXM Q4 18 W'!$A$32:$F$196,1+MATCH(VLOOKUP(A838,Personas!$A$2:$B$6,2,0),'SXM Q4 18 W'!$B$4:$F$4,0),0)</f>
        <v>#REF!</v>
      </c>
      <c r="E838">
        <v>1</v>
      </c>
      <c r="G838">
        <v>1</v>
      </c>
      <c r="H838">
        <v>9</v>
      </c>
    </row>
    <row r="839" spans="1:8">
      <c r="A839">
        <f t="shared" si="26"/>
        <v>5</v>
      </c>
      <c r="B839">
        <f t="shared" si="27"/>
        <v>507</v>
      </c>
      <c r="C839" s="128">
        <v>43101</v>
      </c>
      <c r="D839" s="25" t="e">
        <f>VLOOKUP(VLOOKUP(B839,SuiteCatSubElem!$G$2:$G$667,2,0),'SXM Q4 18 W'!$A$32:$F$196,1+MATCH(VLOOKUP(A839,Personas!$A$2:$B$6,2,0),'SXM Q4 18 W'!$B$4:$F$4,0),0)</f>
        <v>#REF!</v>
      </c>
      <c r="E839">
        <v>1</v>
      </c>
      <c r="G839">
        <v>1</v>
      </c>
      <c r="H839">
        <v>9</v>
      </c>
    </row>
    <row r="840" spans="1:8">
      <c r="A840">
        <f t="shared" si="26"/>
        <v>5</v>
      </c>
      <c r="B840">
        <f t="shared" si="27"/>
        <v>508</v>
      </c>
      <c r="C840" s="128">
        <v>43101</v>
      </c>
      <c r="D840" s="25" t="e">
        <f>VLOOKUP(VLOOKUP(B840,SuiteCatSubElem!$G$2:$G$667,2,0),'SXM Q4 18 W'!$A$32:$F$196,1+MATCH(VLOOKUP(A840,Personas!$A$2:$B$6,2,0),'SXM Q4 18 W'!$B$4:$F$4,0),0)</f>
        <v>#REF!</v>
      </c>
      <c r="E840">
        <v>1</v>
      </c>
      <c r="G840">
        <v>1</v>
      </c>
      <c r="H840">
        <v>9</v>
      </c>
    </row>
    <row r="841" spans="1:8">
      <c r="A841">
        <f t="shared" si="26"/>
        <v>5</v>
      </c>
      <c r="B841">
        <f t="shared" si="27"/>
        <v>509</v>
      </c>
      <c r="C841" s="128">
        <v>43101</v>
      </c>
      <c r="D841" s="25" t="e">
        <f>VLOOKUP(VLOOKUP(B841,SuiteCatSubElem!$G$2:$G$667,2,0),'SXM Q4 18 W'!$A$32:$F$196,1+MATCH(VLOOKUP(A841,Personas!$A$2:$B$6,2,0),'SXM Q4 18 W'!$B$4:$F$4,0),0)</f>
        <v>#REF!</v>
      </c>
      <c r="E841">
        <v>1</v>
      </c>
      <c r="G841">
        <v>1</v>
      </c>
      <c r="H841">
        <v>9</v>
      </c>
    </row>
    <row r="842" spans="1:8">
      <c r="A842">
        <f t="shared" si="26"/>
        <v>5</v>
      </c>
      <c r="B842">
        <f t="shared" si="27"/>
        <v>510</v>
      </c>
      <c r="C842" s="128">
        <v>43101</v>
      </c>
      <c r="D842" s="25" t="e">
        <f>VLOOKUP(VLOOKUP(B842,SuiteCatSubElem!$G$2:$G$667,2,0),'SXM Q4 18 W'!$A$32:$F$196,1+MATCH(VLOOKUP(A842,Personas!$A$2:$B$6,2,0),'SXM Q4 18 W'!$B$4:$F$4,0),0)</f>
        <v>#REF!</v>
      </c>
      <c r="E842">
        <v>1</v>
      </c>
      <c r="G842">
        <v>1</v>
      </c>
      <c r="H842">
        <v>9</v>
      </c>
    </row>
    <row r="843" spans="1:8">
      <c r="A843">
        <f t="shared" si="26"/>
        <v>5</v>
      </c>
      <c r="B843">
        <f t="shared" si="27"/>
        <v>511</v>
      </c>
      <c r="C843" s="128">
        <v>43101</v>
      </c>
      <c r="D843" s="25" t="e">
        <f>VLOOKUP(VLOOKUP(B843,SuiteCatSubElem!$G$2:$G$667,2,0),'SXM Q4 18 W'!$A$32:$F$196,1+MATCH(VLOOKUP(A843,Personas!$A$2:$B$6,2,0),'SXM Q4 18 W'!$B$4:$F$4,0),0)</f>
        <v>#REF!</v>
      </c>
      <c r="E843">
        <v>1</v>
      </c>
      <c r="G843">
        <v>1</v>
      </c>
      <c r="H843">
        <v>9</v>
      </c>
    </row>
    <row r="844" spans="1:8">
      <c r="A844">
        <f t="shared" si="26"/>
        <v>5</v>
      </c>
      <c r="B844">
        <f t="shared" si="27"/>
        <v>512</v>
      </c>
      <c r="C844" s="128">
        <v>43101</v>
      </c>
      <c r="D844" s="25" t="e">
        <f>VLOOKUP(VLOOKUP(B844,SuiteCatSubElem!$G$2:$G$667,2,0),'SXM Q4 18 W'!$A$32:$F$196,1+MATCH(VLOOKUP(A844,Personas!$A$2:$B$6,2,0),'SXM Q4 18 W'!$B$4:$F$4,0),0)</f>
        <v>#REF!</v>
      </c>
      <c r="E844">
        <v>1</v>
      </c>
      <c r="G844">
        <v>1</v>
      </c>
      <c r="H844">
        <v>9</v>
      </c>
    </row>
    <row r="845" spans="1:8">
      <c r="A845">
        <f t="shared" si="26"/>
        <v>5</v>
      </c>
      <c r="B845">
        <f t="shared" si="27"/>
        <v>513</v>
      </c>
      <c r="C845" s="128">
        <v>43101</v>
      </c>
      <c r="D845" s="25" t="e">
        <f>VLOOKUP(VLOOKUP(B845,SuiteCatSubElem!$G$2:$G$667,2,0),'SXM Q4 18 W'!$A$32:$F$196,1+MATCH(VLOOKUP(A845,Personas!$A$2:$B$6,2,0),'SXM Q4 18 W'!$B$4:$F$4,0),0)</f>
        <v>#REF!</v>
      </c>
      <c r="E845">
        <v>1</v>
      </c>
      <c r="G845">
        <v>1</v>
      </c>
      <c r="H845">
        <v>9</v>
      </c>
    </row>
    <row r="846" spans="1:8">
      <c r="A846">
        <f t="shared" si="26"/>
        <v>5</v>
      </c>
      <c r="B846">
        <f t="shared" si="27"/>
        <v>514</v>
      </c>
      <c r="C846" s="128">
        <v>43101</v>
      </c>
      <c r="D846" s="25" t="e">
        <f>VLOOKUP(VLOOKUP(B846,SuiteCatSubElem!$G$2:$G$667,2,0),'SXM Q4 18 W'!$A$32:$F$196,1+MATCH(VLOOKUP(A846,Personas!$A$2:$B$6,2,0),'SXM Q4 18 W'!$B$4:$F$4,0),0)</f>
        <v>#REF!</v>
      </c>
      <c r="E846">
        <v>1</v>
      </c>
      <c r="G846">
        <v>1</v>
      </c>
      <c r="H846">
        <v>9</v>
      </c>
    </row>
    <row r="847" spans="1:8">
      <c r="A847">
        <f t="shared" si="26"/>
        <v>5</v>
      </c>
      <c r="B847">
        <f t="shared" si="27"/>
        <v>515</v>
      </c>
      <c r="C847" s="128">
        <v>43101</v>
      </c>
      <c r="D847" s="25" t="e">
        <f>VLOOKUP(VLOOKUP(B847,SuiteCatSubElem!$G$2:$G$667,2,0),'SXM Q4 18 W'!$A$32:$F$196,1+MATCH(VLOOKUP(A847,Personas!$A$2:$B$6,2,0),'SXM Q4 18 W'!$B$4:$F$4,0),0)</f>
        <v>#REF!</v>
      </c>
      <c r="E847">
        <v>1</v>
      </c>
      <c r="G847">
        <v>1</v>
      </c>
      <c r="H847">
        <v>9</v>
      </c>
    </row>
    <row r="848" spans="1:8">
      <c r="A848">
        <f t="shared" si="26"/>
        <v>5</v>
      </c>
      <c r="B848">
        <f t="shared" si="27"/>
        <v>516</v>
      </c>
      <c r="C848" s="128">
        <v>43101</v>
      </c>
      <c r="D848" s="25" t="e">
        <f>VLOOKUP(VLOOKUP(B848,SuiteCatSubElem!$G$2:$G$667,2,0),'SXM Q4 18 W'!$A$32:$F$196,1+MATCH(VLOOKUP(A848,Personas!$A$2:$B$6,2,0),'SXM Q4 18 W'!$B$4:$F$4,0),0)</f>
        <v>#REF!</v>
      </c>
      <c r="E848">
        <v>1</v>
      </c>
      <c r="G848">
        <v>1</v>
      </c>
      <c r="H848">
        <v>9</v>
      </c>
    </row>
    <row r="849" spans="1:8">
      <c r="A849">
        <f t="shared" si="26"/>
        <v>5</v>
      </c>
      <c r="B849">
        <f t="shared" si="27"/>
        <v>517</v>
      </c>
      <c r="C849" s="128">
        <v>43101</v>
      </c>
      <c r="D849" s="25" t="e">
        <f>VLOOKUP(VLOOKUP(B849,SuiteCatSubElem!$G$2:$G$667,2,0),'SXM Q4 18 W'!$A$32:$F$196,1+MATCH(VLOOKUP(A849,Personas!$A$2:$B$6,2,0),'SXM Q4 18 W'!$B$4:$F$4,0),0)</f>
        <v>#REF!</v>
      </c>
      <c r="E849">
        <v>1</v>
      </c>
      <c r="G849">
        <v>1</v>
      </c>
      <c r="H849">
        <v>9</v>
      </c>
    </row>
    <row r="850" spans="1:8">
      <c r="A850">
        <f t="shared" si="26"/>
        <v>5</v>
      </c>
      <c r="B850">
        <f t="shared" si="27"/>
        <v>518</v>
      </c>
      <c r="C850" s="128">
        <v>43101</v>
      </c>
      <c r="D850" s="25" t="e">
        <f>VLOOKUP(VLOOKUP(B850,SuiteCatSubElem!$G$2:$G$667,2,0),'SXM Q4 18 W'!$A$32:$F$196,1+MATCH(VLOOKUP(A850,Personas!$A$2:$B$6,2,0),'SXM Q4 18 W'!$B$4:$F$4,0),0)</f>
        <v>#REF!</v>
      </c>
      <c r="E850">
        <v>1</v>
      </c>
      <c r="G850">
        <v>1</v>
      </c>
      <c r="H850">
        <v>9</v>
      </c>
    </row>
    <row r="851" spans="1:8">
      <c r="A851">
        <f t="shared" si="26"/>
        <v>5</v>
      </c>
      <c r="B851">
        <f t="shared" si="27"/>
        <v>519</v>
      </c>
      <c r="C851" s="128">
        <v>43101</v>
      </c>
      <c r="D851" s="25" t="e">
        <f>VLOOKUP(VLOOKUP(B851,SuiteCatSubElem!$G$2:$G$667,2,0),'SXM Q4 18 W'!$A$32:$F$196,1+MATCH(VLOOKUP(A851,Personas!$A$2:$B$6,2,0),'SXM Q4 18 W'!$B$4:$F$4,0),0)</f>
        <v>#REF!</v>
      </c>
      <c r="E851">
        <v>1</v>
      </c>
      <c r="G851">
        <v>1</v>
      </c>
      <c r="H851">
        <v>9</v>
      </c>
    </row>
    <row r="852" spans="1:8">
      <c r="A852">
        <f t="shared" si="26"/>
        <v>5</v>
      </c>
      <c r="B852">
        <f t="shared" si="27"/>
        <v>520</v>
      </c>
      <c r="C852" s="128">
        <v>43101</v>
      </c>
      <c r="D852" s="25" t="e">
        <f>VLOOKUP(VLOOKUP(B852,SuiteCatSubElem!$G$2:$G$667,2,0),'SXM Q4 18 W'!$A$32:$F$196,1+MATCH(VLOOKUP(A852,Personas!$A$2:$B$6,2,0),'SXM Q4 18 W'!$B$4:$F$4,0),0)</f>
        <v>#REF!</v>
      </c>
      <c r="E852">
        <v>1</v>
      </c>
      <c r="G852">
        <v>1</v>
      </c>
      <c r="H852">
        <v>9</v>
      </c>
    </row>
    <row r="853" spans="1:8">
      <c r="A853">
        <f t="shared" si="26"/>
        <v>5</v>
      </c>
      <c r="B853">
        <f t="shared" si="27"/>
        <v>521</v>
      </c>
      <c r="C853" s="128">
        <v>43101</v>
      </c>
      <c r="D853" s="25" t="e">
        <f>VLOOKUP(VLOOKUP(B853,SuiteCatSubElem!$G$2:$G$667,2,0),'SXM Q4 18 W'!$A$32:$F$196,1+MATCH(VLOOKUP(A853,Personas!$A$2:$B$6,2,0),'SXM Q4 18 W'!$B$4:$F$4,0),0)</f>
        <v>#REF!</v>
      </c>
      <c r="E853">
        <v>1</v>
      </c>
      <c r="G853">
        <v>1</v>
      </c>
      <c r="H853">
        <v>9</v>
      </c>
    </row>
    <row r="854" spans="1:8">
      <c r="A854">
        <f t="shared" si="26"/>
        <v>5</v>
      </c>
      <c r="B854">
        <f t="shared" si="27"/>
        <v>522</v>
      </c>
      <c r="C854" s="128">
        <v>43101</v>
      </c>
      <c r="D854" s="25" t="e">
        <f>VLOOKUP(VLOOKUP(B854,SuiteCatSubElem!$G$2:$G$667,2,0),'SXM Q4 18 W'!$A$32:$F$196,1+MATCH(VLOOKUP(A854,Personas!$A$2:$B$6,2,0),'SXM Q4 18 W'!$B$4:$F$4,0),0)</f>
        <v>#REF!</v>
      </c>
      <c r="E854">
        <v>1</v>
      </c>
      <c r="G854">
        <v>1</v>
      </c>
      <c r="H854">
        <v>9</v>
      </c>
    </row>
    <row r="855" spans="1:8">
      <c r="A855">
        <f t="shared" si="26"/>
        <v>5</v>
      </c>
      <c r="B855">
        <f t="shared" si="27"/>
        <v>523</v>
      </c>
      <c r="C855" s="128">
        <v>43101</v>
      </c>
      <c r="D855" s="25" t="e">
        <f>VLOOKUP(VLOOKUP(B855,SuiteCatSubElem!$G$2:$G$667,2,0),'SXM Q4 18 W'!$A$32:$F$196,1+MATCH(VLOOKUP(A855,Personas!$A$2:$B$6,2,0),'SXM Q4 18 W'!$B$4:$F$4,0),0)</f>
        <v>#REF!</v>
      </c>
      <c r="E855">
        <v>1</v>
      </c>
      <c r="G855">
        <v>1</v>
      </c>
      <c r="H855">
        <v>9</v>
      </c>
    </row>
    <row r="856" spans="1:8">
      <c r="A856">
        <f t="shared" si="26"/>
        <v>5</v>
      </c>
      <c r="B856">
        <f t="shared" si="27"/>
        <v>524</v>
      </c>
      <c r="C856" s="128">
        <v>43101</v>
      </c>
      <c r="D856" s="25" t="e">
        <f>VLOOKUP(VLOOKUP(B856,SuiteCatSubElem!$G$2:$G$667,2,0),'SXM Q4 18 W'!$A$32:$F$196,1+MATCH(VLOOKUP(A856,Personas!$A$2:$B$6,2,0),'SXM Q4 18 W'!$B$4:$F$4,0),0)</f>
        <v>#REF!</v>
      </c>
      <c r="E856">
        <v>1</v>
      </c>
      <c r="G856">
        <v>1</v>
      </c>
      <c r="H856">
        <v>9</v>
      </c>
    </row>
    <row r="857" spans="1:8">
      <c r="A857">
        <f t="shared" si="26"/>
        <v>5</v>
      </c>
      <c r="B857">
        <f t="shared" si="27"/>
        <v>525</v>
      </c>
      <c r="C857" s="128">
        <v>43101</v>
      </c>
      <c r="D857" s="25" t="e">
        <f>VLOOKUP(VLOOKUP(B857,SuiteCatSubElem!$G$2:$G$667,2,0),'SXM Q4 18 W'!$A$32:$F$196,1+MATCH(VLOOKUP(A857,Personas!$A$2:$B$6,2,0),'SXM Q4 18 W'!$B$4:$F$4,0),0)</f>
        <v>#REF!</v>
      </c>
      <c r="E857">
        <v>1</v>
      </c>
      <c r="G857">
        <v>1</v>
      </c>
      <c r="H857">
        <v>9</v>
      </c>
    </row>
    <row r="858" spans="1:8">
      <c r="A858">
        <f t="shared" si="26"/>
        <v>5</v>
      </c>
      <c r="B858">
        <f t="shared" si="27"/>
        <v>526</v>
      </c>
      <c r="C858" s="128">
        <v>43101</v>
      </c>
      <c r="D858" s="25" t="e">
        <f>VLOOKUP(VLOOKUP(B858,SuiteCatSubElem!$G$2:$G$667,2,0),'SXM Q4 18 W'!$A$32:$F$196,1+MATCH(VLOOKUP(A858,Personas!$A$2:$B$6,2,0),'SXM Q4 18 W'!$B$4:$F$4,0),0)</f>
        <v>#REF!</v>
      </c>
      <c r="E858">
        <v>1</v>
      </c>
      <c r="G858">
        <v>1</v>
      </c>
      <c r="H858">
        <v>9</v>
      </c>
    </row>
    <row r="859" spans="1:8">
      <c r="A859">
        <f t="shared" si="26"/>
        <v>5</v>
      </c>
      <c r="B859">
        <f t="shared" si="27"/>
        <v>527</v>
      </c>
      <c r="C859" s="128">
        <v>43101</v>
      </c>
      <c r="D859" s="25" t="e">
        <f>VLOOKUP(VLOOKUP(B859,SuiteCatSubElem!$G$2:$G$667,2,0),'SXM Q4 18 W'!$A$32:$F$196,1+MATCH(VLOOKUP(A859,Personas!$A$2:$B$6,2,0),'SXM Q4 18 W'!$B$4:$F$4,0),0)</f>
        <v>#REF!</v>
      </c>
      <c r="E859">
        <v>1</v>
      </c>
      <c r="G859">
        <v>1</v>
      </c>
      <c r="H859">
        <v>9</v>
      </c>
    </row>
    <row r="860" spans="1:8">
      <c r="A860">
        <f t="shared" si="26"/>
        <v>5</v>
      </c>
      <c r="B860">
        <f t="shared" si="27"/>
        <v>528</v>
      </c>
      <c r="C860" s="128">
        <v>43101</v>
      </c>
      <c r="D860" s="25" t="e">
        <f>VLOOKUP(VLOOKUP(B860,SuiteCatSubElem!$G$2:$G$667,2,0),'SXM Q4 18 W'!$A$32:$F$196,1+MATCH(VLOOKUP(A860,Personas!$A$2:$B$6,2,0),'SXM Q4 18 W'!$B$4:$F$4,0),0)</f>
        <v>#REF!</v>
      </c>
      <c r="E860">
        <v>1</v>
      </c>
      <c r="G860">
        <v>1</v>
      </c>
      <c r="H860">
        <v>9</v>
      </c>
    </row>
    <row r="861" spans="1:8">
      <c r="A861">
        <f t="shared" si="26"/>
        <v>5</v>
      </c>
      <c r="B861">
        <f t="shared" si="27"/>
        <v>529</v>
      </c>
      <c r="C861" s="128">
        <v>43101</v>
      </c>
      <c r="D861" s="25" t="e">
        <f>VLOOKUP(VLOOKUP(B861,SuiteCatSubElem!$G$2:$G$667,2,0),'SXM Q4 18 W'!$A$32:$F$196,1+MATCH(VLOOKUP(A861,Personas!$A$2:$B$6,2,0),'SXM Q4 18 W'!$B$4:$F$4,0),0)</f>
        <v>#REF!</v>
      </c>
      <c r="E861">
        <v>1</v>
      </c>
      <c r="G861">
        <v>1</v>
      </c>
      <c r="H861">
        <v>9</v>
      </c>
    </row>
    <row r="862" spans="1:8">
      <c r="A862">
        <f t="shared" si="26"/>
        <v>5</v>
      </c>
      <c r="B862">
        <f t="shared" si="27"/>
        <v>530</v>
      </c>
      <c r="C862" s="128">
        <v>43101</v>
      </c>
      <c r="D862" s="25" t="e">
        <f>VLOOKUP(VLOOKUP(B862,SuiteCatSubElem!$G$2:$G$667,2,0),'SXM Q4 18 W'!$A$32:$F$196,1+MATCH(VLOOKUP(A862,Personas!$A$2:$B$6,2,0),'SXM Q4 18 W'!$B$4:$F$4,0),0)</f>
        <v>#REF!</v>
      </c>
      <c r="E862">
        <v>1</v>
      </c>
      <c r="G862">
        <v>1</v>
      </c>
      <c r="H862">
        <v>9</v>
      </c>
    </row>
    <row r="863" spans="1:8">
      <c r="A863">
        <f t="shared" si="26"/>
        <v>5</v>
      </c>
      <c r="B863">
        <f t="shared" si="27"/>
        <v>531</v>
      </c>
      <c r="C863" s="128">
        <v>43101</v>
      </c>
      <c r="D863" s="25" t="e">
        <f>VLOOKUP(VLOOKUP(B863,SuiteCatSubElem!$G$2:$G$667,2,0),'SXM Q4 18 W'!$A$32:$F$196,1+MATCH(VLOOKUP(A863,Personas!$A$2:$B$6,2,0),'SXM Q4 18 W'!$B$4:$F$4,0),0)</f>
        <v>#REF!</v>
      </c>
      <c r="E863">
        <v>1</v>
      </c>
      <c r="G863">
        <v>1</v>
      </c>
      <c r="H863">
        <v>9</v>
      </c>
    </row>
    <row r="864" spans="1:8">
      <c r="A864">
        <f t="shared" si="26"/>
        <v>5</v>
      </c>
      <c r="B864">
        <f t="shared" si="27"/>
        <v>532</v>
      </c>
      <c r="C864" s="128">
        <v>43101</v>
      </c>
      <c r="D864" s="25" t="e">
        <f>VLOOKUP(VLOOKUP(B864,SuiteCatSubElem!$G$2:$G$667,2,0),'SXM Q4 18 W'!$A$32:$F$196,1+MATCH(VLOOKUP(A864,Personas!$A$2:$B$6,2,0),'SXM Q4 18 W'!$B$4:$F$4,0),0)</f>
        <v>#REF!</v>
      </c>
      <c r="E864">
        <v>1</v>
      </c>
      <c r="G864">
        <v>1</v>
      </c>
      <c r="H864">
        <v>9</v>
      </c>
    </row>
    <row r="865" spans="1:8">
      <c r="A865">
        <f t="shared" si="26"/>
        <v>5</v>
      </c>
      <c r="B865">
        <f t="shared" si="27"/>
        <v>533</v>
      </c>
      <c r="C865" s="128">
        <v>43101</v>
      </c>
      <c r="D865" s="25" t="e">
        <f>VLOOKUP(VLOOKUP(B865,SuiteCatSubElem!$G$2:$G$667,2,0),'SXM Q4 18 W'!$A$32:$F$196,1+MATCH(VLOOKUP(A865,Personas!$A$2:$B$6,2,0),'SXM Q4 18 W'!$B$4:$F$4,0),0)</f>
        <v>#REF!</v>
      </c>
      <c r="E865">
        <v>1</v>
      </c>
      <c r="G865">
        <v>1</v>
      </c>
      <c r="H865">
        <v>9</v>
      </c>
    </row>
    <row r="866" spans="1:8">
      <c r="A866">
        <f>A765+1</f>
        <v>5</v>
      </c>
      <c r="B866">
        <f>B765</f>
        <v>534</v>
      </c>
      <c r="C866" s="128">
        <v>43101</v>
      </c>
      <c r="D866" s="25" t="e">
        <f>VLOOKUP(VLOOKUP(B866,SuiteCatSubElem!$G$2:$G$667,2,0),'SXM Q4 18 W'!$A$32:$F$196,1+MATCH(VLOOKUP(A866,Personas!$A$2:$B$6,2,0),'SXM Q4 18 W'!$B$4:$F$4,0),0)</f>
        <v>#REF!</v>
      </c>
      <c r="E866">
        <v>1</v>
      </c>
      <c r="G866">
        <v>1</v>
      </c>
      <c r="H866">
        <v>9</v>
      </c>
    </row>
    <row r="867" spans="1:8">
      <c r="A867">
        <f t="shared" ref="A867:A926" si="28">A766+1</f>
        <v>5</v>
      </c>
      <c r="B867">
        <f t="shared" ref="B867:B926" si="29">B766</f>
        <v>535</v>
      </c>
      <c r="C867" s="128">
        <v>43101</v>
      </c>
      <c r="D867" s="25" t="e">
        <f>VLOOKUP(VLOOKUP(B867,SuiteCatSubElem!$G$2:$G$667,2,0),'SXM Q4 18 W'!$A$32:$F$196,1+MATCH(VLOOKUP(A867,Personas!$A$2:$B$6,2,0),'SXM Q4 18 W'!$B$4:$F$4,0),0)</f>
        <v>#REF!</v>
      </c>
      <c r="E867">
        <v>1</v>
      </c>
      <c r="G867">
        <v>1</v>
      </c>
      <c r="H867">
        <v>9</v>
      </c>
    </row>
    <row r="868" spans="1:8">
      <c r="A868">
        <f t="shared" si="28"/>
        <v>5</v>
      </c>
      <c r="B868">
        <f t="shared" si="29"/>
        <v>536</v>
      </c>
      <c r="C868" s="128">
        <v>43101</v>
      </c>
      <c r="D868" s="25" t="e">
        <f>VLOOKUP(VLOOKUP(B868,SuiteCatSubElem!$G$2:$G$667,2,0),'SXM Q4 18 W'!$A$32:$F$196,1+MATCH(VLOOKUP(A868,Personas!$A$2:$B$6,2,0),'SXM Q4 18 W'!$B$4:$F$4,0),0)</f>
        <v>#REF!</v>
      </c>
      <c r="E868">
        <v>1</v>
      </c>
      <c r="G868">
        <v>1</v>
      </c>
      <c r="H868">
        <v>9</v>
      </c>
    </row>
    <row r="869" spans="1:8">
      <c r="A869">
        <f t="shared" si="28"/>
        <v>5</v>
      </c>
      <c r="B869">
        <f t="shared" si="29"/>
        <v>537</v>
      </c>
      <c r="C869" s="128">
        <v>43101</v>
      </c>
      <c r="D869" s="25" t="e">
        <f>VLOOKUP(VLOOKUP(B869,SuiteCatSubElem!$G$2:$G$667,2,0),'SXM Q4 18 W'!$A$32:$F$196,1+MATCH(VLOOKUP(A869,Personas!$A$2:$B$6,2,0),'SXM Q4 18 W'!$B$4:$F$4,0),0)</f>
        <v>#REF!</v>
      </c>
      <c r="E869">
        <v>1</v>
      </c>
      <c r="G869">
        <v>1</v>
      </c>
      <c r="H869">
        <v>9</v>
      </c>
    </row>
    <row r="870" spans="1:8">
      <c r="A870">
        <f t="shared" si="28"/>
        <v>5</v>
      </c>
      <c r="B870">
        <f t="shared" si="29"/>
        <v>538</v>
      </c>
      <c r="C870" s="128">
        <v>43101</v>
      </c>
      <c r="D870" s="25" t="e">
        <f>VLOOKUP(VLOOKUP(B870,SuiteCatSubElem!$G$2:$G$667,2,0),'SXM Q4 18 W'!$A$32:$F$196,1+MATCH(VLOOKUP(A870,Personas!$A$2:$B$6,2,0),'SXM Q4 18 W'!$B$4:$F$4,0),0)</f>
        <v>#REF!</v>
      </c>
      <c r="E870">
        <v>1</v>
      </c>
      <c r="G870">
        <v>1</v>
      </c>
      <c r="H870">
        <v>9</v>
      </c>
    </row>
    <row r="871" spans="1:8">
      <c r="A871">
        <f t="shared" si="28"/>
        <v>5</v>
      </c>
      <c r="B871">
        <f t="shared" si="29"/>
        <v>539</v>
      </c>
      <c r="C871" s="128">
        <v>43101</v>
      </c>
      <c r="D871" s="25" t="e">
        <f>VLOOKUP(VLOOKUP(B871,SuiteCatSubElem!$G$2:$G$667,2,0),'SXM Q4 18 W'!$A$32:$F$196,1+MATCH(VLOOKUP(A871,Personas!$A$2:$B$6,2,0),'SXM Q4 18 W'!$B$4:$F$4,0),0)</f>
        <v>#REF!</v>
      </c>
      <c r="E871">
        <v>1</v>
      </c>
      <c r="G871">
        <v>1</v>
      </c>
      <c r="H871">
        <v>9</v>
      </c>
    </row>
    <row r="872" spans="1:8">
      <c r="A872">
        <f t="shared" si="28"/>
        <v>5</v>
      </c>
      <c r="B872">
        <f t="shared" si="29"/>
        <v>540</v>
      </c>
      <c r="C872" s="128">
        <v>43101</v>
      </c>
      <c r="D872" s="25" t="e">
        <f>VLOOKUP(VLOOKUP(B872,SuiteCatSubElem!$G$2:$G$667,2,0),'SXM Q4 18 W'!$A$32:$F$196,1+MATCH(VLOOKUP(A872,Personas!$A$2:$B$6,2,0),'SXM Q4 18 W'!$B$4:$F$4,0),0)</f>
        <v>#REF!</v>
      </c>
      <c r="E872">
        <v>1</v>
      </c>
      <c r="G872">
        <v>1</v>
      </c>
      <c r="H872">
        <v>9</v>
      </c>
    </row>
    <row r="873" spans="1:8">
      <c r="A873">
        <f t="shared" si="28"/>
        <v>5</v>
      </c>
      <c r="B873">
        <f t="shared" si="29"/>
        <v>541</v>
      </c>
      <c r="C873" s="128">
        <v>43101</v>
      </c>
      <c r="D873" s="25" t="e">
        <f>VLOOKUP(VLOOKUP(B873,SuiteCatSubElem!$G$2:$G$667,2,0),'SXM Q4 18 W'!$A$32:$F$196,1+MATCH(VLOOKUP(A873,Personas!$A$2:$B$6,2,0),'SXM Q4 18 W'!$B$4:$F$4,0),0)</f>
        <v>#REF!</v>
      </c>
      <c r="E873">
        <v>1</v>
      </c>
      <c r="G873">
        <v>1</v>
      </c>
      <c r="H873">
        <v>9</v>
      </c>
    </row>
    <row r="874" spans="1:8">
      <c r="A874">
        <f t="shared" si="28"/>
        <v>5</v>
      </c>
      <c r="B874">
        <f t="shared" si="29"/>
        <v>542</v>
      </c>
      <c r="C874" s="128">
        <v>43101</v>
      </c>
      <c r="D874" s="25" t="e">
        <f>VLOOKUP(VLOOKUP(B874,SuiteCatSubElem!$G$2:$G$667,2,0),'SXM Q4 18 W'!$A$32:$F$196,1+MATCH(VLOOKUP(A874,Personas!$A$2:$B$6,2,0),'SXM Q4 18 W'!$B$4:$F$4,0),0)</f>
        <v>#REF!</v>
      </c>
      <c r="E874">
        <v>1</v>
      </c>
      <c r="G874">
        <v>1</v>
      </c>
      <c r="H874">
        <v>9</v>
      </c>
    </row>
    <row r="875" spans="1:8">
      <c r="A875">
        <f t="shared" si="28"/>
        <v>5</v>
      </c>
      <c r="B875">
        <f t="shared" si="29"/>
        <v>543</v>
      </c>
      <c r="C875" s="128">
        <v>43101</v>
      </c>
      <c r="D875" s="25" t="e">
        <f>VLOOKUP(VLOOKUP(B875,SuiteCatSubElem!$G$2:$G$667,2,0),'SXM Q4 18 W'!$A$32:$F$196,1+MATCH(VLOOKUP(A875,Personas!$A$2:$B$6,2,0),'SXM Q4 18 W'!$B$4:$F$4,0),0)</f>
        <v>#REF!</v>
      </c>
      <c r="E875">
        <v>1</v>
      </c>
      <c r="G875">
        <v>1</v>
      </c>
      <c r="H875">
        <v>9</v>
      </c>
    </row>
    <row r="876" spans="1:8">
      <c r="A876">
        <f t="shared" si="28"/>
        <v>5</v>
      </c>
      <c r="B876">
        <f t="shared" si="29"/>
        <v>544</v>
      </c>
      <c r="C876" s="128">
        <v>43101</v>
      </c>
      <c r="D876" s="25" t="e">
        <f>VLOOKUP(VLOOKUP(B876,SuiteCatSubElem!$G$2:$G$667,2,0),'SXM Q4 18 W'!$A$32:$F$196,1+MATCH(VLOOKUP(A876,Personas!$A$2:$B$6,2,0),'SXM Q4 18 W'!$B$4:$F$4,0),0)</f>
        <v>#REF!</v>
      </c>
      <c r="E876">
        <v>1</v>
      </c>
      <c r="G876">
        <v>1</v>
      </c>
      <c r="H876">
        <v>9</v>
      </c>
    </row>
    <row r="877" spans="1:8">
      <c r="A877">
        <f t="shared" si="28"/>
        <v>5</v>
      </c>
      <c r="B877">
        <f t="shared" si="29"/>
        <v>545</v>
      </c>
      <c r="C877" s="128">
        <v>43101</v>
      </c>
      <c r="D877" s="25" t="e">
        <f>VLOOKUP(VLOOKUP(B877,SuiteCatSubElem!$G$2:$G$667,2,0),'SXM Q4 18 W'!$A$32:$F$196,1+MATCH(VLOOKUP(A877,Personas!$A$2:$B$6,2,0),'SXM Q4 18 W'!$B$4:$F$4,0),0)</f>
        <v>#REF!</v>
      </c>
      <c r="E877">
        <v>1</v>
      </c>
      <c r="G877">
        <v>1</v>
      </c>
      <c r="H877">
        <v>9</v>
      </c>
    </row>
    <row r="878" spans="1:8">
      <c r="A878">
        <f t="shared" si="28"/>
        <v>5</v>
      </c>
      <c r="B878">
        <f t="shared" si="29"/>
        <v>546</v>
      </c>
      <c r="C878" s="128">
        <v>43101</v>
      </c>
      <c r="D878" s="25" t="e">
        <f>VLOOKUP(VLOOKUP(B878,SuiteCatSubElem!$G$2:$G$667,2,0),'SXM Q4 18 W'!$A$32:$F$196,1+MATCH(VLOOKUP(A878,Personas!$A$2:$B$6,2,0),'SXM Q4 18 W'!$B$4:$F$4,0),0)</f>
        <v>#REF!</v>
      </c>
      <c r="E878">
        <v>1</v>
      </c>
      <c r="G878">
        <v>1</v>
      </c>
      <c r="H878">
        <v>9</v>
      </c>
    </row>
    <row r="879" spans="1:8">
      <c r="A879">
        <f t="shared" si="28"/>
        <v>5</v>
      </c>
      <c r="B879">
        <f t="shared" si="29"/>
        <v>547</v>
      </c>
      <c r="C879" s="128">
        <v>43101</v>
      </c>
      <c r="D879" s="25" t="e">
        <f>VLOOKUP(VLOOKUP(B879,SuiteCatSubElem!$G$2:$G$667,2,0),'SXM Q4 18 W'!$A$32:$F$196,1+MATCH(VLOOKUP(A879,Personas!$A$2:$B$6,2,0),'SXM Q4 18 W'!$B$4:$F$4,0),0)</f>
        <v>#REF!</v>
      </c>
      <c r="E879">
        <v>1</v>
      </c>
      <c r="G879">
        <v>1</v>
      </c>
      <c r="H879">
        <v>9</v>
      </c>
    </row>
    <row r="880" spans="1:8">
      <c r="A880">
        <f t="shared" si="28"/>
        <v>5</v>
      </c>
      <c r="B880">
        <f t="shared" si="29"/>
        <v>548</v>
      </c>
      <c r="C880" s="128">
        <v>43101</v>
      </c>
      <c r="D880" s="25" t="e">
        <f>VLOOKUP(VLOOKUP(B880,SuiteCatSubElem!$G$2:$G$667,2,0),'SXM Q4 18 W'!$A$32:$F$196,1+MATCH(VLOOKUP(A880,Personas!$A$2:$B$6,2,0),'SXM Q4 18 W'!$B$4:$F$4,0),0)</f>
        <v>#REF!</v>
      </c>
      <c r="E880">
        <v>1</v>
      </c>
      <c r="G880">
        <v>1</v>
      </c>
      <c r="H880">
        <v>9</v>
      </c>
    </row>
    <row r="881" spans="1:8">
      <c r="A881">
        <f t="shared" si="28"/>
        <v>5</v>
      </c>
      <c r="B881">
        <f t="shared" si="29"/>
        <v>549</v>
      </c>
      <c r="C881" s="128">
        <v>43101</v>
      </c>
      <c r="D881" s="25" t="e">
        <f>VLOOKUP(VLOOKUP(B881,SuiteCatSubElem!$G$2:$G$667,2,0),'SXM Q4 18 W'!$A$32:$F$196,1+MATCH(VLOOKUP(A881,Personas!$A$2:$B$6,2,0),'SXM Q4 18 W'!$B$4:$F$4,0),0)</f>
        <v>#REF!</v>
      </c>
      <c r="E881">
        <v>1</v>
      </c>
      <c r="G881">
        <v>1</v>
      </c>
      <c r="H881">
        <v>9</v>
      </c>
    </row>
    <row r="882" spans="1:8">
      <c r="A882">
        <f t="shared" si="28"/>
        <v>5</v>
      </c>
      <c r="B882">
        <f t="shared" si="29"/>
        <v>550</v>
      </c>
      <c r="C882" s="128">
        <v>43101</v>
      </c>
      <c r="D882" s="25" t="e">
        <f>VLOOKUP(VLOOKUP(B882,SuiteCatSubElem!$G$2:$G$667,2,0),'SXM Q4 18 W'!$A$32:$F$196,1+MATCH(VLOOKUP(A882,Personas!$A$2:$B$6,2,0),'SXM Q4 18 W'!$B$4:$F$4,0),0)</f>
        <v>#REF!</v>
      </c>
      <c r="E882">
        <v>1</v>
      </c>
      <c r="G882">
        <v>1</v>
      </c>
      <c r="H882">
        <v>9</v>
      </c>
    </row>
    <row r="883" spans="1:8">
      <c r="A883">
        <f t="shared" si="28"/>
        <v>5</v>
      </c>
      <c r="B883">
        <f t="shared" si="29"/>
        <v>551</v>
      </c>
      <c r="C883" s="128">
        <v>43101</v>
      </c>
      <c r="D883" s="25" t="e">
        <f>VLOOKUP(VLOOKUP(B883,SuiteCatSubElem!$G$2:$G$667,2,0),'SXM Q4 18 W'!$A$32:$F$196,1+MATCH(VLOOKUP(A883,Personas!$A$2:$B$6,2,0),'SXM Q4 18 W'!$B$4:$F$4,0),0)</f>
        <v>#REF!</v>
      </c>
      <c r="E883">
        <v>1</v>
      </c>
      <c r="G883">
        <v>1</v>
      </c>
      <c r="H883">
        <v>9</v>
      </c>
    </row>
    <row r="884" spans="1:8">
      <c r="A884">
        <f t="shared" si="28"/>
        <v>5</v>
      </c>
      <c r="B884">
        <f t="shared" si="29"/>
        <v>552</v>
      </c>
      <c r="C884" s="128">
        <v>43101</v>
      </c>
      <c r="D884" s="25" t="e">
        <f>VLOOKUP(VLOOKUP(B884,SuiteCatSubElem!$G$2:$G$667,2,0),'SXM Q4 18 W'!$A$32:$F$196,1+MATCH(VLOOKUP(A884,Personas!$A$2:$B$6,2,0),'SXM Q4 18 W'!$B$4:$F$4,0),0)</f>
        <v>#REF!</v>
      </c>
      <c r="E884">
        <v>1</v>
      </c>
      <c r="G884">
        <v>1</v>
      </c>
      <c r="H884">
        <v>9</v>
      </c>
    </row>
    <row r="885" spans="1:8">
      <c r="A885">
        <f t="shared" si="28"/>
        <v>5</v>
      </c>
      <c r="B885">
        <f t="shared" si="29"/>
        <v>553</v>
      </c>
      <c r="C885" s="128">
        <v>43101</v>
      </c>
      <c r="D885" s="25" t="e">
        <f>VLOOKUP(VLOOKUP(B885,SuiteCatSubElem!$G$2:$G$667,2,0),'SXM Q4 18 W'!$A$32:$F$196,1+MATCH(VLOOKUP(A885,Personas!$A$2:$B$6,2,0),'SXM Q4 18 W'!$B$4:$F$4,0),0)</f>
        <v>#REF!</v>
      </c>
      <c r="E885">
        <v>1</v>
      </c>
      <c r="G885">
        <v>1</v>
      </c>
      <c r="H885">
        <v>9</v>
      </c>
    </row>
    <row r="886" spans="1:8">
      <c r="A886">
        <f t="shared" si="28"/>
        <v>5</v>
      </c>
      <c r="B886">
        <f t="shared" si="29"/>
        <v>554</v>
      </c>
      <c r="C886" s="128">
        <v>43101</v>
      </c>
      <c r="D886" s="25" t="e">
        <f>VLOOKUP(VLOOKUP(B886,SuiteCatSubElem!$G$2:$G$667,2,0),'SXM Q4 18 W'!$A$32:$F$196,1+MATCH(VLOOKUP(A886,Personas!$A$2:$B$6,2,0),'SXM Q4 18 W'!$B$4:$F$4,0),0)</f>
        <v>#REF!</v>
      </c>
      <c r="E886">
        <v>1</v>
      </c>
      <c r="G886">
        <v>1</v>
      </c>
      <c r="H886">
        <v>9</v>
      </c>
    </row>
    <row r="887" spans="1:8">
      <c r="A887">
        <f t="shared" si="28"/>
        <v>5</v>
      </c>
      <c r="B887">
        <f t="shared" si="29"/>
        <v>555</v>
      </c>
      <c r="C887" s="128">
        <v>43101</v>
      </c>
      <c r="D887" s="25" t="e">
        <f>VLOOKUP(VLOOKUP(B887,SuiteCatSubElem!$G$2:$G$667,2,0),'SXM Q4 18 W'!$A$32:$F$196,1+MATCH(VLOOKUP(A887,Personas!$A$2:$B$6,2,0),'SXM Q4 18 W'!$B$4:$F$4,0),0)</f>
        <v>#REF!</v>
      </c>
      <c r="E887">
        <v>1</v>
      </c>
      <c r="G887">
        <v>1</v>
      </c>
      <c r="H887">
        <v>9</v>
      </c>
    </row>
    <row r="888" spans="1:8">
      <c r="A888">
        <f t="shared" si="28"/>
        <v>5</v>
      </c>
      <c r="B888">
        <f t="shared" si="29"/>
        <v>556</v>
      </c>
      <c r="C888" s="128">
        <v>43101</v>
      </c>
      <c r="D888" s="25" t="e">
        <f>VLOOKUP(VLOOKUP(B888,SuiteCatSubElem!$G$2:$G$667,2,0),'SXM Q4 18 W'!$A$32:$F$196,1+MATCH(VLOOKUP(A888,Personas!$A$2:$B$6,2,0),'SXM Q4 18 W'!$B$4:$F$4,0),0)</f>
        <v>#REF!</v>
      </c>
      <c r="E888">
        <v>1</v>
      </c>
      <c r="G888">
        <v>1</v>
      </c>
      <c r="H888">
        <v>9</v>
      </c>
    </row>
    <row r="889" spans="1:8">
      <c r="A889">
        <f t="shared" si="28"/>
        <v>5</v>
      </c>
      <c r="B889">
        <f t="shared" si="29"/>
        <v>557</v>
      </c>
      <c r="C889" s="128">
        <v>43101</v>
      </c>
      <c r="D889" s="25" t="e">
        <f>VLOOKUP(VLOOKUP(B889,SuiteCatSubElem!$G$2:$G$667,2,0),'SXM Q4 18 W'!$A$32:$F$196,1+MATCH(VLOOKUP(A889,Personas!$A$2:$B$6,2,0),'SXM Q4 18 W'!$B$4:$F$4,0),0)</f>
        <v>#REF!</v>
      </c>
      <c r="E889">
        <v>1</v>
      </c>
      <c r="G889">
        <v>1</v>
      </c>
      <c r="H889">
        <v>9</v>
      </c>
    </row>
    <row r="890" spans="1:8">
      <c r="A890">
        <f t="shared" si="28"/>
        <v>5</v>
      </c>
      <c r="B890">
        <f t="shared" si="29"/>
        <v>558</v>
      </c>
      <c r="C890" s="128">
        <v>43101</v>
      </c>
      <c r="D890" s="25" t="e">
        <f>VLOOKUP(VLOOKUP(B890,SuiteCatSubElem!$G$2:$G$667,2,0),'SXM Q4 18 W'!$A$32:$F$196,1+MATCH(VLOOKUP(A890,Personas!$A$2:$B$6,2,0),'SXM Q4 18 W'!$B$4:$F$4,0),0)</f>
        <v>#REF!</v>
      </c>
      <c r="E890">
        <v>1</v>
      </c>
      <c r="G890">
        <v>1</v>
      </c>
      <c r="H890">
        <v>9</v>
      </c>
    </row>
    <row r="891" spans="1:8">
      <c r="A891">
        <f t="shared" si="28"/>
        <v>5</v>
      </c>
      <c r="B891">
        <f t="shared" si="29"/>
        <v>559</v>
      </c>
      <c r="C891" s="128">
        <v>43101</v>
      </c>
      <c r="D891" s="25" t="e">
        <f>VLOOKUP(VLOOKUP(B891,SuiteCatSubElem!$G$2:$G$667,2,0),'SXM Q4 18 W'!$A$32:$F$196,1+MATCH(VLOOKUP(A891,Personas!$A$2:$B$6,2,0),'SXM Q4 18 W'!$B$4:$F$4,0),0)</f>
        <v>#REF!</v>
      </c>
      <c r="E891">
        <v>1</v>
      </c>
      <c r="G891">
        <v>1</v>
      </c>
      <c r="H891">
        <v>9</v>
      </c>
    </row>
    <row r="892" spans="1:8">
      <c r="A892">
        <f t="shared" si="28"/>
        <v>5</v>
      </c>
      <c r="B892">
        <f t="shared" si="29"/>
        <v>560</v>
      </c>
      <c r="C892" s="128">
        <v>43101</v>
      </c>
      <c r="D892" s="25" t="e">
        <f>VLOOKUP(VLOOKUP(B892,SuiteCatSubElem!$G$2:$G$667,2,0),'SXM Q4 18 W'!$A$32:$F$196,1+MATCH(VLOOKUP(A892,Personas!$A$2:$B$6,2,0),'SXM Q4 18 W'!$B$4:$F$4,0),0)</f>
        <v>#REF!</v>
      </c>
      <c r="E892">
        <v>1</v>
      </c>
      <c r="G892">
        <v>1</v>
      </c>
      <c r="H892">
        <v>9</v>
      </c>
    </row>
    <row r="893" spans="1:8">
      <c r="A893">
        <f t="shared" si="28"/>
        <v>5</v>
      </c>
      <c r="B893">
        <f t="shared" si="29"/>
        <v>561</v>
      </c>
      <c r="C893" s="128">
        <v>43101</v>
      </c>
      <c r="D893" s="25" t="e">
        <f>VLOOKUP(VLOOKUP(B893,SuiteCatSubElem!$G$2:$G$667,2,0),'SXM Q4 18 W'!$A$32:$F$196,1+MATCH(VLOOKUP(A893,Personas!$A$2:$B$6,2,0),'SXM Q4 18 W'!$B$4:$F$4,0),0)</f>
        <v>#REF!</v>
      </c>
      <c r="E893">
        <v>1</v>
      </c>
      <c r="G893">
        <v>1</v>
      </c>
      <c r="H893">
        <v>9</v>
      </c>
    </row>
    <row r="894" spans="1:8">
      <c r="A894">
        <f t="shared" si="28"/>
        <v>5</v>
      </c>
      <c r="B894">
        <f t="shared" si="29"/>
        <v>562</v>
      </c>
      <c r="C894" s="128">
        <v>43101</v>
      </c>
      <c r="D894" s="25" t="e">
        <f>VLOOKUP(VLOOKUP(B894,SuiteCatSubElem!$G$2:$G$667,2,0),'SXM Q4 18 W'!$A$32:$F$196,1+MATCH(VLOOKUP(A894,Personas!$A$2:$B$6,2,0),'SXM Q4 18 W'!$B$4:$F$4,0),0)</f>
        <v>#REF!</v>
      </c>
      <c r="E894">
        <v>1</v>
      </c>
      <c r="G894">
        <v>1</v>
      </c>
      <c r="H894">
        <v>9</v>
      </c>
    </row>
    <row r="895" spans="1:8">
      <c r="A895">
        <f t="shared" si="28"/>
        <v>5</v>
      </c>
      <c r="B895">
        <f t="shared" si="29"/>
        <v>563</v>
      </c>
      <c r="C895" s="128">
        <v>43101</v>
      </c>
      <c r="D895" s="25" t="e">
        <f>VLOOKUP(VLOOKUP(B895,SuiteCatSubElem!$G$2:$G$667,2,0),'SXM Q4 18 W'!$A$32:$F$196,1+MATCH(VLOOKUP(A895,Personas!$A$2:$B$6,2,0),'SXM Q4 18 W'!$B$4:$F$4,0),0)</f>
        <v>#REF!</v>
      </c>
      <c r="E895">
        <v>1</v>
      </c>
      <c r="G895">
        <v>1</v>
      </c>
      <c r="H895">
        <v>9</v>
      </c>
    </row>
    <row r="896" spans="1:8">
      <c r="A896">
        <f t="shared" si="28"/>
        <v>5</v>
      </c>
      <c r="B896">
        <f t="shared" si="29"/>
        <v>564</v>
      </c>
      <c r="C896" s="128">
        <v>43101</v>
      </c>
      <c r="D896" s="25" t="e">
        <f>VLOOKUP(VLOOKUP(B896,SuiteCatSubElem!$G$2:$G$667,2,0),'SXM Q4 18 W'!$A$32:$F$196,1+MATCH(VLOOKUP(A896,Personas!$A$2:$B$6,2,0),'SXM Q4 18 W'!$B$4:$F$4,0),0)</f>
        <v>#REF!</v>
      </c>
      <c r="E896">
        <v>1</v>
      </c>
      <c r="G896">
        <v>1</v>
      </c>
      <c r="H896">
        <v>9</v>
      </c>
    </row>
    <row r="897" spans="1:8">
      <c r="A897">
        <f t="shared" si="28"/>
        <v>5</v>
      </c>
      <c r="B897">
        <f t="shared" si="29"/>
        <v>565</v>
      </c>
      <c r="C897" s="128">
        <v>43101</v>
      </c>
      <c r="D897" s="25" t="e">
        <f>VLOOKUP(VLOOKUP(B897,SuiteCatSubElem!$G$2:$G$667,2,0),'SXM Q4 18 W'!$A$32:$F$196,1+MATCH(VLOOKUP(A897,Personas!$A$2:$B$6,2,0),'SXM Q4 18 W'!$B$4:$F$4,0),0)</f>
        <v>#REF!</v>
      </c>
      <c r="E897">
        <v>1</v>
      </c>
      <c r="G897">
        <v>1</v>
      </c>
      <c r="H897">
        <v>9</v>
      </c>
    </row>
    <row r="898" spans="1:8">
      <c r="A898">
        <f t="shared" si="28"/>
        <v>5</v>
      </c>
      <c r="B898">
        <f t="shared" si="29"/>
        <v>566</v>
      </c>
      <c r="C898" s="128">
        <v>43101</v>
      </c>
      <c r="D898" s="25" t="e">
        <f>VLOOKUP(VLOOKUP(B898,SuiteCatSubElem!$G$2:$G$667,2,0),'SXM Q4 18 W'!$A$32:$F$196,1+MATCH(VLOOKUP(A898,Personas!$A$2:$B$6,2,0),'SXM Q4 18 W'!$B$4:$F$4,0),0)</f>
        <v>#REF!</v>
      </c>
      <c r="E898">
        <v>1</v>
      </c>
      <c r="G898">
        <v>1</v>
      </c>
      <c r="H898">
        <v>9</v>
      </c>
    </row>
    <row r="899" spans="1:8">
      <c r="A899">
        <f t="shared" si="28"/>
        <v>5</v>
      </c>
      <c r="B899">
        <f t="shared" si="29"/>
        <v>567</v>
      </c>
      <c r="C899" s="128">
        <v>43101</v>
      </c>
      <c r="D899" s="25" t="e">
        <f>VLOOKUP(VLOOKUP(B899,SuiteCatSubElem!$G$2:$G$667,2,0),'SXM Q4 18 W'!$A$32:$F$196,1+MATCH(VLOOKUP(A899,Personas!$A$2:$B$6,2,0),'SXM Q4 18 W'!$B$4:$F$4,0),0)</f>
        <v>#REF!</v>
      </c>
      <c r="E899">
        <v>1</v>
      </c>
      <c r="G899">
        <v>1</v>
      </c>
      <c r="H899">
        <v>9</v>
      </c>
    </row>
    <row r="900" spans="1:8">
      <c r="A900">
        <f t="shared" si="28"/>
        <v>5</v>
      </c>
      <c r="B900">
        <f t="shared" si="29"/>
        <v>568</v>
      </c>
      <c r="C900" s="128">
        <v>43101</v>
      </c>
      <c r="D900" s="25" t="e">
        <f>VLOOKUP(VLOOKUP(B900,SuiteCatSubElem!$G$2:$G$667,2,0),'SXM Q4 18 W'!$A$32:$F$196,1+MATCH(VLOOKUP(A900,Personas!$A$2:$B$6,2,0),'SXM Q4 18 W'!$B$4:$F$4,0),0)</f>
        <v>#REF!</v>
      </c>
      <c r="E900">
        <v>1</v>
      </c>
      <c r="G900">
        <v>1</v>
      </c>
      <c r="H900">
        <v>9</v>
      </c>
    </row>
    <row r="901" spans="1:8">
      <c r="A901">
        <f t="shared" si="28"/>
        <v>5</v>
      </c>
      <c r="B901">
        <f t="shared" si="29"/>
        <v>569</v>
      </c>
      <c r="C901" s="128">
        <v>43101</v>
      </c>
      <c r="D901" s="25" t="e">
        <f>VLOOKUP(VLOOKUP(B901,SuiteCatSubElem!$G$2:$G$667,2,0),'SXM Q4 18 W'!$A$32:$F$196,1+MATCH(VLOOKUP(A901,Personas!$A$2:$B$6,2,0),'SXM Q4 18 W'!$B$4:$F$4,0),0)</f>
        <v>#REF!</v>
      </c>
      <c r="E901">
        <v>1</v>
      </c>
      <c r="G901">
        <v>1</v>
      </c>
      <c r="H901">
        <v>9</v>
      </c>
    </row>
    <row r="902" spans="1:8">
      <c r="A902">
        <f t="shared" si="28"/>
        <v>5</v>
      </c>
      <c r="B902">
        <f t="shared" si="29"/>
        <v>570</v>
      </c>
      <c r="C902" s="128">
        <v>43101</v>
      </c>
      <c r="D902" s="25" t="e">
        <f>VLOOKUP(VLOOKUP(B902,SuiteCatSubElem!$G$2:$G$667,2,0),'SXM Q4 18 W'!$A$32:$F$196,1+MATCH(VLOOKUP(A902,Personas!$A$2:$B$6,2,0),'SXM Q4 18 W'!$B$4:$F$4,0),0)</f>
        <v>#REF!</v>
      </c>
      <c r="E902">
        <v>1</v>
      </c>
      <c r="G902">
        <v>1</v>
      </c>
      <c r="H902">
        <v>9</v>
      </c>
    </row>
    <row r="903" spans="1:8">
      <c r="A903">
        <f t="shared" si="28"/>
        <v>5</v>
      </c>
      <c r="B903">
        <f t="shared" si="29"/>
        <v>571</v>
      </c>
      <c r="C903" s="128">
        <v>43101</v>
      </c>
      <c r="D903" s="25" t="e">
        <f>VLOOKUP(VLOOKUP(B903,SuiteCatSubElem!$G$2:$G$667,2,0),'SXM Q4 18 W'!$A$32:$F$196,1+MATCH(VLOOKUP(A903,Personas!$A$2:$B$6,2,0),'SXM Q4 18 W'!$B$4:$F$4,0),0)</f>
        <v>#REF!</v>
      </c>
      <c r="E903">
        <v>1</v>
      </c>
      <c r="G903">
        <v>1</v>
      </c>
      <c r="H903">
        <v>9</v>
      </c>
    </row>
    <row r="904" spans="1:8">
      <c r="A904">
        <f t="shared" si="28"/>
        <v>5</v>
      </c>
      <c r="B904">
        <f t="shared" si="29"/>
        <v>572</v>
      </c>
      <c r="C904" s="128">
        <v>43101</v>
      </c>
      <c r="D904" s="25" t="e">
        <f>VLOOKUP(VLOOKUP(B904,SuiteCatSubElem!$G$2:$G$667,2,0),'SXM Q4 18 W'!$A$32:$F$196,1+MATCH(VLOOKUP(A904,Personas!$A$2:$B$6,2,0),'SXM Q4 18 W'!$B$4:$F$4,0),0)</f>
        <v>#REF!</v>
      </c>
      <c r="E904">
        <v>1</v>
      </c>
      <c r="G904">
        <v>1</v>
      </c>
      <c r="H904">
        <v>9</v>
      </c>
    </row>
    <row r="905" spans="1:8">
      <c r="A905">
        <f t="shared" si="28"/>
        <v>5</v>
      </c>
      <c r="B905">
        <f t="shared" si="29"/>
        <v>573</v>
      </c>
      <c r="C905" s="128">
        <v>43101</v>
      </c>
      <c r="D905" s="25" t="e">
        <f>VLOOKUP(VLOOKUP(B905,SuiteCatSubElem!$G$2:$G$667,2,0),'SXM Q4 18 W'!$A$32:$F$196,1+MATCH(VLOOKUP(A905,Personas!$A$2:$B$6,2,0),'SXM Q4 18 W'!$B$4:$F$4,0),0)</f>
        <v>#REF!</v>
      </c>
      <c r="E905">
        <v>1</v>
      </c>
      <c r="G905">
        <v>1</v>
      </c>
      <c r="H905">
        <v>9</v>
      </c>
    </row>
    <row r="906" spans="1:8">
      <c r="A906">
        <f t="shared" si="28"/>
        <v>5</v>
      </c>
      <c r="B906">
        <f t="shared" si="29"/>
        <v>574</v>
      </c>
      <c r="C906" s="128">
        <v>43101</v>
      </c>
      <c r="D906" s="25" t="e">
        <f>VLOOKUP(VLOOKUP(B906,SuiteCatSubElem!$G$2:$G$667,2,0),'SXM Q4 18 W'!$A$32:$F$196,1+MATCH(VLOOKUP(A906,Personas!$A$2:$B$6,2,0),'SXM Q4 18 W'!$B$4:$F$4,0),0)</f>
        <v>#REF!</v>
      </c>
      <c r="E906">
        <v>1</v>
      </c>
      <c r="G906">
        <v>1</v>
      </c>
      <c r="H906">
        <v>9</v>
      </c>
    </row>
    <row r="907" spans="1:8">
      <c r="A907">
        <f t="shared" si="28"/>
        <v>5</v>
      </c>
      <c r="B907">
        <f t="shared" si="29"/>
        <v>575</v>
      </c>
      <c r="C907" s="128">
        <v>43101</v>
      </c>
      <c r="D907" s="25" t="e">
        <f>VLOOKUP(VLOOKUP(B907,SuiteCatSubElem!$G$2:$G$667,2,0),'SXM Q4 18 W'!$A$32:$F$196,1+MATCH(VLOOKUP(A907,Personas!$A$2:$B$6,2,0),'SXM Q4 18 W'!$B$4:$F$4,0),0)</f>
        <v>#REF!</v>
      </c>
      <c r="E907">
        <v>1</v>
      </c>
      <c r="G907">
        <v>1</v>
      </c>
      <c r="H907">
        <v>9</v>
      </c>
    </row>
    <row r="908" spans="1:8">
      <c r="A908">
        <f t="shared" si="28"/>
        <v>5</v>
      </c>
      <c r="B908">
        <f t="shared" si="29"/>
        <v>576</v>
      </c>
      <c r="C908" s="128">
        <v>43101</v>
      </c>
      <c r="D908" s="25" t="e">
        <f>VLOOKUP(VLOOKUP(B908,SuiteCatSubElem!$G$2:$G$667,2,0),'SXM Q4 18 W'!$A$32:$F$196,1+MATCH(VLOOKUP(A908,Personas!$A$2:$B$6,2,0),'SXM Q4 18 W'!$B$4:$F$4,0),0)</f>
        <v>#REF!</v>
      </c>
      <c r="E908">
        <v>1</v>
      </c>
      <c r="G908">
        <v>1</v>
      </c>
      <c r="H908">
        <v>9</v>
      </c>
    </row>
    <row r="909" spans="1:8">
      <c r="A909">
        <f t="shared" si="28"/>
        <v>5</v>
      </c>
      <c r="B909">
        <f t="shared" si="29"/>
        <v>577</v>
      </c>
      <c r="C909" s="128">
        <v>43101</v>
      </c>
      <c r="D909" s="25" t="e">
        <f>VLOOKUP(VLOOKUP(B909,SuiteCatSubElem!$G$2:$G$667,2,0),'SXM Q4 18 W'!$A$32:$F$196,1+MATCH(VLOOKUP(A909,Personas!$A$2:$B$6,2,0),'SXM Q4 18 W'!$B$4:$F$4,0),0)</f>
        <v>#REF!</v>
      </c>
      <c r="E909">
        <v>1</v>
      </c>
      <c r="G909">
        <v>1</v>
      </c>
      <c r="H909">
        <v>9</v>
      </c>
    </row>
    <row r="910" spans="1:8">
      <c r="A910">
        <f t="shared" si="28"/>
        <v>5</v>
      </c>
      <c r="B910">
        <f t="shared" si="29"/>
        <v>578</v>
      </c>
      <c r="C910" s="128">
        <v>43101</v>
      </c>
      <c r="D910" s="25" t="e">
        <f>VLOOKUP(VLOOKUP(B910,SuiteCatSubElem!$G$2:$G$667,2,0),'SXM Q4 18 W'!$A$32:$F$196,1+MATCH(VLOOKUP(A910,Personas!$A$2:$B$6,2,0),'SXM Q4 18 W'!$B$4:$F$4,0),0)</f>
        <v>#REF!</v>
      </c>
      <c r="E910">
        <v>1</v>
      </c>
      <c r="G910">
        <v>1</v>
      </c>
      <c r="H910">
        <v>9</v>
      </c>
    </row>
    <row r="911" spans="1:8">
      <c r="A911">
        <f t="shared" si="28"/>
        <v>5</v>
      </c>
      <c r="B911">
        <f t="shared" si="29"/>
        <v>579</v>
      </c>
      <c r="C911" s="128">
        <v>43101</v>
      </c>
      <c r="D911" s="25" t="e">
        <f>VLOOKUP(VLOOKUP(B911,SuiteCatSubElem!$G$2:$G$667,2,0),'SXM Q4 18 W'!$A$32:$F$196,1+MATCH(VLOOKUP(A911,Personas!$A$2:$B$6,2,0),'SXM Q4 18 W'!$B$4:$F$4,0),0)</f>
        <v>#REF!</v>
      </c>
      <c r="E911">
        <v>1</v>
      </c>
      <c r="G911">
        <v>1</v>
      </c>
      <c r="H911">
        <v>9</v>
      </c>
    </row>
    <row r="912" spans="1:8">
      <c r="A912">
        <f t="shared" si="28"/>
        <v>5</v>
      </c>
      <c r="B912">
        <f t="shared" si="29"/>
        <v>580</v>
      </c>
      <c r="C912" s="128">
        <v>43101</v>
      </c>
      <c r="D912" s="25" t="e">
        <f>VLOOKUP(VLOOKUP(B912,SuiteCatSubElem!$G$2:$G$667,2,0),'SXM Q4 18 W'!$A$32:$F$196,1+MATCH(VLOOKUP(A912,Personas!$A$2:$B$6,2,0),'SXM Q4 18 W'!$B$4:$F$4,0),0)</f>
        <v>#REF!</v>
      </c>
      <c r="E912">
        <v>1</v>
      </c>
      <c r="G912">
        <v>1</v>
      </c>
      <c r="H912">
        <v>9</v>
      </c>
    </row>
    <row r="913" spans="1:8">
      <c r="A913">
        <f t="shared" si="28"/>
        <v>5</v>
      </c>
      <c r="B913">
        <f t="shared" si="29"/>
        <v>581</v>
      </c>
      <c r="C913" s="128">
        <v>43101</v>
      </c>
      <c r="D913" s="25" t="e">
        <f>VLOOKUP(VLOOKUP(B913,SuiteCatSubElem!$G$2:$G$667,2,0),'SXM Q4 18 W'!$A$32:$F$196,1+MATCH(VLOOKUP(A913,Personas!$A$2:$B$6,2,0),'SXM Q4 18 W'!$B$4:$F$4,0),0)</f>
        <v>#REF!</v>
      </c>
      <c r="E913">
        <v>1</v>
      </c>
      <c r="G913">
        <v>1</v>
      </c>
      <c r="H913">
        <v>9</v>
      </c>
    </row>
    <row r="914" spans="1:8">
      <c r="A914">
        <f t="shared" si="28"/>
        <v>5</v>
      </c>
      <c r="B914">
        <f t="shared" si="29"/>
        <v>582</v>
      </c>
      <c r="C914" s="128">
        <v>43101</v>
      </c>
      <c r="D914" s="25" t="e">
        <f>VLOOKUP(VLOOKUP(B914,SuiteCatSubElem!$G$2:$G$667,2,0),'SXM Q4 18 W'!$A$32:$F$196,1+MATCH(VLOOKUP(A914,Personas!$A$2:$B$6,2,0),'SXM Q4 18 W'!$B$4:$F$4,0),0)</f>
        <v>#REF!</v>
      </c>
      <c r="E914">
        <v>1</v>
      </c>
      <c r="G914">
        <v>1</v>
      </c>
      <c r="H914">
        <v>9</v>
      </c>
    </row>
    <row r="915" spans="1:8">
      <c r="A915">
        <f t="shared" si="28"/>
        <v>5</v>
      </c>
      <c r="B915">
        <f t="shared" si="29"/>
        <v>583</v>
      </c>
      <c r="C915" s="128">
        <v>43101</v>
      </c>
      <c r="D915" s="25" t="e">
        <f>VLOOKUP(VLOOKUP(B915,SuiteCatSubElem!$G$2:$G$667,2,0),'SXM Q4 18 W'!$A$32:$F$196,1+MATCH(VLOOKUP(A915,Personas!$A$2:$B$6,2,0),'SXM Q4 18 W'!$B$4:$F$4,0),0)</f>
        <v>#REF!</v>
      </c>
      <c r="E915">
        <v>1</v>
      </c>
      <c r="G915">
        <v>1</v>
      </c>
      <c r="H915">
        <v>9</v>
      </c>
    </row>
    <row r="916" spans="1:8">
      <c r="A916">
        <f t="shared" si="28"/>
        <v>5</v>
      </c>
      <c r="B916">
        <f t="shared" si="29"/>
        <v>584</v>
      </c>
      <c r="C916" s="128">
        <v>43101</v>
      </c>
      <c r="D916" s="25" t="e">
        <f>VLOOKUP(VLOOKUP(B916,SuiteCatSubElem!$G$2:$G$667,2,0),'SXM Q4 18 W'!$A$32:$F$196,1+MATCH(VLOOKUP(A916,Personas!$A$2:$B$6,2,0),'SXM Q4 18 W'!$B$4:$F$4,0),0)</f>
        <v>#REF!</v>
      </c>
      <c r="E916">
        <v>1</v>
      </c>
      <c r="G916">
        <v>1</v>
      </c>
      <c r="H916">
        <v>9</v>
      </c>
    </row>
    <row r="917" spans="1:8">
      <c r="A917">
        <f t="shared" si="28"/>
        <v>5</v>
      </c>
      <c r="B917">
        <f t="shared" si="29"/>
        <v>585</v>
      </c>
      <c r="C917" s="128">
        <v>43101</v>
      </c>
      <c r="D917" s="25" t="e">
        <f>VLOOKUP(VLOOKUP(B917,SuiteCatSubElem!$G$2:$G$667,2,0),'SXM Q4 18 W'!$A$32:$F$196,1+MATCH(VLOOKUP(A917,Personas!$A$2:$B$6,2,0),'SXM Q4 18 W'!$B$4:$F$4,0),0)</f>
        <v>#REF!</v>
      </c>
      <c r="E917">
        <v>1</v>
      </c>
      <c r="G917">
        <v>1</v>
      </c>
      <c r="H917">
        <v>9</v>
      </c>
    </row>
    <row r="918" spans="1:8">
      <c r="A918">
        <f t="shared" si="28"/>
        <v>5</v>
      </c>
      <c r="B918">
        <f t="shared" si="29"/>
        <v>586</v>
      </c>
      <c r="C918" s="128">
        <v>43101</v>
      </c>
      <c r="D918" s="25" t="e">
        <f>VLOOKUP(VLOOKUP(B918,SuiteCatSubElem!$G$2:$G$667,2,0),'SXM Q4 18 W'!$A$32:$F$196,1+MATCH(VLOOKUP(A918,Personas!$A$2:$B$6,2,0),'SXM Q4 18 W'!$B$4:$F$4,0),0)</f>
        <v>#REF!</v>
      </c>
      <c r="E918">
        <v>1</v>
      </c>
      <c r="G918">
        <v>1</v>
      </c>
      <c r="H918">
        <v>9</v>
      </c>
    </row>
    <row r="919" spans="1:8">
      <c r="A919">
        <f t="shared" si="28"/>
        <v>5</v>
      </c>
      <c r="B919">
        <f t="shared" si="29"/>
        <v>587</v>
      </c>
      <c r="C919" s="128">
        <v>43101</v>
      </c>
      <c r="D919" s="25" t="e">
        <f>VLOOKUP(VLOOKUP(B919,SuiteCatSubElem!$G$2:$G$667,2,0),'SXM Q4 18 W'!$A$32:$F$196,1+MATCH(VLOOKUP(A919,Personas!$A$2:$B$6,2,0),'SXM Q4 18 W'!$B$4:$F$4,0),0)</f>
        <v>#REF!</v>
      </c>
      <c r="E919">
        <v>1</v>
      </c>
      <c r="G919">
        <v>1</v>
      </c>
      <c r="H919">
        <v>9</v>
      </c>
    </row>
    <row r="920" spans="1:8">
      <c r="A920">
        <f t="shared" si="28"/>
        <v>5</v>
      </c>
      <c r="B920">
        <f t="shared" si="29"/>
        <v>588</v>
      </c>
      <c r="C920" s="128">
        <v>43101</v>
      </c>
      <c r="D920" s="25" t="e">
        <f>VLOOKUP(VLOOKUP(B920,SuiteCatSubElem!$G$2:$G$667,2,0),'SXM Q4 18 W'!$A$32:$F$196,1+MATCH(VLOOKUP(A920,Personas!$A$2:$B$6,2,0),'SXM Q4 18 W'!$B$4:$F$4,0),0)</f>
        <v>#REF!</v>
      </c>
      <c r="E920">
        <v>1</v>
      </c>
      <c r="G920">
        <v>1</v>
      </c>
      <c r="H920">
        <v>9</v>
      </c>
    </row>
    <row r="921" spans="1:8">
      <c r="A921">
        <f t="shared" si="28"/>
        <v>5</v>
      </c>
      <c r="B921">
        <f t="shared" si="29"/>
        <v>589</v>
      </c>
      <c r="C921" s="128">
        <v>43101</v>
      </c>
      <c r="D921" s="25" t="e">
        <f>VLOOKUP(VLOOKUP(B921,SuiteCatSubElem!$G$2:$G$667,2,0),'SXM Q4 18 W'!$A$32:$F$196,1+MATCH(VLOOKUP(A921,Personas!$A$2:$B$6,2,0),'SXM Q4 18 W'!$B$4:$F$4,0),0)</f>
        <v>#REF!</v>
      </c>
      <c r="E921">
        <v>1</v>
      </c>
      <c r="G921">
        <v>1</v>
      </c>
      <c r="H921">
        <v>9</v>
      </c>
    </row>
    <row r="922" spans="1:8">
      <c r="A922">
        <f t="shared" si="28"/>
        <v>5</v>
      </c>
      <c r="B922">
        <f t="shared" si="29"/>
        <v>590</v>
      </c>
      <c r="C922" s="128">
        <v>43101</v>
      </c>
      <c r="D922" s="25" t="e">
        <f>VLOOKUP(VLOOKUP(B922,SuiteCatSubElem!$G$2:$G$667,2,0),'SXM Q4 18 W'!$A$32:$F$196,1+MATCH(VLOOKUP(A922,Personas!$A$2:$B$6,2,0),'SXM Q4 18 W'!$B$4:$F$4,0),0)</f>
        <v>#REF!</v>
      </c>
      <c r="E922">
        <v>1</v>
      </c>
      <c r="G922">
        <v>1</v>
      </c>
      <c r="H922">
        <v>9</v>
      </c>
    </row>
    <row r="923" spans="1:8">
      <c r="A923">
        <f t="shared" si="28"/>
        <v>5</v>
      </c>
      <c r="B923">
        <f t="shared" si="29"/>
        <v>591</v>
      </c>
      <c r="C923" s="128">
        <v>43101</v>
      </c>
      <c r="D923" s="25" t="e">
        <f>VLOOKUP(VLOOKUP(B923,SuiteCatSubElem!$G$2:$G$667,2,0),'SXM Q4 18 W'!$A$32:$F$196,1+MATCH(VLOOKUP(A923,Personas!$A$2:$B$6,2,0),'SXM Q4 18 W'!$B$4:$F$4,0),0)</f>
        <v>#REF!</v>
      </c>
      <c r="E923">
        <v>1</v>
      </c>
      <c r="G923">
        <v>1</v>
      </c>
      <c r="H923">
        <v>9</v>
      </c>
    </row>
    <row r="924" spans="1:8">
      <c r="A924">
        <f t="shared" si="28"/>
        <v>5</v>
      </c>
      <c r="B924">
        <f t="shared" si="29"/>
        <v>592</v>
      </c>
      <c r="C924" s="128">
        <v>43101</v>
      </c>
      <c r="D924" s="25" t="e">
        <f>VLOOKUP(VLOOKUP(B924,SuiteCatSubElem!$G$2:$G$667,2,0),'SXM Q4 18 W'!$A$32:$F$196,1+MATCH(VLOOKUP(A924,Personas!$A$2:$B$6,2,0),'SXM Q4 18 W'!$B$4:$F$4,0),0)</f>
        <v>#REF!</v>
      </c>
      <c r="E924">
        <v>1</v>
      </c>
      <c r="G924">
        <v>1</v>
      </c>
      <c r="H924">
        <v>9</v>
      </c>
    </row>
    <row r="925" spans="1:8">
      <c r="A925">
        <f t="shared" si="28"/>
        <v>5</v>
      </c>
      <c r="B925">
        <f t="shared" si="29"/>
        <v>593</v>
      </c>
      <c r="C925" s="128">
        <v>43101</v>
      </c>
      <c r="D925" s="25" t="e">
        <f>VLOOKUP(VLOOKUP(B925,SuiteCatSubElem!$G$2:$G$667,2,0),'SXM Q4 18 W'!$A$32:$F$196,1+MATCH(VLOOKUP(A925,Personas!$A$2:$B$6,2,0),'SXM Q4 18 W'!$B$4:$F$4,0),0)</f>
        <v>#REF!</v>
      </c>
      <c r="E925">
        <v>1</v>
      </c>
      <c r="G925">
        <v>1</v>
      </c>
      <c r="H925">
        <v>9</v>
      </c>
    </row>
    <row r="926" spans="1:8">
      <c r="A926">
        <f t="shared" si="28"/>
        <v>5</v>
      </c>
      <c r="B926">
        <f t="shared" si="29"/>
        <v>594</v>
      </c>
      <c r="C926" s="128">
        <v>43101</v>
      </c>
      <c r="D926" s="25" t="e">
        <f>VLOOKUP(VLOOKUP(B926,SuiteCatSubElem!$G$2:$G$667,2,0),'SXM Q4 18 W'!$A$32:$F$196,1+MATCH(VLOOKUP(A926,Personas!$A$2:$B$6,2,0),'SXM Q4 18 W'!$B$4:$F$4,0),0)</f>
        <v>#REF!</v>
      </c>
      <c r="E926">
        <v>1</v>
      </c>
      <c r="G926">
        <v>1</v>
      </c>
      <c r="H926">
        <v>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87B5E-50F6-A948-B1D4-0BEBA9606DAE}">
  <sheetPr codeName="Sheet24"/>
  <dimension ref="A1:D2"/>
  <sheetViews>
    <sheetView workbookViewId="0">
      <selection activeCell="E9" sqref="E9"/>
    </sheetView>
  </sheetViews>
  <sheetFormatPr baseColWidth="10" defaultRowHeight="16"/>
  <cols>
    <col min="1" max="1" width="19.1640625" customWidth="1"/>
    <col min="4" max="4" width="18.1640625" bestFit="1" customWidth="1"/>
  </cols>
  <sheetData>
    <row r="1" spans="1:4">
      <c r="A1" t="s">
        <v>1251</v>
      </c>
      <c r="B1" t="s">
        <v>1229</v>
      </c>
      <c r="C1" t="s">
        <v>535</v>
      </c>
      <c r="D1" t="s">
        <v>536</v>
      </c>
    </row>
    <row r="2" spans="1:4">
      <c r="A2" t="s">
        <v>1250</v>
      </c>
      <c r="B2">
        <v>1</v>
      </c>
      <c r="C2">
        <v>1</v>
      </c>
      <c r="D2" s="128">
        <v>43101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F4810-5464-0B4E-B709-04A34E41FB7D}">
  <sheetPr codeName="Sheet2"/>
  <dimension ref="H1:M55"/>
  <sheetViews>
    <sheetView workbookViewId="0"/>
  </sheetViews>
  <sheetFormatPr baseColWidth="10" defaultRowHeight="16"/>
  <cols>
    <col min="1" max="1" width="31.83203125" bestFit="1" customWidth="1"/>
    <col min="2" max="4" width="31.83203125" customWidth="1"/>
    <col min="8" max="8" width="30.1640625" bestFit="1" customWidth="1"/>
    <col min="9" max="9" width="7" bestFit="1" customWidth="1"/>
    <col min="10" max="10" width="10" bestFit="1" customWidth="1"/>
    <col min="11" max="11" width="12.83203125" bestFit="1" customWidth="1"/>
    <col min="12" max="12" width="23" customWidth="1"/>
  </cols>
  <sheetData>
    <row r="1" spans="8:13">
      <c r="H1" t="s">
        <v>0</v>
      </c>
      <c r="I1" t="s">
        <v>1</v>
      </c>
      <c r="J1" t="s">
        <v>2</v>
      </c>
      <c r="K1" t="s">
        <v>3</v>
      </c>
      <c r="L1" t="s">
        <v>34</v>
      </c>
      <c r="M1" t="s">
        <v>531</v>
      </c>
    </row>
    <row r="2" spans="8:13">
      <c r="H2" s="1" t="s">
        <v>5</v>
      </c>
      <c r="I2">
        <v>1</v>
      </c>
      <c r="J2">
        <v>1</v>
      </c>
      <c r="K2">
        <v>1</v>
      </c>
      <c r="L2" t="s">
        <v>35</v>
      </c>
    </row>
    <row r="3" spans="8:13">
      <c r="H3" s="1" t="s">
        <v>6</v>
      </c>
      <c r="I3">
        <v>1</v>
      </c>
      <c r="J3">
        <v>1</v>
      </c>
      <c r="K3">
        <v>2</v>
      </c>
    </row>
    <row r="4" spans="8:13">
      <c r="H4" s="1" t="s">
        <v>7</v>
      </c>
      <c r="I4">
        <v>1</v>
      </c>
      <c r="J4">
        <v>1</v>
      </c>
      <c r="K4">
        <v>3</v>
      </c>
    </row>
    <row r="5" spans="8:13">
      <c r="H5" s="1" t="s">
        <v>8</v>
      </c>
      <c r="I5">
        <v>1</v>
      </c>
      <c r="J5">
        <v>1</v>
      </c>
      <c r="K5">
        <v>4</v>
      </c>
    </row>
    <row r="6" spans="8:13">
      <c r="H6" s="2" t="s">
        <v>9</v>
      </c>
      <c r="I6">
        <v>1</v>
      </c>
      <c r="J6">
        <v>1</v>
      </c>
      <c r="K6">
        <v>5</v>
      </c>
    </row>
    <row r="7" spans="8:13">
      <c r="H7" s="2" t="s">
        <v>10</v>
      </c>
      <c r="I7">
        <v>1</v>
      </c>
      <c r="J7">
        <v>1</v>
      </c>
      <c r="K7">
        <v>6</v>
      </c>
    </row>
    <row r="8" spans="8:13">
      <c r="H8" s="2" t="s">
        <v>11</v>
      </c>
      <c r="I8">
        <v>1</v>
      </c>
      <c r="J8">
        <v>1</v>
      </c>
      <c r="K8">
        <v>7</v>
      </c>
    </row>
    <row r="9" spans="8:13" ht="17" thickBot="1">
      <c r="H9" s="3" t="s">
        <v>12</v>
      </c>
      <c r="I9" s="4">
        <v>1</v>
      </c>
      <c r="J9" s="4">
        <v>1</v>
      </c>
      <c r="K9" s="4">
        <v>8</v>
      </c>
    </row>
    <row r="10" spans="8:13">
      <c r="H10" s="2" t="s">
        <v>9</v>
      </c>
      <c r="I10">
        <v>1</v>
      </c>
      <c r="J10">
        <v>2</v>
      </c>
      <c r="K10">
        <v>5</v>
      </c>
    </row>
    <row r="11" spans="8:13">
      <c r="H11" s="2" t="s">
        <v>10</v>
      </c>
      <c r="I11">
        <v>1</v>
      </c>
      <c r="J11">
        <v>2</v>
      </c>
      <c r="K11">
        <v>6</v>
      </c>
    </row>
    <row r="12" spans="8:13">
      <c r="H12" s="2" t="s">
        <v>11</v>
      </c>
      <c r="I12">
        <v>1</v>
      </c>
      <c r="J12">
        <v>2</v>
      </c>
      <c r="K12">
        <v>7</v>
      </c>
    </row>
    <row r="13" spans="8:13">
      <c r="H13" s="2" t="s">
        <v>12</v>
      </c>
      <c r="I13">
        <v>1</v>
      </c>
      <c r="J13">
        <v>2</v>
      </c>
      <c r="K13">
        <v>8</v>
      </c>
    </row>
    <row r="14" spans="8:13">
      <c r="H14" s="5" t="s">
        <v>13</v>
      </c>
      <c r="I14">
        <v>1</v>
      </c>
      <c r="J14">
        <v>2</v>
      </c>
      <c r="K14">
        <v>9</v>
      </c>
    </row>
    <row r="15" spans="8:13" ht="17" thickBot="1">
      <c r="H15" s="6" t="s">
        <v>14</v>
      </c>
      <c r="I15" s="4">
        <v>1</v>
      </c>
      <c r="J15" s="4">
        <v>2</v>
      </c>
      <c r="K15" s="4">
        <v>10</v>
      </c>
    </row>
    <row r="16" spans="8:13">
      <c r="H16" s="1" t="s">
        <v>5</v>
      </c>
      <c r="I16">
        <v>1</v>
      </c>
      <c r="J16">
        <v>3</v>
      </c>
      <c r="K16">
        <v>1</v>
      </c>
    </row>
    <row r="17" spans="8:11">
      <c r="H17" s="1" t="s">
        <v>6</v>
      </c>
      <c r="I17">
        <v>1</v>
      </c>
      <c r="J17">
        <v>3</v>
      </c>
      <c r="K17">
        <v>2</v>
      </c>
    </row>
    <row r="18" spans="8:11">
      <c r="H18" s="1" t="s">
        <v>7</v>
      </c>
      <c r="I18">
        <v>1</v>
      </c>
      <c r="J18">
        <v>3</v>
      </c>
      <c r="K18">
        <v>3</v>
      </c>
    </row>
    <row r="19" spans="8:11">
      <c r="H19" s="1" t="s">
        <v>8</v>
      </c>
      <c r="I19">
        <v>1</v>
      </c>
      <c r="J19">
        <v>3</v>
      </c>
      <c r="K19">
        <v>4</v>
      </c>
    </row>
    <row r="20" spans="8:11">
      <c r="H20" s="2" t="s">
        <v>9</v>
      </c>
      <c r="I20">
        <v>1</v>
      </c>
      <c r="J20">
        <v>3</v>
      </c>
      <c r="K20">
        <v>5</v>
      </c>
    </row>
    <row r="21" spans="8:11">
      <c r="H21" s="2" t="s">
        <v>10</v>
      </c>
      <c r="I21">
        <v>1</v>
      </c>
      <c r="J21">
        <v>3</v>
      </c>
      <c r="K21">
        <v>6</v>
      </c>
    </row>
    <row r="22" spans="8:11">
      <c r="H22" s="2" t="s">
        <v>11</v>
      </c>
      <c r="I22">
        <v>1</v>
      </c>
      <c r="J22">
        <v>3</v>
      </c>
      <c r="K22">
        <v>7</v>
      </c>
    </row>
    <row r="23" spans="8:11">
      <c r="H23" s="2" t="s">
        <v>12</v>
      </c>
      <c r="I23">
        <v>1</v>
      </c>
      <c r="J23">
        <v>3</v>
      </c>
      <c r="K23">
        <v>8</v>
      </c>
    </row>
    <row r="24" spans="8:11">
      <c r="H24" s="5" t="s">
        <v>13</v>
      </c>
      <c r="I24">
        <v>1</v>
      </c>
      <c r="J24">
        <v>3</v>
      </c>
      <c r="K24">
        <v>9</v>
      </c>
    </row>
    <row r="25" spans="8:11" ht="17" thickBot="1">
      <c r="H25" s="6" t="s">
        <v>14</v>
      </c>
      <c r="I25" s="4">
        <v>1</v>
      </c>
      <c r="J25" s="4">
        <v>3</v>
      </c>
      <c r="K25" s="4">
        <v>10</v>
      </c>
    </row>
    <row r="26" spans="8:11">
      <c r="H26" t="s">
        <v>15</v>
      </c>
      <c r="I26">
        <v>2</v>
      </c>
      <c r="J26">
        <v>4</v>
      </c>
      <c r="K26">
        <v>11</v>
      </c>
    </row>
    <row r="27" spans="8:11">
      <c r="H27" t="s">
        <v>16</v>
      </c>
      <c r="I27">
        <v>2</v>
      </c>
      <c r="J27">
        <v>4</v>
      </c>
      <c r="K27">
        <v>12</v>
      </c>
    </row>
    <row r="28" spans="8:11">
      <c r="H28" t="s">
        <v>17</v>
      </c>
      <c r="I28">
        <v>2</v>
      </c>
      <c r="J28">
        <v>4</v>
      </c>
      <c r="K28">
        <v>13</v>
      </c>
    </row>
    <row r="29" spans="8:11">
      <c r="H29" t="s">
        <v>18</v>
      </c>
      <c r="I29">
        <v>2</v>
      </c>
      <c r="J29">
        <v>4</v>
      </c>
      <c r="K29">
        <v>14</v>
      </c>
    </row>
    <row r="30" spans="8:11">
      <c r="H30" t="s">
        <v>19</v>
      </c>
      <c r="I30">
        <v>2</v>
      </c>
      <c r="J30">
        <v>4</v>
      </c>
      <c r="K30">
        <v>15</v>
      </c>
    </row>
    <row r="31" spans="8:11">
      <c r="H31" t="s">
        <v>20</v>
      </c>
      <c r="I31">
        <v>2</v>
      </c>
      <c r="J31">
        <v>4</v>
      </c>
      <c r="K31">
        <v>16</v>
      </c>
    </row>
    <row r="32" spans="8:11">
      <c r="H32" t="s">
        <v>21</v>
      </c>
      <c r="I32">
        <v>2</v>
      </c>
      <c r="J32">
        <v>4</v>
      </c>
      <c r="K32">
        <v>17</v>
      </c>
    </row>
    <row r="33" spans="8:11">
      <c r="H33" t="s">
        <v>22</v>
      </c>
      <c r="I33">
        <v>2</v>
      </c>
      <c r="J33">
        <v>4</v>
      </c>
      <c r="K33">
        <v>18</v>
      </c>
    </row>
    <row r="34" spans="8:11">
      <c r="H34" s="2" t="s">
        <v>11</v>
      </c>
      <c r="I34">
        <v>2</v>
      </c>
      <c r="J34">
        <v>4</v>
      </c>
      <c r="K34">
        <v>6</v>
      </c>
    </row>
    <row r="35" spans="8:11">
      <c r="H35" s="2" t="s">
        <v>10</v>
      </c>
      <c r="I35">
        <v>2</v>
      </c>
      <c r="J35">
        <v>4</v>
      </c>
      <c r="K35">
        <v>7</v>
      </c>
    </row>
    <row r="36" spans="8:11" ht="17" thickBot="1">
      <c r="H36" s="3" t="s">
        <v>12</v>
      </c>
      <c r="I36" s="4">
        <v>2</v>
      </c>
      <c r="J36" s="4">
        <v>4</v>
      </c>
      <c r="K36" s="4">
        <v>8</v>
      </c>
    </row>
    <row r="37" spans="8:11">
      <c r="H37" s="7" t="s">
        <v>23</v>
      </c>
      <c r="I37">
        <v>2</v>
      </c>
      <c r="J37">
        <v>5</v>
      </c>
      <c r="K37">
        <v>19</v>
      </c>
    </row>
    <row r="38" spans="8:11">
      <c r="H38" s="7" t="s">
        <v>24</v>
      </c>
      <c r="I38">
        <v>2</v>
      </c>
      <c r="J38">
        <v>5</v>
      </c>
      <c r="K38">
        <v>20</v>
      </c>
    </row>
    <row r="39" spans="8:11">
      <c r="H39" s="7" t="s">
        <v>25</v>
      </c>
      <c r="I39">
        <v>2</v>
      </c>
      <c r="J39">
        <v>5</v>
      </c>
      <c r="K39">
        <v>21</v>
      </c>
    </row>
    <row r="40" spans="8:11">
      <c r="H40" s="2" t="s">
        <v>11</v>
      </c>
      <c r="I40">
        <v>2</v>
      </c>
      <c r="J40">
        <v>5</v>
      </c>
      <c r="K40">
        <v>6</v>
      </c>
    </row>
    <row r="41" spans="8:11">
      <c r="H41" s="2" t="s">
        <v>10</v>
      </c>
      <c r="I41">
        <v>2</v>
      </c>
      <c r="J41">
        <v>5</v>
      </c>
      <c r="K41">
        <v>7</v>
      </c>
    </row>
    <row r="42" spans="8:11" ht="17" thickBot="1">
      <c r="H42" s="3" t="s">
        <v>12</v>
      </c>
      <c r="I42" s="4">
        <v>2</v>
      </c>
      <c r="J42" s="4">
        <v>5</v>
      </c>
      <c r="K42" s="4">
        <v>8</v>
      </c>
    </row>
    <row r="43" spans="8:11">
      <c r="H43" s="7" t="s">
        <v>26</v>
      </c>
      <c r="I43">
        <v>2</v>
      </c>
      <c r="J43">
        <v>6</v>
      </c>
      <c r="K43">
        <v>22</v>
      </c>
    </row>
    <row r="44" spans="8:11">
      <c r="H44" s="7" t="s">
        <v>27</v>
      </c>
      <c r="I44">
        <v>2</v>
      </c>
      <c r="J44">
        <v>6</v>
      </c>
      <c r="K44">
        <v>23</v>
      </c>
    </row>
    <row r="45" spans="8:11">
      <c r="H45" s="7" t="s">
        <v>28</v>
      </c>
      <c r="I45">
        <v>2</v>
      </c>
      <c r="J45">
        <v>6</v>
      </c>
      <c r="K45">
        <v>24</v>
      </c>
    </row>
    <row r="46" spans="8:11">
      <c r="H46" s="7" t="s">
        <v>29</v>
      </c>
      <c r="I46">
        <v>2</v>
      </c>
      <c r="J46">
        <v>6</v>
      </c>
      <c r="K46">
        <v>25</v>
      </c>
    </row>
    <row r="47" spans="8:11">
      <c r="H47" s="2" t="s">
        <v>11</v>
      </c>
      <c r="I47">
        <v>2</v>
      </c>
      <c r="J47">
        <v>6</v>
      </c>
      <c r="K47">
        <v>6</v>
      </c>
    </row>
    <row r="48" spans="8:11">
      <c r="H48" s="2" t="s">
        <v>10</v>
      </c>
      <c r="I48">
        <v>2</v>
      </c>
      <c r="J48">
        <v>6</v>
      </c>
      <c r="K48">
        <v>7</v>
      </c>
    </row>
    <row r="49" spans="8:11" ht="17" thickBot="1">
      <c r="H49" s="3" t="s">
        <v>12</v>
      </c>
      <c r="I49" s="4">
        <v>2</v>
      </c>
      <c r="J49" s="4">
        <v>6</v>
      </c>
      <c r="K49" s="4">
        <v>8</v>
      </c>
    </row>
    <row r="50" spans="8:11">
      <c r="H50" s="7" t="s">
        <v>30</v>
      </c>
      <c r="I50">
        <v>2</v>
      </c>
      <c r="J50">
        <v>7</v>
      </c>
      <c r="K50">
        <v>26</v>
      </c>
    </row>
    <row r="51" spans="8:11">
      <c r="H51" s="7" t="s">
        <v>31</v>
      </c>
      <c r="I51">
        <v>2</v>
      </c>
      <c r="J51">
        <v>7</v>
      </c>
      <c r="K51">
        <v>27</v>
      </c>
    </row>
    <row r="52" spans="8:11">
      <c r="H52" s="7" t="s">
        <v>32</v>
      </c>
      <c r="I52">
        <v>2</v>
      </c>
      <c r="J52">
        <v>7</v>
      </c>
      <c r="K52">
        <v>28</v>
      </c>
    </row>
    <row r="53" spans="8:11">
      <c r="H53" s="2" t="s">
        <v>11</v>
      </c>
      <c r="I53">
        <v>2</v>
      </c>
      <c r="J53">
        <v>7</v>
      </c>
      <c r="K53">
        <v>6</v>
      </c>
    </row>
    <row r="54" spans="8:11">
      <c r="H54" s="2" t="s">
        <v>10</v>
      </c>
      <c r="I54">
        <v>2</v>
      </c>
      <c r="J54">
        <v>7</v>
      </c>
      <c r="K54">
        <v>7</v>
      </c>
    </row>
    <row r="55" spans="8:11" ht="17" thickBot="1">
      <c r="H55" s="3" t="s">
        <v>33</v>
      </c>
      <c r="I55" s="4">
        <v>2</v>
      </c>
      <c r="J55" s="4">
        <v>7</v>
      </c>
      <c r="K55" s="4">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Suites</vt:lpstr>
      <vt:lpstr>Categories</vt:lpstr>
      <vt:lpstr>SuiteCategories</vt:lpstr>
      <vt:lpstr>SuiteCatSubElem_Version</vt:lpstr>
      <vt:lpstr>Subcategories</vt:lpstr>
      <vt:lpstr>SuiteCatSubElem</vt:lpstr>
      <vt:lpstr>Elements</vt:lpstr>
      <vt:lpstr>SuiteCatSub</vt:lpstr>
      <vt:lpstr>RBC</vt:lpstr>
      <vt:lpstr>RBC_values</vt:lpstr>
      <vt:lpstr>rawElements</vt:lpstr>
      <vt:lpstr>Notes</vt:lpstr>
      <vt:lpstr>scse_v Analyst</vt:lpstr>
      <vt:lpstr>ElementVariants</vt:lpstr>
      <vt:lpstr>Vendors</vt:lpstr>
      <vt:lpstr>Personas</vt:lpstr>
      <vt:lpstr>RFI</vt:lpstr>
      <vt:lpstr>RFI_Elements</vt:lpstr>
      <vt:lpstr>UserLogin</vt:lpstr>
      <vt:lpstr>UserTypes</vt:lpstr>
      <vt:lpstr>SMscores</vt:lpstr>
      <vt:lpstr>Sheet2</vt:lpstr>
      <vt:lpstr>SA Q4 18 VR</vt:lpstr>
      <vt:lpstr>SA Q4 18 W</vt:lpstr>
      <vt:lpstr>SXM Q4 18 W</vt:lpstr>
      <vt:lpstr>Weights</vt:lpstr>
      <vt:lpstr>ParentVendors</vt:lpstr>
      <vt:lpstr>scse2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Arturo Rodriguez</dc:creator>
  <cp:lastModifiedBy>Arturo Rodriguez</cp:lastModifiedBy>
  <dcterms:created xsi:type="dcterms:W3CDTF">2018-02-13T22:08:26Z</dcterms:created>
  <dcterms:modified xsi:type="dcterms:W3CDTF">2018-06-11T22:58:39Z</dcterms:modified>
</cp:coreProperties>
</file>